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https://mutua-my.sharepoint.com/personal/gballesteros_mutua_es/Documents/Documentos/Personal GBB/GBB/Porra Mundial 2026/"/>
    </mc:Choice>
  </mc:AlternateContent>
  <xr:revisionPtr revIDLastSave="66" documentId="13_ncr:1_{AF5F34E1-3CEA-4E5C-856E-DF27FFEF07FE}" xr6:coauthVersionLast="47" xr6:coauthVersionMax="47" xr10:uidLastSave="{A65A40E4-9EA7-4C19-8423-8287B8CBD808}"/>
  <workbookProtection workbookAlgorithmName="SHA-512" workbookHashValue="uBXpyMDsEShttvzwZ3TnnK+QO0h+/gvokI3X/6XIga9vEUM+kgb/RZaDH3aOmF8IeQejMDSauTOoPpsz5iNMMw==" workbookSaltValue="evYRK5qNq9uFJ8z2dNM54Q==" workbookSpinCount="100000" lockStructure="1"/>
  <bookViews>
    <workbookView xWindow="-108" yWindow="-108" windowWidth="23256" windowHeight="13896"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r:id="rId7"/>
    <sheet name="Stats" sheetId="51" r:id="rId8"/>
    <sheet name="Credits" sheetId="34" r:id="rId9"/>
    <sheet name="Fixture" sheetId="45"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INDEX(ADMIN!$S$1:$GU$5,1,1):INDEX(ADMIN!$S$1:$GU$5,5,ADMIN!$D$5*3)</definedName>
    <definedName name="Rango_Admin_Clas_Primera">INDEX(ADMIN!$S$1:$GU$1,1,1):INDEX(ADMIN!$S$1:$GU$1,1,ADMIN!$D$5*3)</definedName>
    <definedName name="Rango_Admin_Clas_Total">INDEX(ADMIN!$S$1:$GU$300,1,1):INDEX(ADMIN!$S$1:$GU$300,300,ADMIN!$D$5*3)</definedName>
    <definedName name="Rango_Admin_DailyClas">INDEX(ADMIN!$S$263:$GU$267,1,1):INDEX(ADMIN!$S$263:$GU$267,5,ADMIN!$D$5*3)</definedName>
    <definedName name="Rango_Admin_DailyClas_Primera">INDEX(ADMIN!$S$263:$GU$263,1,1):INDEX(ADMIN!$S$263:$GU$263,1,ADMIN!$D$5*3)</definedName>
    <definedName name="Rango_Admin_DailyPred">INDEX(ADMIN!$K$5:$GU$300,1,1):INDEX(ADMIN!$K$5:$GU$300,296,ADMIN!$D$5*3+8)</definedName>
    <definedName name="Rango_Admin_DailyPred_Primera">INDEX(ADMIN!$K$5:$GU$300,1,1):INDEX(ADMIN!$K$5:$GU$300,1,ADMIN!$D$5*3+8)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89" i="3" l="1"/>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5" i="3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M207" i="46" s="1"/>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M8" i="46" s="1"/>
  <c r="P8" i="46"/>
  <c r="N7" i="46"/>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Q202" i="46" s="1"/>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M29" i="46" s="1"/>
  <c r="P29" i="46"/>
  <c r="O9" i="46"/>
  <c r="O10" i="46"/>
  <c r="O11" i="46"/>
  <c r="O12" i="46"/>
  <c r="O13" i="46"/>
  <c r="O14" i="46"/>
  <c r="O15" i="46"/>
  <c r="O16" i="46"/>
  <c r="O17" i="46"/>
  <c r="O18" i="46"/>
  <c r="O19" i="46"/>
  <c r="O20" i="46"/>
  <c r="O21" i="46"/>
  <c r="Q21" i="46" s="1"/>
  <c r="O22" i="46"/>
  <c r="O23" i="46"/>
  <c r="O24" i="46"/>
  <c r="O25" i="46"/>
  <c r="O26" i="46"/>
  <c r="O27" i="46"/>
  <c r="O28" i="46"/>
  <c r="N28" i="46"/>
  <c r="P28" i="46"/>
  <c r="O29" i="46"/>
  <c r="O30" i="46"/>
  <c r="P9" i="46"/>
  <c r="P10" i="46"/>
  <c r="P11" i="46"/>
  <c r="P12" i="46"/>
  <c r="P13" i="46"/>
  <c r="M13" i="46" s="1"/>
  <c r="P14" i="46"/>
  <c r="P15" i="46"/>
  <c r="P16" i="46"/>
  <c r="P17" i="46"/>
  <c r="Q17" i="46" s="1"/>
  <c r="P18" i="46"/>
  <c r="P19" i="46"/>
  <c r="P20" i="46"/>
  <c r="P21" i="46"/>
  <c r="P22" i="46"/>
  <c r="P23" i="46"/>
  <c r="P24" i="46"/>
  <c r="P25" i="46"/>
  <c r="P26" i="46"/>
  <c r="P27" i="46"/>
  <c r="P30" i="46"/>
  <c r="N9" i="46"/>
  <c r="N10" i="46"/>
  <c r="N11" i="46"/>
  <c r="M11" i="46" s="1"/>
  <c r="N12" i="46"/>
  <c r="N13" i="46"/>
  <c r="N14" i="46"/>
  <c r="N15" i="46"/>
  <c r="N16" i="46"/>
  <c r="N17" i="46"/>
  <c r="N18" i="46"/>
  <c r="N19" i="46"/>
  <c r="N20" i="46"/>
  <c r="N21" i="46"/>
  <c r="M21" i="46" s="1"/>
  <c r="N22" i="46"/>
  <c r="N23" i="46"/>
  <c r="N24" i="46"/>
  <c r="N25" i="46"/>
  <c r="N26" i="46"/>
  <c r="N27" i="46"/>
  <c r="N30" i="46"/>
  <c r="N52" i="46"/>
  <c r="P52" i="46"/>
  <c r="M52" i="46" s="1"/>
  <c r="N77" i="46"/>
  <c r="N76" i="46"/>
  <c r="P76" i="46"/>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M36" i="46" s="1"/>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P74" i="46"/>
  <c r="O74" i="46"/>
  <c r="P73" i="46"/>
  <c r="O73" i="46"/>
  <c r="P72" i="46"/>
  <c r="O72" i="46"/>
  <c r="P71" i="46"/>
  <c r="O71" i="46"/>
  <c r="P70" i="46"/>
  <c r="O70" i="46"/>
  <c r="P69" i="46"/>
  <c r="O69" i="46"/>
  <c r="P68" i="46"/>
  <c r="O68" i="46"/>
  <c r="P67" i="46"/>
  <c r="O67" i="46"/>
  <c r="P66" i="46"/>
  <c r="O66" i="46"/>
  <c r="P65" i="46"/>
  <c r="O65" i="46"/>
  <c r="P64" i="46"/>
  <c r="O64" i="46"/>
  <c r="P63" i="46"/>
  <c r="O63" i="46"/>
  <c r="Q63" i="46" s="1"/>
  <c r="P62" i="46"/>
  <c r="O62" i="46"/>
  <c r="P61" i="46"/>
  <c r="O61" i="46"/>
  <c r="P60" i="46"/>
  <c r="O60" i="46"/>
  <c r="P59" i="46"/>
  <c r="O59" i="46"/>
  <c r="P58" i="46"/>
  <c r="O58" i="46"/>
  <c r="P57" i="46"/>
  <c r="O57" i="46"/>
  <c r="P56" i="46"/>
  <c r="O56" i="46"/>
  <c r="M56" i="46" s="1"/>
  <c r="P55" i="46"/>
  <c r="O55" i="46"/>
  <c r="P53" i="46"/>
  <c r="O53" i="46"/>
  <c r="O52" i="46"/>
  <c r="Q52" i="46" s="1"/>
  <c r="P51" i="46"/>
  <c r="O51" i="46"/>
  <c r="P50" i="46"/>
  <c r="O50" i="46"/>
  <c r="P49" i="46"/>
  <c r="O49" i="46"/>
  <c r="P48" i="46"/>
  <c r="O48" i="46"/>
  <c r="P47" i="46"/>
  <c r="Q47" i="46" s="1"/>
  <c r="O47" i="46"/>
  <c r="P46" i="46"/>
  <c r="O46" i="46"/>
  <c r="P45" i="46"/>
  <c r="O45" i="46"/>
  <c r="P44" i="46"/>
  <c r="O44" i="46"/>
  <c r="P43" i="46"/>
  <c r="O43" i="46"/>
  <c r="P42" i="46"/>
  <c r="O42" i="46"/>
  <c r="P41" i="46"/>
  <c r="O41" i="46"/>
  <c r="P40" i="46"/>
  <c r="O40" i="46"/>
  <c r="P39" i="46"/>
  <c r="O39" i="46"/>
  <c r="P38" i="46"/>
  <c r="O38" i="46"/>
  <c r="P37" i="46"/>
  <c r="O37" i="46"/>
  <c r="P36" i="46"/>
  <c r="O36" i="46"/>
  <c r="P35" i="46"/>
  <c r="O35" i="46"/>
  <c r="P34" i="46"/>
  <c r="O34" i="46"/>
  <c r="P33" i="46"/>
  <c r="M33" i="46" s="1"/>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FJ5" i="46"/>
  <c r="FJ267" i="46" s="1"/>
  <c r="FG5" i="46"/>
  <c r="FG267" i="46" s="1"/>
  <c r="FD5" i="46"/>
  <c r="FD267" i="46" s="1"/>
  <c r="FA5" i="46"/>
  <c r="FA267" i="46" s="1"/>
  <c r="EX5" i="46"/>
  <c r="EX267" i="46" s="1"/>
  <c r="EU5" i="46"/>
  <c r="EU267" i="46" s="1"/>
  <c r="ER5" i="46"/>
  <c r="ER267" i="46" s="1"/>
  <c r="EO5" i="46"/>
  <c r="EO267" i="46" s="1"/>
  <c r="EL5" i="46"/>
  <c r="EL267" i="46" s="1"/>
  <c r="EI267" i="46"/>
  <c r="EF267" i="46"/>
  <c r="EC267" i="46"/>
  <c r="DZ267" i="46"/>
  <c r="DW267" i="46"/>
  <c r="DT267" i="46"/>
  <c r="DQ267" i="46"/>
  <c r="DN267" i="46"/>
  <c r="DK267" i="46"/>
  <c r="DH267" i="46"/>
  <c r="DE267" i="46"/>
  <c r="DB267" i="46"/>
  <c r="CY267" i="46"/>
  <c r="CV267" i="46"/>
  <c r="CS267" i="46"/>
  <c r="CP267" i="46"/>
  <c r="CM267" i="46"/>
  <c r="CJ267" i="46"/>
  <c r="CG267" i="46"/>
  <c r="CD267" i="46"/>
  <c r="CA267" i="46"/>
  <c r="BX267" i="46"/>
  <c r="BU267" i="46"/>
  <c r="BR267" i="46"/>
  <c r="BO267" i="46"/>
  <c r="BL267" i="46"/>
  <c r="BI267" i="46"/>
  <c r="BF267" i="46"/>
  <c r="BC267" i="46"/>
  <c r="AZ267" i="46"/>
  <c r="AW267" i="46"/>
  <c r="AT267" i="46"/>
  <c r="AQ267" i="46"/>
  <c r="AN267" i="46"/>
  <c r="AK267" i="46"/>
  <c r="AH267"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M259" i="46"/>
  <c r="M78" i="46"/>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 i="47"/>
  <c r="M248" i="46"/>
  <c r="M245" i="46"/>
  <c r="M234" i="46"/>
  <c r="M224" i="46"/>
  <c r="M208" i="46"/>
  <c r="D338" i="36"/>
  <c r="C42" i="46" s="1"/>
  <c r="D337" i="36"/>
  <c r="C41" i="46" s="1"/>
  <c r="D336" i="36"/>
  <c r="C40" i="46" s="1"/>
  <c r="D320" i="36"/>
  <c r="C24" i="46" s="1"/>
  <c r="D312" i="36"/>
  <c r="C16" i="46" s="1"/>
  <c r="D311" i="36"/>
  <c r="C15" i="46" s="1"/>
  <c r="D309" i="36"/>
  <c r="C13" i="46" s="1"/>
  <c r="D308" i="36"/>
  <c r="C12" i="46" s="1"/>
  <c r="M180" i="46"/>
  <c r="M128" i="46"/>
  <c r="D164" i="46"/>
  <c r="D436" i="36"/>
  <c r="D439" i="36"/>
  <c r="D440" i="36"/>
  <c r="D433" i="36"/>
  <c r="D345" i="36"/>
  <c r="D350" i="36"/>
  <c r="D351" i="36"/>
  <c r="D352" i="36"/>
  <c r="D353" i="36"/>
  <c r="D375" i="36"/>
  <c r="D378" i="36"/>
  <c r="D379" i="36"/>
  <c r="D380" i="36"/>
  <c r="D383" i="36"/>
  <c r="D393" i="36"/>
  <c r="D396" i="36"/>
  <c r="D399" i="36"/>
  <c r="D400" i="36"/>
  <c r="D401" i="36"/>
  <c r="D411" i="36"/>
  <c r="D416" i="36"/>
  <c r="D417" i="36"/>
  <c r="D418" i="36"/>
  <c r="D419" i="36"/>
  <c r="D429" i="36"/>
  <c r="D6" i="36"/>
  <c r="D8" i="36"/>
  <c r="W1" i="3" s="1"/>
  <c r="D85" i="36"/>
  <c r="C19" i="34" s="1"/>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D71" i="36"/>
  <c r="AI6" i="3"/>
  <c r="AI7" i="3"/>
  <c r="AI8" i="3"/>
  <c r="AI9" i="3"/>
  <c r="D5" i="3"/>
  <c r="D12" i="3"/>
  <c r="D13" i="3"/>
  <c r="D21" i="3"/>
  <c r="D20" i="3"/>
  <c r="D131" i="36"/>
  <c r="D12" i="36"/>
  <c r="D28" i="36"/>
  <c r="W136" i="3" s="1"/>
  <c r="D27" i="36"/>
  <c r="W129"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67" i="36"/>
  <c r="D11" i="36"/>
  <c r="D134" i="36"/>
  <c r="D24" i="36"/>
  <c r="AJ100" i="3" s="1"/>
  <c r="D128" i="36"/>
  <c r="D81" i="36"/>
  <c r="B3" i="34" s="1"/>
  <c r="D113" i="36"/>
  <c r="D51" i="36"/>
  <c r="AL149" i="3" s="1"/>
  <c r="D120" i="36"/>
  <c r="D15" i="36"/>
  <c r="C7" i="30" s="1"/>
  <c r="D64" i="36"/>
  <c r="Z6" i="3" s="1"/>
  <c r="D50" i="36"/>
  <c r="AM148" i="3" s="1"/>
  <c r="D29" i="36"/>
  <c r="W141" i="3" s="1"/>
  <c r="D116" i="36"/>
  <c r="D22" i="36"/>
  <c r="BC5" i="3" s="1"/>
  <c r="BC57" i="3" s="1"/>
  <c r="D49" i="36"/>
  <c r="AL148" i="3" s="1"/>
  <c r="D127" i="36"/>
  <c r="D16" i="36"/>
  <c r="X3" i="3" s="1"/>
  <c r="D63" i="36"/>
  <c r="Z4" i="3" s="1"/>
  <c r="D282" i="36"/>
  <c r="D68" i="36"/>
  <c r="D48" i="36"/>
  <c r="C9" i="30" s="1"/>
  <c r="D469" i="36"/>
  <c r="S4" i="47" s="1"/>
  <c r="D422" i="36"/>
  <c r="D348" i="36"/>
  <c r="D435" i="36"/>
  <c r="D454" i="36"/>
  <c r="D4" i="47" s="1"/>
  <c r="D304" i="36"/>
  <c r="C8" i="46" s="1"/>
  <c r="D317" i="36"/>
  <c r="C21" i="46" s="1"/>
  <c r="D363" i="36"/>
  <c r="D342" i="36"/>
  <c r="C46" i="46" s="1"/>
  <c r="D437" i="36"/>
  <c r="D307" i="36"/>
  <c r="C11" i="46" s="1"/>
  <c r="D319" i="36"/>
  <c r="C23" i="46" s="1"/>
  <c r="D324" i="36"/>
  <c r="C28" i="46" s="1"/>
  <c r="D38" i="36"/>
  <c r="W158" i="3" s="1"/>
  <c r="D468" i="36"/>
  <c r="K248" i="46" s="1"/>
  <c r="D184" i="36"/>
  <c r="K114" i="46" s="1"/>
  <c r="D181" i="36"/>
  <c r="K111" i="46" s="1"/>
  <c r="D136" i="36"/>
  <c r="K79" i="46" s="1"/>
  <c r="D494" i="36"/>
  <c r="D3" i="51" s="1"/>
  <c r="D486" i="36"/>
  <c r="D493" i="36"/>
  <c r="D485" i="36"/>
  <c r="D500" i="36"/>
  <c r="I7" i="51" s="1"/>
  <c r="D495" i="36"/>
  <c r="D4" i="51" s="1"/>
  <c r="D499" i="36"/>
  <c r="H7" i="51" s="1"/>
  <c r="D491" i="36"/>
  <c r="D481" i="36"/>
  <c r="G3" i="50" s="1"/>
  <c r="D173" i="36"/>
  <c r="K103" i="46" s="1"/>
  <c r="D157" i="36"/>
  <c r="K87" i="46" s="1"/>
  <c r="D310" i="36"/>
  <c r="C14" i="46" s="1"/>
  <c r="D318" i="36"/>
  <c r="C22" i="46" s="1"/>
  <c r="D326" i="36"/>
  <c r="C30" i="46" s="1"/>
  <c r="D145" i="36"/>
  <c r="K235" i="46" s="1"/>
  <c r="D37" i="36"/>
  <c r="W156" i="3" s="1"/>
  <c r="D144" i="36"/>
  <c r="K231" i="46" s="1"/>
  <c r="D192" i="36"/>
  <c r="K122" i="46" s="1"/>
  <c r="D166" i="36"/>
  <c r="K96" i="46" s="1"/>
  <c r="D141" i="36"/>
  <c r="K209" i="46" s="1"/>
  <c r="D176" i="36"/>
  <c r="K106" i="46" s="1"/>
  <c r="D168" i="36"/>
  <c r="D160" i="36"/>
  <c r="K90" i="46" s="1"/>
  <c r="D152" i="36"/>
  <c r="K82" i="46" s="1"/>
  <c r="D183" i="36"/>
  <c r="K113" i="46" s="1"/>
  <c r="D159" i="36"/>
  <c r="K89" i="46" s="1"/>
  <c r="D151" i="36"/>
  <c r="K81" i="46" s="1"/>
  <c r="D196" i="36"/>
  <c r="K126" i="46" s="1"/>
  <c r="D188" i="36"/>
  <c r="K118" i="46" s="1"/>
  <c r="D467" i="36"/>
  <c r="Q4" i="47" s="1"/>
  <c r="D195" i="36"/>
  <c r="K125" i="46" s="1"/>
  <c r="D187" i="36"/>
  <c r="K117" i="46" s="1"/>
  <c r="D179" i="36"/>
  <c r="D163" i="36"/>
  <c r="K93" i="46" s="1"/>
  <c r="D139" i="36"/>
  <c r="K181" i="46" s="1"/>
  <c r="D178" i="36"/>
  <c r="K108" i="46" s="1"/>
  <c r="D170" i="36"/>
  <c r="K100" i="46" s="1"/>
  <c r="D162" i="36"/>
  <c r="K92" i="46" s="1"/>
  <c r="D154" i="36"/>
  <c r="K84" i="46" s="1"/>
  <c r="D177" i="36"/>
  <c r="K107" i="46" s="1"/>
  <c r="D153" i="36"/>
  <c r="K83" i="46" s="1"/>
  <c r="D202" i="36"/>
  <c r="K236" i="46" s="1"/>
  <c r="D200" i="36"/>
  <c r="K215" i="46" s="1"/>
  <c r="D199" i="36"/>
  <c r="K184" i="46" s="1"/>
  <c r="D93" i="36"/>
  <c r="D89" i="36"/>
  <c r="L9" i="34" s="1"/>
  <c r="D95" i="36"/>
  <c r="L15" i="34" s="1"/>
  <c r="D94" i="36"/>
  <c r="L14" i="34" s="1"/>
  <c r="D112" i="36"/>
  <c r="D98" i="36"/>
  <c r="L21" i="34" s="1"/>
  <c r="D91" i="36"/>
  <c r="L11" i="34" s="1"/>
  <c r="D88" i="36"/>
  <c r="D90" i="36"/>
  <c r="D87" i="36"/>
  <c r="L5" i="34" s="1"/>
  <c r="Q60" i="46"/>
  <c r="M66" i="46"/>
  <c r="E222" i="46"/>
  <c r="E207" i="46"/>
  <c r="D366" i="36"/>
  <c r="D443" i="36"/>
  <c r="D43" i="36"/>
  <c r="AA156" i="3" s="1"/>
  <c r="M37" i="46"/>
  <c r="E179" i="46"/>
  <c r="E247" i="46"/>
  <c r="E206" i="46"/>
  <c r="D77" i="36"/>
  <c r="D78" i="36"/>
  <c r="D510" i="36"/>
  <c r="D56" i="36"/>
  <c r="AN5" i="3" s="1"/>
  <c r="AN45" i="3" s="1"/>
  <c r="D261" i="36"/>
  <c r="C58" i="46" s="1"/>
  <c r="D58" i="36"/>
  <c r="AP5" i="3" s="1"/>
  <c r="AP85" i="3" s="1"/>
  <c r="D369" i="36"/>
  <c r="D511" i="36"/>
  <c r="D59" i="36"/>
  <c r="AQ5" i="3" s="1"/>
  <c r="D264" i="36"/>
  <c r="H256" i="46" s="1"/>
  <c r="D61" i="36"/>
  <c r="AS5" i="3" s="1"/>
  <c r="D54" i="36"/>
  <c r="BD5" i="3" s="1"/>
  <c r="BD57" i="3" s="1"/>
  <c r="D62" i="36"/>
  <c r="AT5" i="3" s="1"/>
  <c r="D137" i="36"/>
  <c r="H152" i="46" s="1"/>
  <c r="D260" i="36"/>
  <c r="H172" i="46" s="1"/>
  <c r="M74" i="46"/>
  <c r="M72" i="46"/>
  <c r="M43" i="46"/>
  <c r="M16" i="46"/>
  <c r="M65" i="46"/>
  <c r="Q244" i="46"/>
  <c r="Q179" i="46"/>
  <c r="E221" i="46"/>
  <c r="Q45" i="46"/>
  <c r="Q76" i="46"/>
  <c r="E233" i="46"/>
  <c r="M61" i="46"/>
  <c r="M45" i="46"/>
  <c r="M69" i="46"/>
  <c r="Q201" i="46"/>
  <c r="M221" i="46"/>
  <c r="M49" i="46"/>
  <c r="M77" i="46"/>
  <c r="M57" i="46"/>
  <c r="E223" i="46"/>
  <c r="M26" i="46"/>
  <c r="M50" i="46"/>
  <c r="M47" i="46"/>
  <c r="M62" i="46"/>
  <c r="M44" i="46"/>
  <c r="M53" i="46"/>
  <c r="M14" i="46"/>
  <c r="M17" i="46"/>
  <c r="D107" i="36"/>
  <c r="M84" i="34" s="1"/>
  <c r="S267" i="46"/>
  <c r="M20" i="46" l="1"/>
  <c r="M7" i="46"/>
  <c r="Q27" i="46"/>
  <c r="Q13" i="46"/>
  <c r="Q74" i="46"/>
  <c r="T7" i="51"/>
  <c r="C39" i="46"/>
  <c r="D76" i="36"/>
  <c r="D97" i="36"/>
  <c r="L20" i="34" s="1"/>
  <c r="D96" i="36"/>
  <c r="L18" i="34" s="1"/>
  <c r="D161" i="36"/>
  <c r="K91" i="46" s="1"/>
  <c r="D186" i="36"/>
  <c r="K116" i="46" s="1"/>
  <c r="D459" i="36"/>
  <c r="K198" i="46" s="1"/>
  <c r="D158" i="36"/>
  <c r="K88" i="46" s="1"/>
  <c r="D276" i="36"/>
  <c r="D460" i="36"/>
  <c r="K208" i="46" s="1"/>
  <c r="D480" i="36"/>
  <c r="F3" i="50" s="1"/>
  <c r="D502" i="36"/>
  <c r="H6" i="51" s="1"/>
  <c r="D182" i="36"/>
  <c r="K112" i="46" s="1"/>
  <c r="D347" i="36"/>
  <c r="D438" i="36"/>
  <c r="D281" i="36"/>
  <c r="D23" i="36"/>
  <c r="AV3" i="3" s="1"/>
  <c r="D5" i="36"/>
  <c r="D129" i="36"/>
  <c r="D70" i="36"/>
  <c r="D47" i="36"/>
  <c r="D431" i="36"/>
  <c r="D415" i="36"/>
  <c r="D395" i="36"/>
  <c r="D377" i="36"/>
  <c r="D349" i="36"/>
  <c r="D434" i="36"/>
  <c r="D313" i="36"/>
  <c r="C17" i="46" s="1"/>
  <c r="D146" i="36"/>
  <c r="K239" i="46" s="1"/>
  <c r="D505" i="36"/>
  <c r="D371" i="36"/>
  <c r="D46" i="36"/>
  <c r="AH160" i="3" s="1"/>
  <c r="D167" i="36"/>
  <c r="K97" i="46" s="1"/>
  <c r="D41" i="36"/>
  <c r="AA154" i="3" s="1"/>
  <c r="M253" i="46" s="1"/>
  <c r="AR253" i="46" s="1"/>
  <c r="D263" i="36"/>
  <c r="C60" i="46" s="1"/>
  <c r="D75" i="36"/>
  <c r="D92" i="36"/>
  <c r="L12" i="34" s="1"/>
  <c r="D104" i="36"/>
  <c r="L32" i="34" s="1"/>
  <c r="D169" i="36"/>
  <c r="K99" i="46" s="1"/>
  <c r="D194" i="36"/>
  <c r="K124" i="46" s="1"/>
  <c r="D463" i="36"/>
  <c r="K230" i="46" s="1"/>
  <c r="D175" i="36"/>
  <c r="D189" i="36"/>
  <c r="K119" i="46" s="1"/>
  <c r="D174" i="36"/>
  <c r="K104" i="46" s="1"/>
  <c r="D272" i="36"/>
  <c r="D484" i="36"/>
  <c r="D8" i="51" s="1"/>
  <c r="D171" i="36"/>
  <c r="K101" i="46" s="1"/>
  <c r="D333" i="36"/>
  <c r="C37" i="46" s="1"/>
  <c r="D355" i="36"/>
  <c r="D343" i="36"/>
  <c r="C47" i="46" s="1"/>
  <c r="D280" i="36"/>
  <c r="D18" i="36"/>
  <c r="Z3" i="3" s="1"/>
  <c r="Z75" i="3" s="1"/>
  <c r="D132" i="36"/>
  <c r="D119" i="36"/>
  <c r="D66" i="36"/>
  <c r="D430" i="36"/>
  <c r="D412" i="36"/>
  <c r="D394" i="36"/>
  <c r="D376" i="36"/>
  <c r="D346" i="36"/>
  <c r="D451" i="36"/>
  <c r="B1" i="47" s="1"/>
  <c r="D316" i="36"/>
  <c r="C20" i="46" s="1"/>
  <c r="D506" i="36"/>
  <c r="D55" i="36"/>
  <c r="AM5" i="3" s="1"/>
  <c r="AM53" i="3" s="1"/>
  <c r="D19" i="36"/>
  <c r="AA3" i="3" s="1"/>
  <c r="AA91" i="3" s="1"/>
  <c r="D364" i="36"/>
  <c r="D102" i="36"/>
  <c r="D105" i="36"/>
  <c r="L35" i="34" s="1"/>
  <c r="D185" i="36"/>
  <c r="K115" i="46" s="1"/>
  <c r="D143" i="36"/>
  <c r="K225" i="46" s="1"/>
  <c r="D36" i="36"/>
  <c r="W155" i="3" s="1"/>
  <c r="D191" i="36"/>
  <c r="K121" i="46" s="1"/>
  <c r="D149" i="36"/>
  <c r="K249" i="46" s="1"/>
  <c r="C62" i="46" s="1"/>
  <c r="D39" i="36"/>
  <c r="W159" i="3" s="1"/>
  <c r="K257" i="46" s="1"/>
  <c r="D504" i="36"/>
  <c r="D487" i="36"/>
  <c r="D11" i="51" s="1"/>
  <c r="D148" i="36"/>
  <c r="K246" i="46" s="1"/>
  <c r="D315" i="36"/>
  <c r="C19" i="46" s="1"/>
  <c r="D381" i="36"/>
  <c r="D356" i="36"/>
  <c r="D283" i="36"/>
  <c r="D31" i="36"/>
  <c r="AA149" i="3" s="1"/>
  <c r="D133" i="36"/>
  <c r="D118" i="36"/>
  <c r="D428" i="36"/>
  <c r="D410" i="36"/>
  <c r="D392" i="36"/>
  <c r="D362" i="36"/>
  <c r="D344" i="36"/>
  <c r="M7" i="51" s="1"/>
  <c r="D452" i="36"/>
  <c r="B4" i="47" s="1"/>
  <c r="D321" i="36"/>
  <c r="C25" i="46" s="1"/>
  <c r="D20" i="36"/>
  <c r="AD3" i="3" s="1"/>
  <c r="AD67" i="3" s="1"/>
  <c r="D373" i="36"/>
  <c r="D45" i="36"/>
  <c r="AA159" i="3" s="1"/>
  <c r="M257" i="46" s="1"/>
  <c r="T257" i="46" s="1"/>
  <c r="D365" i="36"/>
  <c r="EO30" i="46" s="1"/>
  <c r="D302" i="36"/>
  <c r="D99" i="36"/>
  <c r="L23" i="34" s="1"/>
  <c r="D106" i="36"/>
  <c r="L38" i="34" s="1"/>
  <c r="D193" i="36"/>
  <c r="K123" i="46" s="1"/>
  <c r="D147" i="36"/>
  <c r="K243" i="46" s="1"/>
  <c r="D270" i="36"/>
  <c r="D457" i="36"/>
  <c r="K162" i="46" s="1"/>
  <c r="D273" i="36"/>
  <c r="D474" i="36"/>
  <c r="G1" i="48" s="1"/>
  <c r="D479" i="36"/>
  <c r="E3" i="50" s="1"/>
  <c r="D488" i="36"/>
  <c r="D12" i="51" s="1"/>
  <c r="D74" i="36"/>
  <c r="AY3" i="3" s="1"/>
  <c r="D306" i="36"/>
  <c r="C10" i="46" s="1"/>
  <c r="D389" i="36"/>
  <c r="D374" i="36"/>
  <c r="D284" i="36"/>
  <c r="D65" i="36"/>
  <c r="Z8" i="3" s="1"/>
  <c r="Z89" i="3" s="1"/>
  <c r="D121" i="36"/>
  <c r="D126" i="36"/>
  <c r="D427" i="36"/>
  <c r="D409" i="36"/>
  <c r="D391" i="36"/>
  <c r="D361" i="36"/>
  <c r="D303" i="36"/>
  <c r="D7" i="46" s="1"/>
  <c r="D453" i="36"/>
  <c r="C4" i="47" s="1"/>
  <c r="D322" i="36"/>
  <c r="C26" i="46" s="1"/>
  <c r="D442" i="36"/>
  <c r="D50" i="46" s="1"/>
  <c r="D262" i="36"/>
  <c r="C59" i="46" s="1"/>
  <c r="D266" i="36"/>
  <c r="L2" i="32" s="1"/>
  <c r="D444" i="36"/>
  <c r="C50" i="46" s="1"/>
  <c r="D103" i="36"/>
  <c r="L6" i="34" s="1"/>
  <c r="D108" i="36"/>
  <c r="L41" i="34" s="1"/>
  <c r="D458" i="36"/>
  <c r="K180" i="46" s="1"/>
  <c r="D35" i="36"/>
  <c r="W154" i="3" s="1"/>
  <c r="K253" i="46" s="1"/>
  <c r="D455" i="36"/>
  <c r="K78" i="46" s="1"/>
  <c r="D461" i="36"/>
  <c r="K218" i="46" s="1"/>
  <c r="D165" i="36"/>
  <c r="K95" i="46" s="1"/>
  <c r="D475" i="36"/>
  <c r="F3" i="48" s="1"/>
  <c r="D513" i="36"/>
  <c r="D497" i="36"/>
  <c r="E7" i="51" s="1"/>
  <c r="D73" i="36"/>
  <c r="D332" i="36"/>
  <c r="C36" i="46" s="1"/>
  <c r="D397" i="36"/>
  <c r="D382" i="36"/>
  <c r="D277" i="36"/>
  <c r="D53" i="36"/>
  <c r="AJ5" i="3" s="1"/>
  <c r="AJ29" i="3" s="1"/>
  <c r="D52" i="36"/>
  <c r="AM149" i="3" s="1"/>
  <c r="D115" i="36"/>
  <c r="D426" i="36"/>
  <c r="D408" i="36"/>
  <c r="D388" i="36"/>
  <c r="D360" i="36"/>
  <c r="D301" i="36"/>
  <c r="D325" i="36"/>
  <c r="C29" i="46" s="1"/>
  <c r="D507" i="36"/>
  <c r="D21" i="36"/>
  <c r="AF3" i="3" s="1"/>
  <c r="AF51" i="3" s="1"/>
  <c r="D135" i="36"/>
  <c r="K5" i="46" s="1"/>
  <c r="C56" i="46" s="1"/>
  <c r="D57" i="36"/>
  <c r="AO5" i="3" s="1"/>
  <c r="AO29" i="3" s="1"/>
  <c r="D446" i="36"/>
  <c r="D100" i="36"/>
  <c r="L25" i="34" s="1"/>
  <c r="D109" i="36"/>
  <c r="L42" i="34" s="1"/>
  <c r="D462" i="36"/>
  <c r="K224" i="46" s="1"/>
  <c r="D269" i="36"/>
  <c r="D156" i="36"/>
  <c r="K86" i="46" s="1"/>
  <c r="D465" i="36"/>
  <c r="O4" i="47" s="1"/>
  <c r="D190" i="36"/>
  <c r="K120" i="46" s="1"/>
  <c r="D150" i="36"/>
  <c r="K80" i="46" s="1"/>
  <c r="D489" i="36"/>
  <c r="D13" i="51" s="1"/>
  <c r="D492" i="36"/>
  <c r="D16" i="51" s="1"/>
  <c r="D72" i="36"/>
  <c r="D323" i="36"/>
  <c r="C27" i="46" s="1"/>
  <c r="D405" i="36"/>
  <c r="D390" i="36"/>
  <c r="D278" i="36"/>
  <c r="D117" i="36"/>
  <c r="D123" i="36"/>
  <c r="D84" i="36"/>
  <c r="B2" i="34" s="1"/>
  <c r="D285" i="36"/>
  <c r="D425" i="36"/>
  <c r="D407" i="36"/>
  <c r="D387" i="36"/>
  <c r="D359" i="36"/>
  <c r="D300" i="36"/>
  <c r="D327" i="36"/>
  <c r="C31" i="46" s="1"/>
  <c r="D60" i="36"/>
  <c r="AR5" i="3" s="1"/>
  <c r="AR61" i="3" s="1"/>
  <c r="D508" i="36"/>
  <c r="D445" i="36"/>
  <c r="D101" i="36"/>
  <c r="L27" i="34" s="1"/>
  <c r="D198" i="36"/>
  <c r="K153" i="46" s="1"/>
  <c r="D466" i="36"/>
  <c r="P4" i="47" s="1"/>
  <c r="D470" i="36"/>
  <c r="D164" i="36"/>
  <c r="K94" i="46" s="1"/>
  <c r="D32" i="36"/>
  <c r="W150" i="3" s="1"/>
  <c r="K250" i="46" s="1"/>
  <c r="D142" i="36"/>
  <c r="K219" i="46" s="1"/>
  <c r="D140" i="36"/>
  <c r="K199" i="46" s="1"/>
  <c r="D490" i="36"/>
  <c r="D14" i="51" s="1"/>
  <c r="D501" i="36"/>
  <c r="H5" i="51" s="1"/>
  <c r="D464" i="36"/>
  <c r="N4" i="47" s="1"/>
  <c r="D314" i="36"/>
  <c r="C18" i="46" s="1"/>
  <c r="D413" i="36"/>
  <c r="D398" i="36"/>
  <c r="D279" i="36"/>
  <c r="D30" i="36"/>
  <c r="W145" i="3" s="1"/>
  <c r="D122" i="36"/>
  <c r="D4" i="36"/>
  <c r="K8" i="30" s="1"/>
  <c r="D7" i="36"/>
  <c r="C5" i="30" s="1"/>
  <c r="D424" i="36"/>
  <c r="D404" i="36"/>
  <c r="D386" i="36"/>
  <c r="D358" i="36"/>
  <c r="D341" i="36"/>
  <c r="C45" i="46" s="1"/>
  <c r="D9" i="36"/>
  <c r="D328" i="36"/>
  <c r="C32" i="46" s="1"/>
  <c r="D441" i="36"/>
  <c r="C49" i="46" s="1"/>
  <c r="D512" i="36"/>
  <c r="D368" i="36"/>
  <c r="FA200" i="46" s="1"/>
  <c r="D509" i="36"/>
  <c r="D86" i="36"/>
  <c r="L4" i="34" s="1"/>
  <c r="D201" i="36"/>
  <c r="K226" i="46" s="1"/>
  <c r="D34" i="36"/>
  <c r="W152" i="3" s="1"/>
  <c r="K252" i="46" s="1"/>
  <c r="D372" i="36"/>
  <c r="D172" i="36"/>
  <c r="K102" i="46" s="1"/>
  <c r="D40" i="36"/>
  <c r="W160" i="3" s="1"/>
  <c r="K258" i="46" s="1"/>
  <c r="D33" i="36"/>
  <c r="W151" i="3" s="1"/>
  <c r="K251" i="46" s="1"/>
  <c r="D271" i="36"/>
  <c r="D498" i="36"/>
  <c r="D503" i="36"/>
  <c r="D197" i="36"/>
  <c r="K127" i="46" s="1"/>
  <c r="D305" i="36"/>
  <c r="C9" i="46" s="1"/>
  <c r="D421" i="36"/>
  <c r="D406" i="36"/>
  <c r="D69" i="36"/>
  <c r="AZ61" i="3" s="1"/>
  <c r="D83" i="36"/>
  <c r="B16" i="34" s="1"/>
  <c r="D82" i="36"/>
  <c r="B15" i="34" s="1"/>
  <c r="D124" i="36"/>
  <c r="D25" i="36"/>
  <c r="W99" i="3" s="1"/>
  <c r="D423" i="36"/>
  <c r="D403" i="36"/>
  <c r="D385" i="36"/>
  <c r="D357" i="36"/>
  <c r="D340" i="36"/>
  <c r="C44" i="46" s="1"/>
  <c r="D10" i="36"/>
  <c r="D331" i="36"/>
  <c r="C35" i="46" s="1"/>
  <c r="D42" i="36"/>
  <c r="AA155" i="3" s="1"/>
  <c r="M254" i="46" s="1"/>
  <c r="T254" i="46" s="1"/>
  <c r="D370" i="36"/>
  <c r="D44" i="36"/>
  <c r="AH158" i="3" s="1"/>
  <c r="D110" i="36"/>
  <c r="L45" i="34" s="1"/>
  <c r="D203" i="36"/>
  <c r="K240" i="46" s="1"/>
  <c r="D456" i="36"/>
  <c r="F4" i="47" s="1"/>
  <c r="D155" i="36"/>
  <c r="K85" i="46" s="1"/>
  <c r="D180" i="36"/>
  <c r="K110" i="46" s="1"/>
  <c r="D274" i="36"/>
  <c r="D275" i="36"/>
  <c r="D334" i="36"/>
  <c r="C38" i="46" s="1"/>
  <c r="D478" i="36"/>
  <c r="D496" i="36"/>
  <c r="D5" i="51" s="1"/>
  <c r="D138" i="36"/>
  <c r="K163" i="46" s="1"/>
  <c r="D330" i="36"/>
  <c r="C34" i="46" s="1"/>
  <c r="D329" i="36"/>
  <c r="C33" i="46" s="1"/>
  <c r="D414" i="36"/>
  <c r="D17" i="36"/>
  <c r="Y3" i="3" s="1"/>
  <c r="Y83" i="3" s="1"/>
  <c r="D125" i="36"/>
  <c r="D130" i="36"/>
  <c r="D114" i="36"/>
  <c r="D26" i="36"/>
  <c r="W118" i="3" s="1"/>
  <c r="D420" i="36"/>
  <c r="D402" i="36"/>
  <c r="D384" i="36"/>
  <c r="D354" i="36"/>
  <c r="D339" i="36"/>
  <c r="C43" i="46" s="1"/>
  <c r="D299" i="36"/>
  <c r="C5" i="46" s="1"/>
  <c r="Q26" i="46"/>
  <c r="K245" i="46"/>
  <c r="H202" i="46"/>
  <c r="AH156" i="3"/>
  <c r="AG156" i="3" s="1"/>
  <c r="R7" i="51"/>
  <c r="Q62" i="46"/>
  <c r="B3" i="30"/>
  <c r="H212" i="46"/>
  <c r="C61" i="46"/>
  <c r="H258" i="46"/>
  <c r="Q25" i="6"/>
  <c r="H251" i="46"/>
  <c r="H205" i="46"/>
  <c r="H204" i="46"/>
  <c r="K196" i="46"/>
  <c r="H211" i="46"/>
  <c r="K259" i="46"/>
  <c r="H207" i="46"/>
  <c r="R4" i="47"/>
  <c r="P202" i="46"/>
  <c r="AJ3" i="3"/>
  <c r="AJ60" i="3" s="1"/>
  <c r="K213" i="46"/>
  <c r="AN37" i="45"/>
  <c r="AJ20" i="45"/>
  <c r="AF40" i="45"/>
  <c r="AF17" i="45"/>
  <c r="AB48" i="45"/>
  <c r="AB37" i="45"/>
  <c r="AB27" i="45"/>
  <c r="AB16" i="45"/>
  <c r="AB6" i="45"/>
  <c r="AB49" i="45"/>
  <c r="AC48" i="45"/>
  <c r="AO14" i="45"/>
  <c r="AK19" i="45"/>
  <c r="AG35" i="45"/>
  <c r="AG16" i="45"/>
  <c r="AC46" i="45"/>
  <c r="AC36" i="45"/>
  <c r="AC25" i="45"/>
  <c r="AC15" i="45"/>
  <c r="AC4" i="45"/>
  <c r="AB7" i="45"/>
  <c r="AC27" i="45"/>
  <c r="AN14" i="45"/>
  <c r="AJ19" i="45"/>
  <c r="AF35" i="45"/>
  <c r="AF16" i="45"/>
  <c r="AB46" i="45"/>
  <c r="AB36" i="45"/>
  <c r="AB25" i="45"/>
  <c r="AB15" i="45"/>
  <c r="AB4" i="45"/>
  <c r="AG40" i="45"/>
  <c r="AW26" i="45"/>
  <c r="AO13" i="45"/>
  <c r="AK8" i="45"/>
  <c r="AG34" i="45"/>
  <c r="AG11" i="45"/>
  <c r="AC45" i="45"/>
  <c r="AC34" i="45"/>
  <c r="AC24" i="45"/>
  <c r="AC13" i="45"/>
  <c r="AC3" i="45"/>
  <c r="AO37" i="45"/>
  <c r="AV26" i="45"/>
  <c r="AN13" i="45"/>
  <c r="AJ8" i="45"/>
  <c r="AF34" i="45"/>
  <c r="AF11" i="45"/>
  <c r="AB45" i="45"/>
  <c r="AB34" i="45"/>
  <c r="AB24" i="45"/>
  <c r="AB13" i="45"/>
  <c r="AB3" i="45"/>
  <c r="AK20" i="45"/>
  <c r="AW25" i="45"/>
  <c r="AK44" i="45"/>
  <c r="AK7" i="45"/>
  <c r="AG29" i="45"/>
  <c r="AG10" i="45"/>
  <c r="AC43" i="45"/>
  <c r="AC33" i="45"/>
  <c r="AC22" i="45"/>
  <c r="AC12" i="45"/>
  <c r="AF22" i="45"/>
  <c r="AC6" i="45"/>
  <c r="AV25" i="45"/>
  <c r="AJ44" i="45"/>
  <c r="AJ7" i="45"/>
  <c r="AF29" i="45"/>
  <c r="AF10" i="45"/>
  <c r="AB43" i="45"/>
  <c r="AB33" i="45"/>
  <c r="AB22" i="45"/>
  <c r="AB12" i="45"/>
  <c r="AB18" i="45"/>
  <c r="AC16" i="45"/>
  <c r="AS32" i="45"/>
  <c r="AK43" i="45"/>
  <c r="AG47" i="45"/>
  <c r="AG28" i="45"/>
  <c r="AG5" i="45"/>
  <c r="AC42" i="45"/>
  <c r="AC31" i="45"/>
  <c r="AC21" i="45"/>
  <c r="AC10" i="45"/>
  <c r="AF41" i="45"/>
  <c r="AR32" i="45"/>
  <c r="AJ43" i="45"/>
  <c r="AF47" i="45"/>
  <c r="AF28" i="45"/>
  <c r="AF5" i="45"/>
  <c r="AB42" i="45"/>
  <c r="AB31" i="45"/>
  <c r="AB21" i="45"/>
  <c r="AB10" i="45"/>
  <c r="AB28" i="45"/>
  <c r="AC37" i="45"/>
  <c r="AS31" i="45"/>
  <c r="AK32" i="45"/>
  <c r="AG46" i="45"/>
  <c r="AG23" i="45"/>
  <c r="AG4" i="45"/>
  <c r="AC40" i="45"/>
  <c r="AC30" i="45"/>
  <c r="AC19" i="45"/>
  <c r="AC9" i="45"/>
  <c r="AJ31" i="45"/>
  <c r="AR31" i="45"/>
  <c r="AJ32" i="45"/>
  <c r="AF46" i="45"/>
  <c r="AF23" i="45"/>
  <c r="AF4" i="45"/>
  <c r="AB40" i="45"/>
  <c r="AB30" i="45"/>
  <c r="AB19" i="45"/>
  <c r="AB9" i="45"/>
  <c r="AB39" i="45"/>
  <c r="AG17" i="45"/>
  <c r="AO38" i="45"/>
  <c r="AK31" i="45"/>
  <c r="AG41" i="45"/>
  <c r="AG22" i="45"/>
  <c r="AC49" i="45"/>
  <c r="AC39" i="45"/>
  <c r="AC28" i="45"/>
  <c r="AC18" i="45"/>
  <c r="AC7" i="45"/>
  <c r="AN38" i="45"/>
  <c r="H255" i="46"/>
  <c r="AX18" i="45"/>
  <c r="Q7" i="46"/>
  <c r="CH7" i="46" s="1"/>
  <c r="Q58" i="46"/>
  <c r="Q59" i="46"/>
  <c r="Q66" i="46"/>
  <c r="P206" i="46"/>
  <c r="H210" i="46"/>
  <c r="H179" i="46"/>
  <c r="H252" i="46"/>
  <c r="Q22" i="6"/>
  <c r="H247" i="46"/>
  <c r="AL5" i="3"/>
  <c r="AL69" i="3" s="1"/>
  <c r="AY69" i="3" s="1"/>
  <c r="Q53" i="46"/>
  <c r="Q75" i="46"/>
  <c r="CN75" i="46" s="1"/>
  <c r="Q223" i="46"/>
  <c r="S7" i="51"/>
  <c r="H257" i="46"/>
  <c r="H216" i="46"/>
  <c r="H200" i="46"/>
  <c r="H187" i="46"/>
  <c r="H215" i="46"/>
  <c r="Q56" i="46"/>
  <c r="K182" i="46"/>
  <c r="Q9" i="46"/>
  <c r="Q36" i="46"/>
  <c r="BP36" i="46" s="1"/>
  <c r="Q40" i="46"/>
  <c r="Q44" i="46"/>
  <c r="T44" i="46" s="1"/>
  <c r="Q30" i="46"/>
  <c r="P203" i="46"/>
  <c r="Q203" i="46"/>
  <c r="Q207" i="46"/>
  <c r="Q65" i="46"/>
  <c r="Q232" i="46"/>
  <c r="Q33" i="46"/>
  <c r="AO33" i="46" s="1"/>
  <c r="Q37" i="46"/>
  <c r="Q41" i="46"/>
  <c r="Q49" i="46"/>
  <c r="P204" i="46"/>
  <c r="P247" i="46"/>
  <c r="Q39" i="46"/>
  <c r="Q77" i="46"/>
  <c r="P222" i="46"/>
  <c r="T77" i="46"/>
  <c r="M177" i="46"/>
  <c r="M169" i="46"/>
  <c r="M255" i="46"/>
  <c r="Z255" i="46" s="1"/>
  <c r="H165" i="46"/>
  <c r="H195" i="46"/>
  <c r="H148" i="46"/>
  <c r="H150" i="46"/>
  <c r="H191" i="46"/>
  <c r="H168" i="46"/>
  <c r="H173" i="46"/>
  <c r="H169" i="46"/>
  <c r="H185" i="46"/>
  <c r="H175" i="46"/>
  <c r="H143" i="46"/>
  <c r="H171" i="46"/>
  <c r="H184" i="46"/>
  <c r="H194" i="46"/>
  <c r="H192" i="46"/>
  <c r="H177" i="46"/>
  <c r="K146" i="46"/>
  <c r="H197" i="46"/>
  <c r="H189" i="46"/>
  <c r="H167" i="46"/>
  <c r="H183" i="46"/>
  <c r="H176" i="46"/>
  <c r="H196" i="46"/>
  <c r="H186" i="46"/>
  <c r="Q21" i="6"/>
  <c r="H166" i="46"/>
  <c r="H193" i="46"/>
  <c r="H139" i="46"/>
  <c r="H174" i="46"/>
  <c r="H178" i="46"/>
  <c r="H130" i="46"/>
  <c r="H170" i="46"/>
  <c r="H164" i="46"/>
  <c r="H188" i="46"/>
  <c r="H190" i="46"/>
  <c r="H182" i="46"/>
  <c r="H217" i="46"/>
  <c r="H203" i="46"/>
  <c r="H142" i="46"/>
  <c r="H135" i="46"/>
  <c r="H157" i="46"/>
  <c r="H149" i="46"/>
  <c r="K190" i="46"/>
  <c r="K185" i="46"/>
  <c r="H159" i="46"/>
  <c r="K129" i="46"/>
  <c r="H131" i="46"/>
  <c r="H250" i="46"/>
  <c r="H158" i="46"/>
  <c r="H151" i="46"/>
  <c r="H137" i="46"/>
  <c r="H206" i="46"/>
  <c r="D13" i="36"/>
  <c r="K14" i="30" s="1"/>
  <c r="D432" i="36"/>
  <c r="H147" i="46"/>
  <c r="H132" i="46"/>
  <c r="H161" i="46"/>
  <c r="K197" i="46"/>
  <c r="ER54" i="46"/>
  <c r="EU54" i="46"/>
  <c r="FG54" i="46"/>
  <c r="FJ54" i="46"/>
  <c r="EL54" i="46"/>
  <c r="EO54" i="46"/>
  <c r="EX54" i="46"/>
  <c r="FA54" i="46"/>
  <c r="FD54" i="46"/>
  <c r="D367" i="36"/>
  <c r="H244" i="46"/>
  <c r="H201" i="46"/>
  <c r="H214" i="46"/>
  <c r="H155" i="46"/>
  <c r="H140" i="46"/>
  <c r="H138" i="46"/>
  <c r="K193" i="46"/>
  <c r="K183" i="46"/>
  <c r="FD220" i="46"/>
  <c r="FG220" i="46"/>
  <c r="EL220" i="46"/>
  <c r="EO220" i="46"/>
  <c r="ER220" i="46"/>
  <c r="EU220" i="46"/>
  <c r="EX220" i="46"/>
  <c r="FA220" i="46"/>
  <c r="FJ220" i="46"/>
  <c r="H213" i="46"/>
  <c r="H156" i="46"/>
  <c r="H134" i="46"/>
  <c r="H253" i="46"/>
  <c r="H254" i="46"/>
  <c r="H141" i="46"/>
  <c r="H133" i="46"/>
  <c r="K186" i="46"/>
  <c r="Q55" i="46"/>
  <c r="Q247" i="46"/>
  <c r="P232" i="46"/>
  <c r="M203" i="46"/>
  <c r="E203" i="46"/>
  <c r="M202" i="46"/>
  <c r="W77" i="46"/>
  <c r="W53" i="46"/>
  <c r="W45" i="46"/>
  <c r="W52" i="46"/>
  <c r="W44" i="46"/>
  <c r="W26" i="46"/>
  <c r="W75" i="46"/>
  <c r="W17" i="46"/>
  <c r="W7" i="46"/>
  <c r="W74" i="46"/>
  <c r="W66" i="46"/>
  <c r="W58" i="46"/>
  <c r="W41" i="46"/>
  <c r="W65" i="46"/>
  <c r="W49" i="46"/>
  <c r="W56" i="46"/>
  <c r="W63" i="46"/>
  <c r="W47" i="46"/>
  <c r="W21" i="46"/>
  <c r="W13" i="46"/>
  <c r="W62" i="46"/>
  <c r="W37" i="46"/>
  <c r="E165" i="46"/>
  <c r="AC7" i="46"/>
  <c r="BA7" i="46"/>
  <c r="BY7" i="46"/>
  <c r="AI7" i="46"/>
  <c r="BG7" i="46"/>
  <c r="CE7" i="46"/>
  <c r="AO7" i="46"/>
  <c r="BM7" i="46"/>
  <c r="CK7" i="46"/>
  <c r="AF7" i="46"/>
  <c r="BS7" i="46"/>
  <c r="AR7" i="46"/>
  <c r="CB7" i="46"/>
  <c r="AX7" i="46"/>
  <c r="CN7" i="46"/>
  <c r="AL7" i="46"/>
  <c r="AU7" i="46"/>
  <c r="BD7" i="46"/>
  <c r="BJ7" i="46"/>
  <c r="BP7" i="46"/>
  <c r="BV7" i="46"/>
  <c r="CQ7" i="46"/>
  <c r="AR13" i="46"/>
  <c r="BP13" i="46"/>
  <c r="CN13" i="46"/>
  <c r="AU13" i="46"/>
  <c r="BS13" i="46"/>
  <c r="CQ13" i="46"/>
  <c r="Z13" i="46"/>
  <c r="AX13" i="46"/>
  <c r="BV13" i="46"/>
  <c r="AC13" i="46"/>
  <c r="BA13" i="46"/>
  <c r="BY13" i="46"/>
  <c r="AF13" i="46"/>
  <c r="BD13" i="46"/>
  <c r="CB13" i="46"/>
  <c r="BG13" i="46"/>
  <c r="BJ13" i="46"/>
  <c r="BM13" i="46"/>
  <c r="CE13" i="46"/>
  <c r="CH13" i="46"/>
  <c r="CK13" i="46"/>
  <c r="AI17" i="46"/>
  <c r="BG17" i="46"/>
  <c r="CE17" i="46"/>
  <c r="AL17" i="46"/>
  <c r="BJ17" i="46"/>
  <c r="CH17" i="46"/>
  <c r="AO17" i="46"/>
  <c r="BM17" i="46"/>
  <c r="CK17" i="46"/>
  <c r="AI13" i="46"/>
  <c r="AR17" i="46"/>
  <c r="BP17" i="46"/>
  <c r="CN17" i="46"/>
  <c r="AL13" i="46"/>
  <c r="AU17" i="46"/>
  <c r="BS17" i="46"/>
  <c r="CQ17" i="46"/>
  <c r="BY17" i="46"/>
  <c r="AC21" i="46"/>
  <c r="BA21" i="46"/>
  <c r="BY21" i="46"/>
  <c r="Z17" i="46"/>
  <c r="CB17" i="46"/>
  <c r="AF21" i="46"/>
  <c r="BD21" i="46"/>
  <c r="CB21" i="46"/>
  <c r="AO13" i="46"/>
  <c r="AC17" i="46"/>
  <c r="AI21" i="46"/>
  <c r="BG21" i="46"/>
  <c r="CE21" i="46"/>
  <c r="AF17" i="46"/>
  <c r="AL21" i="46"/>
  <c r="BJ21" i="46"/>
  <c r="CH21" i="46"/>
  <c r="AX17" i="46"/>
  <c r="AO21" i="46"/>
  <c r="BM21" i="46"/>
  <c r="CK21" i="46"/>
  <c r="BS21" i="46"/>
  <c r="BV21" i="46"/>
  <c r="CN21" i="46"/>
  <c r="BA17" i="46"/>
  <c r="AR21" i="46"/>
  <c r="BD17" i="46"/>
  <c r="AU21" i="46"/>
  <c r="CQ21" i="46"/>
  <c r="AO26" i="46"/>
  <c r="BM26" i="46"/>
  <c r="CK26" i="46"/>
  <c r="AR26" i="46"/>
  <c r="BP26" i="46"/>
  <c r="CN26" i="46"/>
  <c r="AU26" i="46"/>
  <c r="BS26" i="46"/>
  <c r="CQ26" i="46"/>
  <c r="Z26" i="46"/>
  <c r="AX26" i="46"/>
  <c r="BV26" i="46"/>
  <c r="AC26" i="46"/>
  <c r="BA26" i="46"/>
  <c r="BY26" i="46"/>
  <c r="AX21" i="46"/>
  <c r="AL26" i="46"/>
  <c r="BP21" i="46"/>
  <c r="BD26" i="46"/>
  <c r="BG26" i="46"/>
  <c r="CB26" i="46"/>
  <c r="CE26" i="46"/>
  <c r="Z21" i="46"/>
  <c r="AF26" i="46"/>
  <c r="BG33" i="46"/>
  <c r="CE33" i="46"/>
  <c r="AI26" i="46"/>
  <c r="AL33" i="46"/>
  <c r="BJ33" i="46"/>
  <c r="BJ26" i="46"/>
  <c r="BV17" i="46"/>
  <c r="CH26" i="46"/>
  <c r="AR33" i="46"/>
  <c r="BP33" i="46"/>
  <c r="AC33" i="46"/>
  <c r="AI36" i="46"/>
  <c r="BG36" i="46"/>
  <c r="CE36" i="46"/>
  <c r="AF33" i="46"/>
  <c r="AL36" i="46"/>
  <c r="BJ36" i="46"/>
  <c r="CH36" i="46"/>
  <c r="AO36" i="46"/>
  <c r="BM36" i="46"/>
  <c r="CK36" i="46"/>
  <c r="AR36" i="46"/>
  <c r="AI37" i="46"/>
  <c r="BG37" i="46"/>
  <c r="CE37" i="46"/>
  <c r="BD33" i="46"/>
  <c r="AU36" i="46"/>
  <c r="BS36" i="46"/>
  <c r="AL37" i="46"/>
  <c r="BJ37" i="46"/>
  <c r="AC37" i="46"/>
  <c r="BM37" i="46"/>
  <c r="AO41" i="46"/>
  <c r="BM41" i="46"/>
  <c r="CK41" i="46"/>
  <c r="BD36" i="46"/>
  <c r="AF37" i="46"/>
  <c r="BP37" i="46"/>
  <c r="AR41" i="46"/>
  <c r="BP41" i="46"/>
  <c r="CN41" i="46"/>
  <c r="Z44" i="46"/>
  <c r="AX44" i="46"/>
  <c r="BV44" i="46"/>
  <c r="AO45" i="46"/>
  <c r="BM45" i="46"/>
  <c r="CK45" i="46"/>
  <c r="Z33" i="46"/>
  <c r="BV36" i="46"/>
  <c r="AO37" i="46"/>
  <c r="BS37" i="46"/>
  <c r="BV33" i="46"/>
  <c r="AR37" i="46"/>
  <c r="BV37" i="46"/>
  <c r="CB36" i="46"/>
  <c r="AU37" i="46"/>
  <c r="AX41" i="46"/>
  <c r="CB41" i="46"/>
  <c r="AC44" i="46"/>
  <c r="BD44" i="46"/>
  <c r="CE44" i="46"/>
  <c r="AL45" i="46"/>
  <c r="BP45" i="46"/>
  <c r="CQ45" i="46"/>
  <c r="AI47" i="46"/>
  <c r="BG47" i="46"/>
  <c r="CE47" i="46"/>
  <c r="AO49" i="46"/>
  <c r="BM49" i="46"/>
  <c r="CK49" i="46"/>
  <c r="AX37" i="46"/>
  <c r="BA41" i="46"/>
  <c r="CE41" i="46"/>
  <c r="AF44" i="46"/>
  <c r="BG44" i="46"/>
  <c r="CH44" i="46"/>
  <c r="AR45" i="46"/>
  <c r="BS45" i="46"/>
  <c r="AL47" i="46"/>
  <c r="BJ47" i="46"/>
  <c r="CH47" i="46"/>
  <c r="AR49" i="46"/>
  <c r="BP49" i="46"/>
  <c r="CN49" i="46"/>
  <c r="BA37" i="46"/>
  <c r="Z41" i="46"/>
  <c r="BD41" i="46"/>
  <c r="CH41" i="46"/>
  <c r="AI44" i="46"/>
  <c r="BJ44" i="46"/>
  <c r="AU45" i="46"/>
  <c r="BV45" i="46"/>
  <c r="AO47" i="46"/>
  <c r="BM47" i="46"/>
  <c r="CK47" i="46"/>
  <c r="AU49" i="46"/>
  <c r="BS49" i="46"/>
  <c r="BD37" i="46"/>
  <c r="AC41" i="46"/>
  <c r="BG41" i="46"/>
  <c r="CQ41" i="46"/>
  <c r="AL44" i="46"/>
  <c r="BM44" i="46"/>
  <c r="AX45" i="46"/>
  <c r="BY45" i="46"/>
  <c r="AR47" i="46"/>
  <c r="BP47" i="46"/>
  <c r="CN47" i="46"/>
  <c r="Z49" i="46"/>
  <c r="AX49" i="46"/>
  <c r="BV49" i="46"/>
  <c r="Z36" i="46"/>
  <c r="BY37" i="46"/>
  <c r="AF41" i="46"/>
  <c r="BJ41" i="46"/>
  <c r="AO44" i="46"/>
  <c r="BP44" i="46"/>
  <c r="Z45" i="46"/>
  <c r="BA45" i="46"/>
  <c r="CB45" i="46"/>
  <c r="AU47" i="46"/>
  <c r="BS47" i="46"/>
  <c r="CQ47" i="46"/>
  <c r="AC49" i="46"/>
  <c r="BA49" i="46"/>
  <c r="BY49" i="46"/>
  <c r="BS41" i="46"/>
  <c r="BS44" i="46"/>
  <c r="AF45" i="46"/>
  <c r="BD47" i="46"/>
  <c r="CB49" i="46"/>
  <c r="AL52" i="46"/>
  <c r="BJ52" i="46"/>
  <c r="CH52" i="46"/>
  <c r="AC53" i="46"/>
  <c r="BA53" i="46"/>
  <c r="BY53" i="46"/>
  <c r="AC56" i="46"/>
  <c r="BA56" i="46"/>
  <c r="BY56" i="46"/>
  <c r="AI58" i="46"/>
  <c r="BG58" i="46"/>
  <c r="CE58" i="46"/>
  <c r="AC36" i="46"/>
  <c r="BV41" i="46"/>
  <c r="BY44" i="46"/>
  <c r="AI45" i="46"/>
  <c r="BV47" i="46"/>
  <c r="CE49" i="46"/>
  <c r="AO52" i="46"/>
  <c r="BM52" i="46"/>
  <c r="CK52" i="46"/>
  <c r="AF53" i="46"/>
  <c r="BD53" i="46"/>
  <c r="CB53" i="46"/>
  <c r="AF56" i="46"/>
  <c r="BD56" i="46"/>
  <c r="CB56" i="46"/>
  <c r="AL58" i="46"/>
  <c r="BJ58" i="46"/>
  <c r="CH58" i="46"/>
  <c r="AF36" i="46"/>
  <c r="BY41" i="46"/>
  <c r="CB44" i="46"/>
  <c r="BD45" i="46"/>
  <c r="BY47" i="46"/>
  <c r="AF49" i="46"/>
  <c r="CH49" i="46"/>
  <c r="AR52" i="46"/>
  <c r="BP52" i="46"/>
  <c r="CN52" i="46"/>
  <c r="AI53" i="46"/>
  <c r="BG53" i="46"/>
  <c r="CE53" i="46"/>
  <c r="AI56" i="46"/>
  <c r="BG56" i="46"/>
  <c r="CE56" i="46"/>
  <c r="AO58" i="46"/>
  <c r="BM58" i="46"/>
  <c r="CK58" i="46"/>
  <c r="AX36" i="46"/>
  <c r="Z37" i="46"/>
  <c r="BG45" i="46"/>
  <c r="Z47" i="46"/>
  <c r="CB47" i="46"/>
  <c r="AI49" i="46"/>
  <c r="AU52" i="46"/>
  <c r="BS52" i="46"/>
  <c r="CQ52" i="46"/>
  <c r="AL53" i="46"/>
  <c r="BJ53" i="46"/>
  <c r="CH53" i="46"/>
  <c r="AL56" i="46"/>
  <c r="BJ56" i="46"/>
  <c r="CB37" i="46"/>
  <c r="BJ45" i="46"/>
  <c r="AC47" i="46"/>
  <c r="AL49" i="46"/>
  <c r="Z52" i="46"/>
  <c r="AX52" i="46"/>
  <c r="BV52" i="46"/>
  <c r="AO53" i="46"/>
  <c r="BM53" i="46"/>
  <c r="AO56" i="46"/>
  <c r="BM56" i="46"/>
  <c r="AU44" i="46"/>
  <c r="CN45" i="46"/>
  <c r="AX47" i="46"/>
  <c r="BD52" i="46"/>
  <c r="Z53" i="46"/>
  <c r="Z58" i="46"/>
  <c r="BP58" i="46"/>
  <c r="AU62" i="46"/>
  <c r="BS62" i="46"/>
  <c r="AL63" i="46"/>
  <c r="BJ63" i="46"/>
  <c r="CH63" i="46"/>
  <c r="BA44" i="46"/>
  <c r="BA47" i="46"/>
  <c r="BG52" i="46"/>
  <c r="AR53" i="46"/>
  <c r="Z56" i="46"/>
  <c r="AC58" i="46"/>
  <c r="BS58" i="46"/>
  <c r="Z62" i="46"/>
  <c r="AX62" i="46"/>
  <c r="BV62" i="46"/>
  <c r="AO63" i="46"/>
  <c r="BM63" i="46"/>
  <c r="CK63" i="46"/>
  <c r="AI41" i="46"/>
  <c r="BY52" i="46"/>
  <c r="AU53" i="46"/>
  <c r="AR56" i="46"/>
  <c r="AF58" i="46"/>
  <c r="BV58" i="46"/>
  <c r="AC62" i="46"/>
  <c r="BA62" i="46"/>
  <c r="BY62" i="46"/>
  <c r="AR63" i="46"/>
  <c r="BP63" i="46"/>
  <c r="CN63" i="46"/>
  <c r="Z65" i="46"/>
  <c r="AX65" i="46"/>
  <c r="BV65" i="46"/>
  <c r="AL41" i="46"/>
  <c r="CB52" i="46"/>
  <c r="AX53" i="46"/>
  <c r="AU56" i="46"/>
  <c r="AR58" i="46"/>
  <c r="BY58" i="46"/>
  <c r="AF62" i="46"/>
  <c r="BD62" i="46"/>
  <c r="CB62" i="46"/>
  <c r="AU63" i="46"/>
  <c r="BS63" i="46"/>
  <c r="CQ63" i="46"/>
  <c r="AU41" i="46"/>
  <c r="BD49" i="46"/>
  <c r="AC52" i="46"/>
  <c r="CE52" i="46"/>
  <c r="BP53" i="46"/>
  <c r="AX56" i="46"/>
  <c r="AU58" i="46"/>
  <c r="CB58" i="46"/>
  <c r="AI62" i="46"/>
  <c r="BG62" i="46"/>
  <c r="CE62" i="46"/>
  <c r="Z63" i="46"/>
  <c r="AX63" i="46"/>
  <c r="BV63" i="46"/>
  <c r="BA58" i="46"/>
  <c r="BP62" i="46"/>
  <c r="BA63" i="46"/>
  <c r="AO65" i="46"/>
  <c r="BP65" i="46"/>
  <c r="CQ65" i="46"/>
  <c r="AL66" i="46"/>
  <c r="BJ66" i="46"/>
  <c r="CH66" i="46"/>
  <c r="BD58" i="46"/>
  <c r="CH62" i="46"/>
  <c r="BD63" i="46"/>
  <c r="AR65" i="46"/>
  <c r="BS65" i="46"/>
  <c r="AO66" i="46"/>
  <c r="BM66" i="46"/>
  <c r="CK66" i="46"/>
  <c r="CK62" i="46"/>
  <c r="BG63" i="46"/>
  <c r="AU65" i="46"/>
  <c r="BY65" i="46"/>
  <c r="AR66" i="46"/>
  <c r="BP66" i="46"/>
  <c r="CN66" i="46"/>
  <c r="BG49" i="46"/>
  <c r="AL62" i="46"/>
  <c r="CN62" i="46"/>
  <c r="BY63" i="46"/>
  <c r="BA65" i="46"/>
  <c r="CB65" i="46"/>
  <c r="AU66" i="46"/>
  <c r="BS66" i="46"/>
  <c r="CQ66" i="46"/>
  <c r="BJ49" i="46"/>
  <c r="BP56" i="46"/>
  <c r="AO62" i="46"/>
  <c r="CB63" i="46"/>
  <c r="AC65" i="46"/>
  <c r="BD65" i="46"/>
  <c r="CE65" i="46"/>
  <c r="Z66" i="46"/>
  <c r="AX66" i="46"/>
  <c r="BV66" i="46"/>
  <c r="AC45" i="46"/>
  <c r="AR62" i="46"/>
  <c r="CE63" i="46"/>
  <c r="AF65" i="46"/>
  <c r="CN65" i="46"/>
  <c r="AF66" i="46"/>
  <c r="AU74" i="46"/>
  <c r="BS74" i="46"/>
  <c r="CQ74" i="46"/>
  <c r="AL75" i="46"/>
  <c r="BJ75" i="46"/>
  <c r="CH75" i="46"/>
  <c r="CH45" i="46"/>
  <c r="BM62" i="46"/>
  <c r="AL65" i="46"/>
  <c r="BA66" i="46"/>
  <c r="AC74" i="46"/>
  <c r="BA74" i="46"/>
  <c r="BY74" i="46"/>
  <c r="AR75" i="46"/>
  <c r="BP75" i="46"/>
  <c r="AF52" i="46"/>
  <c r="BG65" i="46"/>
  <c r="BD66" i="46"/>
  <c r="AF74" i="46"/>
  <c r="BD74" i="46"/>
  <c r="CB74" i="46"/>
  <c r="AU75" i="46"/>
  <c r="BS75" i="46"/>
  <c r="AF47" i="46"/>
  <c r="AI52" i="46"/>
  <c r="BJ65" i="46"/>
  <c r="BG66" i="46"/>
  <c r="AI74" i="46"/>
  <c r="BG74" i="46"/>
  <c r="CE74" i="46"/>
  <c r="Z75" i="46"/>
  <c r="AX75" i="46"/>
  <c r="BV75" i="46"/>
  <c r="BA52" i="46"/>
  <c r="AC63" i="46"/>
  <c r="BM65" i="46"/>
  <c r="BY66" i="46"/>
  <c r="BS53" i="46"/>
  <c r="CH65" i="46"/>
  <c r="Z74" i="46"/>
  <c r="BV74" i="46"/>
  <c r="BM75" i="46"/>
  <c r="AO77" i="46"/>
  <c r="BM77" i="46"/>
  <c r="BV53" i="46"/>
  <c r="CK65" i="46"/>
  <c r="AL74" i="46"/>
  <c r="CH74" i="46"/>
  <c r="AC75" i="46"/>
  <c r="BY75" i="46"/>
  <c r="AR77" i="46"/>
  <c r="BP77" i="46"/>
  <c r="CE45" i="46"/>
  <c r="AO74" i="46"/>
  <c r="CK74" i="46"/>
  <c r="AF75" i="46"/>
  <c r="CB75" i="46"/>
  <c r="AU77" i="46"/>
  <c r="BS77" i="46"/>
  <c r="AX58" i="46"/>
  <c r="BJ62" i="46"/>
  <c r="AC66" i="46"/>
  <c r="AR74" i="46"/>
  <c r="CN74" i="46"/>
  <c r="AI75" i="46"/>
  <c r="CE75" i="46"/>
  <c r="Z77" i="46"/>
  <c r="AX77" i="46"/>
  <c r="BV77" i="46"/>
  <c r="AF63" i="46"/>
  <c r="AI66" i="46"/>
  <c r="AX74" i="46"/>
  <c r="AO75" i="46"/>
  <c r="CK75" i="46"/>
  <c r="AC77" i="46"/>
  <c r="BA77" i="46"/>
  <c r="BY77" i="46"/>
  <c r="AI63" i="46"/>
  <c r="CB66" i="46"/>
  <c r="BJ74" i="46"/>
  <c r="BA75" i="46"/>
  <c r="AF77" i="46"/>
  <c r="BD77" i="46"/>
  <c r="CB77" i="46"/>
  <c r="Z7" i="46"/>
  <c r="BS56" i="46"/>
  <c r="CE66" i="46"/>
  <c r="BJ77" i="46"/>
  <c r="CE77" i="46"/>
  <c r="BV56" i="46"/>
  <c r="CH77" i="46"/>
  <c r="BD75" i="46"/>
  <c r="BG75" i="46"/>
  <c r="BM74" i="46"/>
  <c r="AI77" i="46"/>
  <c r="BP74" i="46"/>
  <c r="AL77" i="46"/>
  <c r="AR44" i="46"/>
  <c r="AI65" i="46"/>
  <c r="BG77" i="46"/>
  <c r="Q46" i="46"/>
  <c r="P221" i="46"/>
  <c r="Q222" i="46"/>
  <c r="Q68" i="46"/>
  <c r="Q16" i="46"/>
  <c r="T65" i="46"/>
  <c r="Q29" i="46"/>
  <c r="Q220" i="46"/>
  <c r="Q14" i="46"/>
  <c r="Q233" i="46"/>
  <c r="Q8" i="46"/>
  <c r="P178" i="46"/>
  <c r="P174" i="46"/>
  <c r="Q173" i="46"/>
  <c r="Q169" i="46"/>
  <c r="T47" i="46"/>
  <c r="Q50" i="46"/>
  <c r="T75" i="46"/>
  <c r="Q70" i="46"/>
  <c r="Q71" i="46"/>
  <c r="Q23" i="46"/>
  <c r="M46" i="46"/>
  <c r="M71" i="46"/>
  <c r="M70" i="46"/>
  <c r="M23" i="46"/>
  <c r="Q22" i="46"/>
  <c r="M22" i="46"/>
  <c r="Q200" i="46"/>
  <c r="T53" i="46"/>
  <c r="T26" i="46"/>
  <c r="Q72" i="46"/>
  <c r="Q43" i="46"/>
  <c r="T17" i="46"/>
  <c r="Q64" i="46"/>
  <c r="T36" i="46"/>
  <c r="T13" i="46"/>
  <c r="Q34" i="46"/>
  <c r="T7" i="46"/>
  <c r="F5" i="48" a="1"/>
  <c r="F5" i="48" s="1"/>
  <c r="V267" i="46"/>
  <c r="T58" i="46"/>
  <c r="M39" i="46"/>
  <c r="M28" i="46"/>
  <c r="Q28" i="46"/>
  <c r="Q12" i="46"/>
  <c r="E205" i="46"/>
  <c r="Q205" i="46"/>
  <c r="M233" i="46"/>
  <c r="P233" i="46"/>
  <c r="M244" i="46"/>
  <c r="P244" i="46"/>
  <c r="E164" i="46"/>
  <c r="Q164" i="46"/>
  <c r="E176" i="46"/>
  <c r="Q172" i="46"/>
  <c r="E168" i="46"/>
  <c r="M35" i="46"/>
  <c r="Q35" i="46"/>
  <c r="M51" i="46"/>
  <c r="AL51" i="46" s="1"/>
  <c r="Q51" i="46"/>
  <c r="T63" i="46"/>
  <c r="Q11" i="46"/>
  <c r="M64" i="46"/>
  <c r="M25" i="46"/>
  <c r="M10" i="46"/>
  <c r="Q18" i="46"/>
  <c r="Q57" i="46"/>
  <c r="Q61" i="46"/>
  <c r="Q69" i="46"/>
  <c r="Q73" i="46"/>
  <c r="M73" i="46"/>
  <c r="M12" i="46"/>
  <c r="M24" i="46"/>
  <c r="Q171" i="46"/>
  <c r="M32" i="46"/>
  <c r="M40" i="46"/>
  <c r="T40" i="46" s="1"/>
  <c r="Q48" i="46"/>
  <c r="M27" i="46"/>
  <c r="M19" i="46"/>
  <c r="D65" i="46"/>
  <c r="M59" i="46"/>
  <c r="T59" i="46" s="1"/>
  <c r="M15" i="46"/>
  <c r="P170" i="46"/>
  <c r="M60" i="46"/>
  <c r="M68" i="46"/>
  <c r="T68" i="46" s="1"/>
  <c r="M200" i="46"/>
  <c r="M76" i="46"/>
  <c r="P200" i="46"/>
  <c r="Q221" i="46"/>
  <c r="M223" i="46"/>
  <c r="H153" i="46"/>
  <c r="H144" i="46"/>
  <c r="H145" i="46"/>
  <c r="H160" i="46"/>
  <c r="K189" i="46"/>
  <c r="K242" i="46"/>
  <c r="H154" i="46"/>
  <c r="Q20" i="6"/>
  <c r="H136" i="46"/>
  <c r="K188" i="46"/>
  <c r="K105" i="46"/>
  <c r="H146" i="46"/>
  <c r="K109" i="46"/>
  <c r="K214" i="46"/>
  <c r="K210" i="46"/>
  <c r="K216" i="46"/>
  <c r="K212" i="46"/>
  <c r="K211" i="46"/>
  <c r="K217" i="46"/>
  <c r="P175" i="46"/>
  <c r="P167" i="46"/>
  <c r="M179" i="46"/>
  <c r="M178" i="46"/>
  <c r="X146" i="3"/>
  <c r="X83" i="3"/>
  <c r="X142" i="3"/>
  <c r="X91" i="3"/>
  <c r="X130" i="3"/>
  <c r="X11" i="3"/>
  <c r="X27" i="3" s="1"/>
  <c r="X43" i="3" s="1"/>
  <c r="X19" i="3"/>
  <c r="X35" i="3" s="1"/>
  <c r="X100" i="3"/>
  <c r="X137" i="3"/>
  <c r="X67" i="3"/>
  <c r="X51" i="3"/>
  <c r="X119" i="3"/>
  <c r="X75" i="3"/>
  <c r="X59" i="3"/>
  <c r="AO61"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D15" i="51"/>
  <c r="K195" i="46"/>
  <c r="K192" i="46"/>
  <c r="K187" i="46"/>
  <c r="T52" i="46"/>
  <c r="T74" i="46"/>
  <c r="M18" i="46"/>
  <c r="T18" i="46" s="1"/>
  <c r="T57" i="46"/>
  <c r="T49" i="46"/>
  <c r="M42" i="46"/>
  <c r="T41" i="46"/>
  <c r="Q38" i="46"/>
  <c r="M34" i="46"/>
  <c r="Q32" i="46"/>
  <c r="Q31" i="46"/>
  <c r="Q25" i="46"/>
  <c r="Q24" i="46"/>
  <c r="T21" i="46"/>
  <c r="Q20" i="46"/>
  <c r="Q19" i="46"/>
  <c r="Q15" i="46"/>
  <c r="Q10" i="46"/>
  <c r="M9" i="46"/>
  <c r="T9" i="46" s="1"/>
  <c r="Q67" i="46"/>
  <c r="T62" i="46"/>
  <c r="T56" i="46"/>
  <c r="E167" i="46"/>
  <c r="T48" i="46"/>
  <c r="T45" i="46"/>
  <c r="M38" i="46"/>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5" i="46"/>
  <c r="K256" i="46"/>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9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AL55" i="46" s="1"/>
  <c r="M30" i="46"/>
  <c r="Q54" i="46"/>
  <c r="M167" i="46"/>
  <c r="M175" i="46"/>
  <c r="E175" i="46"/>
  <c r="M165" i="46"/>
  <c r="Q170" i="46"/>
  <c r="Q165" i="46"/>
  <c r="M164" i="46"/>
  <c r="M67" i="46"/>
  <c r="L27" i="6"/>
  <c r="M27" i="6"/>
  <c r="O237" i="36"/>
  <c r="J237" i="36" s="1"/>
  <c r="G237" i="36" s="1"/>
  <c r="D237" i="36" s="1"/>
  <c r="K27" i="6" s="1"/>
  <c r="Q42" i="46"/>
  <c r="T66" i="46"/>
  <c r="M6" i="46"/>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E7" i="48"/>
  <c r="F6" i="48" a="1"/>
  <c r="F6" i="48" s="1"/>
  <c r="W36" i="46" l="1"/>
  <c r="BA36" i="46"/>
  <c r="BY36" i="46"/>
  <c r="CN36" i="46"/>
  <c r="T31" i="46"/>
  <c r="BS33" i="46"/>
  <c r="AI33" i="46"/>
  <c r="BA33" i="46"/>
  <c r="AU33" i="46"/>
  <c r="CB33" i="46"/>
  <c r="AX33" i="46"/>
  <c r="W33" i="46"/>
  <c r="BY33" i="46"/>
  <c r="T33" i="46"/>
  <c r="BM33" i="46"/>
  <c r="K154" i="46"/>
  <c r="FA232" i="46"/>
  <c r="ER232" i="46"/>
  <c r="K131" i="46"/>
  <c r="EL232" i="46"/>
  <c r="K144" i="46"/>
  <c r="K142" i="46"/>
  <c r="AJ101" i="3"/>
  <c r="AJ13" i="3"/>
  <c r="BV254" i="46"/>
  <c r="AH154" i="3"/>
  <c r="AG154" i="3" s="1"/>
  <c r="EU232" i="46"/>
  <c r="FJ244" i="46"/>
  <c r="K140" i="46"/>
  <c r="AZ37" i="3"/>
  <c r="K157" i="46"/>
  <c r="EL244" i="46"/>
  <c r="K141" i="46"/>
  <c r="K156" i="46"/>
  <c r="K149" i="46"/>
  <c r="FG244" i="46"/>
  <c r="K130" i="46"/>
  <c r="AZ5" i="3"/>
  <c r="EO232" i="46"/>
  <c r="K148" i="46"/>
  <c r="AZ29" i="3"/>
  <c r="K155" i="46"/>
  <c r="FJ232" i="46"/>
  <c r="FD244" i="46"/>
  <c r="FG232" i="46"/>
  <c r="FA244" i="46"/>
  <c r="K134" i="46"/>
  <c r="K159" i="46"/>
  <c r="K161" i="46"/>
  <c r="K151" i="46"/>
  <c r="K145" i="46"/>
  <c r="K152" i="46"/>
  <c r="EO244" i="46"/>
  <c r="K147" i="46"/>
  <c r="EX232" i="46"/>
  <c r="K133" i="46"/>
  <c r="EU200" i="46"/>
  <c r="FD232" i="46"/>
  <c r="EU244" i="46"/>
  <c r="EX244" i="46"/>
  <c r="AZ93" i="3"/>
  <c r="ER244" i="46"/>
  <c r="K143" i="46"/>
  <c r="E4" i="47"/>
  <c r="J5" i="46"/>
  <c r="K228" i="46"/>
  <c r="AJ53" i="3"/>
  <c r="Z33" i="3"/>
  <c r="CN254" i="46"/>
  <c r="Z32" i="3"/>
  <c r="AJ85" i="3"/>
  <c r="AJ21" i="3"/>
  <c r="DI254" i="46"/>
  <c r="Z40" i="3"/>
  <c r="AJ77" i="3"/>
  <c r="FJ200" i="46"/>
  <c r="ES254" i="46"/>
  <c r="AJ37" i="3"/>
  <c r="CE254" i="46"/>
  <c r="AJ69" i="3"/>
  <c r="FG200" i="46"/>
  <c r="AI254" i="46"/>
  <c r="AJ61" i="3"/>
  <c r="CB254" i="46"/>
  <c r="AH155" i="3"/>
  <c r="AG155" i="3" s="1"/>
  <c r="AF254" i="46"/>
  <c r="BY254" i="46"/>
  <c r="EP254" i="46"/>
  <c r="AJ93" i="3"/>
  <c r="Z49" i="3"/>
  <c r="EM254" i="46"/>
  <c r="Z73" i="3"/>
  <c r="FK254" i="46"/>
  <c r="AJ45" i="3"/>
  <c r="Z16" i="3"/>
  <c r="EL200" i="46"/>
  <c r="CQ254" i="46"/>
  <c r="Z17" i="3"/>
  <c r="DL254" i="46"/>
  <c r="K227" i="46"/>
  <c r="Z72" i="3"/>
  <c r="Z97" i="3"/>
  <c r="Z80" i="3"/>
  <c r="Z96" i="3"/>
  <c r="Z81" i="3"/>
  <c r="Z24" i="3"/>
  <c r="H236" i="46"/>
  <c r="Z88" i="3"/>
  <c r="Z56" i="3"/>
  <c r="Z9" i="3"/>
  <c r="Z48" i="3"/>
  <c r="Z57" i="3"/>
  <c r="Z41" i="3"/>
  <c r="Z64" i="3"/>
  <c r="I4" i="47"/>
  <c r="Z25" i="3"/>
  <c r="Z65" i="3"/>
  <c r="EA254" i="46"/>
  <c r="AA160" i="3"/>
  <c r="M258" i="46" s="1"/>
  <c r="BP258" i="46" s="1"/>
  <c r="K132" i="46"/>
  <c r="K238" i="46"/>
  <c r="Y142" i="3"/>
  <c r="Y51" i="3"/>
  <c r="H4" i="47"/>
  <c r="Y91" i="3"/>
  <c r="Y11" i="3"/>
  <c r="Y27" i="3" s="1"/>
  <c r="Y43" i="3" s="1"/>
  <c r="K136" i="46"/>
  <c r="Y67" i="3"/>
  <c r="DX254" i="46"/>
  <c r="BS254" i="46"/>
  <c r="AD100" i="3"/>
  <c r="AD43" i="3"/>
  <c r="BP254" i="46"/>
  <c r="AD75" i="3"/>
  <c r="FB254" i="46"/>
  <c r="AR254" i="46"/>
  <c r="DF254" i="46"/>
  <c r="EG254" i="46"/>
  <c r="EV254" i="46"/>
  <c r="DR254" i="46"/>
  <c r="CK254" i="46"/>
  <c r="Y100" i="3"/>
  <c r="CZ254" i="46"/>
  <c r="CT254" i="46"/>
  <c r="AO254" i="46"/>
  <c r="Y146" i="3"/>
  <c r="CW254" i="46"/>
  <c r="AX254" i="46"/>
  <c r="Y75" i="3"/>
  <c r="AM93" i="3"/>
  <c r="AM37" i="3"/>
  <c r="H240" i="46"/>
  <c r="AA142" i="3"/>
  <c r="AM13" i="3"/>
  <c r="DL253" i="46"/>
  <c r="AD51" i="3"/>
  <c r="AA51" i="3"/>
  <c r="DT51" i="3" s="1"/>
  <c r="EX200" i="46"/>
  <c r="CK253" i="46"/>
  <c r="BD254" i="46"/>
  <c r="AC254" i="46"/>
  <c r="DO254" i="46"/>
  <c r="BM254" i="46"/>
  <c r="AD142" i="3"/>
  <c r="AA130" i="3"/>
  <c r="AI253" i="46"/>
  <c r="AF253" i="46"/>
  <c r="FD200" i="46"/>
  <c r="DC253" i="46"/>
  <c r="BA254" i="46"/>
  <c r="BJ254" i="46"/>
  <c r="AU254" i="46"/>
  <c r="H237" i="46"/>
  <c r="ER200" i="46"/>
  <c r="AU253" i="46"/>
  <c r="ED254" i="46"/>
  <c r="EY254" i="46"/>
  <c r="W254" i="46"/>
  <c r="T253" i="46"/>
  <c r="AM61" i="3"/>
  <c r="AD27" i="3"/>
  <c r="BJ253" i="46"/>
  <c r="CH254" i="46"/>
  <c r="DC254" i="46"/>
  <c r="FH254" i="46"/>
  <c r="Q24" i="6"/>
  <c r="AD59" i="3"/>
  <c r="EO200" i="46"/>
  <c r="AL254" i="46"/>
  <c r="BG254" i="46"/>
  <c r="EJ254" i="46"/>
  <c r="ED253" i="46"/>
  <c r="EG30" i="46"/>
  <c r="Y59" i="3"/>
  <c r="K229" i="46"/>
  <c r="DF7" i="46"/>
  <c r="DL30" i="46"/>
  <c r="DI30" i="46"/>
  <c r="AF142" i="3"/>
  <c r="H232" i="46"/>
  <c r="AF100" i="3"/>
  <c r="AF91" i="3"/>
  <c r="DT91" i="3" s="1"/>
  <c r="FG30" i="46"/>
  <c r="FH30" i="46" s="1"/>
  <c r="CW30" i="46"/>
  <c r="DR30" i="46"/>
  <c r="Y119" i="3"/>
  <c r="H229" i="46"/>
  <c r="AF19" i="3"/>
  <c r="AF35" i="3" s="1"/>
  <c r="EJ66" i="46"/>
  <c r="EG45" i="46"/>
  <c r="BM253" i="46"/>
  <c r="DU254" i="46"/>
  <c r="Z254" i="46"/>
  <c r="FE254" i="46"/>
  <c r="Y137" i="3"/>
  <c r="H233" i="46"/>
  <c r="FJ30" i="46"/>
  <c r="FK30" i="46" s="1"/>
  <c r="Y19" i="3"/>
  <c r="Y35" i="3" s="1"/>
  <c r="AC253" i="46"/>
  <c r="Y130" i="3"/>
  <c r="H241" i="46"/>
  <c r="G4" i="47"/>
  <c r="L4" i="47"/>
  <c r="CT65" i="46"/>
  <c r="CW21" i="46"/>
  <c r="FG253" i="46"/>
  <c r="FH253" i="46" s="1"/>
  <c r="CT49" i="46"/>
  <c r="C7" i="46"/>
  <c r="ED63" i="46"/>
  <c r="K4" i="47"/>
  <c r="ES66" i="46"/>
  <c r="DF17" i="46"/>
  <c r="EM7" i="46"/>
  <c r="ES74" i="46"/>
  <c r="AZ21" i="3"/>
  <c r="FB49" i="46"/>
  <c r="DI47" i="46"/>
  <c r="FE7" i="46"/>
  <c r="FB52" i="46"/>
  <c r="DF41" i="46"/>
  <c r="FB66" i="46"/>
  <c r="ED45" i="46"/>
  <c r="CT17" i="46"/>
  <c r="AA158" i="3"/>
  <c r="M256" i="46" s="1"/>
  <c r="CN256" i="46" s="1"/>
  <c r="ES65" i="46"/>
  <c r="FA253" i="46"/>
  <c r="FB253" i="46" s="1"/>
  <c r="DX6" i="46"/>
  <c r="K241" i="46"/>
  <c r="EV74" i="46"/>
  <c r="ED65" i="46"/>
  <c r="CT45" i="46"/>
  <c r="EJ17" i="46"/>
  <c r="CW253" i="46"/>
  <c r="EO6" i="46"/>
  <c r="EP6" i="46" s="1"/>
  <c r="Z11" i="3"/>
  <c r="Z27" i="3" s="1"/>
  <c r="Z43" i="3" s="1"/>
  <c r="CT74" i="46"/>
  <c r="FE66" i="46"/>
  <c r="EY49" i="46"/>
  <c r="AO253" i="46"/>
  <c r="AZ45" i="3"/>
  <c r="EA47" i="46"/>
  <c r="Z59" i="3"/>
  <c r="DI66" i="46"/>
  <c r="EM41" i="46"/>
  <c r="CT7" i="46"/>
  <c r="AF130" i="3"/>
  <c r="ED21" i="46"/>
  <c r="CW7" i="46"/>
  <c r="CT253" i="46"/>
  <c r="AZ85" i="3"/>
  <c r="EA74" i="46"/>
  <c r="DU26" i="46"/>
  <c r="DO26" i="46"/>
  <c r="DI26" i="46"/>
  <c r="ES21" i="46"/>
  <c r="FB17" i="46"/>
  <c r="DF13" i="46"/>
  <c r="DX13" i="46"/>
  <c r="ES7" i="46"/>
  <c r="DC6" i="46"/>
  <c r="DF36" i="46"/>
  <c r="AD83" i="3"/>
  <c r="Z51" i="3"/>
  <c r="AD91" i="3"/>
  <c r="AA11" i="3"/>
  <c r="AA27" i="3" s="1"/>
  <c r="AA43" i="3" s="1"/>
  <c r="AM45" i="3"/>
  <c r="EP74" i="46"/>
  <c r="EY74" i="46"/>
  <c r="FE65" i="46"/>
  <c r="DL66" i="46"/>
  <c r="EG66" i="46"/>
  <c r="CZ52" i="46"/>
  <c r="DF63" i="46"/>
  <c r="EM45" i="46"/>
  <c r="DL45" i="46"/>
  <c r="DC45" i="46"/>
  <c r="EA26" i="46"/>
  <c r="EY47" i="46"/>
  <c r="EP41" i="46"/>
  <c r="FE45" i="46"/>
  <c r="EV26" i="46"/>
  <c r="CW26" i="46"/>
  <c r="EM21" i="46"/>
  <c r="FB21" i="46"/>
  <c r="EV17" i="46"/>
  <c r="DU21" i="46"/>
  <c r="FH17" i="46"/>
  <c r="ED17" i="46"/>
  <c r="DC13" i="46"/>
  <c r="CZ13" i="46"/>
  <c r="EV7" i="46"/>
  <c r="FH7" i="46"/>
  <c r="DU7" i="46"/>
  <c r="BG253" i="46"/>
  <c r="BS253" i="46"/>
  <c r="CN253" i="46"/>
  <c r="FG6" i="46"/>
  <c r="FH6" i="46" s="1"/>
  <c r="EU6" i="46"/>
  <c r="EV6" i="46" s="1"/>
  <c r="K237" i="46"/>
  <c r="K128" i="46"/>
  <c r="Z91" i="3"/>
  <c r="DX74" i="46"/>
  <c r="EA52" i="46"/>
  <c r="DC47" i="46"/>
  <c r="EG7" i="46"/>
  <c r="EY41" i="46"/>
  <c r="EJ21" i="46"/>
  <c r="DI7" i="46"/>
  <c r="EG253" i="46"/>
  <c r="EO253" i="46"/>
  <c r="EP253" i="46" s="1"/>
  <c r="EJ6" i="46"/>
  <c r="ER6" i="46"/>
  <c r="ES6" i="46" s="1"/>
  <c r="EY37" i="46"/>
  <c r="AD35" i="3"/>
  <c r="Z19" i="3"/>
  <c r="Z35" i="3" s="1"/>
  <c r="AA119" i="3"/>
  <c r="AM77" i="3"/>
  <c r="DC60" i="46"/>
  <c r="FB74" i="46"/>
  <c r="FK65" i="46"/>
  <c r="EA66" i="46"/>
  <c r="EM74" i="46"/>
  <c r="EP66" i="46"/>
  <c r="FB65" i="46"/>
  <c r="DR63" i="46"/>
  <c r="EJ63" i="46"/>
  <c r="CW47" i="46"/>
  <c r="EP52" i="46"/>
  <c r="DO45" i="46"/>
  <c r="FE52" i="46"/>
  <c r="FH47" i="46"/>
  <c r="DU41" i="46"/>
  <c r="DX45" i="46"/>
  <c r="FE41" i="46"/>
  <c r="DX26" i="46"/>
  <c r="EP26" i="46"/>
  <c r="FH26" i="46"/>
  <c r="DR17" i="46"/>
  <c r="EV21" i="46"/>
  <c r="EG13" i="46"/>
  <c r="ES13" i="46"/>
  <c r="DO13" i="46"/>
  <c r="DX7" i="46"/>
  <c r="DF253" i="46"/>
  <c r="DO253" i="46"/>
  <c r="DR6" i="46"/>
  <c r="DU6" i="46"/>
  <c r="EA33" i="46"/>
  <c r="DL58" i="46"/>
  <c r="DC65" i="46"/>
  <c r="EV52" i="46"/>
  <c r="CZ41" i="46"/>
  <c r="DL17" i="46"/>
  <c r="ES47" i="46"/>
  <c r="AD11" i="3"/>
  <c r="AR93" i="3"/>
  <c r="AA59" i="3"/>
  <c r="AM69" i="3"/>
  <c r="FE74" i="46"/>
  <c r="DF74" i="46"/>
  <c r="DO74" i="46"/>
  <c r="DR66" i="46"/>
  <c r="EA63" i="46"/>
  <c r="EA65" i="46"/>
  <c r="EY65" i="46"/>
  <c r="CT63" i="46"/>
  <c r="DL63" i="46"/>
  <c r="FK45" i="46"/>
  <c r="DR52" i="46"/>
  <c r="EG52" i="46"/>
  <c r="EJ47" i="46"/>
  <c r="CW45" i="46"/>
  <c r="FB47" i="46"/>
  <c r="ES41" i="46"/>
  <c r="EG41" i="46"/>
  <c r="DR26" i="46"/>
  <c r="EJ26" i="46"/>
  <c r="DL21" i="46"/>
  <c r="DU17" i="46"/>
  <c r="DX21" i="46"/>
  <c r="EP17" i="46"/>
  <c r="EY17" i="46"/>
  <c r="DU13" i="46"/>
  <c r="EL253" i="46"/>
  <c r="EM253" i="46" s="1"/>
  <c r="CE253" i="46"/>
  <c r="CZ253" i="46"/>
  <c r="FD6" i="46"/>
  <c r="FE6" i="46" s="1"/>
  <c r="CW6" i="46"/>
  <c r="ED26" i="46"/>
  <c r="CZ74" i="46"/>
  <c r="AR21" i="3"/>
  <c r="AA67" i="3"/>
  <c r="AM29" i="3"/>
  <c r="FH74" i="46"/>
  <c r="EV66" i="46"/>
  <c r="EM65" i="46"/>
  <c r="DX66" i="46"/>
  <c r="CT66" i="46"/>
  <c r="CZ65" i="46"/>
  <c r="DX65" i="46"/>
  <c r="DR47" i="46"/>
  <c r="DX52" i="46"/>
  <c r="CT52" i="46"/>
  <c r="EJ45" i="46"/>
  <c r="DI52" i="46"/>
  <c r="FK47" i="46"/>
  <c r="FB41" i="46"/>
  <c r="DL47" i="46"/>
  <c r="ED47" i="46"/>
  <c r="DO41" i="46"/>
  <c r="ES45" i="46"/>
  <c r="DI41" i="46"/>
  <c r="DF26" i="46"/>
  <c r="CT26" i="46"/>
  <c r="DL26" i="46"/>
  <c r="FE21" i="46"/>
  <c r="CW17" i="46"/>
  <c r="CZ21" i="46"/>
  <c r="EA17" i="46"/>
  <c r="ED13" i="46"/>
  <c r="CW13" i="46"/>
  <c r="ED7" i="46"/>
  <c r="EX253" i="46"/>
  <c r="EY253" i="46" s="1"/>
  <c r="EG6" i="46"/>
  <c r="AC3" i="3"/>
  <c r="AC75" i="3" s="1"/>
  <c r="ES63" i="46"/>
  <c r="ED52" i="46"/>
  <c r="DX17" i="46"/>
  <c r="CZ6" i="46"/>
  <c r="DF66" i="46"/>
  <c r="FK7" i="46"/>
  <c r="AD119" i="3"/>
  <c r="AR77" i="3"/>
  <c r="AA137" i="3"/>
  <c r="AM101" i="3"/>
  <c r="DI74" i="46"/>
  <c r="DU66" i="46"/>
  <c r="DC66" i="46"/>
  <c r="EA41" i="46"/>
  <c r="CW65" i="46"/>
  <c r="EV65" i="46"/>
  <c r="ES52" i="46"/>
  <c r="FE63" i="46"/>
  <c r="FH52" i="46"/>
  <c r="EM47" i="46"/>
  <c r="DX41" i="46"/>
  <c r="DF47" i="46"/>
  <c r="DR45" i="46"/>
  <c r="EG21" i="46"/>
  <c r="FK17" i="46"/>
  <c r="FE17" i="46"/>
  <c r="DC17" i="46"/>
  <c r="FB7" i="46"/>
  <c r="EY7" i="46"/>
  <c r="EJ253" i="46"/>
  <c r="ER253" i="46"/>
  <c r="ES253" i="46" s="1"/>
  <c r="BA253" i="46"/>
  <c r="DI6" i="46"/>
  <c r="AZ69" i="3"/>
  <c r="EY13" i="46"/>
  <c r="AA75" i="3"/>
  <c r="AA146" i="3"/>
  <c r="BE5" i="3"/>
  <c r="BE57" i="3" s="1"/>
  <c r="DL74" i="46"/>
  <c r="EG74" i="46"/>
  <c r="EJ65" i="46"/>
  <c r="FK66" i="46"/>
  <c r="DU65" i="46"/>
  <c r="FK63" i="46"/>
  <c r="EG63" i="46"/>
  <c r="EA49" i="46"/>
  <c r="CW41" i="46"/>
  <c r="EJ52" i="46"/>
  <c r="DU47" i="46"/>
  <c r="DO47" i="46"/>
  <c r="CT41" i="46"/>
  <c r="FK21" i="46"/>
  <c r="DI21" i="46"/>
  <c r="EY21" i="46"/>
  <c r="EM17" i="46"/>
  <c r="EG17" i="46"/>
  <c r="EA13" i="46"/>
  <c r="FH13" i="46"/>
  <c r="DR7" i="46"/>
  <c r="DO7" i="46"/>
  <c r="EA7" i="46"/>
  <c r="DI253" i="46"/>
  <c r="DR253" i="46"/>
  <c r="Z253" i="46"/>
  <c r="FA6" i="46"/>
  <c r="FB6" i="46" s="1"/>
  <c r="AH159" i="3"/>
  <c r="AG159" i="3" s="1"/>
  <c r="EV53" i="46"/>
  <c r="AM21" i="3"/>
  <c r="DU74" i="46"/>
  <c r="DI45" i="46"/>
  <c r="ED74" i="46"/>
  <c r="EP63" i="46"/>
  <c r="FK41" i="46"/>
  <c r="AA83" i="3"/>
  <c r="AM85" i="3"/>
  <c r="CZ66" i="46"/>
  <c r="DO65" i="46"/>
  <c r="DL65" i="46"/>
  <c r="EY66" i="46"/>
  <c r="EM66" i="46"/>
  <c r="EY52" i="46"/>
  <c r="DX63" i="46"/>
  <c r="EM63" i="46"/>
  <c r="CZ47" i="46"/>
  <c r="DI63" i="46"/>
  <c r="DU52" i="46"/>
  <c r="FK52" i="46"/>
  <c r="DL52" i="46"/>
  <c r="FH41" i="46"/>
  <c r="FB26" i="46"/>
  <c r="DC26" i="46"/>
  <c r="CT21" i="46"/>
  <c r="EA21" i="46"/>
  <c r="DO17" i="46"/>
  <c r="DI17" i="46"/>
  <c r="EJ13" i="46"/>
  <c r="DC7" i="46"/>
  <c r="CH253" i="46"/>
  <c r="CB253" i="46"/>
  <c r="AL253" i="46"/>
  <c r="ED6" i="46"/>
  <c r="CW52" i="46"/>
  <c r="CW74" i="46"/>
  <c r="AA19" i="3"/>
  <c r="AA35" i="3" s="1"/>
  <c r="AD19" i="3"/>
  <c r="DR75" i="46"/>
  <c r="EY63" i="46"/>
  <c r="CW66" i="46"/>
  <c r="FH65" i="46"/>
  <c r="DO66" i="46"/>
  <c r="DU63" i="46"/>
  <c r="DO63" i="46"/>
  <c r="EP45" i="46"/>
  <c r="EM52" i="46"/>
  <c r="EV49" i="46"/>
  <c r="DF45" i="46"/>
  <c r="FB45" i="46"/>
  <c r="EV41" i="46"/>
  <c r="FE49" i="46"/>
  <c r="EJ41" i="46"/>
  <c r="FH21" i="46"/>
  <c r="DO21" i="46"/>
  <c r="DC21" i="46"/>
  <c r="ES17" i="46"/>
  <c r="DI13" i="46"/>
  <c r="EP13" i="46"/>
  <c r="DL13" i="46"/>
  <c r="DL7" i="46"/>
  <c r="EA253" i="46"/>
  <c r="FJ253" i="46"/>
  <c r="FK253" i="46" s="1"/>
  <c r="DO6" i="46"/>
  <c r="DF6" i="46"/>
  <c r="T1" i="6"/>
  <c r="ED66" i="46"/>
  <c r="EJ7" i="46"/>
  <c r="Z67" i="3"/>
  <c r="DL72" i="46"/>
  <c r="FK74" i="46"/>
  <c r="DF52" i="46"/>
  <c r="Z83" i="3"/>
  <c r="AA100" i="3"/>
  <c r="AD130" i="3"/>
  <c r="CW63" i="46"/>
  <c r="EJ74" i="46"/>
  <c r="DI65" i="46"/>
  <c r="EV63" i="46"/>
  <c r="CZ63" i="46"/>
  <c r="EG65" i="46"/>
  <c r="DC41" i="46"/>
  <c r="EP65" i="46"/>
  <c r="EV47" i="46"/>
  <c r="DO52" i="46"/>
  <c r="FE58" i="46"/>
  <c r="EA45" i="46"/>
  <c r="FE47" i="46"/>
  <c r="DR41" i="46"/>
  <c r="EV45" i="46"/>
  <c r="DL41" i="46"/>
  <c r="FK26" i="46"/>
  <c r="FE26" i="46"/>
  <c r="FE13" i="46"/>
  <c r="DR13" i="46"/>
  <c r="EP7" i="46"/>
  <c r="DX253" i="46"/>
  <c r="EU253" i="46"/>
  <c r="EV253" i="46" s="1"/>
  <c r="FD253" i="46"/>
  <c r="FE253" i="46" s="1"/>
  <c r="DL6" i="46"/>
  <c r="EX6" i="46"/>
  <c r="EY6" i="46" s="1"/>
  <c r="DF77" i="46"/>
  <c r="J4" i="47"/>
  <c r="AZ53" i="3"/>
  <c r="AZ77" i="3"/>
  <c r="K139" i="46"/>
  <c r="DC74" i="46"/>
  <c r="EP47" i="46"/>
  <c r="EY26" i="46"/>
  <c r="DF21" i="46"/>
  <c r="FK13" i="46"/>
  <c r="EL6" i="46"/>
  <c r="EM6" i="46" s="1"/>
  <c r="ED41" i="46"/>
  <c r="FH63" i="46"/>
  <c r="EY45" i="46"/>
  <c r="DR21" i="46"/>
  <c r="EM13" i="46"/>
  <c r="CW56" i="46"/>
  <c r="DR74" i="46"/>
  <c r="DF65" i="46"/>
  <c r="FH66" i="46"/>
  <c r="DC52" i="46"/>
  <c r="DC63" i="46"/>
  <c r="DR65" i="46"/>
  <c r="FB63" i="46"/>
  <c r="CT47" i="46"/>
  <c r="DX47" i="46"/>
  <c r="FH45" i="46"/>
  <c r="CZ45" i="46"/>
  <c r="EG47" i="46"/>
  <c r="DU45" i="46"/>
  <c r="CZ26" i="46"/>
  <c r="ES26" i="46"/>
  <c r="EM26" i="46"/>
  <c r="EG26" i="46"/>
  <c r="EP21" i="46"/>
  <c r="CZ17" i="46"/>
  <c r="FB13" i="46"/>
  <c r="EV13" i="46"/>
  <c r="CT13" i="46"/>
  <c r="CZ7" i="46"/>
  <c r="BV253" i="46"/>
  <c r="DU253" i="46"/>
  <c r="FJ6" i="46"/>
  <c r="FK6" i="46" s="1"/>
  <c r="C64" i="46"/>
  <c r="AZ13" i="3"/>
  <c r="K12" i="30"/>
  <c r="AR29" i="3"/>
  <c r="AO77" i="3"/>
  <c r="M4" i="47"/>
  <c r="DF30" i="46"/>
  <c r="EL30" i="46"/>
  <c r="EM30" i="46" s="1"/>
  <c r="H1" i="50"/>
  <c r="EX30" i="46"/>
  <c r="EY30" i="46" s="1"/>
  <c r="DO30" i="46"/>
  <c r="Q23" i="6"/>
  <c r="H220" i="46"/>
  <c r="L13" i="34"/>
  <c r="AR85" i="3"/>
  <c r="EA30" i="46"/>
  <c r="AO21" i="3"/>
  <c r="DC30" i="46"/>
  <c r="H228" i="46"/>
  <c r="H226" i="46"/>
  <c r="AR69" i="3"/>
  <c r="AF119" i="3"/>
  <c r="K3" i="45"/>
  <c r="K11" i="45" s="1"/>
  <c r="K19" i="45" s="1"/>
  <c r="K27" i="45" s="1"/>
  <c r="K35" i="45" s="1"/>
  <c r="K43" i="45" s="1"/>
  <c r="W3" i="45" s="1"/>
  <c r="W11" i="45" s="1"/>
  <c r="W19" i="45" s="1"/>
  <c r="W27" i="45" s="1"/>
  <c r="W35" i="45" s="1"/>
  <c r="W43" i="45" s="1"/>
  <c r="AF11" i="3"/>
  <c r="AF27" i="3" s="1"/>
  <c r="AR45" i="3"/>
  <c r="BG5" i="3"/>
  <c r="BG57" i="3" s="1"/>
  <c r="EU30" i="46"/>
  <c r="EV30" i="46" s="1"/>
  <c r="AF146" i="3"/>
  <c r="AR13" i="3"/>
  <c r="AO93" i="3"/>
  <c r="DX30" i="46"/>
  <c r="AF75" i="3"/>
  <c r="H222" i="46"/>
  <c r="AO45" i="3"/>
  <c r="BJ5" i="3"/>
  <c r="BJ57" i="3" s="1"/>
  <c r="AO37" i="3"/>
  <c r="FD30" i="46"/>
  <c r="FE30" i="46" s="1"/>
  <c r="CZ30" i="46"/>
  <c r="AO101" i="3"/>
  <c r="AF83" i="3"/>
  <c r="AR101" i="3"/>
  <c r="AO85" i="3"/>
  <c r="FA30" i="46"/>
  <c r="FB30" i="46" s="1"/>
  <c r="ER30" i="46"/>
  <c r="ES30" i="46" s="1"/>
  <c r="H221" i="46"/>
  <c r="H223" i="46"/>
  <c r="AF59" i="3"/>
  <c r="AR37" i="3"/>
  <c r="AO53" i="3"/>
  <c r="AF67" i="3"/>
  <c r="EJ30" i="46"/>
  <c r="DU30" i="46"/>
  <c r="AF137" i="3"/>
  <c r="K135" i="46"/>
  <c r="K160" i="46"/>
  <c r="K138" i="46"/>
  <c r="K158" i="46"/>
  <c r="K137" i="46"/>
  <c r="K150" i="46"/>
  <c r="AO13" i="3"/>
  <c r="K234" i="46"/>
  <c r="AR53" i="3"/>
  <c r="AO69" i="3"/>
  <c r="W253" i="46"/>
  <c r="ED30" i="46"/>
  <c r="H227" i="46"/>
  <c r="ES62" i="46"/>
  <c r="CQ33" i="46"/>
  <c r="EV62" i="46"/>
  <c r="FK62" i="46"/>
  <c r="FK36" i="46"/>
  <c r="FE62" i="46"/>
  <c r="H36" i="34"/>
  <c r="EM62" i="46"/>
  <c r="DU36" i="46"/>
  <c r="EM36" i="46"/>
  <c r="DL62" i="46"/>
  <c r="DU62" i="46"/>
  <c r="CW62" i="46"/>
  <c r="CZ49" i="46"/>
  <c r="CW36" i="46"/>
  <c r="EG49" i="46"/>
  <c r="EG36" i="46"/>
  <c r="EA36" i="46"/>
  <c r="DF49" i="46"/>
  <c r="FB62" i="46"/>
  <c r="EP62" i="46"/>
  <c r="EV36" i="46"/>
  <c r="ES36" i="46"/>
  <c r="FH49" i="46"/>
  <c r="DI49" i="46"/>
  <c r="DI36" i="46"/>
  <c r="DC36" i="46"/>
  <c r="EY62" i="46"/>
  <c r="DR62" i="46"/>
  <c r="CZ36" i="46"/>
  <c r="EJ49" i="46"/>
  <c r="DO62" i="46"/>
  <c r="DI62" i="46"/>
  <c r="CQ62" i="46"/>
  <c r="CT36" i="46"/>
  <c r="EJ62" i="46"/>
  <c r="EA62" i="46"/>
  <c r="CT62" i="46"/>
  <c r="ES49" i="46"/>
  <c r="FK49" i="46"/>
  <c r="DL49" i="46"/>
  <c r="FE36" i="46"/>
  <c r="DC62" i="46"/>
  <c r="DU49" i="46"/>
  <c r="EM49" i="46"/>
  <c r="DX36" i="46"/>
  <c r="DX62" i="46"/>
  <c r="FH62" i="46"/>
  <c r="CW49" i="46"/>
  <c r="EP49" i="46"/>
  <c r="DO49" i="46"/>
  <c r="EP36" i="46"/>
  <c r="DF62" i="46"/>
  <c r="EG62" i="46"/>
  <c r="DX49" i="46"/>
  <c r="DC49" i="46"/>
  <c r="ED49" i="46"/>
  <c r="DR49" i="46"/>
  <c r="CQ49" i="46"/>
  <c r="DR36" i="46"/>
  <c r="FH36" i="46"/>
  <c r="FB36" i="46"/>
  <c r="CZ62" i="46"/>
  <c r="DO36" i="46"/>
  <c r="AJ84" i="3"/>
  <c r="CQ36" i="46"/>
  <c r="ED62" i="46"/>
  <c r="EJ36" i="46"/>
  <c r="ED36" i="46"/>
  <c r="AJ68" i="3"/>
  <c r="EY36" i="46"/>
  <c r="DL36" i="46"/>
  <c r="FB75" i="46"/>
  <c r="EG58" i="46"/>
  <c r="DX75" i="46"/>
  <c r="DF75" i="46"/>
  <c r="DR58" i="46"/>
  <c r="EM58" i="46"/>
  <c r="DF58" i="46"/>
  <c r="EA58" i="46"/>
  <c r="EJ58" i="46"/>
  <c r="DC77" i="46"/>
  <c r="CQ58" i="46"/>
  <c r="CW58" i="46"/>
  <c r="DC58" i="46"/>
  <c r="DU58" i="46"/>
  <c r="DI58" i="46"/>
  <c r="EA75" i="46"/>
  <c r="FK75" i="46"/>
  <c r="EY58" i="46"/>
  <c r="EG75" i="46"/>
  <c r="EM75" i="46"/>
  <c r="DX58" i="46"/>
  <c r="FB58" i="46"/>
  <c r="EV75" i="46"/>
  <c r="DO75" i="46"/>
  <c r="EP58" i="46"/>
  <c r="CZ75" i="46"/>
  <c r="ES75" i="46"/>
  <c r="CQ75" i="46"/>
  <c r="CZ58" i="46"/>
  <c r="CW75" i="46"/>
  <c r="CN58" i="46"/>
  <c r="FK58" i="46"/>
  <c r="FE75" i="46"/>
  <c r="FH75" i="46"/>
  <c r="DX53" i="46"/>
  <c r="DI75" i="46"/>
  <c r="EJ75" i="46"/>
  <c r="FB44" i="46"/>
  <c r="CT75" i="46"/>
  <c r="ED75" i="46"/>
  <c r="FH58" i="46"/>
  <c r="DC75" i="46"/>
  <c r="EY75" i="46"/>
  <c r="DL75" i="46"/>
  <c r="CT58" i="46"/>
  <c r="EV58" i="46"/>
  <c r="ES58" i="46"/>
  <c r="ED58" i="46"/>
  <c r="DU75" i="46"/>
  <c r="EP75" i="46"/>
  <c r="DO58" i="46"/>
  <c r="DI67" i="46"/>
  <c r="BP253" i="46"/>
  <c r="AX253" i="46"/>
  <c r="DR53" i="46"/>
  <c r="DX77" i="46"/>
  <c r="ES77" i="46"/>
  <c r="FB53" i="46"/>
  <c r="EY44" i="46"/>
  <c r="ES53" i="46"/>
  <c r="EV44" i="46"/>
  <c r="EV77" i="46"/>
  <c r="ED77" i="46"/>
  <c r="CZ77" i="46"/>
  <c r="DU77" i="46"/>
  <c r="DX44" i="46"/>
  <c r="ED53" i="46"/>
  <c r="DU53" i="46"/>
  <c r="DU44" i="46"/>
  <c r="CZ53" i="46"/>
  <c r="CW77" i="46"/>
  <c r="EP77" i="46"/>
  <c r="EM53" i="46"/>
  <c r="DF53" i="46"/>
  <c r="CW53" i="46"/>
  <c r="CQ44" i="46"/>
  <c r="DR77" i="46"/>
  <c r="FE53" i="46"/>
  <c r="FB77" i="46"/>
  <c r="CT77" i="46"/>
  <c r="FK77" i="46"/>
  <c r="FH77" i="46"/>
  <c r="DC44" i="46"/>
  <c r="EG53" i="46"/>
  <c r="ED44" i="46"/>
  <c r="ES44" i="46"/>
  <c r="EP53" i="46"/>
  <c r="EA77" i="46"/>
  <c r="EM77" i="46"/>
  <c r="EJ77" i="46"/>
  <c r="FE77" i="46"/>
  <c r="EA44" i="46"/>
  <c r="DI53" i="46"/>
  <c r="DO44" i="46"/>
  <c r="EM44" i="46"/>
  <c r="DO77" i="46"/>
  <c r="DL77" i="46"/>
  <c r="EG77" i="46"/>
  <c r="FH53" i="46"/>
  <c r="CK53" i="46"/>
  <c r="FE44" i="46"/>
  <c r="EY53" i="46"/>
  <c r="CN44" i="46"/>
  <c r="DL44" i="46"/>
  <c r="FK44" i="46"/>
  <c r="DL53" i="46"/>
  <c r="CQ77" i="46"/>
  <c r="CN77" i="46"/>
  <c r="DI77" i="46"/>
  <c r="EJ53" i="46"/>
  <c r="CQ53" i="46"/>
  <c r="CW44" i="46"/>
  <c r="EA53" i="46"/>
  <c r="CK44" i="46"/>
  <c r="EJ44" i="46"/>
  <c r="FH44" i="46"/>
  <c r="EP44" i="46"/>
  <c r="AL85" i="3"/>
  <c r="AY85" i="3" s="1"/>
  <c r="AL13" i="3"/>
  <c r="AY13" i="3" s="1"/>
  <c r="CK77" i="46"/>
  <c r="CN53" i="46"/>
  <c r="CZ44" i="46"/>
  <c r="DC53" i="46"/>
  <c r="DI44" i="46"/>
  <c r="EG44" i="46"/>
  <c r="DR44" i="46"/>
  <c r="AL37" i="3"/>
  <c r="AY37" i="3" s="1"/>
  <c r="AL53" i="3"/>
  <c r="AY53" i="3" s="1"/>
  <c r="AL93" i="3"/>
  <c r="AY93" i="3" s="1"/>
  <c r="EY77" i="46"/>
  <c r="FK53" i="46"/>
  <c r="DF44" i="46"/>
  <c r="CT44" i="46"/>
  <c r="DO53" i="46"/>
  <c r="CT53" i="46"/>
  <c r="DC33" i="46"/>
  <c r="DF255" i="46"/>
  <c r="AJ76" i="3"/>
  <c r="BD255" i="46"/>
  <c r="AJ4" i="3"/>
  <c r="AJ12" i="3"/>
  <c r="AJ36" i="3"/>
  <c r="AJ28" i="3"/>
  <c r="AJ44" i="3"/>
  <c r="FE56" i="46"/>
  <c r="DI33" i="46"/>
  <c r="FH255" i="46"/>
  <c r="EA37" i="46"/>
  <c r="CK33" i="46"/>
  <c r="AJ52" i="3"/>
  <c r="AJ20" i="3"/>
  <c r="AJ92" i="3"/>
  <c r="ED37" i="46"/>
  <c r="EM56" i="46"/>
  <c r="CT56" i="46"/>
  <c r="CQ56" i="46"/>
  <c r="EP56" i="46"/>
  <c r="DI56" i="46"/>
  <c r="ED56" i="46"/>
  <c r="CZ37" i="46"/>
  <c r="CH37" i="46"/>
  <c r="EM255" i="46"/>
  <c r="BJ255" i="46"/>
  <c r="ES255" i="46"/>
  <c r="EG56" i="46"/>
  <c r="BP255" i="46"/>
  <c r="CN56" i="46"/>
  <c r="CK56" i="46"/>
  <c r="DF56" i="46"/>
  <c r="EV56" i="46"/>
  <c r="EV37" i="46"/>
  <c r="AU255" i="46"/>
  <c r="AL255" i="46"/>
  <c r="DU255" i="46"/>
  <c r="CH255" i="46"/>
  <c r="CH56" i="46"/>
  <c r="DX56" i="46"/>
  <c r="FH33" i="46"/>
  <c r="EJ255" i="46"/>
  <c r="EY255" i="46"/>
  <c r="CW255" i="46"/>
  <c r="EJ37" i="46"/>
  <c r="AF255" i="46"/>
  <c r="CZ56" i="46"/>
  <c r="FE37" i="46"/>
  <c r="CZ33" i="46"/>
  <c r="EJ33" i="46"/>
  <c r="FB33" i="46"/>
  <c r="AR255" i="46"/>
  <c r="EA255" i="46"/>
  <c r="BY255" i="46"/>
  <c r="CQ258" i="46"/>
  <c r="BM258" i="46"/>
  <c r="AG160" i="3"/>
  <c r="DR37" i="46"/>
  <c r="FH37" i="46"/>
  <c r="DU37" i="46"/>
  <c r="DL33" i="46"/>
  <c r="ED33" i="46"/>
  <c r="FE255" i="46"/>
  <c r="DC255" i="46"/>
  <c r="BA255" i="46"/>
  <c r="FB56" i="46"/>
  <c r="DR56" i="46"/>
  <c r="DX37" i="46"/>
  <c r="CQ37" i="46"/>
  <c r="EV33" i="46"/>
  <c r="CN33" i="46"/>
  <c r="DF33" i="46"/>
  <c r="DO255" i="46"/>
  <c r="EG255" i="46"/>
  <c r="CE255" i="46"/>
  <c r="AC255" i="46"/>
  <c r="DF37" i="46"/>
  <c r="EJ56" i="46"/>
  <c r="DO37" i="46"/>
  <c r="FK37" i="46"/>
  <c r="CT37" i="46"/>
  <c r="CT33" i="46"/>
  <c r="CH33" i="46"/>
  <c r="W255" i="46"/>
  <c r="DI255" i="46"/>
  <c r="BG255" i="46"/>
  <c r="EP255" i="46"/>
  <c r="EG37" i="46"/>
  <c r="DL255" i="46"/>
  <c r="CK255" i="46"/>
  <c r="AI255" i="46"/>
  <c r="DR255" i="46"/>
  <c r="T255" i="46"/>
  <c r="CQ64" i="46"/>
  <c r="EP33" i="46"/>
  <c r="EY56" i="46"/>
  <c r="DL37" i="46"/>
  <c r="CW37" i="46"/>
  <c r="CQ255" i="46"/>
  <c r="BM255" i="46"/>
  <c r="EV255" i="46"/>
  <c r="CT255" i="46"/>
  <c r="DC37" i="46"/>
  <c r="EA56" i="46"/>
  <c r="ES56" i="46"/>
  <c r="ES37" i="46"/>
  <c r="DU33" i="46"/>
  <c r="DR33" i="46"/>
  <c r="FK33" i="46"/>
  <c r="BD253" i="46"/>
  <c r="BY253" i="46"/>
  <c r="CN255" i="46"/>
  <c r="AO255" i="46"/>
  <c r="DX255" i="46"/>
  <c r="BV255" i="46"/>
  <c r="FK56" i="46"/>
  <c r="EA46" i="46"/>
  <c r="DL56" i="46"/>
  <c r="EP37" i="46"/>
  <c r="DC56" i="46"/>
  <c r="DU56" i="46"/>
  <c r="DX33" i="46"/>
  <c r="DI37" i="46"/>
  <c r="ES33" i="46"/>
  <c r="EM33" i="46"/>
  <c r="FE33" i="46"/>
  <c r="EY33" i="46"/>
  <c r="FK255" i="46"/>
  <c r="FB255" i="46"/>
  <c r="CZ255" i="46"/>
  <c r="AX255" i="46"/>
  <c r="FH56" i="46"/>
  <c r="EM37" i="46"/>
  <c r="DO56" i="46"/>
  <c r="CN37" i="46"/>
  <c r="CK37" i="46"/>
  <c r="FB37" i="46"/>
  <c r="CW33" i="46"/>
  <c r="DO33" i="46"/>
  <c r="EG33" i="46"/>
  <c r="CQ253" i="46"/>
  <c r="BS255" i="46"/>
  <c r="ED255" i="46"/>
  <c r="CB255" i="46"/>
  <c r="AY5" i="3"/>
  <c r="AL29" i="3"/>
  <c r="AY29" i="3" s="1"/>
  <c r="AL101" i="3"/>
  <c r="AL21" i="3"/>
  <c r="AY21" i="3" s="1"/>
  <c r="AL61" i="3"/>
  <c r="AY61" i="3" s="1"/>
  <c r="AL77" i="3"/>
  <c r="AY77" i="3" s="1"/>
  <c r="AL45" i="3"/>
  <c r="AY45" i="3" s="1"/>
  <c r="H3" i="45"/>
  <c r="H11" i="45" s="1"/>
  <c r="H19" i="45" s="1"/>
  <c r="H27" i="45" s="1"/>
  <c r="H35" i="45" s="1"/>
  <c r="H43" i="45" s="1"/>
  <c r="T3" i="45" s="1"/>
  <c r="T11" i="45" s="1"/>
  <c r="T19" i="45" s="1"/>
  <c r="T27" i="45" s="1"/>
  <c r="T35" i="45" s="1"/>
  <c r="T43" i="45" s="1"/>
  <c r="T32" i="46"/>
  <c r="BV69" i="46"/>
  <c r="BY69" i="46"/>
  <c r="AC69" i="46"/>
  <c r="AR72" i="46"/>
  <c r="BA69" i="46"/>
  <c r="Z61" i="46"/>
  <c r="AR69" i="46"/>
  <c r="FK76" i="46"/>
  <c r="BP76" i="46"/>
  <c r="DR67" i="46"/>
  <c r="EV69" i="46"/>
  <c r="AX76" i="46"/>
  <c r="EM76" i="46"/>
  <c r="EM67" i="46"/>
  <c r="FB76" i="46"/>
  <c r="DO69" i="46"/>
  <c r="BP72" i="46"/>
  <c r="DC76" i="46"/>
  <c r="CB69" i="46"/>
  <c r="DI70" i="46"/>
  <c r="DL76" i="46"/>
  <c r="W27" i="46"/>
  <c r="CB27" i="46"/>
  <c r="CZ27" i="46"/>
  <c r="EV27" i="46"/>
  <c r="EY27" i="46"/>
  <c r="CH27" i="46"/>
  <c r="AO27" i="46"/>
  <c r="BG27" i="46"/>
  <c r="AF27" i="46"/>
  <c r="CE27" i="46"/>
  <c r="BD27" i="46"/>
  <c r="DC27" i="46"/>
  <c r="AL27" i="46"/>
  <c r="CK27" i="46"/>
  <c r="FH27" i="46"/>
  <c r="CQ27" i="46"/>
  <c r="AX27" i="46"/>
  <c r="DR27" i="46"/>
  <c r="BJ27" i="46"/>
  <c r="DI27" i="46"/>
  <c r="ES27" i="46"/>
  <c r="DO27" i="46"/>
  <c r="DX27" i="46"/>
  <c r="AI27" i="46"/>
  <c r="DF27" i="46"/>
  <c r="EG27" i="46"/>
  <c r="BY27" i="46"/>
  <c r="EA27" i="46"/>
  <c r="ED27" i="46"/>
  <c r="FE27" i="46"/>
  <c r="AR27" i="46"/>
  <c r="EP27" i="46"/>
  <c r="AC27" i="46"/>
  <c r="BV27" i="46"/>
  <c r="FB27" i="46"/>
  <c r="BP27" i="46"/>
  <c r="CT27" i="46"/>
  <c r="CN27" i="46"/>
  <c r="FK27" i="46"/>
  <c r="CW27" i="46"/>
  <c r="DL27" i="46"/>
  <c r="BS27" i="46"/>
  <c r="DU27" i="46"/>
  <c r="BA27" i="46"/>
  <c r="AU27" i="46"/>
  <c r="BM27" i="46"/>
  <c r="EJ27" i="46"/>
  <c r="EM27" i="46"/>
  <c r="Z27" i="46"/>
  <c r="W8" i="46"/>
  <c r="DL8" i="46"/>
  <c r="AF8" i="46"/>
  <c r="FB8" i="46"/>
  <c r="CK8" i="46"/>
  <c r="CQ8" i="46"/>
  <c r="CN8" i="46"/>
  <c r="Z8" i="46"/>
  <c r="EM8" i="46"/>
  <c r="EY8" i="46"/>
  <c r="EJ8" i="46"/>
  <c r="AX8" i="46"/>
  <c r="BA8" i="46"/>
  <c r="BG8" i="46"/>
  <c r="FH8" i="46"/>
  <c r="BV8" i="46"/>
  <c r="AO8" i="46"/>
  <c r="EA8" i="46"/>
  <c r="CT8" i="46"/>
  <c r="BD8" i="46"/>
  <c r="AI8" i="46"/>
  <c r="CE8" i="46"/>
  <c r="FK8" i="46"/>
  <c r="AL8" i="46"/>
  <c r="ED8" i="46"/>
  <c r="DR8" i="46"/>
  <c r="CB8" i="46"/>
  <c r="BS8" i="46"/>
  <c r="DO8" i="46"/>
  <c r="BY8" i="46"/>
  <c r="CW8" i="46"/>
  <c r="AR8" i="46"/>
  <c r="DX8" i="46"/>
  <c r="ES8" i="46"/>
  <c r="DC8" i="46"/>
  <c r="DI8" i="46"/>
  <c r="AC8" i="46"/>
  <c r="DU8" i="46"/>
  <c r="EP8" i="46"/>
  <c r="CH8" i="46"/>
  <c r="BM8" i="46"/>
  <c r="CZ8" i="46"/>
  <c r="BJ8" i="46"/>
  <c r="BP8" i="46"/>
  <c r="EV8" i="46"/>
  <c r="AU8" i="46"/>
  <c r="DF8" i="46"/>
  <c r="FE8" i="46"/>
  <c r="EG8" i="46"/>
  <c r="Z73" i="46"/>
  <c r="BM68" i="46"/>
  <c r="W11" i="46"/>
  <c r="ES11" i="46"/>
  <c r="EP11" i="46"/>
  <c r="AX11" i="46"/>
  <c r="Z11" i="46"/>
  <c r="CK11" i="46"/>
  <c r="DU11" i="46"/>
  <c r="BP11" i="46"/>
  <c r="EY11" i="46"/>
  <c r="BD11" i="46"/>
  <c r="CB11" i="46"/>
  <c r="AI11" i="46"/>
  <c r="BP70" i="46"/>
  <c r="DO73" i="46"/>
  <c r="EY73" i="46"/>
  <c r="BY73" i="46"/>
  <c r="W40" i="46"/>
  <c r="CT40" i="46"/>
  <c r="Z40" i="46"/>
  <c r="CZ40" i="46"/>
  <c r="BG40" i="46"/>
  <c r="AL40" i="46"/>
  <c r="AX40" i="46"/>
  <c r="AC40" i="46"/>
  <c r="DX40" i="46"/>
  <c r="CE40" i="46"/>
  <c r="CH40" i="46"/>
  <c r="BV40" i="46"/>
  <c r="BA40" i="46"/>
  <c r="EV40" i="46"/>
  <c r="DC40" i="46"/>
  <c r="ED40" i="46"/>
  <c r="BJ40" i="46"/>
  <c r="DR40" i="46"/>
  <c r="BY40" i="46"/>
  <c r="EA40" i="46"/>
  <c r="DF40" i="46"/>
  <c r="EP40" i="46"/>
  <c r="CW40" i="46"/>
  <c r="EY40" i="46"/>
  <c r="FB40" i="46"/>
  <c r="CQ40" i="46"/>
  <c r="DU40" i="46"/>
  <c r="AO40" i="46"/>
  <c r="AR40" i="46"/>
  <c r="EM40" i="46"/>
  <c r="ES40" i="46"/>
  <c r="CK40" i="46"/>
  <c r="CN40" i="46"/>
  <c r="AF40" i="46"/>
  <c r="EG40" i="46"/>
  <c r="EJ40" i="46"/>
  <c r="DL40" i="46"/>
  <c r="BD40" i="46"/>
  <c r="CB40" i="46"/>
  <c r="AI40" i="46"/>
  <c r="AU40" i="46"/>
  <c r="DO40" i="46"/>
  <c r="BP40" i="46"/>
  <c r="FE40" i="46"/>
  <c r="FH40" i="46"/>
  <c r="BS40" i="46"/>
  <c r="BM40" i="46"/>
  <c r="FK40" i="46"/>
  <c r="DI40" i="46"/>
  <c r="W72" i="46"/>
  <c r="DI72" i="46"/>
  <c r="CT72" i="46"/>
  <c r="DO72" i="46"/>
  <c r="Z72" i="46"/>
  <c r="ES72" i="46"/>
  <c r="BD72" i="46"/>
  <c r="DF72" i="46"/>
  <c r="ED72" i="46"/>
  <c r="BJ72" i="46"/>
  <c r="EM72" i="46"/>
  <c r="AX72" i="46"/>
  <c r="CB72" i="46"/>
  <c r="FK72" i="46"/>
  <c r="BV72" i="46"/>
  <c r="CZ72" i="46"/>
  <c r="AO72" i="46"/>
  <c r="DR72" i="46"/>
  <c r="AC72" i="46"/>
  <c r="DX72" i="46"/>
  <c r="BM72" i="46"/>
  <c r="EP72" i="46"/>
  <c r="BA72" i="46"/>
  <c r="EV72" i="46"/>
  <c r="CE72" i="46"/>
  <c r="CK72" i="46"/>
  <c r="AU72" i="46"/>
  <c r="BY72" i="46"/>
  <c r="EJ72" i="46"/>
  <c r="CH72" i="46"/>
  <c r="AI72" i="46"/>
  <c r="AL72" i="46"/>
  <c r="EG72" i="46"/>
  <c r="BS72" i="46"/>
  <c r="CW72" i="46"/>
  <c r="EY72" i="46"/>
  <c r="CN72" i="46"/>
  <c r="DC72" i="46"/>
  <c r="W14" i="46"/>
  <c r="BS14" i="46"/>
  <c r="CT14" i="46"/>
  <c r="CQ14" i="46"/>
  <c r="EP14" i="46"/>
  <c r="BA14" i="46"/>
  <c r="EV14" i="46"/>
  <c r="EM14" i="46"/>
  <c r="CW14" i="46"/>
  <c r="CE14" i="46"/>
  <c r="AR14" i="46"/>
  <c r="BJ14" i="46"/>
  <c r="CB14" i="46"/>
  <c r="DI14" i="46"/>
  <c r="AC14" i="46"/>
  <c r="CZ14" i="46"/>
  <c r="BY14" i="46"/>
  <c r="DX14" i="46"/>
  <c r="AU14" i="46"/>
  <c r="Z14" i="46"/>
  <c r="DU14" i="46"/>
  <c r="AI14" i="46"/>
  <c r="DO14" i="46"/>
  <c r="AX14" i="46"/>
  <c r="ES14" i="46"/>
  <c r="BG14" i="46"/>
  <c r="CH14" i="46"/>
  <c r="FK14" i="46"/>
  <c r="BV14" i="46"/>
  <c r="DC14" i="46"/>
  <c r="BP14" i="46"/>
  <c r="EJ14" i="46"/>
  <c r="AF14" i="46"/>
  <c r="AL14" i="46"/>
  <c r="BD14" i="46"/>
  <c r="EA14" i="46"/>
  <c r="EG14" i="46"/>
  <c r="EY14" i="46"/>
  <c r="DF14" i="46"/>
  <c r="FH14" i="46"/>
  <c r="FB14" i="46"/>
  <c r="BM14" i="46"/>
  <c r="FE14" i="46"/>
  <c r="AO14" i="46"/>
  <c r="DR14" i="46"/>
  <c r="DL14" i="46"/>
  <c r="CN14" i="46"/>
  <c r="CK14" i="46"/>
  <c r="ED14" i="46"/>
  <c r="EJ76" i="46"/>
  <c r="CZ60" i="46"/>
  <c r="BG72" i="46"/>
  <c r="AU70" i="46"/>
  <c r="ED76" i="46"/>
  <c r="BG73" i="46"/>
  <c r="BP67" i="46"/>
  <c r="FB72" i="46"/>
  <c r="EP61" i="46"/>
  <c r="AI73" i="46"/>
  <c r="DX64" i="46"/>
  <c r="CQ72" i="46"/>
  <c r="FE72" i="46"/>
  <c r="CW71" i="46"/>
  <c r="DU61" i="46"/>
  <c r="ED51" i="46"/>
  <c r="W38" i="46"/>
  <c r="BP38" i="46"/>
  <c r="FK38" i="46"/>
  <c r="AX38" i="46"/>
  <c r="DC38" i="46"/>
  <c r="DF38" i="46"/>
  <c r="BV38" i="46"/>
  <c r="AC38" i="46"/>
  <c r="BD38" i="46"/>
  <c r="EY38" i="46"/>
  <c r="FB38" i="46"/>
  <c r="AR38" i="46"/>
  <c r="CT38" i="46"/>
  <c r="BA38" i="46"/>
  <c r="CZ38" i="46"/>
  <c r="CN38" i="46"/>
  <c r="AU38" i="46"/>
  <c r="DR38" i="46"/>
  <c r="BY38" i="46"/>
  <c r="EV38" i="46"/>
  <c r="AF38" i="46"/>
  <c r="DL38" i="46"/>
  <c r="BS38" i="46"/>
  <c r="EP38" i="46"/>
  <c r="CW38" i="46"/>
  <c r="CB38" i="46"/>
  <c r="AO38" i="46"/>
  <c r="CQ38" i="46"/>
  <c r="EJ38" i="46"/>
  <c r="DO38" i="46"/>
  <c r="FH38" i="46"/>
  <c r="EM38" i="46"/>
  <c r="Z38" i="46"/>
  <c r="BM38" i="46"/>
  <c r="DX38" i="46"/>
  <c r="DU38" i="46"/>
  <c r="DI38" i="46"/>
  <c r="ES38" i="46"/>
  <c r="BG38" i="46"/>
  <c r="BJ38" i="46"/>
  <c r="FE38" i="46"/>
  <c r="AL38" i="46"/>
  <c r="EG38" i="46"/>
  <c r="CK38" i="46"/>
  <c r="AI38" i="46"/>
  <c r="ED38" i="46"/>
  <c r="CE38" i="46"/>
  <c r="CH38" i="46"/>
  <c r="EA38" i="46"/>
  <c r="W22" i="46"/>
  <c r="DL22" i="46"/>
  <c r="EJ22" i="46"/>
  <c r="FH22" i="46"/>
  <c r="BP22" i="46"/>
  <c r="CN22" i="46"/>
  <c r="BS22" i="46"/>
  <c r="CQ22" i="46"/>
  <c r="AC22" i="46"/>
  <c r="AF22" i="46"/>
  <c r="AO22" i="46"/>
  <c r="DO22" i="46"/>
  <c r="Z22" i="46"/>
  <c r="BA22" i="46"/>
  <c r="BD22" i="46"/>
  <c r="DF22" i="46"/>
  <c r="EM22" i="46"/>
  <c r="AX22" i="46"/>
  <c r="BY22" i="46"/>
  <c r="CB22" i="46"/>
  <c r="FK22" i="46"/>
  <c r="BV22" i="46"/>
  <c r="CW22" i="46"/>
  <c r="CZ22" i="46"/>
  <c r="DI22" i="46"/>
  <c r="BJ22" i="46"/>
  <c r="CE22" i="46"/>
  <c r="CT22" i="46"/>
  <c r="DU22" i="46"/>
  <c r="DX22" i="46"/>
  <c r="EA22" i="46"/>
  <c r="EG22" i="46"/>
  <c r="CH22" i="46"/>
  <c r="CK22" i="46"/>
  <c r="AR22" i="46"/>
  <c r="AU22" i="46"/>
  <c r="DR22" i="46"/>
  <c r="ES22" i="46"/>
  <c r="EV22" i="46"/>
  <c r="EP22" i="46"/>
  <c r="BG22" i="46"/>
  <c r="DC22" i="46"/>
  <c r="EY22" i="46"/>
  <c r="AL22" i="46"/>
  <c r="AI22" i="46"/>
  <c r="FE22" i="46"/>
  <c r="ED22" i="46"/>
  <c r="FB22" i="46"/>
  <c r="BM22" i="46"/>
  <c r="CK68" i="46"/>
  <c r="DC68" i="46"/>
  <c r="FB68" i="46"/>
  <c r="T61" i="46"/>
  <c r="W32" i="46"/>
  <c r="FH32" i="46"/>
  <c r="BS32" i="46"/>
  <c r="BG32" i="46"/>
  <c r="CQ32" i="46"/>
  <c r="Z32" i="46"/>
  <c r="DI32" i="46"/>
  <c r="BM32" i="46"/>
  <c r="DO32" i="46"/>
  <c r="AX32" i="46"/>
  <c r="AC32" i="46"/>
  <c r="AF32" i="46"/>
  <c r="AR32" i="46"/>
  <c r="EM32" i="46"/>
  <c r="BV32" i="46"/>
  <c r="BA32" i="46"/>
  <c r="BD32" i="46"/>
  <c r="BP32" i="46"/>
  <c r="FK32" i="46"/>
  <c r="CT32" i="46"/>
  <c r="BY32" i="46"/>
  <c r="CB32" i="46"/>
  <c r="BJ32" i="46"/>
  <c r="CN32" i="46"/>
  <c r="DR32" i="46"/>
  <c r="CW32" i="46"/>
  <c r="CZ32" i="46"/>
  <c r="EA32" i="46"/>
  <c r="DL32" i="46"/>
  <c r="EP32" i="46"/>
  <c r="DU32" i="46"/>
  <c r="DX32" i="46"/>
  <c r="FB32" i="46"/>
  <c r="AO32" i="46"/>
  <c r="CK32" i="46"/>
  <c r="AU32" i="46"/>
  <c r="CE32" i="46"/>
  <c r="CH32" i="46"/>
  <c r="AL32" i="46"/>
  <c r="EJ32" i="46"/>
  <c r="ES32" i="46"/>
  <c r="EV32" i="46"/>
  <c r="EG32" i="46"/>
  <c r="EY32" i="46"/>
  <c r="FE32" i="46"/>
  <c r="AI32" i="46"/>
  <c r="ED32" i="46"/>
  <c r="DF32" i="46"/>
  <c r="DC32" i="46"/>
  <c r="W57" i="46"/>
  <c r="FH57" i="46"/>
  <c r="AR57" i="46"/>
  <c r="FK57" i="46"/>
  <c r="CB57" i="46"/>
  <c r="Z57" i="46"/>
  <c r="CZ57" i="46"/>
  <c r="AI57" i="46"/>
  <c r="AX57" i="46"/>
  <c r="AC57" i="46"/>
  <c r="DX57" i="46"/>
  <c r="CK57" i="46"/>
  <c r="AU57" i="46"/>
  <c r="BV57" i="46"/>
  <c r="BA57" i="46"/>
  <c r="EV57" i="46"/>
  <c r="BM57" i="46"/>
  <c r="FB57" i="46"/>
  <c r="BP57" i="46"/>
  <c r="BS57" i="46"/>
  <c r="CT57" i="46"/>
  <c r="BY57" i="46"/>
  <c r="ED57" i="46"/>
  <c r="CH57" i="46"/>
  <c r="CN57" i="46"/>
  <c r="CQ57" i="46"/>
  <c r="DR57" i="46"/>
  <c r="CW57" i="46"/>
  <c r="EY57" i="46"/>
  <c r="DL57" i="46"/>
  <c r="DO57" i="46"/>
  <c r="EP57" i="46"/>
  <c r="DU57" i="46"/>
  <c r="AF57" i="46"/>
  <c r="BJ57" i="46"/>
  <c r="CE57" i="46"/>
  <c r="AL57" i="46"/>
  <c r="EJ57" i="46"/>
  <c r="EM57" i="46"/>
  <c r="BG57" i="46"/>
  <c r="ES57" i="46"/>
  <c r="BD57" i="46"/>
  <c r="EG57" i="46"/>
  <c r="AO57" i="46"/>
  <c r="EA57" i="46"/>
  <c r="FE57" i="46"/>
  <c r="DF57" i="46"/>
  <c r="W51" i="46"/>
  <c r="BS51" i="46"/>
  <c r="BV51" i="46"/>
  <c r="CQ51" i="46"/>
  <c r="CT51" i="46"/>
  <c r="DO51" i="46"/>
  <c r="EM51" i="46"/>
  <c r="FK51" i="46"/>
  <c r="AX51" i="46"/>
  <c r="CW51" i="46"/>
  <c r="CB51" i="46"/>
  <c r="CH51" i="46"/>
  <c r="CN51" i="46"/>
  <c r="DR51" i="46"/>
  <c r="DU51" i="46"/>
  <c r="CZ51" i="46"/>
  <c r="EJ51" i="46"/>
  <c r="FE51" i="46"/>
  <c r="AR51" i="46"/>
  <c r="AU51" i="46"/>
  <c r="EP51" i="46"/>
  <c r="ES51" i="46"/>
  <c r="DX51" i="46"/>
  <c r="AI51" i="46"/>
  <c r="DI51" i="46"/>
  <c r="BJ51" i="46"/>
  <c r="EV51" i="46"/>
  <c r="BG51" i="46"/>
  <c r="CE51" i="46"/>
  <c r="AC51" i="46"/>
  <c r="DC51" i="46"/>
  <c r="CK51" i="46"/>
  <c r="AO51" i="46"/>
  <c r="BA51" i="46"/>
  <c r="AF51" i="46"/>
  <c r="EA51" i="46"/>
  <c r="FB51" i="46"/>
  <c r="DF51" i="46"/>
  <c r="EG51" i="46"/>
  <c r="BY51" i="46"/>
  <c r="FH51" i="46"/>
  <c r="Z51" i="46"/>
  <c r="DL51" i="46"/>
  <c r="BD51" i="46"/>
  <c r="EY51" i="46"/>
  <c r="BP51" i="46"/>
  <c r="BM51" i="46"/>
  <c r="W28" i="46"/>
  <c r="DO28" i="46"/>
  <c r="EM28" i="46"/>
  <c r="Z28" i="46"/>
  <c r="CW28" i="46"/>
  <c r="AU28" i="46"/>
  <c r="BV28" i="46"/>
  <c r="BS28" i="46"/>
  <c r="CT28" i="46"/>
  <c r="CQ28" i="46"/>
  <c r="DR28" i="46"/>
  <c r="FK28" i="46"/>
  <c r="DC28" i="46"/>
  <c r="AC28" i="46"/>
  <c r="EJ28" i="46"/>
  <c r="DF28" i="46"/>
  <c r="AO28" i="46"/>
  <c r="BA28" i="46"/>
  <c r="AI28" i="46"/>
  <c r="DX28" i="46"/>
  <c r="BY28" i="46"/>
  <c r="BG28" i="46"/>
  <c r="BD28" i="46"/>
  <c r="AF28" i="46"/>
  <c r="CH28" i="46"/>
  <c r="EA28" i="46"/>
  <c r="DU28" i="46"/>
  <c r="CE28" i="46"/>
  <c r="CZ28" i="46"/>
  <c r="BP28" i="46"/>
  <c r="CB28" i="46"/>
  <c r="AL28" i="46"/>
  <c r="ES28" i="46"/>
  <c r="AR28" i="46"/>
  <c r="EG28" i="46"/>
  <c r="DI28" i="46"/>
  <c r="DL28" i="46"/>
  <c r="AX28" i="46"/>
  <c r="CN28" i="46"/>
  <c r="EY28" i="46"/>
  <c r="FB28" i="46"/>
  <c r="ED28" i="46"/>
  <c r="FE28" i="46"/>
  <c r="EP28" i="46"/>
  <c r="FH28" i="46"/>
  <c r="BM28" i="46"/>
  <c r="BJ28" i="46"/>
  <c r="CK28" i="46"/>
  <c r="EV28" i="46"/>
  <c r="W70" i="46"/>
  <c r="EP70" i="46"/>
  <c r="CW70" i="46"/>
  <c r="EV70" i="46"/>
  <c r="AL70" i="46"/>
  <c r="AC70" i="46"/>
  <c r="DX70" i="46"/>
  <c r="DF70" i="46"/>
  <c r="Z70" i="46"/>
  <c r="BA70" i="46"/>
  <c r="AI70" i="46"/>
  <c r="AX70" i="46"/>
  <c r="BY70" i="46"/>
  <c r="BG70" i="46"/>
  <c r="FB70" i="46"/>
  <c r="BV70" i="46"/>
  <c r="DU70" i="46"/>
  <c r="CE70" i="46"/>
  <c r="CT70" i="46"/>
  <c r="ES70" i="46"/>
  <c r="AF70" i="46"/>
  <c r="DC70" i="46"/>
  <c r="DR70" i="46"/>
  <c r="BD70" i="46"/>
  <c r="BM70" i="46"/>
  <c r="FH70" i="46"/>
  <c r="DO70" i="46"/>
  <c r="EA70" i="46"/>
  <c r="BJ70" i="46"/>
  <c r="EY70" i="46"/>
  <c r="CH70" i="46"/>
  <c r="BS70" i="46"/>
  <c r="CK70" i="46"/>
  <c r="CN70" i="46"/>
  <c r="DL70" i="46"/>
  <c r="CB70" i="46"/>
  <c r="ED70" i="46"/>
  <c r="EJ70" i="46"/>
  <c r="EM70" i="46"/>
  <c r="FE70" i="46"/>
  <c r="EG70" i="46"/>
  <c r="FK70" i="46"/>
  <c r="CZ70" i="46"/>
  <c r="AO70" i="46"/>
  <c r="CQ76" i="46"/>
  <c r="EV71" i="46"/>
  <c r="AR76" i="46"/>
  <c r="AX64" i="46"/>
  <c r="DO67" i="46"/>
  <c r="CH76" i="46"/>
  <c r="CE71" i="46"/>
  <c r="DI68" i="46"/>
  <c r="DU72" i="46"/>
  <c r="FK73" i="46"/>
  <c r="W50" i="46"/>
  <c r="DX50" i="46"/>
  <c r="EV50" i="46"/>
  <c r="AI50" i="46"/>
  <c r="BG50" i="46"/>
  <c r="BJ50" i="46"/>
  <c r="CE50" i="46"/>
  <c r="CH50" i="46"/>
  <c r="AF50" i="46"/>
  <c r="DC50" i="46"/>
  <c r="DF50" i="46"/>
  <c r="FB50" i="46"/>
  <c r="DI50" i="46"/>
  <c r="ES50" i="46"/>
  <c r="EP50" i="46"/>
  <c r="BD50" i="46"/>
  <c r="CB50" i="46"/>
  <c r="EA50" i="46"/>
  <c r="CZ50" i="46"/>
  <c r="EY50" i="46"/>
  <c r="AL50" i="46"/>
  <c r="AC50" i="46"/>
  <c r="ED50" i="46"/>
  <c r="FH50" i="46"/>
  <c r="EJ50" i="46"/>
  <c r="AX50" i="46"/>
  <c r="CN50" i="46"/>
  <c r="AO50" i="46"/>
  <c r="AR50" i="46"/>
  <c r="DU50" i="46"/>
  <c r="CT50" i="46"/>
  <c r="EG50" i="46"/>
  <c r="BV50" i="46"/>
  <c r="BY50" i="46"/>
  <c r="AU50" i="46"/>
  <c r="FK50" i="46"/>
  <c r="DL50" i="46"/>
  <c r="DO50" i="46"/>
  <c r="CK50" i="46"/>
  <c r="CW50" i="46"/>
  <c r="DR50" i="46"/>
  <c r="CQ50" i="46"/>
  <c r="BM50" i="46"/>
  <c r="EM50" i="46"/>
  <c r="BS50" i="46"/>
  <c r="BA50" i="46"/>
  <c r="FE50" i="46"/>
  <c r="Z50" i="46"/>
  <c r="BP50" i="46"/>
  <c r="W18" i="46"/>
  <c r="BV18" i="46"/>
  <c r="DR18" i="46"/>
  <c r="DU18" i="46"/>
  <c r="BD18" i="46"/>
  <c r="EY18" i="46"/>
  <c r="EP18" i="46"/>
  <c r="ES18" i="46"/>
  <c r="CB18" i="46"/>
  <c r="AL18" i="46"/>
  <c r="CZ18" i="46"/>
  <c r="BJ18" i="46"/>
  <c r="DX18" i="46"/>
  <c r="AI18" i="46"/>
  <c r="CH18" i="46"/>
  <c r="AC18" i="46"/>
  <c r="EV18" i="46"/>
  <c r="BG18" i="46"/>
  <c r="DF18" i="46"/>
  <c r="AU18" i="46"/>
  <c r="Z18" i="46"/>
  <c r="BA18" i="46"/>
  <c r="CE18" i="46"/>
  <c r="ED18" i="46"/>
  <c r="DL18" i="46"/>
  <c r="AX18" i="46"/>
  <c r="BY18" i="46"/>
  <c r="DC18" i="46"/>
  <c r="FB18" i="46"/>
  <c r="BP18" i="46"/>
  <c r="BS18" i="46"/>
  <c r="CK18" i="46"/>
  <c r="EG18" i="46"/>
  <c r="EJ18" i="46"/>
  <c r="EM18" i="46"/>
  <c r="FH18" i="46"/>
  <c r="CT18" i="46"/>
  <c r="CW18" i="46"/>
  <c r="AF18" i="46"/>
  <c r="BM18" i="46"/>
  <c r="FK18" i="46"/>
  <c r="CQ18" i="46"/>
  <c r="DO18" i="46"/>
  <c r="AO18" i="46"/>
  <c r="CN18" i="46"/>
  <c r="AR18" i="46"/>
  <c r="DI18" i="46"/>
  <c r="FE18" i="46"/>
  <c r="EA18" i="46"/>
  <c r="CH15" i="46"/>
  <c r="W15" i="46"/>
  <c r="FB15" i="46"/>
  <c r="EG15" i="46"/>
  <c r="AR15" i="46"/>
  <c r="CN15" i="46"/>
  <c r="AL15" i="46"/>
  <c r="AO15" i="46"/>
  <c r="EJ15" i="46"/>
  <c r="CK15" i="46"/>
  <c r="Z15" i="46"/>
  <c r="AF15" i="46"/>
  <c r="BY15" i="46"/>
  <c r="DI15" i="46"/>
  <c r="BG15" i="46"/>
  <c r="FE15" i="46"/>
  <c r="BD15" i="46"/>
  <c r="BJ15" i="46"/>
  <c r="EA15" i="46"/>
  <c r="CZ15" i="46"/>
  <c r="DF15" i="46"/>
  <c r="BP15" i="46"/>
  <c r="EP15" i="46"/>
  <c r="DC15" i="46"/>
  <c r="CQ15" i="46"/>
  <c r="ES15" i="46"/>
  <c r="AI15" i="46"/>
  <c r="DO15" i="46"/>
  <c r="EV15" i="46"/>
  <c r="DR15" i="46"/>
  <c r="ED15" i="46"/>
  <c r="BM15" i="46"/>
  <c r="DL15" i="46"/>
  <c r="CT15" i="46"/>
  <c r="AC15" i="46"/>
  <c r="FH15" i="46"/>
  <c r="CW15" i="46"/>
  <c r="BS15" i="46"/>
  <c r="CE15" i="46"/>
  <c r="AU15" i="46"/>
  <c r="EM15" i="46"/>
  <c r="DX15" i="46"/>
  <c r="BV15" i="46"/>
  <c r="EY15" i="46"/>
  <c r="DU15" i="46"/>
  <c r="BA15" i="46"/>
  <c r="CB15" i="46"/>
  <c r="FK15" i="46"/>
  <c r="AX15" i="46"/>
  <c r="W39" i="46"/>
  <c r="CE39" i="46"/>
  <c r="EA39" i="46"/>
  <c r="CK39" i="46"/>
  <c r="AR39" i="46"/>
  <c r="AU39" i="46"/>
  <c r="EP39" i="46"/>
  <c r="ES39" i="46"/>
  <c r="EY39" i="46"/>
  <c r="DI39" i="46"/>
  <c r="BP39" i="46"/>
  <c r="CQ39" i="46"/>
  <c r="AL39" i="46"/>
  <c r="EG39" i="46"/>
  <c r="CN39" i="46"/>
  <c r="EM39" i="46"/>
  <c r="BJ39" i="46"/>
  <c r="FE39" i="46"/>
  <c r="DL39" i="46"/>
  <c r="BS39" i="46"/>
  <c r="CH39" i="46"/>
  <c r="EJ39" i="46"/>
  <c r="DO39" i="46"/>
  <c r="AO39" i="46"/>
  <c r="EV39" i="46"/>
  <c r="BM39" i="46"/>
  <c r="FH39" i="46"/>
  <c r="AI39" i="46"/>
  <c r="BG39" i="46"/>
  <c r="AX39" i="46"/>
  <c r="BA39" i="46"/>
  <c r="DC39" i="46"/>
  <c r="DF39" i="46"/>
  <c r="CT39" i="46"/>
  <c r="CW39" i="46"/>
  <c r="BY39" i="46"/>
  <c r="ED39" i="46"/>
  <c r="BD39" i="46"/>
  <c r="FB39" i="46"/>
  <c r="CZ39" i="46"/>
  <c r="FK39" i="46"/>
  <c r="Z39" i="46"/>
  <c r="DX39" i="46"/>
  <c r="BV39" i="46"/>
  <c r="AF39" i="46"/>
  <c r="CB39" i="46"/>
  <c r="DR39" i="46"/>
  <c r="DU39" i="46"/>
  <c r="AC39" i="46"/>
  <c r="T50" i="46"/>
  <c r="W71" i="46"/>
  <c r="EJ71" i="46"/>
  <c r="BA71" i="46"/>
  <c r="AI71" i="46"/>
  <c r="BG71" i="46"/>
  <c r="EG71" i="46"/>
  <c r="BS71" i="46"/>
  <c r="DR71" i="46"/>
  <c r="DF71" i="46"/>
  <c r="FE71" i="46"/>
  <c r="CQ71" i="46"/>
  <c r="EP71" i="46"/>
  <c r="DO71" i="46"/>
  <c r="BY71" i="46"/>
  <c r="AR71" i="46"/>
  <c r="EM71" i="46"/>
  <c r="AO71" i="46"/>
  <c r="BP71" i="46"/>
  <c r="FK71" i="46"/>
  <c r="Z71" i="46"/>
  <c r="BM71" i="46"/>
  <c r="CN71" i="46"/>
  <c r="CK71" i="46"/>
  <c r="DL71" i="46"/>
  <c r="DU71" i="46"/>
  <c r="AF71" i="46"/>
  <c r="AL71" i="46"/>
  <c r="CH71" i="46"/>
  <c r="ES71" i="46"/>
  <c r="CZ71" i="46"/>
  <c r="CB71" i="46"/>
  <c r="AU71" i="46"/>
  <c r="AX71" i="46"/>
  <c r="FB71" i="46"/>
  <c r="ED71" i="46"/>
  <c r="DI71" i="46"/>
  <c r="BV71" i="46"/>
  <c r="BD71" i="46"/>
  <c r="CT71" i="46"/>
  <c r="DX71" i="46"/>
  <c r="AC71" i="46"/>
  <c r="BJ71" i="46"/>
  <c r="W29" i="46"/>
  <c r="DX29" i="46"/>
  <c r="AI29" i="46"/>
  <c r="FE29" i="46"/>
  <c r="FH29" i="46"/>
  <c r="AU29" i="46"/>
  <c r="EV29" i="46"/>
  <c r="BG29" i="46"/>
  <c r="CW29" i="46"/>
  <c r="CE29" i="46"/>
  <c r="AL29" i="46"/>
  <c r="DC29" i="46"/>
  <c r="BJ29" i="46"/>
  <c r="AO29" i="46"/>
  <c r="AR29" i="46"/>
  <c r="AF29" i="46"/>
  <c r="EA29" i="46"/>
  <c r="CH29" i="46"/>
  <c r="BM29" i="46"/>
  <c r="BP29" i="46"/>
  <c r="AC29" i="46"/>
  <c r="BD29" i="46"/>
  <c r="EY29" i="46"/>
  <c r="DF29" i="46"/>
  <c r="CK29" i="46"/>
  <c r="CN29" i="46"/>
  <c r="CT29" i="46"/>
  <c r="CB29" i="46"/>
  <c r="ED29" i="46"/>
  <c r="DI29" i="46"/>
  <c r="DL29" i="46"/>
  <c r="FK29" i="46"/>
  <c r="DO29" i="46"/>
  <c r="BA29" i="46"/>
  <c r="BS29" i="46"/>
  <c r="DR29" i="46"/>
  <c r="DU29" i="46"/>
  <c r="ES29" i="46"/>
  <c r="BY29" i="46"/>
  <c r="EJ29" i="46"/>
  <c r="Z29" i="46"/>
  <c r="CQ29" i="46"/>
  <c r="EM29" i="46"/>
  <c r="AX29" i="46"/>
  <c r="BV29" i="46"/>
  <c r="EG29" i="46"/>
  <c r="FB29" i="46"/>
  <c r="CZ29" i="46"/>
  <c r="EP29" i="46"/>
  <c r="BV73" i="46"/>
  <c r="CN76" i="46"/>
  <c r="DC71" i="46"/>
  <c r="DR73" i="46"/>
  <c r="BJ64" i="46"/>
  <c r="AU76" i="46"/>
  <c r="FE76" i="46"/>
  <c r="BJ76" i="46"/>
  <c r="FH72" i="46"/>
  <c r="EY71" i="46"/>
  <c r="AF72" i="46"/>
  <c r="DC57" i="46"/>
  <c r="AX68" i="46"/>
  <c r="FH71" i="46"/>
  <c r="W60" i="46"/>
  <c r="EG60" i="46"/>
  <c r="AR60" i="46"/>
  <c r="FK60" i="46"/>
  <c r="EP60" i="46"/>
  <c r="FE60" i="46"/>
  <c r="BP60" i="46"/>
  <c r="AC60" i="46"/>
  <c r="CN60" i="46"/>
  <c r="BA60" i="46"/>
  <c r="BG60" i="46"/>
  <c r="DL60" i="46"/>
  <c r="AU60" i="46"/>
  <c r="Z60" i="46"/>
  <c r="BY60" i="46"/>
  <c r="DX60" i="46"/>
  <c r="AO60" i="46"/>
  <c r="EJ60" i="46"/>
  <c r="BS60" i="46"/>
  <c r="AX60" i="46"/>
  <c r="CW60" i="46"/>
  <c r="EV60" i="46"/>
  <c r="BM60" i="46"/>
  <c r="FH60" i="46"/>
  <c r="CQ60" i="46"/>
  <c r="BV60" i="46"/>
  <c r="DU60" i="46"/>
  <c r="CK60" i="46"/>
  <c r="DO60" i="46"/>
  <c r="CT60" i="46"/>
  <c r="ES60" i="46"/>
  <c r="EM60" i="46"/>
  <c r="EA60" i="46"/>
  <c r="CE60" i="46"/>
  <c r="DR60" i="46"/>
  <c r="AF60" i="46"/>
  <c r="DI60" i="46"/>
  <c r="CB60" i="46"/>
  <c r="CH60" i="46"/>
  <c r="ED60" i="46"/>
  <c r="EY60" i="46"/>
  <c r="BJ60" i="46"/>
  <c r="DF60" i="46"/>
  <c r="FB60" i="46"/>
  <c r="AI60" i="46"/>
  <c r="AL60" i="46"/>
  <c r="BD60" i="46"/>
  <c r="W61" i="46"/>
  <c r="EV61" i="46"/>
  <c r="BG61" i="46"/>
  <c r="AR61" i="46"/>
  <c r="FK61" i="46"/>
  <c r="CE61" i="46"/>
  <c r="BP61" i="46"/>
  <c r="DC61" i="46"/>
  <c r="AL61" i="46"/>
  <c r="AO61" i="46"/>
  <c r="CN61" i="46"/>
  <c r="AF61" i="46"/>
  <c r="EA61" i="46"/>
  <c r="BJ61" i="46"/>
  <c r="BM61" i="46"/>
  <c r="DL61" i="46"/>
  <c r="BD61" i="46"/>
  <c r="EY61" i="46"/>
  <c r="CH61" i="46"/>
  <c r="CK61" i="46"/>
  <c r="EJ61" i="46"/>
  <c r="BS61" i="46"/>
  <c r="BY61" i="46"/>
  <c r="CB61" i="46"/>
  <c r="DF61" i="46"/>
  <c r="DI61" i="46"/>
  <c r="FH61" i="46"/>
  <c r="CZ61" i="46"/>
  <c r="ED61" i="46"/>
  <c r="EG61" i="46"/>
  <c r="AC61" i="46"/>
  <c r="AI61" i="46"/>
  <c r="CT61" i="46"/>
  <c r="AU61" i="46"/>
  <c r="BA61" i="46"/>
  <c r="CW61" i="46"/>
  <c r="DR61" i="46"/>
  <c r="FB61" i="46"/>
  <c r="FE61" i="46"/>
  <c r="AX61" i="46"/>
  <c r="DO61" i="46"/>
  <c r="BV61" i="46"/>
  <c r="CQ61" i="46"/>
  <c r="DX61" i="46"/>
  <c r="ES61" i="46"/>
  <c r="W23" i="46"/>
  <c r="CH23" i="46"/>
  <c r="DL23" i="46"/>
  <c r="BM23" i="46"/>
  <c r="DF23" i="46"/>
  <c r="EJ23" i="46"/>
  <c r="CN23" i="46"/>
  <c r="AI23" i="46"/>
  <c r="FH23" i="46"/>
  <c r="BG23" i="46"/>
  <c r="FK23" i="46"/>
  <c r="EP23" i="46"/>
  <c r="Z23" i="46"/>
  <c r="BY23" i="46"/>
  <c r="DX23" i="46"/>
  <c r="AF23" i="46"/>
  <c r="EV23" i="46"/>
  <c r="AL23" i="46"/>
  <c r="BP23" i="46"/>
  <c r="EY23" i="46"/>
  <c r="BJ23" i="46"/>
  <c r="AC23" i="46"/>
  <c r="CQ23" i="46"/>
  <c r="BD23" i="46"/>
  <c r="DO23" i="46"/>
  <c r="DR23" i="46"/>
  <c r="CK23" i="46"/>
  <c r="EM23" i="46"/>
  <c r="AR23" i="46"/>
  <c r="BV23" i="46"/>
  <c r="CB23" i="46"/>
  <c r="CZ23" i="46"/>
  <c r="DU23" i="46"/>
  <c r="CW23" i="46"/>
  <c r="CE23" i="46"/>
  <c r="AO23" i="46"/>
  <c r="EG23" i="46"/>
  <c r="CT23" i="46"/>
  <c r="ES23" i="46"/>
  <c r="AX23" i="46"/>
  <c r="EA23" i="46"/>
  <c r="DI23" i="46"/>
  <c r="FE23" i="46"/>
  <c r="ED23" i="46"/>
  <c r="DC23" i="46"/>
  <c r="BA23" i="46"/>
  <c r="BS23" i="46"/>
  <c r="AU23" i="46"/>
  <c r="FB23" i="46"/>
  <c r="W67" i="46"/>
  <c r="BY67" i="46"/>
  <c r="AF67" i="46"/>
  <c r="CE67" i="46"/>
  <c r="DF67" i="46"/>
  <c r="FE67" i="46"/>
  <c r="AC67" i="46"/>
  <c r="CB67" i="46"/>
  <c r="AL67" i="46"/>
  <c r="EG67" i="46"/>
  <c r="EP67" i="46"/>
  <c r="BA67" i="46"/>
  <c r="CZ67" i="46"/>
  <c r="BJ67" i="46"/>
  <c r="CW67" i="46"/>
  <c r="DX67" i="46"/>
  <c r="CH67" i="46"/>
  <c r="DU67" i="46"/>
  <c r="EV67" i="46"/>
  <c r="AI67" i="46"/>
  <c r="ED67" i="46"/>
  <c r="ES67" i="46"/>
  <c r="BG67" i="46"/>
  <c r="FB67" i="46"/>
  <c r="DC67" i="46"/>
  <c r="EA67" i="46"/>
  <c r="BV67" i="46"/>
  <c r="BD67" i="46"/>
  <c r="EY67" i="46"/>
  <c r="CN67" i="46"/>
  <c r="AR67" i="46"/>
  <c r="CT67" i="46"/>
  <c r="FK67" i="46"/>
  <c r="AO67" i="46"/>
  <c r="Z67" i="46"/>
  <c r="AU67" i="46"/>
  <c r="BM67" i="46"/>
  <c r="BS67" i="46"/>
  <c r="CQ67" i="46"/>
  <c r="DL67" i="46"/>
  <c r="CK67" i="46"/>
  <c r="EJ67" i="46"/>
  <c r="FH67" i="46"/>
  <c r="AX67" i="46"/>
  <c r="DF59" i="46"/>
  <c r="CH59" i="46"/>
  <c r="EA24" i="46"/>
  <c r="CH24" i="46"/>
  <c r="EY24" i="46"/>
  <c r="DF24" i="46"/>
  <c r="AI24" i="46"/>
  <c r="Z24" i="46"/>
  <c r="BG24" i="46"/>
  <c r="AU24" i="46"/>
  <c r="BV24" i="46"/>
  <c r="BM24" i="46"/>
  <c r="FK24" i="46"/>
  <c r="CK24" i="46"/>
  <c r="AL24" i="46"/>
  <c r="DI24" i="46"/>
  <c r="BY24" i="46"/>
  <c r="AF24" i="46"/>
  <c r="BJ24" i="46"/>
  <c r="EG24" i="46"/>
  <c r="DR24" i="46"/>
  <c r="DU24" i="46"/>
  <c r="CE24" i="46"/>
  <c r="ED24" i="46"/>
  <c r="FE24" i="46"/>
  <c r="BS24" i="46"/>
  <c r="DC24" i="46"/>
  <c r="FB24" i="46"/>
  <c r="CQ24" i="46"/>
  <c r="DO24" i="46"/>
  <c r="CN24" i="46"/>
  <c r="CZ24" i="46"/>
  <c r="AO24" i="46"/>
  <c r="EJ24" i="46"/>
  <c r="AC24" i="46"/>
  <c r="CB24" i="46"/>
  <c r="CW24" i="46"/>
  <c r="BD24" i="46"/>
  <c r="DL24" i="46"/>
  <c r="DX24" i="46"/>
  <c r="EV24" i="46"/>
  <c r="BP24" i="46"/>
  <c r="AX24" i="46"/>
  <c r="EM24" i="46"/>
  <c r="CT24" i="46"/>
  <c r="ES24" i="46"/>
  <c r="EP24" i="46"/>
  <c r="BA24" i="46"/>
  <c r="AR24" i="46"/>
  <c r="FH24" i="46"/>
  <c r="W24" i="46"/>
  <c r="W10" i="46"/>
  <c r="T29" i="46"/>
  <c r="W46" i="46"/>
  <c r="DX46" i="46"/>
  <c r="DF46" i="46"/>
  <c r="EV46" i="46"/>
  <c r="AX46" i="46"/>
  <c r="EG46" i="46"/>
  <c r="BY46" i="46"/>
  <c r="FH46" i="46"/>
  <c r="EJ46" i="46"/>
  <c r="DL46" i="46"/>
  <c r="DC46" i="46"/>
  <c r="FK46" i="46"/>
  <c r="EM46" i="46"/>
  <c r="AF46" i="46"/>
  <c r="ED46" i="46"/>
  <c r="FE46" i="46"/>
  <c r="BA46" i="46"/>
  <c r="EP46" i="46"/>
  <c r="BV46" i="46"/>
  <c r="CE46" i="46"/>
  <c r="AC46" i="46"/>
  <c r="BS46" i="46"/>
  <c r="EY46" i="46"/>
  <c r="BG46" i="46"/>
  <c r="AI46" i="46"/>
  <c r="ES46" i="46"/>
  <c r="CH46" i="46"/>
  <c r="BJ46" i="46"/>
  <c r="DI46" i="46"/>
  <c r="CK46" i="46"/>
  <c r="AL46" i="46"/>
  <c r="BD46" i="46"/>
  <c r="BM46" i="46"/>
  <c r="CB46" i="46"/>
  <c r="CN46" i="46"/>
  <c r="CZ46" i="46"/>
  <c r="Z46" i="46"/>
  <c r="DO46" i="46"/>
  <c r="AO46" i="46"/>
  <c r="CW46" i="46"/>
  <c r="AU46" i="46"/>
  <c r="AR46" i="46"/>
  <c r="CQ46" i="46"/>
  <c r="CT46" i="46"/>
  <c r="BP46" i="46"/>
  <c r="FB46" i="46"/>
  <c r="DR46" i="46"/>
  <c r="DU46" i="46"/>
  <c r="DO76" i="46"/>
  <c r="EG76" i="46"/>
  <c r="AR70" i="46"/>
  <c r="EA71" i="46"/>
  <c r="DI57" i="46"/>
  <c r="ES68" i="46"/>
  <c r="DU73" i="46"/>
  <c r="W20" i="46"/>
  <c r="BJ20" i="46"/>
  <c r="BM20" i="46"/>
  <c r="CH20" i="46"/>
  <c r="CK20" i="46"/>
  <c r="DF20" i="46"/>
  <c r="ED20" i="46"/>
  <c r="FB20" i="46"/>
  <c r="FE20" i="46"/>
  <c r="EJ20" i="46"/>
  <c r="FK20" i="46"/>
  <c r="EP20" i="46"/>
  <c r="FH20" i="46"/>
  <c r="AF20" i="46"/>
  <c r="AU20" i="46"/>
  <c r="Z20" i="46"/>
  <c r="CW20" i="46"/>
  <c r="AL20" i="46"/>
  <c r="AR20" i="46"/>
  <c r="BS20" i="46"/>
  <c r="AX20" i="46"/>
  <c r="EY20" i="46"/>
  <c r="AI20" i="46"/>
  <c r="BY20" i="46"/>
  <c r="AO20" i="46"/>
  <c r="BP20" i="46"/>
  <c r="CQ20" i="46"/>
  <c r="BV20" i="46"/>
  <c r="CZ20" i="46"/>
  <c r="BA20" i="46"/>
  <c r="BG20" i="46"/>
  <c r="EA20" i="46"/>
  <c r="BD20" i="46"/>
  <c r="DC20" i="46"/>
  <c r="DX20" i="46"/>
  <c r="CB20" i="46"/>
  <c r="ES20" i="46"/>
  <c r="DI20" i="46"/>
  <c r="CE20" i="46"/>
  <c r="EG20" i="46"/>
  <c r="CN20" i="46"/>
  <c r="DO20" i="46"/>
  <c r="CT20" i="46"/>
  <c r="DL20" i="46"/>
  <c r="EM20" i="46"/>
  <c r="DR20" i="46"/>
  <c r="EV20" i="46"/>
  <c r="DU20" i="46"/>
  <c r="AC20" i="46"/>
  <c r="AF12" i="46"/>
  <c r="CE12" i="46"/>
  <c r="AC12" i="46"/>
  <c r="DF12" i="46"/>
  <c r="BY12" i="46"/>
  <c r="BD12" i="46"/>
  <c r="FB12" i="46"/>
  <c r="AO12" i="46"/>
  <c r="DU12" i="46"/>
  <c r="CZ12" i="46"/>
  <c r="BG12" i="46"/>
  <c r="EG12" i="46"/>
  <c r="BV12" i="46"/>
  <c r="FH12" i="46"/>
  <c r="ES12" i="46"/>
  <c r="DX12" i="46"/>
  <c r="EV12" i="46"/>
  <c r="EA12" i="46"/>
  <c r="BJ12" i="46"/>
  <c r="AR12" i="46"/>
  <c r="EY12" i="46"/>
  <c r="CH12" i="46"/>
  <c r="ED12" i="46"/>
  <c r="EP12" i="46"/>
  <c r="FK12" i="46"/>
  <c r="W12" i="46"/>
  <c r="CW12" i="46"/>
  <c r="AL12" i="46"/>
  <c r="CT12" i="46"/>
  <c r="AU12" i="46"/>
  <c r="Z12" i="46"/>
  <c r="DL12" i="46"/>
  <c r="BM12" i="46"/>
  <c r="CQ12" i="46"/>
  <c r="AI12" i="46"/>
  <c r="CK12" i="46"/>
  <c r="BP12" i="46"/>
  <c r="BS12" i="46"/>
  <c r="DO12" i="46"/>
  <c r="DC12" i="46"/>
  <c r="DI12" i="46"/>
  <c r="CN12" i="46"/>
  <c r="BA12" i="46"/>
  <c r="CB12" i="46"/>
  <c r="AX12" i="46"/>
  <c r="FE12" i="46"/>
  <c r="DR12" i="46"/>
  <c r="EJ12" i="46"/>
  <c r="EM12" i="46"/>
  <c r="W25" i="46"/>
  <c r="Z25" i="46"/>
  <c r="DU25" i="46"/>
  <c r="AX25" i="46"/>
  <c r="ES25" i="46"/>
  <c r="CT25" i="46"/>
  <c r="CW25" i="46"/>
  <c r="DR25" i="46"/>
  <c r="EP25" i="46"/>
  <c r="AF25" i="46"/>
  <c r="ED25" i="46"/>
  <c r="AC25" i="46"/>
  <c r="CZ25" i="46"/>
  <c r="BA25" i="46"/>
  <c r="DX25" i="46"/>
  <c r="BV25" i="46"/>
  <c r="DC25" i="46"/>
  <c r="BS25" i="46"/>
  <c r="AR25" i="46"/>
  <c r="EA25" i="46"/>
  <c r="AL25" i="46"/>
  <c r="EJ25" i="46"/>
  <c r="AO25" i="46"/>
  <c r="DI25" i="46"/>
  <c r="BD25" i="46"/>
  <c r="EY25" i="46"/>
  <c r="BJ25" i="46"/>
  <c r="BP25" i="46"/>
  <c r="CQ25" i="46"/>
  <c r="FK25" i="46"/>
  <c r="CB25" i="46"/>
  <c r="CH25" i="46"/>
  <c r="EG25" i="46"/>
  <c r="FH25" i="46"/>
  <c r="EV25" i="46"/>
  <c r="DF25" i="46"/>
  <c r="CK25" i="46"/>
  <c r="BY25" i="46"/>
  <c r="AI25" i="46"/>
  <c r="FB25" i="46"/>
  <c r="EM25" i="46"/>
  <c r="FE25" i="46"/>
  <c r="AU25" i="46"/>
  <c r="BG25" i="46"/>
  <c r="BM25" i="46"/>
  <c r="CN25" i="46"/>
  <c r="DL25" i="46"/>
  <c r="DO25" i="46"/>
  <c r="CE25" i="46"/>
  <c r="W16" i="46"/>
  <c r="CT16" i="46"/>
  <c r="BY16" i="46"/>
  <c r="Z16" i="46"/>
  <c r="BA16" i="46"/>
  <c r="DX16" i="46"/>
  <c r="AX16" i="46"/>
  <c r="CW16" i="46"/>
  <c r="EV16" i="46"/>
  <c r="BV16" i="46"/>
  <c r="EP16" i="46"/>
  <c r="AF16" i="46"/>
  <c r="CE16" i="46"/>
  <c r="DF16" i="46"/>
  <c r="BD16" i="46"/>
  <c r="DC16" i="46"/>
  <c r="ED16" i="46"/>
  <c r="AC16" i="46"/>
  <c r="BG16" i="46"/>
  <c r="BP16" i="46"/>
  <c r="EJ16" i="46"/>
  <c r="DU16" i="46"/>
  <c r="EA16" i="46"/>
  <c r="AL16" i="46"/>
  <c r="AU16" i="46"/>
  <c r="EG16" i="46"/>
  <c r="ES16" i="46"/>
  <c r="CB16" i="46"/>
  <c r="EY16" i="46"/>
  <c r="BJ16" i="46"/>
  <c r="DL16" i="46"/>
  <c r="CZ16" i="46"/>
  <c r="CH16" i="46"/>
  <c r="FB16" i="46"/>
  <c r="AR16" i="46"/>
  <c r="BM16" i="46"/>
  <c r="DR16" i="46"/>
  <c r="DI16" i="46"/>
  <c r="DO16" i="46"/>
  <c r="FE16" i="46"/>
  <c r="FK16" i="46"/>
  <c r="AO16" i="46"/>
  <c r="CK16" i="46"/>
  <c r="AI16" i="46"/>
  <c r="CN16" i="46"/>
  <c r="FH16" i="46"/>
  <c r="EM16" i="46"/>
  <c r="BS16" i="46"/>
  <c r="CQ16" i="46"/>
  <c r="AC73" i="46"/>
  <c r="FE68" i="46"/>
  <c r="BM76" i="46"/>
  <c r="EM61" i="46"/>
  <c r="T27" i="46"/>
  <c r="W76" i="46"/>
  <c r="BV76" i="46"/>
  <c r="AC76" i="46"/>
  <c r="AF76" i="46"/>
  <c r="AI76" i="46"/>
  <c r="CK76" i="46"/>
  <c r="DI76" i="46"/>
  <c r="CT76" i="46"/>
  <c r="BA76" i="46"/>
  <c r="BD76" i="46"/>
  <c r="BG76" i="46"/>
  <c r="AL76" i="46"/>
  <c r="DR76" i="46"/>
  <c r="BY76" i="46"/>
  <c r="CB76" i="46"/>
  <c r="CE76" i="46"/>
  <c r="EP76" i="46"/>
  <c r="CW76" i="46"/>
  <c r="CZ76" i="46"/>
  <c r="DU76" i="46"/>
  <c r="DX76" i="46"/>
  <c r="EA76" i="46"/>
  <c r="DF76" i="46"/>
  <c r="ES76" i="46"/>
  <c r="EV76" i="46"/>
  <c r="EY76" i="46"/>
  <c r="Z76" i="46"/>
  <c r="W19" i="46"/>
  <c r="AU19" i="46"/>
  <c r="Z19" i="46"/>
  <c r="BS19" i="46"/>
  <c r="AX19" i="46"/>
  <c r="CQ19" i="46"/>
  <c r="DO19" i="46"/>
  <c r="EM19" i="46"/>
  <c r="FK19" i="46"/>
  <c r="DR19" i="46"/>
  <c r="CW19" i="46"/>
  <c r="DX19" i="46"/>
  <c r="EA19" i="46"/>
  <c r="BM19" i="46"/>
  <c r="EP19" i="46"/>
  <c r="DU19" i="46"/>
  <c r="EV19" i="46"/>
  <c r="EY19" i="46"/>
  <c r="ED19" i="46"/>
  <c r="ES19" i="46"/>
  <c r="AF19" i="46"/>
  <c r="AI19" i="46"/>
  <c r="AO19" i="46"/>
  <c r="AC19" i="46"/>
  <c r="BD19" i="46"/>
  <c r="BG19" i="46"/>
  <c r="BJ19" i="46"/>
  <c r="DL19" i="46"/>
  <c r="BP19" i="46"/>
  <c r="CK19" i="46"/>
  <c r="CH19" i="46"/>
  <c r="EG19" i="46"/>
  <c r="FB19" i="46"/>
  <c r="AL19" i="46"/>
  <c r="BA19" i="46"/>
  <c r="CB19" i="46"/>
  <c r="CE19" i="46"/>
  <c r="CN19" i="46"/>
  <c r="BV19" i="46"/>
  <c r="BY19" i="46"/>
  <c r="CZ19" i="46"/>
  <c r="DC19" i="46"/>
  <c r="FE19" i="46"/>
  <c r="CT19" i="46"/>
  <c r="EJ19" i="46"/>
  <c r="DF19" i="46"/>
  <c r="DI19" i="46"/>
  <c r="AR19" i="46"/>
  <c r="FH19" i="46"/>
  <c r="W73" i="46"/>
  <c r="DX73" i="46"/>
  <c r="AL73" i="46"/>
  <c r="EG73" i="46"/>
  <c r="EV73" i="46"/>
  <c r="DF73" i="46"/>
  <c r="ED73" i="46"/>
  <c r="CE73" i="46"/>
  <c r="AU73" i="46"/>
  <c r="FB73" i="46"/>
  <c r="EA73" i="46"/>
  <c r="CQ73" i="46"/>
  <c r="AX73" i="46"/>
  <c r="BA73" i="46"/>
  <c r="BS73" i="46"/>
  <c r="AR73" i="46"/>
  <c r="EM73" i="46"/>
  <c r="CT73" i="46"/>
  <c r="CW73" i="46"/>
  <c r="AF73" i="46"/>
  <c r="AO73" i="46"/>
  <c r="BP73" i="46"/>
  <c r="EP73" i="46"/>
  <c r="ES73" i="46"/>
  <c r="BD73" i="46"/>
  <c r="BM73" i="46"/>
  <c r="CN73" i="46"/>
  <c r="DC73" i="46"/>
  <c r="CB73" i="46"/>
  <c r="CK73" i="46"/>
  <c r="DL73" i="46"/>
  <c r="CZ73" i="46"/>
  <c r="BJ73" i="46"/>
  <c r="DI73" i="46"/>
  <c r="EJ73" i="46"/>
  <c r="W64" i="46"/>
  <c r="AC64" i="46"/>
  <c r="BG64" i="46"/>
  <c r="DI64" i="46"/>
  <c r="BA64" i="46"/>
  <c r="CE64" i="46"/>
  <c r="EG64" i="46"/>
  <c r="Z64" i="46"/>
  <c r="BY64" i="46"/>
  <c r="DC64" i="46"/>
  <c r="FE64" i="46"/>
  <c r="BP64" i="46"/>
  <c r="CW64" i="46"/>
  <c r="EA64" i="46"/>
  <c r="CZ64" i="46"/>
  <c r="DU64" i="46"/>
  <c r="EY64" i="46"/>
  <c r="EM64" i="46"/>
  <c r="AF64" i="46"/>
  <c r="DL64" i="46"/>
  <c r="FB64" i="46"/>
  <c r="CN64" i="46"/>
  <c r="ES64" i="46"/>
  <c r="AO64" i="46"/>
  <c r="EV64" i="46"/>
  <c r="FH64" i="46"/>
  <c r="BS64" i="46"/>
  <c r="DF64" i="46"/>
  <c r="AR64" i="46"/>
  <c r="EP64" i="46"/>
  <c r="CB64" i="46"/>
  <c r="DO64" i="46"/>
  <c r="AI64" i="46"/>
  <c r="BM64" i="46"/>
  <c r="AL64" i="46"/>
  <c r="BD64" i="46"/>
  <c r="FK64" i="46"/>
  <c r="BV64" i="46"/>
  <c r="ED64" i="46"/>
  <c r="AU64" i="46"/>
  <c r="CH64" i="46"/>
  <c r="EJ64" i="46"/>
  <c r="DR64" i="46"/>
  <c r="CT64" i="46"/>
  <c r="CK64" i="46"/>
  <c r="EA72" i="46"/>
  <c r="BS76" i="46"/>
  <c r="FH76" i="46"/>
  <c r="AO76" i="46"/>
  <c r="CQ70" i="46"/>
  <c r="FH73" i="46"/>
  <c r="FE73" i="46"/>
  <c r="CH73" i="46"/>
  <c r="DF68" i="46"/>
  <c r="AO68" i="46"/>
  <c r="CQ69" i="46"/>
  <c r="CW68" i="46"/>
  <c r="Z68" i="46"/>
  <c r="EG68" i="46"/>
  <c r="BS69" i="46"/>
  <c r="BY68" i="46"/>
  <c r="BG69" i="46"/>
  <c r="DU69" i="46"/>
  <c r="CE68" i="46"/>
  <c r="EV68" i="46"/>
  <c r="BG68" i="46"/>
  <c r="BD69" i="46"/>
  <c r="CW69" i="46"/>
  <c r="DX68" i="46"/>
  <c r="AL68" i="46"/>
  <c r="AF69" i="46"/>
  <c r="CB68" i="46"/>
  <c r="FH68" i="46"/>
  <c r="EY68" i="46"/>
  <c r="CZ69" i="46"/>
  <c r="EA68" i="46"/>
  <c r="FK69" i="46"/>
  <c r="AF68" i="46"/>
  <c r="W9" i="46"/>
  <c r="FE9" i="46"/>
  <c r="CQ9" i="46"/>
  <c r="ES9" i="46"/>
  <c r="EA9" i="46"/>
  <c r="AI9" i="46"/>
  <c r="EP9" i="46"/>
  <c r="AO9" i="46"/>
  <c r="FK9" i="46"/>
  <c r="DL9" i="46"/>
  <c r="Z9" i="46"/>
  <c r="BM9" i="46"/>
  <c r="EY9" i="46"/>
  <c r="BV9" i="46"/>
  <c r="AX9" i="46"/>
  <c r="CK9" i="46"/>
  <c r="AC9" i="46"/>
  <c r="DI9" i="46"/>
  <c r="BA9" i="46"/>
  <c r="CH9" i="46"/>
  <c r="EG9" i="46"/>
  <c r="AU9" i="46"/>
  <c r="DO9" i="46"/>
  <c r="DU9" i="46"/>
  <c r="AL9" i="46"/>
  <c r="DR9" i="46"/>
  <c r="BP9" i="46"/>
  <c r="EJ9" i="46"/>
  <c r="CT9" i="46"/>
  <c r="FB9" i="46"/>
  <c r="DX9" i="46"/>
  <c r="CB9" i="46"/>
  <c r="CN9" i="46"/>
  <c r="EV9" i="46"/>
  <c r="FH9" i="46"/>
  <c r="CZ9" i="46"/>
  <c r="DC9" i="46"/>
  <c r="DF9" i="46"/>
  <c r="BS9" i="46"/>
  <c r="BY9" i="46"/>
  <c r="EM9" i="46"/>
  <c r="CW9" i="46"/>
  <c r="AF9" i="46"/>
  <c r="ED9" i="46"/>
  <c r="BJ9" i="46"/>
  <c r="AR9" i="46"/>
  <c r="CE9" i="46"/>
  <c r="BD9" i="46"/>
  <c r="BG9" i="46"/>
  <c r="W68" i="46"/>
  <c r="DL68" i="46"/>
  <c r="BS68" i="46"/>
  <c r="CT68" i="46"/>
  <c r="DU68" i="46"/>
  <c r="BV68" i="46"/>
  <c r="BD68" i="46"/>
  <c r="BJ68" i="46"/>
  <c r="DR68" i="46"/>
  <c r="AU68" i="46"/>
  <c r="EP68" i="46"/>
  <c r="CZ68" i="46"/>
  <c r="AR68" i="46"/>
  <c r="CQ68" i="46"/>
  <c r="AC68" i="46"/>
  <c r="BP68" i="46"/>
  <c r="DO68" i="46"/>
  <c r="BA68" i="46"/>
  <c r="CN68" i="46"/>
  <c r="EM68" i="46"/>
  <c r="EJ68" i="46"/>
  <c r="FK68" i="46"/>
  <c r="W48" i="46"/>
  <c r="BV48" i="46"/>
  <c r="ES48" i="46"/>
  <c r="CT48" i="46"/>
  <c r="DR48" i="46"/>
  <c r="EP48" i="46"/>
  <c r="AC48" i="46"/>
  <c r="AF48" i="46"/>
  <c r="BA48" i="46"/>
  <c r="BD48" i="46"/>
  <c r="AI48" i="46"/>
  <c r="CQ48" i="46"/>
  <c r="FK48" i="46"/>
  <c r="AL48" i="46"/>
  <c r="FH48" i="46"/>
  <c r="Z48" i="46"/>
  <c r="BY48" i="46"/>
  <c r="BJ48" i="46"/>
  <c r="AX48" i="46"/>
  <c r="CW48" i="46"/>
  <c r="CB48" i="46"/>
  <c r="BG48" i="46"/>
  <c r="CH48" i="46"/>
  <c r="DU48" i="46"/>
  <c r="CZ48" i="46"/>
  <c r="CE48" i="46"/>
  <c r="DF48" i="46"/>
  <c r="DX48" i="46"/>
  <c r="DC48" i="46"/>
  <c r="ED48" i="46"/>
  <c r="EV48" i="46"/>
  <c r="EA48" i="46"/>
  <c r="FB48" i="46"/>
  <c r="EY48" i="46"/>
  <c r="AR48" i="46"/>
  <c r="AO48" i="46"/>
  <c r="DI48" i="46"/>
  <c r="BP48" i="46"/>
  <c r="EG48" i="46"/>
  <c r="AU48" i="46"/>
  <c r="CN48" i="46"/>
  <c r="EM48" i="46"/>
  <c r="DL48" i="46"/>
  <c r="BM48" i="46"/>
  <c r="DO48" i="46"/>
  <c r="EJ48" i="46"/>
  <c r="FE48" i="46"/>
  <c r="CK48" i="46"/>
  <c r="BS48" i="46"/>
  <c r="W69" i="46"/>
  <c r="EA69" i="46"/>
  <c r="CH69" i="46"/>
  <c r="EG69" i="46"/>
  <c r="FH69" i="46"/>
  <c r="Z69" i="46"/>
  <c r="CE69" i="46"/>
  <c r="ED69" i="46"/>
  <c r="CN69" i="46"/>
  <c r="DC69" i="46"/>
  <c r="FB69" i="46"/>
  <c r="AO69" i="46"/>
  <c r="DL69" i="46"/>
  <c r="EY69" i="46"/>
  <c r="BM69" i="46"/>
  <c r="EJ69" i="46"/>
  <c r="AU69" i="46"/>
  <c r="CK69" i="46"/>
  <c r="DI69" i="46"/>
  <c r="AL69" i="46"/>
  <c r="FE69" i="46"/>
  <c r="AI69" i="46"/>
  <c r="BJ69" i="46"/>
  <c r="W43" i="46"/>
  <c r="BG43" i="46"/>
  <c r="BS43" i="46"/>
  <c r="FB43" i="46"/>
  <c r="ED43" i="46"/>
  <c r="CE43" i="46"/>
  <c r="CT43" i="46"/>
  <c r="FE43" i="46"/>
  <c r="DC43" i="46"/>
  <c r="DU43" i="46"/>
  <c r="FH43" i="46"/>
  <c r="CH43" i="46"/>
  <c r="EA43" i="46"/>
  <c r="EV43" i="46"/>
  <c r="DI43" i="46"/>
  <c r="EY43" i="46"/>
  <c r="AU43" i="46"/>
  <c r="EJ43" i="46"/>
  <c r="DX43" i="46"/>
  <c r="BY43" i="46"/>
  <c r="CZ43" i="46"/>
  <c r="Z43" i="46"/>
  <c r="AC43" i="46"/>
  <c r="BA43" i="46"/>
  <c r="BD43" i="46"/>
  <c r="AF43" i="46"/>
  <c r="CB43" i="46"/>
  <c r="FK43" i="46"/>
  <c r="CQ43" i="46"/>
  <c r="DL43" i="46"/>
  <c r="AI43" i="46"/>
  <c r="DF43" i="46"/>
  <c r="EG43" i="46"/>
  <c r="BV43" i="46"/>
  <c r="AR43" i="46"/>
  <c r="CW43" i="46"/>
  <c r="AX43" i="46"/>
  <c r="AO43" i="46"/>
  <c r="BJ43" i="46"/>
  <c r="DO43" i="46"/>
  <c r="DR43" i="46"/>
  <c r="CN43" i="46"/>
  <c r="CK43" i="46"/>
  <c r="BM43" i="46"/>
  <c r="AL43" i="46"/>
  <c r="EM43" i="46"/>
  <c r="ES43" i="46"/>
  <c r="EP43" i="46"/>
  <c r="BP43" i="46"/>
  <c r="AI68" i="46"/>
  <c r="EP69" i="46"/>
  <c r="DX69" i="46"/>
  <c r="CT69" i="46"/>
  <c r="CH68" i="46"/>
  <c r="DR69" i="46"/>
  <c r="AX69" i="46"/>
  <c r="ED68" i="46"/>
  <c r="ES69" i="46"/>
  <c r="EM69" i="46"/>
  <c r="BP69" i="46"/>
  <c r="DF69" i="46"/>
  <c r="EL164" i="46"/>
  <c r="FJ164" i="46"/>
  <c r="EO164" i="46"/>
  <c r="ER164" i="46"/>
  <c r="EU164" i="46"/>
  <c r="EX164" i="46"/>
  <c r="FD164" i="46"/>
  <c r="FG164" i="46"/>
  <c r="FA164" i="46"/>
  <c r="AF257" i="46"/>
  <c r="BD257" i="46"/>
  <c r="CB257" i="46"/>
  <c r="CZ257" i="46"/>
  <c r="DX257" i="46"/>
  <c r="EV257" i="46"/>
  <c r="AI257" i="46"/>
  <c r="BG257" i="46"/>
  <c r="CE257" i="46"/>
  <c r="DC257" i="46"/>
  <c r="EA257" i="46"/>
  <c r="EY257" i="46"/>
  <c r="AR257" i="46"/>
  <c r="BP257" i="46"/>
  <c r="CN257" i="46"/>
  <c r="DL257" i="46"/>
  <c r="EJ257" i="46"/>
  <c r="FH257" i="46"/>
  <c r="W257" i="46"/>
  <c r="AU257" i="46"/>
  <c r="BS257" i="46"/>
  <c r="CQ257" i="46"/>
  <c r="DO257" i="46"/>
  <c r="EM257" i="46"/>
  <c r="FK257" i="46"/>
  <c r="Z257" i="46"/>
  <c r="BV257" i="46"/>
  <c r="DR257" i="46"/>
  <c r="AC257" i="46"/>
  <c r="BY257" i="46"/>
  <c r="DU257" i="46"/>
  <c r="AL257" i="46"/>
  <c r="CH257" i="46"/>
  <c r="ED257" i="46"/>
  <c r="AO257" i="46"/>
  <c r="CK257" i="46"/>
  <c r="EG257" i="46"/>
  <c r="AX257" i="46"/>
  <c r="CT257" i="46"/>
  <c r="EP257" i="46"/>
  <c r="BA257" i="46"/>
  <c r="CW257" i="46"/>
  <c r="ES257" i="46"/>
  <c r="DF257" i="46"/>
  <c r="DI257" i="46"/>
  <c r="FB257" i="46"/>
  <c r="FE257" i="46"/>
  <c r="BJ257" i="46"/>
  <c r="BM257" i="46"/>
  <c r="CW55" i="46"/>
  <c r="DX55" i="46"/>
  <c r="DR55" i="46"/>
  <c r="DO55" i="46"/>
  <c r="EJ55" i="46"/>
  <c r="EG55" i="46"/>
  <c r="AI55" i="46"/>
  <c r="EY55" i="46"/>
  <c r="BG55" i="46"/>
  <c r="CT55" i="46"/>
  <c r="CQ55" i="46"/>
  <c r="DL55" i="46"/>
  <c r="DI55" i="46"/>
  <c r="W55" i="46"/>
  <c r="EV55" i="46"/>
  <c r="DC55" i="46"/>
  <c r="BV55" i="46"/>
  <c r="BS55" i="46"/>
  <c r="CN55" i="46"/>
  <c r="CK55" i="46"/>
  <c r="FB55" i="46"/>
  <c r="AC55" i="46"/>
  <c r="CZ55" i="46"/>
  <c r="BA55" i="46"/>
  <c r="AX55" i="46"/>
  <c r="AU55" i="46"/>
  <c r="BP55" i="46"/>
  <c r="BM55" i="46"/>
  <c r="ED55" i="46"/>
  <c r="DU55" i="46"/>
  <c r="Z55" i="46"/>
  <c r="AR55" i="46"/>
  <c r="AO55" i="46"/>
  <c r="DF55" i="46"/>
  <c r="CE55" i="46"/>
  <c r="EA55" i="46"/>
  <c r="BD55" i="46"/>
  <c r="CH55" i="46"/>
  <c r="ES55" i="46"/>
  <c r="BY55" i="46"/>
  <c r="FK55" i="46"/>
  <c r="BJ55" i="46"/>
  <c r="AF55" i="46"/>
  <c r="CB55" i="46"/>
  <c r="EP55" i="46"/>
  <c r="EM55" i="46"/>
  <c r="FH55" i="46"/>
  <c r="FE55" i="46"/>
  <c r="DR31" i="46"/>
  <c r="BS31" i="46"/>
  <c r="FK31" i="46"/>
  <c r="Z31" i="46"/>
  <c r="CN31" i="46"/>
  <c r="CH31" i="46"/>
  <c r="AF31" i="46"/>
  <c r="DU31" i="46"/>
  <c r="DL31" i="46"/>
  <c r="CT31" i="46"/>
  <c r="FE31" i="46"/>
  <c r="BJ31" i="46"/>
  <c r="EY31" i="46"/>
  <c r="CW31" i="46"/>
  <c r="BY54" i="46"/>
  <c r="CW54" i="46"/>
  <c r="DU54" i="46"/>
  <c r="ES54" i="46"/>
  <c r="AC54" i="46"/>
  <c r="BA54" i="46"/>
  <c r="AF54" i="46"/>
  <c r="CQ54" i="46"/>
  <c r="AX54" i="46"/>
  <c r="BP54" i="46"/>
  <c r="CZ54" i="46"/>
  <c r="BV54" i="46"/>
  <c r="AU54" i="46"/>
  <c r="CE54" i="46"/>
  <c r="Z54" i="46"/>
  <c r="DX54" i="46"/>
  <c r="EY54" i="46"/>
  <c r="DC54" i="46"/>
  <c r="FE54" i="46"/>
  <c r="EJ54" i="46"/>
  <c r="FB54" i="46"/>
  <c r="DI54" i="46"/>
  <c r="DO54" i="46"/>
  <c r="EG54" i="46"/>
  <c r="CN54" i="46"/>
  <c r="CT54" i="46"/>
  <c r="DL54" i="46"/>
  <c r="EA54" i="46"/>
  <c r="BJ54" i="46"/>
  <c r="DF54" i="46"/>
  <c r="AO54" i="46"/>
  <c r="CK54" i="46"/>
  <c r="FK54" i="46"/>
  <c r="CH54" i="46"/>
  <c r="EP54" i="46"/>
  <c r="FH54" i="46"/>
  <c r="BM54" i="46"/>
  <c r="CB54" i="46"/>
  <c r="EM54" i="46"/>
  <c r="ED54" i="46"/>
  <c r="AR54" i="46"/>
  <c r="BG54" i="46"/>
  <c r="DR54" i="46"/>
  <c r="BS54" i="46"/>
  <c r="W54" i="46"/>
  <c r="AL54" i="46"/>
  <c r="BD54" i="46"/>
  <c r="EV54" i="46"/>
  <c r="AI54" i="46"/>
  <c r="DO31" i="46"/>
  <c r="AU31" i="46"/>
  <c r="AR31" i="46"/>
  <c r="EM31" i="46"/>
  <c r="EG31" i="46"/>
  <c r="AL31" i="46"/>
  <c r="EA31" i="46"/>
  <c r="BY31" i="46"/>
  <c r="Z30" i="46"/>
  <c r="CE30" i="46"/>
  <c r="CH30" i="46"/>
  <c r="AF30" i="46"/>
  <c r="AL30" i="46"/>
  <c r="BG30" i="46"/>
  <c r="CB30" i="46"/>
  <c r="CQ30" i="46"/>
  <c r="BY30" i="46"/>
  <c r="W30" i="46"/>
  <c r="BS30" i="46"/>
  <c r="BP30" i="46"/>
  <c r="BD30" i="46"/>
  <c r="AX30" i="46"/>
  <c r="AI30" i="46"/>
  <c r="CT30" i="46"/>
  <c r="BJ30" i="46"/>
  <c r="AO30" i="46"/>
  <c r="AR30" i="46"/>
  <c r="CK30" i="46"/>
  <c r="BV30" i="46"/>
  <c r="BA30" i="46"/>
  <c r="BM30" i="46"/>
  <c r="EP30" i="46"/>
  <c r="AU30" i="46"/>
  <c r="CN30" i="46"/>
  <c r="AC30" i="46"/>
  <c r="BV31" i="46"/>
  <c r="DI31" i="46"/>
  <c r="DC31" i="46"/>
  <c r="EV31" i="46"/>
  <c r="BA31" i="46"/>
  <c r="AX31" i="46"/>
  <c r="CK31" i="46"/>
  <c r="CE31" i="46"/>
  <c r="DX31" i="46"/>
  <c r="AC31" i="46"/>
  <c r="W31" i="46"/>
  <c r="BP31" i="46"/>
  <c r="BM31" i="46"/>
  <c r="FB31" i="46"/>
  <c r="BG31" i="46"/>
  <c r="CZ31" i="46"/>
  <c r="EJ31" i="46"/>
  <c r="FH31" i="46"/>
  <c r="AO31" i="46"/>
  <c r="ED31" i="46"/>
  <c r="AI31" i="46"/>
  <c r="CB31" i="46"/>
  <c r="CQ31" i="46"/>
  <c r="EP31" i="46"/>
  <c r="DF31" i="46"/>
  <c r="BD31" i="46"/>
  <c r="ES31" i="46"/>
  <c r="AC6" i="46"/>
  <c r="AO6" i="46"/>
  <c r="BA6" i="46"/>
  <c r="BM6" i="46"/>
  <c r="BY6" i="46"/>
  <c r="CK6" i="46"/>
  <c r="AF6" i="46"/>
  <c r="AR6" i="46"/>
  <c r="BD6" i="46"/>
  <c r="BP6" i="46"/>
  <c r="CB6" i="46"/>
  <c r="CN6" i="46"/>
  <c r="AI6" i="46"/>
  <c r="AU6" i="46"/>
  <c r="BG6" i="46"/>
  <c r="BS6" i="46"/>
  <c r="CE6" i="46"/>
  <c r="CQ6" i="46"/>
  <c r="EA6" i="46"/>
  <c r="Z6" i="46"/>
  <c r="AL6" i="46"/>
  <c r="AX6" i="46"/>
  <c r="BJ6" i="46"/>
  <c r="BV6" i="46"/>
  <c r="CH6" i="46"/>
  <c r="CT6" i="46"/>
  <c r="W6" i="46"/>
  <c r="AO11" i="46"/>
  <c r="EM11" i="46"/>
  <c r="FK11" i="46"/>
  <c r="DX11" i="46"/>
  <c r="CW11" i="46"/>
  <c r="AL11" i="46"/>
  <c r="DL11" i="46"/>
  <c r="CQ11" i="46"/>
  <c r="CN11" i="46"/>
  <c r="BM11" i="46"/>
  <c r="EJ11" i="46"/>
  <c r="FB11" i="46"/>
  <c r="CT11" i="46"/>
  <c r="BY11" i="46"/>
  <c r="DR11" i="46"/>
  <c r="DI11" i="46"/>
  <c r="FH11" i="46"/>
  <c r="EA11" i="46"/>
  <c r="BS11" i="46"/>
  <c r="BA11" i="46"/>
  <c r="BJ11" i="46"/>
  <c r="CH11" i="46"/>
  <c r="EG11" i="46"/>
  <c r="FE11" i="46"/>
  <c r="CZ11" i="46"/>
  <c r="AR11" i="46"/>
  <c r="AC11" i="46"/>
  <c r="BG11" i="46"/>
  <c r="DF11" i="46"/>
  <c r="ED11" i="46"/>
  <c r="BV11" i="46"/>
  <c r="W34" i="46"/>
  <c r="DO11" i="46"/>
  <c r="EV11" i="46"/>
  <c r="AF11" i="46"/>
  <c r="CE11" i="46"/>
  <c r="DC11" i="46"/>
  <c r="AU11" i="46"/>
  <c r="EM59" i="46"/>
  <c r="CN59" i="46"/>
  <c r="CK59" i="46"/>
  <c r="AO59" i="46"/>
  <c r="BS59" i="46"/>
  <c r="BJ59" i="46"/>
  <c r="EY59" i="46"/>
  <c r="BM59" i="46"/>
  <c r="AL59" i="46"/>
  <c r="EA59" i="46"/>
  <c r="DC59" i="46"/>
  <c r="CT59" i="46"/>
  <c r="CW59" i="46"/>
  <c r="EV59" i="46"/>
  <c r="DR59" i="46"/>
  <c r="DU59" i="46"/>
  <c r="EP59" i="46"/>
  <c r="ES59" i="46"/>
  <c r="AF59" i="46"/>
  <c r="BD59" i="46"/>
  <c r="Z59" i="46"/>
  <c r="AC59" i="46"/>
  <c r="CB59" i="46"/>
  <c r="AX59" i="46"/>
  <c r="BA59" i="46"/>
  <c r="CZ59" i="46"/>
  <c r="W59" i="46"/>
  <c r="BV59" i="46"/>
  <c r="BY59" i="46"/>
  <c r="DX59" i="46"/>
  <c r="FH35" i="46"/>
  <c r="EM35" i="46"/>
  <c r="EP35" i="46"/>
  <c r="BA35" i="46"/>
  <c r="CB35" i="46"/>
  <c r="EY35" i="46"/>
  <c r="AI35" i="46"/>
  <c r="BJ35" i="46"/>
  <c r="W35" i="46"/>
  <c r="FK35" i="46"/>
  <c r="BY35" i="46"/>
  <c r="CZ35" i="46"/>
  <c r="CK35" i="46"/>
  <c r="ED35" i="46"/>
  <c r="CW35" i="46"/>
  <c r="DX35" i="46"/>
  <c r="CE35" i="46"/>
  <c r="FB35" i="46"/>
  <c r="AL35" i="46"/>
  <c r="AR35" i="46"/>
  <c r="Z35" i="46"/>
  <c r="DU35" i="46"/>
  <c r="EV35" i="46"/>
  <c r="EG35" i="46"/>
  <c r="DC35" i="46"/>
  <c r="BM35" i="46"/>
  <c r="DI35" i="46"/>
  <c r="EA35" i="46"/>
  <c r="BP35" i="46"/>
  <c r="AU35" i="46"/>
  <c r="AX35" i="46"/>
  <c r="ES35" i="46"/>
  <c r="FE35" i="46"/>
  <c r="BG35" i="46"/>
  <c r="CN35" i="46"/>
  <c r="BS35" i="46"/>
  <c r="BV35" i="46"/>
  <c r="AO35" i="46"/>
  <c r="DF35" i="46"/>
  <c r="DL35" i="46"/>
  <c r="CQ35" i="46"/>
  <c r="CT35" i="46"/>
  <c r="AF35" i="46"/>
  <c r="EJ35" i="46"/>
  <c r="DO35" i="46"/>
  <c r="DR35" i="46"/>
  <c r="AC35" i="46"/>
  <c r="BD35" i="46"/>
  <c r="CH35" i="46"/>
  <c r="BP59" i="46"/>
  <c r="FK59" i="46"/>
  <c r="CE59" i="46"/>
  <c r="DO59" i="46"/>
  <c r="DL59" i="46"/>
  <c r="DI59" i="46"/>
  <c r="FH59" i="46"/>
  <c r="FB59" i="46"/>
  <c r="BG59" i="46"/>
  <c r="EJ59" i="46"/>
  <c r="EG59" i="46"/>
  <c r="AU59" i="46"/>
  <c r="AR59" i="46"/>
  <c r="CQ59" i="46"/>
  <c r="FE59" i="46"/>
  <c r="ED59" i="46"/>
  <c r="AI59" i="46"/>
  <c r="EP34" i="46"/>
  <c r="AU34" i="46"/>
  <c r="CN34" i="46"/>
  <c r="AL34" i="46"/>
  <c r="AC34" i="46"/>
  <c r="CZ34" i="46"/>
  <c r="EG34" i="46"/>
  <c r="AI10" i="46"/>
  <c r="EM10" i="46"/>
  <c r="FH10" i="46"/>
  <c r="ED10" i="46"/>
  <c r="DR10" i="46"/>
  <c r="EV10" i="46"/>
  <c r="CH10" i="46"/>
  <c r="EJ10" i="46"/>
  <c r="DC10" i="46"/>
  <c r="FB10" i="46"/>
  <c r="EY10" i="46"/>
  <c r="EG10" i="46"/>
  <c r="BS10" i="46"/>
  <c r="CT10" i="46"/>
  <c r="AF10" i="46"/>
  <c r="DF10" i="46"/>
  <c r="CB10" i="46"/>
  <c r="EA10" i="46"/>
  <c r="DX10" i="46"/>
  <c r="DI10" i="46"/>
  <c r="AR10" i="46"/>
  <c r="CE10" i="46"/>
  <c r="BA10" i="46"/>
  <c r="CZ10" i="46"/>
  <c r="CW10" i="46"/>
  <c r="CK10" i="46"/>
  <c r="FK10" i="46"/>
  <c r="ES10" i="46"/>
  <c r="BD10" i="46"/>
  <c r="Z10" i="46"/>
  <c r="BY10" i="46"/>
  <c r="BV10" i="46"/>
  <c r="BM10" i="46"/>
  <c r="BP10" i="46"/>
  <c r="DO10" i="46"/>
  <c r="DL10" i="46"/>
  <c r="CQ10" i="46"/>
  <c r="AC10" i="46"/>
  <c r="AX10" i="46"/>
  <c r="AU10" i="46"/>
  <c r="AO10" i="46"/>
  <c r="BG10" i="46"/>
  <c r="AL10" i="46"/>
  <c r="EP10" i="46"/>
  <c r="BJ10" i="46"/>
  <c r="DU10" i="46"/>
  <c r="CN10" i="46"/>
  <c r="FE10" i="46"/>
  <c r="T34" i="46"/>
  <c r="FB34" i="46"/>
  <c r="FE34" i="46"/>
  <c r="CK34" i="46"/>
  <c r="CB34" i="46"/>
  <c r="DR34" i="46"/>
  <c r="BM34" i="46"/>
  <c r="AR34" i="46"/>
  <c r="EM34" i="46"/>
  <c r="FH34" i="46"/>
  <c r="BD34" i="46"/>
  <c r="CT34" i="46"/>
  <c r="CQ34" i="46"/>
  <c r="FK34" i="46"/>
  <c r="DO34" i="46"/>
  <c r="AF34" i="46"/>
  <c r="ES34" i="46"/>
  <c r="BV34" i="46"/>
  <c r="DL34" i="46"/>
  <c r="DC34" i="46"/>
  <c r="AO34" i="46"/>
  <c r="EA34" i="46"/>
  <c r="BP34" i="46"/>
  <c r="ED34" i="46"/>
  <c r="CE34" i="46"/>
  <c r="DU34" i="46"/>
  <c r="AX34" i="46"/>
  <c r="DI34" i="46"/>
  <c r="BS34" i="46"/>
  <c r="DF34" i="46"/>
  <c r="BG34" i="46"/>
  <c r="CW34" i="46"/>
  <c r="Z34" i="46"/>
  <c r="EY34" i="46"/>
  <c r="CH34" i="46"/>
  <c r="AI34" i="46"/>
  <c r="EV34" i="46"/>
  <c r="BY34" i="46"/>
  <c r="EJ34" i="46"/>
  <c r="BJ34" i="46"/>
  <c r="DX34" i="46"/>
  <c r="BA34" i="46"/>
  <c r="AO42" i="46"/>
  <c r="BM42" i="46"/>
  <c r="CK42" i="46"/>
  <c r="DI42" i="46"/>
  <c r="EG42" i="46"/>
  <c r="FE42" i="46"/>
  <c r="FB42" i="46"/>
  <c r="AR42" i="46"/>
  <c r="BP42" i="46"/>
  <c r="CN42" i="46"/>
  <c r="DL42" i="46"/>
  <c r="EJ42" i="46"/>
  <c r="FH42" i="46"/>
  <c r="BJ42" i="46"/>
  <c r="AU42" i="46"/>
  <c r="BS42" i="46"/>
  <c r="CQ42" i="46"/>
  <c r="DO42" i="46"/>
  <c r="EM42" i="46"/>
  <c r="FK42" i="46"/>
  <c r="AL42" i="46"/>
  <c r="Z42" i="46"/>
  <c r="AX42" i="46"/>
  <c r="BV42" i="46"/>
  <c r="CT42" i="46"/>
  <c r="DR42" i="46"/>
  <c r="EP42" i="46"/>
  <c r="CH42" i="46"/>
  <c r="AC42" i="46"/>
  <c r="BA42" i="46"/>
  <c r="BY42" i="46"/>
  <c r="CW42" i="46"/>
  <c r="DU42" i="46"/>
  <c r="ES42" i="46"/>
  <c r="DF42" i="46"/>
  <c r="AF42" i="46"/>
  <c r="BD42" i="46"/>
  <c r="CB42" i="46"/>
  <c r="CZ42" i="46"/>
  <c r="DX42" i="46"/>
  <c r="EV42" i="46"/>
  <c r="ED42" i="46"/>
  <c r="AI42" i="46"/>
  <c r="BG42" i="46"/>
  <c r="CE42" i="46"/>
  <c r="DC42" i="46"/>
  <c r="EA42" i="46"/>
  <c r="EY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C100" i="3" l="1"/>
  <c r="CT258" i="46"/>
  <c r="AX258" i="46"/>
  <c r="CK258" i="46"/>
  <c r="DT67" i="3"/>
  <c r="BV258" i="46"/>
  <c r="DX258" i="46"/>
  <c r="CN258" i="46"/>
  <c r="AO258" i="46"/>
  <c r="CB258" i="46"/>
  <c r="AU258" i="46"/>
  <c r="FE258" i="46"/>
  <c r="CZ258" i="46"/>
  <c r="EG258" i="46"/>
  <c r="W258" i="46"/>
  <c r="DI258" i="46"/>
  <c r="FK258" i="46"/>
  <c r="EM258" i="46"/>
  <c r="BD258" i="46"/>
  <c r="T258" i="46"/>
  <c r="AF258" i="46"/>
  <c r="EV258" i="46"/>
  <c r="BA258" i="46"/>
  <c r="BY258" i="46"/>
  <c r="BS258" i="46"/>
  <c r="DU258" i="46"/>
  <c r="DO258" i="46"/>
  <c r="BG258" i="46"/>
  <c r="EY258" i="46"/>
  <c r="DF258" i="46"/>
  <c r="AI258" i="46"/>
  <c r="CW258" i="46"/>
  <c r="AL258" i="46"/>
  <c r="ES258" i="46"/>
  <c r="FB258" i="46"/>
  <c r="EA258" i="46"/>
  <c r="ED258" i="46"/>
  <c r="AR258" i="46"/>
  <c r="DL258" i="46"/>
  <c r="DR258" i="46"/>
  <c r="BJ258" i="46"/>
  <c r="DT100" i="3"/>
  <c r="CE258" i="46"/>
  <c r="FH258" i="46"/>
  <c r="EJ258" i="46"/>
  <c r="AC258" i="46"/>
  <c r="Z258" i="46"/>
  <c r="EP258" i="46"/>
  <c r="DC258" i="46"/>
  <c r="CH258" i="46"/>
  <c r="DL256" i="46"/>
  <c r="DI256" i="46"/>
  <c r="EM256" i="46"/>
  <c r="BJ256" i="46"/>
  <c r="W256" i="46"/>
  <c r="ES256" i="46"/>
  <c r="DT137" i="3"/>
  <c r="DT130" i="3"/>
  <c r="DT59" i="3"/>
  <c r="AC27" i="3"/>
  <c r="AC119" i="3"/>
  <c r="DT142" i="3"/>
  <c r="AC43" i="3"/>
  <c r="AC35" i="3"/>
  <c r="AC83" i="3"/>
  <c r="AC51" i="3"/>
  <c r="AC142" i="3"/>
  <c r="DT146" i="3"/>
  <c r="DT119" i="3"/>
  <c r="DO256" i="46"/>
  <c r="DR256" i="46"/>
  <c r="AC256" i="46"/>
  <c r="EA256" i="46"/>
  <c r="AR256" i="46"/>
  <c r="BP256" i="46"/>
  <c r="AG158" i="3"/>
  <c r="FH256" i="46"/>
  <c r="AU256" i="46"/>
  <c r="DC256" i="46"/>
  <c r="T256" i="46"/>
  <c r="CW256" i="46"/>
  <c r="DU256" i="46"/>
  <c r="FB256" i="46"/>
  <c r="EJ256" i="46"/>
  <c r="AF256" i="46"/>
  <c r="BS256" i="46"/>
  <c r="BG256" i="46"/>
  <c r="EY256" i="46"/>
  <c r="CZ256" i="46"/>
  <c r="CB256" i="46"/>
  <c r="CT256" i="46"/>
  <c r="EP256" i="46"/>
  <c r="BM256" i="46"/>
  <c r="BD256" i="46"/>
  <c r="BV256" i="46"/>
  <c r="EV256" i="46"/>
  <c r="CH256" i="46"/>
  <c r="AO256" i="46"/>
  <c r="Z256" i="46"/>
  <c r="CK256" i="46"/>
  <c r="FK256" i="46"/>
  <c r="DF256" i="46"/>
  <c r="AX256" i="46"/>
  <c r="FE256" i="46"/>
  <c r="CE256" i="46"/>
  <c r="AI256" i="46"/>
  <c r="EG256" i="46"/>
  <c r="BY256" i="46"/>
  <c r="DX256" i="46"/>
  <c r="BA256" i="46"/>
  <c r="ED256" i="46"/>
  <c r="DT11" i="3"/>
  <c r="DT75" i="3"/>
  <c r="AL256" i="46"/>
  <c r="CQ256" i="46"/>
  <c r="DT83" i="3"/>
  <c r="AC11" i="3"/>
  <c r="AC130" i="3"/>
  <c r="AC19" i="3"/>
  <c r="AC67" i="3"/>
  <c r="AC91" i="3"/>
  <c r="AC59" i="3"/>
  <c r="DT35" i="3"/>
  <c r="DT19" i="3"/>
  <c r="EP78" i="46"/>
  <c r="CN78" i="46"/>
  <c r="DI78" i="46"/>
  <c r="ED78" i="46"/>
  <c r="EA78" i="46"/>
  <c r="AU78" i="46"/>
  <c r="DO78" i="46"/>
  <c r="BJ78" i="46"/>
  <c r="AX78" i="46"/>
  <c r="DX78" i="46"/>
  <c r="ES78" i="46"/>
  <c r="EM78" i="46"/>
  <c r="FB78" i="46"/>
  <c r="BG78" i="46"/>
  <c r="EJ78" i="46"/>
  <c r="EG78" i="46"/>
  <c r="CK78" i="46"/>
  <c r="BP78" i="46"/>
  <c r="CH78" i="46"/>
  <c r="CZ78" i="46"/>
  <c r="BA78" i="46"/>
  <c r="CQ78" i="46"/>
  <c r="Z78" i="46"/>
  <c r="AL78" i="46"/>
  <c r="AO78" i="46"/>
  <c r="FK78" i="46"/>
  <c r="CE78" i="46"/>
  <c r="FH78" i="46"/>
  <c r="CW78" i="46"/>
  <c r="AI78" i="46"/>
  <c r="AF78" i="46"/>
  <c r="CT78" i="46"/>
  <c r="DL78" i="46"/>
  <c r="BY78" i="46"/>
  <c r="AC78" i="46"/>
  <c r="BV78" i="46"/>
  <c r="BS78" i="46"/>
  <c r="DF78" i="46"/>
  <c r="EY78" i="46"/>
  <c r="EV78" i="46"/>
  <c r="AR78" i="46"/>
  <c r="BM78" i="46"/>
  <c r="DC78" i="46"/>
  <c r="DU78" i="46"/>
  <c r="BD45" i="3"/>
  <c r="BC45" i="3" s="1"/>
  <c r="CB78" i="46"/>
  <c r="BD78" i="46"/>
  <c r="DR78" i="46"/>
  <c r="FE78" i="46"/>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E9" i="48"/>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A14" i="3" l="1"/>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E10" i="48"/>
  <c r="F9" i="48" a="1"/>
  <c r="F9" i="48"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F10" i="48" a="1"/>
  <c r="F10" i="48" s="1"/>
  <c r="E11" i="48"/>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AH41" i="32"/>
  <c r="AH32" i="32"/>
  <c r="AF37" i="32"/>
  <c r="AH11" i="32"/>
  <c r="AH34" i="32"/>
  <c r="AF66" i="32"/>
  <c r="AG66" i="32" s="1"/>
  <c r="V66" i="32" s="1"/>
  <c r="AH10" i="32"/>
  <c r="AF5" i="32"/>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W37" i="32" s="1"/>
  <c r="AH39" i="32"/>
  <c r="AF86" i="32"/>
  <c r="AG86" i="32" s="1"/>
  <c r="V86" i="32" s="1"/>
  <c r="AF55" i="32"/>
  <c r="AG55" i="32" s="1"/>
  <c r="V55" i="32" s="1"/>
  <c r="AF45" i="32"/>
  <c r="AG45" i="32" s="1"/>
  <c r="AF8" i="32"/>
  <c r="AG8" i="32" s="1"/>
  <c r="AF7" i="32"/>
  <c r="AG7" i="32" s="1"/>
  <c r="AF31" i="32"/>
  <c r="U33" i="32" s="1"/>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F11" i="48" a="1"/>
  <c r="F11" i="48" s="1"/>
  <c r="E12" i="48"/>
  <c r="W14" i="32" l="1"/>
  <c r="W7" i="32"/>
  <c r="U3" i="32"/>
  <c r="W32" i="32"/>
  <c r="W42"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V25" i="32"/>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10" i="32"/>
  <c r="V8" i="32"/>
  <c r="V21" i="32"/>
  <c r="V48" i="32"/>
  <c r="V14" i="32"/>
  <c r="V50" i="32"/>
  <c r="V46" i="32"/>
  <c r="V43" i="32"/>
  <c r="V35" i="32"/>
  <c r="V40" i="32"/>
  <c r="V24" i="32"/>
  <c r="V23"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E13" i="48"/>
  <c r="F12" i="48" a="1"/>
  <c r="F12" i="48" s="1"/>
  <c r="BP47" i="3"/>
  <c r="BP42" i="3"/>
  <c r="BP14" i="3"/>
  <c r="BP23" i="3"/>
  <c r="BP44" i="3"/>
  <c r="BP6" i="3"/>
  <c r="BP25" i="3"/>
  <c r="BP36" i="3"/>
  <c r="BP13" i="3"/>
  <c r="BP24" i="3"/>
  <c r="BP53" i="3"/>
  <c r="BP9" i="3"/>
  <c r="BP45" i="3"/>
  <c r="BP27" i="3"/>
  <c r="BP18" i="3"/>
  <c r="BP28" i="3"/>
  <c r="BP50" i="3"/>
  <c r="V20" i="32" l="1"/>
  <c r="V44" i="32"/>
  <c r="V30" i="32"/>
  <c r="V34" i="32"/>
  <c r="V39" i="32"/>
  <c r="V36" i="32"/>
  <c r="V22" i="32"/>
  <c r="V5" i="32"/>
  <c r="H113" i="3"/>
  <c r="AK99" i="3" s="1"/>
  <c r="C133" i="32"/>
  <c r="X133" i="3" s="1"/>
  <c r="C111" i="32"/>
  <c r="Y111" i="3" s="1"/>
  <c r="C81" i="32"/>
  <c r="Y81" i="3" s="1"/>
  <c r="C68" i="32"/>
  <c r="X68" i="3" s="1"/>
  <c r="C97" i="32"/>
  <c r="Y97" i="3" s="1"/>
  <c r="C36" i="32"/>
  <c r="X36" i="3" s="1"/>
  <c r="C6" i="32"/>
  <c r="Y6" i="3" s="1"/>
  <c r="C7" i="32"/>
  <c r="Y7" i="3" s="1"/>
  <c r="C115" i="32"/>
  <c r="X115" i="3" s="1"/>
  <c r="C95" i="32"/>
  <c r="X95" i="3" s="1"/>
  <c r="C32" i="32"/>
  <c r="Y32" i="3" s="1"/>
  <c r="C31" i="32"/>
  <c r="Y31" i="3" s="1"/>
  <c r="C25" i="32"/>
  <c r="Y25" i="3" s="1"/>
  <c r="C37" i="32"/>
  <c r="Y37" i="3" s="1"/>
  <c r="C61" i="32"/>
  <c r="Y61" i="3" s="1"/>
  <c r="C38" i="32"/>
  <c r="Y38" i="3" s="1"/>
  <c r="C120" i="32"/>
  <c r="Y120" i="3" s="1"/>
  <c r="C20" i="32"/>
  <c r="X20" i="3" s="1"/>
  <c r="C55" i="32"/>
  <c r="X55" i="3" s="1"/>
  <c r="C121" i="32"/>
  <c r="Y121" i="3" s="1"/>
  <c r="C64" i="32"/>
  <c r="Y64" i="3" s="1"/>
  <c r="C9" i="32"/>
  <c r="Y9" i="3" s="1"/>
  <c r="C106" i="32"/>
  <c r="Y106" i="3" s="1"/>
  <c r="C46" i="32"/>
  <c r="Y46" i="3" s="1"/>
  <c r="C109" i="32"/>
  <c r="Y109" i="3" s="1"/>
  <c r="C40" i="32"/>
  <c r="X40" i="3" s="1"/>
  <c r="C22" i="32"/>
  <c r="Y22" i="3" s="1"/>
  <c r="C80" i="32"/>
  <c r="Y80" i="3" s="1"/>
  <c r="C71" i="32"/>
  <c r="X71" i="3" s="1"/>
  <c r="C14" i="32"/>
  <c r="Y14" i="3" s="1"/>
  <c r="C127" i="32"/>
  <c r="X127" i="3" s="1"/>
  <c r="C84" i="32"/>
  <c r="X84" i="3" s="1"/>
  <c r="C54" i="32"/>
  <c r="Y54" i="3" s="1"/>
  <c r="C72" i="32"/>
  <c r="X72" i="3" s="1"/>
  <c r="C57" i="32"/>
  <c r="Y57" i="3" s="1"/>
  <c r="C15" i="32"/>
  <c r="Y15" i="3" s="1"/>
  <c r="C45" i="32"/>
  <c r="Y45" i="3" s="1"/>
  <c r="C39" i="32"/>
  <c r="Y39" i="3" s="1"/>
  <c r="C122" i="32"/>
  <c r="Y122" i="3" s="1"/>
  <c r="C108" i="32"/>
  <c r="Y108" i="3" s="1"/>
  <c r="C113" i="32"/>
  <c r="X113" i="3" s="1"/>
  <c r="C79" i="32"/>
  <c r="Y79" i="3" s="1"/>
  <c r="C107" i="32"/>
  <c r="Y107" i="3" s="1"/>
  <c r="C78" i="32"/>
  <c r="X78" i="3" s="1"/>
  <c r="C85" i="32"/>
  <c r="X85" i="3" s="1"/>
  <c r="C30" i="32"/>
  <c r="Y30" i="3" s="1"/>
  <c r="C86" i="32"/>
  <c r="Y86" i="3" s="1"/>
  <c r="C87" i="32"/>
  <c r="X87" i="3" s="1"/>
  <c r="C13" i="32"/>
  <c r="Y13" i="3" s="1"/>
  <c r="C70" i="32"/>
  <c r="Y70" i="3" s="1"/>
  <c r="C23" i="32"/>
  <c r="X23" i="3" s="1"/>
  <c r="C94" i="32"/>
  <c r="X94" i="3" s="1"/>
  <c r="C8" i="32"/>
  <c r="Y8" i="3" s="1"/>
  <c r="C12" i="32"/>
  <c r="Y12" i="3" s="1"/>
  <c r="C123" i="32"/>
  <c r="Y123" i="3" s="1"/>
  <c r="C93" i="32"/>
  <c r="Y93" i="3" s="1"/>
  <c r="C29" i="32"/>
  <c r="X29" i="3" s="1"/>
  <c r="C76" i="32"/>
  <c r="X76" i="3" s="1"/>
  <c r="C69" i="32"/>
  <c r="Y69" i="3" s="1"/>
  <c r="C28" i="32"/>
  <c r="Y28" i="3" s="1"/>
  <c r="C4" i="32"/>
  <c r="Y4" i="3" s="1"/>
  <c r="C143" i="32"/>
  <c r="X143" i="3" s="1"/>
  <c r="C24" i="32"/>
  <c r="Y24" i="3" s="1"/>
  <c r="C47" i="32"/>
  <c r="X47" i="3" s="1"/>
  <c r="C139" i="32"/>
  <c r="Y139" i="3" s="1"/>
  <c r="C60" i="32"/>
  <c r="X60" i="3" s="1"/>
  <c r="C88" i="32"/>
  <c r="X88" i="3" s="1"/>
  <c r="C116" i="32"/>
  <c r="X116" i="3" s="1"/>
  <c r="C126" i="32"/>
  <c r="X126" i="3" s="1"/>
  <c r="C134" i="32"/>
  <c r="Y134" i="3" s="1"/>
  <c r="C44" i="32"/>
  <c r="Y44" i="3" s="1"/>
  <c r="C16" i="32"/>
  <c r="X16" i="3" s="1"/>
  <c r="C65" i="32"/>
  <c r="X65" i="3" s="1"/>
  <c r="C89" i="32"/>
  <c r="Y89" i="3" s="1"/>
  <c r="C110" i="32"/>
  <c r="X110" i="3" s="1"/>
  <c r="C53" i="32"/>
  <c r="X53" i="3" s="1"/>
  <c r="C62" i="32"/>
  <c r="X62" i="3" s="1"/>
  <c r="C63" i="32"/>
  <c r="X63" i="3" s="1"/>
  <c r="C92" i="32"/>
  <c r="Y92" i="3" s="1"/>
  <c r="C147" i="32"/>
  <c r="X147" i="3" s="1"/>
  <c r="C101" i="32"/>
  <c r="X101" i="3" s="1"/>
  <c r="C131" i="32"/>
  <c r="Y131" i="3" s="1"/>
  <c r="C17" i="32"/>
  <c r="Y17" i="3" s="1"/>
  <c r="C102" i="32"/>
  <c r="X102" i="3" s="1"/>
  <c r="C33" i="32"/>
  <c r="Y33" i="3" s="1"/>
  <c r="C138" i="32"/>
  <c r="Y138" i="3" s="1"/>
  <c r="C49" i="32"/>
  <c r="X49" i="3" s="1"/>
  <c r="C103" i="32"/>
  <c r="X103" i="3" s="1"/>
  <c r="C104" i="32"/>
  <c r="X104" i="3" s="1"/>
  <c r="C132" i="32"/>
  <c r="X132" i="3" s="1"/>
  <c r="C96" i="32"/>
  <c r="Y96" i="3" s="1"/>
  <c r="C112" i="32"/>
  <c r="X112" i="3" s="1"/>
  <c r="C105" i="32"/>
  <c r="X105" i="3" s="1"/>
  <c r="C114" i="32"/>
  <c r="Y114" i="3" s="1"/>
  <c r="C73" i="32"/>
  <c r="X73" i="3" s="1"/>
  <c r="C124" i="32"/>
  <c r="Y124" i="3" s="1"/>
  <c r="C125" i="32"/>
  <c r="X125" i="3" s="1"/>
  <c r="C5" i="32"/>
  <c r="Y5" i="3" s="1"/>
  <c r="C48" i="32"/>
  <c r="X48" i="3" s="1"/>
  <c r="C41" i="32"/>
  <c r="X41" i="3" s="1"/>
  <c r="C52" i="32"/>
  <c r="X52" i="3" s="1"/>
  <c r="C56" i="32"/>
  <c r="Y56" i="3" s="1"/>
  <c r="C21" i="32"/>
  <c r="X21" i="3" s="1"/>
  <c r="C77" i="32"/>
  <c r="X77"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E14" i="48"/>
  <c r="F13" i="48" a="1"/>
  <c r="F13" i="48" s="1"/>
  <c r="BQ8" i="3"/>
  <c r="BR8" i="3" s="1"/>
  <c r="BQ6" i="3"/>
  <c r="BR6" i="3" s="1"/>
  <c r="BQ44" i="3"/>
  <c r="BR44" i="3" s="1"/>
  <c r="BQ48" i="3"/>
  <c r="BR48" i="3" s="1"/>
  <c r="BQ27" i="3"/>
  <c r="BR27" i="3" s="1"/>
  <c r="BQ33" i="3"/>
  <c r="BR33" i="3" s="1"/>
  <c r="BQ49" i="3"/>
  <c r="BR49" i="3" s="1"/>
  <c r="BQ51" i="3"/>
  <c r="Y68" i="3" l="1"/>
  <c r="AY101" i="3"/>
  <c r="X121" i="3"/>
  <c r="Y133" i="3"/>
  <c r="X97" i="3"/>
  <c r="X79" i="3"/>
  <c r="X70" i="3"/>
  <c r="Y71" i="3"/>
  <c r="Y40" i="3"/>
  <c r="X25" i="3"/>
  <c r="X107" i="3"/>
  <c r="X12" i="3"/>
  <c r="X14" i="3"/>
  <c r="Y143" i="3"/>
  <c r="X30" i="3"/>
  <c r="Y63" i="3"/>
  <c r="X37" i="3"/>
  <c r="X39" i="3"/>
  <c r="X134" i="3"/>
  <c r="X114" i="3"/>
  <c r="X56" i="3"/>
  <c r="X61" i="3"/>
  <c r="X138" i="3"/>
  <c r="X9" i="3"/>
  <c r="X8" i="3"/>
  <c r="Y85" i="3"/>
  <c r="X45" i="3"/>
  <c r="Y127" i="3"/>
  <c r="Y94" i="3"/>
  <c r="Y20" i="3"/>
  <c r="Y76" i="3"/>
  <c r="X111" i="3"/>
  <c r="Y95" i="3"/>
  <c r="Y72" i="3"/>
  <c r="X64" i="3"/>
  <c r="Y36" i="3"/>
  <c r="X69" i="3"/>
  <c r="X96" i="3"/>
  <c r="X38" i="3"/>
  <c r="X106" i="3"/>
  <c r="Y73" i="3"/>
  <c r="X86" i="3"/>
  <c r="X92" i="3"/>
  <c r="X6" i="3"/>
  <c r="X44" i="3"/>
  <c r="X122" i="3"/>
  <c r="X123" i="3"/>
  <c r="Y21" i="3"/>
  <c r="X24" i="3"/>
  <c r="X108" i="3"/>
  <c r="Y77" i="3"/>
  <c r="X93" i="3"/>
  <c r="Y87" i="3"/>
  <c r="X32" i="3"/>
  <c r="X15" i="3"/>
  <c r="Y110" i="3"/>
  <c r="Y55" i="3"/>
  <c r="Y78" i="3"/>
  <c r="X17" i="3"/>
  <c r="X57" i="3"/>
  <c r="X80" i="3"/>
  <c r="Y23" i="3"/>
  <c r="X22" i="3"/>
  <c r="X31" i="3"/>
  <c r="X81" i="3"/>
  <c r="E43" i="30"/>
  <c r="Y60" i="3"/>
  <c r="X131" i="3"/>
  <c r="Y29" i="3"/>
  <c r="X46" i="3"/>
  <c r="H40" i="46" s="1"/>
  <c r="Y104" i="3"/>
  <c r="Y147" i="3"/>
  <c r="Y115" i="3"/>
  <c r="Y113" i="3"/>
  <c r="X54" i="3"/>
  <c r="Y84" i="3"/>
  <c r="X13" i="3"/>
  <c r="X139" i="3"/>
  <c r="Y103" i="3"/>
  <c r="Y16" i="3"/>
  <c r="Y101" i="3"/>
  <c r="X124" i="3"/>
  <c r="Y65" i="3"/>
  <c r="X120" i="3"/>
  <c r="X109" i="3"/>
  <c r="Y47" i="3"/>
  <c r="Y125" i="3"/>
  <c r="X7" i="3"/>
  <c r="Y49" i="3"/>
  <c r="Y116" i="3"/>
  <c r="Y132" i="3"/>
  <c r="X28" i="3"/>
  <c r="Y52" i="3"/>
  <c r="X33" i="3"/>
  <c r="H61" i="46" s="1"/>
  <c r="E42" i="30"/>
  <c r="Y48" i="3"/>
  <c r="Y53" i="3"/>
  <c r="Y88" i="3"/>
  <c r="X5" i="3"/>
  <c r="Y126" i="3"/>
  <c r="Y112" i="3"/>
  <c r="X4" i="3"/>
  <c r="H6" i="46" s="1"/>
  <c r="Y105" i="3"/>
  <c r="Y102" i="3"/>
  <c r="Y41" i="3"/>
  <c r="Y62" i="3"/>
  <c r="X89" i="3"/>
  <c r="F14" i="48" a="1"/>
  <c r="F14" i="48" s="1"/>
  <c r="E15" i="48"/>
  <c r="BR22" i="3"/>
  <c r="BR51" i="3"/>
  <c r="G19" i="30" l="1"/>
  <c r="G20" i="30"/>
  <c r="H29" i="46"/>
  <c r="H16" i="46"/>
  <c r="H23" i="46"/>
  <c r="H74" i="46"/>
  <c r="H70" i="46"/>
  <c r="H14" i="46"/>
  <c r="H11" i="46"/>
  <c r="H25" i="46"/>
  <c r="H30" i="46"/>
  <c r="H64" i="46"/>
  <c r="H53" i="46"/>
  <c r="H55" i="46"/>
  <c r="H47" i="46"/>
  <c r="H15" i="46"/>
  <c r="H9" i="46"/>
  <c r="H7" i="46"/>
  <c r="H42" i="46"/>
  <c r="H57" i="46"/>
  <c r="H28" i="46"/>
  <c r="H24" i="46"/>
  <c r="H77" i="46"/>
  <c r="H21" i="46"/>
  <c r="H39" i="46"/>
  <c r="H62" i="46"/>
  <c r="H13" i="46"/>
  <c r="H12" i="46"/>
  <c r="H50" i="46"/>
  <c r="H20" i="46"/>
  <c r="H17" i="46"/>
  <c r="H8" i="46"/>
  <c r="H27" i="46"/>
  <c r="H54" i="46"/>
  <c r="H69" i="46"/>
  <c r="H72" i="46"/>
  <c r="H119" i="46" s="1"/>
  <c r="H67" i="46"/>
  <c r="H75" i="46"/>
  <c r="H73" i="46"/>
  <c r="H58" i="46"/>
  <c r="H91" i="46" s="1"/>
  <c r="H49" i="46"/>
  <c r="H22" i="46"/>
  <c r="H44" i="46"/>
  <c r="H32" i="46"/>
  <c r="H26" i="46"/>
  <c r="H68" i="46"/>
  <c r="H31" i="46"/>
  <c r="H37" i="46"/>
  <c r="H36" i="46"/>
  <c r="H48" i="46"/>
  <c r="H18" i="46"/>
  <c r="H52" i="46"/>
  <c r="H51" i="46"/>
  <c r="H59" i="46"/>
  <c r="H34" i="46"/>
  <c r="H33" i="46"/>
  <c r="H38" i="46"/>
  <c r="H43" i="46"/>
  <c r="H19" i="46"/>
  <c r="H66" i="46"/>
  <c r="H65" i="46"/>
  <c r="H41" i="46"/>
  <c r="H10" i="46"/>
  <c r="H60" i="46"/>
  <c r="H95" i="46" s="1"/>
  <c r="H76" i="46"/>
  <c r="H127" i="46" s="1"/>
  <c r="H35" i="46"/>
  <c r="H63" i="46"/>
  <c r="H46" i="46"/>
  <c r="H71" i="46"/>
  <c r="H56" i="46"/>
  <c r="H45" i="46"/>
  <c r="BS17" i="3"/>
  <c r="E45" i="51"/>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E16" i="48"/>
  <c r="F15" i="48" a="1"/>
  <c r="F15" i="48" s="1"/>
  <c r="BS10" i="3"/>
  <c r="BS46" i="3"/>
  <c r="BS13" i="3"/>
  <c r="BS53" i="3"/>
  <c r="BS7" i="3"/>
  <c r="BS25" i="3"/>
  <c r="BS33" i="3"/>
  <c r="BS49" i="3"/>
  <c r="BS15" i="3"/>
  <c r="BS31" i="3"/>
  <c r="BS19" i="3"/>
  <c r="BS43" i="3"/>
  <c r="BS9" i="3"/>
  <c r="BS41" i="3"/>
  <c r="H116" i="46" l="1"/>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E17" i="48"/>
  <c r="F16" i="48" a="1"/>
  <c r="F16" i="48" s="1"/>
  <c r="BT44" i="3"/>
  <c r="Q3" i="6" l="1" a="1"/>
  <c r="Q3" i="6" s="1"/>
  <c r="E9" i="3"/>
  <c r="E79" i="3"/>
  <c r="E5" i="3"/>
  <c r="F7" i="3"/>
  <c r="F9" i="3"/>
  <c r="E4" i="3"/>
  <c r="E7" i="3"/>
  <c r="F8" i="3"/>
  <c r="F4" i="3"/>
  <c r="F6" i="3"/>
  <c r="F5" i="3"/>
  <c r="BU8" i="3" s="1"/>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E18" i="48"/>
  <c r="F17" i="48" a="1"/>
  <c r="F17" i="48"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BV50" i="3" s="1"/>
  <c r="BV43" i="3"/>
  <c r="F79" i="3"/>
  <c r="E80" i="3"/>
  <c r="F76" i="3"/>
  <c r="BV42" i="3"/>
  <c r="E76" i="3"/>
  <c r="F81" i="3"/>
  <c r="E78" i="3"/>
  <c r="E85" i="3"/>
  <c r="F89" i="3"/>
  <c r="F86" i="3"/>
  <c r="BV31" i="3" l="1"/>
  <c r="BU39" i="3"/>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F18" i="48" a="1"/>
  <c r="F18" i="48" s="1"/>
  <c r="E19" i="48"/>
  <c r="BX23" i="3" l="1"/>
  <c r="BX31" i="3"/>
  <c r="BX39" i="3"/>
  <c r="BX45"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E20" i="48"/>
  <c r="F19" i="48" a="1"/>
  <c r="F19" i="48" s="1"/>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F20" i="48" a="1"/>
  <c r="F20" i="48" s="1"/>
  <c r="E21" i="48"/>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E22" i="48"/>
  <c r="F21" i="48" a="1"/>
  <c r="F21" i="48" s="1"/>
  <c r="I23" i="3" l="1"/>
  <c r="I87" i="3"/>
  <c r="H62" i="3"/>
  <c r="I84" i="3"/>
  <c r="I65" i="3"/>
  <c r="H88" i="3"/>
  <c r="I85" i="3"/>
  <c r="CB48" i="3" s="1"/>
  <c r="H63" i="3"/>
  <c r="I61" i="3"/>
  <c r="CB36" i="3" s="1"/>
  <c r="H49" i="3"/>
  <c r="H47" i="3"/>
  <c r="CB27" i="3" s="1"/>
  <c r="I81" i="3"/>
  <c r="H78" i="3"/>
  <c r="H21" i="3"/>
  <c r="I33" i="3"/>
  <c r="I14" i="3"/>
  <c r="CB13" i="3" s="1"/>
  <c r="I88" i="3"/>
  <c r="H94" i="3"/>
  <c r="I60" i="3"/>
  <c r="H86" i="3"/>
  <c r="H32" i="3"/>
  <c r="I77" i="3"/>
  <c r="H45" i="3"/>
  <c r="I17" i="3"/>
  <c r="H24" i="3"/>
  <c r="I29" i="3"/>
  <c r="H22" i="3"/>
  <c r="H46" i="3"/>
  <c r="H77" i="3"/>
  <c r="H15" i="3"/>
  <c r="I4" i="3"/>
  <c r="CA6" i="3" s="1"/>
  <c r="I15" i="3"/>
  <c r="I95" i="3"/>
  <c r="I92" i="3"/>
  <c r="I62" i="3"/>
  <c r="I64" i="3"/>
  <c r="I63" i="3"/>
  <c r="I52" i="3"/>
  <c r="H57" i="3"/>
  <c r="I53" i="3"/>
  <c r="H38" i="3"/>
  <c r="I32" i="3"/>
  <c r="H56" i="3"/>
  <c r="I22" i="3"/>
  <c r="I41" i="3"/>
  <c r="I78" i="3"/>
  <c r="H40" i="3"/>
  <c r="I39" i="3"/>
  <c r="H33" i="3"/>
  <c r="H12" i="3"/>
  <c r="H70" i="3"/>
  <c r="H79" i="3"/>
  <c r="CB43" i="3" s="1"/>
  <c r="I24" i="3"/>
  <c r="H20" i="3"/>
  <c r="I56" i="3"/>
  <c r="H28" i="3"/>
  <c r="CA19" i="3" s="1"/>
  <c r="I93" i="3"/>
  <c r="CA52" i="3" s="1"/>
  <c r="H52" i="3"/>
  <c r="I28" i="3"/>
  <c r="H54" i="3"/>
  <c r="I40" i="3"/>
  <c r="CB23" i="3" s="1"/>
  <c r="I71" i="3"/>
  <c r="I76" i="3"/>
  <c r="CB42" i="3" s="1"/>
  <c r="H96" i="3"/>
  <c r="I68" i="3"/>
  <c r="H80" i="3"/>
  <c r="H5" i="3"/>
  <c r="I49" i="3"/>
  <c r="H85" i="3"/>
  <c r="CB49" i="3" s="1"/>
  <c r="I70" i="3"/>
  <c r="I8" i="3"/>
  <c r="I46" i="3"/>
  <c r="I37" i="3"/>
  <c r="I86" i="3"/>
  <c r="H69" i="3"/>
  <c r="H7" i="3"/>
  <c r="H41" i="3"/>
  <c r="I9" i="3"/>
  <c r="H71" i="3"/>
  <c r="I13" i="3"/>
  <c r="I38" i="3"/>
  <c r="I47" i="3"/>
  <c r="H14" i="3"/>
  <c r="H53" i="3"/>
  <c r="CB33" i="3" s="1"/>
  <c r="H48" i="3"/>
  <c r="H17" i="3"/>
  <c r="Q9" i="6" a="1"/>
  <c r="Q9" i="6" s="1"/>
  <c r="G19" i="46"/>
  <c r="I97" i="3"/>
  <c r="CB51" i="3" s="1"/>
  <c r="H68" i="3"/>
  <c r="I20" i="3"/>
  <c r="I96" i="3"/>
  <c r="H29" i="3"/>
  <c r="H93" i="3"/>
  <c r="H6" i="3"/>
  <c r="H9" i="3"/>
  <c r="I5" i="3"/>
  <c r="I69" i="3"/>
  <c r="CA16" i="3"/>
  <c r="CB16" i="3"/>
  <c r="CA47" i="3"/>
  <c r="CB46" i="3"/>
  <c r="CB47" i="3"/>
  <c r="E23" i="48"/>
  <c r="F22" i="48" a="1"/>
  <c r="F22" i="48" s="1"/>
  <c r="CA50" i="3" l="1"/>
  <c r="CB45" i="3"/>
  <c r="CB31" i="3"/>
  <c r="CA34" i="3"/>
  <c r="CA36" i="3"/>
  <c r="CC36" i="3" s="1"/>
  <c r="CA27" i="3"/>
  <c r="CC27" i="3" s="1"/>
  <c r="CB37" i="3"/>
  <c r="CA45" i="3"/>
  <c r="CA43" i="3"/>
  <c r="CC43" i="3" s="1"/>
  <c r="CB26" i="3"/>
  <c r="CB9" i="3"/>
  <c r="CA42" i="3"/>
  <c r="CC42" i="3" s="1"/>
  <c r="CB44" i="3"/>
  <c r="CA18" i="3"/>
  <c r="CB20" i="3"/>
  <c r="CB18" i="3"/>
  <c r="CA53" i="3"/>
  <c r="CB12" i="3"/>
  <c r="CA44" i="3"/>
  <c r="CA31" i="3"/>
  <c r="CA12" i="3"/>
  <c r="CA20" i="3"/>
  <c r="CA11" i="3"/>
  <c r="CB53" i="3"/>
  <c r="CA46" i="3"/>
  <c r="CC46" i="3" s="1"/>
  <c r="CA14" i="3"/>
  <c r="CB14" i="3"/>
  <c r="CA15" i="3"/>
  <c r="CB17" i="3"/>
  <c r="CB15" i="3"/>
  <c r="CA17" i="3"/>
  <c r="CB6" i="3"/>
  <c r="CC6" i="3" s="1"/>
  <c r="CB39" i="3"/>
  <c r="CB50" i="3"/>
  <c r="CA48" i="3"/>
  <c r="CC48" i="3" s="1"/>
  <c r="CA49" i="3"/>
  <c r="CC49" i="3" s="1"/>
  <c r="CB35" i="3"/>
  <c r="CA30" i="3"/>
  <c r="CB11" i="3"/>
  <c r="CA13" i="3"/>
  <c r="CC13" i="3" s="1"/>
  <c r="CB10" i="3"/>
  <c r="CA10" i="3"/>
  <c r="CA9" i="3"/>
  <c r="CB34" i="3"/>
  <c r="CA8" i="3"/>
  <c r="CA28" i="3"/>
  <c r="CA29" i="3"/>
  <c r="CA40" i="3"/>
  <c r="CB8" i="3"/>
  <c r="CA35" i="3"/>
  <c r="CB28" i="3"/>
  <c r="CA21" i="3"/>
  <c r="CB29" i="3"/>
  <c r="CA7" i="3"/>
  <c r="CB7" i="3"/>
  <c r="CB30" i="3"/>
  <c r="CB24" i="3"/>
  <c r="CB21" i="3"/>
  <c r="CA51" i="3"/>
  <c r="CC51" i="3" s="1"/>
  <c r="CB22" i="3"/>
  <c r="CB52" i="3"/>
  <c r="CC52" i="3" s="1"/>
  <c r="CB32" i="3"/>
  <c r="CA33" i="3"/>
  <c r="CC33" i="3" s="1"/>
  <c r="CA32" i="3"/>
  <c r="CA37" i="3"/>
  <c r="CB38" i="3"/>
  <c r="CA24" i="3"/>
  <c r="CA26" i="3"/>
  <c r="CA25" i="3"/>
  <c r="CB19" i="3"/>
  <c r="CC19" i="3" s="1"/>
  <c r="CB25" i="3"/>
  <c r="CA23" i="3"/>
  <c r="CC23" i="3" s="1"/>
  <c r="CA38" i="3"/>
  <c r="CA41" i="3"/>
  <c r="CA22" i="3"/>
  <c r="CA39" i="3"/>
  <c r="CB41" i="3"/>
  <c r="CB40" i="3"/>
  <c r="Q10" i="6" a="1"/>
  <c r="Q10" i="6" s="1"/>
  <c r="Q11" i="6" s="1" a="1"/>
  <c r="Q11" i="6" s="1"/>
  <c r="Q12" i="6" s="1" a="1"/>
  <c r="Q12" i="6" s="1"/>
  <c r="CC16" i="3"/>
  <c r="CC47" i="3"/>
  <c r="E24" i="48"/>
  <c r="F23" i="48" a="1"/>
  <c r="F23" i="48" s="1"/>
  <c r="CC45" i="3" l="1"/>
  <c r="CC50" i="3"/>
  <c r="CC34" i="3"/>
  <c r="CC31" i="3"/>
  <c r="CC37" i="3"/>
  <c r="CC9" i="3"/>
  <c r="CC44" i="3"/>
  <c r="CC26" i="3"/>
  <c r="CC20" i="3"/>
  <c r="CC18" i="3"/>
  <c r="CC53" i="3"/>
  <c r="CC11" i="3"/>
  <c r="CC12"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F24" i="48" a="1"/>
  <c r="F24" i="48" s="1"/>
  <c r="E25" i="48"/>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E26" i="48"/>
  <c r="F25" i="48" a="1"/>
  <c r="F25" i="48"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E27" i="48"/>
  <c r="F26" i="48" a="1"/>
  <c r="F26" i="48"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42" i="48" a="1"/>
  <c r="A42"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CF48" i="3" s="1"/>
  <c r="K95" i="3"/>
  <c r="CF51" i="3" s="1"/>
  <c r="L84" i="3"/>
  <c r="K78" i="3"/>
  <c r="K76" i="3"/>
  <c r="L95" i="3"/>
  <c r="L92" i="3"/>
  <c r="CF50" i="3" s="1"/>
  <c r="K29" i="3"/>
  <c r="K94" i="3"/>
  <c r="CF52" i="3" s="1"/>
  <c r="L80" i="3"/>
  <c r="L78" i="3"/>
  <c r="L24" i="3"/>
  <c r="K80" i="3"/>
  <c r="L76" i="3"/>
  <c r="L88" i="3"/>
  <c r="K20" i="3"/>
  <c r="L40" i="3"/>
  <c r="CF23" i="3" s="1"/>
  <c r="K37" i="3"/>
  <c r="K48" i="3"/>
  <c r="L96" i="3"/>
  <c r="L30" i="3"/>
  <c r="K57" i="3"/>
  <c r="K5" i="3"/>
  <c r="K12" i="3"/>
  <c r="L16" i="3"/>
  <c r="CF13" i="3" s="1"/>
  <c r="K86" i="3"/>
  <c r="L17" i="3"/>
  <c r="L94" i="3"/>
  <c r="K93" i="3"/>
  <c r="K54" i="3"/>
  <c r="L57" i="3"/>
  <c r="K71" i="3"/>
  <c r="K72" i="3"/>
  <c r="L12" i="3"/>
  <c r="L49" i="3"/>
  <c r="K55" i="3"/>
  <c r="K81" i="3"/>
  <c r="K17" i="3"/>
  <c r="K85" i="3"/>
  <c r="L7" i="3"/>
  <c r="L77" i="3"/>
  <c r="L15" i="3"/>
  <c r="K47" i="3"/>
  <c r="L86" i="3"/>
  <c r="K65" i="3"/>
  <c r="K63" i="3"/>
  <c r="L45" i="3"/>
  <c r="K22" i="3"/>
  <c r="L60" i="3"/>
  <c r="K46" i="3"/>
  <c r="L23" i="3"/>
  <c r="CF14" i="3" s="1"/>
  <c r="L25" i="3"/>
  <c r="K24" i="3"/>
  <c r="L46" i="3"/>
  <c r="L48" i="3"/>
  <c r="K38" i="3"/>
  <c r="K69" i="3"/>
  <c r="L41" i="3"/>
  <c r="L70" i="3"/>
  <c r="CF38" i="3" s="1"/>
  <c r="K68" i="3"/>
  <c r="K56" i="3"/>
  <c r="L20" i="3"/>
  <c r="L32" i="3"/>
  <c r="L22" i="3"/>
  <c r="CF17" i="3" s="1"/>
  <c r="K8" i="3"/>
  <c r="K28" i="3"/>
  <c r="CF19" i="3" s="1"/>
  <c r="L28" i="3"/>
  <c r="L55" i="3"/>
  <c r="K33" i="3"/>
  <c r="K32" i="3"/>
  <c r="L72" i="3"/>
  <c r="K6" i="3"/>
  <c r="CF7" i="3" s="1"/>
  <c r="L13" i="3"/>
  <c r="CF12" i="3" s="1"/>
  <c r="K40" i="3"/>
  <c r="CF24" i="3" s="1"/>
  <c r="L8" i="3"/>
  <c r="K16" i="3"/>
  <c r="K7" i="3"/>
  <c r="CF8" i="3" s="1"/>
  <c r="K64" i="3"/>
  <c r="CF36" i="3" s="1"/>
  <c r="L39" i="3"/>
  <c r="L29" i="3"/>
  <c r="L71" i="3"/>
  <c r="K73" i="3"/>
  <c r="CF40" i="3" s="1"/>
  <c r="L6" i="3"/>
  <c r="K53" i="3"/>
  <c r="CF33" i="3" s="1"/>
  <c r="L4" i="3"/>
  <c r="L64" i="3"/>
  <c r="CF35" i="3" s="1"/>
  <c r="L54" i="3"/>
  <c r="K88" i="3"/>
  <c r="K87" i="3"/>
  <c r="CF47" i="3" s="1"/>
  <c r="K61" i="3"/>
  <c r="CF37" i="3" s="1"/>
  <c r="L47" i="3"/>
  <c r="CF29" i="3" s="1"/>
  <c r="CF49" i="3"/>
  <c r="CF45" i="3"/>
  <c r="CF16" i="3"/>
  <c r="E9" i="51"/>
  <c r="CF22" i="3"/>
  <c r="CF27" i="3"/>
  <c r="CF26" i="3"/>
  <c r="B46" i="51"/>
  <c r="B47" i="51" s="1"/>
  <c r="E10" i="51"/>
  <c r="E28" i="48"/>
  <c r="F27" i="48" a="1"/>
  <c r="F27" i="48" s="1"/>
  <c r="E12" i="51"/>
  <c r="E11" i="51"/>
  <c r="CF25" i="3" l="1"/>
  <c r="CF32" i="3"/>
  <c r="CF44" i="3"/>
  <c r="CF28" i="3"/>
  <c r="CF53" i="3"/>
  <c r="CF46" i="3"/>
  <c r="CF30" i="3"/>
  <c r="CF31" i="3"/>
  <c r="CF43" i="3"/>
  <c r="CF21" i="3"/>
  <c r="CF6" i="3"/>
  <c r="CF11" i="3"/>
  <c r="CF18" i="3"/>
  <c r="CF34" i="3"/>
  <c r="CF10" i="3"/>
  <c r="CF42" i="3"/>
  <c r="CF20" i="3"/>
  <c r="CF15" i="3"/>
  <c r="CF39" i="3"/>
  <c r="CF9" i="3"/>
  <c r="CF41" i="3"/>
  <c r="F12" i="51"/>
  <c r="F10" i="51"/>
  <c r="F11" i="51" s="1"/>
  <c r="F9" i="51"/>
  <c r="F8" i="51"/>
  <c r="E29" i="48"/>
  <c r="F28" i="48" a="1"/>
  <c r="F28" i="48" s="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E30" i="48"/>
  <c r="F29" i="48" a="1"/>
  <c r="F29" i="48" s="1"/>
  <c r="CH48" i="3" l="1"/>
  <c r="N85" i="3" s="1"/>
  <c r="CH37" i="3"/>
  <c r="N63" i="3" s="1"/>
  <c r="CH36" i="3"/>
  <c r="N61" i="3" s="1"/>
  <c r="CH46" i="3"/>
  <c r="N86" i="3" s="1"/>
  <c r="CH34" i="3"/>
  <c r="O65" i="3" s="1"/>
  <c r="CH30" i="3"/>
  <c r="N54" i="3" s="1"/>
  <c r="CH9" i="3"/>
  <c r="N6" i="3" s="1"/>
  <c r="CH13" i="3"/>
  <c r="N14" i="3" s="1"/>
  <c r="CH28" i="3"/>
  <c r="N45"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E31" i="48"/>
  <c r="F30" i="48" a="1"/>
  <c r="F30" i="48" s="1"/>
  <c r="O88" i="3" l="1"/>
  <c r="O93" i="3"/>
  <c r="O78" i="3"/>
  <c r="O53" i="3"/>
  <c r="CJ32" i="3" s="1"/>
  <c r="N96" i="3"/>
  <c r="O80" i="3"/>
  <c r="N47" i="3"/>
  <c r="O22" i="3"/>
  <c r="CJ17" i="3" s="1"/>
  <c r="N84" i="3"/>
  <c r="CJ47" i="3" s="1"/>
  <c r="O97" i="3"/>
  <c r="O16" i="3"/>
  <c r="N15" i="3"/>
  <c r="O15" i="3"/>
  <c r="CI10" i="3" s="1"/>
  <c r="O61" i="3"/>
  <c r="CJ36" i="3" s="1"/>
  <c r="CJ37" i="3"/>
  <c r="N13" i="3"/>
  <c r="CJ13" i="3" s="1"/>
  <c r="N65" i="3"/>
  <c r="O69" i="3"/>
  <c r="CK40" i="3" s="1"/>
  <c r="O62" i="3"/>
  <c r="N55" i="3"/>
  <c r="O20" i="3"/>
  <c r="O64" i="3"/>
  <c r="N5" i="3"/>
  <c r="CK9" i="3" s="1"/>
  <c r="O14" i="3"/>
  <c r="CI13" i="3" s="1"/>
  <c r="N93" i="3"/>
  <c r="N33" i="3"/>
  <c r="N52" i="3"/>
  <c r="CJ31" i="3" s="1"/>
  <c r="O57" i="3"/>
  <c r="N17" i="3"/>
  <c r="O31" i="3"/>
  <c r="O84" i="3"/>
  <c r="CJ46" i="3" s="1"/>
  <c r="O45" i="3"/>
  <c r="N9" i="3"/>
  <c r="O52" i="3"/>
  <c r="CJ30" i="3" s="1"/>
  <c r="N80" i="3"/>
  <c r="O55" i="3"/>
  <c r="O81" i="3"/>
  <c r="N76" i="3"/>
  <c r="CK43" i="3" s="1"/>
  <c r="O29" i="3"/>
  <c r="CI20" i="3" s="1"/>
  <c r="O71" i="3"/>
  <c r="N69" i="3"/>
  <c r="CI41" i="3" s="1"/>
  <c r="O37" i="3"/>
  <c r="CI24" i="3" s="1"/>
  <c r="O60" i="3"/>
  <c r="O47" i="3"/>
  <c r="N8" i="3"/>
  <c r="N31" i="3"/>
  <c r="CI19" i="3" s="1"/>
  <c r="N48" i="3"/>
  <c r="O54" i="3"/>
  <c r="CK30" i="3" s="1"/>
  <c r="N16" i="3"/>
  <c r="O56" i="3"/>
  <c r="O38" i="3"/>
  <c r="N73" i="3"/>
  <c r="N24" i="3"/>
  <c r="N64" i="3"/>
  <c r="O5" i="3"/>
  <c r="CI8" i="3" s="1"/>
  <c r="O70" i="3"/>
  <c r="CJ38" i="3" s="1"/>
  <c r="N39" i="3"/>
  <c r="O40" i="3"/>
  <c r="O13" i="3"/>
  <c r="N22" i="3"/>
  <c r="CI15" i="3" s="1"/>
  <c r="N89" i="3"/>
  <c r="O4" i="3"/>
  <c r="CI6" i="3" s="1"/>
  <c r="N62" i="3"/>
  <c r="O92" i="3"/>
  <c r="CI50" i="3" s="1"/>
  <c r="N60" i="3"/>
  <c r="CJ35" i="3" s="1"/>
  <c r="O41" i="3"/>
  <c r="N36" i="3"/>
  <c r="CK23" i="3" s="1"/>
  <c r="N4" i="3"/>
  <c r="CK7" i="3" s="1"/>
  <c r="N92" i="3"/>
  <c r="CK51" i="3" s="1"/>
  <c r="O76" i="3"/>
  <c r="CI42" i="3" s="1"/>
  <c r="N79" i="3"/>
  <c r="N81" i="3"/>
  <c r="N46" i="3"/>
  <c r="N68" i="3"/>
  <c r="CK39" i="3" s="1"/>
  <c r="O49" i="3"/>
  <c r="O32" i="3"/>
  <c r="N23" i="3"/>
  <c r="N70" i="3"/>
  <c r="N20" i="3"/>
  <c r="CK15" i="3" s="1"/>
  <c r="N30" i="3"/>
  <c r="CK20" i="3" s="1"/>
  <c r="O39" i="3"/>
  <c r="N29" i="3"/>
  <c r="CK21" i="3" s="1"/>
  <c r="N40" i="3"/>
  <c r="O8" i="3"/>
  <c r="CK27" i="3" s="1"/>
  <c r="O33" i="3"/>
  <c r="N94" i="3"/>
  <c r="O9" i="3"/>
  <c r="O23" i="3"/>
  <c r="O95" i="3"/>
  <c r="N87" i="3"/>
  <c r="N88" i="3"/>
  <c r="CJ28" i="3"/>
  <c r="CJ51" i="3"/>
  <c r="CJ19" i="3"/>
  <c r="CI12" i="3"/>
  <c r="CK35" i="3"/>
  <c r="CK45" i="3"/>
  <c r="CJ45" i="3"/>
  <c r="CJ42" i="3"/>
  <c r="CK6" i="3"/>
  <c r="CK33" i="3"/>
  <c r="CJ52" i="3"/>
  <c r="CJ53" i="3"/>
  <c r="CK48" i="3"/>
  <c r="CJ29" i="3"/>
  <c r="CK50" i="3"/>
  <c r="CI33" i="3"/>
  <c r="CK37" i="3"/>
  <c r="CK44" i="3"/>
  <c r="CK28" i="3"/>
  <c r="CJ10" i="3"/>
  <c r="CJ21" i="3"/>
  <c r="CJ49" i="3"/>
  <c r="CI32" i="3"/>
  <c r="CJ43" i="3"/>
  <c r="CI47" i="3"/>
  <c r="CK18" i="3"/>
  <c r="CK36" i="3"/>
  <c r="CI49" i="3"/>
  <c r="CI17" i="3"/>
  <c r="CK53" i="3"/>
  <c r="CI31" i="3"/>
  <c r="CJ11" i="3"/>
  <c r="CK13" i="3"/>
  <c r="CI35" i="3"/>
  <c r="CI18" i="3"/>
  <c r="CK19" i="3"/>
  <c r="CI46" i="3"/>
  <c r="CK24" i="3"/>
  <c r="CI26" i="3"/>
  <c r="CK42" i="3"/>
  <c r="CI25" i="3"/>
  <c r="CI40" i="3"/>
  <c r="CJ12" i="3"/>
  <c r="CK41" i="3"/>
  <c r="CI27" i="3"/>
  <c r="CK26" i="3"/>
  <c r="CI23" i="3"/>
  <c r="CJ20" i="3"/>
  <c r="CI16" i="3"/>
  <c r="CI51" i="3"/>
  <c r="CI43" i="3"/>
  <c r="CI38" i="3"/>
  <c r="CI45" i="3"/>
  <c r="CK31" i="3"/>
  <c r="CK22" i="3"/>
  <c r="CJ33" i="3"/>
  <c r="CI22" i="3"/>
  <c r="CI11" i="3"/>
  <c r="CI7" i="3"/>
  <c r="CK52" i="3"/>
  <c r="CJ44" i="3"/>
  <c r="CK25" i="3"/>
  <c r="CI44" i="3"/>
  <c r="CK47" i="3"/>
  <c r="CI53" i="3"/>
  <c r="CK46" i="3"/>
  <c r="CK49" i="3"/>
  <c r="CI9" i="3"/>
  <c r="CK38" i="3"/>
  <c r="CK17" i="3"/>
  <c r="CK8" i="3"/>
  <c r="CI29" i="3"/>
  <c r="CJ9" i="3"/>
  <c r="CK10" i="3"/>
  <c r="CJ50" i="3"/>
  <c r="CK16" i="3"/>
  <c r="CJ18" i="3"/>
  <c r="CI36" i="3"/>
  <c r="CI21" i="3"/>
  <c r="CJ22" i="3"/>
  <c r="CK29" i="3"/>
  <c r="CK14" i="3"/>
  <c r="CI28" i="3"/>
  <c r="CI34" i="3"/>
  <c r="CK12" i="3"/>
  <c r="CJ16" i="3"/>
  <c r="CJ48" i="3"/>
  <c r="CI39" i="3"/>
  <c r="CI37" i="3"/>
  <c r="CI30" i="3"/>
  <c r="CK11" i="3"/>
  <c r="CI52" i="3"/>
  <c r="CK34" i="3"/>
  <c r="CK32" i="3"/>
  <c r="CI48" i="3"/>
  <c r="CJ6" i="3"/>
  <c r="CJ24" i="3"/>
  <c r="CJ8" i="3"/>
  <c r="CJ7" i="3"/>
  <c r="CJ39" i="3"/>
  <c r="CJ23" i="3"/>
  <c r="CJ25" i="3"/>
  <c r="CJ34" i="3"/>
  <c r="CJ27" i="3"/>
  <c r="CJ26" i="3"/>
  <c r="CJ41" i="3"/>
  <c r="E32" i="48"/>
  <c r="F31" i="48" a="1"/>
  <c r="F31" i="48" s="1"/>
  <c r="CI14" i="3" l="1"/>
  <c r="CJ15" i="3"/>
  <c r="CL15" i="3" s="1"/>
  <c r="CL32" i="3"/>
  <c r="CL42" i="3"/>
  <c r="CL41" i="3"/>
  <c r="CL53" i="3"/>
  <c r="CJ14" i="3"/>
  <c r="CL14" i="3" s="1"/>
  <c r="CL30" i="3"/>
  <c r="CL28" i="3"/>
  <c r="CL13" i="3"/>
  <c r="CL11" i="3"/>
  <c r="CL35" i="3"/>
  <c r="CL19" i="3"/>
  <c r="CJ40" i="3"/>
  <c r="CL40" i="3" s="1"/>
  <c r="CL9" i="3"/>
  <c r="CL50" i="3"/>
  <c r="CL48" i="3"/>
  <c r="CL49" i="3"/>
  <c r="CL37" i="3"/>
  <c r="CL29" i="3"/>
  <c r="CL23" i="3"/>
  <c r="CL2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E33" i="48"/>
  <c r="F32" i="48" a="1"/>
  <c r="F32" i="48" s="1"/>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F33" i="48" a="1"/>
  <c r="F33" i="48" s="1"/>
  <c r="E34" i="48"/>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F34" i="48" a="1"/>
  <c r="F34" i="48" s="1"/>
  <c r="E35" i="48"/>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Q65" i="3"/>
  <c r="R63" i="3"/>
  <c r="Q84" i="3"/>
  <c r="R69" i="3"/>
  <c r="R15" i="3"/>
  <c r="Q52" i="3"/>
  <c r="Q96" i="3"/>
  <c r="R96" i="3"/>
  <c r="Q94" i="3"/>
  <c r="R28" i="3"/>
  <c r="R47" i="3"/>
  <c r="R56" i="3"/>
  <c r="Q20" i="3"/>
  <c r="Q63" i="3"/>
  <c r="R78" i="3"/>
  <c r="Q39" i="3"/>
  <c r="Q41" i="3"/>
  <c r="R65" i="3"/>
  <c r="R92" i="3"/>
  <c r="F35" i="48" a="1"/>
  <c r="F35" i="48" s="1"/>
  <c r="E36" i="48"/>
  <c r="CP30" i="3" l="1"/>
  <c r="CP9" i="3"/>
  <c r="CO38" i="3"/>
  <c r="CO9" i="3"/>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P24" i="3"/>
  <c r="CO30" i="3"/>
  <c r="CQ30" i="3" s="1"/>
  <c r="CO31" i="3"/>
  <c r="CO28" i="3"/>
  <c r="CO48" i="3"/>
  <c r="CP28" i="3"/>
  <c r="CP29" i="3"/>
  <c r="CO37" i="3"/>
  <c r="CO47" i="3"/>
  <c r="CP42" i="3"/>
  <c r="CO14" i="3"/>
  <c r="CO33" i="3"/>
  <c r="E37" i="48"/>
  <c r="F36" i="48" a="1"/>
  <c r="F36" i="48" s="1"/>
  <c r="CQ9" i="3" l="1"/>
  <c r="CQ38" i="3"/>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E38" i="48"/>
  <c r="F37" i="48" a="1"/>
  <c r="F37" i="48" s="1"/>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F38" i="48" a="1"/>
  <c r="F38" i="48" s="1"/>
  <c r="E39" i="48"/>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E40" i="48"/>
  <c r="F39" i="48" a="1"/>
  <c r="F39" i="48" s="1"/>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CT11" i="3"/>
  <c r="T20" i="3"/>
  <c r="T48" i="3"/>
  <c r="T78" i="3"/>
  <c r="T45" i="3"/>
  <c r="U73" i="3"/>
  <c r="CT6" i="3"/>
  <c r="E41" i="48"/>
  <c r="F40" i="48" a="1"/>
  <c r="F40" i="48" s="1"/>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E42" i="48"/>
  <c r="F41" i="48" a="1"/>
  <c r="F41" i="48" s="1"/>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E43" i="48"/>
  <c r="F42" i="48" a="1"/>
  <c r="F42" i="48" s="1"/>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E44" i="48"/>
  <c r="F43" i="48" a="1"/>
  <c r="F43" i="48"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E45" i="48"/>
  <c r="F44" i="48" a="1"/>
  <c r="F44" i="48" s="1"/>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F45" i="48" a="1"/>
  <c r="F45" i="48" s="1"/>
  <c r="E46" i="48"/>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F46" i="48" a="1"/>
  <c r="F46" i="48" s="1"/>
  <c r="E47" i="48"/>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E48" i="48"/>
  <c r="F47" i="48" a="1"/>
  <c r="F47" i="48" s="1"/>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E49" i="48"/>
  <c r="F48" i="48" a="1"/>
  <c r="F48" i="48" s="1"/>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F49" i="48" a="1"/>
  <c r="F49" i="48" s="1"/>
  <c r="E50" i="48"/>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F50" i="48" a="1"/>
  <c r="F50" i="48" s="1"/>
  <c r="E51" i="48"/>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E52" i="48"/>
  <c r="F51" i="48" a="1"/>
  <c r="F51" i="48" s="1"/>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F52" i="48" a="1"/>
  <c r="F52" i="48" s="1"/>
  <c r="E53" i="48"/>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F53" i="48" a="1"/>
  <c r="F53" i="48" s="1"/>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0" i="45" l="1"/>
  <c r="W22" i="45"/>
  <c r="BF66" i="3"/>
  <c r="BJ66" i="3" s="1"/>
  <c r="W46" i="45"/>
  <c r="BF65" i="3"/>
  <c r="BJ65" i="3" s="1"/>
  <c r="BF63" i="3"/>
  <c r="BK63" i="3" s="1"/>
  <c r="BF59" i="3"/>
  <c r="BE59" i="3" s="1"/>
  <c r="BR59" i="3" s="1"/>
  <c r="BF61" i="3"/>
  <c r="BE65" i="3"/>
  <c r="BR65" i="3" s="1"/>
  <c r="BF68" i="3"/>
  <c r="BF62" i="3"/>
  <c r="BJ62" i="3" s="1"/>
  <c r="BF69" i="3"/>
  <c r="BE69" i="3" s="1"/>
  <c r="BR69" i="3" s="1"/>
  <c r="BK61" i="3"/>
  <c r="BJ61" i="3"/>
  <c r="BE61" i="3"/>
  <c r="BR61" i="3" s="1"/>
  <c r="BK69" i="3"/>
  <c r="BJ69" i="3"/>
  <c r="BE64" i="3"/>
  <c r="BR64" i="3" s="1"/>
  <c r="BE66" i="3"/>
  <c r="BR66" i="3" s="1"/>
  <c r="BJ63" i="3"/>
  <c r="BJ68" i="3"/>
  <c r="BK68"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L66" i="3" l="1"/>
  <c r="T85" i="46"/>
  <c r="FH85" i="46"/>
  <c r="EJ85" i="46"/>
  <c r="DL85" i="46"/>
  <c r="CN85" i="46"/>
  <c r="BP85" i="46"/>
  <c r="AR85" i="46"/>
  <c r="FE85" i="46"/>
  <c r="EG85" i="46"/>
  <c r="DI85" i="46"/>
  <c r="CK85" i="46"/>
  <c r="BM85" i="46"/>
  <c r="AO85" i="46"/>
  <c r="EV85" i="46"/>
  <c r="DX85" i="46"/>
  <c r="CZ85" i="46"/>
  <c r="CB85" i="46"/>
  <c r="BD85" i="46"/>
  <c r="AF85" i="46"/>
  <c r="FK85" i="46"/>
  <c r="DU85" i="46"/>
  <c r="CH85" i="46"/>
  <c r="AX85" i="46"/>
  <c r="FB85" i="46"/>
  <c r="DR85" i="46"/>
  <c r="CE85" i="46"/>
  <c r="AU85" i="46"/>
  <c r="EY85" i="46"/>
  <c r="DO85" i="46"/>
  <c r="BY85" i="46"/>
  <c r="AL85" i="46"/>
  <c r="ES85" i="46"/>
  <c r="DF85" i="46"/>
  <c r="BV85" i="46"/>
  <c r="AI85" i="46"/>
  <c r="EP85" i="46"/>
  <c r="DC85" i="46"/>
  <c r="BS85" i="46"/>
  <c r="AC85" i="46"/>
  <c r="EM85" i="46"/>
  <c r="CW85" i="46"/>
  <c r="BJ85" i="46"/>
  <c r="Z85" i="46"/>
  <c r="ED85" i="46"/>
  <c r="CT85" i="46"/>
  <c r="BG85" i="46"/>
  <c r="W85" i="46"/>
  <c r="BA85" i="46"/>
  <c r="EA85" i="46"/>
  <c r="CQ85" i="46"/>
  <c r="T126" i="46"/>
  <c r="EY126" i="46"/>
  <c r="EA126" i="46"/>
  <c r="DC126" i="46"/>
  <c r="CE126" i="46"/>
  <c r="BG126" i="46"/>
  <c r="AI126" i="46"/>
  <c r="FK126" i="46"/>
  <c r="EJ126" i="46"/>
  <c r="DI126" i="46"/>
  <c r="CH126" i="46"/>
  <c r="BD126" i="46"/>
  <c r="AC126" i="46"/>
  <c r="FH126" i="46"/>
  <c r="EG126" i="46"/>
  <c r="DF126" i="46"/>
  <c r="CB126" i="46"/>
  <c r="BA126" i="46"/>
  <c r="Z126" i="46"/>
  <c r="FE126" i="46"/>
  <c r="ED126" i="46"/>
  <c r="CZ126" i="46"/>
  <c r="BY126" i="46"/>
  <c r="AX126" i="46"/>
  <c r="W126" i="46"/>
  <c r="FB126" i="46"/>
  <c r="DX126" i="46"/>
  <c r="CW126" i="46"/>
  <c r="BV126" i="46"/>
  <c r="AU126" i="46"/>
  <c r="EV126" i="46"/>
  <c r="DU126" i="46"/>
  <c r="CT126" i="46"/>
  <c r="BS126" i="46"/>
  <c r="AR126" i="46"/>
  <c r="ES126" i="46"/>
  <c r="DR126" i="46"/>
  <c r="CQ126" i="46"/>
  <c r="BP126" i="46"/>
  <c r="AO126" i="46"/>
  <c r="EP126" i="46"/>
  <c r="DO126" i="46"/>
  <c r="CN126" i="46"/>
  <c r="BM126" i="46"/>
  <c r="AL126" i="46"/>
  <c r="EM126" i="46"/>
  <c r="DL126" i="46"/>
  <c r="CK126" i="46"/>
  <c r="BJ126" i="46"/>
  <c r="AF126" i="46"/>
  <c r="T98" i="46"/>
  <c r="FB98" i="46"/>
  <c r="ED98" i="46"/>
  <c r="DF98" i="46"/>
  <c r="CH98" i="46"/>
  <c r="BJ98" i="46"/>
  <c r="AL98" i="46"/>
  <c r="FK98" i="46"/>
  <c r="EJ98" i="46"/>
  <c r="DI98" i="46"/>
  <c r="CE98" i="46"/>
  <c r="BD98" i="46"/>
  <c r="AC98" i="46"/>
  <c r="FH98" i="46"/>
  <c r="EG98" i="46"/>
  <c r="DC98" i="46"/>
  <c r="CB98" i="46"/>
  <c r="BA98" i="46"/>
  <c r="Z98" i="46"/>
  <c r="FE98" i="46"/>
  <c r="EA98" i="46"/>
  <c r="CZ98" i="46"/>
  <c r="BY98" i="46"/>
  <c r="AX98" i="46"/>
  <c r="W98" i="46"/>
  <c r="EY98" i="46"/>
  <c r="DX98" i="46"/>
  <c r="CW98" i="46"/>
  <c r="BV98" i="46"/>
  <c r="AU98" i="46"/>
  <c r="EV98" i="46"/>
  <c r="DU98" i="46"/>
  <c r="CT98" i="46"/>
  <c r="BS98" i="46"/>
  <c r="AR98" i="46"/>
  <c r="ES98" i="46"/>
  <c r="DR98" i="46"/>
  <c r="CQ98" i="46"/>
  <c r="BP98" i="46"/>
  <c r="AO98" i="46"/>
  <c r="DO98" i="46"/>
  <c r="DL98" i="46"/>
  <c r="CN98" i="46"/>
  <c r="CK98" i="46"/>
  <c r="BM98" i="46"/>
  <c r="BG98" i="46"/>
  <c r="EP98" i="46"/>
  <c r="AI98" i="46"/>
  <c r="EM98" i="46"/>
  <c r="AF98" i="46"/>
  <c r="T122" i="46"/>
  <c r="EY122" i="46"/>
  <c r="EA122" i="46"/>
  <c r="DC122" i="46"/>
  <c r="CE122" i="46"/>
  <c r="BG122" i="46"/>
  <c r="AI122" i="46"/>
  <c r="FK122" i="46"/>
  <c r="EJ122" i="46"/>
  <c r="DI122" i="46"/>
  <c r="CH122" i="46"/>
  <c r="BD122" i="46"/>
  <c r="AC122" i="46"/>
  <c r="FH122" i="46"/>
  <c r="EG122" i="46"/>
  <c r="DF122" i="46"/>
  <c r="CB122" i="46"/>
  <c r="BA122" i="46"/>
  <c r="Z122" i="46"/>
  <c r="EV122" i="46"/>
  <c r="ES122" i="46"/>
  <c r="FB122" i="46"/>
  <c r="DL122" i="46"/>
  <c r="BV122" i="46"/>
  <c r="AO122" i="46"/>
  <c r="EP122" i="46"/>
  <c r="CZ122" i="46"/>
  <c r="BS122" i="46"/>
  <c r="AL122" i="46"/>
  <c r="EM122" i="46"/>
  <c r="CW122" i="46"/>
  <c r="BP122" i="46"/>
  <c r="AF122" i="46"/>
  <c r="ED122" i="46"/>
  <c r="CT122" i="46"/>
  <c r="BM122" i="46"/>
  <c r="W122" i="46"/>
  <c r="CQ122" i="46"/>
  <c r="CN122" i="46"/>
  <c r="CK122" i="46"/>
  <c r="FE122" i="46"/>
  <c r="BY122" i="46"/>
  <c r="DX122" i="46"/>
  <c r="BJ122" i="46"/>
  <c r="DO122" i="46"/>
  <c r="AX122" i="46"/>
  <c r="AU122" i="46"/>
  <c r="AR122" i="46"/>
  <c r="DU122" i="46"/>
  <c r="DR122" i="46"/>
  <c r="T121" i="46"/>
  <c r="EY121" i="46"/>
  <c r="EA121" i="46"/>
  <c r="DC121" i="46"/>
  <c r="CE121" i="46"/>
  <c r="BG121" i="46"/>
  <c r="AI121" i="46"/>
  <c r="EV121" i="46"/>
  <c r="DX121" i="46"/>
  <c r="CZ121" i="46"/>
  <c r="CB121" i="46"/>
  <c r="BD121" i="46"/>
  <c r="AF121" i="46"/>
  <c r="ES121" i="46"/>
  <c r="DU121" i="46"/>
  <c r="CW121" i="46"/>
  <c r="BY121" i="46"/>
  <c r="BA121" i="46"/>
  <c r="AC121" i="46"/>
  <c r="EP121" i="46"/>
  <c r="DR121" i="46"/>
  <c r="CT121" i="46"/>
  <c r="BV121" i="46"/>
  <c r="AX121" i="46"/>
  <c r="Z121" i="46"/>
  <c r="FK121" i="46"/>
  <c r="DO121" i="46"/>
  <c r="BS121" i="46"/>
  <c r="W121" i="46"/>
  <c r="FH121" i="46"/>
  <c r="DL121" i="46"/>
  <c r="BP121" i="46"/>
  <c r="FE121" i="46"/>
  <c r="DI121" i="46"/>
  <c r="BM121" i="46"/>
  <c r="FB121" i="46"/>
  <c r="DF121" i="46"/>
  <c r="BJ121" i="46"/>
  <c r="EM121" i="46"/>
  <c r="CQ121" i="46"/>
  <c r="AU121" i="46"/>
  <c r="EG121" i="46"/>
  <c r="ED121" i="46"/>
  <c r="CN121" i="46"/>
  <c r="CK121" i="46"/>
  <c r="CH121" i="46"/>
  <c r="EJ121" i="46"/>
  <c r="AR121" i="46"/>
  <c r="AO121" i="46"/>
  <c r="AL121" i="46"/>
  <c r="T95" i="46"/>
  <c r="ES95" i="46"/>
  <c r="DU95" i="46"/>
  <c r="CW95" i="46"/>
  <c r="BY95" i="46"/>
  <c r="BA95" i="46"/>
  <c r="AC95" i="46"/>
  <c r="FB95" i="46"/>
  <c r="ED95" i="46"/>
  <c r="DF95" i="46"/>
  <c r="CH95" i="46"/>
  <c r="BJ95" i="46"/>
  <c r="AL95" i="46"/>
  <c r="EJ95" i="46"/>
  <c r="DC95" i="46"/>
  <c r="BV95" i="46"/>
  <c r="AR95" i="46"/>
  <c r="FK95" i="46"/>
  <c r="EG95" i="46"/>
  <c r="CZ95" i="46"/>
  <c r="BS95" i="46"/>
  <c r="AO95" i="46"/>
  <c r="FH95" i="46"/>
  <c r="EA95" i="46"/>
  <c r="CT95" i="46"/>
  <c r="BP95" i="46"/>
  <c r="AI95" i="46"/>
  <c r="EY95" i="46"/>
  <c r="DR95" i="46"/>
  <c r="CN95" i="46"/>
  <c r="BG95" i="46"/>
  <c r="Z95" i="46"/>
  <c r="EV95" i="46"/>
  <c r="DO95" i="46"/>
  <c r="CK95" i="46"/>
  <c r="BD95" i="46"/>
  <c r="W95" i="46"/>
  <c r="EP95" i="46"/>
  <c r="DL95" i="46"/>
  <c r="CE95" i="46"/>
  <c r="AX95" i="46"/>
  <c r="AU95" i="46"/>
  <c r="FE95" i="46"/>
  <c r="AF95" i="46"/>
  <c r="EM95" i="46"/>
  <c r="DX95" i="46"/>
  <c r="DI95" i="46"/>
  <c r="CQ95" i="46"/>
  <c r="CB95" i="46"/>
  <c r="BM95" i="46"/>
  <c r="T115" i="46"/>
  <c r="EV115" i="46"/>
  <c r="DX115" i="46"/>
  <c r="CZ115" i="46"/>
  <c r="CB115" i="46"/>
  <c r="BD115" i="46"/>
  <c r="AF115" i="46"/>
  <c r="FH115" i="46"/>
  <c r="EG115" i="46"/>
  <c r="DF115" i="46"/>
  <c r="CE115" i="46"/>
  <c r="BA115" i="46"/>
  <c r="Z115" i="46"/>
  <c r="FE115" i="46"/>
  <c r="ED115" i="46"/>
  <c r="DC115" i="46"/>
  <c r="BY115" i="46"/>
  <c r="AX115" i="46"/>
  <c r="W115" i="46"/>
  <c r="FB115" i="46"/>
  <c r="EA115" i="46"/>
  <c r="CW115" i="46"/>
  <c r="BV115" i="46"/>
  <c r="AU115" i="46"/>
  <c r="EY115" i="46"/>
  <c r="DU115" i="46"/>
  <c r="CT115" i="46"/>
  <c r="BS115" i="46"/>
  <c r="AR115" i="46"/>
  <c r="ES115" i="46"/>
  <c r="DR115" i="46"/>
  <c r="CQ115" i="46"/>
  <c r="BP115" i="46"/>
  <c r="AO115" i="46"/>
  <c r="FK115" i="46"/>
  <c r="CK115" i="46"/>
  <c r="EP115" i="46"/>
  <c r="CH115" i="46"/>
  <c r="EM115" i="46"/>
  <c r="BM115" i="46"/>
  <c r="EJ115" i="46"/>
  <c r="BJ115" i="46"/>
  <c r="DO115" i="46"/>
  <c r="BG115" i="46"/>
  <c r="CN115" i="46"/>
  <c r="AL115" i="46"/>
  <c r="AI115" i="46"/>
  <c r="AC115" i="46"/>
  <c r="DL115" i="46"/>
  <c r="DI115" i="46"/>
  <c r="T118" i="46"/>
  <c r="FB118" i="46"/>
  <c r="ED118" i="46"/>
  <c r="DF118" i="46"/>
  <c r="CH118" i="46"/>
  <c r="BJ118" i="46"/>
  <c r="AL118" i="46"/>
  <c r="EV118" i="46"/>
  <c r="DU118" i="46"/>
  <c r="CT118" i="46"/>
  <c r="BS118" i="46"/>
  <c r="AR118" i="46"/>
  <c r="FH118" i="46"/>
  <c r="EA118" i="46"/>
  <c r="CW118" i="46"/>
  <c r="BP118" i="46"/>
  <c r="AI118" i="46"/>
  <c r="FE118" i="46"/>
  <c r="DX118" i="46"/>
  <c r="CQ118" i="46"/>
  <c r="BM118" i="46"/>
  <c r="AF118" i="46"/>
  <c r="EY118" i="46"/>
  <c r="DR118" i="46"/>
  <c r="CN118" i="46"/>
  <c r="BG118" i="46"/>
  <c r="AC118" i="46"/>
  <c r="ES118" i="46"/>
  <c r="DO118" i="46"/>
  <c r="CK118" i="46"/>
  <c r="BD118" i="46"/>
  <c r="Z118" i="46"/>
  <c r="EP118" i="46"/>
  <c r="DL118" i="46"/>
  <c r="CE118" i="46"/>
  <c r="BA118" i="46"/>
  <c r="W118" i="46"/>
  <c r="DI118" i="46"/>
  <c r="AO118" i="46"/>
  <c r="DC118" i="46"/>
  <c r="CZ118" i="46"/>
  <c r="CB118" i="46"/>
  <c r="FK118" i="46"/>
  <c r="BY118" i="46"/>
  <c r="EM118" i="46"/>
  <c r="EJ118" i="46"/>
  <c r="EG118" i="46"/>
  <c r="BV118" i="46"/>
  <c r="AU118" i="46"/>
  <c r="AX118" i="46"/>
  <c r="FH124" i="46"/>
  <c r="EJ124" i="46"/>
  <c r="DL124" i="46"/>
  <c r="CN124" i="46"/>
  <c r="BP124" i="46"/>
  <c r="AR124" i="46"/>
  <c r="FE124" i="46"/>
  <c r="EG124" i="46"/>
  <c r="DI124" i="46"/>
  <c r="CK124" i="46"/>
  <c r="BM124" i="46"/>
  <c r="AO124" i="46"/>
  <c r="FB124" i="46"/>
  <c r="ED124" i="46"/>
  <c r="DF124" i="46"/>
  <c r="CH124" i="46"/>
  <c r="BJ124" i="46"/>
  <c r="AL124" i="46"/>
  <c r="ES124" i="46"/>
  <c r="DC124" i="46"/>
  <c r="BV124" i="46"/>
  <c r="AF124" i="46"/>
  <c r="EP124" i="46"/>
  <c r="CZ124" i="46"/>
  <c r="BS124" i="46"/>
  <c r="AC124" i="46"/>
  <c r="EM124" i="46"/>
  <c r="CW124" i="46"/>
  <c r="BG124" i="46"/>
  <c r="Z124" i="46"/>
  <c r="EA124" i="46"/>
  <c r="CT124" i="46"/>
  <c r="BD124" i="46"/>
  <c r="W124" i="46"/>
  <c r="EY124" i="46"/>
  <c r="CB124" i="46"/>
  <c r="EV124" i="46"/>
  <c r="BY124" i="46"/>
  <c r="DX124" i="46"/>
  <c r="BA124" i="46"/>
  <c r="DU124" i="46"/>
  <c r="AX124" i="46"/>
  <c r="DR124" i="46"/>
  <c r="AU124" i="46"/>
  <c r="DO124" i="46"/>
  <c r="AI124" i="46"/>
  <c r="FK124" i="46"/>
  <c r="CQ124" i="46"/>
  <c r="CE124" i="46"/>
  <c r="T97" i="46"/>
  <c r="FK97" i="46"/>
  <c r="EM97" i="46"/>
  <c r="DO97" i="46"/>
  <c r="CQ97" i="46"/>
  <c r="BS97" i="46"/>
  <c r="AU97" i="46"/>
  <c r="W97" i="46"/>
  <c r="EY97" i="46"/>
  <c r="DX97" i="46"/>
  <c r="CW97" i="46"/>
  <c r="BV97" i="46"/>
  <c r="AR97" i="46"/>
  <c r="EV97" i="46"/>
  <c r="DU97" i="46"/>
  <c r="CT97" i="46"/>
  <c r="BP97" i="46"/>
  <c r="AO97" i="46"/>
  <c r="EP97" i="46"/>
  <c r="DL97" i="46"/>
  <c r="CK97" i="46"/>
  <c r="BJ97" i="46"/>
  <c r="AI97" i="46"/>
  <c r="EJ97" i="46"/>
  <c r="DI97" i="46"/>
  <c r="CH97" i="46"/>
  <c r="BG97" i="46"/>
  <c r="AF97" i="46"/>
  <c r="FH97" i="46"/>
  <c r="EG97" i="46"/>
  <c r="DF97" i="46"/>
  <c r="CE97" i="46"/>
  <c r="BD97" i="46"/>
  <c r="AC97" i="46"/>
  <c r="ES97" i="46"/>
  <c r="BY97" i="46"/>
  <c r="ED97" i="46"/>
  <c r="BM97" i="46"/>
  <c r="EA97" i="46"/>
  <c r="BA97" i="46"/>
  <c r="DR97" i="46"/>
  <c r="AX97" i="46"/>
  <c r="DC97" i="46"/>
  <c r="AL97" i="46"/>
  <c r="CZ97" i="46"/>
  <c r="Z97" i="46"/>
  <c r="FE97" i="46"/>
  <c r="CN97" i="46"/>
  <c r="FB97" i="46"/>
  <c r="CB97" i="46"/>
  <c r="T120" i="46"/>
  <c r="FH120" i="46"/>
  <c r="EJ120" i="46"/>
  <c r="DL120" i="46"/>
  <c r="CN120" i="46"/>
  <c r="BP120" i="46"/>
  <c r="AR120" i="46"/>
  <c r="FE120" i="46"/>
  <c r="EG120" i="46"/>
  <c r="DI120" i="46"/>
  <c r="CK120" i="46"/>
  <c r="BM120" i="46"/>
  <c r="AO120" i="46"/>
  <c r="FB120" i="46"/>
  <c r="ED120" i="46"/>
  <c r="DF120" i="46"/>
  <c r="CH120" i="46"/>
  <c r="BJ120" i="46"/>
  <c r="AL120" i="46"/>
  <c r="EY120" i="46"/>
  <c r="EA120" i="46"/>
  <c r="DC120" i="46"/>
  <c r="CE120" i="46"/>
  <c r="BG120" i="46"/>
  <c r="AI120" i="46"/>
  <c r="DX120" i="46"/>
  <c r="CB120" i="46"/>
  <c r="AF120" i="46"/>
  <c r="DU120" i="46"/>
  <c r="BY120" i="46"/>
  <c r="AC120" i="46"/>
  <c r="DR120" i="46"/>
  <c r="BV120" i="46"/>
  <c r="Z120" i="46"/>
  <c r="FK120" i="46"/>
  <c r="DO120" i="46"/>
  <c r="BS120" i="46"/>
  <c r="W120" i="46"/>
  <c r="EV120" i="46"/>
  <c r="CZ120" i="46"/>
  <c r="BD120" i="46"/>
  <c r="CT120" i="46"/>
  <c r="CQ120" i="46"/>
  <c r="BA120" i="46"/>
  <c r="AX120" i="46"/>
  <c r="ES120" i="46"/>
  <c r="AU120" i="46"/>
  <c r="EP120" i="46"/>
  <c r="EM120" i="46"/>
  <c r="CW120" i="46"/>
  <c r="T94" i="46"/>
  <c r="FB94" i="46"/>
  <c r="ED94" i="46"/>
  <c r="DF94" i="46"/>
  <c r="CH94" i="46"/>
  <c r="BJ94" i="46"/>
  <c r="AL94" i="46"/>
  <c r="EV94" i="46"/>
  <c r="DU94" i="46"/>
  <c r="CT94" i="46"/>
  <c r="BS94" i="46"/>
  <c r="AR94" i="46"/>
  <c r="ES94" i="46"/>
  <c r="DR94" i="46"/>
  <c r="CQ94" i="46"/>
  <c r="BP94" i="46"/>
  <c r="AO94" i="46"/>
  <c r="EP94" i="46"/>
  <c r="DO94" i="46"/>
  <c r="CN94" i="46"/>
  <c r="BM94" i="46"/>
  <c r="AI94" i="46"/>
  <c r="EA94" i="46"/>
  <c r="CE94" i="46"/>
  <c r="AU94" i="46"/>
  <c r="FK94" i="46"/>
  <c r="DX94" i="46"/>
  <c r="CB94" i="46"/>
  <c r="AF94" i="46"/>
  <c r="FH94" i="46"/>
  <c r="DL94" i="46"/>
  <c r="BY94" i="46"/>
  <c r="AC94" i="46"/>
  <c r="FE94" i="46"/>
  <c r="DI94" i="46"/>
  <c r="BV94" i="46"/>
  <c r="Z94" i="46"/>
  <c r="EY94" i="46"/>
  <c r="DC94" i="46"/>
  <c r="BG94" i="46"/>
  <c r="W94" i="46"/>
  <c r="EM94" i="46"/>
  <c r="CZ94" i="46"/>
  <c r="BD94" i="46"/>
  <c r="EJ94" i="46"/>
  <c r="CW94" i="46"/>
  <c r="BA94" i="46"/>
  <c r="EG94" i="46"/>
  <c r="CK94" i="46"/>
  <c r="AX94" i="46"/>
  <c r="T91" i="46"/>
  <c r="FB91" i="46"/>
  <c r="ED91" i="46"/>
  <c r="DF91" i="46"/>
  <c r="CH91" i="46"/>
  <c r="BJ91" i="46"/>
  <c r="AL91" i="46"/>
  <c r="EY91" i="46"/>
  <c r="EA91" i="46"/>
  <c r="DC91" i="46"/>
  <c r="CE91" i="46"/>
  <c r="BG91" i="46"/>
  <c r="AI91" i="46"/>
  <c r="EV91" i="46"/>
  <c r="DX91" i="46"/>
  <c r="CZ91" i="46"/>
  <c r="CB91" i="46"/>
  <c r="BD91" i="46"/>
  <c r="AF91" i="46"/>
  <c r="ES91" i="46"/>
  <c r="DU91" i="46"/>
  <c r="CW91" i="46"/>
  <c r="BY91" i="46"/>
  <c r="BA91" i="46"/>
  <c r="AC91" i="46"/>
  <c r="EP91" i="46"/>
  <c r="DR91" i="46"/>
  <c r="CT91" i="46"/>
  <c r="BV91" i="46"/>
  <c r="AX91" i="46"/>
  <c r="Z91" i="46"/>
  <c r="DL91" i="46"/>
  <c r="AU91" i="46"/>
  <c r="FK91" i="46"/>
  <c r="DI91" i="46"/>
  <c r="AR91" i="46"/>
  <c r="FH91" i="46"/>
  <c r="CQ91" i="46"/>
  <c r="AO91" i="46"/>
  <c r="FE91" i="46"/>
  <c r="CN91" i="46"/>
  <c r="W91" i="46"/>
  <c r="EM91" i="46"/>
  <c r="CK91" i="46"/>
  <c r="EJ91" i="46"/>
  <c r="BS91" i="46"/>
  <c r="EG91" i="46"/>
  <c r="BP91" i="46"/>
  <c r="DO91" i="46"/>
  <c r="BM91" i="46"/>
  <c r="T112" i="46"/>
  <c r="FB112" i="46"/>
  <c r="ED112" i="46"/>
  <c r="FH112" i="46"/>
  <c r="EG112" i="46"/>
  <c r="DF112" i="46"/>
  <c r="CH112" i="46"/>
  <c r="BJ112" i="46"/>
  <c r="AL112" i="46"/>
  <c r="FE112" i="46"/>
  <c r="EA112" i="46"/>
  <c r="DC112" i="46"/>
  <c r="CE112" i="46"/>
  <c r="BG112" i="46"/>
  <c r="AI112" i="46"/>
  <c r="EY112" i="46"/>
  <c r="DX112" i="46"/>
  <c r="CZ112" i="46"/>
  <c r="CB112" i="46"/>
  <c r="BD112" i="46"/>
  <c r="AF112" i="46"/>
  <c r="EV112" i="46"/>
  <c r="DU112" i="46"/>
  <c r="CW112" i="46"/>
  <c r="BY112" i="46"/>
  <c r="BA112" i="46"/>
  <c r="AC112" i="46"/>
  <c r="ES112" i="46"/>
  <c r="DR112" i="46"/>
  <c r="CT112" i="46"/>
  <c r="BV112" i="46"/>
  <c r="AX112" i="46"/>
  <c r="Z112" i="46"/>
  <c r="DL112" i="46"/>
  <c r="AU112" i="46"/>
  <c r="DI112" i="46"/>
  <c r="AR112" i="46"/>
  <c r="CQ112" i="46"/>
  <c r="AO112" i="46"/>
  <c r="FK112" i="46"/>
  <c r="CN112" i="46"/>
  <c r="W112" i="46"/>
  <c r="EP112" i="46"/>
  <c r="CK112" i="46"/>
  <c r="BM112" i="46"/>
  <c r="EM112" i="46"/>
  <c r="EJ112" i="46"/>
  <c r="DO112" i="46"/>
  <c r="BS112" i="46"/>
  <c r="BP112" i="46"/>
  <c r="FK116" i="46"/>
  <c r="EM116" i="46"/>
  <c r="DO116" i="46"/>
  <c r="CQ116" i="46"/>
  <c r="BS116" i="46"/>
  <c r="AU116" i="46"/>
  <c r="W116" i="46"/>
  <c r="FH116" i="46"/>
  <c r="EJ116" i="46"/>
  <c r="DL116" i="46"/>
  <c r="CN116" i="46"/>
  <c r="BP116" i="46"/>
  <c r="AR116" i="46"/>
  <c r="FE116" i="46"/>
  <c r="EA116" i="46"/>
  <c r="CW116" i="46"/>
  <c r="BM116" i="46"/>
  <c r="AI116" i="46"/>
  <c r="FB116" i="46"/>
  <c r="DX116" i="46"/>
  <c r="CT116" i="46"/>
  <c r="BJ116" i="46"/>
  <c r="AF116" i="46"/>
  <c r="EY116" i="46"/>
  <c r="DU116" i="46"/>
  <c r="CK116" i="46"/>
  <c r="BG116" i="46"/>
  <c r="AC116" i="46"/>
  <c r="EV116" i="46"/>
  <c r="DR116" i="46"/>
  <c r="CH116" i="46"/>
  <c r="BD116" i="46"/>
  <c r="Z116" i="46"/>
  <c r="ES116" i="46"/>
  <c r="DI116" i="46"/>
  <c r="CE116" i="46"/>
  <c r="BA116" i="46"/>
  <c r="CB116" i="46"/>
  <c r="BY116" i="46"/>
  <c r="EP116" i="46"/>
  <c r="BV116" i="46"/>
  <c r="EG116" i="46"/>
  <c r="AX116" i="46"/>
  <c r="ED116" i="46"/>
  <c r="AO116" i="46"/>
  <c r="DF116" i="46"/>
  <c r="DC116" i="46"/>
  <c r="CZ116" i="46"/>
  <c r="AL116" i="46"/>
  <c r="T96" i="46"/>
  <c r="EV96" i="46"/>
  <c r="DX96" i="46"/>
  <c r="CZ96" i="46"/>
  <c r="CB96" i="46"/>
  <c r="BD96" i="46"/>
  <c r="AF96" i="46"/>
  <c r="EM96" i="46"/>
  <c r="DL96" i="46"/>
  <c r="CK96" i="46"/>
  <c r="BJ96" i="46"/>
  <c r="AI96" i="46"/>
  <c r="FK96" i="46"/>
  <c r="EJ96" i="46"/>
  <c r="DI96" i="46"/>
  <c r="CH96" i="46"/>
  <c r="BG96" i="46"/>
  <c r="AC96" i="46"/>
  <c r="FE96" i="46"/>
  <c r="ED96" i="46"/>
  <c r="DC96" i="46"/>
  <c r="BY96" i="46"/>
  <c r="AX96" i="46"/>
  <c r="W96" i="46"/>
  <c r="FB96" i="46"/>
  <c r="EA96" i="46"/>
  <c r="CW96" i="46"/>
  <c r="BV96" i="46"/>
  <c r="AU96" i="46"/>
  <c r="EY96" i="46"/>
  <c r="DU96" i="46"/>
  <c r="CT96" i="46"/>
  <c r="BS96" i="46"/>
  <c r="AR96" i="46"/>
  <c r="DF96" i="46"/>
  <c r="AL96" i="46"/>
  <c r="CQ96" i="46"/>
  <c r="Z96" i="46"/>
  <c r="FH96" i="46"/>
  <c r="CN96" i="46"/>
  <c r="ES96" i="46"/>
  <c r="CE96" i="46"/>
  <c r="EP96" i="46"/>
  <c r="BP96" i="46"/>
  <c r="EG96" i="46"/>
  <c r="BM96" i="46"/>
  <c r="DR96" i="46"/>
  <c r="BA96" i="46"/>
  <c r="DO96" i="46"/>
  <c r="AO96" i="46"/>
  <c r="T104" i="46"/>
  <c r="EV104" i="46"/>
  <c r="DX104" i="46"/>
  <c r="CZ104" i="46"/>
  <c r="CB104" i="46"/>
  <c r="BD104" i="46"/>
  <c r="AF104" i="46"/>
  <c r="EY104" i="46"/>
  <c r="DU104" i="46"/>
  <c r="CT104" i="46"/>
  <c r="BS104" i="46"/>
  <c r="AR104" i="46"/>
  <c r="FE104" i="46"/>
  <c r="EA104" i="46"/>
  <c r="CQ104" i="46"/>
  <c r="BM104" i="46"/>
  <c r="AI104" i="46"/>
  <c r="FB104" i="46"/>
  <c r="DR104" i="46"/>
  <c r="CN104" i="46"/>
  <c r="BJ104" i="46"/>
  <c r="AC104" i="46"/>
  <c r="ES104" i="46"/>
  <c r="DO104" i="46"/>
  <c r="CK104" i="46"/>
  <c r="BG104" i="46"/>
  <c r="Z104" i="46"/>
  <c r="EP104" i="46"/>
  <c r="DL104" i="46"/>
  <c r="CH104" i="46"/>
  <c r="BA104" i="46"/>
  <c r="W104" i="46"/>
  <c r="EM104" i="46"/>
  <c r="DI104" i="46"/>
  <c r="CE104" i="46"/>
  <c r="AX104" i="46"/>
  <c r="FH104" i="46"/>
  <c r="BV104" i="46"/>
  <c r="EJ104" i="46"/>
  <c r="BP104" i="46"/>
  <c r="EG104" i="46"/>
  <c r="AU104" i="46"/>
  <c r="ED104" i="46"/>
  <c r="AO104" i="46"/>
  <c r="DF104" i="46"/>
  <c r="AL104" i="46"/>
  <c r="DC104" i="46"/>
  <c r="FK104" i="46"/>
  <c r="CW104" i="46"/>
  <c r="BY104" i="46"/>
  <c r="T123" i="46"/>
  <c r="FK123" i="46"/>
  <c r="EM123" i="46"/>
  <c r="DO123" i="46"/>
  <c r="CQ123" i="46"/>
  <c r="BS123" i="46"/>
  <c r="AU123" i="46"/>
  <c r="W123" i="46"/>
  <c r="EP123" i="46"/>
  <c r="DL123" i="46"/>
  <c r="CK123" i="46"/>
  <c r="BJ123" i="46"/>
  <c r="AI123" i="46"/>
  <c r="EJ123" i="46"/>
  <c r="DI123" i="46"/>
  <c r="CH123" i="46"/>
  <c r="BG123" i="46"/>
  <c r="AF123" i="46"/>
  <c r="FH123" i="46"/>
  <c r="EG123" i="46"/>
  <c r="DF123" i="46"/>
  <c r="CE123" i="46"/>
  <c r="FE123" i="46"/>
  <c r="ED123" i="46"/>
  <c r="DC123" i="46"/>
  <c r="DU123" i="46"/>
  <c r="BV123" i="46"/>
  <c r="AL123" i="46"/>
  <c r="DR123" i="46"/>
  <c r="BP123" i="46"/>
  <c r="AC123" i="46"/>
  <c r="FB123" i="46"/>
  <c r="CZ123" i="46"/>
  <c r="BM123" i="46"/>
  <c r="Z123" i="46"/>
  <c r="EY123" i="46"/>
  <c r="CW123" i="46"/>
  <c r="BD123" i="46"/>
  <c r="EV123" i="46"/>
  <c r="CT123" i="46"/>
  <c r="BA123" i="46"/>
  <c r="ES123" i="46"/>
  <c r="CN123" i="46"/>
  <c r="AX123" i="46"/>
  <c r="EA123" i="46"/>
  <c r="DX123" i="46"/>
  <c r="CB123" i="46"/>
  <c r="BY123" i="46"/>
  <c r="AR123" i="46"/>
  <c r="AO123" i="46"/>
  <c r="T93" i="46"/>
  <c r="FK93" i="46"/>
  <c r="EM93" i="46"/>
  <c r="DO93" i="46"/>
  <c r="CQ93" i="46"/>
  <c r="BS93" i="46"/>
  <c r="AU93" i="46"/>
  <c r="W93" i="46"/>
  <c r="EJ93" i="46"/>
  <c r="EV93" i="46"/>
  <c r="DR93" i="46"/>
  <c r="CN93" i="46"/>
  <c r="BM93" i="46"/>
  <c r="AL93" i="46"/>
  <c r="ES93" i="46"/>
  <c r="DL93" i="46"/>
  <c r="CK93" i="46"/>
  <c r="BJ93" i="46"/>
  <c r="AI93" i="46"/>
  <c r="EP93" i="46"/>
  <c r="DI93" i="46"/>
  <c r="CH93" i="46"/>
  <c r="BG93" i="46"/>
  <c r="AF93" i="46"/>
  <c r="EG93" i="46"/>
  <c r="DF93" i="46"/>
  <c r="CE93" i="46"/>
  <c r="BD93" i="46"/>
  <c r="AC93" i="46"/>
  <c r="FH93" i="46"/>
  <c r="ED93" i="46"/>
  <c r="DC93" i="46"/>
  <c r="CB93" i="46"/>
  <c r="BA93" i="46"/>
  <c r="Z93" i="46"/>
  <c r="FE93" i="46"/>
  <c r="EA93" i="46"/>
  <c r="CZ93" i="46"/>
  <c r="BY93" i="46"/>
  <c r="AX93" i="46"/>
  <c r="FB93" i="46"/>
  <c r="DX93" i="46"/>
  <c r="CW93" i="46"/>
  <c r="BV93" i="46"/>
  <c r="AR93" i="46"/>
  <c r="CT93" i="46"/>
  <c r="BP93" i="46"/>
  <c r="AO93" i="46"/>
  <c r="EY93" i="46"/>
  <c r="DU93" i="46"/>
  <c r="T108" i="46"/>
  <c r="ES108" i="46"/>
  <c r="DU108" i="46"/>
  <c r="CW108" i="46"/>
  <c r="BY108" i="46"/>
  <c r="BA108" i="46"/>
  <c r="AC108" i="46"/>
  <c r="EP108" i="46"/>
  <c r="DR108" i="46"/>
  <c r="CT108" i="46"/>
  <c r="BV108" i="46"/>
  <c r="AX108" i="46"/>
  <c r="Z108" i="46"/>
  <c r="FK108" i="46"/>
  <c r="EM108" i="46"/>
  <c r="DO108" i="46"/>
  <c r="CQ108" i="46"/>
  <c r="BS108" i="46"/>
  <c r="AU108" i="46"/>
  <c r="W108" i="46"/>
  <c r="FH108" i="46"/>
  <c r="EJ108" i="46"/>
  <c r="DL108" i="46"/>
  <c r="CN108" i="46"/>
  <c r="BP108" i="46"/>
  <c r="AR108" i="46"/>
  <c r="FE108" i="46"/>
  <c r="EG108" i="46"/>
  <c r="DI108" i="46"/>
  <c r="CK108" i="46"/>
  <c r="BM108" i="46"/>
  <c r="AO108" i="46"/>
  <c r="FB108" i="46"/>
  <c r="CZ108" i="46"/>
  <c r="AI108" i="46"/>
  <c r="EY108" i="46"/>
  <c r="CH108" i="46"/>
  <c r="AF108" i="46"/>
  <c r="EV108" i="46"/>
  <c r="CE108" i="46"/>
  <c r="ED108" i="46"/>
  <c r="CB108" i="46"/>
  <c r="EA108" i="46"/>
  <c r="BJ108" i="46"/>
  <c r="DX108" i="46"/>
  <c r="BG108" i="46"/>
  <c r="BD108" i="46"/>
  <c r="AL108" i="46"/>
  <c r="DF108" i="46"/>
  <c r="DC108" i="46"/>
  <c r="T117" i="46"/>
  <c r="FH117" i="46"/>
  <c r="EJ117" i="46"/>
  <c r="DL117" i="46"/>
  <c r="CN117" i="46"/>
  <c r="BP117" i="46"/>
  <c r="AR117" i="46"/>
  <c r="FB117" i="46"/>
  <c r="EA117" i="46"/>
  <c r="CZ117" i="46"/>
  <c r="BY117" i="46"/>
  <c r="AX117" i="46"/>
  <c r="W117" i="46"/>
  <c r="EY117" i="46"/>
  <c r="DX117" i="46"/>
  <c r="CW117" i="46"/>
  <c r="BV117" i="46"/>
  <c r="AU117" i="46"/>
  <c r="EP117" i="46"/>
  <c r="DO117" i="46"/>
  <c r="CK117" i="46"/>
  <c r="BJ117" i="46"/>
  <c r="AI117" i="46"/>
  <c r="ED117" i="46"/>
  <c r="CH117" i="46"/>
  <c r="AO117" i="46"/>
  <c r="DU117" i="46"/>
  <c r="CE117" i="46"/>
  <c r="AL117" i="46"/>
  <c r="FK117" i="46"/>
  <c r="DR117" i="46"/>
  <c r="CB117" i="46"/>
  <c r="AF117" i="46"/>
  <c r="FE117" i="46"/>
  <c r="DI117" i="46"/>
  <c r="BS117" i="46"/>
  <c r="AC117" i="46"/>
  <c r="EV117" i="46"/>
  <c r="DF117" i="46"/>
  <c r="BM117" i="46"/>
  <c r="Z117" i="46"/>
  <c r="CT117" i="46"/>
  <c r="CQ117" i="46"/>
  <c r="BG117" i="46"/>
  <c r="BD117" i="46"/>
  <c r="ES117" i="46"/>
  <c r="BA117" i="46"/>
  <c r="EM117" i="46"/>
  <c r="EG117" i="46"/>
  <c r="DC117" i="46"/>
  <c r="ES84" i="46"/>
  <c r="DU84" i="46"/>
  <c r="CW84" i="46"/>
  <c r="BY84" i="46"/>
  <c r="BA84" i="46"/>
  <c r="AC84" i="46"/>
  <c r="EP84" i="46"/>
  <c r="DR84" i="46"/>
  <c r="CT84" i="46"/>
  <c r="BV84" i="46"/>
  <c r="AX84" i="46"/>
  <c r="Z84" i="46"/>
  <c r="FK84" i="46"/>
  <c r="EM84" i="46"/>
  <c r="DO84" i="46"/>
  <c r="CQ84" i="46"/>
  <c r="BS84" i="46"/>
  <c r="AU84" i="46"/>
  <c r="W84" i="46"/>
  <c r="FH84" i="46"/>
  <c r="EJ84" i="46"/>
  <c r="DL84" i="46"/>
  <c r="CN84" i="46"/>
  <c r="BP84" i="46"/>
  <c r="AR84" i="46"/>
  <c r="FE84" i="46"/>
  <c r="EG84" i="46"/>
  <c r="DI84" i="46"/>
  <c r="CK84" i="46"/>
  <c r="BM84" i="46"/>
  <c r="AO84" i="46"/>
  <c r="FB84" i="46"/>
  <c r="ED84" i="46"/>
  <c r="DF84" i="46"/>
  <c r="CH84" i="46"/>
  <c r="BJ84" i="46"/>
  <c r="AL84" i="46"/>
  <c r="EY84" i="46"/>
  <c r="EA84" i="46"/>
  <c r="DC84" i="46"/>
  <c r="CE84" i="46"/>
  <c r="BG84" i="46"/>
  <c r="AI84" i="46"/>
  <c r="BD84" i="46"/>
  <c r="AF84" i="46"/>
  <c r="EV84" i="46"/>
  <c r="DX84" i="46"/>
  <c r="CB84" i="46"/>
  <c r="CZ84" i="46"/>
  <c r="T101" i="46"/>
  <c r="EY101" i="46"/>
  <c r="EA101" i="46"/>
  <c r="DC101" i="46"/>
  <c r="CE101" i="46"/>
  <c r="BG101" i="46"/>
  <c r="AI101" i="46"/>
  <c r="EV101" i="46"/>
  <c r="DX101" i="46"/>
  <c r="CZ101" i="46"/>
  <c r="CB101" i="46"/>
  <c r="BD101" i="46"/>
  <c r="AF101" i="46"/>
  <c r="ES101" i="46"/>
  <c r="DU101" i="46"/>
  <c r="CW101" i="46"/>
  <c r="BY101" i="46"/>
  <c r="BA101" i="46"/>
  <c r="AC101" i="46"/>
  <c r="EP101" i="46"/>
  <c r="DR101" i="46"/>
  <c r="CT101" i="46"/>
  <c r="BV101" i="46"/>
  <c r="AX101" i="46"/>
  <c r="Z101" i="46"/>
  <c r="FK101" i="46"/>
  <c r="EM101" i="46"/>
  <c r="DO101" i="46"/>
  <c r="CQ101" i="46"/>
  <c r="BS101" i="46"/>
  <c r="AU101" i="46"/>
  <c r="W101" i="46"/>
  <c r="FE101" i="46"/>
  <c r="CN101" i="46"/>
  <c r="AL101" i="46"/>
  <c r="FB101" i="46"/>
  <c r="CK101" i="46"/>
  <c r="EJ101" i="46"/>
  <c r="CH101" i="46"/>
  <c r="EG101" i="46"/>
  <c r="BP101" i="46"/>
  <c r="ED101" i="46"/>
  <c r="BM101" i="46"/>
  <c r="DL101" i="46"/>
  <c r="BJ101" i="46"/>
  <c r="AR101" i="46"/>
  <c r="AO101" i="46"/>
  <c r="FH101" i="46"/>
  <c r="DI101" i="46"/>
  <c r="DF101" i="46"/>
  <c r="T83" i="46"/>
  <c r="FB83" i="46"/>
  <c r="ED83" i="46"/>
  <c r="DF83" i="46"/>
  <c r="CH83" i="46"/>
  <c r="BJ83" i="46"/>
  <c r="AL83" i="46"/>
  <c r="EY83" i="46"/>
  <c r="EA83" i="46"/>
  <c r="DC83" i="46"/>
  <c r="CE83" i="46"/>
  <c r="BG83" i="46"/>
  <c r="AI83" i="46"/>
  <c r="EV83" i="46"/>
  <c r="DX83" i="46"/>
  <c r="CZ83" i="46"/>
  <c r="CB83" i="46"/>
  <c r="BD83" i="46"/>
  <c r="AF83" i="46"/>
  <c r="ES83" i="46"/>
  <c r="DU83" i="46"/>
  <c r="CW83" i="46"/>
  <c r="BY83" i="46"/>
  <c r="BA83" i="46"/>
  <c r="AC83" i="46"/>
  <c r="EP83" i="46"/>
  <c r="DR83" i="46"/>
  <c r="CT83" i="46"/>
  <c r="BV83" i="46"/>
  <c r="AX83" i="46"/>
  <c r="Z83" i="46"/>
  <c r="FK83" i="46"/>
  <c r="EM83" i="46"/>
  <c r="DO83" i="46"/>
  <c r="CQ83" i="46"/>
  <c r="BS83" i="46"/>
  <c r="AU83" i="46"/>
  <c r="W83" i="46"/>
  <c r="FH83" i="46"/>
  <c r="EJ83" i="46"/>
  <c r="DL83" i="46"/>
  <c r="CN83" i="46"/>
  <c r="BP83" i="46"/>
  <c r="AR83" i="46"/>
  <c r="FE83" i="46"/>
  <c r="AO83" i="46"/>
  <c r="EG83" i="46"/>
  <c r="DI83" i="46"/>
  <c r="CK83" i="46"/>
  <c r="BM83" i="46"/>
  <c r="T110" i="46"/>
  <c r="EV110" i="46"/>
  <c r="DX110" i="46"/>
  <c r="CZ110" i="46"/>
  <c r="CB110" i="46"/>
  <c r="BD110" i="46"/>
  <c r="AF110" i="46"/>
  <c r="ES110" i="46"/>
  <c r="DU110" i="46"/>
  <c r="CW110" i="46"/>
  <c r="BY110" i="46"/>
  <c r="BA110" i="46"/>
  <c r="AC110" i="46"/>
  <c r="EM110" i="46"/>
  <c r="DI110" i="46"/>
  <c r="CE110" i="46"/>
  <c r="AU110" i="46"/>
  <c r="EJ110" i="46"/>
  <c r="DF110" i="46"/>
  <c r="BV110" i="46"/>
  <c r="AR110" i="46"/>
  <c r="FK110" i="46"/>
  <c r="EG110" i="46"/>
  <c r="DC110" i="46"/>
  <c r="BS110" i="46"/>
  <c r="AO110" i="46"/>
  <c r="FH110" i="46"/>
  <c r="ED110" i="46"/>
  <c r="CT110" i="46"/>
  <c r="BP110" i="46"/>
  <c r="AL110" i="46"/>
  <c r="FE110" i="46"/>
  <c r="EA110" i="46"/>
  <c r="CQ110" i="46"/>
  <c r="BM110" i="46"/>
  <c r="AI110" i="46"/>
  <c r="CK110" i="46"/>
  <c r="FB110" i="46"/>
  <c r="CH110" i="46"/>
  <c r="EY110" i="46"/>
  <c r="BJ110" i="46"/>
  <c r="EP110" i="46"/>
  <c r="BG110" i="46"/>
  <c r="DR110" i="46"/>
  <c r="AX110" i="46"/>
  <c r="DO110" i="46"/>
  <c r="Z110" i="46"/>
  <c r="W110" i="46"/>
  <c r="DL110" i="46"/>
  <c r="CN110" i="46"/>
  <c r="T92" i="46"/>
  <c r="ES92" i="46"/>
  <c r="DU92" i="46"/>
  <c r="CW92" i="46"/>
  <c r="BY92" i="46"/>
  <c r="BA92" i="46"/>
  <c r="AC92" i="46"/>
  <c r="EP92" i="46"/>
  <c r="DR92" i="46"/>
  <c r="CT92" i="46"/>
  <c r="BV92" i="46"/>
  <c r="AX92" i="46"/>
  <c r="Z92" i="46"/>
  <c r="FK92" i="46"/>
  <c r="EM92" i="46"/>
  <c r="DO92" i="46"/>
  <c r="CQ92" i="46"/>
  <c r="BS92" i="46"/>
  <c r="AU92" i="46"/>
  <c r="W92" i="46"/>
  <c r="FH92" i="46"/>
  <c r="EJ92" i="46"/>
  <c r="DL92" i="46"/>
  <c r="CN92" i="46"/>
  <c r="BP92" i="46"/>
  <c r="AR92" i="46"/>
  <c r="FE92" i="46"/>
  <c r="EG92" i="46"/>
  <c r="DI92" i="46"/>
  <c r="CK92" i="46"/>
  <c r="BM92" i="46"/>
  <c r="AO92" i="46"/>
  <c r="EY92" i="46"/>
  <c r="CH92" i="46"/>
  <c r="AF92" i="46"/>
  <c r="EV92" i="46"/>
  <c r="CE92" i="46"/>
  <c r="ED92" i="46"/>
  <c r="CB92" i="46"/>
  <c r="EA92" i="46"/>
  <c r="BJ92" i="46"/>
  <c r="DX92" i="46"/>
  <c r="BG92" i="46"/>
  <c r="DF92" i="46"/>
  <c r="BD92" i="46"/>
  <c r="DC92" i="46"/>
  <c r="AL92" i="46"/>
  <c r="FB92" i="46"/>
  <c r="CZ92" i="46"/>
  <c r="AI92" i="46"/>
  <c r="T125" i="46"/>
  <c r="FH125" i="46"/>
  <c r="EJ125" i="46"/>
  <c r="DL125" i="46"/>
  <c r="CN125" i="46"/>
  <c r="BP125" i="46"/>
  <c r="AR125" i="46"/>
  <c r="FE125" i="46"/>
  <c r="EG125" i="46"/>
  <c r="DI125" i="46"/>
  <c r="CK125" i="46"/>
  <c r="BM125" i="46"/>
  <c r="AO125" i="46"/>
  <c r="EM125" i="46"/>
  <c r="DC125" i="46"/>
  <c r="BY125" i="46"/>
  <c r="AU125" i="46"/>
  <c r="ED125" i="46"/>
  <c r="CZ125" i="46"/>
  <c r="BV125" i="46"/>
  <c r="AL125" i="46"/>
  <c r="FK125" i="46"/>
  <c r="EA125" i="46"/>
  <c r="CW125" i="46"/>
  <c r="BS125" i="46"/>
  <c r="AI125" i="46"/>
  <c r="FB125" i="46"/>
  <c r="DX125" i="46"/>
  <c r="CT125" i="46"/>
  <c r="BJ125" i="46"/>
  <c r="AF125" i="46"/>
  <c r="EY125" i="46"/>
  <c r="CQ125" i="46"/>
  <c r="AC125" i="46"/>
  <c r="EV125" i="46"/>
  <c r="CH125" i="46"/>
  <c r="Z125" i="46"/>
  <c r="ES125" i="46"/>
  <c r="CE125" i="46"/>
  <c r="W125" i="46"/>
  <c r="EP125" i="46"/>
  <c r="CB125" i="46"/>
  <c r="DU125" i="46"/>
  <c r="BG125" i="46"/>
  <c r="DF125" i="46"/>
  <c r="BD125" i="46"/>
  <c r="BA125" i="46"/>
  <c r="AX125" i="46"/>
  <c r="DR125" i="46"/>
  <c r="DO125" i="46"/>
  <c r="T106" i="46"/>
  <c r="FK106" i="46"/>
  <c r="EM106" i="46"/>
  <c r="DO106" i="46"/>
  <c r="CQ106" i="46"/>
  <c r="BS106" i="46"/>
  <c r="AU106" i="46"/>
  <c r="W106" i="46"/>
  <c r="FH106" i="46"/>
  <c r="EG106" i="46"/>
  <c r="DF106" i="46"/>
  <c r="CE106" i="46"/>
  <c r="BD106" i="46"/>
  <c r="AC106" i="46"/>
  <c r="FE106" i="46"/>
  <c r="ED106" i="46"/>
  <c r="DC106" i="46"/>
  <c r="CB106" i="46"/>
  <c r="BA106" i="46"/>
  <c r="Z106" i="46"/>
  <c r="FB106" i="46"/>
  <c r="EA106" i="46"/>
  <c r="CZ106" i="46"/>
  <c r="BY106" i="46"/>
  <c r="AX106" i="46"/>
  <c r="EY106" i="46"/>
  <c r="DX106" i="46"/>
  <c r="CW106" i="46"/>
  <c r="BV106" i="46"/>
  <c r="AR106" i="46"/>
  <c r="ES106" i="46"/>
  <c r="CN106" i="46"/>
  <c r="AL106" i="46"/>
  <c r="EP106" i="46"/>
  <c r="CK106" i="46"/>
  <c r="AI106" i="46"/>
  <c r="EJ106" i="46"/>
  <c r="CH106" i="46"/>
  <c r="AF106" i="46"/>
  <c r="DU106" i="46"/>
  <c r="BP106" i="46"/>
  <c r="DR106" i="46"/>
  <c r="BM106" i="46"/>
  <c r="DL106" i="46"/>
  <c r="BJ106" i="46"/>
  <c r="DI106" i="46"/>
  <c r="BG106" i="46"/>
  <c r="CT106" i="46"/>
  <c r="AO106" i="46"/>
  <c r="EV106" i="46"/>
  <c r="T89" i="46"/>
  <c r="EV89" i="46"/>
  <c r="DX89" i="46"/>
  <c r="CZ89" i="46"/>
  <c r="FH89" i="46"/>
  <c r="EJ89" i="46"/>
  <c r="DL89" i="46"/>
  <c r="CN89" i="46"/>
  <c r="BP89" i="46"/>
  <c r="AR89" i="46"/>
  <c r="EY89" i="46"/>
  <c r="DR89" i="46"/>
  <c r="CK89" i="46"/>
  <c r="BJ89" i="46"/>
  <c r="AI89" i="46"/>
  <c r="ES89" i="46"/>
  <c r="DO89" i="46"/>
  <c r="CH89" i="46"/>
  <c r="BG89" i="46"/>
  <c r="AF89" i="46"/>
  <c r="EP89" i="46"/>
  <c r="DI89" i="46"/>
  <c r="CE89" i="46"/>
  <c r="BD89" i="46"/>
  <c r="AC89" i="46"/>
  <c r="EM89" i="46"/>
  <c r="DF89" i="46"/>
  <c r="CB89" i="46"/>
  <c r="BA89" i="46"/>
  <c r="Z89" i="46"/>
  <c r="EG89" i="46"/>
  <c r="DC89" i="46"/>
  <c r="BY89" i="46"/>
  <c r="AX89" i="46"/>
  <c r="W89" i="46"/>
  <c r="FK89" i="46"/>
  <c r="ED89" i="46"/>
  <c r="CW89" i="46"/>
  <c r="BV89" i="46"/>
  <c r="AU89" i="46"/>
  <c r="FE89" i="46"/>
  <c r="EA89" i="46"/>
  <c r="CT89" i="46"/>
  <c r="BS89" i="46"/>
  <c r="AO89" i="46"/>
  <c r="FB89" i="46"/>
  <c r="DU89" i="46"/>
  <c r="CQ89" i="46"/>
  <c r="BM89" i="46"/>
  <c r="AL89" i="46"/>
  <c r="T113" i="46"/>
  <c r="ES113" i="46"/>
  <c r="DU113" i="46"/>
  <c r="CW113" i="46"/>
  <c r="BY113" i="46"/>
  <c r="BA113" i="46"/>
  <c r="AC113" i="46"/>
  <c r="EP113" i="46"/>
  <c r="DO113" i="46"/>
  <c r="CN113" i="46"/>
  <c r="BM113" i="46"/>
  <c r="AL113" i="46"/>
  <c r="EM113" i="46"/>
  <c r="DL113" i="46"/>
  <c r="CK113" i="46"/>
  <c r="BJ113" i="46"/>
  <c r="AI113" i="46"/>
  <c r="FK113" i="46"/>
  <c r="EJ113" i="46"/>
  <c r="DI113" i="46"/>
  <c r="CH113" i="46"/>
  <c r="BG113" i="46"/>
  <c r="AF113" i="46"/>
  <c r="FH113" i="46"/>
  <c r="EG113" i="46"/>
  <c r="DF113" i="46"/>
  <c r="CE113" i="46"/>
  <c r="BD113" i="46"/>
  <c r="Z113" i="46"/>
  <c r="FE113" i="46"/>
  <c r="ED113" i="46"/>
  <c r="DC113" i="46"/>
  <c r="CB113" i="46"/>
  <c r="AX113" i="46"/>
  <c r="W113" i="46"/>
  <c r="EY113" i="46"/>
  <c r="BV113" i="46"/>
  <c r="EV113" i="46"/>
  <c r="BS113" i="46"/>
  <c r="EA113" i="46"/>
  <c r="BP113" i="46"/>
  <c r="DX113" i="46"/>
  <c r="AU113" i="46"/>
  <c r="DR113" i="46"/>
  <c r="AR113" i="46"/>
  <c r="CT113" i="46"/>
  <c r="CQ113" i="46"/>
  <c r="AO113" i="46"/>
  <c r="FB113" i="46"/>
  <c r="CZ113" i="46"/>
  <c r="T119" i="46"/>
  <c r="ES119" i="46"/>
  <c r="DU119" i="46"/>
  <c r="CW119" i="46"/>
  <c r="BY119" i="46"/>
  <c r="BA119" i="46"/>
  <c r="AC119" i="46"/>
  <c r="EP119" i="46"/>
  <c r="DR119" i="46"/>
  <c r="CT119" i="46"/>
  <c r="BV119" i="46"/>
  <c r="AX119" i="46"/>
  <c r="Z119" i="46"/>
  <c r="FK119" i="46"/>
  <c r="EG119" i="46"/>
  <c r="DC119" i="46"/>
  <c r="BS119" i="46"/>
  <c r="AO119" i="46"/>
  <c r="FE119" i="46"/>
  <c r="DX119" i="46"/>
  <c r="CK119" i="46"/>
  <c r="BD119" i="46"/>
  <c r="FB119" i="46"/>
  <c r="DO119" i="46"/>
  <c r="CH119" i="46"/>
  <c r="AU119" i="46"/>
  <c r="EY119" i="46"/>
  <c r="DL119" i="46"/>
  <c r="CE119" i="46"/>
  <c r="AR119" i="46"/>
  <c r="EV119" i="46"/>
  <c r="DI119" i="46"/>
  <c r="CB119" i="46"/>
  <c r="AL119" i="46"/>
  <c r="EM119" i="46"/>
  <c r="DF119" i="46"/>
  <c r="BP119" i="46"/>
  <c r="AI119" i="46"/>
  <c r="EA119" i="46"/>
  <c r="W119" i="46"/>
  <c r="CZ119" i="46"/>
  <c r="CQ119" i="46"/>
  <c r="CN119" i="46"/>
  <c r="BM119" i="46"/>
  <c r="ED119" i="46"/>
  <c r="BJ119" i="46"/>
  <c r="BG119" i="46"/>
  <c r="AF119" i="46"/>
  <c r="FH119" i="46"/>
  <c r="EJ119" i="46"/>
  <c r="T103" i="46"/>
  <c r="FE103" i="46"/>
  <c r="EG103" i="46"/>
  <c r="DI103" i="46"/>
  <c r="CK103" i="46"/>
  <c r="BM103" i="46"/>
  <c r="AO103" i="46"/>
  <c r="EM103" i="46"/>
  <c r="DL103" i="46"/>
  <c r="CH103" i="46"/>
  <c r="BG103" i="46"/>
  <c r="AF103" i="46"/>
  <c r="EV103" i="46"/>
  <c r="DR103" i="46"/>
  <c r="CN103" i="46"/>
  <c r="BD103" i="46"/>
  <c r="Z103" i="46"/>
  <c r="ES103" i="46"/>
  <c r="DO103" i="46"/>
  <c r="CE103" i="46"/>
  <c r="BA103" i="46"/>
  <c r="W103" i="46"/>
  <c r="EP103" i="46"/>
  <c r="DF103" i="46"/>
  <c r="CB103" i="46"/>
  <c r="AX103" i="46"/>
  <c r="EJ103" i="46"/>
  <c r="DC103" i="46"/>
  <c r="BY103" i="46"/>
  <c r="AU103" i="46"/>
  <c r="FK103" i="46"/>
  <c r="ED103" i="46"/>
  <c r="CZ103" i="46"/>
  <c r="BV103" i="46"/>
  <c r="AR103" i="46"/>
  <c r="EY103" i="46"/>
  <c r="BP103" i="46"/>
  <c r="EA103" i="46"/>
  <c r="BJ103" i="46"/>
  <c r="DX103" i="46"/>
  <c r="AL103" i="46"/>
  <c r="DU103" i="46"/>
  <c r="AI103" i="46"/>
  <c r="CW103" i="46"/>
  <c r="AC103" i="46"/>
  <c r="CT103" i="46"/>
  <c r="FH103" i="46"/>
  <c r="FB103" i="46"/>
  <c r="CQ103" i="46"/>
  <c r="BS103" i="46"/>
  <c r="T86" i="46"/>
  <c r="EY86" i="46"/>
  <c r="EA86" i="46"/>
  <c r="DC86" i="46"/>
  <c r="CE86" i="46"/>
  <c r="BG86" i="46"/>
  <c r="AI86" i="46"/>
  <c r="EV86" i="46"/>
  <c r="DX86" i="46"/>
  <c r="CZ86" i="46"/>
  <c r="CB86" i="46"/>
  <c r="BD86" i="46"/>
  <c r="AF86" i="46"/>
  <c r="ES86" i="46"/>
  <c r="DU86" i="46"/>
  <c r="CW86" i="46"/>
  <c r="BY86" i="46"/>
  <c r="BA86" i="46"/>
  <c r="AC86" i="46"/>
  <c r="FK86" i="46"/>
  <c r="EM86" i="46"/>
  <c r="DO86" i="46"/>
  <c r="CQ86" i="46"/>
  <c r="BS86" i="46"/>
  <c r="AU86" i="46"/>
  <c r="W86" i="46"/>
  <c r="EJ86" i="46"/>
  <c r="CN86" i="46"/>
  <c r="AR86" i="46"/>
  <c r="EG86" i="46"/>
  <c r="CK86" i="46"/>
  <c r="AO86" i="46"/>
  <c r="ED86" i="46"/>
  <c r="CH86" i="46"/>
  <c r="AL86" i="46"/>
  <c r="DR86" i="46"/>
  <c r="BV86" i="46"/>
  <c r="Z86" i="46"/>
  <c r="FH86" i="46"/>
  <c r="DL86" i="46"/>
  <c r="BP86" i="46"/>
  <c r="FE86" i="46"/>
  <c r="DI86" i="46"/>
  <c r="BM86" i="46"/>
  <c r="FB86" i="46"/>
  <c r="DF86" i="46"/>
  <c r="BJ86" i="46"/>
  <c r="EP86" i="46"/>
  <c r="CT86" i="46"/>
  <c r="AX86" i="46"/>
  <c r="T81" i="46"/>
  <c r="EV81" i="46"/>
  <c r="DX81" i="46"/>
  <c r="CZ81" i="46"/>
  <c r="CB81" i="46"/>
  <c r="BD81" i="46"/>
  <c r="AF81" i="46"/>
  <c r="ES81" i="46"/>
  <c r="DU81" i="46"/>
  <c r="CW81" i="46"/>
  <c r="BY81" i="46"/>
  <c r="BA81" i="46"/>
  <c r="AC81" i="46"/>
  <c r="EP81" i="46"/>
  <c r="DR81" i="46"/>
  <c r="CT81" i="46"/>
  <c r="BV81" i="46"/>
  <c r="AX81" i="46"/>
  <c r="Z81" i="46"/>
  <c r="FK81" i="46"/>
  <c r="EM81" i="46"/>
  <c r="DO81" i="46"/>
  <c r="CQ81" i="46"/>
  <c r="BS81" i="46"/>
  <c r="AU81" i="46"/>
  <c r="W81" i="46"/>
  <c r="FH81" i="46"/>
  <c r="EJ81" i="46"/>
  <c r="DL81" i="46"/>
  <c r="CN81" i="46"/>
  <c r="BP81" i="46"/>
  <c r="AR81" i="46"/>
  <c r="ED81" i="46"/>
  <c r="BM81" i="46"/>
  <c r="EA81" i="46"/>
  <c r="BJ81" i="46"/>
  <c r="DI81" i="46"/>
  <c r="BG81" i="46"/>
  <c r="EG81" i="46"/>
  <c r="DF81" i="46"/>
  <c r="AO81" i="46"/>
  <c r="CE81" i="46"/>
  <c r="FE81" i="46"/>
  <c r="DC81" i="46"/>
  <c r="AL81" i="46"/>
  <c r="FB81" i="46"/>
  <c r="CK81" i="46"/>
  <c r="AI81" i="46"/>
  <c r="EY81" i="46"/>
  <c r="CH81" i="46"/>
  <c r="T90" i="46"/>
  <c r="FK90" i="46"/>
  <c r="EM90" i="46"/>
  <c r="DO90" i="46"/>
  <c r="CQ90" i="46"/>
  <c r="BS90" i="46"/>
  <c r="AU90" i="46"/>
  <c r="W90" i="46"/>
  <c r="FH90" i="46"/>
  <c r="EJ90" i="46"/>
  <c r="DL90" i="46"/>
  <c r="CN90" i="46"/>
  <c r="BP90" i="46"/>
  <c r="AR90" i="46"/>
  <c r="EY90" i="46"/>
  <c r="EA90" i="46"/>
  <c r="DC90" i="46"/>
  <c r="CE90" i="46"/>
  <c r="BG90" i="46"/>
  <c r="AI90" i="46"/>
  <c r="EV90" i="46"/>
  <c r="DI90" i="46"/>
  <c r="BY90" i="46"/>
  <c r="AL90" i="46"/>
  <c r="ES90" i="46"/>
  <c r="DF90" i="46"/>
  <c r="BV90" i="46"/>
  <c r="AF90" i="46"/>
  <c r="EP90" i="46"/>
  <c r="CZ90" i="46"/>
  <c r="BM90" i="46"/>
  <c r="AC90" i="46"/>
  <c r="EG90" i="46"/>
  <c r="CW90" i="46"/>
  <c r="BJ90" i="46"/>
  <c r="Z90" i="46"/>
  <c r="ED90" i="46"/>
  <c r="CT90" i="46"/>
  <c r="BD90" i="46"/>
  <c r="DX90" i="46"/>
  <c r="CK90" i="46"/>
  <c r="BA90" i="46"/>
  <c r="FE90" i="46"/>
  <c r="DU90" i="46"/>
  <c r="CH90" i="46"/>
  <c r="AX90" i="46"/>
  <c r="FB90" i="46"/>
  <c r="DR90" i="46"/>
  <c r="CB90" i="46"/>
  <c r="AO90" i="46"/>
  <c r="T114" i="46"/>
  <c r="FH114" i="46"/>
  <c r="EJ114" i="46"/>
  <c r="DL114" i="46"/>
  <c r="CN114" i="46"/>
  <c r="BP114" i="46"/>
  <c r="AR114" i="46"/>
  <c r="FE114" i="46"/>
  <c r="EG114" i="46"/>
  <c r="DI114" i="46"/>
  <c r="CK114" i="46"/>
  <c r="BM114" i="46"/>
  <c r="AO114" i="46"/>
  <c r="EV114" i="46"/>
  <c r="FB114" i="46"/>
  <c r="DU114" i="46"/>
  <c r="CQ114" i="46"/>
  <c r="BG114" i="46"/>
  <c r="AC114" i="46"/>
  <c r="EY114" i="46"/>
  <c r="DR114" i="46"/>
  <c r="CH114" i="46"/>
  <c r="BD114" i="46"/>
  <c r="Z114" i="46"/>
  <c r="ES114" i="46"/>
  <c r="DO114" i="46"/>
  <c r="CE114" i="46"/>
  <c r="BA114" i="46"/>
  <c r="W114" i="46"/>
  <c r="EP114" i="46"/>
  <c r="DF114" i="46"/>
  <c r="CB114" i="46"/>
  <c r="AX114" i="46"/>
  <c r="EM114" i="46"/>
  <c r="DC114" i="46"/>
  <c r="BY114" i="46"/>
  <c r="AU114" i="46"/>
  <c r="CW114" i="46"/>
  <c r="CT114" i="46"/>
  <c r="BV114" i="46"/>
  <c r="FK114" i="46"/>
  <c r="BS114" i="46"/>
  <c r="ED114" i="46"/>
  <c r="BJ114" i="46"/>
  <c r="CZ114" i="46"/>
  <c r="AL114" i="46"/>
  <c r="AI114" i="46"/>
  <c r="AF114" i="46"/>
  <c r="EA114" i="46"/>
  <c r="DX114" i="46"/>
  <c r="T82" i="46"/>
  <c r="FK82" i="46"/>
  <c r="EM82" i="46"/>
  <c r="DO82" i="46"/>
  <c r="CQ82" i="46"/>
  <c r="BS82" i="46"/>
  <c r="AU82" i="46"/>
  <c r="W82" i="46"/>
  <c r="FH82" i="46"/>
  <c r="EJ82" i="46"/>
  <c r="DL82" i="46"/>
  <c r="CN82" i="46"/>
  <c r="BP82" i="46"/>
  <c r="AR82" i="46"/>
  <c r="FE82" i="46"/>
  <c r="EG82" i="46"/>
  <c r="DI82" i="46"/>
  <c r="CK82" i="46"/>
  <c r="BM82" i="46"/>
  <c r="AO82" i="46"/>
  <c r="FB82" i="46"/>
  <c r="ED82" i="46"/>
  <c r="DF82" i="46"/>
  <c r="CH82" i="46"/>
  <c r="BJ82" i="46"/>
  <c r="AL82" i="46"/>
  <c r="EY82" i="46"/>
  <c r="EA82" i="46"/>
  <c r="DC82" i="46"/>
  <c r="CE82" i="46"/>
  <c r="BG82" i="46"/>
  <c r="AI82" i="46"/>
  <c r="EV82" i="46"/>
  <c r="DX82" i="46"/>
  <c r="CZ82" i="46"/>
  <c r="CB82" i="46"/>
  <c r="BD82" i="46"/>
  <c r="AF82" i="46"/>
  <c r="ES82" i="46"/>
  <c r="DU82" i="46"/>
  <c r="CW82" i="46"/>
  <c r="BY82" i="46"/>
  <c r="BA82" i="46"/>
  <c r="AC82" i="46"/>
  <c r="EP82" i="46"/>
  <c r="DR82" i="46"/>
  <c r="CT82" i="46"/>
  <c r="BV82" i="46"/>
  <c r="AX82" i="46"/>
  <c r="Z82" i="46"/>
  <c r="T109" i="46"/>
  <c r="FH109" i="46"/>
  <c r="EJ109" i="46"/>
  <c r="DL109" i="46"/>
  <c r="CN109" i="46"/>
  <c r="BP109" i="46"/>
  <c r="AR109" i="46"/>
  <c r="FE109" i="46"/>
  <c r="EG109" i="46"/>
  <c r="DI109" i="46"/>
  <c r="CK109" i="46"/>
  <c r="BM109" i="46"/>
  <c r="AO109" i="46"/>
  <c r="FB109" i="46"/>
  <c r="ED109" i="46"/>
  <c r="DF109" i="46"/>
  <c r="CH109" i="46"/>
  <c r="BJ109" i="46"/>
  <c r="AL109" i="46"/>
  <c r="EY109" i="46"/>
  <c r="EA109" i="46"/>
  <c r="DC109" i="46"/>
  <c r="CE109" i="46"/>
  <c r="BG109" i="46"/>
  <c r="AI109" i="46"/>
  <c r="EV109" i="46"/>
  <c r="DX109" i="46"/>
  <c r="CZ109" i="46"/>
  <c r="CB109" i="46"/>
  <c r="BD109" i="46"/>
  <c r="AF109" i="46"/>
  <c r="EM109" i="46"/>
  <c r="BV109" i="46"/>
  <c r="DU109" i="46"/>
  <c r="BS109" i="46"/>
  <c r="DR109" i="46"/>
  <c r="BA109" i="46"/>
  <c r="DO109" i="46"/>
  <c r="AX109" i="46"/>
  <c r="CW109" i="46"/>
  <c r="AU109" i="46"/>
  <c r="FK109" i="46"/>
  <c r="CT109" i="46"/>
  <c r="AC109" i="46"/>
  <c r="CQ109" i="46"/>
  <c r="BY109" i="46"/>
  <c r="Z109" i="46"/>
  <c r="W109" i="46"/>
  <c r="ES109" i="46"/>
  <c r="EP109" i="46"/>
  <c r="T107" i="46"/>
  <c r="FB107" i="46"/>
  <c r="ED107" i="46"/>
  <c r="DF107" i="46"/>
  <c r="CH107" i="46"/>
  <c r="BJ107" i="46"/>
  <c r="AL107" i="46"/>
  <c r="ES107" i="46"/>
  <c r="DU107" i="46"/>
  <c r="CW107" i="46"/>
  <c r="BY107" i="46"/>
  <c r="BA107" i="46"/>
  <c r="AC107" i="46"/>
  <c r="EP107" i="46"/>
  <c r="DR107" i="46"/>
  <c r="CT107" i="46"/>
  <c r="BV107" i="46"/>
  <c r="EY107" i="46"/>
  <c r="DL107" i="46"/>
  <c r="CB107" i="46"/>
  <c r="AR107" i="46"/>
  <c r="EV107" i="46"/>
  <c r="DI107" i="46"/>
  <c r="BS107" i="46"/>
  <c r="AO107" i="46"/>
  <c r="EM107" i="46"/>
  <c r="DC107" i="46"/>
  <c r="BP107" i="46"/>
  <c r="AI107" i="46"/>
  <c r="EJ107" i="46"/>
  <c r="CZ107" i="46"/>
  <c r="BM107" i="46"/>
  <c r="AF107" i="46"/>
  <c r="EG107" i="46"/>
  <c r="CQ107" i="46"/>
  <c r="BG107" i="46"/>
  <c r="Z107" i="46"/>
  <c r="FK107" i="46"/>
  <c r="EA107" i="46"/>
  <c r="CN107" i="46"/>
  <c r="BD107" i="46"/>
  <c r="W107" i="46"/>
  <c r="FH107" i="46"/>
  <c r="FE107" i="46"/>
  <c r="DX107" i="46"/>
  <c r="DO107" i="46"/>
  <c r="CK107" i="46"/>
  <c r="CE107" i="46"/>
  <c r="AX107" i="46"/>
  <c r="AU107" i="46"/>
  <c r="T127" i="46"/>
  <c r="EV127" i="46"/>
  <c r="DX127" i="46"/>
  <c r="CZ127" i="46"/>
  <c r="CB127" i="46"/>
  <c r="BD127" i="46"/>
  <c r="AF127" i="46"/>
  <c r="FH127" i="46"/>
  <c r="EG127" i="46"/>
  <c r="DF127" i="46"/>
  <c r="CE127" i="46"/>
  <c r="BA127" i="46"/>
  <c r="Z127" i="46"/>
  <c r="FE127" i="46"/>
  <c r="ED127" i="46"/>
  <c r="DC127" i="46"/>
  <c r="BY127" i="46"/>
  <c r="AX127" i="46"/>
  <c r="W127" i="46"/>
  <c r="FB127" i="46"/>
  <c r="EA127" i="46"/>
  <c r="CW127" i="46"/>
  <c r="BV127" i="46"/>
  <c r="AU127" i="46"/>
  <c r="EY127" i="46"/>
  <c r="DU127" i="46"/>
  <c r="CT127" i="46"/>
  <c r="BS127" i="46"/>
  <c r="AR127" i="46"/>
  <c r="ES127" i="46"/>
  <c r="DR127" i="46"/>
  <c r="CQ127" i="46"/>
  <c r="BP127" i="46"/>
  <c r="AO127" i="46"/>
  <c r="EP127" i="46"/>
  <c r="CH127" i="46"/>
  <c r="EM127" i="46"/>
  <c r="BM127" i="46"/>
  <c r="EJ127" i="46"/>
  <c r="BJ127" i="46"/>
  <c r="DO127" i="46"/>
  <c r="BG127" i="46"/>
  <c r="DL127" i="46"/>
  <c r="AL127" i="46"/>
  <c r="DI127" i="46"/>
  <c r="AI127" i="46"/>
  <c r="CN127" i="46"/>
  <c r="AC127" i="46"/>
  <c r="FK127" i="46"/>
  <c r="CK127" i="46"/>
  <c r="T99" i="46"/>
  <c r="ES99" i="46"/>
  <c r="DU99" i="46"/>
  <c r="CW99" i="46"/>
  <c r="BY99" i="46"/>
  <c r="BA99" i="46"/>
  <c r="AC99" i="46"/>
  <c r="EP99" i="46"/>
  <c r="DR99" i="46"/>
  <c r="CT99" i="46"/>
  <c r="BV99" i="46"/>
  <c r="AX99" i="46"/>
  <c r="Z99" i="46"/>
  <c r="FK99" i="46"/>
  <c r="EM99" i="46"/>
  <c r="DO99" i="46"/>
  <c r="CQ99" i="46"/>
  <c r="BS99" i="46"/>
  <c r="AU99" i="46"/>
  <c r="W99" i="46"/>
  <c r="FH99" i="46"/>
  <c r="EJ99" i="46"/>
  <c r="DL99" i="46"/>
  <c r="CN99" i="46"/>
  <c r="BP99" i="46"/>
  <c r="AR99" i="46"/>
  <c r="FE99" i="46"/>
  <c r="EG99" i="46"/>
  <c r="DI99" i="46"/>
  <c r="CK99" i="46"/>
  <c r="BM99" i="46"/>
  <c r="AO99" i="46"/>
  <c r="EV99" i="46"/>
  <c r="CE99" i="46"/>
  <c r="ED99" i="46"/>
  <c r="CB99" i="46"/>
  <c r="EA99" i="46"/>
  <c r="BJ99" i="46"/>
  <c r="DX99" i="46"/>
  <c r="BG99" i="46"/>
  <c r="DF99" i="46"/>
  <c r="BD99" i="46"/>
  <c r="DC99" i="46"/>
  <c r="AL99" i="46"/>
  <c r="FB99" i="46"/>
  <c r="EY99" i="46"/>
  <c r="CZ99" i="46"/>
  <c r="CH99" i="46"/>
  <c r="AI99" i="46"/>
  <c r="AF99" i="46"/>
  <c r="T100" i="46"/>
  <c r="FH100" i="46"/>
  <c r="EJ100" i="46"/>
  <c r="DL100" i="46"/>
  <c r="CN100" i="46"/>
  <c r="BP100" i="46"/>
  <c r="AR100" i="46"/>
  <c r="FE100" i="46"/>
  <c r="EG100" i="46"/>
  <c r="DI100" i="46"/>
  <c r="CK100" i="46"/>
  <c r="BM100" i="46"/>
  <c r="AO100" i="46"/>
  <c r="FB100" i="46"/>
  <c r="ED100" i="46"/>
  <c r="DF100" i="46"/>
  <c r="CH100" i="46"/>
  <c r="BJ100" i="46"/>
  <c r="AL100" i="46"/>
  <c r="EY100" i="46"/>
  <c r="EA100" i="46"/>
  <c r="DC100" i="46"/>
  <c r="CE100" i="46"/>
  <c r="BG100" i="46"/>
  <c r="AI100" i="46"/>
  <c r="EV100" i="46"/>
  <c r="DX100" i="46"/>
  <c r="CZ100" i="46"/>
  <c r="CB100" i="46"/>
  <c r="BD100" i="46"/>
  <c r="AF100" i="46"/>
  <c r="DR100" i="46"/>
  <c r="BA100" i="46"/>
  <c r="DO100" i="46"/>
  <c r="AX100" i="46"/>
  <c r="CW100" i="46"/>
  <c r="AU100" i="46"/>
  <c r="FK100" i="46"/>
  <c r="CT100" i="46"/>
  <c r="AC100" i="46"/>
  <c r="ES100" i="46"/>
  <c r="CQ100" i="46"/>
  <c r="Z100" i="46"/>
  <c r="EP100" i="46"/>
  <c r="BY100" i="46"/>
  <c r="W100" i="46"/>
  <c r="EM100" i="46"/>
  <c r="DU100" i="46"/>
  <c r="BV100" i="46"/>
  <c r="BS100" i="46"/>
  <c r="T102" i="46"/>
  <c r="ES102" i="46"/>
  <c r="DU102" i="46"/>
  <c r="CW102" i="46"/>
  <c r="BY102" i="46"/>
  <c r="BA102" i="46"/>
  <c r="AC102" i="46"/>
  <c r="EY102" i="46"/>
  <c r="DX102" i="46"/>
  <c r="CT102" i="46"/>
  <c r="BS102" i="46"/>
  <c r="AR102" i="46"/>
  <c r="EV102" i="46"/>
  <c r="DR102" i="46"/>
  <c r="CQ102" i="46"/>
  <c r="BP102" i="46"/>
  <c r="AO102" i="46"/>
  <c r="EP102" i="46"/>
  <c r="DO102" i="46"/>
  <c r="CN102" i="46"/>
  <c r="BM102" i="46"/>
  <c r="AL102" i="46"/>
  <c r="EM102" i="46"/>
  <c r="DL102" i="46"/>
  <c r="CK102" i="46"/>
  <c r="BJ102" i="46"/>
  <c r="AI102" i="46"/>
  <c r="FK102" i="46"/>
  <c r="EJ102" i="46"/>
  <c r="DI102" i="46"/>
  <c r="CH102" i="46"/>
  <c r="BG102" i="46"/>
  <c r="AF102" i="46"/>
  <c r="ED102" i="46"/>
  <c r="BD102" i="46"/>
  <c r="EA102" i="46"/>
  <c r="AX102" i="46"/>
  <c r="DF102" i="46"/>
  <c r="AU102" i="46"/>
  <c r="DC102" i="46"/>
  <c r="Z102" i="46"/>
  <c r="FH102" i="46"/>
  <c r="CZ102" i="46"/>
  <c r="W102" i="46"/>
  <c r="FE102" i="46"/>
  <c r="CE102" i="46"/>
  <c r="FB102" i="46"/>
  <c r="EG102" i="46"/>
  <c r="CB102" i="46"/>
  <c r="BV102" i="46"/>
  <c r="T87" i="46"/>
  <c r="EP87" i="46"/>
  <c r="DR87" i="46"/>
  <c r="CT87" i="46"/>
  <c r="BV87" i="46"/>
  <c r="AX87" i="46"/>
  <c r="Z87" i="46"/>
  <c r="FK87" i="46"/>
  <c r="EM87" i="46"/>
  <c r="DO87" i="46"/>
  <c r="CQ87" i="46"/>
  <c r="BS87" i="46"/>
  <c r="AU87" i="46"/>
  <c r="W87" i="46"/>
  <c r="FH87" i="46"/>
  <c r="EJ87" i="46"/>
  <c r="DL87" i="46"/>
  <c r="CN87" i="46"/>
  <c r="BP87" i="46"/>
  <c r="AR87" i="46"/>
  <c r="FE87" i="46"/>
  <c r="EG87" i="46"/>
  <c r="DI87" i="46"/>
  <c r="CK87" i="46"/>
  <c r="BM87" i="46"/>
  <c r="AO87" i="46"/>
  <c r="FB87" i="46"/>
  <c r="ED87" i="46"/>
  <c r="DF87" i="46"/>
  <c r="CH87" i="46"/>
  <c r="BJ87" i="46"/>
  <c r="AL87" i="46"/>
  <c r="DC87" i="46"/>
  <c r="BA87" i="46"/>
  <c r="CZ87" i="46"/>
  <c r="AI87" i="46"/>
  <c r="EY87" i="46"/>
  <c r="CW87" i="46"/>
  <c r="AF87" i="46"/>
  <c r="EV87" i="46"/>
  <c r="CE87" i="46"/>
  <c r="AC87" i="46"/>
  <c r="ES87" i="46"/>
  <c r="CB87" i="46"/>
  <c r="EA87" i="46"/>
  <c r="BY87" i="46"/>
  <c r="DX87" i="46"/>
  <c r="BG87" i="46"/>
  <c r="DU87" i="46"/>
  <c r="BD87" i="46"/>
  <c r="T80" i="46"/>
  <c r="FE80" i="46"/>
  <c r="EG80" i="46"/>
  <c r="DI80" i="46"/>
  <c r="CK80" i="46"/>
  <c r="BM80" i="46"/>
  <c r="AO80" i="46"/>
  <c r="FB80" i="46"/>
  <c r="ED80" i="46"/>
  <c r="DF80" i="46"/>
  <c r="CH80" i="46"/>
  <c r="EY80" i="46"/>
  <c r="EA80" i="46"/>
  <c r="DC80" i="46"/>
  <c r="CE80" i="46"/>
  <c r="BG80" i="46"/>
  <c r="AI80" i="46"/>
  <c r="EV80" i="46"/>
  <c r="DX80" i="46"/>
  <c r="CZ80" i="46"/>
  <c r="CB80" i="46"/>
  <c r="BD80" i="46"/>
  <c r="AF80" i="46"/>
  <c r="ES80" i="46"/>
  <c r="DU80" i="46"/>
  <c r="CW80" i="46"/>
  <c r="BY80" i="46"/>
  <c r="BA80" i="46"/>
  <c r="AC80" i="46"/>
  <c r="FH80" i="46"/>
  <c r="CQ80" i="46"/>
  <c r="AR80" i="46"/>
  <c r="EP80" i="46"/>
  <c r="CN80" i="46"/>
  <c r="AL80" i="46"/>
  <c r="EM80" i="46"/>
  <c r="BV80" i="46"/>
  <c r="Z80" i="46"/>
  <c r="EJ80" i="46"/>
  <c r="BS80" i="46"/>
  <c r="W80" i="46"/>
  <c r="FK80" i="46"/>
  <c r="DR80" i="46"/>
  <c r="BP80" i="46"/>
  <c r="CT80" i="46"/>
  <c r="DO80" i="46"/>
  <c r="BJ80" i="46"/>
  <c r="DL80" i="46"/>
  <c r="AX80" i="46"/>
  <c r="AU80" i="46"/>
  <c r="T88" i="46"/>
  <c r="FE88" i="46"/>
  <c r="EG88" i="46"/>
  <c r="DI88" i="46"/>
  <c r="CK88" i="46"/>
  <c r="BM88" i="46"/>
  <c r="AO88" i="46"/>
  <c r="FB88" i="46"/>
  <c r="ED88" i="46"/>
  <c r="DF88" i="46"/>
  <c r="CH88" i="46"/>
  <c r="BJ88" i="46"/>
  <c r="AL88" i="46"/>
  <c r="EY88" i="46"/>
  <c r="EA88" i="46"/>
  <c r="DC88" i="46"/>
  <c r="CE88" i="46"/>
  <c r="BG88" i="46"/>
  <c r="AI88" i="46"/>
  <c r="EV88" i="46"/>
  <c r="DX88" i="46"/>
  <c r="CZ88" i="46"/>
  <c r="CB88" i="46"/>
  <c r="BD88" i="46"/>
  <c r="AF88" i="46"/>
  <c r="ES88" i="46"/>
  <c r="DU88" i="46"/>
  <c r="CW88" i="46"/>
  <c r="BY88" i="46"/>
  <c r="BA88" i="46"/>
  <c r="AC88" i="46"/>
  <c r="EP88" i="46"/>
  <c r="DR88" i="46"/>
  <c r="CT88" i="46"/>
  <c r="BV88" i="46"/>
  <c r="FK88" i="46"/>
  <c r="EM88" i="46"/>
  <c r="DO88" i="46"/>
  <c r="CQ88" i="46"/>
  <c r="DL88" i="46"/>
  <c r="W88" i="46"/>
  <c r="CN88" i="46"/>
  <c r="BS88" i="46"/>
  <c r="BP88" i="46"/>
  <c r="AX88" i="46"/>
  <c r="AU88" i="46"/>
  <c r="FH88" i="46"/>
  <c r="AR88" i="46"/>
  <c r="EJ88" i="46"/>
  <c r="Z88" i="46"/>
  <c r="T111" i="46"/>
  <c r="FK111" i="46"/>
  <c r="EM111" i="46"/>
  <c r="DO111" i="46"/>
  <c r="CQ111" i="46"/>
  <c r="BS111" i="46"/>
  <c r="AU111" i="46"/>
  <c r="W111" i="46"/>
  <c r="FH111" i="46"/>
  <c r="EJ111" i="46"/>
  <c r="DL111" i="46"/>
  <c r="CN111" i="46"/>
  <c r="BP111" i="46"/>
  <c r="AR111" i="46"/>
  <c r="FB111" i="46"/>
  <c r="ED111" i="46"/>
  <c r="DF111" i="46"/>
  <c r="CH111" i="46"/>
  <c r="BJ111" i="46"/>
  <c r="AL111" i="46"/>
  <c r="EV111" i="46"/>
  <c r="DI111" i="46"/>
  <c r="BY111" i="46"/>
  <c r="AI111" i="46"/>
  <c r="ES111" i="46"/>
  <c r="DC111" i="46"/>
  <c r="BV111" i="46"/>
  <c r="AF111" i="46"/>
  <c r="EP111" i="46"/>
  <c r="CZ111" i="46"/>
  <c r="BM111" i="46"/>
  <c r="AC111" i="46"/>
  <c r="EG111" i="46"/>
  <c r="CW111" i="46"/>
  <c r="BG111" i="46"/>
  <c r="Z111" i="46"/>
  <c r="EA111" i="46"/>
  <c r="CT111" i="46"/>
  <c r="BD111" i="46"/>
  <c r="CK111" i="46"/>
  <c r="CE111" i="46"/>
  <c r="CB111" i="46"/>
  <c r="FE111" i="46"/>
  <c r="BA111" i="46"/>
  <c r="EY111" i="46"/>
  <c r="AX111" i="46"/>
  <c r="DX111" i="46"/>
  <c r="AO111" i="46"/>
  <c r="DU111" i="46"/>
  <c r="DR111" i="46"/>
  <c r="T105" i="46"/>
  <c r="EV105" i="46"/>
  <c r="DX105" i="46"/>
  <c r="CZ105" i="46"/>
  <c r="CB105" i="46"/>
  <c r="BD105" i="46"/>
  <c r="AF105" i="46"/>
  <c r="EY105" i="46"/>
  <c r="DU105" i="46"/>
  <c r="CT105" i="46"/>
  <c r="BS105" i="46"/>
  <c r="AR105" i="46"/>
  <c r="ES105" i="46"/>
  <c r="DR105" i="46"/>
  <c r="CQ105" i="46"/>
  <c r="BP105" i="46"/>
  <c r="AO105" i="46"/>
  <c r="FB105" i="46"/>
  <c r="DL105" i="46"/>
  <c r="CE105" i="46"/>
  <c r="AU105" i="46"/>
  <c r="EP105" i="46"/>
  <c r="DI105" i="46"/>
  <c r="BY105" i="46"/>
  <c r="AL105" i="46"/>
  <c r="EM105" i="46"/>
  <c r="DF105" i="46"/>
  <c r="BV105" i="46"/>
  <c r="AI105" i="46"/>
  <c r="EJ105" i="46"/>
  <c r="DC105" i="46"/>
  <c r="BM105" i="46"/>
  <c r="AC105" i="46"/>
  <c r="EG105" i="46"/>
  <c r="CW105" i="46"/>
  <c r="BJ105" i="46"/>
  <c r="Z105" i="46"/>
  <c r="FK105" i="46"/>
  <c r="ED105" i="46"/>
  <c r="CN105" i="46"/>
  <c r="FH105" i="46"/>
  <c r="EA105" i="46"/>
  <c r="BA105" i="46"/>
  <c r="AX105" i="46"/>
  <c r="W105" i="46"/>
  <c r="FE105" i="46"/>
  <c r="DO105" i="46"/>
  <c r="BG105" i="46"/>
  <c r="CK105" i="46"/>
  <c r="CH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BL69"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DO128" i="46" l="1"/>
  <c r="BV128" i="46"/>
  <c r="DX128" i="46"/>
  <c r="CH128" i="46"/>
  <c r="CW128" i="46"/>
  <c r="EG128" i="46"/>
  <c r="DU128" i="46"/>
  <c r="BP128" i="46"/>
  <c r="AL128" i="46"/>
  <c r="ES128" i="46"/>
  <c r="AI128" i="46"/>
  <c r="ED128" i="46"/>
  <c r="FE128" i="46"/>
  <c r="AX128" i="46"/>
  <c r="DR128" i="46"/>
  <c r="CN128" i="46"/>
  <c r="BG128" i="46"/>
  <c r="FB128" i="46"/>
  <c r="FK128" i="46"/>
  <c r="EV128" i="46"/>
  <c r="DL128" i="46"/>
  <c r="W128" i="46"/>
  <c r="EP128" i="46"/>
  <c r="AF128" i="46"/>
  <c r="CE128" i="46"/>
  <c r="AO128" i="46"/>
  <c r="EM128" i="46"/>
  <c r="BS128" i="46"/>
  <c r="AR128" i="46"/>
  <c r="AC128" i="46"/>
  <c r="BD128" i="46"/>
  <c r="DC128" i="46"/>
  <c r="BM128" i="46"/>
  <c r="CT128" i="46"/>
  <c r="EJ128" i="46"/>
  <c r="CQ128" i="46"/>
  <c r="BA128" i="46"/>
  <c r="CB128" i="46"/>
  <c r="EA128" i="46"/>
  <c r="CK128" i="46"/>
  <c r="DF128" i="46"/>
  <c r="AU128" i="46"/>
  <c r="BJ128" i="46"/>
  <c r="Z128" i="46"/>
  <c r="FH128" i="46"/>
  <c r="BY128" i="46"/>
  <c r="CZ128" i="46"/>
  <c r="EY128" i="46"/>
  <c r="DI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AM38" i="45" s="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CK165" i="46"/>
  <c r="DX166" i="46"/>
  <c r="FK167" i="46"/>
  <c r="BA169" i="46"/>
  <c r="CN170" i="46"/>
  <c r="EA171" i="46"/>
  <c r="CK164" i="46"/>
  <c r="AR165" i="46"/>
  <c r="CE166" i="46"/>
  <c r="FK165" i="46"/>
  <c r="BA167" i="46"/>
  <c r="EP165" i="46"/>
  <c r="AF167" i="46"/>
  <c r="BS168" i="46"/>
  <c r="DF169" i="46"/>
  <c r="ES170" i="46"/>
  <c r="AI172" i="46"/>
  <c r="AU166" i="46"/>
  <c r="BY168" i="46"/>
  <c r="DL169" i="46"/>
  <c r="EY170" i="46"/>
  <c r="EV173" i="46"/>
  <c r="Z164" i="46"/>
  <c r="DC165" i="46"/>
  <c r="EP166" i="46"/>
  <c r="EP168" i="46"/>
  <c r="BA166" i="46"/>
  <c r="CE168" i="46"/>
  <c r="DR169" i="46"/>
  <c r="FE170" i="46"/>
  <c r="FB173" i="46"/>
  <c r="AU164" i="46"/>
  <c r="DU165" i="46"/>
  <c r="FH166" i="46"/>
  <c r="EV168" i="46"/>
  <c r="DX165" i="46"/>
  <c r="FK166" i="46"/>
  <c r="EY168" i="46"/>
  <c r="EA165" i="46"/>
  <c r="FE168" i="46"/>
  <c r="DI170" i="46"/>
  <c r="AI174" i="46"/>
  <c r="ED175" i="46"/>
  <c r="BG178" i="46"/>
  <c r="CT179" i="46"/>
  <c r="FH168" i="46"/>
  <c r="W170" i="46"/>
  <c r="DL172" i="46"/>
  <c r="CK175" i="46"/>
  <c r="DX170" i="46"/>
  <c r="AO174" i="46"/>
  <c r="EJ175" i="46"/>
  <c r="FH167" i="46"/>
  <c r="EV169" i="46"/>
  <c r="DU171" i="46"/>
  <c r="CW173" i="46"/>
  <c r="EJ174" i="46"/>
  <c r="W175" i="46"/>
  <c r="AU170" i="46"/>
  <c r="DX172" i="46"/>
  <c r="CT175" i="46"/>
  <c r="EG176" i="46"/>
  <c r="W178" i="46"/>
  <c r="BJ179" i="46"/>
  <c r="BA172" i="46"/>
  <c r="EM173" i="46"/>
  <c r="BA175" i="46"/>
  <c r="CN176" i="46"/>
  <c r="EY174" i="46"/>
  <c r="AU176" i="46"/>
  <c r="CT177" i="46"/>
  <c r="EG178" i="46"/>
  <c r="DO173" i="46"/>
  <c r="AI175" i="46"/>
  <c r="BA179" i="46"/>
  <c r="EP173" i="46"/>
  <c r="BD175" i="46"/>
  <c r="BD179" i="46"/>
  <c r="BG176" i="46"/>
  <c r="DF177" i="46"/>
  <c r="ES178" i="46"/>
  <c r="CN166" i="46"/>
  <c r="CK174" i="46"/>
  <c r="Z176" i="46"/>
  <c r="CE177" i="46"/>
  <c r="DR178" i="46"/>
  <c r="FE179" i="46"/>
  <c r="CW172" i="46"/>
  <c r="EM176" i="46"/>
  <c r="BG167" i="46"/>
  <c r="DO169" i="46"/>
  <c r="CW171" i="46"/>
  <c r="DF176" i="46"/>
  <c r="EY177" i="46"/>
  <c r="DC175" i="46"/>
  <c r="BY179" i="46"/>
  <c r="EJ164" i="46"/>
  <c r="DO164" i="46"/>
  <c r="DI165" i="46"/>
  <c r="EV166" i="46"/>
  <c r="DL170" i="46"/>
  <c r="EY171" i="46"/>
  <c r="AL166" i="46"/>
  <c r="BY167" i="46"/>
  <c r="BD167" i="46"/>
  <c r="CQ168" i="46"/>
  <c r="ED169" i="46"/>
  <c r="BG172" i="46"/>
  <c r="BD165" i="46"/>
  <c r="CQ166" i="46"/>
  <c r="DC168" i="46"/>
  <c r="EP169" i="46"/>
  <c r="BJ165" i="46"/>
  <c r="CW166" i="46"/>
  <c r="BJ164" i="46"/>
  <c r="AF169" i="46"/>
  <c r="FB170" i="46"/>
  <c r="Z171" i="46"/>
  <c r="AR177" i="46"/>
  <c r="CE178" i="46"/>
  <c r="DR179" i="46"/>
  <c r="FB172" i="46"/>
  <c r="AR169" i="46"/>
  <c r="AL171" i="46"/>
  <c r="FH175" i="46"/>
  <c r="AU178" i="46"/>
  <c r="CN172" i="46"/>
  <c r="BY175" i="46"/>
  <c r="DL176" i="46"/>
  <c r="CE176" i="46"/>
  <c r="EA177" i="46"/>
  <c r="EA175" i="46"/>
  <c r="AR178" i="46"/>
  <c r="CE179" i="46"/>
  <c r="W169" i="46"/>
  <c r="W171" i="46"/>
  <c r="CT176" i="46"/>
  <c r="EM177" i="46"/>
  <c r="BA173" i="46"/>
  <c r="EP176" i="46"/>
  <c r="CB176" i="46"/>
  <c r="FB177" i="46"/>
  <c r="AL168" i="46"/>
  <c r="BY169" i="46"/>
  <c r="CW164" i="46"/>
  <c r="BP165" i="46"/>
  <c r="DC166" i="46"/>
  <c r="W174" i="46"/>
  <c r="BG164" i="46"/>
  <c r="EY165" i="46"/>
  <c r="DL168" i="46"/>
  <c r="EY169" i="46"/>
  <c r="AC174" i="46"/>
  <c r="Z173" i="46"/>
  <c r="BM174" i="46"/>
  <c r="FB175" i="46"/>
  <c r="CB170" i="46"/>
  <c r="DI175" i="46"/>
  <c r="AI173" i="46"/>
  <c r="BV174" i="46"/>
  <c r="AL172" i="46"/>
  <c r="EG173" i="46"/>
  <c r="AU175" i="46"/>
  <c r="CQ170" i="46"/>
  <c r="DR175" i="46"/>
  <c r="FE176" i="46"/>
  <c r="CH179" i="46"/>
  <c r="CW168" i="46"/>
  <c r="DC170" i="46"/>
  <c r="EV175" i="46"/>
  <c r="AX178" i="46"/>
  <c r="CK179" i="46"/>
  <c r="EV170" i="46"/>
  <c r="BJ176" i="46"/>
  <c r="DI177" i="46"/>
  <c r="EV178" i="46"/>
  <c r="AI179" i="46"/>
  <c r="EJ172" i="46"/>
  <c r="AC177" i="46"/>
  <c r="CW178" i="46"/>
  <c r="EG165" i="46"/>
  <c r="W167" i="46"/>
  <c r="BJ168" i="46"/>
  <c r="CW169" i="46"/>
  <c r="EJ170" i="46"/>
  <c r="Z172" i="46"/>
  <c r="DI164" i="46"/>
  <c r="CN165" i="46"/>
  <c r="EA166" i="46"/>
  <c r="W165" i="46"/>
  <c r="BJ166" i="46"/>
  <c r="CW167" i="46"/>
  <c r="AO166" i="46"/>
  <c r="CB167" i="46"/>
  <c r="DO168" i="46"/>
  <c r="FB169" i="46"/>
  <c r="AR171" i="46"/>
  <c r="CE172" i="46"/>
  <c r="CZ165" i="46"/>
  <c r="EM166" i="46"/>
  <c r="EJ168" i="46"/>
  <c r="AO172" i="46"/>
  <c r="AU174" i="46"/>
  <c r="BV164" i="46"/>
  <c r="Z167" i="46"/>
  <c r="DF165" i="46"/>
  <c r="ES166" i="46"/>
  <c r="ES168" i="46"/>
  <c r="AU172" i="46"/>
  <c r="BA174" i="46"/>
  <c r="CQ164" i="46"/>
  <c r="AL167" i="46"/>
  <c r="FE165" i="46"/>
  <c r="AU167" i="46"/>
  <c r="CH168" i="46"/>
  <c r="DU169" i="46"/>
  <c r="FH170" i="46"/>
  <c r="AX172" i="46"/>
  <c r="AC164" i="46"/>
  <c r="DU164" i="46"/>
  <c r="DL165" i="46"/>
  <c r="EY166" i="46"/>
  <c r="AU165" i="46"/>
  <c r="CH166" i="46"/>
  <c r="DU167" i="46"/>
  <c r="Z165" i="46"/>
  <c r="BM166" i="46"/>
  <c r="CZ167" i="46"/>
  <c r="EM168" i="46"/>
  <c r="AC170" i="46"/>
  <c r="BP171" i="46"/>
  <c r="DC172" i="46"/>
  <c r="EV165" i="46"/>
  <c r="AF171" i="46"/>
  <c r="BS172" i="46"/>
  <c r="AF173" i="46"/>
  <c r="BS174" i="46"/>
  <c r="DC164" i="46"/>
  <c r="BM167" i="46"/>
  <c r="FB165" i="46"/>
  <c r="AO171" i="46"/>
  <c r="CB172" i="46"/>
  <c r="AL173" i="46"/>
  <c r="BY174" i="46"/>
  <c r="DF164" i="46"/>
  <c r="BV167" i="46"/>
  <c r="CE167" i="46"/>
  <c r="AI169" i="46"/>
  <c r="BV170" i="46"/>
  <c r="CH167" i="46"/>
  <c r="CN167" i="46"/>
  <c r="EG169" i="46"/>
  <c r="DI171" i="46"/>
  <c r="CN173" i="46"/>
  <c r="EA174" i="46"/>
  <c r="BA176" i="46"/>
  <c r="CN177" i="46"/>
  <c r="EA178" i="46"/>
  <c r="AO169" i="46"/>
  <c r="FK170" i="46"/>
  <c r="AC171" i="46"/>
  <c r="AC173" i="46"/>
  <c r="BP174" i="46"/>
  <c r="FE175" i="46"/>
  <c r="FK164" i="46"/>
  <c r="ED167" i="46"/>
  <c r="EM169" i="46"/>
  <c r="DR171" i="46"/>
  <c r="CT173" i="46"/>
  <c r="EG174" i="46"/>
  <c r="AL170" i="46"/>
  <c r="DU172" i="46"/>
  <c r="CQ175" i="46"/>
  <c r="AR166" i="46"/>
  <c r="BD169" i="46"/>
  <c r="AX171" i="46"/>
  <c r="AR173" i="46"/>
  <c r="CE174" i="46"/>
  <c r="BD177" i="46"/>
  <c r="CQ178" i="46"/>
  <c r="ED179" i="46"/>
  <c r="CZ170" i="46"/>
  <c r="DU175" i="46"/>
  <c r="EY176" i="46"/>
  <c r="AF174" i="46"/>
  <c r="BS177" i="46"/>
  <c r="DF178" i="46"/>
  <c r="ES179" i="46"/>
  <c r="BG174" i="46"/>
  <c r="BV177" i="46"/>
  <c r="DI178" i="46"/>
  <c r="EV179" i="46"/>
  <c r="W173" i="46"/>
  <c r="FK176" i="46"/>
  <c r="AC179" i="46"/>
  <c r="CQ172" i="46"/>
  <c r="EJ176" i="46"/>
  <c r="CH165" i="46"/>
  <c r="W177" i="46"/>
  <c r="BJ178" i="46"/>
  <c r="CW179" i="46"/>
  <c r="CZ175" i="46"/>
  <c r="AF178" i="46"/>
  <c r="BS179" i="46"/>
  <c r="DX174" i="46"/>
  <c r="BJ177" i="46"/>
  <c r="ED178" i="46"/>
  <c r="DO176" i="46"/>
  <c r="EV164" i="46"/>
  <c r="AF166" i="46"/>
  <c r="DF168" i="46"/>
  <c r="ES169" i="46"/>
  <c r="AO164" i="46"/>
  <c r="EJ165" i="46"/>
  <c r="BS165" i="46"/>
  <c r="DF166" i="46"/>
  <c r="ES167" i="46"/>
  <c r="AX165" i="46"/>
  <c r="CK166" i="46"/>
  <c r="DX167" i="46"/>
  <c r="FK168" i="46"/>
  <c r="EA172" i="46"/>
  <c r="DC167" i="46"/>
  <c r="AI170" i="46"/>
  <c r="BV171" i="46"/>
  <c r="DI172" i="46"/>
  <c r="BJ173" i="46"/>
  <c r="CW174" i="46"/>
  <c r="Z168" i="46"/>
  <c r="DL167" i="46"/>
  <c r="BP169" i="46"/>
  <c r="EA164" i="46"/>
  <c r="DR167" i="46"/>
  <c r="EV171" i="46"/>
  <c r="W172" i="46"/>
  <c r="BM173" i="46"/>
  <c r="CZ174" i="46"/>
  <c r="CH170" i="46"/>
  <c r="DO175" i="46"/>
  <c r="BV173" i="46"/>
  <c r="DI174" i="46"/>
  <c r="AO176" i="46"/>
  <c r="CB177" i="46"/>
  <c r="DO178" i="46"/>
  <c r="BD174" i="46"/>
  <c r="AF175" i="46"/>
  <c r="FB174" i="46"/>
  <c r="AX176" i="46"/>
  <c r="CW177" i="46"/>
  <c r="EJ178" i="46"/>
  <c r="ES173" i="46"/>
  <c r="BS167" i="46"/>
  <c r="AI171" i="46"/>
  <c r="BV172" i="46"/>
  <c r="EG164" i="46"/>
  <c r="BA170" i="46"/>
  <c r="CN171" i="46"/>
  <c r="Z170" i="46"/>
  <c r="BM171" i="46"/>
  <c r="CZ172" i="46"/>
  <c r="BD173" i="46"/>
  <c r="CQ174" i="46"/>
  <c r="DR164" i="46"/>
  <c r="AI167" i="46"/>
  <c r="EM164" i="46"/>
  <c r="DI167" i="46"/>
  <c r="AC168" i="46"/>
  <c r="AF168" i="46"/>
  <c r="DR173" i="46"/>
  <c r="FE174" i="46"/>
  <c r="AL175" i="46"/>
  <c r="BY176" i="46"/>
  <c r="DL177" i="46"/>
  <c r="EY178" i="46"/>
  <c r="ED165" i="46"/>
  <c r="CK169" i="46"/>
  <c r="BY171" i="46"/>
  <c r="FK171" i="46"/>
  <c r="AF172" i="46"/>
  <c r="EA173" i="46"/>
  <c r="AR175" i="46"/>
  <c r="FH172" i="46"/>
  <c r="DC169" i="46"/>
  <c r="CK171" i="46"/>
  <c r="FB179" i="46"/>
  <c r="EM170" i="46"/>
  <c r="ES175" i="46"/>
  <c r="DL173" i="46"/>
  <c r="AU179" i="46"/>
  <c r="BD176" i="46"/>
  <c r="DC177" i="46"/>
  <c r="EP178" i="46"/>
  <c r="BG175" i="46"/>
  <c r="BD166" i="46"/>
  <c r="CQ167" i="46"/>
  <c r="ED168" i="46"/>
  <c r="BG171" i="46"/>
  <c r="CT172" i="46"/>
  <c r="BA164" i="46"/>
  <c r="ES164" i="46"/>
  <c r="FH165" i="46"/>
  <c r="CQ165" i="46"/>
  <c r="ED166" i="46"/>
  <c r="BV165" i="46"/>
  <c r="DI166" i="46"/>
  <c r="EV167" i="46"/>
  <c r="AL169" i="46"/>
  <c r="BY170" i="46"/>
  <c r="DL171" i="46"/>
  <c r="EY172" i="46"/>
  <c r="BJ167" i="46"/>
  <c r="BG170" i="46"/>
  <c r="CT171" i="46"/>
  <c r="EG172" i="46"/>
  <c r="CB173" i="46"/>
  <c r="DO174" i="46"/>
  <c r="EY164" i="46"/>
  <c r="EJ167" i="46"/>
  <c r="AX168" i="46"/>
  <c r="BP167" i="46"/>
  <c r="Z169" i="46"/>
  <c r="BM170" i="46"/>
  <c r="CZ171" i="46"/>
  <c r="EM172" i="46"/>
  <c r="CH173" i="46"/>
  <c r="DU174" i="46"/>
  <c r="FB164" i="46"/>
  <c r="EY167" i="46"/>
  <c r="BD168" i="46"/>
  <c r="W166" i="46"/>
  <c r="FB167" i="46"/>
  <c r="BG168" i="46"/>
  <c r="CT169" i="46"/>
  <c r="EP164" i="46"/>
  <c r="FE167" i="46"/>
  <c r="BM168" i="46"/>
  <c r="BM172" i="46"/>
  <c r="EY173" i="46"/>
  <c r="BJ175" i="46"/>
  <c r="CW176" i="46"/>
  <c r="EJ177" i="46"/>
  <c r="Z179" i="46"/>
  <c r="EA167" i="46"/>
  <c r="EJ169" i="46"/>
  <c r="DO171" i="46"/>
  <c r="CQ173" i="46"/>
  <c r="ED174" i="46"/>
  <c r="AO168" i="46"/>
  <c r="BY172" i="46"/>
  <c r="FH173" i="46"/>
  <c r="BP175" i="46"/>
  <c r="ED170" i="46"/>
  <c r="AR174" i="46"/>
  <c r="EM175" i="46"/>
  <c r="FE169" i="46"/>
  <c r="ED171" i="46"/>
  <c r="DC173" i="46"/>
  <c r="EP174" i="46"/>
  <c r="Z175" i="46"/>
  <c r="BM176" i="46"/>
  <c r="CZ177" i="46"/>
  <c r="EM178" i="46"/>
  <c r="AL165" i="46"/>
  <c r="BY166" i="46"/>
  <c r="BM169" i="46"/>
  <c r="BA171" i="46"/>
  <c r="AU173" i="46"/>
  <c r="CH174" i="46"/>
  <c r="DX175" i="46"/>
  <c r="AO178" i="46"/>
  <c r="CB179" i="46"/>
  <c r="DF170" i="46"/>
  <c r="CH176" i="46"/>
  <c r="ED177" i="46"/>
  <c r="EP170" i="46"/>
  <c r="CQ176" i="46"/>
  <c r="EG177" i="46"/>
  <c r="EY175" i="46"/>
  <c r="BA178" i="46"/>
  <c r="CN179" i="46"/>
  <c r="CZ168" i="46"/>
  <c r="CB175" i="46"/>
  <c r="Z178" i="46"/>
  <c r="BM179" i="46"/>
  <c r="DU166" i="46"/>
  <c r="CN174" i="46"/>
  <c r="AF176" i="46"/>
  <c r="CH177" i="46"/>
  <c r="DU178" i="46"/>
  <c r="FH179" i="46"/>
  <c r="BG177" i="46"/>
  <c r="AC169" i="46"/>
  <c r="BP170" i="46"/>
  <c r="DC171" i="46"/>
  <c r="EP172" i="46"/>
  <c r="AC167" i="46"/>
  <c r="AU168" i="46"/>
  <c r="CH169" i="46"/>
  <c r="DU170" i="46"/>
  <c r="FH171" i="46"/>
  <c r="DI168" i="46"/>
  <c r="EP167" i="46"/>
  <c r="DX168" i="46"/>
  <c r="AC176" i="46"/>
  <c r="BP177" i="46"/>
  <c r="DC178" i="46"/>
  <c r="EP179" i="46"/>
  <c r="AI168" i="46"/>
  <c r="FB171" i="46"/>
  <c r="BM175" i="46"/>
  <c r="AF170" i="46"/>
  <c r="AC166" i="46"/>
  <c r="BP168" i="46"/>
  <c r="CZ169" i="46"/>
  <c r="CH171" i="46"/>
  <c r="BS175" i="46"/>
  <c r="EG170" i="46"/>
  <c r="EJ173" i="46"/>
  <c r="DL174" i="46"/>
  <c r="EP171" i="46"/>
  <c r="DR176" i="46"/>
  <c r="AI177" i="46"/>
  <c r="FB176" i="46"/>
  <c r="AL177" i="46"/>
  <c r="EA176" i="46"/>
  <c r="ED176" i="46"/>
  <c r="BD178" i="46"/>
  <c r="CQ179" i="46"/>
  <c r="DR174" i="46"/>
  <c r="AI176" i="46"/>
  <c r="CK177" i="46"/>
  <c r="AO179" i="46"/>
  <c r="CK167" i="46"/>
  <c r="EJ179" i="46"/>
  <c r="CQ177" i="46"/>
  <c r="AL178" i="46"/>
  <c r="AX164" i="46"/>
  <c r="CT164" i="46"/>
  <c r="CZ176" i="46"/>
  <c r="BP179" i="46"/>
  <c r="EG179" i="46"/>
  <c r="AR179" i="46"/>
  <c r="BP164" i="46"/>
  <c r="AI166" i="46"/>
  <c r="BS173" i="46"/>
  <c r="Z174" i="46"/>
  <c r="CB178" i="46"/>
  <c r="BA177" i="46"/>
  <c r="AC172" i="46"/>
  <c r="CB174" i="46"/>
  <c r="FK169" i="46"/>
  <c r="CW175" i="46"/>
  <c r="DO177" i="46"/>
  <c r="W164" i="46"/>
  <c r="CQ169" i="46"/>
  <c r="AF164" i="46"/>
  <c r="AO165" i="46"/>
  <c r="CB166" i="46"/>
  <c r="DO167" i="46"/>
  <c r="FB168" i="46"/>
  <c r="DO165" i="46"/>
  <c r="FB166" i="46"/>
  <c r="CT165" i="46"/>
  <c r="EG166" i="46"/>
  <c r="AX169" i="46"/>
  <c r="DX171" i="46"/>
  <c r="CZ173" i="46"/>
  <c r="EM174" i="46"/>
  <c r="CT170" i="46"/>
  <c r="CK168" i="46"/>
  <c r="BV166" i="46"/>
  <c r="EG168" i="46"/>
  <c r="CB169" i="46"/>
  <c r="BS171" i="46"/>
  <c r="CH175" i="46"/>
  <c r="DU176" i="46"/>
  <c r="FH177" i="46"/>
  <c r="EG175" i="46"/>
  <c r="CE170" i="46"/>
  <c r="BP173" i="46"/>
  <c r="FK175" i="46"/>
  <c r="AR172" i="46"/>
  <c r="AX174" i="46"/>
  <c r="ED172" i="46"/>
  <c r="EV174" i="46"/>
  <c r="BM177" i="46"/>
  <c r="FK177" i="46"/>
  <c r="FH176" i="46"/>
  <c r="AO177" i="46"/>
  <c r="AX177" i="46"/>
  <c r="CK178" i="46"/>
  <c r="DX179" i="46"/>
  <c r="BV176" i="46"/>
  <c r="DR177" i="46"/>
  <c r="CZ179" i="46"/>
  <c r="BJ170" i="46"/>
  <c r="DU177" i="46"/>
  <c r="DX164" i="46"/>
  <c r="AR164" i="46"/>
  <c r="BV178" i="46"/>
  <c r="BS169" i="46"/>
  <c r="EP177" i="46"/>
  <c r="EA168" i="46"/>
  <c r="CE175" i="46"/>
  <c r="AC178" i="46"/>
  <c r="DO170" i="46"/>
  <c r="DU173" i="46"/>
  <c r="AF177" i="46"/>
  <c r="BP176" i="46"/>
  <c r="BD172" i="46"/>
  <c r="AX173" i="46"/>
  <c r="EA179" i="46"/>
  <c r="BM178" i="46"/>
  <c r="AO167" i="46"/>
  <c r="BS170" i="46"/>
  <c r="EM171" i="46"/>
  <c r="ED164" i="46"/>
  <c r="BM165" i="46"/>
  <c r="CZ166" i="46"/>
  <c r="EM167" i="46"/>
  <c r="EM165" i="46"/>
  <c r="DR165" i="46"/>
  <c r="FE166" i="46"/>
  <c r="CE169" i="46"/>
  <c r="FE171" i="46"/>
  <c r="DX173" i="46"/>
  <c r="FK174" i="46"/>
  <c r="BA168" i="46"/>
  <c r="EA170" i="46"/>
  <c r="DR168" i="46"/>
  <c r="AF165" i="46"/>
  <c r="DR166" i="46"/>
  <c r="EJ166" i="46"/>
  <c r="DF175" i="46"/>
  <c r="ES176" i="46"/>
  <c r="AO173" i="46"/>
  <c r="CK172" i="46"/>
  <c r="AL179" i="46"/>
  <c r="BY178" i="46"/>
  <c r="BD171" i="46"/>
  <c r="AL164" i="46"/>
  <c r="CN164" i="46"/>
  <c r="CT167" i="46"/>
  <c r="CB165" i="46"/>
  <c r="DF179" i="46"/>
  <c r="CQ171" i="46"/>
  <c r="AC175" i="46"/>
  <c r="BJ174" i="46"/>
  <c r="BG179" i="46"/>
  <c r="CN178" i="46"/>
  <c r="FK179" i="46"/>
  <c r="DL164" i="46"/>
  <c r="BG166" i="46"/>
  <c r="CT166" i="46"/>
  <c r="FE173" i="46"/>
  <c r="DI179" i="46"/>
  <c r="AU177" i="46"/>
  <c r="DU179" i="46"/>
  <c r="CT178" i="46"/>
  <c r="EP175" i="46"/>
  <c r="FE178" i="46"/>
  <c r="CH164" i="46"/>
  <c r="CB164" i="46"/>
  <c r="CK173" i="46"/>
  <c r="BG173" i="46"/>
  <c r="AL174" i="46"/>
  <c r="ES165" i="46"/>
  <c r="FE172" i="46"/>
  <c r="FK173" i="46"/>
  <c r="CK176" i="46"/>
  <c r="FK178" i="46"/>
  <c r="DL179" i="46"/>
  <c r="W179" i="46"/>
  <c r="BS176" i="46"/>
  <c r="FB178" i="46"/>
  <c r="CT174" i="46"/>
  <c r="CN175" i="46"/>
  <c r="AX170" i="46"/>
  <c r="EG167" i="46"/>
  <c r="BG165" i="46"/>
  <c r="BS164" i="46"/>
  <c r="CH178" i="46"/>
  <c r="BA165" i="46"/>
  <c r="CB171" i="46"/>
  <c r="BY173" i="46"/>
  <c r="BM164" i="46"/>
  <c r="CK170" i="46"/>
  <c r="FK172" i="46"/>
  <c r="BG169" i="46"/>
  <c r="EG171" i="46"/>
  <c r="DF173" i="46"/>
  <c r="ES174" i="46"/>
  <c r="AC165" i="46"/>
  <c r="BP166" i="46"/>
  <c r="DU168" i="46"/>
  <c r="AI165" i="46"/>
  <c r="BP172" i="46"/>
  <c r="FH174" i="46"/>
  <c r="CH172" i="46"/>
  <c r="DF174" i="46"/>
  <c r="BV168" i="46"/>
  <c r="BV175" i="46"/>
  <c r="DI176" i="46"/>
  <c r="EV177" i="46"/>
  <c r="EM179" i="46"/>
  <c r="DO179" i="46"/>
  <c r="BY177" i="46"/>
  <c r="DL178" i="46"/>
  <c r="EY179" i="46"/>
  <c r="BV169" i="46"/>
  <c r="BJ171" i="46"/>
  <c r="DC176" i="46"/>
  <c r="ES177" i="46"/>
  <c r="BD170" i="46"/>
  <c r="DX178" i="46"/>
  <c r="DX169" i="46"/>
  <c r="ES172" i="46"/>
  <c r="AL176" i="46"/>
  <c r="EV176" i="46"/>
  <c r="AI164" i="46"/>
  <c r="AR168" i="46"/>
  <c r="CN169" i="46"/>
  <c r="ED173" i="46"/>
  <c r="DL166" i="46"/>
  <c r="CE165" i="46"/>
  <c r="DF172" i="46"/>
  <c r="BY164" i="46"/>
  <c r="DR170" i="46"/>
  <c r="BY165" i="46"/>
  <c r="BS166" i="46"/>
  <c r="EA169" i="46"/>
  <c r="AX179" i="46"/>
  <c r="AR170" i="46"/>
  <c r="CE171" i="46"/>
  <c r="DR172" i="46"/>
  <c r="FE164" i="46"/>
  <c r="W168" i="46"/>
  <c r="BJ169" i="46"/>
  <c r="CW170" i="46"/>
  <c r="EJ171" i="46"/>
  <c r="CB168" i="46"/>
  <c r="DF167" i="46"/>
  <c r="DO166" i="46"/>
  <c r="FH169" i="46"/>
  <c r="AO170" i="46"/>
  <c r="AR167" i="46"/>
  <c r="CT168" i="46"/>
  <c r="CW165" i="46"/>
  <c r="EV172" i="46"/>
  <c r="AI178" i="46"/>
  <c r="BV179" i="46"/>
  <c r="AO175" i="46"/>
  <c r="DL175" i="46"/>
  <c r="AU169" i="46"/>
  <c r="AU171" i="46"/>
  <c r="AX167" i="46"/>
  <c r="DI173" i="46"/>
  <c r="ES171" i="46"/>
  <c r="DX176" i="46"/>
  <c r="W176" i="46"/>
  <c r="AF179" i="46"/>
  <c r="Z177" i="46"/>
  <c r="DF171" i="46"/>
  <c r="DC179" i="46"/>
  <c r="BD164" i="46"/>
  <c r="CZ164" i="46"/>
  <c r="CE164" i="46"/>
  <c r="AR176" i="46"/>
  <c r="FE177" i="46"/>
  <c r="CE173" i="46"/>
  <c r="AX166" i="46"/>
  <c r="DO172" i="46"/>
  <c r="DC174" i="46"/>
  <c r="BS178" i="46"/>
  <c r="DI169" i="46"/>
  <c r="CZ178" i="46"/>
  <c r="BJ172" i="46"/>
  <c r="FH164" i="46"/>
  <c r="CN168" i="46"/>
  <c r="AX175" i="46"/>
  <c r="DX177" i="46"/>
  <c r="BP178" i="46"/>
  <c r="FH178" i="46"/>
  <c r="Z130" i="46"/>
  <c r="BM131" i="46"/>
  <c r="CZ132" i="46"/>
  <c r="EM133" i="46"/>
  <c r="AC135" i="46"/>
  <c r="BP136" i="46"/>
  <c r="DC137" i="46"/>
  <c r="EP138" i="46"/>
  <c r="AF140" i="46"/>
  <c r="BS141" i="46"/>
  <c r="DF142" i="46"/>
  <c r="AC130" i="46"/>
  <c r="BP131" i="46"/>
  <c r="DC132" i="46"/>
  <c r="EP133" i="46"/>
  <c r="AF135" i="46"/>
  <c r="BS136" i="46"/>
  <c r="DF137" i="46"/>
  <c r="ES138" i="46"/>
  <c r="AI140" i="46"/>
  <c r="BV141" i="46"/>
  <c r="DI142" i="46"/>
  <c r="AI130" i="46"/>
  <c r="BV131" i="46"/>
  <c r="DI132" i="46"/>
  <c r="EV133" i="46"/>
  <c r="AL135" i="46"/>
  <c r="BY136" i="46"/>
  <c r="DL137" i="46"/>
  <c r="EY138" i="46"/>
  <c r="AO140" i="46"/>
  <c r="CB141" i="46"/>
  <c r="DO142" i="46"/>
  <c r="AL130" i="46"/>
  <c r="BY131" i="46"/>
  <c r="DL132" i="46"/>
  <c r="EY133" i="46"/>
  <c r="AO135" i="46"/>
  <c r="CB136" i="46"/>
  <c r="AX130" i="46"/>
  <c r="CK131" i="46"/>
  <c r="DX132" i="46"/>
  <c r="FK133" i="46"/>
  <c r="BA135" i="46"/>
  <c r="CN136" i="46"/>
  <c r="EA137" i="46"/>
  <c r="BD140" i="46"/>
  <c r="CQ141" i="46"/>
  <c r="ED142" i="46"/>
  <c r="BA130" i="46"/>
  <c r="CN131" i="46"/>
  <c r="EA132" i="46"/>
  <c r="BD135" i="46"/>
  <c r="CQ136" i="46"/>
  <c r="ED137" i="46"/>
  <c r="BG140" i="46"/>
  <c r="CT141" i="46"/>
  <c r="EG142" i="46"/>
  <c r="BG130" i="46"/>
  <c r="CT131" i="46"/>
  <c r="EG132" i="46"/>
  <c r="W134" i="46"/>
  <c r="BJ135" i="46"/>
  <c r="CW136" i="46"/>
  <c r="EJ137" i="46"/>
  <c r="Z139" i="46"/>
  <c r="BM140" i="46"/>
  <c r="CZ141" i="46"/>
  <c r="EM142" i="46"/>
  <c r="BJ130" i="46"/>
  <c r="CW131" i="46"/>
  <c r="EJ132" i="46"/>
  <c r="Z134" i="46"/>
  <c r="BM135" i="46"/>
  <c r="CZ136" i="46"/>
  <c r="BV130" i="46"/>
  <c r="DI131" i="46"/>
  <c r="EV132" i="46"/>
  <c r="AL134" i="46"/>
  <c r="BY135" i="46"/>
  <c r="DL136" i="46"/>
  <c r="EY137" i="46"/>
  <c r="AO139" i="46"/>
  <c r="CB140" i="46"/>
  <c r="DO141" i="46"/>
  <c r="FB142" i="46"/>
  <c r="BY130" i="46"/>
  <c r="DL131" i="46"/>
  <c r="EY132" i="46"/>
  <c r="AO134" i="46"/>
  <c r="CB135" i="46"/>
  <c r="DO136" i="46"/>
  <c r="FB137" i="46"/>
  <c r="AR139" i="46"/>
  <c r="CE140" i="46"/>
  <c r="DR141" i="46"/>
  <c r="FE142" i="46"/>
  <c r="CE130" i="46"/>
  <c r="DR131" i="46"/>
  <c r="FE132" i="46"/>
  <c r="AU134" i="46"/>
  <c r="CH135" i="46"/>
  <c r="DU136" i="46"/>
  <c r="FH137" i="46"/>
  <c r="AX139" i="46"/>
  <c r="CK140" i="46"/>
  <c r="DX141" i="46"/>
  <c r="FK142" i="46"/>
  <c r="CH130" i="46"/>
  <c r="DU131" i="46"/>
  <c r="FH132" i="46"/>
  <c r="AX134" i="46"/>
  <c r="CK135" i="46"/>
  <c r="DX136" i="46"/>
  <c r="CT130" i="46"/>
  <c r="EG131" i="46"/>
  <c r="W133" i="46"/>
  <c r="BJ134" i="46"/>
  <c r="CW135" i="46"/>
  <c r="EJ136" i="46"/>
  <c r="Z138" i="46"/>
  <c r="BM139" i="46"/>
  <c r="CZ140" i="46"/>
  <c r="EM141" i="46"/>
  <c r="CW130" i="46"/>
  <c r="EJ131" i="46"/>
  <c r="Z133" i="46"/>
  <c r="BM134" i="46"/>
  <c r="CZ135" i="46"/>
  <c r="EM136" i="46"/>
  <c r="AC138" i="46"/>
  <c r="BP139" i="46"/>
  <c r="DC140" i="46"/>
  <c r="EP141" i="46"/>
  <c r="DC130" i="46"/>
  <c r="EP131" i="46"/>
  <c r="AF133" i="46"/>
  <c r="BS134" i="46"/>
  <c r="DF135" i="46"/>
  <c r="ES136" i="46"/>
  <c r="AI138" i="46"/>
  <c r="BV139" i="46"/>
  <c r="DI140" i="46"/>
  <c r="EV141" i="46"/>
  <c r="DF130" i="46"/>
  <c r="ES131" i="46"/>
  <c r="AI133" i="46"/>
  <c r="BV134" i="46"/>
  <c r="DI135" i="46"/>
  <c r="EV136" i="46"/>
  <c r="DR130" i="46"/>
  <c r="FE131" i="46"/>
  <c r="AU133" i="46"/>
  <c r="CH134" i="46"/>
  <c r="DU135" i="46"/>
  <c r="FH136" i="46"/>
  <c r="AX138" i="46"/>
  <c r="CK139" i="46"/>
  <c r="DX140" i="46"/>
  <c r="FK141" i="46"/>
  <c r="DU130" i="46"/>
  <c r="FH131" i="46"/>
  <c r="AX133" i="46"/>
  <c r="CK134" i="46"/>
  <c r="DX135" i="46"/>
  <c r="FK136" i="46"/>
  <c r="BA138" i="46"/>
  <c r="CN139" i="46"/>
  <c r="EA140" i="46"/>
  <c r="EA130" i="46"/>
  <c r="BD133" i="46"/>
  <c r="CQ134" i="46"/>
  <c r="ED135" i="46"/>
  <c r="BG138" i="46"/>
  <c r="CT139" i="46"/>
  <c r="EG140" i="46"/>
  <c r="W142" i="46"/>
  <c r="ED130" i="46"/>
  <c r="BG133" i="46"/>
  <c r="CT134" i="46"/>
  <c r="EG135" i="46"/>
  <c r="W137" i="46"/>
  <c r="EP130" i="46"/>
  <c r="AF132" i="46"/>
  <c r="BS133" i="46"/>
  <c r="DF134" i="46"/>
  <c r="ES135" i="46"/>
  <c r="AI137" i="46"/>
  <c r="BV138" i="46"/>
  <c r="DI139" i="46"/>
  <c r="EV140" i="46"/>
  <c r="AL142" i="46"/>
  <c r="ES130" i="46"/>
  <c r="AI132" i="46"/>
  <c r="BV133" i="46"/>
  <c r="DI134" i="46"/>
  <c r="EV135" i="46"/>
  <c r="AL137" i="46"/>
  <c r="BY138" i="46"/>
  <c r="DL139" i="46"/>
  <c r="EY140" i="46"/>
  <c r="AO142" i="46"/>
  <c r="EY130" i="46"/>
  <c r="AO132" i="46"/>
  <c r="CB133" i="46"/>
  <c r="DO134" i="46"/>
  <c r="FB135" i="46"/>
  <c r="AR137" i="46"/>
  <c r="CE138" i="46"/>
  <c r="DR139" i="46"/>
  <c r="FE140" i="46"/>
  <c r="AU142" i="46"/>
  <c r="FB130" i="46"/>
  <c r="AR132" i="46"/>
  <c r="CE133" i="46"/>
  <c r="DR134" i="46"/>
  <c r="FE135" i="46"/>
  <c r="BD132" i="46"/>
  <c r="CQ133" i="46"/>
  <c r="ED134" i="46"/>
  <c r="BG137" i="46"/>
  <c r="CT138" i="46"/>
  <c r="EG139" i="46"/>
  <c r="W141" i="46"/>
  <c r="BJ142" i="46"/>
  <c r="BG132" i="46"/>
  <c r="CT133" i="46"/>
  <c r="EG134" i="46"/>
  <c r="W136" i="46"/>
  <c r="BJ137" i="46"/>
  <c r="CW138" i="46"/>
  <c r="EJ139" i="46"/>
  <c r="Z141" i="46"/>
  <c r="BM142" i="46"/>
  <c r="Z131" i="46"/>
  <c r="BM132" i="46"/>
  <c r="CZ133" i="46"/>
  <c r="EM134" i="46"/>
  <c r="AC136" i="46"/>
  <c r="BP137" i="46"/>
  <c r="DC138" i="46"/>
  <c r="EP139" i="46"/>
  <c r="AF141" i="46"/>
  <c r="BS142" i="46"/>
  <c r="AC131" i="46"/>
  <c r="BP132" i="46"/>
  <c r="DC133" i="46"/>
  <c r="EP134" i="46"/>
  <c r="AF136" i="46"/>
  <c r="AO131" i="46"/>
  <c r="CB132" i="46"/>
  <c r="DO133" i="46"/>
  <c r="FB134" i="46"/>
  <c r="AR136" i="46"/>
  <c r="CE137" i="46"/>
  <c r="DR138" i="46"/>
  <c r="FE139" i="46"/>
  <c r="AU141" i="46"/>
  <c r="CH142" i="46"/>
  <c r="AR131" i="46"/>
  <c r="CE132" i="46"/>
  <c r="DR133" i="46"/>
  <c r="FE134" i="46"/>
  <c r="AU136" i="46"/>
  <c r="CH137" i="46"/>
  <c r="DU138" i="46"/>
  <c r="FH139" i="46"/>
  <c r="AX141" i="46"/>
  <c r="CK142" i="46"/>
  <c r="AX131" i="46"/>
  <c r="CK132" i="46"/>
  <c r="DX133" i="46"/>
  <c r="FK134" i="46"/>
  <c r="BA136" i="46"/>
  <c r="CN137" i="46"/>
  <c r="EA138" i="46"/>
  <c r="BD141" i="46"/>
  <c r="CQ142" i="46"/>
  <c r="BA131" i="46"/>
  <c r="CN132" i="46"/>
  <c r="EA133" i="46"/>
  <c r="BD136" i="46"/>
  <c r="CQ137" i="46"/>
  <c r="ED138" i="46"/>
  <c r="BG141" i="46"/>
  <c r="CT142" i="46"/>
  <c r="BD130" i="46"/>
  <c r="CQ131" i="46"/>
  <c r="ED132" i="46"/>
  <c r="W139" i="46"/>
  <c r="BJ140" i="46"/>
  <c r="CW141" i="46"/>
  <c r="EJ142" i="46"/>
  <c r="FB143" i="46"/>
  <c r="AR145" i="46"/>
  <c r="CE146" i="46"/>
  <c r="W135" i="46"/>
  <c r="BJ136" i="46"/>
  <c r="CW137" i="46"/>
  <c r="EJ138" i="46"/>
  <c r="AR143" i="46"/>
  <c r="CE144" i="46"/>
  <c r="DR145" i="46"/>
  <c r="FE146" i="46"/>
  <c r="AI134" i="46"/>
  <c r="BV135" i="46"/>
  <c r="DI136" i="46"/>
  <c r="EV137" i="46"/>
  <c r="BS143" i="46"/>
  <c r="DF144" i="46"/>
  <c r="ES145" i="46"/>
  <c r="AI147" i="46"/>
  <c r="BV148" i="46"/>
  <c r="DI149" i="46"/>
  <c r="EV150" i="46"/>
  <c r="AL152" i="46"/>
  <c r="BY153" i="46"/>
  <c r="AL133" i="46"/>
  <c r="DL135" i="46"/>
  <c r="CB142" i="46"/>
  <c r="EP147" i="46"/>
  <c r="AX149" i="46"/>
  <c r="CK150" i="46"/>
  <c r="DX151" i="46"/>
  <c r="FK152" i="46"/>
  <c r="DU154" i="46"/>
  <c r="FH155" i="46"/>
  <c r="AX157" i="46"/>
  <c r="CK158" i="46"/>
  <c r="DX159" i="46"/>
  <c r="BD131" i="46"/>
  <c r="ED133" i="46"/>
  <c r="CT140" i="46"/>
  <c r="W145" i="46"/>
  <c r="BJ146" i="46"/>
  <c r="AR148" i="46"/>
  <c r="CE149" i="46"/>
  <c r="DR150" i="46"/>
  <c r="FE151" i="46"/>
  <c r="BS131" i="46"/>
  <c r="ES133" i="46"/>
  <c r="W138" i="46"/>
  <c r="CW140" i="46"/>
  <c r="AF145" i="46"/>
  <c r="BS146" i="46"/>
  <c r="AU148" i="46"/>
  <c r="CH149" i="46"/>
  <c r="DU150" i="46"/>
  <c r="FH151" i="46"/>
  <c r="W153" i="46"/>
  <c r="CE131" i="46"/>
  <c r="FE133" i="46"/>
  <c r="BD138" i="46"/>
  <c r="ED140" i="46"/>
  <c r="AL145" i="46"/>
  <c r="BY146" i="46"/>
  <c r="BD148" i="46"/>
  <c r="CQ149" i="46"/>
  <c r="ED150" i="46"/>
  <c r="AF153" i="46"/>
  <c r="FH154" i="46"/>
  <c r="AX156" i="46"/>
  <c r="CK157" i="46"/>
  <c r="DX158" i="46"/>
  <c r="FK159" i="46"/>
  <c r="BY137" i="46"/>
  <c r="DO137" i="46"/>
  <c r="FB138" i="46"/>
  <c r="AR140" i="46"/>
  <c r="CE141" i="46"/>
  <c r="DR142" i="46"/>
  <c r="CZ130" i="46"/>
  <c r="EM131" i="46"/>
  <c r="AF138" i="46"/>
  <c r="BS139" i="46"/>
  <c r="DF140" i="46"/>
  <c r="ES141" i="46"/>
  <c r="AC144" i="46"/>
  <c r="BP145" i="46"/>
  <c r="DC146" i="46"/>
  <c r="AF134" i="46"/>
  <c r="BS135" i="46"/>
  <c r="DF136" i="46"/>
  <c r="ES137" i="46"/>
  <c r="BP143" i="46"/>
  <c r="DC144" i="46"/>
  <c r="EP145" i="46"/>
  <c r="AF147" i="46"/>
  <c r="AR133" i="46"/>
  <c r="CE134" i="46"/>
  <c r="DR135" i="46"/>
  <c r="FE136" i="46"/>
  <c r="CQ143" i="46"/>
  <c r="ED144" i="46"/>
  <c r="BG147" i="46"/>
  <c r="CT148" i="46"/>
  <c r="EG149" i="46"/>
  <c r="W151" i="46"/>
  <c r="BJ152" i="46"/>
  <c r="CW153" i="46"/>
  <c r="AI131" i="46"/>
  <c r="DI133" i="46"/>
  <c r="CH140" i="46"/>
  <c r="FH142" i="46"/>
  <c r="BA146" i="46"/>
  <c r="AL148" i="46"/>
  <c r="BY149" i="46"/>
  <c r="DL150" i="46"/>
  <c r="EY151" i="46"/>
  <c r="ES154" i="46"/>
  <c r="AI156" i="46"/>
  <c r="BV157" i="46"/>
  <c r="DI158" i="46"/>
  <c r="EV159" i="46"/>
  <c r="EA131" i="46"/>
  <c r="Z136" i="46"/>
  <c r="CZ138" i="46"/>
  <c r="W144" i="46"/>
  <c r="BJ145" i="46"/>
  <c r="CW146" i="46"/>
  <c r="BS148" i="46"/>
  <c r="DF149" i="46"/>
  <c r="ES150" i="46"/>
  <c r="AU153" i="46"/>
  <c r="ED131" i="46"/>
  <c r="AI136" i="46"/>
  <c r="DI138" i="46"/>
  <c r="Z144" i="46"/>
  <c r="BM145" i="46"/>
  <c r="CZ146" i="46"/>
  <c r="BY148" i="46"/>
  <c r="DL149" i="46"/>
  <c r="EY150" i="46"/>
  <c r="AX153" i="46"/>
  <c r="FK131" i="46"/>
  <c r="AO136" i="46"/>
  <c r="DO138" i="46"/>
  <c r="AO144" i="46"/>
  <c r="CB145" i="46"/>
  <c r="DO146" i="46"/>
  <c r="CE148" i="46"/>
  <c r="DR149" i="46"/>
  <c r="FE150" i="46"/>
  <c r="BG153" i="46"/>
  <c r="AI155" i="46"/>
  <c r="BV156" i="46"/>
  <c r="DI157" i="46"/>
  <c r="EV158" i="46"/>
  <c r="AL160" i="46"/>
  <c r="BP133" i="46"/>
  <c r="DU142" i="46"/>
  <c r="AF131" i="46"/>
  <c r="EM137" i="46"/>
  <c r="AC139" i="46"/>
  <c r="BP140" i="46"/>
  <c r="DC141" i="46"/>
  <c r="EP142" i="46"/>
  <c r="EV130" i="46"/>
  <c r="AO137" i="46"/>
  <c r="CB138" i="46"/>
  <c r="DO139" i="46"/>
  <c r="FB140" i="46"/>
  <c r="BA144" i="46"/>
  <c r="CN145" i="46"/>
  <c r="EA146" i="46"/>
  <c r="AO133" i="46"/>
  <c r="CB134" i="46"/>
  <c r="DO135" i="46"/>
  <c r="FB136" i="46"/>
  <c r="CN143" i="46"/>
  <c r="EA144" i="46"/>
  <c r="BD147" i="46"/>
  <c r="BA132" i="46"/>
  <c r="CN133" i="46"/>
  <c r="EA134" i="46"/>
  <c r="BG142" i="46"/>
  <c r="DO143" i="46"/>
  <c r="FB144" i="46"/>
  <c r="AR146" i="46"/>
  <c r="CE147" i="46"/>
  <c r="DR148" i="46"/>
  <c r="FE149" i="46"/>
  <c r="AU151" i="46"/>
  <c r="CH152" i="46"/>
  <c r="DU153" i="46"/>
  <c r="DO131" i="46"/>
  <c r="BS138" i="46"/>
  <c r="ES140" i="46"/>
  <c r="BD145" i="46"/>
  <c r="CQ146" i="46"/>
  <c r="BM148" i="46"/>
  <c r="CZ149" i="46"/>
  <c r="EM150" i="46"/>
  <c r="AO153" i="46"/>
  <c r="BG156" i="46"/>
  <c r="CT157" i="46"/>
  <c r="EG158" i="46"/>
  <c r="W160" i="46"/>
  <c r="CK136" i="46"/>
  <c r="FK138" i="46"/>
  <c r="Z143" i="46"/>
  <c r="BM144" i="46"/>
  <c r="CZ145" i="46"/>
  <c r="EM146" i="46"/>
  <c r="CW148" i="46"/>
  <c r="EJ149" i="46"/>
  <c r="AI152" i="46"/>
  <c r="BV153" i="46"/>
  <c r="AC134" i="46"/>
  <c r="DC136" i="46"/>
  <c r="AC143" i="46"/>
  <c r="BP144" i="46"/>
  <c r="DC145" i="46"/>
  <c r="EP146" i="46"/>
  <c r="CZ148" i="46"/>
  <c r="EM149" i="46"/>
  <c r="AO152" i="46"/>
  <c r="CB153" i="46"/>
  <c r="BA134" i="46"/>
  <c r="EA136" i="46"/>
  <c r="AI143" i="46"/>
  <c r="BV144" i="46"/>
  <c r="DI145" i="46"/>
  <c r="EV146" i="46"/>
  <c r="DF148" i="46"/>
  <c r="ES149" i="46"/>
  <c r="AU152" i="46"/>
  <c r="FK137" i="46"/>
  <c r="BA139" i="46"/>
  <c r="CN140" i="46"/>
  <c r="EA141" i="46"/>
  <c r="AX136" i="46"/>
  <c r="CK137" i="46"/>
  <c r="DX138" i="46"/>
  <c r="FK139" i="46"/>
  <c r="AL143" i="46"/>
  <c r="BY144" i="46"/>
  <c r="DL145" i="46"/>
  <c r="EY146" i="46"/>
  <c r="AX132" i="46"/>
  <c r="CK133" i="46"/>
  <c r="DX134" i="46"/>
  <c r="FK135" i="46"/>
  <c r="BD142" i="46"/>
  <c r="DL143" i="46"/>
  <c r="EY144" i="46"/>
  <c r="AO146" i="46"/>
  <c r="CB147" i="46"/>
  <c r="W130" i="46"/>
  <c r="BJ131" i="46"/>
  <c r="CW132" i="46"/>
  <c r="EJ133" i="46"/>
  <c r="AC140" i="46"/>
  <c r="BP141" i="46"/>
  <c r="DC142" i="46"/>
  <c r="EM143" i="46"/>
  <c r="AC145" i="46"/>
  <c r="BP146" i="46"/>
  <c r="DC147" i="46"/>
  <c r="EP148" i="46"/>
  <c r="AF150" i="46"/>
  <c r="BS151" i="46"/>
  <c r="DF152" i="46"/>
  <c r="ES153" i="46"/>
  <c r="CE136" i="46"/>
  <c r="FE138" i="46"/>
  <c r="AX144" i="46"/>
  <c r="CK145" i="46"/>
  <c r="DX146" i="46"/>
  <c r="CN148" i="46"/>
  <c r="EA149" i="46"/>
  <c r="AC152" i="46"/>
  <c r="BP153" i="46"/>
  <c r="AR155" i="46"/>
  <c r="CE156" i="46"/>
  <c r="DR157" i="46"/>
  <c r="FE158" i="46"/>
  <c r="AU160" i="46"/>
  <c r="W132" i="46"/>
  <c r="CW134" i="46"/>
  <c r="BJ141" i="46"/>
  <c r="BG143" i="46"/>
  <c r="CT144" i="46"/>
  <c r="EG145" i="46"/>
  <c r="Z147" i="46"/>
  <c r="DX148" i="46"/>
  <c r="FK149" i="46"/>
  <c r="Z151" i="46"/>
  <c r="BM152" i="46"/>
  <c r="CZ153" i="46"/>
  <c r="Z132" i="46"/>
  <c r="CZ134" i="46"/>
  <c r="BY141" i="46"/>
  <c r="BM143" i="46"/>
  <c r="CZ144" i="46"/>
  <c r="EM145" i="46"/>
  <c r="AC147" i="46"/>
  <c r="EA148" i="46"/>
  <c r="AC151" i="46"/>
  <c r="BP152" i="46"/>
  <c r="DC153" i="46"/>
  <c r="AU132" i="46"/>
  <c r="DU134" i="46"/>
  <c r="CK141" i="46"/>
  <c r="BY143" i="46"/>
  <c r="DL144" i="46"/>
  <c r="EY145" i="46"/>
  <c r="AO147" i="46"/>
  <c r="EG148" i="46"/>
  <c r="AI151" i="46"/>
  <c r="BV152" i="46"/>
  <c r="AL138" i="46"/>
  <c r="BY139" i="46"/>
  <c r="DL140" i="46"/>
  <c r="EY141" i="46"/>
  <c r="BG135" i="46"/>
  <c r="CT136" i="46"/>
  <c r="EG137" i="46"/>
  <c r="BJ143" i="46"/>
  <c r="CW144" i="46"/>
  <c r="EJ145" i="46"/>
  <c r="BG131" i="46"/>
  <c r="CT132" i="46"/>
  <c r="EG133" i="46"/>
  <c r="Z140" i="46"/>
  <c r="BM141" i="46"/>
  <c r="CZ142" i="46"/>
  <c r="EJ143" i="46"/>
  <c r="Z145" i="46"/>
  <c r="BM146" i="46"/>
  <c r="CZ147" i="46"/>
  <c r="BS130" i="46"/>
  <c r="DF131" i="46"/>
  <c r="ES132" i="46"/>
  <c r="AL139" i="46"/>
  <c r="BY140" i="46"/>
  <c r="DL141" i="46"/>
  <c r="EY142" i="46"/>
  <c r="FK143" i="46"/>
  <c r="BA145" i="46"/>
  <c r="CN146" i="46"/>
  <c r="EA147" i="46"/>
  <c r="BD150" i="46"/>
  <c r="CQ151" i="46"/>
  <c r="ED152" i="46"/>
  <c r="BY134" i="46"/>
  <c r="EY136" i="46"/>
  <c r="AO141" i="46"/>
  <c r="BA143" i="46"/>
  <c r="CN144" i="46"/>
  <c r="EA145" i="46"/>
  <c r="DO148" i="46"/>
  <c r="FB149" i="46"/>
  <c r="BD152" i="46"/>
  <c r="CQ153" i="46"/>
  <c r="AC154" i="46"/>
  <c r="BP155" i="46"/>
  <c r="DC156" i="46"/>
  <c r="EP157" i="46"/>
  <c r="AF159" i="46"/>
  <c r="BS160" i="46"/>
  <c r="CQ132" i="46"/>
  <c r="BG139" i="46"/>
  <c r="EG141" i="46"/>
  <c r="CW143" i="46"/>
  <c r="EJ144" i="46"/>
  <c r="BJ147" i="46"/>
  <c r="EY148" i="46"/>
  <c r="BA151" i="46"/>
  <c r="CN152" i="46"/>
  <c r="EA153" i="46"/>
  <c r="AF130" i="46"/>
  <c r="DF132" i="46"/>
  <c r="BJ139" i="46"/>
  <c r="EJ141" i="46"/>
  <c r="CZ143" i="46"/>
  <c r="EM144" i="46"/>
  <c r="BM147" i="46"/>
  <c r="FB148" i="46"/>
  <c r="BD151" i="46"/>
  <c r="CQ152" i="46"/>
  <c r="ED153" i="46"/>
  <c r="AR130" i="46"/>
  <c r="DR132" i="46"/>
  <c r="CQ139" i="46"/>
  <c r="DI143" i="46"/>
  <c r="EV144" i="46"/>
  <c r="BS147" i="46"/>
  <c r="FH148" i="46"/>
  <c r="W150" i="46"/>
  <c r="BJ151" i="46"/>
  <c r="CW152" i="46"/>
  <c r="BJ138" i="46"/>
  <c r="CW139" i="46"/>
  <c r="EJ140" i="46"/>
  <c r="Z142" i="46"/>
  <c r="AC133" i="46"/>
  <c r="BP134" i="46"/>
  <c r="DC135" i="46"/>
  <c r="EP136" i="46"/>
  <c r="CH143" i="46"/>
  <c r="DU144" i="46"/>
  <c r="FH145" i="46"/>
  <c r="BP130" i="46"/>
  <c r="DC131" i="46"/>
  <c r="EP132" i="46"/>
  <c r="AI139" i="46"/>
  <c r="BV140" i="46"/>
  <c r="DI141" i="46"/>
  <c r="EV142" i="46"/>
  <c r="FH143" i="46"/>
  <c r="AX145" i="46"/>
  <c r="CK146" i="46"/>
  <c r="DX147" i="46"/>
  <c r="DO130" i="46"/>
  <c r="FB131" i="46"/>
  <c r="AU138" i="46"/>
  <c r="CH139" i="46"/>
  <c r="DU140" i="46"/>
  <c r="FH141" i="46"/>
  <c r="AL144" i="46"/>
  <c r="BY145" i="46"/>
  <c r="DL146" i="46"/>
  <c r="EY147" i="46"/>
  <c r="AO149" i="46"/>
  <c r="CB150" i="46"/>
  <c r="DO151" i="46"/>
  <c r="FB152" i="46"/>
  <c r="BV132" i="46"/>
  <c r="EV134" i="46"/>
  <c r="AU139" i="46"/>
  <c r="DU141" i="46"/>
  <c r="CK143" i="46"/>
  <c r="DX144" i="46"/>
  <c r="FK145" i="46"/>
  <c r="AX147" i="46"/>
  <c r="ES148" i="46"/>
  <c r="AR151" i="46"/>
  <c r="CE152" i="46"/>
  <c r="DR153" i="46"/>
  <c r="BA154" i="46"/>
  <c r="CN155" i="46"/>
  <c r="EA156" i="46"/>
  <c r="BD159" i="46"/>
  <c r="CN130" i="46"/>
  <c r="BM137" i="46"/>
  <c r="EM139" i="46"/>
  <c r="EG143" i="46"/>
  <c r="CN147" i="46"/>
  <c r="AO150" i="46"/>
  <c r="CB151" i="46"/>
  <c r="DO152" i="46"/>
  <c r="FB153" i="46"/>
  <c r="CQ130" i="46"/>
  <c r="BV137" i="46"/>
  <c r="EV139" i="46"/>
  <c r="EP143" i="46"/>
  <c r="CQ147" i="46"/>
  <c r="AR150" i="46"/>
  <c r="CE151" i="46"/>
  <c r="DR152" i="46"/>
  <c r="FE153" i="46"/>
  <c r="DX130" i="46"/>
  <c r="CB137" i="46"/>
  <c r="FB139" i="46"/>
  <c r="EV143" i="46"/>
  <c r="CW147" i="46"/>
  <c r="AU137" i="46"/>
  <c r="CH138" i="46"/>
  <c r="DU139" i="46"/>
  <c r="FH140" i="46"/>
  <c r="AX142" i="46"/>
  <c r="AL132" i="46"/>
  <c r="BY133" i="46"/>
  <c r="DL134" i="46"/>
  <c r="EY135" i="46"/>
  <c r="AR142" i="46"/>
  <c r="DF143" i="46"/>
  <c r="ES144" i="46"/>
  <c r="AI146" i="46"/>
  <c r="DL130" i="46"/>
  <c r="EY131" i="46"/>
  <c r="AR138" i="46"/>
  <c r="CE139" i="46"/>
  <c r="DR140" i="46"/>
  <c r="FE141" i="46"/>
  <c r="AI144" i="46"/>
  <c r="BV145" i="46"/>
  <c r="DI146" i="46"/>
  <c r="EV147" i="46"/>
  <c r="FK130" i="46"/>
  <c r="BD137" i="46"/>
  <c r="CQ138" i="46"/>
  <c r="ED139" i="46"/>
  <c r="W143" i="46"/>
  <c r="BJ144" i="46"/>
  <c r="CW145" i="46"/>
  <c r="EJ146" i="46"/>
  <c r="Z148" i="46"/>
  <c r="BM149" i="46"/>
  <c r="CZ150" i="46"/>
  <c r="EM151" i="46"/>
  <c r="AC153" i="46"/>
  <c r="CB130" i="46"/>
  <c r="FB132" i="46"/>
  <c r="AF137" i="46"/>
  <c r="DF139" i="46"/>
  <c r="DX143" i="46"/>
  <c r="FK144" i="46"/>
  <c r="CH147" i="46"/>
  <c r="AI150" i="46"/>
  <c r="BV151" i="46"/>
  <c r="DI152" i="46"/>
  <c r="EV153" i="46"/>
  <c r="BY154" i="46"/>
  <c r="DL155" i="46"/>
  <c r="EY156" i="46"/>
  <c r="AO158" i="46"/>
  <c r="CB159" i="46"/>
  <c r="AX135" i="46"/>
  <c r="DX137" i="46"/>
  <c r="AC142" i="46"/>
  <c r="DR147" i="46"/>
  <c r="AC149" i="46"/>
  <c r="BP150" i="46"/>
  <c r="DC151" i="46"/>
  <c r="EP152" i="46"/>
  <c r="BP135" i="46"/>
  <c r="EP137" i="46"/>
  <c r="AF142" i="46"/>
  <c r="DU147" i="46"/>
  <c r="AF149" i="46"/>
  <c r="BS150" i="46"/>
  <c r="DF151" i="46"/>
  <c r="ES152" i="46"/>
  <c r="CN135" i="46"/>
  <c r="BS137" i="46"/>
  <c r="DF138" i="46"/>
  <c r="ES139" i="46"/>
  <c r="AI141" i="46"/>
  <c r="BV142" i="46"/>
  <c r="AU131" i="46"/>
  <c r="CH132" i="46"/>
  <c r="DU133" i="46"/>
  <c r="FH134" i="46"/>
  <c r="BA141" i="46"/>
  <c r="CN142" i="46"/>
  <c r="ED143" i="46"/>
  <c r="BG146" i="46"/>
  <c r="FH130" i="46"/>
  <c r="BA137" i="46"/>
  <c r="CN138" i="46"/>
  <c r="EA139" i="46"/>
  <c r="BG144" i="46"/>
  <c r="CT145" i="46"/>
  <c r="EG146" i="46"/>
  <c r="Z135" i="46"/>
  <c r="BM136" i="46"/>
  <c r="CZ137" i="46"/>
  <c r="EM138" i="46"/>
  <c r="AU143" i="46"/>
  <c r="CH144" i="46"/>
  <c r="DU145" i="46"/>
  <c r="FH146" i="46"/>
  <c r="AX148" i="46"/>
  <c r="CK149" i="46"/>
  <c r="DX150" i="46"/>
  <c r="FK151" i="46"/>
  <c r="BA153" i="46"/>
  <c r="EM130" i="46"/>
  <c r="AR135" i="46"/>
  <c r="DR137" i="46"/>
  <c r="DL147" i="46"/>
  <c r="W149" i="46"/>
  <c r="BJ150" i="46"/>
  <c r="CW151" i="46"/>
  <c r="EJ152" i="46"/>
  <c r="CW154" i="46"/>
  <c r="EJ155" i="46"/>
  <c r="Z157" i="46"/>
  <c r="BM158" i="46"/>
  <c r="CZ159" i="46"/>
  <c r="BJ133" i="46"/>
  <c r="EJ135" i="46"/>
  <c r="W140" i="46"/>
  <c r="CW142" i="46"/>
  <c r="Z146" i="46"/>
  <c r="FB147" i="46"/>
  <c r="BD149" i="46"/>
  <c r="CQ150" i="46"/>
  <c r="ED151" i="46"/>
  <c r="BM133" i="46"/>
  <c r="EM135" i="46"/>
  <c r="AL140" i="46"/>
  <c r="DL142" i="46"/>
  <c r="AC146" i="46"/>
  <c r="FE147" i="46"/>
  <c r="BG149" i="46"/>
  <c r="CT150" i="46"/>
  <c r="EG151" i="46"/>
  <c r="BA142" i="46"/>
  <c r="EG147" i="46"/>
  <c r="AX150" i="46"/>
  <c r="EJ154" i="46"/>
  <c r="BD158" i="46"/>
  <c r="CQ159" i="46"/>
  <c r="AU140" i="46"/>
  <c r="CH141" i="46"/>
  <c r="DF133" i="46"/>
  <c r="BA133" i="46"/>
  <c r="BP138" i="46"/>
  <c r="DC143" i="46"/>
  <c r="BP147" i="46"/>
  <c r="CT152" i="46"/>
  <c r="DR136" i="46"/>
  <c r="Z137" i="46"/>
  <c r="AO143" i="46"/>
  <c r="DO145" i="46"/>
  <c r="FH144" i="46"/>
  <c r="EV138" i="46"/>
  <c r="BD139" i="46"/>
  <c r="EA143" i="46"/>
  <c r="CK147" i="46"/>
  <c r="AL150" i="46"/>
  <c r="CQ135" i="46"/>
  <c r="BS145" i="46"/>
  <c r="AF148" i="46"/>
  <c r="CT153" i="46"/>
  <c r="CZ154" i="46"/>
  <c r="EM155" i="46"/>
  <c r="AO159" i="46"/>
  <c r="CB160" i="46"/>
  <c r="CZ139" i="46"/>
  <c r="DI148" i="46"/>
  <c r="AU150" i="46"/>
  <c r="FH153" i="46"/>
  <c r="EG154" i="46"/>
  <c r="EA135" i="46"/>
  <c r="CH145" i="46"/>
  <c r="AO148" i="46"/>
  <c r="DL153" i="46"/>
  <c r="DF154" i="46"/>
  <c r="ES155" i="46"/>
  <c r="EV151" i="46"/>
  <c r="FH152" i="46"/>
  <c r="BM153" i="46"/>
  <c r="CE154" i="46"/>
  <c r="DO144" i="46"/>
  <c r="CZ151" i="46"/>
  <c r="DL152" i="46"/>
  <c r="Z153" i="46"/>
  <c r="BG154" i="46"/>
  <c r="CT155" i="46"/>
  <c r="EG156" i="46"/>
  <c r="DU155" i="46"/>
  <c r="ED156" i="46"/>
  <c r="CE159" i="46"/>
  <c r="ED160" i="46"/>
  <c r="ES161" i="46"/>
  <c r="DI144" i="46"/>
  <c r="EP153" i="46"/>
  <c r="BS155" i="46"/>
  <c r="CQ156" i="46"/>
  <c r="AR159" i="46"/>
  <c r="DF160" i="46"/>
  <c r="DX161" i="46"/>
  <c r="AR141" i="46"/>
  <c r="DR144" i="46"/>
  <c r="AF146" i="46"/>
  <c r="BV155" i="46"/>
  <c r="CW156" i="46"/>
  <c r="AX159" i="46"/>
  <c r="DI160" i="46"/>
  <c r="EA161" i="46"/>
  <c r="DF141" i="46"/>
  <c r="EG144" i="46"/>
  <c r="CH146" i="46"/>
  <c r="CK155" i="46"/>
  <c r="DF156" i="46"/>
  <c r="BA159" i="46"/>
  <c r="DL160" i="46"/>
  <c r="ED161" i="46"/>
  <c r="ED141" i="46"/>
  <c r="DR146" i="46"/>
  <c r="CQ155" i="46"/>
  <c r="DI156" i="46"/>
  <c r="DO160" i="46"/>
  <c r="BY157" i="46"/>
  <c r="FE159" i="46"/>
  <c r="EP158" i="46"/>
  <c r="DI161" i="46"/>
  <c r="ES159" i="46"/>
  <c r="AC158" i="46"/>
  <c r="EV160" i="46"/>
  <c r="AU161" i="46"/>
  <c r="W148" i="46"/>
  <c r="DU146" i="46"/>
  <c r="FK150" i="46"/>
  <c r="DF158" i="46"/>
  <c r="FK161" i="46"/>
  <c r="BV161" i="46"/>
  <c r="CH133" i="46"/>
  <c r="DX142" i="46"/>
  <c r="FK147" i="46"/>
  <c r="BY150" i="46"/>
  <c r="CH153" i="46"/>
  <c r="AO157" i="46"/>
  <c r="CB158" i="46"/>
  <c r="DO159" i="46"/>
  <c r="DL138" i="46"/>
  <c r="EY139" i="46"/>
  <c r="BS140" i="46"/>
  <c r="ED147" i="46"/>
  <c r="BV150" i="46"/>
  <c r="EV152" i="46"/>
  <c r="CW133" i="46"/>
  <c r="CK138" i="46"/>
  <c r="DR143" i="46"/>
  <c r="EG130" i="46"/>
  <c r="EM140" i="46"/>
  <c r="AL141" i="46"/>
  <c r="W146" i="46"/>
  <c r="ES147" i="46"/>
  <c r="CN150" i="46"/>
  <c r="CB139" i="46"/>
  <c r="CQ148" i="46"/>
  <c r="AC150" i="46"/>
  <c r="EY153" i="46"/>
  <c r="ED154" i="46"/>
  <c r="AI158" i="46"/>
  <c r="BV159" i="46"/>
  <c r="DC160" i="46"/>
  <c r="DI150" i="46"/>
  <c r="DC139" i="46"/>
  <c r="DL148" i="46"/>
  <c r="BA150" i="46"/>
  <c r="EM154" i="46"/>
  <c r="CQ145" i="46"/>
  <c r="BG148" i="46"/>
  <c r="DO153" i="46"/>
  <c r="DI154" i="46"/>
  <c r="CE153" i="46"/>
  <c r="CK154" i="46"/>
  <c r="DX155" i="46"/>
  <c r="FK156" i="46"/>
  <c r="AC159" i="46"/>
  <c r="DU137" i="46"/>
  <c r="AI142" i="46"/>
  <c r="AR157" i="46"/>
  <c r="DR159" i="46"/>
  <c r="FE160" i="46"/>
  <c r="ED155" i="46"/>
  <c r="EJ156" i="46"/>
  <c r="CH159" i="46"/>
  <c r="EG160" i="46"/>
  <c r="EV161" i="46"/>
  <c r="EG155" i="46"/>
  <c r="EM156" i="46"/>
  <c r="CK159" i="46"/>
  <c r="EJ160" i="46"/>
  <c r="EY161" i="46"/>
  <c r="EV155" i="46"/>
  <c r="EV156" i="46"/>
  <c r="CT159" i="46"/>
  <c r="EM160" i="46"/>
  <c r="FB161" i="46"/>
  <c r="BP157" i="46"/>
  <c r="FH157" i="46"/>
  <c r="AL151" i="46"/>
  <c r="CW159" i="46"/>
  <c r="FE161" i="46"/>
  <c r="Z160" i="46"/>
  <c r="CK153" i="46"/>
  <c r="AO155" i="46"/>
  <c r="Z159" i="46"/>
  <c r="CK156" i="46"/>
  <c r="FK158" i="46"/>
  <c r="DR161" i="46"/>
  <c r="BJ149" i="46"/>
  <c r="AF157" i="46"/>
  <c r="BM160" i="46"/>
  <c r="BM138" i="46"/>
  <c r="CW160" i="46"/>
  <c r="AX140" i="46"/>
  <c r="AL149" i="46"/>
  <c r="DC150" i="46"/>
  <c r="DX152" i="46"/>
  <c r="DI153" i="46"/>
  <c r="Z156" i="46"/>
  <c r="BM157" i="46"/>
  <c r="CZ158" i="46"/>
  <c r="EM159" i="46"/>
  <c r="FB141" i="46"/>
  <c r="BP142" i="46"/>
  <c r="BV146" i="46"/>
  <c r="BA148" i="46"/>
  <c r="EA150" i="46"/>
  <c r="CQ140" i="46"/>
  <c r="ES134" i="46"/>
  <c r="AU135" i="46"/>
  <c r="AU145" i="46"/>
  <c r="EA142" i="46"/>
  <c r="CT146" i="46"/>
  <c r="BP148" i="46"/>
  <c r="EP150" i="46"/>
  <c r="DF150" i="46"/>
  <c r="FK154" i="46"/>
  <c r="AC157" i="46"/>
  <c r="BP158" i="46"/>
  <c r="DC159" i="46"/>
  <c r="EA160" i="46"/>
  <c r="DO150" i="46"/>
  <c r="DX139" i="46"/>
  <c r="ED148" i="46"/>
  <c r="BG150" i="46"/>
  <c r="EP154" i="46"/>
  <c r="DI137" i="46"/>
  <c r="FB145" i="46"/>
  <c r="CB148" i="46"/>
  <c r="EG153" i="46"/>
  <c r="DR154" i="46"/>
  <c r="FE155" i="46"/>
  <c r="W158" i="46"/>
  <c r="BJ159" i="46"/>
  <c r="CH157" i="46"/>
  <c r="FH159" i="46"/>
  <c r="FE137" i="46"/>
  <c r="BA157" i="46"/>
  <c r="EA159" i="46"/>
  <c r="FH160" i="46"/>
  <c r="BD157" i="46"/>
  <c r="ED159" i="46"/>
  <c r="FK160" i="46"/>
  <c r="BJ157" i="46"/>
  <c r="EJ159" i="46"/>
  <c r="EV157" i="46"/>
  <c r="AO161" i="46"/>
  <c r="EV145" i="46"/>
  <c r="CQ154" i="46"/>
  <c r="AF156" i="46"/>
  <c r="EM147" i="46"/>
  <c r="DO154" i="46"/>
  <c r="AR156" i="46"/>
  <c r="BP160" i="46"/>
  <c r="AF154" i="46"/>
  <c r="DO157" i="46"/>
  <c r="DR160" i="46"/>
  <c r="W161" i="46"/>
  <c r="EY159" i="46"/>
  <c r="BS158" i="46"/>
  <c r="FB160" i="46"/>
  <c r="BP161" i="46"/>
  <c r="BJ148" i="46"/>
  <c r="CN161" i="46"/>
  <c r="AL157" i="46"/>
  <c r="CT160" i="46"/>
  <c r="BP149" i="46"/>
  <c r="EY152" i="46"/>
  <c r="EJ153" i="46"/>
  <c r="BG155" i="46"/>
  <c r="CT156" i="46"/>
  <c r="EG157" i="46"/>
  <c r="AL136" i="46"/>
  <c r="BM130" i="46"/>
  <c r="BS144" i="46"/>
  <c r="ES146" i="46"/>
  <c r="DC148" i="46"/>
  <c r="BY142" i="46"/>
  <c r="ED136" i="46"/>
  <c r="AC137" i="46"/>
  <c r="AX143" i="46"/>
  <c r="DX145" i="46"/>
  <c r="CQ144" i="46"/>
  <c r="DU148" i="46"/>
  <c r="BG157" i="46"/>
  <c r="CT158" i="46"/>
  <c r="EG159" i="46"/>
  <c r="EY160" i="46"/>
  <c r="AX146" i="46"/>
  <c r="EG150" i="46"/>
  <c r="CN141" i="46"/>
  <c r="EM148" i="46"/>
  <c r="CE150" i="46"/>
  <c r="EY154" i="46"/>
  <c r="BA158" i="46"/>
  <c r="CN159" i="46"/>
  <c r="FE145" i="46"/>
  <c r="EA157" i="46"/>
  <c r="AC161" i="46"/>
  <c r="CQ157" i="46"/>
  <c r="CW157" i="46"/>
  <c r="CZ157" i="46"/>
  <c r="AO138" i="46"/>
  <c r="BV147" i="46"/>
  <c r="DC158" i="46"/>
  <c r="CK161" i="46"/>
  <c r="CW155" i="46"/>
  <c r="DO156" i="46"/>
  <c r="CT143" i="46"/>
  <c r="CT137" i="46"/>
  <c r="DR155" i="46"/>
  <c r="DX156" i="46"/>
  <c r="DX160" i="46"/>
  <c r="AX151" i="46"/>
  <c r="DL158" i="46"/>
  <c r="CQ161" i="46"/>
  <c r="AC160" i="46"/>
  <c r="CN153" i="46"/>
  <c r="AX152" i="46"/>
  <c r="BD155" i="46"/>
  <c r="AI159" i="46"/>
  <c r="FE156" i="46"/>
  <c r="EJ161" i="46"/>
  <c r="CW149" i="46"/>
  <c r="AI157" i="46"/>
  <c r="CQ160" i="46"/>
  <c r="FH150" i="46"/>
  <c r="FK153" i="46"/>
  <c r="AR154" i="46"/>
  <c r="CE155" i="46"/>
  <c r="DR156" i="46"/>
  <c r="FE157" i="46"/>
  <c r="DC134" i="46"/>
  <c r="EP135" i="46"/>
  <c r="FE130" i="46"/>
  <c r="AL131" i="46"/>
  <c r="AU130" i="46"/>
  <c r="EP144" i="46"/>
  <c r="FE148" i="46"/>
  <c r="BG151" i="46"/>
  <c r="CB144" i="46"/>
  <c r="FB133" i="46"/>
  <c r="EG138" i="46"/>
  <c r="AF139" i="46"/>
  <c r="DU143" i="46"/>
  <c r="BJ132" i="46"/>
  <c r="AU146" i="46"/>
  <c r="BA156" i="46"/>
  <c r="CN157" i="46"/>
  <c r="EA158" i="46"/>
  <c r="W131" i="46"/>
  <c r="EY143" i="46"/>
  <c r="FB146" i="46"/>
  <c r="CT147" i="46"/>
  <c r="BV149" i="46"/>
  <c r="W152" i="46"/>
  <c r="AX155" i="46"/>
  <c r="BG136" i="46"/>
  <c r="BD146" i="46"/>
  <c r="W155" i="46"/>
  <c r="FB150" i="46"/>
  <c r="AU157" i="46"/>
  <c r="CH158" i="46"/>
  <c r="DU159" i="46"/>
  <c r="BM151" i="46"/>
  <c r="AR158" i="46"/>
  <c r="BA161" i="46"/>
  <c r="ED157" i="46"/>
  <c r="AF161" i="46"/>
  <c r="EJ157" i="46"/>
  <c r="AI161" i="46"/>
  <c r="BV143" i="46"/>
  <c r="ES157" i="46"/>
  <c r="AL161" i="46"/>
  <c r="CE143" i="46"/>
  <c r="BG159" i="46"/>
  <c r="EG161" i="46"/>
  <c r="BS157" i="46"/>
  <c r="CE157" i="46"/>
  <c r="BS153" i="46"/>
  <c r="FE154" i="46"/>
  <c r="AC155" i="46"/>
  <c r="BP156" i="46"/>
  <c r="CN160" i="46"/>
  <c r="DX157" i="46"/>
  <c r="DU160" i="46"/>
  <c r="Z161" i="46"/>
  <c r="EJ150" i="46"/>
  <c r="BV158" i="46"/>
  <c r="BS161" i="46"/>
  <c r="DU149" i="46"/>
  <c r="AL146" i="46"/>
  <c r="AC148" i="46"/>
  <c r="CK151" i="46"/>
  <c r="BP154" i="46"/>
  <c r="DC155" i="46"/>
  <c r="EP156" i="46"/>
  <c r="W159" i="46"/>
  <c r="BJ160" i="46"/>
  <c r="BY132" i="46"/>
  <c r="CH131" i="46"/>
  <c r="DU132" i="46"/>
  <c r="CZ131" i="46"/>
  <c r="AO130" i="46"/>
  <c r="AI149" i="46"/>
  <c r="DI151" i="46"/>
  <c r="FE144" i="46"/>
  <c r="DO140" i="46"/>
  <c r="AC141" i="46"/>
  <c r="BA149" i="46"/>
  <c r="FH138" i="46"/>
  <c r="ES143" i="46"/>
  <c r="ED146" i="46"/>
  <c r="BY147" i="46"/>
  <c r="BS149" i="46"/>
  <c r="AU155" i="46"/>
  <c r="CH156" i="46"/>
  <c r="DU157" i="46"/>
  <c r="FH158" i="46"/>
  <c r="AR144" i="46"/>
  <c r="EV149" i="46"/>
  <c r="BY151" i="46"/>
  <c r="CB152" i="46"/>
  <c r="AO154" i="46"/>
  <c r="CB155" i="46"/>
  <c r="CB131" i="46"/>
  <c r="FE143" i="46"/>
  <c r="FK146" i="46"/>
  <c r="DF147" i="46"/>
  <c r="CB149" i="46"/>
  <c r="Z152" i="46"/>
  <c r="BA155" i="46"/>
  <c r="BV136" i="46"/>
  <c r="CB146" i="46"/>
  <c r="AL147" i="46"/>
  <c r="AR134" i="46"/>
  <c r="AO156" i="46"/>
  <c r="CB157" i="46"/>
  <c r="DO158" i="46"/>
  <c r="FB159" i="46"/>
  <c r="CH148" i="46"/>
  <c r="DX149" i="46"/>
  <c r="BS152" i="46"/>
  <c r="AI154" i="46"/>
  <c r="CE158" i="46"/>
  <c r="AI160" i="46"/>
  <c r="BY161" i="46"/>
  <c r="BD134" i="46"/>
  <c r="Z150" i="46"/>
  <c r="CT151" i="46"/>
  <c r="AU158" i="46"/>
  <c r="BD161" i="46"/>
  <c r="BG134" i="46"/>
  <c r="BM150" i="46"/>
  <c r="DR151" i="46"/>
  <c r="AX158" i="46"/>
  <c r="BG161" i="46"/>
  <c r="Z149" i="46"/>
  <c r="CH150" i="46"/>
  <c r="DU151" i="46"/>
  <c r="BG158" i="46"/>
  <c r="BJ161" i="46"/>
  <c r="AU149" i="46"/>
  <c r="CW150" i="46"/>
  <c r="FB151" i="46"/>
  <c r="EP159" i="46"/>
  <c r="EP140" i="46"/>
  <c r="FB157" i="46"/>
  <c r="FK157" i="46"/>
  <c r="AL158" i="46"/>
  <c r="AX161" i="46"/>
  <c r="FB155" i="46"/>
  <c r="FB156" i="46"/>
  <c r="W157" i="46"/>
  <c r="EP160" i="46"/>
  <c r="BY156" i="46"/>
  <c r="EY158" i="46"/>
  <c r="DL161" i="46"/>
  <c r="AF160" i="46"/>
  <c r="DX153" i="46"/>
  <c r="BG152" i="46"/>
  <c r="FK155" i="46"/>
  <c r="BM159" i="46"/>
  <c r="FH156" i="46"/>
  <c r="EM161" i="46"/>
  <c r="FH161" i="46"/>
  <c r="BY158" i="46"/>
  <c r="FH135" i="46"/>
  <c r="DL151" i="46"/>
  <c r="CN154" i="46"/>
  <c r="EA155" i="46"/>
  <c r="AU159" i="46"/>
  <c r="CH160" i="46"/>
  <c r="AC132" i="46"/>
  <c r="DL133" i="46"/>
  <c r="FH133" i="46"/>
  <c r="CN134" i="46"/>
  <c r="AI145" i="46"/>
  <c r="CN149" i="46"/>
  <c r="CK130" i="46"/>
  <c r="CE142" i="46"/>
  <c r="EY134" i="46"/>
  <c r="CE135" i="46"/>
  <c r="BG145" i="46"/>
  <c r="DC149" i="46"/>
  <c r="ES142" i="46"/>
  <c r="AF144" i="46"/>
  <c r="ED149" i="46"/>
  <c r="BP151" i="46"/>
  <c r="BY152" i="46"/>
  <c r="AL154" i="46"/>
  <c r="BY155" i="46"/>
  <c r="DL156" i="46"/>
  <c r="EY157" i="46"/>
  <c r="FK132" i="46"/>
  <c r="EJ151" i="46"/>
  <c r="EM152" i="46"/>
  <c r="BD153" i="46"/>
  <c r="BV154" i="46"/>
  <c r="DI155" i="46"/>
  <c r="AU144" i="46"/>
  <c r="EY149" i="46"/>
  <c r="CH151" i="46"/>
  <c r="CK152" i="46"/>
  <c r="AU154" i="46"/>
  <c r="CH155" i="46"/>
  <c r="DX131" i="46"/>
  <c r="BA140" i="46"/>
  <c r="DI147" i="46"/>
  <c r="CT149" i="46"/>
  <c r="AF151" i="46"/>
  <c r="AF152" i="46"/>
  <c r="CB143" i="46"/>
  <c r="DF146" i="46"/>
  <c r="AU147" i="46"/>
  <c r="AR149" i="46"/>
  <c r="AF155" i="46"/>
  <c r="BS156" i="46"/>
  <c r="DF157" i="46"/>
  <c r="ES158" i="46"/>
  <c r="FH147" i="46"/>
  <c r="DX154" i="46"/>
  <c r="AU156" i="46"/>
  <c r="DU158" i="46"/>
  <c r="BV160" i="46"/>
  <c r="CW161" i="46"/>
  <c r="CK148" i="46"/>
  <c r="DC152" i="46"/>
  <c r="BD154" i="46"/>
  <c r="CN158" i="46"/>
  <c r="AO160" i="46"/>
  <c r="CB161" i="46"/>
  <c r="EJ148" i="46"/>
  <c r="DU152" i="46"/>
  <c r="BJ154" i="46"/>
  <c r="CQ158" i="46"/>
  <c r="AR160" i="46"/>
  <c r="CE161" i="46"/>
  <c r="AR147" i="46"/>
  <c r="EV148" i="46"/>
  <c r="EA152" i="46"/>
  <c r="BM154" i="46"/>
  <c r="W156" i="46"/>
  <c r="CW158" i="46"/>
  <c r="BA160" i="46"/>
  <c r="CH161" i="46"/>
  <c r="BA147" i="46"/>
  <c r="FK148" i="46"/>
  <c r="DO147" i="46"/>
  <c r="CT154" i="46"/>
  <c r="AL156" i="46"/>
  <c r="DR158" i="46"/>
  <c r="CT161" i="46"/>
  <c r="DC157" i="46"/>
  <c r="DL159" i="46"/>
  <c r="EP151" i="46"/>
  <c r="DL154" i="46"/>
  <c r="EY155" i="46"/>
  <c r="AF158" i="46"/>
  <c r="BS159" i="46"/>
  <c r="DI130" i="46"/>
  <c r="EV131" i="46"/>
  <c r="EJ130" i="46"/>
  <c r="BS132" i="46"/>
  <c r="EM132" i="46"/>
  <c r="CH136" i="46"/>
  <c r="AF143" i="46"/>
  <c r="DF145" i="46"/>
  <c r="EP149" i="46"/>
  <c r="AR152" i="46"/>
  <c r="EJ134" i="46"/>
  <c r="AI135" i="46"/>
  <c r="AO145" i="46"/>
  <c r="CK144" i="46"/>
  <c r="EG136" i="46"/>
  <c r="AX137" i="46"/>
  <c r="BD143" i="46"/>
  <c r="ED145" i="46"/>
  <c r="W147" i="46"/>
  <c r="FH149" i="46"/>
  <c r="DO132" i="46"/>
  <c r="EA151" i="46"/>
  <c r="EG152" i="46"/>
  <c r="AR153" i="46"/>
  <c r="BS154" i="46"/>
  <c r="DF155" i="46"/>
  <c r="ES156" i="46"/>
  <c r="AX160" i="46"/>
  <c r="CT135" i="46"/>
  <c r="CE145" i="46"/>
  <c r="AI148" i="46"/>
  <c r="DF153" i="46"/>
  <c r="DC154" i="46"/>
  <c r="EP155" i="46"/>
  <c r="ES151" i="46"/>
  <c r="FE152" i="46"/>
  <c r="BJ153" i="46"/>
  <c r="CB154" i="46"/>
  <c r="DO155" i="46"/>
  <c r="BD144" i="46"/>
  <c r="CN151" i="46"/>
  <c r="CZ152" i="46"/>
  <c r="AX154" i="46"/>
  <c r="FK140" i="46"/>
  <c r="EJ147" i="46"/>
  <c r="DO149" i="46"/>
  <c r="AO151" i="46"/>
  <c r="BA152" i="46"/>
  <c r="Z154" i="46"/>
  <c r="BM155" i="46"/>
  <c r="CZ156" i="46"/>
  <c r="EM157" i="46"/>
  <c r="EM153" i="46"/>
  <c r="BJ155" i="46"/>
  <c r="CN156" i="46"/>
  <c r="AL159" i="46"/>
  <c r="CZ160" i="46"/>
  <c r="DU161" i="46"/>
  <c r="EA154" i="46"/>
  <c r="BD156" i="46"/>
  <c r="ED158" i="46"/>
  <c r="BY160" i="46"/>
  <c r="CZ161" i="46"/>
  <c r="AI153" i="46"/>
  <c r="EV154" i="46"/>
  <c r="BJ156" i="46"/>
  <c r="EJ158" i="46"/>
  <c r="CE160" i="46"/>
  <c r="DC161" i="46"/>
  <c r="AL153" i="46"/>
  <c r="FB154" i="46"/>
  <c r="Z155" i="46"/>
  <c r="BM156" i="46"/>
  <c r="EM158" i="46"/>
  <c r="CK160" i="46"/>
  <c r="DF161" i="46"/>
  <c r="CH154" i="46"/>
  <c r="AC156" i="46"/>
  <c r="BD160" i="46"/>
  <c r="CZ155" i="46"/>
  <c r="DU156" i="46"/>
  <c r="BY159" i="46"/>
  <c r="EP161" i="46"/>
  <c r="BJ158" i="46"/>
  <c r="BM161" i="46"/>
  <c r="AL155" i="46"/>
  <c r="CB156" i="46"/>
  <c r="FB158" i="46"/>
  <c r="DO161" i="46"/>
  <c r="BG160" i="46"/>
  <c r="ES160" i="46"/>
  <c r="DL157" i="46"/>
  <c r="DI159" i="46"/>
  <c r="AR161" i="46"/>
  <c r="BP159" i="46"/>
  <c r="DF159"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BY180" i="46"/>
  <c r="EJ162" i="46"/>
  <c r="BM162" i="46"/>
  <c r="AR162" i="46"/>
  <c r="AF162" i="46"/>
  <c r="EY162" i="46"/>
  <c r="CW162" i="46"/>
  <c r="CE162" i="46"/>
  <c r="BJ162" i="46"/>
  <c r="BD180" i="46"/>
  <c r="AI180" i="46"/>
  <c r="ES180" i="46"/>
  <c r="AC180" i="46"/>
  <c r="FK162" i="46"/>
  <c r="DR162" i="46"/>
  <c r="AL162" i="46"/>
  <c r="AL180" i="46"/>
  <c r="CT180" i="46"/>
  <c r="BA180" i="46"/>
  <c r="EM180" i="46"/>
  <c r="CK180" i="46"/>
  <c r="AO162" i="46"/>
  <c r="BS162" i="46"/>
  <c r="W162" i="46"/>
  <c r="BD162" i="46"/>
  <c r="ES162" i="46"/>
  <c r="CT162" i="46"/>
  <c r="BY162" i="46"/>
  <c r="BG162" i="46"/>
  <c r="FE180" i="46"/>
  <c r="BS180" i="46"/>
  <c r="AF180" i="46"/>
  <c r="EP180" i="46"/>
  <c r="DR180" i="46"/>
  <c r="DO180" i="46"/>
  <c r="FE162" i="46"/>
  <c r="EM162" i="46"/>
  <c r="CB162" i="46"/>
  <c r="ED162" i="46"/>
  <c r="AI162" i="46"/>
  <c r="CE180" i="46"/>
  <c r="DL180" i="46"/>
  <c r="AR180" i="46"/>
  <c r="DF180" i="46"/>
  <c r="CQ180" i="46"/>
  <c r="EJ180" i="46"/>
  <c r="DI162" i="46"/>
  <c r="CK162" i="46"/>
  <c r="DX162" i="46"/>
  <c r="CQ162" i="46"/>
  <c r="CN162" i="46"/>
  <c r="BP162" i="46"/>
  <c r="CZ162" i="46"/>
  <c r="EP162" i="46"/>
  <c r="DF162" i="46"/>
  <c r="BV162" i="46"/>
  <c r="BA162" i="46"/>
  <c r="BP180" i="46"/>
  <c r="FB180" i="46"/>
  <c r="EG180" i="46"/>
  <c r="EV180" i="46"/>
  <c r="FK180" i="46"/>
  <c r="DC180" i="46"/>
  <c r="BV180" i="46"/>
  <c r="BJ180" i="46"/>
  <c r="EG162" i="46"/>
  <c r="EA162" i="46"/>
  <c r="AC162" i="46"/>
  <c r="FH180" i="46"/>
  <c r="CZ180" i="46"/>
  <c r="BM180" i="46"/>
  <c r="DX180" i="46"/>
  <c r="AX180" i="46"/>
  <c r="EY180" i="46"/>
  <c r="EA180" i="46"/>
  <c r="CW180" i="46"/>
  <c r="AU180" i="46"/>
  <c r="DO162" i="46"/>
  <c r="EV162" i="46"/>
  <c r="FB162" i="46"/>
  <c r="DC162" i="46"/>
  <c r="CH162" i="46"/>
  <c r="AX162" i="46"/>
  <c r="CB180" i="46"/>
  <c r="W180" i="46"/>
  <c r="BG180" i="46"/>
  <c r="Z180" i="46"/>
  <c r="AU162" i="46"/>
  <c r="FH162" i="46"/>
  <c r="DL162" i="46"/>
  <c r="DU162" i="46"/>
  <c r="Z162" i="46"/>
  <c r="CH180" i="46"/>
  <c r="CN180" i="46"/>
  <c r="ED180" i="46"/>
  <c r="AO180" i="46"/>
  <c r="DU180" i="46"/>
  <c r="DI180" i="46"/>
  <c r="H2" i="50" a="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H2" i="50" l="1"/>
  <c r="AI200" i="46"/>
  <c r="BP201" i="46"/>
  <c r="EP200" i="46"/>
  <c r="EM201" i="46"/>
  <c r="Z201" i="46"/>
  <c r="BP200" i="46"/>
  <c r="BY201" i="46"/>
  <c r="DF200" i="46"/>
  <c r="DX201" i="46"/>
  <c r="AI202" i="46"/>
  <c r="BV203" i="46"/>
  <c r="AL202" i="46"/>
  <c r="BY203" i="46"/>
  <c r="AO202" i="46"/>
  <c r="CB203" i="46"/>
  <c r="EJ202" i="46"/>
  <c r="BG200" i="46"/>
  <c r="EM202" i="46"/>
  <c r="DC201" i="46"/>
  <c r="AO203" i="46"/>
  <c r="BY202" i="46"/>
  <c r="DL203" i="46"/>
  <c r="AU205" i="46"/>
  <c r="BJ200" i="46"/>
  <c r="CN201" i="46"/>
  <c r="FK201" i="46"/>
  <c r="AX201" i="46"/>
  <c r="CQ200" i="46"/>
  <c r="CW201" i="46"/>
  <c r="EV200" i="46"/>
  <c r="EV201" i="46"/>
  <c r="BG202" i="46"/>
  <c r="CT203" i="46"/>
  <c r="BJ202" i="46"/>
  <c r="CW203" i="46"/>
  <c r="BM202" i="46"/>
  <c r="CZ203" i="46"/>
  <c r="BV200" i="46"/>
  <c r="FH202" i="46"/>
  <c r="DL200" i="46"/>
  <c r="AI201" i="46"/>
  <c r="FK202" i="46"/>
  <c r="FE201" i="46"/>
  <c r="Z202" i="46"/>
  <c r="BM203" i="46"/>
  <c r="CW202" i="46"/>
  <c r="EJ203" i="46"/>
  <c r="EV202" i="46"/>
  <c r="FK203" i="46"/>
  <c r="AF204" i="46"/>
  <c r="BS205" i="46"/>
  <c r="CZ200" i="46"/>
  <c r="DL201" i="46"/>
  <c r="AL200" i="46"/>
  <c r="BV201" i="46"/>
  <c r="DR200" i="46"/>
  <c r="DU201" i="46"/>
  <c r="CE202" i="46"/>
  <c r="DR203" i="46"/>
  <c r="CH202" i="46"/>
  <c r="DU203" i="46"/>
  <c r="CK202" i="46"/>
  <c r="DX203" i="46"/>
  <c r="CH201" i="46"/>
  <c r="AI203" i="46"/>
  <c r="CK201" i="46"/>
  <c r="AL203" i="46"/>
  <c r="AX202" i="46"/>
  <c r="CK203" i="46"/>
  <c r="EJ200" i="46"/>
  <c r="DU202" i="46"/>
  <c r="BD204" i="46"/>
  <c r="CQ205" i="46"/>
  <c r="EA200" i="46"/>
  <c r="EJ201" i="46"/>
  <c r="W201" i="46"/>
  <c r="CB200" i="46"/>
  <c r="CT201" i="46"/>
  <c r="FH200" i="46"/>
  <c r="ES201" i="46"/>
  <c r="DC202" i="46"/>
  <c r="EP203" i="46"/>
  <c r="DF202" i="46"/>
  <c r="ES203" i="46"/>
  <c r="DI202" i="46"/>
  <c r="EV203" i="46"/>
  <c r="EY201" i="46"/>
  <c r="BG203" i="46"/>
  <c r="FB201" i="46"/>
  <c r="W202" i="46"/>
  <c r="BJ203" i="46"/>
  <c r="BV202" i="46"/>
  <c r="DI203" i="46"/>
  <c r="ES202" i="46"/>
  <c r="CB204" i="46"/>
  <c r="DO205" i="46"/>
  <c r="FB200" i="46"/>
  <c r="FH201" i="46"/>
  <c r="W200" i="46"/>
  <c r="AU201" i="46"/>
  <c r="DC200" i="46"/>
  <c r="DR201" i="46"/>
  <c r="AF201" i="46"/>
  <c r="AF200" i="46"/>
  <c r="EA202" i="46"/>
  <c r="BS200" i="46"/>
  <c r="ED202" i="46"/>
  <c r="FK200" i="46"/>
  <c r="EG202" i="46"/>
  <c r="AR202" i="46"/>
  <c r="CE203" i="46"/>
  <c r="AU202" i="46"/>
  <c r="CH203" i="46"/>
  <c r="CT202" i="46"/>
  <c r="EG203" i="46"/>
  <c r="AO201" i="46"/>
  <c r="CZ204" i="46"/>
  <c r="AX200" i="46"/>
  <c r="BS201" i="46"/>
  <c r="ED200" i="46"/>
  <c r="EP201" i="46"/>
  <c r="BD201" i="46"/>
  <c r="CH200" i="46"/>
  <c r="EY202" i="46"/>
  <c r="DX200" i="46"/>
  <c r="FB202" i="46"/>
  <c r="FE202" i="46"/>
  <c r="BP202" i="46"/>
  <c r="DC203" i="46"/>
  <c r="BS202" i="46"/>
  <c r="DF203" i="46"/>
  <c r="AR200" i="46"/>
  <c r="DR202" i="46"/>
  <c r="FE203" i="46"/>
  <c r="DF201" i="46"/>
  <c r="AR203" i="46"/>
  <c r="DX204" i="46"/>
  <c r="CN200" i="46"/>
  <c r="CQ201" i="46"/>
  <c r="AC201" i="46"/>
  <c r="BD200" i="46"/>
  <c r="CB201" i="46"/>
  <c r="EM200" i="46"/>
  <c r="BJ201" i="46"/>
  <c r="Z203" i="46"/>
  <c r="BM201" i="46"/>
  <c r="AC203" i="46"/>
  <c r="CE201" i="46"/>
  <c r="AF203" i="46"/>
  <c r="CN202" i="46"/>
  <c r="EA203" i="46"/>
  <c r="CQ202" i="46"/>
  <c r="ED203" i="46"/>
  <c r="CT200" i="46"/>
  <c r="EP202" i="46"/>
  <c r="AC202" i="46"/>
  <c r="BP203" i="46"/>
  <c r="AR201" i="46"/>
  <c r="DO200" i="46"/>
  <c r="DO201" i="46"/>
  <c r="Z200" i="46"/>
  <c r="BA201" i="46"/>
  <c r="CE200" i="46"/>
  <c r="CZ201" i="46"/>
  <c r="EA201" i="46"/>
  <c r="AX203" i="46"/>
  <c r="ED201" i="46"/>
  <c r="BA203" i="46"/>
  <c r="EG201" i="46"/>
  <c r="BD203" i="46"/>
  <c r="DL202" i="46"/>
  <c r="EY203" i="46"/>
  <c r="DO202" i="46"/>
  <c r="FB203" i="46"/>
  <c r="EY200" i="46"/>
  <c r="AL201" i="46"/>
  <c r="BA202" i="46"/>
  <c r="CN203" i="46"/>
  <c r="W205" i="46"/>
  <c r="FB206" i="46"/>
  <c r="Z205" i="46"/>
  <c r="BM206" i="46"/>
  <c r="ED204" i="46"/>
  <c r="DI204" i="46"/>
  <c r="EV205" i="46"/>
  <c r="AL207" i="46"/>
  <c r="CQ204" i="46"/>
  <c r="ED205" i="46"/>
  <c r="EY206" i="46"/>
  <c r="AO205" i="46"/>
  <c r="CB206" i="46"/>
  <c r="EG207" i="46"/>
  <c r="AR207" i="46"/>
  <c r="CQ203" i="46"/>
  <c r="BG205" i="46"/>
  <c r="CT206" i="46"/>
  <c r="EM207" i="46"/>
  <c r="CB202" i="46"/>
  <c r="BV204" i="46"/>
  <c r="DI205" i="46"/>
  <c r="EP206" i="46"/>
  <c r="BG206" i="46"/>
  <c r="DR207" i="46"/>
  <c r="EJ204" i="46"/>
  <c r="CE205" i="46"/>
  <c r="CN204" i="46"/>
  <c r="CW200" i="46"/>
  <c r="EG200" i="46"/>
  <c r="EM205" i="46"/>
  <c r="AC207" i="46"/>
  <c r="W203" i="46"/>
  <c r="AX205" i="46"/>
  <c r="CK206" i="46"/>
  <c r="FB204" i="46"/>
  <c r="AR206" i="46"/>
  <c r="EG204" i="46"/>
  <c r="W206" i="46"/>
  <c r="BJ207" i="46"/>
  <c r="EM204" i="46"/>
  <c r="AX204" i="46"/>
  <c r="CK205" i="46"/>
  <c r="DX206" i="46"/>
  <c r="FK207" i="46"/>
  <c r="BV207" i="46"/>
  <c r="BP204" i="46"/>
  <c r="DC205" i="46"/>
  <c r="EG206" i="46"/>
  <c r="AX207" i="46"/>
  <c r="DR204" i="46"/>
  <c r="FE205" i="46"/>
  <c r="FH203" i="46"/>
  <c r="AC204" i="46"/>
  <c r="BP205" i="46"/>
  <c r="DC206" i="46"/>
  <c r="EY207" i="46"/>
  <c r="AI205" i="46"/>
  <c r="EV206" i="46"/>
  <c r="DI200" i="46"/>
  <c r="AO200" i="46"/>
  <c r="FK205" i="46"/>
  <c r="BA207" i="46"/>
  <c r="AI204" i="46"/>
  <c r="BV205" i="46"/>
  <c r="DI206" i="46"/>
  <c r="AC205" i="46"/>
  <c r="BP206" i="46"/>
  <c r="FE204" i="46"/>
  <c r="AU206" i="46"/>
  <c r="CH207" i="46"/>
  <c r="CT204" i="46"/>
  <c r="EG205" i="46"/>
  <c r="FE206" i="46"/>
  <c r="AI206" i="46"/>
  <c r="DC207" i="46"/>
  <c r="DL204" i="46"/>
  <c r="EY205" i="46"/>
  <c r="CE207" i="46"/>
  <c r="BY204" i="46"/>
  <c r="DL205" i="46"/>
  <c r="ES206" i="46"/>
  <c r="AU200" i="46"/>
  <c r="FE207" i="46"/>
  <c r="ES200" i="46"/>
  <c r="AL206" i="46"/>
  <c r="BY207" i="46"/>
  <c r="BG201" i="46"/>
  <c r="BG204" i="46"/>
  <c r="CT205" i="46"/>
  <c r="AU203" i="46"/>
  <c r="BA205" i="46"/>
  <c r="CN206" i="46"/>
  <c r="AF205" i="46"/>
  <c r="BS206" i="46"/>
  <c r="DF207" i="46"/>
  <c r="AI207" i="46"/>
  <c r="EP204" i="46"/>
  <c r="AR205" i="46"/>
  <c r="CE206" i="46"/>
  <c r="EJ207" i="46"/>
  <c r="FH204" i="46"/>
  <c r="BA206" i="46"/>
  <c r="DL207" i="46"/>
  <c r="CZ202" i="46"/>
  <c r="W207" i="46"/>
  <c r="DU204" i="46"/>
  <c r="FH205" i="46"/>
  <c r="DX207" i="46"/>
  <c r="BA200" i="46"/>
  <c r="CK200" i="46"/>
  <c r="BJ206" i="46"/>
  <c r="CW207" i="46"/>
  <c r="CE204" i="46"/>
  <c r="DR205" i="46"/>
  <c r="AL204" i="46"/>
  <c r="BY205" i="46"/>
  <c r="DL206" i="46"/>
  <c r="AF202" i="46"/>
  <c r="BS203" i="46"/>
  <c r="BD205" i="46"/>
  <c r="CQ206" i="46"/>
  <c r="ED207" i="46"/>
  <c r="BP207" i="46"/>
  <c r="BA204" i="46"/>
  <c r="CN205" i="46"/>
  <c r="EA206" i="46"/>
  <c r="BD202" i="46"/>
  <c r="DO203" i="46"/>
  <c r="W204" i="46"/>
  <c r="BJ205" i="46"/>
  <c r="CW206" i="46"/>
  <c r="EP207" i="46"/>
  <c r="BD207" i="46"/>
  <c r="AF207" i="46"/>
  <c r="CQ207" i="46"/>
  <c r="AR204" i="46"/>
  <c r="DR206" i="46"/>
  <c r="FE200" i="46"/>
  <c r="EV204" i="46"/>
  <c r="CH206" i="46"/>
  <c r="DU207" i="46"/>
  <c r="DC204" i="46"/>
  <c r="EP205" i="46"/>
  <c r="DI201" i="46"/>
  <c r="BJ204" i="46"/>
  <c r="CW205" i="46"/>
  <c r="AO204" i="46"/>
  <c r="CB205" i="46"/>
  <c r="DO206" i="46"/>
  <c r="FB207" i="46"/>
  <c r="AC206" i="46"/>
  <c r="CT207" i="46"/>
  <c r="AO207" i="46"/>
  <c r="CW204" i="46"/>
  <c r="EJ205" i="46"/>
  <c r="FH206" i="46"/>
  <c r="AU207" i="46"/>
  <c r="BS204" i="46"/>
  <c r="DF205" i="46"/>
  <c r="EJ206" i="46"/>
  <c r="CK207" i="46"/>
  <c r="DX202" i="46"/>
  <c r="Z207" i="46"/>
  <c r="BM207" i="46"/>
  <c r="BV206" i="46"/>
  <c r="BM200" i="46"/>
  <c r="DF206" i="46"/>
  <c r="ES207" i="46"/>
  <c r="EA204" i="46"/>
  <c r="CH204" i="46"/>
  <c r="DU205" i="46"/>
  <c r="BM204" i="46"/>
  <c r="CZ205" i="46"/>
  <c r="EM206" i="46"/>
  <c r="AL205" i="46"/>
  <c r="BY206" i="46"/>
  <c r="EA207" i="46"/>
  <c r="BS207" i="46"/>
  <c r="ES204" i="46"/>
  <c r="CB207" i="46"/>
  <c r="DO204" i="46"/>
  <c r="FB205" i="46"/>
  <c r="BD206" i="46"/>
  <c r="DO207" i="46"/>
  <c r="BG207" i="46"/>
  <c r="Z206" i="46"/>
  <c r="EA205" i="46"/>
  <c r="DU200" i="46"/>
  <c r="ED206" i="46"/>
  <c r="EY204" i="46"/>
  <c r="AO206" i="46"/>
  <c r="DF204" i="46"/>
  <c r="ES205" i="46"/>
  <c r="CK204" i="46"/>
  <c r="DX205" i="46"/>
  <c r="FK206" i="46"/>
  <c r="AU204" i="46"/>
  <c r="CH205" i="46"/>
  <c r="DU206" i="46"/>
  <c r="FH207" i="46"/>
  <c r="AF206" i="46"/>
  <c r="CZ207" i="46"/>
  <c r="AX206" i="46"/>
  <c r="DI207" i="46"/>
  <c r="FK204" i="46"/>
  <c r="EM203" i="46"/>
  <c r="Z204" i="46"/>
  <c r="BM205" i="46"/>
  <c r="CZ206" i="46"/>
  <c r="EV207" i="46"/>
  <c r="CN207" i="46"/>
  <c r="AC200" i="46"/>
  <c r="BY200" i="46"/>
  <c r="DL182" i="46"/>
  <c r="EY183" i="46"/>
  <c r="W182" i="46"/>
  <c r="BJ183" i="46"/>
  <c r="CT182" i="46"/>
  <c r="EG183" i="46"/>
  <c r="EJ182" i="46"/>
  <c r="AU182" i="46"/>
  <c r="CH183" i="46"/>
  <c r="DR182" i="46"/>
  <c r="FE183" i="46"/>
  <c r="FH182" i="46"/>
  <c r="BS182" i="46"/>
  <c r="DF183" i="46"/>
  <c r="EP182" i="46"/>
  <c r="AC182" i="46"/>
  <c r="AI183" i="46"/>
  <c r="CQ182" i="46"/>
  <c r="ED183" i="46"/>
  <c r="AF182" i="46"/>
  <c r="BG183" i="46"/>
  <c r="DO182" i="46"/>
  <c r="FB183" i="46"/>
  <c r="AO183" i="46"/>
  <c r="AR182" i="46"/>
  <c r="CE183" i="46"/>
  <c r="EM182" i="46"/>
  <c r="Z182" i="46"/>
  <c r="BP182" i="46"/>
  <c r="DC183" i="46"/>
  <c r="FK182" i="46"/>
  <c r="AX182" i="46"/>
  <c r="CN182" i="46"/>
  <c r="EA183" i="46"/>
  <c r="AL183" i="46"/>
  <c r="BV182" i="46"/>
  <c r="BD182" i="46"/>
  <c r="CQ183" i="46"/>
  <c r="DF182" i="46"/>
  <c r="EG182" i="46"/>
  <c r="CT184" i="46"/>
  <c r="BA183" i="46"/>
  <c r="ES184" i="46"/>
  <c r="BD184" i="46"/>
  <c r="BY182" i="46"/>
  <c r="DC184" i="46"/>
  <c r="EY185" i="46"/>
  <c r="ED185" i="46"/>
  <c r="EM184" i="46"/>
  <c r="DI185" i="46"/>
  <c r="DC186" i="46"/>
  <c r="AL186" i="46"/>
  <c r="BS184" i="46"/>
  <c r="EP186" i="46"/>
  <c r="AC186" i="46"/>
  <c r="BM186" i="46"/>
  <c r="BG187" i="46"/>
  <c r="DI187" i="46"/>
  <c r="FH187" i="46"/>
  <c r="AF186" i="46"/>
  <c r="CZ188" i="46"/>
  <c r="DC188" i="46"/>
  <c r="DF188" i="46"/>
  <c r="DI188" i="46"/>
  <c r="AC187" i="46"/>
  <c r="FH188" i="46"/>
  <c r="AF187" i="46"/>
  <c r="FK188" i="46"/>
  <c r="AL187" i="46"/>
  <c r="CW189" i="46"/>
  <c r="EJ190" i="46"/>
  <c r="AF189" i="46"/>
  <c r="EY189" i="46"/>
  <c r="CH189" i="46"/>
  <c r="CT189" i="46"/>
  <c r="BS190" i="46"/>
  <c r="CW191" i="46"/>
  <c r="AC191" i="46"/>
  <c r="FB190" i="46"/>
  <c r="DC190" i="46"/>
  <c r="ED191" i="46"/>
  <c r="FK190" i="46"/>
  <c r="AR191" i="46"/>
  <c r="EP189" i="46"/>
  <c r="CK190" i="46"/>
  <c r="DO191" i="46"/>
  <c r="AX191" i="46"/>
  <c r="BY192" i="46"/>
  <c r="DL193" i="46"/>
  <c r="EY194" i="46"/>
  <c r="AO196" i="46"/>
  <c r="DX192" i="46"/>
  <c r="FK193" i="46"/>
  <c r="BM190" i="46"/>
  <c r="DC192" i="46"/>
  <c r="EP193" i="46"/>
  <c r="DR191" i="46"/>
  <c r="CH192" i="46"/>
  <c r="DU193" i="46"/>
  <c r="EG192" i="46"/>
  <c r="CB182" i="46"/>
  <c r="DO183" i="46"/>
  <c r="ED182" i="46"/>
  <c r="FE182" i="46"/>
  <c r="EA182" i="46"/>
  <c r="DR184" i="46"/>
  <c r="CW183" i="46"/>
  <c r="CB184" i="46"/>
  <c r="EA184" i="46"/>
  <c r="CE182" i="46"/>
  <c r="FB185" i="46"/>
  <c r="EG185" i="46"/>
  <c r="AR183" i="46"/>
  <c r="EA186" i="46"/>
  <c r="AX185" i="46"/>
  <c r="BJ186" i="46"/>
  <c r="W186" i="46"/>
  <c r="CB183" i="46"/>
  <c r="Z185" i="46"/>
  <c r="BA186" i="46"/>
  <c r="DX186" i="46"/>
  <c r="CE187" i="46"/>
  <c r="AC185" i="46"/>
  <c r="EG187" i="46"/>
  <c r="CN186" i="46"/>
  <c r="DU185" i="46"/>
  <c r="DX188" i="46"/>
  <c r="EA188" i="46"/>
  <c r="ED188" i="46"/>
  <c r="EG188" i="46"/>
  <c r="BS187" i="46"/>
  <c r="BV187" i="46"/>
  <c r="BY187" i="46"/>
  <c r="DU189" i="46"/>
  <c r="FH190" i="46"/>
  <c r="BD189" i="46"/>
  <c r="AX188" i="46"/>
  <c r="DF189" i="46"/>
  <c r="AO189" i="46"/>
  <c r="FK189" i="46"/>
  <c r="CT190" i="46"/>
  <c r="DU191" i="46"/>
  <c r="AR186" i="46"/>
  <c r="BD191" i="46"/>
  <c r="CT188" i="46"/>
  <c r="ED190" i="46"/>
  <c r="FB191" i="46"/>
  <c r="AF190" i="46"/>
  <c r="BP191" i="46"/>
  <c r="DO190" i="46"/>
  <c r="EM191" i="46"/>
  <c r="CW192" i="46"/>
  <c r="EJ193" i="46"/>
  <c r="Z195" i="46"/>
  <c r="BM196" i="46"/>
  <c r="Z189" i="46"/>
  <c r="EV192" i="46"/>
  <c r="AL194" i="46"/>
  <c r="EA192" i="46"/>
  <c r="CQ190" i="46"/>
  <c r="DF192" i="46"/>
  <c r="ES193" i="46"/>
  <c r="FE192" i="46"/>
  <c r="CZ182" i="46"/>
  <c r="EM183" i="46"/>
  <c r="FB182" i="46"/>
  <c r="AX183" i="46"/>
  <c r="EP184" i="46"/>
  <c r="ES183" i="46"/>
  <c r="BG182" i="46"/>
  <c r="CZ184" i="46"/>
  <c r="BP183" i="46"/>
  <c r="EY184" i="46"/>
  <c r="Z183" i="46"/>
  <c r="EJ183" i="46"/>
  <c r="AF185" i="46"/>
  <c r="FE185" i="46"/>
  <c r="AR185" i="46"/>
  <c r="DO184" i="46"/>
  <c r="EY186" i="46"/>
  <c r="DO185" i="46"/>
  <c r="CH186" i="46"/>
  <c r="AU186" i="46"/>
  <c r="CQ185" i="46"/>
  <c r="BY186" i="46"/>
  <c r="DC187" i="46"/>
  <c r="FE187" i="46"/>
  <c r="FK184" i="46"/>
  <c r="EV186" i="46"/>
  <c r="EV188" i="46"/>
  <c r="EY188" i="46"/>
  <c r="W187" i="46"/>
  <c r="FB188" i="46"/>
  <c r="Z187" i="46"/>
  <c r="FE188" i="46"/>
  <c r="CZ187" i="46"/>
  <c r="DF187" i="46"/>
  <c r="W188" i="46"/>
  <c r="DO187" i="46"/>
  <c r="ES189" i="46"/>
  <c r="AI191" i="46"/>
  <c r="CB189" i="46"/>
  <c r="EP188" i="46"/>
  <c r="ED189" i="46"/>
  <c r="BM189" i="46"/>
  <c r="DU190" i="46"/>
  <c r="ES191" i="46"/>
  <c r="AU189" i="46"/>
  <c r="AU190" i="46"/>
  <c r="CB191" i="46"/>
  <c r="AF191" i="46"/>
  <c r="FE190" i="46"/>
  <c r="AO191" i="46"/>
  <c r="BV189" i="46"/>
  <c r="BG190" i="46"/>
  <c r="CN191" i="46"/>
  <c r="EP190" i="46"/>
  <c r="FK191" i="46"/>
  <c r="DU192" i="46"/>
  <c r="FH193" i="46"/>
  <c r="AX195" i="46"/>
  <c r="CK196" i="46"/>
  <c r="W193" i="46"/>
  <c r="BJ194" i="46"/>
  <c r="CQ189" i="46"/>
  <c r="EY192" i="46"/>
  <c r="AO194" i="46"/>
  <c r="ED192" i="46"/>
  <c r="AF193" i="46"/>
  <c r="DX182" i="46"/>
  <c r="FK183" i="46"/>
  <c r="CT183" i="46"/>
  <c r="AC184" i="46"/>
  <c r="EY182" i="46"/>
  <c r="DX184" i="46"/>
  <c r="DL183" i="46"/>
  <c r="BV183" i="46"/>
  <c r="CW182" i="46"/>
  <c r="AL184" i="46"/>
  <c r="BD185" i="46"/>
  <c r="AI185" i="46"/>
  <c r="BJ184" i="46"/>
  <c r="BP185" i="46"/>
  <c r="DF186" i="46"/>
  <c r="BA185" i="46"/>
  <c r="BV185" i="46"/>
  <c r="BS186" i="46"/>
  <c r="Z186" i="46"/>
  <c r="ES185" i="46"/>
  <c r="CW186" i="46"/>
  <c r="EA187" i="46"/>
  <c r="AR187" i="46"/>
  <c r="BD186" i="46"/>
  <c r="AX187" i="46"/>
  <c r="DI186" i="46"/>
  <c r="BA187" i="46"/>
  <c r="DL186" i="46"/>
  <c r="BD187" i="46"/>
  <c r="FH186" i="46"/>
  <c r="BJ187" i="46"/>
  <c r="EP187" i="46"/>
  <c r="AR188" i="46"/>
  <c r="ES187" i="46"/>
  <c r="AU188" i="46"/>
  <c r="EV187" i="46"/>
  <c r="Z188" i="46"/>
  <c r="CZ189" i="46"/>
  <c r="AI189" i="46"/>
  <c r="FB189" i="46"/>
  <c r="CK189" i="46"/>
  <c r="EV190" i="46"/>
  <c r="DL189" i="46"/>
  <c r="BV190" i="46"/>
  <c r="CZ191" i="46"/>
  <c r="W190" i="46"/>
  <c r="BG191" i="46"/>
  <c r="AC190" i="46"/>
  <c r="BM191" i="46"/>
  <c r="EM189" i="46"/>
  <c r="CH190" i="46"/>
  <c r="DL191" i="46"/>
  <c r="ES192" i="46"/>
  <c r="AI194" i="46"/>
  <c r="BV195" i="46"/>
  <c r="DI196" i="46"/>
  <c r="AU193" i="46"/>
  <c r="CH194" i="46"/>
  <c r="Z193" i="46"/>
  <c r="BM194" i="46"/>
  <c r="FH189" i="46"/>
  <c r="FB192" i="46"/>
  <c r="BD193" i="46"/>
  <c r="EV182" i="46"/>
  <c r="AI182" i="46"/>
  <c r="AO182" i="46"/>
  <c r="EP183" i="46"/>
  <c r="BA184" i="46"/>
  <c r="BD183" i="46"/>
  <c r="EV184" i="46"/>
  <c r="FH183" i="46"/>
  <c r="DR183" i="46"/>
  <c r="AC183" i="46"/>
  <c r="CH184" i="46"/>
  <c r="CB185" i="46"/>
  <c r="AO184" i="46"/>
  <c r="BG185" i="46"/>
  <c r="AL185" i="46"/>
  <c r="AF183" i="46"/>
  <c r="DF184" i="46"/>
  <c r="CN185" i="46"/>
  <c r="ED186" i="46"/>
  <c r="DR185" i="46"/>
  <c r="EM185" i="46"/>
  <c r="CQ186" i="46"/>
  <c r="W185" i="46"/>
  <c r="AX186" i="46"/>
  <c r="DU186" i="46"/>
  <c r="EY187" i="46"/>
  <c r="BM184" i="46"/>
  <c r="DL184" i="46"/>
  <c r="CK186" i="46"/>
  <c r="BP187" i="46"/>
  <c r="CT185" i="46"/>
  <c r="CH187" i="46"/>
  <c r="CQ187" i="46"/>
  <c r="CT187" i="46"/>
  <c r="CW187" i="46"/>
  <c r="BP188" i="46"/>
  <c r="BS188" i="46"/>
  <c r="FB187" i="46"/>
  <c r="DR188" i="46"/>
  <c r="AR190" i="46"/>
  <c r="DX189" i="46"/>
  <c r="BG189" i="46"/>
  <c r="BA188" i="46"/>
  <c r="DI189" i="46"/>
  <c r="CW190" i="46"/>
  <c r="DX191" i="46"/>
  <c r="AU187" i="46"/>
  <c r="AX189" i="46"/>
  <c r="AX190" i="46"/>
  <c r="CE191" i="46"/>
  <c r="AL191" i="46"/>
  <c r="DR187" i="46"/>
  <c r="BS189" i="46"/>
  <c r="BD190" i="46"/>
  <c r="CK191" i="46"/>
  <c r="DI190" i="46"/>
  <c r="EJ191" i="46"/>
  <c r="BG194" i="46"/>
  <c r="CT195" i="46"/>
  <c r="EG196" i="46"/>
  <c r="AF192" i="46"/>
  <c r="BS193" i="46"/>
  <c r="DF194" i="46"/>
  <c r="AX193" i="46"/>
  <c r="CK194" i="46"/>
  <c r="AC193" i="46"/>
  <c r="AO192" i="46"/>
  <c r="CB193" i="46"/>
  <c r="BM183" i="46"/>
  <c r="W183" i="46"/>
  <c r="AL182" i="46"/>
  <c r="BM182" i="46"/>
  <c r="Z184" i="46"/>
  <c r="BY184" i="46"/>
  <c r="CZ183" i="46"/>
  <c r="AI184" i="46"/>
  <c r="BY183" i="46"/>
  <c r="ED184" i="46"/>
  <c r="CZ185" i="46"/>
  <c r="CK184" i="46"/>
  <c r="CE185" i="46"/>
  <c r="AR184" i="46"/>
  <c r="BJ185" i="46"/>
  <c r="AO185" i="46"/>
  <c r="FB184" i="46"/>
  <c r="DL185" i="46"/>
  <c r="AI186" i="46"/>
  <c r="FE184" i="46"/>
  <c r="FB186" i="46"/>
  <c r="DO186" i="46"/>
  <c r="BY185" i="46"/>
  <c r="BV186" i="46"/>
  <c r="DI184" i="46"/>
  <c r="AO187" i="46"/>
  <c r="ES186" i="46"/>
  <c r="CN187" i="46"/>
  <c r="DX183" i="46"/>
  <c r="AO186" i="46"/>
  <c r="DU187" i="46"/>
  <c r="AF188" i="46"/>
  <c r="DX187" i="46"/>
  <c r="AI188" i="46"/>
  <c r="ED187" i="46"/>
  <c r="AL188" i="46"/>
  <c r="EM187" i="46"/>
  <c r="AO188" i="46"/>
  <c r="CN188" i="46"/>
  <c r="CQ188" i="46"/>
  <c r="AC189" i="46"/>
  <c r="BP190" i="46"/>
  <c r="EV189" i="46"/>
  <c r="CE189" i="46"/>
  <c r="ES188" i="46"/>
  <c r="EG189" i="46"/>
  <c r="Z191" i="46"/>
  <c r="DX190" i="46"/>
  <c r="EV191" i="46"/>
  <c r="DO189" i="46"/>
  <c r="BY190" i="46"/>
  <c r="DC191" i="46"/>
  <c r="Z190" i="46"/>
  <c r="BJ191" i="46"/>
  <c r="EJ189" i="46"/>
  <c r="CE190" i="46"/>
  <c r="DI191" i="46"/>
  <c r="EM190" i="46"/>
  <c r="FH191" i="46"/>
  <c r="AU191" i="46"/>
  <c r="AR193" i="46"/>
  <c r="CE194" i="46"/>
  <c r="DR195" i="46"/>
  <c r="FE196" i="46"/>
  <c r="BD192" i="46"/>
  <c r="CQ193" i="46"/>
  <c r="ED194" i="46"/>
  <c r="AI192" i="46"/>
  <c r="BV193" i="46"/>
  <c r="DI194" i="46"/>
  <c r="BA193" i="46"/>
  <c r="BM192" i="46"/>
  <c r="CZ193" i="46"/>
  <c r="CK183" i="46"/>
  <c r="AU183" i="46"/>
  <c r="BJ182" i="46"/>
  <c r="CK182" i="46"/>
  <c r="AX184" i="46"/>
  <c r="BA182" i="46"/>
  <c r="CW184" i="46"/>
  <c r="EV183" i="46"/>
  <c r="BG184" i="46"/>
  <c r="DU183" i="46"/>
  <c r="DX185" i="46"/>
  <c r="DC182" i="46"/>
  <c r="EG184" i="46"/>
  <c r="DC185" i="46"/>
  <c r="CN184" i="46"/>
  <c r="CH185" i="46"/>
  <c r="AU184" i="46"/>
  <c r="BM185" i="46"/>
  <c r="EJ185" i="46"/>
  <c r="AU185" i="46"/>
  <c r="BG186" i="46"/>
  <c r="W184" i="46"/>
  <c r="BP184" i="46"/>
  <c r="EM186" i="46"/>
  <c r="EP185" i="46"/>
  <c r="CT186" i="46"/>
  <c r="CN183" i="46"/>
  <c r="BP186" i="46"/>
  <c r="CB186" i="46"/>
  <c r="BM187" i="46"/>
  <c r="DL187" i="46"/>
  <c r="CZ186" i="46"/>
  <c r="FK187" i="46"/>
  <c r="BD188" i="46"/>
  <c r="BG188" i="46"/>
  <c r="BJ188" i="46"/>
  <c r="BM188" i="46"/>
  <c r="DL188" i="46"/>
  <c r="DO188" i="46"/>
  <c r="BA189" i="46"/>
  <c r="CN190" i="46"/>
  <c r="AC188" i="46"/>
  <c r="FK185" i="46"/>
  <c r="DC189" i="46"/>
  <c r="AL189" i="46"/>
  <c r="FE189" i="46"/>
  <c r="BA191" i="46"/>
  <c r="EY190" i="46"/>
  <c r="CZ190" i="46"/>
  <c r="EA191" i="46"/>
  <c r="CB187" i="46"/>
  <c r="BP189" i="46"/>
  <c r="BA190" i="46"/>
  <c r="CH191" i="46"/>
  <c r="DF190" i="46"/>
  <c r="EG191" i="46"/>
  <c r="W189" i="46"/>
  <c r="AI190" i="46"/>
  <c r="BS191" i="46"/>
  <c r="AC192" i="46"/>
  <c r="BP193" i="46"/>
  <c r="DC194" i="46"/>
  <c r="EP195" i="46"/>
  <c r="BV191" i="46"/>
  <c r="CB192" i="46"/>
  <c r="DO193" i="46"/>
  <c r="FB194" i="46"/>
  <c r="BG192" i="46"/>
  <c r="CT193" i="46"/>
  <c r="EG194" i="46"/>
  <c r="AL192" i="46"/>
  <c r="BY193" i="46"/>
  <c r="EP191" i="46"/>
  <c r="CK192" i="46"/>
  <c r="DX193" i="46"/>
  <c r="DI183" i="46"/>
  <c r="BS183" i="46"/>
  <c r="CH182" i="46"/>
  <c r="DI182" i="46"/>
  <c r="BV184" i="46"/>
  <c r="ES182" i="46"/>
  <c r="DU184" i="46"/>
  <c r="AF184" i="46"/>
  <c r="CE184" i="46"/>
  <c r="EV185" i="46"/>
  <c r="EA185" i="46"/>
  <c r="DU182" i="46"/>
  <c r="EJ184" i="46"/>
  <c r="DF185" i="46"/>
  <c r="CQ184" i="46"/>
  <c r="CK185" i="46"/>
  <c r="FH185" i="46"/>
  <c r="CW185" i="46"/>
  <c r="CE186" i="46"/>
  <c r="FH184" i="46"/>
  <c r="FK186" i="46"/>
  <c r="DR186" i="46"/>
  <c r="AI187" i="46"/>
  <c r="EG186" i="46"/>
  <c r="EJ186" i="46"/>
  <c r="CK187" i="46"/>
  <c r="BS185" i="46"/>
  <c r="EJ187" i="46"/>
  <c r="FE186" i="46"/>
  <c r="CB188" i="46"/>
  <c r="CE188" i="46"/>
  <c r="CH188" i="46"/>
  <c r="CK188" i="46"/>
  <c r="EJ188" i="46"/>
  <c r="EM188" i="46"/>
  <c r="BY189" i="46"/>
  <c r="DL190" i="46"/>
  <c r="DU188" i="46"/>
  <c r="EA189" i="46"/>
  <c r="BJ189" i="46"/>
  <c r="BV188" i="46"/>
  <c r="AR189" i="46"/>
  <c r="AO190" i="46"/>
  <c r="BY191" i="46"/>
  <c r="BY188" i="46"/>
  <c r="EA190" i="46"/>
  <c r="EY191" i="46"/>
  <c r="DR189" i="46"/>
  <c r="CB190" i="46"/>
  <c r="DF191" i="46"/>
  <c r="CW188" i="46"/>
  <c r="EG190" i="46"/>
  <c r="FE191" i="46"/>
  <c r="CN189" i="46"/>
  <c r="BJ190" i="46"/>
  <c r="CQ191" i="46"/>
  <c r="BA192" i="46"/>
  <c r="CN193" i="46"/>
  <c r="EA194" i="46"/>
  <c r="AL190" i="46"/>
  <c r="CZ192" i="46"/>
  <c r="EM193" i="46"/>
  <c r="CT191" i="46"/>
  <c r="CE192" i="46"/>
  <c r="DR193" i="46"/>
  <c r="FE194" i="46"/>
  <c r="BJ192" i="46"/>
  <c r="CW193" i="46"/>
  <c r="DR190" i="46"/>
  <c r="DI192" i="46"/>
  <c r="BS195" i="46"/>
  <c r="DF196" i="46"/>
  <c r="FK194" i="46"/>
  <c r="AU195" i="46"/>
  <c r="CH196" i="46"/>
  <c r="BA194" i="46"/>
  <c r="AL193" i="46"/>
  <c r="DF195" i="46"/>
  <c r="BG195" i="46"/>
  <c r="CZ194" i="46"/>
  <c r="DL194" i="46"/>
  <c r="Z196" i="46"/>
  <c r="EM197" i="46"/>
  <c r="BY196" i="46"/>
  <c r="EV195" i="46"/>
  <c r="DX196" i="46"/>
  <c r="AR194" i="46"/>
  <c r="AF197" i="46"/>
  <c r="CE197" i="46"/>
  <c r="ED197" i="46"/>
  <c r="AO195" i="46"/>
  <c r="CZ196" i="46"/>
  <c r="CN197" i="46"/>
  <c r="CW195" i="46"/>
  <c r="EJ196" i="46"/>
  <c r="BY195" i="46"/>
  <c r="DL196" i="46"/>
  <c r="CQ194" i="46"/>
  <c r="AI196" i="46"/>
  <c r="BP192" i="46"/>
  <c r="DC193" i="46"/>
  <c r="EG195" i="46"/>
  <c r="CH195" i="46"/>
  <c r="W191" i="46"/>
  <c r="EP194" i="46"/>
  <c r="AI195" i="46"/>
  <c r="ES194" i="46"/>
  <c r="AL195" i="46"/>
  <c r="BV196" i="46"/>
  <c r="FK197" i="46"/>
  <c r="DU195" i="46"/>
  <c r="DU196" i="46"/>
  <c r="AC197" i="46"/>
  <c r="BD197" i="46"/>
  <c r="DC197" i="46"/>
  <c r="BA196" i="46"/>
  <c r="FB197" i="46"/>
  <c r="EV196" i="46"/>
  <c r="DL197" i="46"/>
  <c r="EV193" i="46"/>
  <c r="CE193" i="46"/>
  <c r="DX195" i="46"/>
  <c r="FK196" i="46"/>
  <c r="CZ195" i="46"/>
  <c r="EM196" i="46"/>
  <c r="DX194" i="46"/>
  <c r="W195" i="46"/>
  <c r="BJ196" i="46"/>
  <c r="DR192" i="46"/>
  <c r="FE193" i="46"/>
  <c r="W194" i="46"/>
  <c r="FH195" i="46"/>
  <c r="AO193" i="46"/>
  <c r="DI195" i="46"/>
  <c r="BJ195" i="46"/>
  <c r="BM195" i="46"/>
  <c r="CQ195" i="46"/>
  <c r="DR196" i="46"/>
  <c r="FH196" i="46"/>
  <c r="Z197" i="46"/>
  <c r="BA197" i="46"/>
  <c r="FH192" i="46"/>
  <c r="CB197" i="46"/>
  <c r="EA197" i="46"/>
  <c r="CW196" i="46"/>
  <c r="EV194" i="46"/>
  <c r="AO197" i="46"/>
  <c r="BP195" i="46"/>
  <c r="CQ192" i="46"/>
  <c r="AX196" i="46"/>
  <c r="ES196" i="46"/>
  <c r="BM197" i="46"/>
  <c r="EY196" i="46"/>
  <c r="AR197" i="46"/>
  <c r="EJ197" i="46"/>
  <c r="W196" i="46"/>
  <c r="DU194" i="46"/>
  <c r="BG196" i="46"/>
  <c r="DO192" i="46"/>
  <c r="EM194" i="46"/>
  <c r="AF195" i="46"/>
  <c r="BM193" i="46"/>
  <c r="AL196" i="46"/>
  <c r="CB196" i="46"/>
  <c r="BG197" i="46"/>
  <c r="DF197" i="46"/>
  <c r="BP196" i="46"/>
  <c r="FE197" i="46"/>
  <c r="EG193" i="46"/>
  <c r="EY195" i="46"/>
  <c r="AU192" i="46"/>
  <c r="CH193" i="46"/>
  <c r="EA195" i="46"/>
  <c r="BA195" i="46"/>
  <c r="CN196" i="46"/>
  <c r="BD194" i="46"/>
  <c r="BS192" i="46"/>
  <c r="DF193" i="46"/>
  <c r="EJ195" i="46"/>
  <c r="CK195" i="46"/>
  <c r="CN195" i="46"/>
  <c r="FB196" i="46"/>
  <c r="W197" i="46"/>
  <c r="AX197" i="46"/>
  <c r="BY197" i="46"/>
  <c r="CZ197" i="46"/>
  <c r="EY197" i="46"/>
  <c r="CT196" i="46"/>
  <c r="AL197" i="46"/>
  <c r="BP197" i="46"/>
  <c r="FH197" i="46"/>
  <c r="BS196" i="46"/>
  <c r="FE195" i="46"/>
  <c r="CE195" i="46"/>
  <c r="DO197" i="46"/>
  <c r="AR192" i="46"/>
  <c r="AU194" i="46"/>
  <c r="DL192" i="46"/>
  <c r="EY193" i="46"/>
  <c r="FB195" i="46"/>
  <c r="CB195" i="46"/>
  <c r="DO196" i="46"/>
  <c r="CT194" i="46"/>
  <c r="EJ192" i="46"/>
  <c r="Z194" i="46"/>
  <c r="FK195" i="46"/>
  <c r="BG193" i="46"/>
  <c r="DL195" i="46"/>
  <c r="W192" i="46"/>
  <c r="BJ193" i="46"/>
  <c r="DO195" i="46"/>
  <c r="AU197" i="46"/>
  <c r="Z192" i="46"/>
  <c r="BV197" i="46"/>
  <c r="CW197" i="46"/>
  <c r="DX197" i="46"/>
  <c r="DO194" i="46"/>
  <c r="CK197" i="46"/>
  <c r="CE196" i="46"/>
  <c r="FB193" i="46"/>
  <c r="EP197" i="46"/>
  <c r="CT192" i="46"/>
  <c r="CB194" i="46"/>
  <c r="AC196" i="46"/>
  <c r="ES190" i="46"/>
  <c r="AX194" i="46"/>
  <c r="AI193" i="46"/>
  <c r="DC195" i="46"/>
  <c r="EP196" i="46"/>
  <c r="EJ194" i="46"/>
  <c r="AC195" i="46"/>
  <c r="BP194" i="46"/>
  <c r="BV192" i="46"/>
  <c r="DI193" i="46"/>
  <c r="EM195" i="46"/>
  <c r="CN192" i="46"/>
  <c r="EA193" i="46"/>
  <c r="ES195" i="46"/>
  <c r="BS197" i="46"/>
  <c r="CT197" i="46"/>
  <c r="DU197" i="46"/>
  <c r="AU196" i="46"/>
  <c r="EV197" i="46"/>
  <c r="ED196" i="46"/>
  <c r="BJ197" i="46"/>
  <c r="DI197" i="46"/>
  <c r="FH194" i="46"/>
  <c r="BS194" i="46"/>
  <c r="BV194" i="46"/>
  <c r="DC196" i="46"/>
  <c r="FK192" i="46"/>
  <c r="DR194" i="46"/>
  <c r="BD196" i="46"/>
  <c r="CN194" i="46"/>
  <c r="AF196" i="46"/>
  <c r="AX192" i="46"/>
  <c r="CK193" i="46"/>
  <c r="ED195" i="46"/>
  <c r="BD195" i="46"/>
  <c r="CW194" i="46"/>
  <c r="EM192" i="46"/>
  <c r="AC194" i="46"/>
  <c r="EP192" i="46"/>
  <c r="AF194" i="46"/>
  <c r="CQ197" i="46"/>
  <c r="DR197" i="46"/>
  <c r="ED193" i="46"/>
  <c r="AR196" i="46"/>
  <c r="ES197" i="46"/>
  <c r="CQ196" i="46"/>
  <c r="BY194" i="46"/>
  <c r="AI197" i="46"/>
  <c r="CH197" i="46"/>
  <c r="EG197" i="46"/>
  <c r="AR195" i="46"/>
  <c r="EA196"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CZ198" i="46" l="1"/>
  <c r="CH198" i="46"/>
  <c r="DX198" i="46"/>
  <c r="EV198" i="46"/>
  <c r="FE208" i="46"/>
  <c r="AI198" i="46"/>
  <c r="CK208" i="46"/>
  <c r="ES208" i="46"/>
  <c r="EG208" i="46"/>
  <c r="AL198" i="46"/>
  <c r="BY208" i="46"/>
  <c r="DF198" i="46"/>
  <c r="AF198" i="46"/>
  <c r="AO198" i="46"/>
  <c r="AX198" i="46"/>
  <c r="AC198" i="46"/>
  <c r="DI208" i="46"/>
  <c r="EA198" i="46"/>
  <c r="BA198" i="46"/>
  <c r="BM208" i="46"/>
  <c r="BA208" i="46"/>
  <c r="AO208" i="46"/>
  <c r="CW208" i="46"/>
  <c r="CT208" i="46"/>
  <c r="BS208" i="46"/>
  <c r="EP208" i="46"/>
  <c r="EY198" i="46"/>
  <c r="CK198" i="46"/>
  <c r="CN198" i="46"/>
  <c r="FK198" i="46"/>
  <c r="AR198" i="46"/>
  <c r="EP198" i="46"/>
  <c r="DR198" i="46"/>
  <c r="CT198" i="46"/>
  <c r="DU208" i="46"/>
  <c r="EA208" i="46"/>
  <c r="AF208" i="46"/>
  <c r="ED208" i="46"/>
  <c r="DF208" i="46"/>
  <c r="CH208" i="46"/>
  <c r="BJ208" i="46"/>
  <c r="AL208" i="46"/>
  <c r="BG198" i="46"/>
  <c r="CB198" i="46"/>
  <c r="FB198" i="46"/>
  <c r="Z208" i="46"/>
  <c r="DO208" i="46"/>
  <c r="DC208" i="46"/>
  <c r="FH208" i="46"/>
  <c r="CB208" i="46"/>
  <c r="DL208" i="46"/>
  <c r="FK208" i="46"/>
  <c r="BP208" i="46"/>
  <c r="EM208" i="46"/>
  <c r="ED198" i="46"/>
  <c r="CW198" i="46"/>
  <c r="FE198" i="46"/>
  <c r="EG198" i="46"/>
  <c r="AC208" i="46"/>
  <c r="BV208" i="46"/>
  <c r="AI208" i="46"/>
  <c r="CN208" i="46"/>
  <c r="AU208" i="46"/>
  <c r="W208" i="46"/>
  <c r="BJ198" i="46"/>
  <c r="DC198" i="46"/>
  <c r="BM198" i="46"/>
  <c r="BV198" i="46"/>
  <c r="BP198" i="46"/>
  <c r="Z198" i="46"/>
  <c r="DO198" i="46"/>
  <c r="CQ198" i="46"/>
  <c r="BS198" i="46"/>
  <c r="AU198" i="46"/>
  <c r="W198" i="46"/>
  <c r="DR208" i="46"/>
  <c r="EY208" i="46"/>
  <c r="CE208" i="46"/>
  <c r="BG208" i="46"/>
  <c r="CE198" i="46"/>
  <c r="DU198" i="46"/>
  <c r="ES198" i="46"/>
  <c r="BY198" i="46"/>
  <c r="CQ208" i="46"/>
  <c r="BD198" i="46"/>
  <c r="DI198" i="46"/>
  <c r="EM198" i="46"/>
  <c r="FH198" i="46"/>
  <c r="EJ198" i="46"/>
  <c r="DL198" i="46"/>
  <c r="BD208" i="46"/>
  <c r="AR208" i="46"/>
  <c r="FB208" i="46"/>
  <c r="AX208" i="46"/>
  <c r="EV208" i="46"/>
  <c r="EJ208" i="46"/>
  <c r="DX208" i="46"/>
  <c r="CZ208" i="46"/>
  <c r="AP35" i="51"/>
  <c r="T208" i="46"/>
  <c r="G24" i="48"/>
  <c r="G9" i="48"/>
  <c r="G28" i="48"/>
  <c r="G26" i="48"/>
  <c r="G16" i="48"/>
  <c r="G25" i="48"/>
  <c r="G18" i="48"/>
  <c r="G11" i="48"/>
  <c r="G27" i="48"/>
  <c r="G12" i="48"/>
  <c r="G20" i="48"/>
  <c r="G19" i="48"/>
  <c r="G17" i="48"/>
  <c r="G14" i="48"/>
  <c r="G13" i="48"/>
  <c r="G15" i="48"/>
  <c r="G21" i="48"/>
  <c r="G22" i="48"/>
  <c r="G10" i="48"/>
  <c r="G23" i="48"/>
  <c r="G29" i="48"/>
  <c r="G30" i="48"/>
  <c r="G31" i="48"/>
  <c r="G32" i="48"/>
  <c r="G33" i="48"/>
  <c r="G34" i="48"/>
  <c r="G35" i="48"/>
  <c r="G36" i="48"/>
  <c r="G37" i="48"/>
  <c r="G38" i="48"/>
  <c r="G39" i="48"/>
  <c r="G40" i="48"/>
  <c r="G41" i="48"/>
  <c r="G42" i="48"/>
  <c r="G43" i="48"/>
  <c r="G44" i="48"/>
  <c r="G45" i="48"/>
  <c r="G46" i="48"/>
  <c r="G47" i="48"/>
  <c r="G48" i="48"/>
  <c r="G49" i="48"/>
  <c r="G50" i="48"/>
  <c r="G51" i="48"/>
  <c r="G52" i="48"/>
  <c r="G53" i="48"/>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L220" i="46" l="1"/>
  <c r="ED220" i="46"/>
  <c r="AR221" i="46"/>
  <c r="BP221" i="46"/>
  <c r="CN221" i="46"/>
  <c r="DL221" i="46"/>
  <c r="EJ221" i="46"/>
  <c r="FH221" i="46"/>
  <c r="AI222" i="46"/>
  <c r="BG222" i="46"/>
  <c r="CE222" i="46"/>
  <c r="DC222" i="46"/>
  <c r="EA222" i="46"/>
  <c r="EY222" i="46"/>
  <c r="Z223" i="46"/>
  <c r="AX223" i="46"/>
  <c r="BV223" i="46"/>
  <c r="CT223" i="46"/>
  <c r="DR223" i="46"/>
  <c r="EP223" i="46"/>
  <c r="CT220" i="46"/>
  <c r="W221" i="46"/>
  <c r="AU221" i="46"/>
  <c r="BS221" i="46"/>
  <c r="CQ221" i="46"/>
  <c r="DO221" i="46"/>
  <c r="EM221" i="46"/>
  <c r="FK221" i="46"/>
  <c r="AL222" i="46"/>
  <c r="BJ222" i="46"/>
  <c r="CH222" i="46"/>
  <c r="DF222" i="46"/>
  <c r="ED222" i="46"/>
  <c r="FB222" i="46"/>
  <c r="AC223" i="46"/>
  <c r="BA223" i="46"/>
  <c r="BY223" i="46"/>
  <c r="CW223" i="46"/>
  <c r="DU223" i="46"/>
  <c r="ES223" i="46"/>
  <c r="BJ220" i="46"/>
  <c r="FB220" i="46"/>
  <c r="Z221" i="46"/>
  <c r="AX221" i="46"/>
  <c r="BV221" i="46"/>
  <c r="CT221" i="46"/>
  <c r="DR221" i="46"/>
  <c r="EP221" i="46"/>
  <c r="AO222" i="46"/>
  <c r="BM222" i="46"/>
  <c r="CK222" i="46"/>
  <c r="DI222" i="46"/>
  <c r="EG222" i="46"/>
  <c r="FE222" i="46"/>
  <c r="AF223" i="46"/>
  <c r="BD223" i="46"/>
  <c r="CB223" i="46"/>
  <c r="CZ223" i="46"/>
  <c r="DX223" i="46"/>
  <c r="EV223" i="46"/>
  <c r="Z220" i="46"/>
  <c r="DR220" i="46"/>
  <c r="AC221" i="46"/>
  <c r="BA221" i="46"/>
  <c r="BY221" i="46"/>
  <c r="CW221" i="46"/>
  <c r="DU221" i="46"/>
  <c r="ES221" i="46"/>
  <c r="AR222" i="46"/>
  <c r="BP222" i="46"/>
  <c r="CN222" i="46"/>
  <c r="DL222" i="46"/>
  <c r="EJ222" i="46"/>
  <c r="FH222" i="46"/>
  <c r="AI223" i="46"/>
  <c r="BG223" i="46"/>
  <c r="CE223" i="46"/>
  <c r="DC223" i="46"/>
  <c r="EA223" i="46"/>
  <c r="EY223" i="46"/>
  <c r="CH220" i="46"/>
  <c r="AF221" i="46"/>
  <c r="BD221" i="46"/>
  <c r="CB221" i="46"/>
  <c r="CZ221" i="46"/>
  <c r="DX221" i="46"/>
  <c r="EV221" i="46"/>
  <c r="W222" i="46"/>
  <c r="AU222" i="46"/>
  <c r="BS222" i="46"/>
  <c r="CQ222" i="46"/>
  <c r="DO222" i="46"/>
  <c r="EM222" i="46"/>
  <c r="FK222" i="46"/>
  <c r="AL223" i="46"/>
  <c r="BJ223" i="46"/>
  <c r="CH223" i="46"/>
  <c r="DF223" i="46"/>
  <c r="ED223" i="46"/>
  <c r="FB223" i="46"/>
  <c r="AX220" i="46"/>
  <c r="EP220" i="46"/>
  <c r="AI221" i="46"/>
  <c r="BG221" i="46"/>
  <c r="CE221" i="46"/>
  <c r="DC221" i="46"/>
  <c r="EA221" i="46"/>
  <c r="EY221" i="46"/>
  <c r="Z222" i="46"/>
  <c r="AX222" i="46"/>
  <c r="BV222" i="46"/>
  <c r="CT222" i="46"/>
  <c r="DR222" i="46"/>
  <c r="EP222" i="46"/>
  <c r="AO223" i="46"/>
  <c r="BM223" i="46"/>
  <c r="CK223" i="46"/>
  <c r="DI223" i="46"/>
  <c r="EG223" i="46"/>
  <c r="FE223" i="46"/>
  <c r="BJ221" i="46"/>
  <c r="FB221" i="46"/>
  <c r="CW222" i="46"/>
  <c r="AR223" i="46"/>
  <c r="EJ223" i="46"/>
  <c r="BM221" i="46"/>
  <c r="FE221" i="46"/>
  <c r="CZ222" i="46"/>
  <c r="AU223" i="46"/>
  <c r="EM223" i="46"/>
  <c r="CH221" i="46"/>
  <c r="AC222" i="46"/>
  <c r="DU222" i="46"/>
  <c r="BP223" i="46"/>
  <c r="FH223" i="46"/>
  <c r="DF220" i="46"/>
  <c r="CK221" i="46"/>
  <c r="AF222" i="46"/>
  <c r="DX222" i="46"/>
  <c r="BS223" i="46"/>
  <c r="FK223" i="46"/>
  <c r="DF221" i="46"/>
  <c r="BA222" i="46"/>
  <c r="ES222" i="46"/>
  <c r="CN223" i="46"/>
  <c r="DI221" i="46"/>
  <c r="BD222" i="46"/>
  <c r="EV222" i="46"/>
  <c r="CQ223" i="46"/>
  <c r="BV220" i="46"/>
  <c r="AL221" i="46"/>
  <c r="ED221" i="46"/>
  <c r="BY222" i="46"/>
  <c r="DL223" i="46"/>
  <c r="AO221" i="46"/>
  <c r="CB222" i="46"/>
  <c r="DO223" i="46"/>
  <c r="EG221" i="46"/>
  <c r="W223" i="46"/>
  <c r="CK220" i="46"/>
  <c r="BP220" i="46"/>
  <c r="AU220" i="46"/>
  <c r="CB220" i="46"/>
  <c r="AR220" i="46"/>
  <c r="BA220" i="46"/>
  <c r="BM220" i="46"/>
  <c r="BS220" i="46"/>
  <c r="AC220" i="46"/>
  <c r="EM220" i="46"/>
  <c r="CQ220" i="46"/>
  <c r="EA220" i="46"/>
  <c r="FK220" i="46"/>
  <c r="CZ220" i="46"/>
  <c r="DX220" i="46"/>
  <c r="DC220" i="46"/>
  <c r="ES220" i="46"/>
  <c r="AF220" i="46"/>
  <c r="CE220" i="46"/>
  <c r="DU220" i="46"/>
  <c r="DI220" i="46"/>
  <c r="EV220" i="46"/>
  <c r="AI220" i="46"/>
  <c r="EJ220" i="46"/>
  <c r="EG220" i="46"/>
  <c r="EY220" i="46"/>
  <c r="FH220" i="46"/>
  <c r="BY220" i="46"/>
  <c r="AO220" i="46"/>
  <c r="BG220" i="46"/>
  <c r="BD220" i="46"/>
  <c r="CN220" i="46"/>
  <c r="FE220" i="46"/>
  <c r="CW220" i="46"/>
  <c r="DO220" i="46"/>
  <c r="DL220" i="46"/>
  <c r="W220" i="46"/>
  <c r="AR210" i="46"/>
  <c r="BP210" i="46"/>
  <c r="CN210" i="46"/>
  <c r="DL210" i="46"/>
  <c r="EJ210" i="46"/>
  <c r="FH210" i="46"/>
  <c r="AI211" i="46"/>
  <c r="BG211" i="46"/>
  <c r="CE211" i="46"/>
  <c r="DC211" i="46"/>
  <c r="EA211" i="46"/>
  <c r="EY211" i="46"/>
  <c r="AC210" i="46"/>
  <c r="BA210" i="46"/>
  <c r="BY210" i="46"/>
  <c r="CW210" i="46"/>
  <c r="DU210" i="46"/>
  <c r="ES210" i="46"/>
  <c r="AX210" i="46"/>
  <c r="CE210" i="46"/>
  <c r="DI210" i="46"/>
  <c r="EP210" i="46"/>
  <c r="W211" i="46"/>
  <c r="AX211" i="46"/>
  <c r="BY211" i="46"/>
  <c r="CZ211" i="46"/>
  <c r="ED211" i="46"/>
  <c r="FE211" i="46"/>
  <c r="AL212" i="46"/>
  <c r="BJ212" i="46"/>
  <c r="CH212" i="46"/>
  <c r="DF212" i="46"/>
  <c r="ED212" i="46"/>
  <c r="FB212" i="46"/>
  <c r="W210" i="46"/>
  <c r="BD210" i="46"/>
  <c r="CH210" i="46"/>
  <c r="DO210" i="46"/>
  <c r="EV210" i="46"/>
  <c r="Z211" i="46"/>
  <c r="BA211" i="46"/>
  <c r="CB211" i="46"/>
  <c r="DF211" i="46"/>
  <c r="EG211" i="46"/>
  <c r="FH211" i="46"/>
  <c r="AO212" i="46"/>
  <c r="BM212" i="46"/>
  <c r="CK212" i="46"/>
  <c r="DI212" i="46"/>
  <c r="EG212" i="46"/>
  <c r="FE212" i="46"/>
  <c r="Z210" i="46"/>
  <c r="BG210" i="46"/>
  <c r="CK210" i="46"/>
  <c r="DR210" i="46"/>
  <c r="EY210" i="46"/>
  <c r="AC211" i="46"/>
  <c r="BD211" i="46"/>
  <c r="CH211" i="46"/>
  <c r="DI211" i="46"/>
  <c r="EJ211" i="46"/>
  <c r="FK211" i="46"/>
  <c r="AR212" i="46"/>
  <c r="BP212" i="46"/>
  <c r="CN212" i="46"/>
  <c r="DL212" i="46"/>
  <c r="EJ212" i="46"/>
  <c r="FH212" i="46"/>
  <c r="AF210" i="46"/>
  <c r="BJ210" i="46"/>
  <c r="CQ210" i="46"/>
  <c r="DX210" i="46"/>
  <c r="FB210" i="46"/>
  <c r="AF211" i="46"/>
  <c r="BJ211" i="46"/>
  <c r="CK211" i="46"/>
  <c r="DL211" i="46"/>
  <c r="EM211" i="46"/>
  <c r="W212" i="46"/>
  <c r="AU212" i="46"/>
  <c r="BS212" i="46"/>
  <c r="CQ212" i="46"/>
  <c r="DO212" i="46"/>
  <c r="EM212" i="46"/>
  <c r="FK212" i="46"/>
  <c r="AI210" i="46"/>
  <c r="BM210" i="46"/>
  <c r="CT210" i="46"/>
  <c r="EA210" i="46"/>
  <c r="FE210" i="46"/>
  <c r="AL211" i="46"/>
  <c r="BM211" i="46"/>
  <c r="CN211" i="46"/>
  <c r="DO211" i="46"/>
  <c r="EP211" i="46"/>
  <c r="Z212" i="46"/>
  <c r="AX212" i="46"/>
  <c r="BV212" i="46"/>
  <c r="CT212" i="46"/>
  <c r="DR212" i="46"/>
  <c r="EP212" i="46"/>
  <c r="AL210" i="46"/>
  <c r="BS210" i="46"/>
  <c r="CZ210" i="46"/>
  <c r="ED210" i="46"/>
  <c r="FK210" i="46"/>
  <c r="AO211" i="46"/>
  <c r="BP211" i="46"/>
  <c r="CQ211" i="46"/>
  <c r="DR211" i="46"/>
  <c r="ES211" i="46"/>
  <c r="AO210" i="46"/>
  <c r="BV210" i="46"/>
  <c r="DC210" i="46"/>
  <c r="EG210" i="46"/>
  <c r="AR211" i="46"/>
  <c r="BS211" i="46"/>
  <c r="CT211" i="46"/>
  <c r="DU211" i="46"/>
  <c r="EV211" i="46"/>
  <c r="CW211" i="46"/>
  <c r="AF212" i="46"/>
  <c r="CW212" i="46"/>
  <c r="EY212" i="46"/>
  <c r="AC213" i="46"/>
  <c r="BA213" i="46"/>
  <c r="BY213" i="46"/>
  <c r="CW213" i="46"/>
  <c r="DU213" i="46"/>
  <c r="ES213" i="46"/>
  <c r="AR214" i="46"/>
  <c r="BP214" i="46"/>
  <c r="CN214" i="46"/>
  <c r="DL214" i="46"/>
  <c r="EJ214" i="46"/>
  <c r="FH214" i="46"/>
  <c r="AI215" i="46"/>
  <c r="BG215" i="46"/>
  <c r="CE215" i="46"/>
  <c r="DC215" i="46"/>
  <c r="EA215" i="46"/>
  <c r="EY215" i="46"/>
  <c r="Z216" i="46"/>
  <c r="AX216" i="46"/>
  <c r="BV216" i="46"/>
  <c r="CT216" i="46"/>
  <c r="DR216" i="46"/>
  <c r="EP216" i="46"/>
  <c r="AO217" i="46"/>
  <c r="BM217" i="46"/>
  <c r="CK217" i="46"/>
  <c r="DI217" i="46"/>
  <c r="EG217" i="46"/>
  <c r="FE217" i="46"/>
  <c r="DX211" i="46"/>
  <c r="AI212" i="46"/>
  <c r="CZ212" i="46"/>
  <c r="AF213" i="46"/>
  <c r="BD213" i="46"/>
  <c r="CB213" i="46"/>
  <c r="CZ213" i="46"/>
  <c r="DX213" i="46"/>
  <c r="EV213" i="46"/>
  <c r="W214" i="46"/>
  <c r="AU214" i="46"/>
  <c r="BS214" i="46"/>
  <c r="CQ214" i="46"/>
  <c r="DO214" i="46"/>
  <c r="EM214" i="46"/>
  <c r="FK214" i="46"/>
  <c r="AL215" i="46"/>
  <c r="BJ215" i="46"/>
  <c r="CH215" i="46"/>
  <c r="DF215" i="46"/>
  <c r="ED215" i="46"/>
  <c r="FB215" i="46"/>
  <c r="AC216" i="46"/>
  <c r="BA216" i="46"/>
  <c r="BY216" i="46"/>
  <c r="CW216" i="46"/>
  <c r="DU216" i="46"/>
  <c r="ES216" i="46"/>
  <c r="AR217" i="46"/>
  <c r="BP217" i="46"/>
  <c r="CN217" i="46"/>
  <c r="DL217" i="46"/>
  <c r="EJ217" i="46"/>
  <c r="FH217" i="46"/>
  <c r="AU210" i="46"/>
  <c r="FB211" i="46"/>
  <c r="BA212" i="46"/>
  <c r="DC212" i="46"/>
  <c r="AI213" i="46"/>
  <c r="BG213" i="46"/>
  <c r="CE213" i="46"/>
  <c r="DC213" i="46"/>
  <c r="EA213" i="46"/>
  <c r="EY213" i="46"/>
  <c r="Z214" i="46"/>
  <c r="AX214" i="46"/>
  <c r="BV214" i="46"/>
  <c r="CT214" i="46"/>
  <c r="DR214" i="46"/>
  <c r="EP214" i="46"/>
  <c r="AO215" i="46"/>
  <c r="BM215" i="46"/>
  <c r="CK215" i="46"/>
  <c r="DI215" i="46"/>
  <c r="EG215" i="46"/>
  <c r="FE215" i="46"/>
  <c r="AF216" i="46"/>
  <c r="BD216" i="46"/>
  <c r="CB216" i="46"/>
  <c r="CZ216" i="46"/>
  <c r="DX216" i="46"/>
  <c r="EV216" i="46"/>
  <c r="W217" i="46"/>
  <c r="AU217" i="46"/>
  <c r="BS217" i="46"/>
  <c r="CQ217" i="46"/>
  <c r="DO217" i="46"/>
  <c r="EM217" i="46"/>
  <c r="FK217" i="46"/>
  <c r="CB210" i="46"/>
  <c r="BD212" i="46"/>
  <c r="DU212" i="46"/>
  <c r="AL213" i="46"/>
  <c r="BJ213" i="46"/>
  <c r="CH213" i="46"/>
  <c r="DF213" i="46"/>
  <c r="ED213" i="46"/>
  <c r="FB213" i="46"/>
  <c r="AC214" i="46"/>
  <c r="BA214" i="46"/>
  <c r="BY214" i="46"/>
  <c r="CW214" i="46"/>
  <c r="DU214" i="46"/>
  <c r="ES214" i="46"/>
  <c r="AR215" i="46"/>
  <c r="BP215" i="46"/>
  <c r="CN215" i="46"/>
  <c r="DL215" i="46"/>
  <c r="EJ215" i="46"/>
  <c r="FH215" i="46"/>
  <c r="AI216" i="46"/>
  <c r="BG216" i="46"/>
  <c r="CE216" i="46"/>
  <c r="DC216" i="46"/>
  <c r="EA216" i="46"/>
  <c r="EY216" i="46"/>
  <c r="Z217" i="46"/>
  <c r="AX217" i="46"/>
  <c r="BV217" i="46"/>
  <c r="CT217" i="46"/>
  <c r="DR217" i="46"/>
  <c r="EP217" i="46"/>
  <c r="DF210" i="46"/>
  <c r="BG212" i="46"/>
  <c r="DX212" i="46"/>
  <c r="AO213" i="46"/>
  <c r="BM213" i="46"/>
  <c r="CK213" i="46"/>
  <c r="DI213" i="46"/>
  <c r="EG213" i="46"/>
  <c r="FE213" i="46"/>
  <c r="AF214" i="46"/>
  <c r="BD214" i="46"/>
  <c r="CB214" i="46"/>
  <c r="CZ214" i="46"/>
  <c r="DX214" i="46"/>
  <c r="EV214" i="46"/>
  <c r="W215" i="46"/>
  <c r="AU215" i="46"/>
  <c r="BS215" i="46"/>
  <c r="CQ215" i="46"/>
  <c r="DO215" i="46"/>
  <c r="EM215" i="46"/>
  <c r="FK215" i="46"/>
  <c r="AL216" i="46"/>
  <c r="BJ216" i="46"/>
  <c r="CH216" i="46"/>
  <c r="DF216" i="46"/>
  <c r="ED216" i="46"/>
  <c r="FB216" i="46"/>
  <c r="AC217" i="46"/>
  <c r="BA217" i="46"/>
  <c r="BY217" i="46"/>
  <c r="CW217" i="46"/>
  <c r="DU217" i="46"/>
  <c r="ES217" i="46"/>
  <c r="EM210" i="46"/>
  <c r="BY212" i="46"/>
  <c r="EA212" i="46"/>
  <c r="AR213" i="46"/>
  <c r="BP213" i="46"/>
  <c r="CN213" i="46"/>
  <c r="DL213" i="46"/>
  <c r="EJ213" i="46"/>
  <c r="FH213" i="46"/>
  <c r="AI214" i="46"/>
  <c r="BG214" i="46"/>
  <c r="CE214" i="46"/>
  <c r="DC214" i="46"/>
  <c r="EA214" i="46"/>
  <c r="EY214" i="46"/>
  <c r="Z215" i="46"/>
  <c r="AX215" i="46"/>
  <c r="BV215" i="46"/>
  <c r="CT215" i="46"/>
  <c r="DR215" i="46"/>
  <c r="EP215" i="46"/>
  <c r="AO216" i="46"/>
  <c r="BM216" i="46"/>
  <c r="CK216" i="46"/>
  <c r="DI216" i="46"/>
  <c r="EG216" i="46"/>
  <c r="FE216" i="46"/>
  <c r="AU211" i="46"/>
  <c r="CB212" i="46"/>
  <c r="ES212" i="46"/>
  <c r="W213" i="46"/>
  <c r="AU213" i="46"/>
  <c r="BS213" i="46"/>
  <c r="CQ213" i="46"/>
  <c r="DO213" i="46"/>
  <c r="EM213" i="46"/>
  <c r="FK213" i="46"/>
  <c r="AL214" i="46"/>
  <c r="BJ214" i="46"/>
  <c r="CH214" i="46"/>
  <c r="DF214" i="46"/>
  <c r="ED214" i="46"/>
  <c r="FB214" i="46"/>
  <c r="AC215" i="46"/>
  <c r="BA215" i="46"/>
  <c r="BY215" i="46"/>
  <c r="CW215" i="46"/>
  <c r="DU215" i="46"/>
  <c r="ES215" i="46"/>
  <c r="AR216" i="46"/>
  <c r="BP216" i="46"/>
  <c r="CN216" i="46"/>
  <c r="DL216" i="46"/>
  <c r="EJ216" i="46"/>
  <c r="FH216" i="46"/>
  <c r="AX213" i="46"/>
  <c r="CK214" i="46"/>
  <c r="DX215" i="46"/>
  <c r="FK216" i="46"/>
  <c r="BJ217" i="46"/>
  <c r="EA217" i="46"/>
  <c r="BV213" i="46"/>
  <c r="DI214" i="46"/>
  <c r="EV215" i="46"/>
  <c r="CB217" i="46"/>
  <c r="ED217" i="46"/>
  <c r="BV211" i="46"/>
  <c r="CT213" i="46"/>
  <c r="EG214" i="46"/>
  <c r="W216" i="46"/>
  <c r="CE217" i="46"/>
  <c r="EV217" i="46"/>
  <c r="DR213" i="46"/>
  <c r="FE214" i="46"/>
  <c r="AU216" i="46"/>
  <c r="AF217" i="46"/>
  <c r="CH217" i="46"/>
  <c r="EY217" i="46"/>
  <c r="CE212" i="46"/>
  <c r="BD215" i="46"/>
  <c r="CQ216" i="46"/>
  <c r="AL217" i="46"/>
  <c r="DC217" i="46"/>
  <c r="EV212" i="46"/>
  <c r="AO214" i="46"/>
  <c r="CB215" i="46"/>
  <c r="DO216" i="46"/>
  <c r="BD217" i="46"/>
  <c r="DF217" i="46"/>
  <c r="Z213" i="46"/>
  <c r="BM214" i="46"/>
  <c r="CZ215" i="46"/>
  <c r="EM216" i="46"/>
  <c r="BG217" i="46"/>
  <c r="DX217" i="46"/>
  <c r="AC212" i="46"/>
  <c r="AI217" i="46"/>
  <c r="CZ217" i="46"/>
  <c r="FB217" i="46"/>
  <c r="AF215" i="46"/>
  <c r="BS216" i="46"/>
  <c r="EP213"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CA266" i="46"/>
  <c r="AK266" i="46"/>
  <c r="DN266" i="46"/>
  <c r="ER266" i="46"/>
  <c r="DK266" i="46"/>
  <c r="CG266" i="46"/>
  <c r="DT266" i="46"/>
  <c r="CM266" i="46"/>
  <c r="FA266" i="46"/>
  <c r="EX266" i="46"/>
  <c r="BC266" i="46"/>
  <c r="CV266" i="46"/>
  <c r="BO266" i="46"/>
  <c r="DE266" i="46"/>
  <c r="FD266" i="46"/>
  <c r="DW266" i="46"/>
  <c r="DQ266" i="46"/>
  <c r="V266" i="46"/>
  <c r="BX266" i="46"/>
  <c r="AQ266" i="46"/>
  <c r="EF266" i="46"/>
  <c r="FJ266" i="46"/>
  <c r="DZ266" i="46"/>
  <c r="CP266" i="46"/>
  <c r="CJ266" i="46"/>
  <c r="EO266" i="46"/>
  <c r="AZ266" i="46"/>
  <c r="AT266" i="46"/>
  <c r="DB266" i="46"/>
  <c r="EC266" i="46"/>
  <c r="CS266" i="46"/>
  <c r="BI266" i="46"/>
  <c r="BF266" i="46"/>
  <c r="DH266" i="46"/>
  <c r="AB266" i="46"/>
  <c r="EL266" i="46"/>
  <c r="BU266" i="46"/>
  <c r="CY266" i="46"/>
  <c r="BL266" i="46"/>
  <c r="AE266" i="46"/>
  <c r="Y266" i="46"/>
  <c r="CD266" i="46"/>
  <c r="FG266" i="46"/>
  <c r="AN266" i="46"/>
  <c r="BR266" i="46"/>
  <c r="AH266" i="46"/>
  <c r="EU266" i="46"/>
  <c r="AW266" i="46"/>
  <c r="EI266" i="46"/>
  <c r="CW224" i="46"/>
  <c r="EY224" i="46"/>
  <c r="CE224" i="46"/>
  <c r="DC224" i="46"/>
  <c r="AR224" i="46"/>
  <c r="BP224" i="46"/>
  <c r="EM224" i="46"/>
  <c r="W224" i="46"/>
  <c r="EJ224" i="46"/>
  <c r="CQ224" i="46"/>
  <c r="BJ224" i="46"/>
  <c r="ED218" i="46"/>
  <c r="CT218" i="46"/>
  <c r="CZ224" i="46"/>
  <c r="DC218" i="46"/>
  <c r="DF218" i="46"/>
  <c r="FH224" i="46"/>
  <c r="DU224" i="46"/>
  <c r="DL224" i="46"/>
  <c r="BY224" i="46"/>
  <c r="AF224" i="46"/>
  <c r="BS224" i="46"/>
  <c r="AO224" i="46"/>
  <c r="EV224" i="46"/>
  <c r="DF224" i="46"/>
  <c r="FE224" i="46"/>
  <c r="CB218" i="46"/>
  <c r="DO218" i="46"/>
  <c r="DL218" i="46"/>
  <c r="FB224" i="46"/>
  <c r="CT224" i="46"/>
  <c r="CN218" i="46"/>
  <c r="CE218" i="46"/>
  <c r="DU218" i="46"/>
  <c r="CH218" i="46"/>
  <c r="AX218" i="46"/>
  <c r="BD218" i="46"/>
  <c r="BP218" i="46"/>
  <c r="DI224" i="46"/>
  <c r="DX224" i="46"/>
  <c r="FK224" i="46"/>
  <c r="AX224" i="46"/>
  <c r="BJ218" i="46"/>
  <c r="Z218" i="46"/>
  <c r="FE218" i="46"/>
  <c r="DX218" i="46"/>
  <c r="W218" i="46"/>
  <c r="AR218" i="46"/>
  <c r="DO224" i="46"/>
  <c r="ES224" i="46"/>
  <c r="AU224" i="46"/>
  <c r="CH224" i="46"/>
  <c r="Z224" i="46"/>
  <c r="EA218" i="46"/>
  <c r="ES218" i="46"/>
  <c r="BG218" i="46"/>
  <c r="CW218" i="46"/>
  <c r="AI218" i="46"/>
  <c r="BY218" i="46"/>
  <c r="AL218" i="46"/>
  <c r="EG218" i="46"/>
  <c r="FK218" i="46"/>
  <c r="CQ218" i="46"/>
  <c r="CK218" i="46"/>
  <c r="BD224" i="46"/>
  <c r="AI224" i="46"/>
  <c r="EA224" i="46"/>
  <c r="BM224" i="46"/>
  <c r="BA224" i="46"/>
  <c r="BV218" i="46"/>
  <c r="BA218" i="46"/>
  <c r="AU218" i="46"/>
  <c r="DI218" i="46"/>
  <c r="BG224" i="46"/>
  <c r="CB224" i="46"/>
  <c r="AC218" i="46"/>
  <c r="EP218" i="46"/>
  <c r="CZ218" i="46"/>
  <c r="BM218" i="46"/>
  <c r="AF218" i="46"/>
  <c r="FH218" i="46"/>
  <c r="EP224" i="46"/>
  <c r="ED224" i="46"/>
  <c r="EM218" i="46"/>
  <c r="EY218" i="46"/>
  <c r="FB218" i="46"/>
  <c r="DR218" i="46"/>
  <c r="AO218" i="46"/>
  <c r="BS218" i="46"/>
  <c r="EV218" i="46"/>
  <c r="EJ218" i="46"/>
  <c r="CN224" i="46"/>
  <c r="EG224" i="46"/>
  <c r="AC224" i="46"/>
  <c r="CK224" i="46"/>
  <c r="BV224" i="46"/>
  <c r="DR224" i="46"/>
  <c r="AL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CS264" i="46" l="1"/>
  <c r="CS265" i="46"/>
  <c r="DZ265" i="46"/>
  <c r="DZ264" i="46"/>
  <c r="EX264" i="46"/>
  <c r="EX265" i="46"/>
  <c r="FG264" i="46"/>
  <c r="FG265" i="46"/>
  <c r="EI264" i="46"/>
  <c r="EI265" i="46"/>
  <c r="CV265" i="46"/>
  <c r="CV264" i="46"/>
  <c r="BR264" i="46"/>
  <c r="BR265" i="46"/>
  <c r="AE264" i="46"/>
  <c r="AE265" i="46"/>
  <c r="EL264" i="46"/>
  <c r="EL265" i="46"/>
  <c r="BO264" i="46"/>
  <c r="BO265" i="46"/>
  <c r="AW265" i="46"/>
  <c r="AW264" i="46"/>
  <c r="AH264" i="46"/>
  <c r="AH265" i="46"/>
  <c r="ER264" i="46"/>
  <c r="ER265" i="46"/>
  <c r="DK264" i="46"/>
  <c r="DK265" i="46"/>
  <c r="Y265" i="46"/>
  <c r="Y264" i="46"/>
  <c r="BI265" i="46"/>
  <c r="BI264" i="46"/>
  <c r="CP264" i="46"/>
  <c r="CP265" i="46"/>
  <c r="FD265" i="46"/>
  <c r="FD264" i="46"/>
  <c r="BC264" i="46"/>
  <c r="BC265" i="46"/>
  <c r="DN265" i="46"/>
  <c r="DN264" i="46"/>
  <c r="CA264" i="46"/>
  <c r="CA265" i="46"/>
  <c r="AB264" i="46"/>
  <c r="AB265" i="46"/>
  <c r="BF264" i="46"/>
  <c r="BF265" i="46"/>
  <c r="CJ265" i="46"/>
  <c r="CJ264" i="46"/>
  <c r="DW265" i="46"/>
  <c r="DW264" i="46"/>
  <c r="AK265" i="46"/>
  <c r="AK264" i="46"/>
  <c r="AZ264" i="46"/>
  <c r="AZ265" i="46"/>
  <c r="AQ264" i="46"/>
  <c r="AQ265" i="46"/>
  <c r="BX264" i="46"/>
  <c r="BX265" i="46"/>
  <c r="DQ264" i="46"/>
  <c r="DQ265" i="46"/>
  <c r="EU265" i="46"/>
  <c r="EU264" i="46"/>
  <c r="AN264" i="46"/>
  <c r="AN265" i="46"/>
  <c r="CD264" i="46"/>
  <c r="CD265" i="46"/>
  <c r="V265" i="46"/>
  <c r="V264" i="46"/>
  <c r="CM265" i="46"/>
  <c r="CM264" i="46"/>
  <c r="DT265" i="46"/>
  <c r="DT264" i="46"/>
  <c r="BU264" i="46"/>
  <c r="BU265" i="46"/>
  <c r="DH264" i="46"/>
  <c r="DH265" i="46"/>
  <c r="EF264" i="46"/>
  <c r="EF265" i="46"/>
  <c r="CG264" i="46"/>
  <c r="CG265" i="46"/>
  <c r="S265" i="46"/>
  <c r="S264" i="46"/>
  <c r="DB264" i="46"/>
  <c r="DB265" i="46"/>
  <c r="EO264" i="46"/>
  <c r="EO265" i="46"/>
  <c r="DE265" i="46"/>
  <c r="DE264" i="46"/>
  <c r="FA264" i="46"/>
  <c r="FA265" i="46"/>
  <c r="CY264" i="46"/>
  <c r="CY265" i="46"/>
  <c r="BL264" i="46"/>
  <c r="BL265" i="46"/>
  <c r="EC264" i="46"/>
  <c r="EC265" i="46"/>
  <c r="AT265" i="46"/>
  <c r="AT264" i="46"/>
  <c r="FJ265" i="46"/>
  <c r="FJ264" i="46"/>
  <c r="AR236" i="46"/>
  <c r="BP236" i="46"/>
  <c r="CN236" i="46"/>
  <c r="DL236" i="46"/>
  <c r="EJ236" i="46"/>
  <c r="FH236" i="46"/>
  <c r="AI237" i="46"/>
  <c r="BG237" i="46"/>
  <c r="CE237" i="46"/>
  <c r="DC237" i="46"/>
  <c r="EA237" i="46"/>
  <c r="EY237" i="46"/>
  <c r="W236" i="46"/>
  <c r="AU236" i="46"/>
  <c r="BS236" i="46"/>
  <c r="CQ236" i="46"/>
  <c r="DO236" i="46"/>
  <c r="EM236" i="46"/>
  <c r="FK236" i="46"/>
  <c r="AL237" i="46"/>
  <c r="BJ237" i="46"/>
  <c r="CH237" i="46"/>
  <c r="DF237" i="46"/>
  <c r="ED237" i="46"/>
  <c r="FB237" i="46"/>
  <c r="Z236" i="46"/>
  <c r="AX236" i="46"/>
  <c r="BV236" i="46"/>
  <c r="CT236" i="46"/>
  <c r="DR236" i="46"/>
  <c r="EP236" i="46"/>
  <c r="AO237" i="46"/>
  <c r="BM237" i="46"/>
  <c r="CK237" i="46"/>
  <c r="DI237" i="46"/>
  <c r="EG237" i="46"/>
  <c r="FE237" i="46"/>
  <c r="AC236" i="46"/>
  <c r="BA236" i="46"/>
  <c r="BY236" i="46"/>
  <c r="CW236" i="46"/>
  <c r="DU236" i="46"/>
  <c r="ES236" i="46"/>
  <c r="AR237" i="46"/>
  <c r="BP237" i="46"/>
  <c r="CN237" i="46"/>
  <c r="DL237" i="46"/>
  <c r="EJ237" i="46"/>
  <c r="FH237" i="46"/>
  <c r="AF236" i="46"/>
  <c r="BD236" i="46"/>
  <c r="CB236" i="46"/>
  <c r="CZ236" i="46"/>
  <c r="DX236" i="46"/>
  <c r="EV236" i="46"/>
  <c r="W237" i="46"/>
  <c r="AU237" i="46"/>
  <c r="BS237" i="46"/>
  <c r="CQ237" i="46"/>
  <c r="DO237" i="46"/>
  <c r="EM237" i="46"/>
  <c r="FK237" i="46"/>
  <c r="CE236" i="46"/>
  <c r="EG236" i="46"/>
  <c r="BA237" i="46"/>
  <c r="DR237" i="46"/>
  <c r="CH236" i="46"/>
  <c r="EY236" i="46"/>
  <c r="BD237" i="46"/>
  <c r="DU237" i="46"/>
  <c r="AI236" i="46"/>
  <c r="CK236" i="46"/>
  <c r="FB236" i="46"/>
  <c r="BV237" i="46"/>
  <c r="DX237" i="46"/>
  <c r="AL236" i="46"/>
  <c r="DC236" i="46"/>
  <c r="FE236" i="46"/>
  <c r="BY237" i="46"/>
  <c r="EP237" i="46"/>
  <c r="AO236" i="46"/>
  <c r="DF236" i="46"/>
  <c r="Z237" i="46"/>
  <c r="CB237" i="46"/>
  <c r="ES237" i="46"/>
  <c r="BG236" i="46"/>
  <c r="DI236" i="46"/>
  <c r="AC237" i="46"/>
  <c r="CT237" i="46"/>
  <c r="EV237" i="46"/>
  <c r="BJ236" i="46"/>
  <c r="EA236" i="46"/>
  <c r="AF237" i="46"/>
  <c r="CW237" i="46"/>
  <c r="BM236" i="46"/>
  <c r="CZ237" i="46"/>
  <c r="AX237" i="46"/>
  <c r="ED236" i="46"/>
  <c r="W232" i="46"/>
  <c r="AX232" i="46"/>
  <c r="CN232" i="46"/>
  <c r="DO232" i="46"/>
  <c r="EP232" i="46"/>
  <c r="BS232" i="46"/>
  <c r="EM232" i="46"/>
  <c r="FB232" i="46"/>
  <c r="W233" i="46"/>
  <c r="AU233" i="46"/>
  <c r="BS233" i="46"/>
  <c r="CQ233" i="46"/>
  <c r="DO233" i="46"/>
  <c r="EM233" i="46"/>
  <c r="FK233" i="46"/>
  <c r="AR232" i="46"/>
  <c r="BG232" i="46"/>
  <c r="CH232" i="46"/>
  <c r="DL232" i="46"/>
  <c r="EA232" i="46"/>
  <c r="Z233" i="46"/>
  <c r="AX233" i="46"/>
  <c r="BV233" i="46"/>
  <c r="CT233" i="46"/>
  <c r="DR233" i="46"/>
  <c r="EP233" i="46"/>
  <c r="AF232" i="46"/>
  <c r="BV232" i="46"/>
  <c r="CZ232" i="46"/>
  <c r="AC233" i="46"/>
  <c r="BA233" i="46"/>
  <c r="BY233" i="46"/>
  <c r="CW233" i="46"/>
  <c r="DU233" i="46"/>
  <c r="ES233" i="46"/>
  <c r="AU232" i="46"/>
  <c r="BJ232" i="46"/>
  <c r="ED232" i="46"/>
  <c r="FH232" i="46"/>
  <c r="AF233" i="46"/>
  <c r="BD233" i="46"/>
  <c r="CB233" i="46"/>
  <c r="CZ233" i="46"/>
  <c r="DX233" i="46"/>
  <c r="EV233" i="46"/>
  <c r="AI232" i="46"/>
  <c r="DC232" i="46"/>
  <c r="DR232" i="46"/>
  <c r="EV232" i="46"/>
  <c r="AI233" i="46"/>
  <c r="BG233" i="46"/>
  <c r="CE233" i="46"/>
  <c r="DC233" i="46"/>
  <c r="EA233" i="46"/>
  <c r="EY233" i="46"/>
  <c r="CB232" i="46"/>
  <c r="CQ232" i="46"/>
  <c r="FK232" i="46"/>
  <c r="AL232" i="46"/>
  <c r="BP232" i="46"/>
  <c r="DF232" i="46"/>
  <c r="EJ232" i="46"/>
  <c r="EY232" i="46"/>
  <c r="AO233" i="46"/>
  <c r="DF233" i="46"/>
  <c r="FH233" i="46"/>
  <c r="BD232" i="46"/>
  <c r="CT232" i="46"/>
  <c r="AR233" i="46"/>
  <c r="DI233" i="46"/>
  <c r="BJ233" i="46"/>
  <c r="DL233" i="46"/>
  <c r="CE232" i="46"/>
  <c r="BM233" i="46"/>
  <c r="ED233" i="46"/>
  <c r="DX232" i="46"/>
  <c r="BP233" i="46"/>
  <c r="EG233" i="46"/>
  <c r="CH233" i="46"/>
  <c r="CK233" i="46"/>
  <c r="Z232" i="46"/>
  <c r="CN233" i="46"/>
  <c r="EJ233" i="46"/>
  <c r="FB233" i="46"/>
  <c r="FE233" i="46"/>
  <c r="AL233" i="46"/>
  <c r="CK232" i="46"/>
  <c r="BM232" i="46"/>
  <c r="AO232" i="46"/>
  <c r="ES232" i="46"/>
  <c r="BY232" i="46"/>
  <c r="CW232" i="46"/>
  <c r="BA232" i="46"/>
  <c r="DI232" i="46"/>
  <c r="AC232" i="46"/>
  <c r="DU232" i="46"/>
  <c r="EG232" i="46"/>
  <c r="FE232" i="46"/>
  <c r="W226" i="46"/>
  <c r="AU226" i="46"/>
  <c r="BS226" i="46"/>
  <c r="CQ226" i="46"/>
  <c r="DO226" i="46"/>
  <c r="EM226" i="46"/>
  <c r="FK226" i="46"/>
  <c r="AL227" i="46"/>
  <c r="BJ227" i="46"/>
  <c r="CH227" i="46"/>
  <c r="DF227" i="46"/>
  <c r="ED227" i="46"/>
  <c r="FB227" i="46"/>
  <c r="Z226" i="46"/>
  <c r="AX226" i="46"/>
  <c r="BV226" i="46"/>
  <c r="CT226" i="46"/>
  <c r="DR226" i="46"/>
  <c r="EP226" i="46"/>
  <c r="AO227" i="46"/>
  <c r="BM227" i="46"/>
  <c r="CK227" i="46"/>
  <c r="DI227" i="46"/>
  <c r="EG227" i="46"/>
  <c r="FE227" i="46"/>
  <c r="AF228" i="46"/>
  <c r="BD228" i="46"/>
  <c r="CB228" i="46"/>
  <c r="CZ228" i="46"/>
  <c r="DX228" i="46"/>
  <c r="EV228" i="46"/>
  <c r="W229" i="46"/>
  <c r="AU229" i="46"/>
  <c r="BS229" i="46"/>
  <c r="CQ229" i="46"/>
  <c r="DO229" i="46"/>
  <c r="EM229" i="46"/>
  <c r="FK229" i="46"/>
  <c r="AC226" i="46"/>
  <c r="BA226" i="46"/>
  <c r="BY226" i="46"/>
  <c r="CW226" i="46"/>
  <c r="DU226" i="46"/>
  <c r="ES226" i="46"/>
  <c r="AF226" i="46"/>
  <c r="BD226" i="46"/>
  <c r="CB226" i="46"/>
  <c r="CZ226" i="46"/>
  <c r="DX226" i="46"/>
  <c r="EV226" i="46"/>
  <c r="AI226" i="46"/>
  <c r="BG226" i="46"/>
  <c r="CE226" i="46"/>
  <c r="DC226" i="46"/>
  <c r="EA226" i="46"/>
  <c r="EY226" i="46"/>
  <c r="AL226" i="46"/>
  <c r="BJ226" i="46"/>
  <c r="CH226" i="46"/>
  <c r="DF226" i="46"/>
  <c r="ED226" i="46"/>
  <c r="FB226" i="46"/>
  <c r="CK226" i="46"/>
  <c r="AC227" i="46"/>
  <c r="BG227" i="46"/>
  <c r="CQ227" i="46"/>
  <c r="DU227" i="46"/>
  <c r="EY227" i="46"/>
  <c r="Z228" i="46"/>
  <c r="BA228" i="46"/>
  <c r="CE228" i="46"/>
  <c r="DF228" i="46"/>
  <c r="EG228" i="46"/>
  <c r="FH228" i="46"/>
  <c r="AL229" i="46"/>
  <c r="BM229" i="46"/>
  <c r="CN229" i="46"/>
  <c r="DR229" i="46"/>
  <c r="ES229" i="46"/>
  <c r="CN226" i="46"/>
  <c r="AF227" i="46"/>
  <c r="BP227" i="46"/>
  <c r="CT227" i="46"/>
  <c r="DX227" i="46"/>
  <c r="FH227" i="46"/>
  <c r="AC228" i="46"/>
  <c r="BG228" i="46"/>
  <c r="CH228" i="46"/>
  <c r="DI228" i="46"/>
  <c r="EJ228" i="46"/>
  <c r="FK228" i="46"/>
  <c r="AO229" i="46"/>
  <c r="BP229" i="46"/>
  <c r="CT229" i="46"/>
  <c r="DU229" i="46"/>
  <c r="EV229" i="46"/>
  <c r="DI226" i="46"/>
  <c r="AI227" i="46"/>
  <c r="BS227" i="46"/>
  <c r="CW227" i="46"/>
  <c r="EA227" i="46"/>
  <c r="FK227" i="46"/>
  <c r="AI228" i="46"/>
  <c r="BJ228" i="46"/>
  <c r="CK228" i="46"/>
  <c r="DL228" i="46"/>
  <c r="EM228" i="46"/>
  <c r="AR229" i="46"/>
  <c r="BV229" i="46"/>
  <c r="CW229" i="46"/>
  <c r="DX229" i="46"/>
  <c r="EY229" i="46"/>
  <c r="DL226" i="46"/>
  <c r="AR227" i="46"/>
  <c r="BV227" i="46"/>
  <c r="CZ227" i="46"/>
  <c r="EJ227" i="46"/>
  <c r="AL228" i="46"/>
  <c r="BM228" i="46"/>
  <c r="CN228" i="46"/>
  <c r="DO228" i="46"/>
  <c r="EP228" i="46"/>
  <c r="AX229" i="46"/>
  <c r="BY229" i="46"/>
  <c r="CZ229" i="46"/>
  <c r="EA229" i="46"/>
  <c r="FB229" i="46"/>
  <c r="AO226" i="46"/>
  <c r="EG226" i="46"/>
  <c r="AU227" i="46"/>
  <c r="BY227" i="46"/>
  <c r="DC227" i="46"/>
  <c r="EM227" i="46"/>
  <c r="AO228" i="46"/>
  <c r="BP228" i="46"/>
  <c r="CQ228" i="46"/>
  <c r="DR228" i="46"/>
  <c r="ES228" i="46"/>
  <c r="Z229" i="46"/>
  <c r="BA229" i="46"/>
  <c r="CB229" i="46"/>
  <c r="DC229" i="46"/>
  <c r="ED229" i="46"/>
  <c r="FE229" i="46"/>
  <c r="AR226" i="46"/>
  <c r="EJ226" i="46"/>
  <c r="AX227" i="46"/>
  <c r="CB227" i="46"/>
  <c r="DL227" i="46"/>
  <c r="EP227" i="46"/>
  <c r="AR228" i="46"/>
  <c r="BS228" i="46"/>
  <c r="CT228" i="46"/>
  <c r="DU228" i="46"/>
  <c r="EY228" i="46"/>
  <c r="AC229" i="46"/>
  <c r="BD229" i="46"/>
  <c r="CE229" i="46"/>
  <c r="DF229" i="46"/>
  <c r="EG229" i="46"/>
  <c r="FH229" i="46"/>
  <c r="BM226" i="46"/>
  <c r="FE226" i="46"/>
  <c r="W227" i="46"/>
  <c r="BA227" i="46"/>
  <c r="CE227" i="46"/>
  <c r="DO227" i="46"/>
  <c r="ES227" i="46"/>
  <c r="AU228" i="46"/>
  <c r="BV228" i="46"/>
  <c r="CW228" i="46"/>
  <c r="EA228" i="46"/>
  <c r="FB228" i="46"/>
  <c r="AF229" i="46"/>
  <c r="BG229" i="46"/>
  <c r="CH229" i="46"/>
  <c r="DI229" i="46"/>
  <c r="EJ229" i="46"/>
  <c r="AI229" i="46"/>
  <c r="BP226" i="46"/>
  <c r="Z227" i="46"/>
  <c r="W228" i="46"/>
  <c r="BJ229" i="46"/>
  <c r="FH226" i="46"/>
  <c r="BD227" i="46"/>
  <c r="AX228" i="46"/>
  <c r="CK229" i="46"/>
  <c r="CN227" i="46"/>
  <c r="BY228" i="46"/>
  <c r="DL229" i="46"/>
  <c r="DR227" i="46"/>
  <c r="DC228" i="46"/>
  <c r="EP229" i="46"/>
  <c r="EV227" i="46"/>
  <c r="ED228" i="46"/>
  <c r="FE228" i="46"/>
  <c r="AU244" i="46"/>
  <c r="AU245" i="46" s="1"/>
  <c r="BV244" i="46"/>
  <c r="BV245" i="46" s="1"/>
  <c r="CW244" i="46"/>
  <c r="CW245" i="46" s="1"/>
  <c r="EM244" i="46"/>
  <c r="EM245" i="46" s="1"/>
  <c r="AI244" i="46"/>
  <c r="AI245" i="46" s="1"/>
  <c r="BJ244" i="46"/>
  <c r="BJ245" i="46" s="1"/>
  <c r="CK244" i="46"/>
  <c r="CK245" i="46" s="1"/>
  <c r="EA244" i="46"/>
  <c r="EA245" i="46" s="1"/>
  <c r="FB244" i="46"/>
  <c r="FB245" i="46" s="1"/>
  <c r="W244" i="46"/>
  <c r="W245" i="46" s="1"/>
  <c r="AX244" i="46"/>
  <c r="AX245" i="46" s="1"/>
  <c r="BY244" i="46"/>
  <c r="BY245" i="46" s="1"/>
  <c r="DO244" i="46"/>
  <c r="DO245" i="46" s="1"/>
  <c r="EP244" i="46"/>
  <c r="EP245" i="46" s="1"/>
  <c r="AL244" i="46"/>
  <c r="AL245" i="46" s="1"/>
  <c r="BM244" i="46"/>
  <c r="BM245" i="46" s="1"/>
  <c r="DC244" i="46"/>
  <c r="DC245" i="46" s="1"/>
  <c r="ED244" i="46"/>
  <c r="ED245" i="46" s="1"/>
  <c r="FE244" i="46"/>
  <c r="FE245" i="46" s="1"/>
  <c r="Z244" i="46"/>
  <c r="Z245" i="46" s="1"/>
  <c r="BA244" i="46"/>
  <c r="BA245" i="46" s="1"/>
  <c r="CQ244" i="46"/>
  <c r="CQ245" i="46" s="1"/>
  <c r="DR244" i="46"/>
  <c r="DR245" i="46" s="1"/>
  <c r="ES244" i="46"/>
  <c r="ES245" i="46" s="1"/>
  <c r="AC244" i="46"/>
  <c r="AC245" i="46" s="1"/>
  <c r="CH244" i="46"/>
  <c r="CH245" i="46" s="1"/>
  <c r="BS244" i="46"/>
  <c r="BS245" i="46" s="1"/>
  <c r="DU244" i="46"/>
  <c r="DU245" i="46" s="1"/>
  <c r="DF244" i="46"/>
  <c r="DF245" i="46" s="1"/>
  <c r="FK244" i="46"/>
  <c r="FK245" i="46" s="1"/>
  <c r="BG244" i="46"/>
  <c r="BG245" i="46" s="1"/>
  <c r="DI244" i="46"/>
  <c r="DI245" i="46" s="1"/>
  <c r="AO244" i="46"/>
  <c r="AO245" i="46" s="1"/>
  <c r="CT244" i="46"/>
  <c r="CT245" i="46" s="1"/>
  <c r="EY244" i="46"/>
  <c r="EY245" i="46" s="1"/>
  <c r="CE244" i="46"/>
  <c r="CE245" i="46" s="1"/>
  <c r="EG244" i="46"/>
  <c r="EG245" i="46" s="1"/>
  <c r="FH244" i="46"/>
  <c r="FH245" i="46" s="1"/>
  <c r="CN244" i="46"/>
  <c r="CN245" i="46" s="1"/>
  <c r="BP244" i="46"/>
  <c r="BP245" i="46" s="1"/>
  <c r="DX244" i="46"/>
  <c r="DX245" i="46" s="1"/>
  <c r="AF244" i="46"/>
  <c r="AF245" i="46" s="1"/>
  <c r="DL244" i="46"/>
  <c r="DL245" i="46" s="1"/>
  <c r="BD244" i="46"/>
  <c r="BD245" i="46" s="1"/>
  <c r="CB244" i="46"/>
  <c r="CB245" i="46" s="1"/>
  <c r="CZ244" i="46"/>
  <c r="CZ245" i="46" s="1"/>
  <c r="AR244" i="46"/>
  <c r="AR245" i="46" s="1"/>
  <c r="EV244" i="46"/>
  <c r="EV245" i="46" s="1"/>
  <c r="EJ244" i="46"/>
  <c r="EJ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FK234" i="46" l="1"/>
  <c r="DI238" i="46"/>
  <c r="FE238" i="46"/>
  <c r="BN18" i="45"/>
  <c r="BN20" i="45"/>
  <c r="BN47" i="45"/>
  <c r="BN14" i="45"/>
  <c r="BN24" i="45"/>
  <c r="BN33" i="45"/>
  <c r="BN26" i="45"/>
  <c r="BN11" i="45"/>
  <c r="BN16" i="45"/>
  <c r="BN9" i="45"/>
  <c r="BN50" i="45"/>
  <c r="BN8" i="45"/>
  <c r="BN40" i="45"/>
  <c r="BN43" i="45"/>
  <c r="BN38" i="45"/>
  <c r="BN10" i="45"/>
  <c r="BN28" i="45"/>
  <c r="BN35" i="45"/>
  <c r="BN27" i="45"/>
  <c r="BN25" i="45"/>
  <c r="BN31" i="45"/>
  <c r="BN4" i="45"/>
  <c r="BN15" i="45"/>
  <c r="BN36" i="45"/>
  <c r="BN51" i="45"/>
  <c r="BN13" i="45"/>
  <c r="BN34" i="45"/>
  <c r="BN48" i="45"/>
  <c r="BN30" i="45"/>
  <c r="BN23" i="45"/>
  <c r="BN42" i="45"/>
  <c r="BN45" i="45"/>
  <c r="BN39" i="45"/>
  <c r="BN41" i="45"/>
  <c r="BN7" i="45"/>
  <c r="BN19" i="45"/>
  <c r="BN22" i="45"/>
  <c r="BN46" i="45"/>
  <c r="BN49" i="45"/>
  <c r="BN17" i="45"/>
  <c r="BN6" i="45"/>
  <c r="BN21" i="45"/>
  <c r="BN37" i="45"/>
  <c r="BN12" i="45"/>
  <c r="BN44" i="45"/>
  <c r="BN29" i="45"/>
  <c r="BN32" i="45"/>
  <c r="BN5" i="45"/>
  <c r="EG234" i="46"/>
  <c r="CB234" i="46"/>
  <c r="BD234" i="46"/>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DO230" i="46"/>
  <c r="AO238" i="46"/>
  <c r="FJ263" i="46"/>
  <c r="EC263" i="46"/>
  <c r="DE263" i="46"/>
  <c r="CY263" i="46"/>
  <c r="CM263" i="46"/>
  <c r="DN263" i="46"/>
  <c r="FD263" i="46"/>
  <c r="DZ263" i="46"/>
  <c r="AQ263" i="46"/>
  <c r="ER263" i="46"/>
  <c r="AE263" i="46"/>
  <c r="BR263" i="46"/>
  <c r="EI263" i="46"/>
  <c r="V263" i="46"/>
  <c r="EU263" i="46"/>
  <c r="BI263" i="46"/>
  <c r="FA263" i="46"/>
  <c r="AN263" i="46"/>
  <c r="DQ263" i="46"/>
  <c r="AB263" i="46"/>
  <c r="CP263" i="46"/>
  <c r="DK263" i="46"/>
  <c r="BO263" i="46"/>
  <c r="FG263" i="46"/>
  <c r="EX263" i="46"/>
  <c r="CS263" i="46"/>
  <c r="BL263" i="46"/>
  <c r="S263" i="46"/>
  <c r="AK263" i="46"/>
  <c r="DW263" i="46"/>
  <c r="Y263" i="46"/>
  <c r="AT263" i="46"/>
  <c r="DB263" i="46"/>
  <c r="EF263" i="46"/>
  <c r="BU263" i="46"/>
  <c r="CD263" i="46"/>
  <c r="DT263" i="46"/>
  <c r="CJ263" i="46"/>
  <c r="AW263" i="46"/>
  <c r="CV263" i="46"/>
  <c r="EO263" i="46"/>
  <c r="CG263" i="46"/>
  <c r="DH263" i="46"/>
  <c r="BX263" i="46"/>
  <c r="AZ263" i="46"/>
  <c r="BF263" i="46"/>
  <c r="CA263" i="46"/>
  <c r="BC263" i="46"/>
  <c r="AH263" i="46"/>
  <c r="EL263" i="46"/>
  <c r="EY234" i="46"/>
  <c r="DR234" i="46"/>
  <c r="DX234" i="46"/>
  <c r="BM238" i="46"/>
  <c r="DI234" i="46"/>
  <c r="CQ234" i="46"/>
  <c r="BA234" i="46"/>
  <c r="FH230" i="46"/>
  <c r="DU234" i="46"/>
  <c r="EG238" i="46"/>
  <c r="CK238" i="46"/>
  <c r="AC234" i="46"/>
  <c r="DC230" i="46"/>
  <c r="BM234" i="46"/>
  <c r="BY234" i="46"/>
  <c r="Z234" i="46"/>
  <c r="BJ230" i="46"/>
  <c r="BS230" i="46"/>
  <c r="DF230" i="46"/>
  <c r="DX230" i="46"/>
  <c r="AI230" i="46"/>
  <c r="FE230" i="46"/>
  <c r="AI234" i="46"/>
  <c r="ED234" i="46"/>
  <c r="AX234" i="46"/>
  <c r="DX238" i="46"/>
  <c r="CQ238" i="46"/>
  <c r="BG238" i="46"/>
  <c r="BJ234" i="46"/>
  <c r="FB234" i="46"/>
  <c r="W234" i="46"/>
  <c r="CZ238" i="46"/>
  <c r="AC238" i="46"/>
  <c r="EP238" i="46"/>
  <c r="DF238" i="46"/>
  <c r="BS238" i="46"/>
  <c r="AI238" i="46"/>
  <c r="AR234" i="46"/>
  <c r="BA238" i="46"/>
  <c r="ED238" i="46"/>
  <c r="EJ230" i="46"/>
  <c r="DI230" i="46"/>
  <c r="CE230" i="46"/>
  <c r="ES230" i="46"/>
  <c r="CB230" i="46"/>
  <c r="DU230" i="46"/>
  <c r="ES234" i="46"/>
  <c r="CE234" i="46"/>
  <c r="AU234" i="46"/>
  <c r="EA234" i="46"/>
  <c r="EM234" i="46"/>
  <c r="CB238" i="46"/>
  <c r="DR238" i="46"/>
  <c r="CH238" i="46"/>
  <c r="AU238" i="46"/>
  <c r="FH238" i="46"/>
  <c r="CZ230" i="46"/>
  <c r="W247" i="46"/>
  <c r="W248" i="46" s="1"/>
  <c r="AU247" i="46"/>
  <c r="AU248" i="46" s="1"/>
  <c r="BS247" i="46"/>
  <c r="BS248" i="46" s="1"/>
  <c r="CQ247" i="46"/>
  <c r="CQ248" i="46" s="1"/>
  <c r="DO247" i="46"/>
  <c r="DO248" i="46" s="1"/>
  <c r="EM247" i="46"/>
  <c r="EM248" i="46" s="1"/>
  <c r="FK247" i="46"/>
  <c r="FK248" i="46" s="1"/>
  <c r="Z247" i="46"/>
  <c r="Z248" i="46" s="1"/>
  <c r="AX247" i="46"/>
  <c r="AX248" i="46" s="1"/>
  <c r="BV247" i="46"/>
  <c r="BV248" i="46" s="1"/>
  <c r="CT247" i="46"/>
  <c r="CT248" i="46" s="1"/>
  <c r="DR247" i="46"/>
  <c r="DR248" i="46" s="1"/>
  <c r="EP247" i="46"/>
  <c r="EP248" i="46" s="1"/>
  <c r="AC247" i="46"/>
  <c r="AC248" i="46" s="1"/>
  <c r="BA247" i="46"/>
  <c r="BA248" i="46" s="1"/>
  <c r="BY247" i="46"/>
  <c r="BY248" i="46" s="1"/>
  <c r="CW247" i="46"/>
  <c r="CW248" i="46" s="1"/>
  <c r="DU247" i="46"/>
  <c r="DU248" i="46" s="1"/>
  <c r="ES247" i="46"/>
  <c r="ES248" i="46" s="1"/>
  <c r="AF247" i="46"/>
  <c r="AF248" i="46" s="1"/>
  <c r="BD247" i="46"/>
  <c r="BD248" i="46" s="1"/>
  <c r="CB247" i="46"/>
  <c r="CB248" i="46" s="1"/>
  <c r="CZ247" i="46"/>
  <c r="CZ248" i="46" s="1"/>
  <c r="DX247" i="46"/>
  <c r="DX248" i="46" s="1"/>
  <c r="EV247" i="46"/>
  <c r="EV248" i="46" s="1"/>
  <c r="AI247" i="46"/>
  <c r="AI248" i="46" s="1"/>
  <c r="BG247" i="46"/>
  <c r="BG248" i="46" s="1"/>
  <c r="CE247" i="46"/>
  <c r="CE248" i="46" s="1"/>
  <c r="DC247" i="46"/>
  <c r="DC248" i="46" s="1"/>
  <c r="EA247" i="46"/>
  <c r="EA248" i="46" s="1"/>
  <c r="EY247" i="46"/>
  <c r="EY248" i="46" s="1"/>
  <c r="AR247" i="46"/>
  <c r="AR248" i="46" s="1"/>
  <c r="DI247" i="46"/>
  <c r="DI248" i="46" s="1"/>
  <c r="BJ247" i="46"/>
  <c r="BJ248" i="46" s="1"/>
  <c r="DL247" i="46"/>
  <c r="DL248" i="46" s="1"/>
  <c r="BM247" i="46"/>
  <c r="BM248" i="46" s="1"/>
  <c r="ED247" i="46"/>
  <c r="ED248" i="46" s="1"/>
  <c r="BP247" i="46"/>
  <c r="BP248" i="46" s="1"/>
  <c r="EG247" i="46"/>
  <c r="EG248" i="46" s="1"/>
  <c r="CH247" i="46"/>
  <c r="CH248" i="46" s="1"/>
  <c r="EJ247" i="46"/>
  <c r="EJ248" i="46" s="1"/>
  <c r="CK247" i="46"/>
  <c r="CK248" i="46" s="1"/>
  <c r="FB247" i="46"/>
  <c r="FB248" i="46" s="1"/>
  <c r="AL247" i="46"/>
  <c r="AL248" i="46" s="1"/>
  <c r="CN247" i="46"/>
  <c r="CN248" i="46" s="1"/>
  <c r="FE247" i="46"/>
  <c r="FE248" i="46" s="1"/>
  <c r="AO247" i="46"/>
  <c r="AO248" i="46" s="1"/>
  <c r="DF247" i="46"/>
  <c r="DF248" i="46" s="1"/>
  <c r="FH247" i="46"/>
  <c r="FH248" i="46" s="1"/>
  <c r="CK230" i="46"/>
  <c r="BD230" i="46"/>
  <c r="CW230" i="46"/>
  <c r="EP230" i="46"/>
  <c r="EJ234" i="46"/>
  <c r="DL234" i="46"/>
  <c r="BS234" i="46"/>
  <c r="BD238" i="46"/>
  <c r="CT238" i="46"/>
  <c r="BJ238" i="46"/>
  <c r="W238" i="46"/>
  <c r="EJ238" i="46"/>
  <c r="AC252" i="46"/>
  <c r="BA252" i="46"/>
  <c r="BY252" i="46"/>
  <c r="CW252" i="46"/>
  <c r="DU252" i="46"/>
  <c r="ES252" i="46"/>
  <c r="W252" i="46"/>
  <c r="AX252" i="46"/>
  <c r="CB252" i="46"/>
  <c r="DC252" i="46"/>
  <c r="ED252" i="46"/>
  <c r="FE252" i="46"/>
  <c r="Z252" i="46"/>
  <c r="BD252" i="46"/>
  <c r="CE252" i="46"/>
  <c r="DF252" i="46"/>
  <c r="EG252" i="46"/>
  <c r="FH252" i="46"/>
  <c r="AF252" i="46"/>
  <c r="BG252" i="46"/>
  <c r="CH252" i="46"/>
  <c r="DI252" i="46"/>
  <c r="EJ252" i="46"/>
  <c r="FK252" i="46"/>
  <c r="AI252" i="46"/>
  <c r="BJ252" i="46"/>
  <c r="CK252" i="46"/>
  <c r="DL252" i="46"/>
  <c r="EM252" i="46"/>
  <c r="AL252" i="46"/>
  <c r="BM252" i="46"/>
  <c r="CN252" i="46"/>
  <c r="DO252" i="46"/>
  <c r="EP252" i="46"/>
  <c r="BS252" i="46"/>
  <c r="EV252" i="46"/>
  <c r="BV252" i="46"/>
  <c r="EY252" i="46"/>
  <c r="EA252" i="46"/>
  <c r="CQ252" i="46"/>
  <c r="FB252" i="46"/>
  <c r="CT252" i="46"/>
  <c r="DX252" i="46"/>
  <c r="BP252" i="46"/>
  <c r="AO252" i="46"/>
  <c r="CZ252" i="46"/>
  <c r="AR252" i="46"/>
  <c r="DR252" i="46"/>
  <c r="AU252" i="46"/>
  <c r="AR230" i="46"/>
  <c r="W230" i="46"/>
  <c r="BM230" i="46"/>
  <c r="EM230" i="46"/>
  <c r="EY230" i="46"/>
  <c r="AL230" i="46"/>
  <c r="DL230" i="46"/>
  <c r="CH230" i="46"/>
  <c r="AF230" i="46"/>
  <c r="BY230" i="46"/>
  <c r="DR230" i="46"/>
  <c r="FE234" i="46"/>
  <c r="CW234" i="46"/>
  <c r="DF234" i="46"/>
  <c r="CH234" i="46"/>
  <c r="AF238" i="46"/>
  <c r="ES238" i="46"/>
  <c r="BV238" i="46"/>
  <c r="AL238" i="46"/>
  <c r="EY238" i="46"/>
  <c r="DL238" i="46"/>
  <c r="Z230" i="46"/>
  <c r="CQ230" i="46"/>
  <c r="FK230" i="46"/>
  <c r="BG230" i="46"/>
  <c r="BA230" i="46"/>
  <c r="CT230" i="46"/>
  <c r="BP234" i="46"/>
  <c r="EV234" i="46"/>
  <c r="BG234" i="46"/>
  <c r="EP234" i="46"/>
  <c r="DU238" i="46"/>
  <c r="AX238" i="46"/>
  <c r="FK238" i="46"/>
  <c r="EA238" i="46"/>
  <c r="CN238" i="46"/>
  <c r="AF234" i="46"/>
  <c r="ED230" i="46"/>
  <c r="FB230" i="46"/>
  <c r="CN230" i="46"/>
  <c r="AC230" i="46"/>
  <c r="BV230" i="46"/>
  <c r="CT234" i="46"/>
  <c r="AL234" i="46"/>
  <c r="CZ234" i="46"/>
  <c r="DO234" i="46"/>
  <c r="CW238" i="46"/>
  <c r="Z238" i="46"/>
  <c r="EM238" i="46"/>
  <c r="DC238" i="46"/>
  <c r="BP238" i="46"/>
  <c r="AF240" i="46"/>
  <c r="BD240" i="46"/>
  <c r="CB240" i="46"/>
  <c r="CZ240" i="46"/>
  <c r="DX240" i="46"/>
  <c r="EV240" i="46"/>
  <c r="W241" i="46"/>
  <c r="AU241" i="46"/>
  <c r="BS241" i="46"/>
  <c r="CQ241" i="46"/>
  <c r="DO241" i="46"/>
  <c r="EM241" i="46"/>
  <c r="FK241" i="46"/>
  <c r="AI240" i="46"/>
  <c r="BG240" i="46"/>
  <c r="CE240" i="46"/>
  <c r="DC240" i="46"/>
  <c r="EA240" i="46"/>
  <c r="EY240" i="46"/>
  <c r="Z241" i="46"/>
  <c r="AX241" i="46"/>
  <c r="BV241" i="46"/>
  <c r="CT241" i="46"/>
  <c r="DR241" i="46"/>
  <c r="EP241" i="46"/>
  <c r="AL240" i="46"/>
  <c r="BJ240" i="46"/>
  <c r="CH240" i="46"/>
  <c r="DF240" i="46"/>
  <c r="ED240" i="46"/>
  <c r="FB240" i="46"/>
  <c r="AC241" i="46"/>
  <c r="BA241" i="46"/>
  <c r="BY241" i="46"/>
  <c r="CW241" i="46"/>
  <c r="DU241" i="46"/>
  <c r="ES241" i="46"/>
  <c r="AO240" i="46"/>
  <c r="BM240" i="46"/>
  <c r="CK240" i="46"/>
  <c r="DI240" i="46"/>
  <c r="EG240" i="46"/>
  <c r="FE240" i="46"/>
  <c r="AF241" i="46"/>
  <c r="BD241" i="46"/>
  <c r="CB241" i="46"/>
  <c r="CZ241" i="46"/>
  <c r="DX241" i="46"/>
  <c r="EV241" i="46"/>
  <c r="AR240" i="46"/>
  <c r="BP240" i="46"/>
  <c r="CN240" i="46"/>
  <c r="DL240" i="46"/>
  <c r="EJ240" i="46"/>
  <c r="FH240" i="46"/>
  <c r="AI241" i="46"/>
  <c r="BG241" i="46"/>
  <c r="CE241" i="46"/>
  <c r="DC241" i="46"/>
  <c r="EA241" i="46"/>
  <c r="EY241" i="46"/>
  <c r="AC240" i="46"/>
  <c r="CT240" i="46"/>
  <c r="FK240" i="46"/>
  <c r="BP241" i="46"/>
  <c r="EG241" i="46"/>
  <c r="AU240" i="46"/>
  <c r="CW240" i="46"/>
  <c r="CH241" i="46"/>
  <c r="EJ241" i="46"/>
  <c r="AX240" i="46"/>
  <c r="DO240" i="46"/>
  <c r="CK241" i="46"/>
  <c r="FB241" i="46"/>
  <c r="BA240" i="46"/>
  <c r="DR240" i="46"/>
  <c r="AL241" i="46"/>
  <c r="CN241" i="46"/>
  <c r="FE241" i="46"/>
  <c r="BS240" i="46"/>
  <c r="DU240" i="46"/>
  <c r="AO241" i="46"/>
  <c r="DF241" i="46"/>
  <c r="FH241" i="46"/>
  <c r="BV240" i="46"/>
  <c r="EM240" i="46"/>
  <c r="AR241" i="46"/>
  <c r="DI241" i="46"/>
  <c r="W240" i="46"/>
  <c r="BY240" i="46"/>
  <c r="EP240" i="46"/>
  <c r="BJ241" i="46"/>
  <c r="DL241" i="46"/>
  <c r="Z240" i="46"/>
  <c r="BM241" i="46"/>
  <c r="CQ240" i="46"/>
  <c r="ED241" i="46"/>
  <c r="ES240" i="46"/>
  <c r="AL251" i="46"/>
  <c r="BJ251" i="46"/>
  <c r="CH251" i="46"/>
  <c r="DF251" i="46"/>
  <c r="ED251" i="46"/>
  <c r="FB251" i="46"/>
  <c r="AO251" i="46"/>
  <c r="BP251" i="46"/>
  <c r="CQ251" i="46"/>
  <c r="DR251" i="46"/>
  <c r="ES251" i="46"/>
  <c r="AR251" i="46"/>
  <c r="BS251" i="46"/>
  <c r="CT251" i="46"/>
  <c r="DU251" i="46"/>
  <c r="EV251" i="46"/>
  <c r="AU251" i="46"/>
  <c r="BV251" i="46"/>
  <c r="CW251" i="46"/>
  <c r="DX251" i="46"/>
  <c r="EY251" i="46"/>
  <c r="W251" i="46"/>
  <c r="AX251" i="46"/>
  <c r="BY251" i="46"/>
  <c r="CZ251" i="46"/>
  <c r="EA251" i="46"/>
  <c r="FE251" i="46"/>
  <c r="Z251" i="46"/>
  <c r="BA251" i="46"/>
  <c r="CB251" i="46"/>
  <c r="DC251" i="46"/>
  <c r="EG251" i="46"/>
  <c r="FH251" i="46"/>
  <c r="AC251" i="46"/>
  <c r="BD251" i="46"/>
  <c r="CE251" i="46"/>
  <c r="DI251" i="46"/>
  <c r="EJ251" i="46"/>
  <c r="FK251" i="46"/>
  <c r="AF251" i="46"/>
  <c r="BG251" i="46"/>
  <c r="CK251" i="46"/>
  <c r="DL251" i="46"/>
  <c r="EM251" i="46"/>
  <c r="AI251" i="46"/>
  <c r="BM251" i="46"/>
  <c r="CN251" i="46"/>
  <c r="DO251" i="46"/>
  <c r="EP251" i="46"/>
  <c r="AU230" i="46"/>
  <c r="EG230" i="46"/>
  <c r="BP230" i="46"/>
  <c r="EA230" i="46"/>
  <c r="AO230" i="46"/>
  <c r="EV230" i="46"/>
  <c r="AX230" i="46"/>
  <c r="AO234" i="46"/>
  <c r="CK234" i="46"/>
  <c r="DC234" i="46"/>
  <c r="FH234" i="46"/>
  <c r="BV234" i="46"/>
  <c r="CN234" i="46"/>
  <c r="EV238" i="46"/>
  <c r="BY238" i="46"/>
  <c r="FB238" i="46"/>
  <c r="DO238" i="46"/>
  <c r="CE238" i="46"/>
  <c r="AR238" i="46"/>
  <c r="H20" i="48"/>
  <c r="H19" i="48"/>
  <c r="H48" i="48"/>
  <c r="H52" i="48"/>
  <c r="H14" i="48"/>
  <c r="H47" i="48"/>
  <c r="H10" i="48"/>
  <c r="H16" i="48"/>
  <c r="H17" i="48"/>
  <c r="H26" i="48"/>
  <c r="H24" i="48"/>
  <c r="H30" i="48"/>
  <c r="H6" i="48"/>
  <c r="H40" i="48"/>
  <c r="H37" i="48"/>
  <c r="H28" i="48"/>
  <c r="H44" i="48"/>
  <c r="H35" i="48"/>
  <c r="H42" i="48"/>
  <c r="H21" i="48"/>
  <c r="H7" i="48"/>
  <c r="H13" i="48"/>
  <c r="H51" i="48"/>
  <c r="H29" i="48"/>
  <c r="H5" i="48"/>
  <c r="H41" i="48"/>
  <c r="H34" i="48"/>
  <c r="H39" i="48"/>
  <c r="H32" i="48"/>
  <c r="H36" i="48"/>
  <c r="H33" i="48"/>
  <c r="H25" i="48"/>
  <c r="H46" i="48"/>
  <c r="H31" i="48"/>
  <c r="H11" i="48"/>
  <c r="H43" i="48"/>
  <c r="H18" i="48"/>
  <c r="H53" i="48"/>
  <c r="H38" i="48"/>
  <c r="H4" i="48"/>
  <c r="H50" i="48"/>
  <c r="H27" i="48"/>
  <c r="H8" i="48"/>
  <c r="H23" i="48"/>
  <c r="H15" i="48"/>
  <c r="H45" i="48"/>
  <c r="H12" i="48"/>
  <c r="H22" i="48"/>
  <c r="H49" i="48"/>
  <c r="H9"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EM242" i="46" l="1"/>
  <c r="DU242" i="46"/>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43" i="50"/>
  <c r="F11" i="50"/>
  <c r="E43" i="50"/>
  <c r="E11" i="50"/>
  <c r="F42" i="50"/>
  <c r="F10" i="50"/>
  <c r="E42" i="50"/>
  <c r="E10" i="50"/>
  <c r="F41" i="50"/>
  <c r="F9" i="50"/>
  <c r="E41" i="50"/>
  <c r="E9" i="50"/>
  <c r="F40" i="50"/>
  <c r="F8" i="50"/>
  <c r="E40" i="50"/>
  <c r="E8" i="50"/>
  <c r="G4" i="50"/>
  <c r="F39" i="50"/>
  <c r="F7" i="50"/>
  <c r="E39" i="50"/>
  <c r="E7" i="50"/>
  <c r="F38" i="50"/>
  <c r="F6" i="50"/>
  <c r="E38" i="50"/>
  <c r="E6" i="50"/>
  <c r="F37" i="50"/>
  <c r="F5" i="50"/>
  <c r="E37" i="50"/>
  <c r="E5" i="50"/>
  <c r="F35" i="50"/>
  <c r="E35" i="50"/>
  <c r="F34" i="50"/>
  <c r="E34" i="50"/>
  <c r="F33" i="50"/>
  <c r="E33" i="50"/>
  <c r="F32" i="50"/>
  <c r="E32" i="50"/>
  <c r="G7" i="50"/>
  <c r="G53" i="50"/>
  <c r="G47" i="50"/>
  <c r="G46" i="50"/>
  <c r="G25" i="50"/>
  <c r="F31" i="50"/>
  <c r="E31" i="50"/>
  <c r="F30" i="50"/>
  <c r="E30" i="50"/>
  <c r="F29" i="50"/>
  <c r="E29" i="50"/>
  <c r="F28" i="50"/>
  <c r="E28" i="50"/>
  <c r="G20" i="50"/>
  <c r="G52" i="50"/>
  <c r="G42" i="50"/>
  <c r="G29" i="50"/>
  <c r="G48" i="50"/>
  <c r="G24" i="50"/>
  <c r="G41" i="50"/>
  <c r="F27" i="50"/>
  <c r="E27" i="50"/>
  <c r="F26" i="50"/>
  <c r="E26" i="50"/>
  <c r="F25" i="50"/>
  <c r="E25" i="50"/>
  <c r="F24" i="50"/>
  <c r="E24" i="50"/>
  <c r="G8" i="50"/>
  <c r="G27" i="50"/>
  <c r="G13" i="50"/>
  <c r="G45" i="50"/>
  <c r="G10" i="50"/>
  <c r="G36" i="50"/>
  <c r="F18" i="50"/>
  <c r="E46" i="50"/>
  <c r="F53" i="50"/>
  <c r="F36" i="50"/>
  <c r="E36" i="50"/>
  <c r="G37" i="50"/>
  <c r="G21" i="50"/>
  <c r="G6" i="50"/>
  <c r="E19" i="50"/>
  <c r="F48" i="50"/>
  <c r="E50" i="50"/>
  <c r="F51" i="50"/>
  <c r="F14" i="50"/>
  <c r="E22" i="50"/>
  <c r="F49" i="50"/>
  <c r="F20" i="50"/>
  <c r="E20" i="50"/>
  <c r="G30" i="50"/>
  <c r="G9" i="50"/>
  <c r="G15" i="50"/>
  <c r="G31" i="50"/>
  <c r="G38" i="50"/>
  <c r="G50" i="50"/>
  <c r="F15" i="50"/>
  <c r="F13" i="50"/>
  <c r="G39" i="50"/>
  <c r="E17" i="50"/>
  <c r="G19" i="50"/>
  <c r="G28" i="50"/>
  <c r="E13" i="50"/>
  <c r="E44" i="50"/>
  <c r="F47" i="50"/>
  <c r="E18" i="50"/>
  <c r="F45" i="50"/>
  <c r="E53" i="50"/>
  <c r="F16" i="50"/>
  <c r="E16" i="50"/>
  <c r="G11" i="50"/>
  <c r="G44" i="50"/>
  <c r="G5" i="50"/>
  <c r="G51" i="50"/>
  <c r="G17" i="50"/>
  <c r="G12" i="50"/>
  <c r="E23" i="50"/>
  <c r="F50" i="50"/>
  <c r="E21" i="50"/>
  <c r="F46" i="50"/>
  <c r="G22" i="50"/>
  <c r="E15" i="50"/>
  <c r="F23" i="50"/>
  <c r="E51" i="50"/>
  <c r="E14" i="50"/>
  <c r="F21" i="50"/>
  <c r="E49" i="50"/>
  <c r="F12" i="50"/>
  <c r="E12" i="50"/>
  <c r="G23" i="50"/>
  <c r="G40" i="50"/>
  <c r="G33" i="50"/>
  <c r="G35" i="50"/>
  <c r="F52" i="50"/>
  <c r="E52" i="50"/>
  <c r="G49" i="50"/>
  <c r="F22" i="50"/>
  <c r="F44" i="50"/>
  <c r="F19" i="50"/>
  <c r="E47" i="50"/>
  <c r="F17" i="50"/>
  <c r="E45" i="50"/>
  <c r="F4" i="50"/>
  <c r="E4" i="50"/>
  <c r="G14" i="50"/>
  <c r="G43" i="50"/>
  <c r="G32" i="50"/>
  <c r="G16" i="50"/>
  <c r="E48" i="50"/>
  <c r="G34" i="50"/>
  <c r="G18" i="50"/>
  <c r="G26" i="50"/>
  <c r="W242" i="46"/>
  <c r="FK242" i="46"/>
  <c r="DX242" i="46"/>
  <c r="AC242" i="46"/>
  <c r="AX242" i="46"/>
  <c r="BY242" i="46"/>
  <c r="CB242" i="46"/>
  <c r="DO242" i="46"/>
  <c r="EY242" i="46"/>
  <c r="CT242" i="46"/>
  <c r="CZ242" i="46"/>
  <c r="CW242" i="46"/>
  <c r="Z242" i="46"/>
  <c r="AO242" i="46"/>
  <c r="FB242" i="46"/>
  <c r="FH242" i="46"/>
  <c r="DL242" i="46"/>
  <c r="BD242" i="46"/>
  <c r="EA242" i="46"/>
  <c r="CN242" i="46"/>
  <c r="DF242" i="46"/>
  <c r="CQ242" i="46"/>
  <c r="BA242" i="46"/>
  <c r="BM242" i="46"/>
  <c r="EJ242" i="46"/>
  <c r="AU242" i="46"/>
  <c r="ED242" i="46"/>
  <c r="DR242" i="46"/>
  <c r="AF242" i="46"/>
  <c r="DC242" i="46"/>
  <c r="BP242" i="46"/>
  <c r="FE242" i="46"/>
  <c r="CH242" i="46"/>
  <c r="BS242" i="46"/>
  <c r="CE242" i="46"/>
  <c r="AR242" i="46"/>
  <c r="EG242" i="46"/>
  <c r="BJ242" i="46"/>
  <c r="W250" i="46"/>
  <c r="W259" i="46" s="1"/>
  <c r="AU250" i="46"/>
  <c r="AU259" i="46" s="1"/>
  <c r="BS250" i="46"/>
  <c r="BS259" i="46" s="1"/>
  <c r="CQ250" i="46"/>
  <c r="CQ259" i="46" s="1"/>
  <c r="DO250" i="46"/>
  <c r="DO259" i="46" s="1"/>
  <c r="EM250" i="46"/>
  <c r="EM259" i="46" s="1"/>
  <c r="FK250" i="46"/>
  <c r="FK259" i="46" s="1"/>
  <c r="AC250" i="46"/>
  <c r="AC259" i="46" s="1"/>
  <c r="BD250" i="46"/>
  <c r="BD259" i="46" s="1"/>
  <c r="CE250" i="46"/>
  <c r="CE259" i="46" s="1"/>
  <c r="DF250" i="46"/>
  <c r="DF259" i="46" s="1"/>
  <c r="EG250" i="46"/>
  <c r="EG259" i="46" s="1"/>
  <c r="FH250" i="46"/>
  <c r="FH259" i="46" s="1"/>
  <c r="AF250" i="46"/>
  <c r="AF259" i="46" s="1"/>
  <c r="BG250" i="46"/>
  <c r="BG259" i="46" s="1"/>
  <c r="CH250" i="46"/>
  <c r="CH259" i="46" s="1"/>
  <c r="DI250" i="46"/>
  <c r="DI259" i="46" s="1"/>
  <c r="EJ250" i="46"/>
  <c r="EJ259" i="46" s="1"/>
  <c r="AI250" i="46"/>
  <c r="AI259" i="46" s="1"/>
  <c r="BJ250" i="46"/>
  <c r="BJ259" i="46" s="1"/>
  <c r="CK250" i="46"/>
  <c r="CK259" i="46" s="1"/>
  <c r="DL250" i="46"/>
  <c r="DL259" i="46" s="1"/>
  <c r="EP250" i="46"/>
  <c r="EP259" i="46" s="1"/>
  <c r="AL250" i="46"/>
  <c r="AL259" i="46" s="1"/>
  <c r="BM250" i="46"/>
  <c r="BM259" i="46" s="1"/>
  <c r="CN250" i="46"/>
  <c r="CN259" i="46" s="1"/>
  <c r="DR250" i="46"/>
  <c r="DR259" i="46" s="1"/>
  <c r="ES250" i="46"/>
  <c r="ES259" i="46" s="1"/>
  <c r="AO250" i="46"/>
  <c r="AO259" i="46" s="1"/>
  <c r="BP250" i="46"/>
  <c r="BP259" i="46" s="1"/>
  <c r="CT250" i="46"/>
  <c r="CT259" i="46" s="1"/>
  <c r="DU250" i="46"/>
  <c r="DU259" i="46" s="1"/>
  <c r="EV250" i="46"/>
  <c r="EV259" i="46" s="1"/>
  <c r="AR250" i="46"/>
  <c r="AR259" i="46" s="1"/>
  <c r="BV250" i="46"/>
  <c r="BV259" i="46" s="1"/>
  <c r="CW250" i="46"/>
  <c r="CW259" i="46" s="1"/>
  <c r="DX250" i="46"/>
  <c r="DX259" i="46" s="1"/>
  <c r="EY250" i="46"/>
  <c r="EY259" i="46" s="1"/>
  <c r="AX250" i="46"/>
  <c r="AX259" i="46" s="1"/>
  <c r="BY250" i="46"/>
  <c r="BY259" i="46" s="1"/>
  <c r="CZ250" i="46"/>
  <c r="CZ259" i="46" s="1"/>
  <c r="EA250" i="46"/>
  <c r="EA259" i="46" s="1"/>
  <c r="FB250" i="46"/>
  <c r="FB259" i="46" s="1"/>
  <c r="Z250" i="46"/>
  <c r="Z259" i="46" s="1"/>
  <c r="BA250" i="46"/>
  <c r="BA259" i="46" s="1"/>
  <c r="FE250" i="46"/>
  <c r="FE259" i="46" s="1"/>
  <c r="CB250" i="46"/>
  <c r="CB259" i="46" s="1"/>
  <c r="DC250" i="46"/>
  <c r="DC259" i="46" s="1"/>
  <c r="ED250" i="46"/>
  <c r="ED259" i="46" s="1"/>
  <c r="ES242" i="46"/>
  <c r="EP242" i="46"/>
  <c r="BV242" i="46"/>
  <c r="BG242" i="46"/>
  <c r="EV242" i="46"/>
  <c r="DI242" i="46"/>
  <c r="AL242" i="46"/>
  <c r="AI242" i="46"/>
  <c r="CK242"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T242" i="46"/>
  <c r="M242" i="46"/>
  <c r="P3" i="47" s="1"/>
  <c r="BL19" i="45" l="1"/>
  <c r="BK19" i="45" s="1"/>
  <c r="BJ19" i="45" s="1"/>
  <c r="BI19" i="45" s="1"/>
  <c r="BH19" i="45" s="1"/>
  <c r="BL38" i="45"/>
  <c r="BK38" i="45" s="1"/>
  <c r="BJ38" i="45" s="1"/>
  <c r="BI38" i="45" s="1"/>
  <c r="BH38" i="45" s="1"/>
  <c r="BL11" i="45"/>
  <c r="BK11" i="45" s="1"/>
  <c r="BJ11" i="45" s="1"/>
  <c r="BI11" i="45" s="1"/>
  <c r="BH11" i="45" s="1"/>
  <c r="BL49" i="45"/>
  <c r="BK49" i="45" s="1"/>
  <c r="BJ49" i="45" s="1"/>
  <c r="BI49" i="45" s="1"/>
  <c r="BH49" i="45" s="1"/>
  <c r="BL27" i="45"/>
  <c r="BK27" i="45" s="1"/>
  <c r="BJ27" i="45" s="1"/>
  <c r="BI27" i="45" s="1"/>
  <c r="BH27" i="45" s="1"/>
  <c r="BL8" i="45"/>
  <c r="BK8" i="45" s="1"/>
  <c r="BJ8" i="45" s="1"/>
  <c r="BI8" i="45" s="1"/>
  <c r="BH8" i="45" s="1"/>
  <c r="BL46" i="45"/>
  <c r="BK46" i="45" s="1"/>
  <c r="BJ46" i="45" s="1"/>
  <c r="BI46" i="45" s="1"/>
  <c r="BH46" i="45" s="1"/>
  <c r="BL25" i="45"/>
  <c r="BK25" i="45" s="1"/>
  <c r="BJ25" i="45" s="1"/>
  <c r="BI25" i="45" s="1"/>
  <c r="BH25" i="45" s="1"/>
  <c r="BL10" i="45"/>
  <c r="BK10" i="45" s="1"/>
  <c r="BJ10" i="45" s="1"/>
  <c r="BI10" i="45" s="1"/>
  <c r="BH10" i="45" s="1"/>
  <c r="BL50" i="45"/>
  <c r="BK50" i="45" s="1"/>
  <c r="BJ50" i="45" s="1"/>
  <c r="BI50" i="45" s="1"/>
  <c r="BH50" i="45" s="1"/>
  <c r="BL47" i="45"/>
  <c r="BK47" i="45" s="1"/>
  <c r="BJ47" i="45" s="1"/>
  <c r="BI47" i="45" s="1"/>
  <c r="BH47" i="45" s="1"/>
  <c r="Y4" i="46"/>
  <c r="Y2" i="46" s="1"/>
  <c r="BL32" i="45"/>
  <c r="BK32" i="45" s="1"/>
  <c r="BJ32" i="45" s="1"/>
  <c r="BI32" i="45" s="1"/>
  <c r="BH32" i="45" s="1"/>
  <c r="BL42" i="45"/>
  <c r="BK42" i="45" s="1"/>
  <c r="BJ42" i="45" s="1"/>
  <c r="BI42" i="45" s="1"/>
  <c r="BH42" i="45" s="1"/>
  <c r="BL36" i="45"/>
  <c r="BK36" i="45" s="1"/>
  <c r="BJ36" i="45" s="1"/>
  <c r="BI36" i="45" s="1"/>
  <c r="BH36" i="45" s="1"/>
  <c r="BL22" i="45"/>
  <c r="BK22" i="45" s="1"/>
  <c r="BJ22" i="45" s="1"/>
  <c r="BI22" i="45" s="1"/>
  <c r="BH22" i="45" s="1"/>
  <c r="BL33" i="45"/>
  <c r="BK33" i="45" s="1"/>
  <c r="BJ33" i="45" s="1"/>
  <c r="BI33" i="45" s="1"/>
  <c r="BH33" i="45" s="1"/>
  <c r="BL35" i="45"/>
  <c r="BK35" i="45" s="1"/>
  <c r="BJ35" i="45" s="1"/>
  <c r="BI35" i="45" s="1"/>
  <c r="BH35" i="45" s="1"/>
  <c r="BL34" i="45"/>
  <c r="BK34" i="45" s="1"/>
  <c r="BJ34" i="45" s="1"/>
  <c r="BI34" i="45" s="1"/>
  <c r="BH34" i="45" s="1"/>
  <c r="BL6" i="45"/>
  <c r="BK6" i="45" s="1"/>
  <c r="BJ6" i="45" s="1"/>
  <c r="BI6" i="45" s="1"/>
  <c r="BH6" i="45" s="1"/>
  <c r="BL29" i="45"/>
  <c r="BK29" i="45" s="1"/>
  <c r="BJ29" i="45" s="1"/>
  <c r="BI29" i="45" s="1"/>
  <c r="BH29" i="45" s="1"/>
  <c r="BL5" i="45"/>
  <c r="BK5" i="45" s="1"/>
  <c r="BJ5" i="45" s="1"/>
  <c r="BI5" i="45" s="1"/>
  <c r="BH5" i="45" s="1"/>
  <c r="BL26" i="45"/>
  <c r="BK26" i="45" s="1"/>
  <c r="BJ26" i="45" s="1"/>
  <c r="BI26" i="45" s="1"/>
  <c r="BH26" i="45" s="1"/>
  <c r="BL23" i="45"/>
  <c r="BK23" i="45" s="1"/>
  <c r="BJ23" i="45" s="1"/>
  <c r="BI23" i="45" s="1"/>
  <c r="BH23" i="45" s="1"/>
  <c r="BL18" i="45"/>
  <c r="BK18" i="45" s="1"/>
  <c r="BJ18" i="45" s="1"/>
  <c r="BI18" i="45" s="1"/>
  <c r="BH18" i="45" s="1"/>
  <c r="BL44" i="45"/>
  <c r="BK44" i="45" s="1"/>
  <c r="BJ44" i="45" s="1"/>
  <c r="BI44" i="45" s="1"/>
  <c r="BH44" i="45" s="1"/>
  <c r="BL43" i="45"/>
  <c r="BK43" i="45" s="1"/>
  <c r="BJ43" i="45" s="1"/>
  <c r="BI43" i="45" s="1"/>
  <c r="BH43" i="45" s="1"/>
  <c r="BL21" i="45"/>
  <c r="BK21" i="45" s="1"/>
  <c r="BJ21" i="45" s="1"/>
  <c r="BI21" i="45" s="1"/>
  <c r="BH21" i="45" s="1"/>
  <c r="BL45" i="45"/>
  <c r="BK45" i="45" s="1"/>
  <c r="BJ45" i="45" s="1"/>
  <c r="BI45" i="45" s="1"/>
  <c r="BH45" i="45" s="1"/>
  <c r="BL48" i="45"/>
  <c r="BK48" i="45" s="1"/>
  <c r="BJ48" i="45" s="1"/>
  <c r="BI48" i="45" s="1"/>
  <c r="BH48" i="45" s="1"/>
  <c r="BL17" i="45"/>
  <c r="BK17" i="45" s="1"/>
  <c r="BJ17" i="45" s="1"/>
  <c r="BI17" i="45" s="1"/>
  <c r="BH17"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28" i="45"/>
  <c r="BK28" i="45" s="1"/>
  <c r="BJ28" i="45" s="1"/>
  <c r="BI28" i="45" s="1"/>
  <c r="BH28" i="45" s="1"/>
  <c r="BL24" i="45"/>
  <c r="BK24" i="45" s="1"/>
  <c r="BJ24" i="45" s="1"/>
  <c r="BI24" i="45" s="1"/>
  <c r="BH24" i="45" s="1"/>
  <c r="BL20" i="45"/>
  <c r="BK20" i="45" s="1"/>
  <c r="BJ20" i="45" s="1"/>
  <c r="BI20" i="45" s="1"/>
  <c r="BH20" i="45" s="1"/>
  <c r="BL14" i="45"/>
  <c r="BK14" i="45" s="1"/>
  <c r="BJ14" i="45" s="1"/>
  <c r="BI14" i="45" s="1"/>
  <c r="BH14" i="45" s="1"/>
  <c r="BL51" i="45"/>
  <c r="BK51" i="45" s="1"/>
  <c r="BJ51" i="45" s="1"/>
  <c r="BI51" i="45" s="1"/>
  <c r="BH51" i="45" s="1"/>
  <c r="BL12" i="45"/>
  <c r="BK12" i="45" s="1"/>
  <c r="BJ12" i="45" s="1"/>
  <c r="BI12" i="45" s="1"/>
  <c r="BH12" i="45" s="1"/>
  <c r="BL41" i="45"/>
  <c r="BK41" i="45" s="1"/>
  <c r="BJ41" i="45" s="1"/>
  <c r="BI41" i="45" s="1"/>
  <c r="BH41" i="45" s="1"/>
  <c r="BL31" i="45"/>
  <c r="BK31" i="45" s="1"/>
  <c r="BJ31" i="45" s="1"/>
  <c r="BI31" i="45" s="1"/>
  <c r="BH31" i="45" s="1"/>
  <c r="BL7" i="45"/>
  <c r="BK7" i="45" s="1"/>
  <c r="BJ7" i="45" s="1"/>
  <c r="BI7" i="45" s="1"/>
  <c r="BH7" i="45" s="1"/>
  <c r="BL39" i="45"/>
  <c r="BK39" i="45" s="1"/>
  <c r="BJ39" i="45" s="1"/>
  <c r="BI39" i="45" s="1"/>
  <c r="BH39" i="45" s="1"/>
  <c r="BL13" i="45"/>
  <c r="BK13" i="45" s="1"/>
  <c r="BJ13" i="45" s="1"/>
  <c r="BI13" i="45" s="1"/>
  <c r="BH13" i="45" s="1"/>
  <c r="BL15" i="45"/>
  <c r="BK15" i="45" s="1"/>
  <c r="BJ15" i="45" s="1"/>
  <c r="BI15" i="45" s="1"/>
  <c r="BH15" i="45" s="1"/>
  <c r="BL4" i="45"/>
  <c r="BK4" i="45" s="1"/>
  <c r="BJ4" i="45" s="1"/>
  <c r="BI4" i="45" s="1"/>
  <c r="BH4" i="45" s="1"/>
  <c r="BL37" i="45"/>
  <c r="BK37" i="45" s="1"/>
  <c r="BJ37" i="45" s="1"/>
  <c r="BI37" i="45" s="1"/>
  <c r="BH37" i="45" s="1"/>
  <c r="E16" i="51"/>
  <c r="F16" i="51" s="1"/>
  <c r="E15" i="51"/>
  <c r="F15" i="51" s="1"/>
  <c r="E17" i="51"/>
  <c r="E14" i="51"/>
  <c r="F14" i="51" s="1"/>
  <c r="E13" i="51"/>
  <c r="F13" i="51" s="1"/>
  <c r="AB4" i="46"/>
  <c r="AB2" i="46" s="1"/>
  <c r="EU4" i="46"/>
  <c r="EU2" i="46" s="1"/>
  <c r="AC28" i="48"/>
  <c r="N29" i="48"/>
  <c r="AF20" i="48"/>
  <c r="K19" i="48"/>
  <c r="Q19" i="48"/>
  <c r="AK20" i="48"/>
  <c r="AL15" i="48"/>
  <c r="AA29" i="48"/>
  <c r="AK29" i="48"/>
  <c r="AA20" i="48"/>
  <c r="AA31" i="48"/>
  <c r="AD47" i="48"/>
  <c r="O28" i="48"/>
  <c r="W47" i="48"/>
  <c r="T47" i="48"/>
  <c r="AB51" i="48"/>
  <c r="AJ46" i="48"/>
  <c r="AJ38" i="48"/>
  <c r="AB36" i="48"/>
  <c r="AK26" i="48"/>
  <c r="AD21" i="48"/>
  <c r="AI9" i="48"/>
  <c r="AF11" i="48"/>
  <c r="AI19" i="48"/>
  <c r="K27" i="48"/>
  <c r="AC23" i="48"/>
  <c r="AB13" i="48"/>
  <c r="AK23" i="48"/>
  <c r="AI14" i="48"/>
  <c r="I41" i="48"/>
  <c r="P32" i="48"/>
  <c r="N41" i="48"/>
  <c r="AE41" i="48"/>
  <c r="S48" i="48"/>
  <c r="AJ48" i="48"/>
  <c r="AB41" i="48"/>
  <c r="Q32" i="48"/>
  <c r="N33" i="48"/>
  <c r="V48" i="48"/>
  <c r="AA9" i="48"/>
  <c r="X16" i="48"/>
  <c r="AD24" i="48"/>
  <c r="P29" i="48"/>
  <c r="P19" i="48"/>
  <c r="L25" i="48"/>
  <c r="Y12" i="48"/>
  <c r="AF25" i="48"/>
  <c r="W13" i="48"/>
  <c r="AL9" i="48"/>
  <c r="I25" i="48"/>
  <c r="AD13" i="48"/>
  <c r="AE38" i="48"/>
  <c r="O37" i="48"/>
  <c r="AC49" i="48"/>
  <c r="AA51" i="48"/>
  <c r="I17" i="48"/>
  <c r="AH28" i="48"/>
  <c r="R23" i="48"/>
  <c r="V16" i="48"/>
  <c r="AI12" i="48"/>
  <c r="AH15" i="48"/>
  <c r="R29" i="48"/>
  <c r="M23" i="48"/>
  <c r="AK17" i="48"/>
  <c r="O38" i="48"/>
  <c r="AC47" i="48"/>
  <c r="AK42" i="48"/>
  <c r="AL22" i="48"/>
  <c r="AE47" i="48"/>
  <c r="M44" i="48"/>
  <c r="I32" i="48"/>
  <c r="W28" i="48"/>
  <c r="AH17" i="48"/>
  <c r="W18" i="48"/>
  <c r="S19" i="48"/>
  <c r="AL24" i="48"/>
  <c r="R13" i="48"/>
  <c r="AD28" i="48"/>
  <c r="Z21" i="48"/>
  <c r="J18" i="48"/>
  <c r="AH23" i="48"/>
  <c r="K9" i="48"/>
  <c r="AC35" i="48"/>
  <c r="S50" i="48"/>
  <c r="AD36" i="48"/>
  <c r="X25" i="48"/>
  <c r="W40" i="48"/>
  <c r="L40" i="48"/>
  <c r="Q21" i="48"/>
  <c r="AG27" i="48"/>
  <c r="AL14" i="48"/>
  <c r="AD25" i="48"/>
  <c r="V24" i="48"/>
  <c r="K31" i="48"/>
  <c r="O11" i="48"/>
  <c r="S12" i="48"/>
  <c r="S24" i="48"/>
  <c r="AC20" i="48"/>
  <c r="M26" i="48"/>
  <c r="AG41" i="48"/>
  <c r="Z51" i="48"/>
  <c r="AC48" i="48"/>
  <c r="AA48" i="48"/>
  <c r="S46" i="48"/>
  <c r="Y46" i="48"/>
  <c r="AL31" i="48"/>
  <c r="O27" i="48"/>
  <c r="Y27" i="48"/>
  <c r="AD31" i="48"/>
  <c r="L28" i="48"/>
  <c r="K25" i="48"/>
  <c r="R26" i="48"/>
  <c r="X10" i="48"/>
  <c r="I27" i="48"/>
  <c r="T9" i="48"/>
  <c r="S38" i="48"/>
  <c r="N46" i="48"/>
  <c r="I43" i="48"/>
  <c r="R45" i="48"/>
  <c r="K41" i="48"/>
  <c r="AA40" i="48"/>
  <c r="Z9" i="48"/>
  <c r="R21" i="48"/>
  <c r="M17" i="48"/>
  <c r="S23" i="48"/>
  <c r="AL21" i="48"/>
  <c r="AA11" i="48"/>
  <c r="Y14" i="48"/>
  <c r="R28" i="48"/>
  <c r="T17" i="48"/>
  <c r="AC19" i="48"/>
  <c r="T16" i="48"/>
  <c r="O12" i="48"/>
  <c r="AC22" i="48"/>
  <c r="AF10" i="48"/>
  <c r="AE21" i="48"/>
  <c r="AF24" i="48"/>
  <c r="AF28" i="48"/>
  <c r="P26" i="48"/>
  <c r="J12" i="48"/>
  <c r="AL39" i="48"/>
  <c r="AL45" i="48"/>
  <c r="AE29" i="48"/>
  <c r="R46" i="48"/>
  <c r="AC33" i="48"/>
  <c r="X50" i="48"/>
  <c r="M30" i="48"/>
  <c r="Y24" i="48"/>
  <c r="O19" i="48"/>
  <c r="P27" i="48"/>
  <c r="AL27" i="48"/>
  <c r="P10" i="48"/>
  <c r="Y19" i="48"/>
  <c r="I10" i="48"/>
  <c r="AI13" i="48"/>
  <c r="J9" i="48"/>
  <c r="J34" i="48"/>
  <c r="L35" i="48"/>
  <c r="AH45" i="48"/>
  <c r="S41" i="48"/>
  <c r="W20" i="48"/>
  <c r="Z47" i="48"/>
  <c r="X49" i="48"/>
  <c r="S10" i="48"/>
  <c r="W21" i="48"/>
  <c r="N14" i="48"/>
  <c r="W24" i="48"/>
  <c r="K29" i="48"/>
  <c r="U11" i="48"/>
  <c r="V22" i="48"/>
  <c r="M27" i="48"/>
  <c r="R20" i="48"/>
  <c r="AK22" i="48"/>
  <c r="AL32" i="48"/>
  <c r="W52" i="48"/>
  <c r="AJ36" i="48"/>
  <c r="R36" i="48"/>
  <c r="AA46" i="48"/>
  <c r="AB35" i="48"/>
  <c r="V49" i="48"/>
  <c r="AE53" i="48"/>
  <c r="I45" i="48"/>
  <c r="AK15" i="48"/>
  <c r="U31" i="48"/>
  <c r="AI30" i="48"/>
  <c r="J17" i="48"/>
  <c r="N24" i="48"/>
  <c r="AB11" i="48"/>
  <c r="AF26" i="48"/>
  <c r="AD10" i="48"/>
  <c r="M29" i="48"/>
  <c r="U24" i="48"/>
  <c r="L27" i="48"/>
  <c r="Q53" i="48"/>
  <c r="J41" i="48"/>
  <c r="AC42" i="48"/>
  <c r="AE42" i="48"/>
  <c r="AK30" i="48"/>
  <c r="I23" i="48"/>
  <c r="AF16" i="48"/>
  <c r="U19" i="48"/>
  <c r="AH27" i="48"/>
  <c r="N27" i="48"/>
  <c r="U22" i="48"/>
  <c r="AE28" i="48"/>
  <c r="R19" i="48"/>
  <c r="N13" i="48"/>
  <c r="X44" i="48"/>
  <c r="U44" i="48"/>
  <c r="T53" i="48"/>
  <c r="Q44" i="48"/>
  <c r="V44" i="48"/>
  <c r="AJ32" i="48"/>
  <c r="S21" i="48"/>
  <c r="X15" i="48"/>
  <c r="Q18" i="48"/>
  <c r="AJ11" i="48"/>
  <c r="AH10" i="48"/>
  <c r="AB30" i="48"/>
  <c r="V10" i="48"/>
  <c r="AB19" i="48"/>
  <c r="J30" i="48"/>
  <c r="V36" i="48"/>
  <c r="T52" i="48"/>
  <c r="K44" i="48"/>
  <c r="T40" i="48"/>
  <c r="K40" i="48"/>
  <c r="V35" i="48"/>
  <c r="AE45" i="48"/>
  <c r="P34" i="48"/>
  <c r="AE22" i="48"/>
  <c r="AA21" i="48"/>
  <c r="O22" i="48"/>
  <c r="AF18" i="48"/>
  <c r="S30" i="48"/>
  <c r="AD9" i="48"/>
  <c r="AJ19" i="48"/>
  <c r="AJ21" i="48"/>
  <c r="U26" i="48"/>
  <c r="N26" i="48"/>
  <c r="Y33" i="48"/>
  <c r="P46" i="48"/>
  <c r="AA35" i="48"/>
  <c r="T34" i="48"/>
  <c r="Z42" i="48"/>
  <c r="M35" i="48"/>
  <c r="Y9" i="48"/>
  <c r="P45" i="48"/>
  <c r="AJ16" i="48"/>
  <c r="AI11" i="48"/>
  <c r="AJ28" i="48"/>
  <c r="L16" i="48"/>
  <c r="AC10" i="48"/>
  <c r="AD19" i="48"/>
  <c r="W14" i="48"/>
  <c r="Z22" i="48"/>
  <c r="N20" i="48"/>
  <c r="T15" i="48"/>
  <c r="O40" i="48"/>
  <c r="N32" i="48"/>
  <c r="Q48" i="48"/>
  <c r="AK21" i="48"/>
  <c r="AI22" i="48"/>
  <c r="P17" i="48"/>
  <c r="L29" i="48"/>
  <c r="X28" i="48"/>
  <c r="AD12" i="48"/>
  <c r="P24" i="48"/>
  <c r="M15" i="48"/>
  <c r="AH16" i="48"/>
  <c r="U37" i="48"/>
  <c r="N43" i="48"/>
  <c r="S40" i="48"/>
  <c r="AJ51" i="48"/>
  <c r="L51" i="48"/>
  <c r="AI40" i="48"/>
  <c r="U50" i="48"/>
  <c r="R11" i="48"/>
  <c r="AG30" i="48"/>
  <c r="Q13" i="48"/>
  <c r="J16" i="48"/>
  <c r="P18" i="48"/>
  <c r="AJ17" i="48"/>
  <c r="K20" i="48"/>
  <c r="AG23" i="48"/>
  <c r="AE14" i="48"/>
  <c r="O17" i="48"/>
  <c r="Y31" i="48"/>
  <c r="AH35" i="48"/>
  <c r="X45" i="48"/>
  <c r="AB47" i="48"/>
  <c r="AG37" i="48"/>
  <c r="M45" i="48"/>
  <c r="Z26" i="48"/>
  <c r="Y18" i="48"/>
  <c r="R27" i="48"/>
  <c r="AH20" i="48"/>
  <c r="K11" i="48"/>
  <c r="O21" i="48"/>
  <c r="AH11" i="48"/>
  <c r="O26" i="48"/>
  <c r="AI20" i="48"/>
  <c r="AE17" i="48"/>
  <c r="AH51" i="48"/>
  <c r="K52" i="48"/>
  <c r="X42" i="48"/>
  <c r="AL36" i="48"/>
  <c r="AA41" i="48"/>
  <c r="W41" i="48"/>
  <c r="P31" i="48"/>
  <c r="S28" i="48"/>
  <c r="V31" i="48"/>
  <c r="I16" i="48"/>
  <c r="AC24" i="48"/>
  <c r="J24" i="48"/>
  <c r="L9" i="48"/>
  <c r="P30" i="48"/>
  <c r="AG15" i="48"/>
  <c r="Z27" i="48"/>
  <c r="AD15" i="48"/>
  <c r="M50" i="48"/>
  <c r="Y40" i="48"/>
  <c r="AG36" i="48"/>
  <c r="V32" i="48"/>
  <c r="N45" i="48"/>
  <c r="Q34" i="48"/>
  <c r="S36" i="48"/>
  <c r="AE50" i="48"/>
  <c r="Z17" i="48"/>
  <c r="AJ25" i="48"/>
  <c r="X14" i="48"/>
  <c r="M9" i="48"/>
  <c r="W11" i="48"/>
  <c r="W10" i="48"/>
  <c r="X9" i="48"/>
  <c r="Z40" i="48"/>
  <c r="AD35" i="48"/>
  <c r="AB49" i="48"/>
  <c r="P42" i="48"/>
  <c r="Y53" i="48"/>
  <c r="W34" i="48"/>
  <c r="Y47" i="48"/>
  <c r="K53" i="48"/>
  <c r="N36" i="48"/>
  <c r="AE33" i="48"/>
  <c r="Q24" i="48"/>
  <c r="AA18" i="48"/>
  <c r="T10" i="48"/>
  <c r="AG19" i="48"/>
  <c r="M21" i="48"/>
  <c r="N17" i="48"/>
  <c r="P13" i="48"/>
  <c r="Z11" i="48"/>
  <c r="M39" i="48"/>
  <c r="AK41" i="48"/>
  <c r="AK49" i="48"/>
  <c r="I39" i="48"/>
  <c r="S39" i="48"/>
  <c r="N49" i="48"/>
  <c r="AE24" i="48"/>
  <c r="AA16" i="48"/>
  <c r="V30" i="48"/>
  <c r="AI24" i="48"/>
  <c r="Y26" i="48"/>
  <c r="AL16" i="48"/>
  <c r="AE13" i="48"/>
  <c r="K21" i="48"/>
  <c r="AJ13" i="48"/>
  <c r="AI23" i="48"/>
  <c r="Q33" i="48"/>
  <c r="AI33" i="48"/>
  <c r="AI34" i="48"/>
  <c r="Z44" i="48"/>
  <c r="T13" i="48"/>
  <c r="W9" i="48"/>
  <c r="Q26" i="48"/>
  <c r="L23" i="48"/>
  <c r="N22" i="48"/>
  <c r="X17" i="48"/>
  <c r="AA14" i="48"/>
  <c r="AA23" i="48"/>
  <c r="AL28" i="48"/>
  <c r="P25" i="48"/>
  <c r="K22" i="48"/>
  <c r="AK36" i="48"/>
  <c r="Y11" i="48"/>
  <c r="AE52" i="48"/>
  <c r="Q46" i="48"/>
  <c r="S52" i="48"/>
  <c r="J35" i="48"/>
  <c r="J11" i="48"/>
  <c r="AG13" i="48"/>
  <c r="U18" i="48"/>
  <c r="AK28" i="48"/>
  <c r="R16" i="48"/>
  <c r="Y23" i="48"/>
  <c r="S9" i="48"/>
  <c r="Z20" i="48"/>
  <c r="M13" i="48"/>
  <c r="X31" i="48"/>
  <c r="Y49" i="48"/>
  <c r="Y44" i="48"/>
  <c r="AF43" i="48"/>
  <c r="U46" i="48"/>
  <c r="AF42" i="48"/>
  <c r="AE37" i="48"/>
  <c r="AF48" i="48"/>
  <c r="P28" i="48"/>
  <c r="AF47" i="48"/>
  <c r="V13" i="48"/>
  <c r="AD18" i="48"/>
  <c r="X21" i="48"/>
  <c r="M25" i="48"/>
  <c r="AA17" i="48"/>
  <c r="AE26" i="48"/>
  <c r="AI27" i="48"/>
  <c r="AH30" i="48"/>
  <c r="AG14" i="48"/>
  <c r="AG20" i="48"/>
  <c r="AE23" i="48"/>
  <c r="AB48" i="48"/>
  <c r="P43" i="48"/>
  <c r="T35" i="48"/>
  <c r="R41" i="48"/>
  <c r="S37" i="48"/>
  <c r="AH37" i="48"/>
  <c r="AE31" i="48"/>
  <c r="K43" i="48"/>
  <c r="AG45" i="48"/>
  <c r="L41" i="48"/>
  <c r="AB26" i="48"/>
  <c r="AI16" i="48"/>
  <c r="AD23" i="48"/>
  <c r="AC15" i="48"/>
  <c r="AB14" i="48"/>
  <c r="L10" i="48"/>
  <c r="J21" i="48"/>
  <c r="Y17" i="48"/>
  <c r="M20" i="48"/>
  <c r="S29" i="48"/>
  <c r="P11" i="48"/>
  <c r="J53" i="48"/>
  <c r="M52" i="48"/>
  <c r="AG39" i="48"/>
  <c r="P39" i="48"/>
  <c r="P14" i="48"/>
  <c r="AL25" i="48"/>
  <c r="X19" i="48"/>
  <c r="I21" i="48"/>
  <c r="X26" i="48"/>
  <c r="AC17" i="48"/>
  <c r="AC26" i="48"/>
  <c r="AE20" i="48"/>
  <c r="AB25" i="48"/>
  <c r="K26" i="48"/>
  <c r="AJ27" i="48"/>
  <c r="AG40" i="48"/>
  <c r="T32" i="48"/>
  <c r="AA32" i="48"/>
  <c r="AD46" i="48"/>
  <c r="Y22" i="48"/>
  <c r="R14" i="48"/>
  <c r="V21" i="48"/>
  <c r="J26" i="48"/>
  <c r="I30" i="48"/>
  <c r="W30" i="48"/>
  <c r="AL12" i="48"/>
  <c r="S17" i="48"/>
  <c r="I14" i="48"/>
  <c r="AL23" i="48"/>
  <c r="AI10" i="48"/>
  <c r="Z34" i="48"/>
  <c r="V11" i="48"/>
  <c r="S42" i="48"/>
  <c r="O45" i="48"/>
  <c r="Z13" i="48"/>
  <c r="AF51" i="48"/>
  <c r="J25" i="48"/>
  <c r="AI29" i="48"/>
  <c r="AF12" i="48"/>
  <c r="R15" i="48"/>
  <c r="AG18" i="48"/>
  <c r="M10" i="48"/>
  <c r="Y15" i="48"/>
  <c r="W17" i="48"/>
  <c r="Q31" i="48"/>
  <c r="AE43" i="48"/>
  <c r="AC36" i="48"/>
  <c r="K18" i="48"/>
  <c r="J40" i="48"/>
  <c r="AJ52" i="48"/>
  <c r="AI48" i="48"/>
  <c r="Z53" i="48"/>
  <c r="AG9" i="48"/>
  <c r="AC13" i="48"/>
  <c r="AL18" i="48"/>
  <c r="I11" i="48"/>
  <c r="AG11" i="48"/>
  <c r="AB9" i="48"/>
  <c r="V29" i="48"/>
  <c r="J48" i="48"/>
  <c r="T49" i="48"/>
  <c r="AD41" i="48"/>
  <c r="AB31" i="48"/>
  <c r="AF39" i="48"/>
  <c r="S34" i="48"/>
  <c r="L49" i="48"/>
  <c r="AD42" i="48"/>
  <c r="Q10" i="48"/>
  <c r="Q14" i="48"/>
  <c r="I15" i="48"/>
  <c r="S22" i="48"/>
  <c r="T24" i="48"/>
  <c r="Q27" i="48"/>
  <c r="U13" i="48"/>
  <c r="M24" i="48"/>
  <c r="AJ29" i="48"/>
  <c r="V23" i="48"/>
  <c r="AK39" i="48"/>
  <c r="Q45" i="48"/>
  <c r="Y10" i="48"/>
  <c r="L17" i="48"/>
  <c r="AG24" i="48"/>
  <c r="Z14" i="48"/>
  <c r="K28" i="48"/>
  <c r="AG22" i="48"/>
  <c r="Q17" i="48"/>
  <c r="AD17" i="48"/>
  <c r="V26" i="48"/>
  <c r="I28" i="48"/>
  <c r="V53" i="48"/>
  <c r="AF41" i="48"/>
  <c r="U41" i="48"/>
  <c r="Y29" i="48"/>
  <c r="Z48" i="48"/>
  <c r="J47" i="48"/>
  <c r="S27" i="48"/>
  <c r="S14" i="48"/>
  <c r="W16" i="48"/>
  <c r="AK25" i="48"/>
  <c r="K23" i="48"/>
  <c r="AE12" i="48"/>
  <c r="Y13" i="48"/>
  <c r="R24" i="48"/>
  <c r="K10" i="48"/>
  <c r="O48" i="48"/>
  <c r="M36" i="48"/>
  <c r="O35" i="48"/>
  <c r="J28" i="48"/>
  <c r="Z43" i="48"/>
  <c r="AJ41" i="48"/>
  <c r="AH13" i="48"/>
  <c r="AF14" i="48"/>
  <c r="AB27" i="48"/>
  <c r="K24" i="48"/>
  <c r="AJ18" i="48"/>
  <c r="R9" i="48"/>
  <c r="AF13" i="48"/>
  <c r="P21" i="48"/>
  <c r="L15" i="48"/>
  <c r="AG21" i="48"/>
  <c r="Y43" i="48"/>
  <c r="AB34" i="48"/>
  <c r="AG44" i="48"/>
  <c r="AC32" i="48"/>
  <c r="N34" i="48"/>
  <c r="V51" i="48"/>
  <c r="Q37" i="48"/>
  <c r="AK40" i="48"/>
  <c r="W22" i="48"/>
  <c r="AJ31" i="48"/>
  <c r="AK18" i="48"/>
  <c r="Y30" i="48"/>
  <c r="I26" i="48"/>
  <c r="AA15" i="48"/>
  <c r="P23" i="48"/>
  <c r="P49" i="48"/>
  <c r="T46" i="48"/>
  <c r="AD33" i="48"/>
  <c r="AI21" i="48"/>
  <c r="Q43" i="48"/>
  <c r="V52" i="48"/>
  <c r="R44" i="48"/>
  <c r="AB16" i="48"/>
  <c r="AH19" i="48"/>
  <c r="AD11" i="48"/>
  <c r="O30" i="48"/>
  <c r="AB10" i="48"/>
  <c r="U29" i="48"/>
  <c r="O24" i="48"/>
  <c r="U20" i="48"/>
  <c r="Z15" i="48"/>
  <c r="AF23" i="48"/>
  <c r="L32" i="48"/>
  <c r="AL46" i="48"/>
  <c r="AI46" i="48"/>
  <c r="I36" i="48"/>
  <c r="L43" i="48"/>
  <c r="AH50" i="48"/>
  <c r="L45" i="48"/>
  <c r="AE46" i="48"/>
  <c r="S51" i="48"/>
  <c r="L19" i="48"/>
  <c r="X23" i="48"/>
  <c r="S31" i="48"/>
  <c r="AK10" i="48"/>
  <c r="T18" i="48"/>
  <c r="T19" i="48"/>
  <c r="AG10" i="48"/>
  <c r="T21" i="48"/>
  <c r="AK9" i="48"/>
  <c r="AC18" i="48"/>
  <c r="AH14" i="48"/>
  <c r="K51" i="48"/>
  <c r="M38" i="48"/>
  <c r="AD37" i="48"/>
  <c r="R40" i="48"/>
  <c r="AH42" i="48"/>
  <c r="X48" i="48"/>
  <c r="I29" i="48"/>
  <c r="U28" i="48"/>
  <c r="L14" i="48"/>
  <c r="AF21" i="48"/>
  <c r="X13" i="48"/>
  <c r="Z23" i="48"/>
  <c r="P9" i="48"/>
  <c r="AB22" i="48"/>
  <c r="K17" i="48"/>
  <c r="AG26" i="48"/>
  <c r="AL10" i="48"/>
  <c r="AG46" i="48"/>
  <c r="AE35" i="48"/>
  <c r="Z31" i="48"/>
  <c r="AL35" i="48"/>
  <c r="AJ37" i="48"/>
  <c r="U43" i="48"/>
  <c r="AK19" i="48"/>
  <c r="AE30" i="48"/>
  <c r="AL20" i="48"/>
  <c r="I19" i="48"/>
  <c r="AJ15" i="48"/>
  <c r="U10" i="48"/>
  <c r="AD29" i="48"/>
  <c r="W25" i="48"/>
  <c r="X22" i="48"/>
  <c r="AF15" i="48"/>
  <c r="N42" i="48"/>
  <c r="AH40" i="48"/>
  <c r="AI44" i="48"/>
  <c r="AE25" i="48"/>
  <c r="AJ14" i="48"/>
  <c r="M22" i="48"/>
  <c r="T12" i="48"/>
  <c r="Z28" i="48"/>
  <c r="Q11" i="48"/>
  <c r="AD16" i="48"/>
  <c r="Z18" i="48"/>
  <c r="AH12" i="48"/>
  <c r="R30" i="48"/>
  <c r="AB52" i="48"/>
  <c r="Q39" i="48"/>
  <c r="T45" i="48"/>
  <c r="AJ40" i="48"/>
  <c r="AD38" i="48"/>
  <c r="Q36" i="48"/>
  <c r="AF34" i="48"/>
  <c r="M43" i="48"/>
  <c r="J44" i="48"/>
  <c r="I24" i="48"/>
  <c r="J22" i="48"/>
  <c r="J27" i="48"/>
  <c r="M28" i="48"/>
  <c r="AJ9" i="48"/>
  <c r="AB24" i="48"/>
  <c r="AB17" i="48"/>
  <c r="L18" i="48"/>
  <c r="U17" i="48"/>
  <c r="AC21" i="48"/>
  <c r="AH39" i="48"/>
  <c r="L34" i="48"/>
  <c r="AK33" i="48"/>
  <c r="N53" i="48"/>
  <c r="AL53" i="48"/>
  <c r="AL40" i="48"/>
  <c r="S35" i="48"/>
  <c r="V9" i="48"/>
  <c r="AL30" i="48"/>
  <c r="U25" i="48"/>
  <c r="AL17" i="48"/>
  <c r="AA25" i="48"/>
  <c r="AC14" i="48"/>
  <c r="V27" i="48"/>
  <c r="AA13" i="48"/>
  <c r="AB15" i="48"/>
  <c r="AJ26" i="48"/>
  <c r="N18" i="48"/>
  <c r="AJ42" i="48"/>
  <c r="AH53" i="48"/>
  <c r="O52" i="48"/>
  <c r="U47" i="48"/>
  <c r="AL38" i="48"/>
  <c r="P35" i="48"/>
  <c r="Z19" i="48"/>
  <c r="V20" i="48"/>
  <c r="AC11" i="48"/>
  <c r="K12" i="48"/>
  <c r="T30" i="48"/>
  <c r="R10" i="48"/>
  <c r="M11" i="48"/>
  <c r="AE27" i="48"/>
  <c r="S15" i="48"/>
  <c r="K45" i="48"/>
  <c r="I47" i="48"/>
  <c r="AC52" i="48"/>
  <c r="AK47" i="48"/>
  <c r="AH36" i="48"/>
  <c r="AI53" i="48"/>
  <c r="P36" i="48"/>
  <c r="AA39" i="48"/>
  <c r="L11" i="48"/>
  <c r="N15" i="48"/>
  <c r="AK24" i="48"/>
  <c r="AC16" i="48"/>
  <c r="P15" i="48"/>
  <c r="P16" i="48"/>
  <c r="AE15" i="48"/>
  <c r="U21" i="48"/>
  <c r="AK43" i="48"/>
  <c r="T29" i="48"/>
  <c r="R33" i="48"/>
  <c r="AA42" i="48"/>
  <c r="P38" i="48"/>
  <c r="K32" i="48"/>
  <c r="M37" i="48"/>
  <c r="V38" i="48"/>
  <c r="Y16" i="48"/>
  <c r="J43" i="48"/>
  <c r="T44" i="48"/>
  <c r="X20" i="48"/>
  <c r="U14" i="48"/>
  <c r="S16" i="48"/>
  <c r="U23" i="48"/>
  <c r="AK12" i="48"/>
  <c r="O14" i="48"/>
  <c r="V28" i="48"/>
  <c r="U30" i="48"/>
  <c r="M18" i="48"/>
  <c r="K14" i="48"/>
  <c r="AC27" i="48"/>
  <c r="Q49" i="48"/>
  <c r="AL41" i="48"/>
  <c r="V43" i="48"/>
  <c r="AB33" i="48"/>
  <c r="X38" i="48"/>
  <c r="R52" i="48"/>
  <c r="O41" i="48"/>
  <c r="J46" i="48"/>
  <c r="O18" i="48"/>
  <c r="J29" i="48"/>
  <c r="W26" i="48"/>
  <c r="AF27" i="48"/>
  <c r="AJ20" i="48"/>
  <c r="AH18" i="48"/>
  <c r="Z12" i="48"/>
  <c r="T22" i="48"/>
  <c r="J14" i="48"/>
  <c r="AH25" i="48"/>
  <c r="AI25" i="48"/>
  <c r="S44" i="48"/>
  <c r="Q35" i="48"/>
  <c r="AK51" i="48"/>
  <c r="W29" i="48"/>
  <c r="AE36" i="48"/>
  <c r="R35" i="48"/>
  <c r="AC9" i="48"/>
  <c r="M12" i="48"/>
  <c r="N23" i="48"/>
  <c r="N9" i="48"/>
  <c r="U27" i="48"/>
  <c r="R12" i="48"/>
  <c r="AH26" i="48"/>
  <c r="X11" i="48"/>
  <c r="M14" i="48"/>
  <c r="V18" i="48"/>
  <c r="Q15" i="48"/>
  <c r="AA27" i="48"/>
  <c r="AD26" i="48"/>
  <c r="W27" i="48"/>
  <c r="AF17" i="48"/>
  <c r="L20" i="48"/>
  <c r="P33" i="48"/>
  <c r="U34" i="48"/>
  <c r="K39" i="48"/>
  <c r="AH31" i="48"/>
  <c r="V47" i="48"/>
  <c r="U39" i="48"/>
  <c r="AB39" i="48"/>
  <c r="W12" i="48"/>
  <c r="Z24" i="48"/>
  <c r="J10" i="48"/>
  <c r="T23" i="48"/>
  <c r="T11" i="48"/>
  <c r="AG29" i="48"/>
  <c r="J20" i="48"/>
  <c r="K16" i="48"/>
  <c r="V15" i="48"/>
  <c r="AG28" i="48"/>
  <c r="AI50" i="48"/>
  <c r="AI51" i="48"/>
  <c r="T39" i="48"/>
  <c r="M34" i="48"/>
  <c r="AK16" i="48"/>
  <c r="J45" i="48"/>
  <c r="AG34" i="48"/>
  <c r="L33" i="48"/>
  <c r="J42" i="48"/>
  <c r="AA19" i="48"/>
  <c r="AF30" i="48"/>
  <c r="P20" i="48"/>
  <c r="N21" i="48"/>
  <c r="Q20" i="48"/>
  <c r="O25" i="48"/>
  <c r="J15" i="48"/>
  <c r="I20" i="48"/>
  <c r="S13" i="48"/>
  <c r="J33" i="48"/>
  <c r="X24" i="48"/>
  <c r="AL50" i="48"/>
  <c r="X47" i="48"/>
  <c r="R49" i="48"/>
  <c r="L52" i="48"/>
  <c r="Z25" i="48"/>
  <c r="T20" i="48"/>
  <c r="Q16" i="48"/>
  <c r="AJ10" i="48"/>
  <c r="AA10" i="48"/>
  <c r="O23" i="48"/>
  <c r="O13" i="48"/>
  <c r="X27" i="48"/>
  <c r="AC30" i="48"/>
  <c r="AL29" i="48"/>
  <c r="S18" i="48"/>
  <c r="X39" i="48"/>
  <c r="AG12" i="48"/>
  <c r="AE16" i="48"/>
  <c r="AB28" i="48"/>
  <c r="X34" i="48"/>
  <c r="AE32" i="48"/>
  <c r="N12" i="48"/>
  <c r="T26" i="48"/>
  <c r="Q25" i="48"/>
  <c r="AL26" i="48"/>
  <c r="Q30" i="48"/>
  <c r="I12" i="48"/>
  <c r="L12" i="48"/>
  <c r="Y20" i="48"/>
  <c r="N19" i="48"/>
  <c r="L22" i="48"/>
  <c r="AE10" i="48"/>
  <c r="Z50" i="48"/>
  <c r="AF36" i="48"/>
  <c r="N25" i="48"/>
  <c r="AF37" i="48"/>
  <c r="AK31" i="48"/>
  <c r="U42" i="48"/>
  <c r="P50" i="48"/>
  <c r="AI18" i="48"/>
  <c r="J23" i="48"/>
  <c r="AA22" i="48"/>
  <c r="AH22" i="48"/>
  <c r="AA24" i="48"/>
  <c r="N30" i="48"/>
  <c r="L21" i="48"/>
  <c r="AD20" i="48"/>
  <c r="L38" i="48"/>
  <c r="V25" i="48"/>
  <c r="T50" i="48"/>
  <c r="T33" i="48"/>
  <c r="J32" i="48"/>
  <c r="P51" i="48"/>
  <c r="AB32" i="48"/>
  <c r="AA33" i="48"/>
  <c r="U51" i="48"/>
  <c r="AG32" i="48"/>
  <c r="AF38" i="48"/>
  <c r="M41" i="48"/>
  <c r="AE18" i="48"/>
  <c r="AD27" i="48"/>
  <c r="V14" i="48"/>
  <c r="T14" i="48"/>
  <c r="AC12" i="48"/>
  <c r="N28" i="48"/>
  <c r="AF9" i="48"/>
  <c r="AB18" i="48"/>
  <c r="AL44" i="48"/>
  <c r="L50" i="48"/>
  <c r="X51" i="48"/>
  <c r="AC46" i="48"/>
  <c r="AK50" i="48"/>
  <c r="O15" i="48"/>
  <c r="V42" i="48"/>
  <c r="N51" i="48"/>
  <c r="X12" i="48"/>
  <c r="AC29" i="48"/>
  <c r="AI28" i="48"/>
  <c r="V17" i="48"/>
  <c r="AE9" i="48"/>
  <c r="AG25" i="48"/>
  <c r="AA26" i="48"/>
  <c r="R25" i="48"/>
  <c r="AB23" i="48"/>
  <c r="AG16" i="48"/>
  <c r="P22" i="48"/>
  <c r="AK14" i="48"/>
  <c r="S26" i="48"/>
  <c r="W23" i="48"/>
  <c r="J19" i="48"/>
  <c r="U15" i="48"/>
  <c r="Z30" i="48"/>
  <c r="W15" i="48"/>
  <c r="AG33" i="48"/>
  <c r="R22" i="48"/>
  <c r="W35" i="48"/>
  <c r="AL48" i="48"/>
  <c r="AJ23" i="48"/>
  <c r="AI38" i="48"/>
  <c r="U9" i="48"/>
  <c r="L26" i="48"/>
  <c r="P12" i="48"/>
  <c r="V12" i="48"/>
  <c r="Z29" i="48"/>
  <c r="L24" i="48"/>
  <c r="O20" i="48"/>
  <c r="Y28" i="48"/>
  <c r="AC50" i="48"/>
  <c r="AL43" i="48"/>
  <c r="T43" i="48"/>
  <c r="X30" i="48"/>
  <c r="S33" i="48"/>
  <c r="I38" i="48"/>
  <c r="AJ12" i="48"/>
  <c r="I22" i="48"/>
  <c r="M19" i="48"/>
  <c r="R17" i="48"/>
  <c r="J13" i="48"/>
  <c r="AF19" i="48"/>
  <c r="AD22" i="48"/>
  <c r="AF29" i="48"/>
  <c r="AI26" i="48"/>
  <c r="S20" i="48"/>
  <c r="AL11" i="48"/>
  <c r="AC45" i="48"/>
  <c r="M46" i="48"/>
  <c r="AL37" i="48"/>
  <c r="AE51" i="48"/>
  <c r="V39" i="48"/>
  <c r="AE39" i="48"/>
  <c r="M31" i="48"/>
  <c r="AD50" i="48"/>
  <c r="AH24" i="48"/>
  <c r="AL13" i="48"/>
  <c r="AK27" i="48"/>
  <c r="I13" i="48"/>
  <c r="AJ22" i="48"/>
  <c r="O9" i="48"/>
  <c r="AK11" i="48"/>
  <c r="AH9" i="48"/>
  <c r="K13" i="48"/>
  <c r="AD30" i="48"/>
  <c r="AA28" i="48"/>
  <c r="K38" i="48"/>
  <c r="M51" i="48"/>
  <c r="I49" i="48"/>
  <c r="Q38" i="48"/>
  <c r="AI49" i="48"/>
  <c r="W31" i="48"/>
  <c r="I48" i="48"/>
  <c r="N11" i="48"/>
  <c r="U16" i="48"/>
  <c r="U12" i="48"/>
  <c r="N16" i="48"/>
  <c r="R18" i="48"/>
  <c r="M16" i="48"/>
  <c r="AE19" i="48"/>
  <c r="AB21" i="48"/>
  <c r="O16" i="48"/>
  <c r="X29" i="48"/>
  <c r="AI15" i="48"/>
  <c r="AI47" i="48"/>
  <c r="Y34" i="48"/>
  <c r="R31" i="48"/>
  <c r="J51" i="48"/>
  <c r="AH49" i="48"/>
  <c r="AD51" i="48"/>
  <c r="M33" i="48"/>
  <c r="R47" i="48"/>
  <c r="AD39" i="48"/>
  <c r="AH48" i="48"/>
  <c r="S25" i="48"/>
  <c r="AI17" i="48"/>
  <c r="W19" i="48"/>
  <c r="S11" i="48"/>
  <c r="O10" i="48"/>
  <c r="I9" i="48"/>
  <c r="T27" i="48"/>
  <c r="AD14" i="48"/>
  <c r="Q12" i="48"/>
  <c r="AG47" i="48"/>
  <c r="AF31" i="48"/>
  <c r="AB20" i="48"/>
  <c r="U32" i="48"/>
  <c r="O47" i="48"/>
  <c r="O36" i="48"/>
  <c r="W45" i="48"/>
  <c r="O29" i="48"/>
  <c r="Q9" i="48"/>
  <c r="I18" i="48"/>
  <c r="Q28" i="48"/>
  <c r="L13" i="48"/>
  <c r="Q22" i="48"/>
  <c r="Y21" i="48"/>
  <c r="AK13" i="48"/>
  <c r="AJ24" i="48"/>
  <c r="AA12" i="48"/>
  <c r="AC25" i="48"/>
  <c r="R48" i="48"/>
  <c r="AD40" i="48"/>
  <c r="T25" i="48"/>
  <c r="Q42" i="48"/>
  <c r="K15" i="48"/>
  <c r="AH29" i="48"/>
  <c r="AE11" i="48"/>
  <c r="Z16" i="48"/>
  <c r="AL19" i="48"/>
  <c r="T28" i="48"/>
  <c r="AB12" i="48"/>
  <c r="X18" i="48"/>
  <c r="AG17" i="48"/>
  <c r="Z10" i="48"/>
  <c r="AI52" i="48"/>
  <c r="AK52" i="48"/>
  <c r="N37" i="48"/>
  <c r="AK45" i="48"/>
  <c r="X37" i="48"/>
  <c r="K34" i="48"/>
  <c r="AC34" i="48"/>
  <c r="AF49" i="48"/>
  <c r="AB40" i="48"/>
  <c r="W33" i="48"/>
  <c r="AH33" i="48"/>
  <c r="K37" i="48"/>
  <c r="AJ45" i="48"/>
  <c r="AA45" i="48"/>
  <c r="Y39" i="48"/>
  <c r="AC39" i="48"/>
  <c r="AH41" i="48"/>
  <c r="AG35" i="48"/>
  <c r="AF50" i="48"/>
  <c r="S49" i="48"/>
  <c r="AG43" i="48"/>
  <c r="AD49" i="48"/>
  <c r="N50" i="48"/>
  <c r="L39" i="48"/>
  <c r="O39" i="48"/>
  <c r="M47" i="48"/>
  <c r="L42" i="48"/>
  <c r="I35" i="48"/>
  <c r="L44" i="48"/>
  <c r="V41" i="48"/>
  <c r="W43" i="48"/>
  <c r="AK37" i="48"/>
  <c r="AL34" i="48"/>
  <c r="W39" i="48"/>
  <c r="AI42" i="48"/>
  <c r="X46" i="48"/>
  <c r="Y50" i="48"/>
  <c r="K48" i="48"/>
  <c r="AF22" i="48"/>
  <c r="K46" i="48"/>
  <c r="J50" i="48"/>
  <c r="P44" i="48"/>
  <c r="AA30" i="48"/>
  <c r="AG31" i="48"/>
  <c r="AA53" i="48"/>
  <c r="AH47" i="48"/>
  <c r="AK32" i="48"/>
  <c r="AA34" i="48"/>
  <c r="L31" i="48"/>
  <c r="S32" i="48"/>
  <c r="Z35" i="48"/>
  <c r="K42" i="48"/>
  <c r="AA49" i="48"/>
  <c r="AJ33" i="48"/>
  <c r="I31" i="48"/>
  <c r="J36" i="48"/>
  <c r="O43" i="48"/>
  <c r="Z33" i="48"/>
  <c r="M53" i="48"/>
  <c r="AJ43" i="48"/>
  <c r="R39" i="48"/>
  <c r="Q47" i="48"/>
  <c r="AG49" i="48"/>
  <c r="AH34" i="48"/>
  <c r="I53" i="48"/>
  <c r="AL51" i="48"/>
  <c r="Q40" i="48"/>
  <c r="W37" i="48"/>
  <c r="O33" i="48"/>
  <c r="I40" i="48"/>
  <c r="AD32" i="48"/>
  <c r="Q52" i="48"/>
  <c r="P53" i="48"/>
  <c r="AF53" i="48"/>
  <c r="N31" i="48"/>
  <c r="AC40" i="48"/>
  <c r="AC37" i="48"/>
  <c r="N10" i="48"/>
  <c r="AC38" i="48"/>
  <c r="P48" i="48"/>
  <c r="AG38" i="48"/>
  <c r="P52" i="48"/>
  <c r="O50" i="48"/>
  <c r="AL52" i="48"/>
  <c r="AG51" i="48"/>
  <c r="Z36" i="48"/>
  <c r="AH46" i="48"/>
  <c r="O51" i="48"/>
  <c r="AJ50" i="48"/>
  <c r="R42" i="48"/>
  <c r="V19" i="48"/>
  <c r="AI36" i="48"/>
  <c r="AK46" i="48"/>
  <c r="O32" i="48"/>
  <c r="AI32" i="48"/>
  <c r="AK53" i="48"/>
  <c r="I42" i="48"/>
  <c r="AB42" i="48"/>
  <c r="L36" i="48"/>
  <c r="V50" i="48"/>
  <c r="AG48" i="48"/>
  <c r="AD48" i="48"/>
  <c r="Y42" i="48"/>
  <c r="U36" i="48"/>
  <c r="AB43" i="48"/>
  <c r="V34" i="48"/>
  <c r="K33" i="48"/>
  <c r="W50" i="48"/>
  <c r="AF45" i="48"/>
  <c r="AL49" i="48"/>
  <c r="N35" i="48"/>
  <c r="T41" i="48"/>
  <c r="T37" i="48"/>
  <c r="AC51" i="48"/>
  <c r="AG50" i="48"/>
  <c r="X52" i="48"/>
  <c r="AI41" i="48"/>
  <c r="R43" i="48"/>
  <c r="I34" i="48"/>
  <c r="K30" i="48"/>
  <c r="W51" i="48"/>
  <c r="N52" i="48"/>
  <c r="X40" i="48"/>
  <c r="AD45" i="48"/>
  <c r="P41" i="48"/>
  <c r="Y45" i="48"/>
  <c r="R51" i="48"/>
  <c r="AA43" i="48"/>
  <c r="AA50" i="48"/>
  <c r="L37" i="48"/>
  <c r="K50" i="48"/>
  <c r="Q51" i="48"/>
  <c r="AE49" i="48"/>
  <c r="AK48" i="48"/>
  <c r="Y52" i="48"/>
  <c r="AF40" i="48"/>
  <c r="K35" i="48"/>
  <c r="W36" i="48"/>
  <c r="AA36" i="48"/>
  <c r="V40" i="48"/>
  <c r="U45" i="48"/>
  <c r="M32" i="48"/>
  <c r="AL42" i="48"/>
  <c r="U53" i="48"/>
  <c r="J39" i="48"/>
  <c r="AJ53" i="48"/>
  <c r="AE48" i="48"/>
  <c r="U52" i="48"/>
  <c r="K36" i="48"/>
  <c r="N48" i="48"/>
  <c r="AB45" i="48"/>
  <c r="AH43" i="48"/>
  <c r="AC31" i="48"/>
  <c r="Q29" i="48"/>
  <c r="AJ39" i="48"/>
  <c r="J31" i="48"/>
  <c r="AH21" i="48"/>
  <c r="AC43" i="48"/>
  <c r="P37" i="48"/>
  <c r="X53" i="48"/>
  <c r="O34" i="48"/>
  <c r="V33" i="48"/>
  <c r="AH52" i="48"/>
  <c r="AD52" i="48"/>
  <c r="AE40" i="48"/>
  <c r="K49" i="48"/>
  <c r="AK34" i="48"/>
  <c r="T36" i="48"/>
  <c r="S43" i="48"/>
  <c r="W42" i="48"/>
  <c r="W38" i="48"/>
  <c r="AL33" i="48"/>
  <c r="S53" i="48"/>
  <c r="I51" i="48"/>
  <c r="Y38" i="48"/>
  <c r="AJ49" i="48"/>
  <c r="Y37" i="48"/>
  <c r="Y36" i="48"/>
  <c r="AD34" i="48"/>
  <c r="AJ47" i="48"/>
  <c r="AA52" i="48"/>
  <c r="W48" i="48"/>
  <c r="AF33" i="48"/>
  <c r="U40" i="48"/>
  <c r="AE44" i="48"/>
  <c r="N40" i="48"/>
  <c r="AH32" i="48"/>
  <c r="R37" i="48"/>
  <c r="Q50" i="48"/>
  <c r="R32" i="48"/>
  <c r="AA44" i="48"/>
  <c r="AJ44" i="48"/>
  <c r="J38" i="48"/>
  <c r="AC44" i="48"/>
  <c r="AD43" i="48"/>
  <c r="N38" i="48"/>
  <c r="X32" i="48"/>
  <c r="AI31" i="48"/>
  <c r="Z37" i="48"/>
  <c r="AB46" i="48"/>
  <c r="I52" i="48"/>
  <c r="Y51" i="48"/>
  <c r="W46" i="48"/>
  <c r="U48" i="48"/>
  <c r="X43" i="48"/>
  <c r="W32" i="48"/>
  <c r="AG52" i="48"/>
  <c r="Y48" i="48"/>
  <c r="X36" i="48"/>
  <c r="W44" i="48"/>
  <c r="T38" i="48"/>
  <c r="AD44" i="48"/>
  <c r="L46" i="48"/>
  <c r="T48" i="48"/>
  <c r="AI35" i="48"/>
  <c r="M48" i="48"/>
  <c r="S45" i="48"/>
  <c r="L53" i="48"/>
  <c r="AB53" i="48"/>
  <c r="AF32" i="48"/>
  <c r="AI45" i="48"/>
  <c r="O46" i="48"/>
  <c r="V46" i="48"/>
  <c r="AK35" i="48"/>
  <c r="U33" i="48"/>
  <c r="R38" i="48"/>
  <c r="O42" i="48"/>
  <c r="O44" i="48"/>
  <c r="U35" i="48"/>
  <c r="V37" i="48"/>
  <c r="X35" i="48"/>
  <c r="Z32" i="48"/>
  <c r="Y35" i="48"/>
  <c r="U49" i="48"/>
  <c r="Q23" i="48"/>
  <c r="O53" i="48"/>
  <c r="O31" i="48"/>
  <c r="V45" i="48"/>
  <c r="I37" i="48"/>
  <c r="Z45" i="48"/>
  <c r="AH44" i="48"/>
  <c r="AG42" i="48"/>
  <c r="L48" i="48"/>
  <c r="P40" i="48"/>
  <c r="T31" i="48"/>
  <c r="I44" i="48"/>
  <c r="AC41" i="48"/>
  <c r="AF52" i="48"/>
  <c r="Z52" i="48"/>
  <c r="M49" i="48"/>
  <c r="AB44" i="48"/>
  <c r="T51" i="48"/>
  <c r="M40" i="48"/>
  <c r="AF35" i="48"/>
  <c r="L30" i="48"/>
  <c r="AB38" i="48"/>
  <c r="Y32" i="48"/>
  <c r="K47" i="48"/>
  <c r="Z46" i="48"/>
  <c r="N39" i="48"/>
  <c r="N44" i="48"/>
  <c r="AF44" i="48"/>
  <c r="R53" i="48"/>
  <c r="X33" i="48"/>
  <c r="U38" i="48"/>
  <c r="I46" i="48"/>
  <c r="AA47" i="48"/>
  <c r="AL47" i="48"/>
  <c r="AK44" i="48"/>
  <c r="Z49" i="48"/>
  <c r="AB37" i="48"/>
  <c r="R34" i="48"/>
  <c r="Q41" i="48"/>
  <c r="AJ34" i="48"/>
  <c r="J37" i="48"/>
  <c r="AG53" i="48"/>
  <c r="Z39" i="48"/>
  <c r="AH38" i="48"/>
  <c r="AK38" i="48"/>
  <c r="AC53" i="48"/>
  <c r="N47" i="48"/>
  <c r="M42" i="48"/>
  <c r="Y41" i="48"/>
  <c r="J49" i="48"/>
  <c r="AJ30" i="48"/>
  <c r="I50" i="48"/>
  <c r="AI39" i="48"/>
  <c r="AD53" i="48"/>
  <c r="X41" i="48"/>
  <c r="AE34" i="48"/>
  <c r="Z38" i="48"/>
  <c r="AB29" i="48"/>
  <c r="J52" i="48"/>
  <c r="W49" i="48"/>
  <c r="AA38" i="48"/>
  <c r="T42" i="48"/>
  <c r="AF46" i="48"/>
  <c r="O49" i="48"/>
  <c r="R50" i="48"/>
  <c r="AB50" i="48"/>
  <c r="P47" i="48"/>
  <c r="Y25" i="48"/>
  <c r="AI37" i="48"/>
  <c r="AI43" i="48"/>
  <c r="Z41" i="48"/>
  <c r="AJ35" i="48"/>
  <c r="W53" i="48"/>
  <c r="AA37" i="48"/>
  <c r="I33" i="48"/>
  <c r="S47" i="48"/>
  <c r="L47" i="48"/>
  <c r="DZ4" i="46"/>
  <c r="DZ2" i="46" s="1"/>
  <c r="CP4" i="46"/>
  <c r="CP2" i="46" s="1"/>
  <c r="CA4" i="46"/>
  <c r="CA2" i="46" s="1"/>
  <c r="FA4" i="46"/>
  <c r="FA2" i="46" s="1"/>
  <c r="BX4" i="46"/>
  <c r="BX2" i="46" s="1"/>
  <c r="BU4" i="46"/>
  <c r="BU2" i="46" s="1"/>
  <c r="DK4" i="46"/>
  <c r="DK2" i="46" s="1"/>
  <c r="EL4" i="46"/>
  <c r="EL2" i="46" s="1"/>
  <c r="EO4" i="46"/>
  <c r="EO2" i="46" s="1"/>
  <c r="AE4" i="46"/>
  <c r="AE2" i="46" s="1"/>
  <c r="CS4" i="46"/>
  <c r="CS2" i="46" s="1"/>
  <c r="BR4" i="46"/>
  <c r="BR2" i="46" s="1"/>
  <c r="ER4" i="46"/>
  <c r="ER2" i="46" s="1"/>
  <c r="EX4" i="46"/>
  <c r="EX2" i="46" s="1"/>
  <c r="AN4" i="46"/>
  <c r="AN2" i="46" s="1"/>
  <c r="FG4" i="46"/>
  <c r="FG2" i="46" s="1"/>
  <c r="DQ4" i="46"/>
  <c r="DQ2" i="46" s="1"/>
  <c r="BF4" i="46"/>
  <c r="BF2" i="46" s="1"/>
  <c r="EC4" i="46"/>
  <c r="EC2" i="46" s="1"/>
  <c r="AZ4" i="46"/>
  <c r="AZ2" i="46" s="1"/>
  <c r="DB4" i="46"/>
  <c r="DB2" i="46" s="1"/>
  <c r="DW4" i="46"/>
  <c r="DW2" i="46" s="1"/>
  <c r="DN4" i="46"/>
  <c r="DN2" i="46" s="1"/>
  <c r="BC4" i="46"/>
  <c r="BC2" i="46" s="1"/>
  <c r="CD4" i="46"/>
  <c r="CD2" i="46" s="1"/>
  <c r="FD4" i="46"/>
  <c r="FD2" i="46" s="1"/>
  <c r="EF4" i="46"/>
  <c r="EF2" i="46" s="1"/>
  <c r="AQ4" i="46"/>
  <c r="AQ2" i="46" s="1"/>
  <c r="DE4" i="46"/>
  <c r="DE2" i="46" s="1"/>
  <c r="FJ4" i="46"/>
  <c r="FJ2" i="46" s="1"/>
  <c r="AW4" i="46"/>
  <c r="AW2" i="46" s="1"/>
  <c r="CJ4" i="46"/>
  <c r="CJ2" i="46" s="1"/>
  <c r="CM4" i="46"/>
  <c r="CM2" i="46" s="1"/>
  <c r="AH4" i="46"/>
  <c r="AH2" i="46" s="1"/>
  <c r="DH4" i="46"/>
  <c r="DH2" i="46" s="1"/>
  <c r="AK4" i="46"/>
  <c r="CV4" i="46"/>
  <c r="CY4" i="46"/>
  <c r="DT4" i="46"/>
  <c r="EI4" i="46"/>
  <c r="BO4" i="46"/>
  <c r="BL4" i="46"/>
  <c r="BI4" i="46"/>
  <c r="AT4" i="46"/>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CG4" i="46"/>
  <c r="S2" i="46" l="1"/>
  <c r="AK2" i="46"/>
  <c r="BI2" i="46"/>
  <c r="CG2" i="46"/>
  <c r="AT2" i="46"/>
  <c r="BL2" i="46"/>
  <c r="BO2" i="46"/>
  <c r="EI2" i="46"/>
  <c r="CY2" i="46"/>
  <c r="DT2" i="46"/>
  <c r="CV2" i="46"/>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l="1"/>
  <c r="V4" i="46" s="1"/>
  <c r="BU3" i="46" l="1"/>
  <c r="EI3" i="46"/>
  <c r="Y3" i="46"/>
  <c r="DH3" i="46"/>
  <c r="CS3" i="46"/>
  <c r="AQ3" i="46"/>
  <c r="AZ3" i="46"/>
  <c r="BI3" i="46"/>
  <c r="DZ3" i="46"/>
  <c r="DN3" i="46"/>
  <c r="BO3" i="46"/>
  <c r="BR3" i="46"/>
  <c r="EC3" i="46"/>
  <c r="AB3" i="46"/>
  <c r="AH3" i="46"/>
  <c r="AN3" i="46"/>
  <c r="DE3" i="46"/>
  <c r="CV3" i="46"/>
  <c r="CA3" i="46"/>
  <c r="AK3" i="46"/>
  <c r="S3" i="46"/>
  <c r="FG3" i="46"/>
  <c r="CY3" i="46"/>
  <c r="DK3" i="46"/>
  <c r="CP3" i="46"/>
  <c r="ER3" i="46"/>
  <c r="FJ3" i="46"/>
  <c r="CG3" i="46"/>
  <c r="DT3" i="46"/>
  <c r="CJ3" i="46"/>
  <c r="DB3" i="46"/>
  <c r="BL3" i="46"/>
  <c r="AE3" i="46"/>
  <c r="DQ3" i="46"/>
  <c r="FA3" i="46"/>
  <c r="EX3" i="46"/>
  <c r="CD3" i="46"/>
  <c r="CM3" i="46"/>
  <c r="EL3" i="46"/>
  <c r="BX3" i="46"/>
  <c r="DW3" i="46"/>
  <c r="FD3" i="46"/>
  <c r="EU3" i="46"/>
  <c r="EO3" i="46"/>
  <c r="AW3" i="46"/>
  <c r="V3" i="46"/>
  <c r="BC3" i="46"/>
  <c r="EF3" i="46"/>
  <c r="AT3" i="46"/>
  <c r="V2" i="46"/>
  <c r="BF3" i="46"/>
  <c r="AK1" i="46" l="1"/>
  <c r="DN1" i="46"/>
  <c r="DE1" i="46"/>
  <c r="CJ1" i="46"/>
  <c r="Y1" i="46"/>
  <c r="BO1" i="46"/>
  <c r="DW1" i="46"/>
  <c r="CP1" i="46"/>
  <c r="AN1" i="46"/>
  <c r="DK1" i="46"/>
  <c r="FA1" i="46"/>
  <c r="EL1" i="46"/>
  <c r="EC1" i="46"/>
  <c r="AT1" i="46"/>
  <c r="EX1" i="46"/>
  <c r="CA1" i="46"/>
  <c r="BX1" i="46"/>
  <c r="BI1" i="46"/>
  <c r="BR1" i="46"/>
  <c r="FJ1" i="46"/>
  <c r="CY1" i="46"/>
  <c r="BC1" i="46"/>
  <c r="DT1" i="46"/>
  <c r="CD1" i="46"/>
  <c r="DQ1" i="46"/>
  <c r="FG1" i="46"/>
  <c r="DZ1" i="46"/>
  <c r="AZ1" i="46"/>
  <c r="EO1" i="46"/>
  <c r="AH1" i="46"/>
  <c r="S1" i="46"/>
  <c r="BU1" i="46"/>
  <c r="V1" i="46"/>
  <c r="AW1" i="46"/>
  <c r="DH1" i="46"/>
  <c r="EU1" i="46"/>
  <c r="FD1" i="46"/>
  <c r="AB1" i="46"/>
  <c r="DB1" i="46"/>
  <c r="EF1" i="46"/>
  <c r="AE1" i="46"/>
  <c r="BL1" i="46"/>
  <c r="BF1" i="46"/>
  <c r="EI1" i="46"/>
  <c r="CV1" i="46"/>
  <c r="CM1" i="46"/>
  <c r="ER1" i="46"/>
  <c r="AQ1" i="46"/>
  <c r="CG1" i="46"/>
  <c r="CS1" i="46"/>
  <c r="H5" i="47" l="1" a="1"/>
  <c r="H5" i="47" s="1"/>
  <c r="R14" i="47" a="1"/>
  <c r="R14" i="47" s="1"/>
  <c r="M5" i="47" a="1"/>
  <c r="M5" i="47" s="1"/>
  <c r="K10" i="47" a="1"/>
  <c r="K10" i="47" s="1"/>
  <c r="G5" i="47" a="1"/>
  <c r="G5" i="47" s="1"/>
  <c r="O7" i="47" a="1"/>
  <c r="O7" i="47" s="1"/>
  <c r="H16" i="47" a="1"/>
  <c r="H16" i="47" s="1"/>
  <c r="P8" i="47" a="1"/>
  <c r="P8" i="47" s="1"/>
  <c r="J13" i="47" a="1"/>
  <c r="J13" i="47" s="1"/>
  <c r="N6" i="47" a="1"/>
  <c r="N6" i="47" s="1"/>
  <c r="S14" i="47" a="1"/>
  <c r="S14" i="47" s="1"/>
  <c r="M14" i="47" a="1"/>
  <c r="M14" i="47" s="1"/>
  <c r="M13" i="47" a="1"/>
  <c r="M13" i="47" s="1"/>
  <c r="Q10" i="47" a="1"/>
  <c r="Q10" i="47" s="1"/>
  <c r="F5" i="47" a="1"/>
  <c r="F5" i="47" s="1"/>
  <c r="O11" i="47" a="1"/>
  <c r="O11" i="47" s="1"/>
  <c r="Q15" i="47" a="1"/>
  <c r="Q15" i="47" s="1"/>
  <c r="R13" i="47" a="1"/>
  <c r="R13" i="47" s="1"/>
  <c r="S13" i="47" a="1"/>
  <c r="S13" i="47" s="1"/>
  <c r="P13" i="47" a="1"/>
  <c r="P13" i="47" s="1"/>
  <c r="K7" i="47" a="1"/>
  <c r="K7" i="47" s="1"/>
  <c r="K5" i="47" a="1"/>
  <c r="K5" i="47" s="1"/>
  <c r="E5" i="47" a="1"/>
  <c r="E5" i="47" s="1"/>
  <c r="E7" i="47" a="1"/>
  <c r="E7" i="47" s="1"/>
  <c r="Q8" i="47" a="1"/>
  <c r="Q8" i="47" s="1"/>
  <c r="Q7" i="47" a="1"/>
  <c r="Q7" i="47" s="1"/>
  <c r="J5" i="47" a="1"/>
  <c r="J5" i="47" s="1"/>
  <c r="P15" i="47" a="1"/>
  <c r="P15" i="47" s="1"/>
  <c r="M6" i="47" a="1"/>
  <c r="M6" i="47" s="1"/>
  <c r="D5" i="47"/>
  <c r="Q35" i="47" a="1"/>
  <c r="Q35" i="47" s="1"/>
  <c r="O5" i="47" a="1"/>
  <c r="O5" i="47" s="1"/>
  <c r="R16" i="47" a="1"/>
  <c r="R16" i="47" s="1"/>
  <c r="L5" i="47" a="1"/>
  <c r="L5" i="47" s="1"/>
  <c r="M7" i="47" a="1"/>
  <c r="M7" i="47" s="1"/>
  <c r="N12" i="47" a="1"/>
  <c r="N12" i="47" s="1"/>
  <c r="L13" i="47" a="1"/>
  <c r="L13" i="47" s="1"/>
  <c r="Q5" i="47" a="1"/>
  <c r="Q5" i="47" s="1"/>
  <c r="N10" i="47" a="1"/>
  <c r="N10" i="47" s="1"/>
  <c r="S6" i="47" a="1"/>
  <c r="S6" i="47" s="1"/>
  <c r="I5" i="47" a="1"/>
  <c r="I5" i="47" s="1"/>
  <c r="I7" i="47" a="1"/>
  <c r="I7" i="47" s="1"/>
  <c r="R15" i="47" a="1"/>
  <c r="R15" i="47" s="1"/>
  <c r="M8" i="47" a="1"/>
  <c r="M8" i="47" s="1"/>
  <c r="B5" i="47"/>
  <c r="J12" i="47" a="1"/>
  <c r="J12" i="47" s="1"/>
  <c r="K16" i="47" a="1"/>
  <c r="K16" i="47" s="1"/>
  <c r="R6" i="47" a="1"/>
  <c r="R6" i="47" s="1"/>
  <c r="R5" i="47" a="1"/>
  <c r="R5" i="47" s="1"/>
  <c r="Q12" i="47" a="1"/>
  <c r="Q12" i="47" s="1"/>
  <c r="S5" i="47" a="1"/>
  <c r="S5" i="47" s="1"/>
  <c r="Q45" i="47" a="1"/>
  <c r="Q45" i="47" s="1"/>
  <c r="R8" i="47" a="1"/>
  <c r="R8" i="47" s="1"/>
  <c r="L14" i="47" a="1"/>
  <c r="L14" i="47" s="1"/>
  <c r="L10" i="47" a="1"/>
  <c r="L10" i="47" s="1"/>
  <c r="S15" i="47" a="1"/>
  <c r="S15" i="47" s="1"/>
  <c r="S8" i="47" a="1"/>
  <c r="S8" i="47" s="1"/>
  <c r="R12" i="47" a="1"/>
  <c r="R12" i="47" s="1"/>
  <c r="P5" i="47" a="1"/>
  <c r="P5" i="47" s="1"/>
  <c r="N7" i="47" a="1"/>
  <c r="N7" i="47" s="1"/>
  <c r="J6" i="47" a="1"/>
  <c r="J6" i="47" s="1"/>
  <c r="S7" i="47" a="1"/>
  <c r="S7" i="47" s="1"/>
  <c r="P7" i="47" a="1"/>
  <c r="P7" i="47" s="1"/>
  <c r="N14" i="47" a="1"/>
  <c r="N14" i="47" s="1"/>
  <c r="O13" i="47" a="1"/>
  <c r="O13" i="47" s="1"/>
  <c r="L12" i="47" a="1"/>
  <c r="L12" i="47" s="1"/>
  <c r="H6" i="47" a="1"/>
  <c r="H6" i="47" s="1"/>
  <c r="D6" i="47"/>
  <c r="C5" i="47"/>
  <c r="J15" i="47" a="1"/>
  <c r="J15" i="47" s="1"/>
  <c r="N16" i="47" a="1"/>
  <c r="N16" i="47" s="1"/>
  <c r="S16" i="47" a="1"/>
  <c r="S16" i="47" s="1"/>
  <c r="K11" i="47" a="1"/>
  <c r="K11" i="47" s="1"/>
  <c r="J11" i="47" a="1"/>
  <c r="J11" i="47" s="1"/>
  <c r="L7" i="47" a="1"/>
  <c r="L7" i="47" s="1"/>
  <c r="K12" i="47" a="1"/>
  <c r="K12" i="47" s="1"/>
  <c r="R7" i="47" a="1"/>
  <c r="R7" i="47" s="1"/>
  <c r="N5" i="47" a="1"/>
  <c r="N5" i="47" s="1"/>
  <c r="P39" i="47" a="1"/>
  <c r="P39" i="47" s="1"/>
  <c r="Q51" i="47" a="1"/>
  <c r="Q51" i="47" s="1"/>
  <c r="N20" i="47" a="1"/>
  <c r="N20" i="47" s="1"/>
  <c r="Q27" i="47" a="1"/>
  <c r="Q27" i="47" s="1"/>
  <c r="J53" i="47" a="1"/>
  <c r="J53" i="47" s="1"/>
  <c r="R53" i="47" a="1"/>
  <c r="R53" i="47" s="1"/>
  <c r="L40" i="47" a="1"/>
  <c r="L40" i="47" s="1"/>
  <c r="R37" i="47" a="1"/>
  <c r="R37" i="47" s="1"/>
  <c r="S29" i="47" a="1"/>
  <c r="S29" i="47" s="1"/>
  <c r="K31" i="47" a="1"/>
  <c r="K31" i="47" s="1"/>
  <c r="Q47" i="47" a="1"/>
  <c r="Q47" i="47" s="1"/>
  <c r="E31" i="47" a="1"/>
  <c r="E31" i="47" s="1"/>
  <c r="M21" i="47" a="1"/>
  <c r="M21" i="47" s="1"/>
  <c r="O24" i="47" a="1"/>
  <c r="O24" i="47" s="1"/>
  <c r="S39" i="47" a="1"/>
  <c r="S39" i="47" s="1"/>
  <c r="N18" i="47" a="1"/>
  <c r="N18" i="47" s="1"/>
  <c r="L45" i="47" a="1"/>
  <c r="L45" i="47" s="1"/>
  <c r="M32" i="47" a="1"/>
  <c r="M32" i="47" s="1"/>
  <c r="K40" i="47" a="1"/>
  <c r="K40" i="47" s="1"/>
  <c r="N43" i="47" a="1"/>
  <c r="N43" i="47" s="1"/>
  <c r="J27" i="47" a="1"/>
  <c r="J27" i="47" s="1"/>
  <c r="L26" i="47" a="1"/>
  <c r="L26" i="47" s="1"/>
  <c r="K20" i="47" a="1"/>
  <c r="K20" i="47" s="1"/>
  <c r="L23" i="47" a="1"/>
  <c r="L23" i="47" s="1"/>
  <c r="N53" i="47" a="1"/>
  <c r="N53" i="47" s="1"/>
  <c r="E24" i="47" a="1"/>
  <c r="E24" i="47" s="1"/>
  <c r="R41" i="47" a="1"/>
  <c r="R41" i="47" s="1"/>
  <c r="J19" i="47" a="1"/>
  <c r="J19" i="47" s="1"/>
  <c r="O45" i="47" a="1"/>
  <c r="O45" i="47" s="1"/>
  <c r="J33" i="47" a="1"/>
  <c r="J33" i="47" s="1"/>
  <c r="L37" i="47" a="1"/>
  <c r="L37" i="47" s="1"/>
  <c r="N24" i="47" a="1"/>
  <c r="N24" i="47" s="1"/>
  <c r="P31" i="47" a="1"/>
  <c r="P31" i="47" s="1"/>
  <c r="R23" i="47" a="1"/>
  <c r="R23" i="47" s="1"/>
  <c r="E18" i="47" a="1"/>
  <c r="E18" i="47" s="1"/>
  <c r="J48" i="47" a="1"/>
  <c r="J48" i="47" s="1"/>
  <c r="Q22" i="47" a="1"/>
  <c r="Q22" i="47" s="1"/>
  <c r="L28" i="47" a="1"/>
  <c r="L28" i="47" s="1"/>
  <c r="N44" i="47" a="1"/>
  <c r="N44" i="47" s="1"/>
  <c r="K27" i="47" a="1"/>
  <c r="K27" i="47" s="1"/>
  <c r="J38" i="47" a="1"/>
  <c r="J38" i="47" s="1"/>
  <c r="L20" i="47" a="1"/>
  <c r="L20" i="47" s="1"/>
  <c r="O35" i="47" a="1"/>
  <c r="O35" i="47" s="1"/>
  <c r="K44" i="47" a="1"/>
  <c r="K44" i="47" s="1"/>
  <c r="S36" i="47" a="1"/>
  <c r="S36" i="47" s="1"/>
  <c r="M22" i="47" a="1"/>
  <c r="M22" i="47" s="1"/>
  <c r="P41" i="47" a="1"/>
  <c r="P41" i="47" s="1"/>
  <c r="S40" i="47" a="1"/>
  <c r="S40" i="47" s="1"/>
  <c r="P54" i="47" a="1"/>
  <c r="P54" i="47" s="1"/>
  <c r="P37" i="47" a="1"/>
  <c r="P37" i="47" s="1"/>
  <c r="R18" i="47" a="1"/>
  <c r="R18" i="47" s="1"/>
  <c r="M43" i="47" a="1"/>
  <c r="M43" i="47" s="1"/>
  <c r="R19" i="47" a="1"/>
  <c r="R19" i="47" s="1"/>
  <c r="P21" i="47" a="1"/>
  <c r="P21" i="47" s="1"/>
  <c r="H45" i="47" a="1"/>
  <c r="H45" i="47" s="1"/>
  <c r="K18" i="47" a="1"/>
  <c r="K18" i="47" s="1"/>
  <c r="Q31" i="47" a="1"/>
  <c r="Q31" i="47" s="1"/>
  <c r="Q18" i="47" a="1"/>
  <c r="Q18" i="47" s="1"/>
  <c r="Q29" i="47" a="1"/>
  <c r="Q29" i="47" s="1"/>
  <c r="N22" i="47" a="1"/>
  <c r="N22" i="47" s="1"/>
  <c r="H50" i="47" a="1"/>
  <c r="H50" i="47" s="1"/>
  <c r="P47" i="47" a="1"/>
  <c r="P47" i="47" s="1"/>
  <c r="N45" i="47" a="1"/>
  <c r="N45" i="47" s="1"/>
  <c r="J44" i="47" a="1"/>
  <c r="J44" i="47" s="1"/>
  <c r="O21" i="47" a="1"/>
  <c r="O21" i="47" s="1"/>
  <c r="N30" i="47" a="1"/>
  <c r="N30" i="47" s="1"/>
  <c r="O27" i="47" a="1"/>
  <c r="O27" i="47" s="1"/>
  <c r="L27" i="47" a="1"/>
  <c r="L27" i="47" s="1"/>
  <c r="P28" i="47" a="1"/>
  <c r="P28" i="47" s="1"/>
  <c r="R29" i="47" a="1"/>
  <c r="R29" i="47" s="1"/>
  <c r="L30" i="47" a="1"/>
  <c r="L30" i="47" s="1"/>
  <c r="M33" i="47" a="1"/>
  <c r="M33" i="47" s="1"/>
  <c r="R33" i="47" a="1"/>
  <c r="R33" i="47" s="1"/>
  <c r="S24" i="47" a="1"/>
  <c r="S24" i="47" s="1"/>
  <c r="S48" i="47" a="1"/>
  <c r="S48" i="47" s="1"/>
  <c r="I46" i="47" a="1"/>
  <c r="I46" i="47" s="1"/>
  <c r="N32" i="47" a="1"/>
  <c r="N32" i="47" s="1"/>
  <c r="L52" i="47" a="1"/>
  <c r="L52" i="47" s="1"/>
  <c r="P35" i="47" a="1"/>
  <c r="P35" i="47" s="1"/>
  <c r="S31" i="47" a="1"/>
  <c r="S31" i="47" s="1"/>
  <c r="M26" i="47" a="1"/>
  <c r="M26" i="47" s="1"/>
  <c r="F26" i="47" a="1"/>
  <c r="F26" i="47" s="1"/>
  <c r="P36" i="47" a="1"/>
  <c r="P36" i="47" s="1"/>
  <c r="P19" i="47" a="1"/>
  <c r="P19" i="47" s="1"/>
  <c r="K46" i="47" a="1"/>
  <c r="K46" i="47" s="1"/>
  <c r="S52" i="47" a="1"/>
  <c r="S52" i="47" s="1"/>
  <c r="Q42" i="47" a="1"/>
  <c r="Q42" i="47" s="1"/>
  <c r="S19" i="47" a="1"/>
  <c r="S19" i="47" s="1"/>
  <c r="K34" i="47" a="1"/>
  <c r="K34" i="47" s="1"/>
  <c r="N28" i="47" a="1"/>
  <c r="N28" i="47" s="1"/>
  <c r="K35" i="47" a="1"/>
  <c r="K35" i="47" s="1"/>
  <c r="S44" i="47" a="1"/>
  <c r="S44" i="47" s="1"/>
  <c r="P23" i="47" a="1"/>
  <c r="P23" i="47" s="1"/>
  <c r="R22" i="47" a="1"/>
  <c r="R22" i="47" s="1"/>
  <c r="K30" i="47" a="1"/>
  <c r="K30" i="47" s="1"/>
  <c r="R27" i="47" a="1"/>
  <c r="R27" i="47" s="1"/>
  <c r="L33" i="47" a="1"/>
  <c r="L33" i="47" s="1"/>
  <c r="M23" i="47" a="1"/>
  <c r="M23" i="47" s="1"/>
  <c r="L42" i="47" a="1"/>
  <c r="L42" i="47" s="1"/>
  <c r="O47" i="47" a="1"/>
  <c r="O47" i="47" s="1"/>
  <c r="M39" i="47" a="1"/>
  <c r="M39" i="47" s="1"/>
  <c r="J20" i="47" a="1"/>
  <c r="J20" i="47" s="1"/>
  <c r="M38" i="47" a="1"/>
  <c r="M38" i="47" s="1"/>
  <c r="O44" i="47" a="1"/>
  <c r="O44" i="47" s="1"/>
  <c r="S32" i="47" a="1"/>
  <c r="S32" i="47" s="1"/>
  <c r="P26" i="47" a="1"/>
  <c r="P26" i="47" s="1"/>
  <c r="N46" i="47" a="1"/>
  <c r="N46" i="47" s="1"/>
  <c r="G48" i="47" a="1"/>
  <c r="G48" i="47" s="1"/>
  <c r="L48" i="47" a="1"/>
  <c r="L48" i="47" s="1"/>
  <c r="Q38" i="47" a="1"/>
  <c r="Q38" i="47" s="1"/>
  <c r="R20" i="47" a="1"/>
  <c r="R20" i="47" s="1"/>
  <c r="L51" i="47" a="1"/>
  <c r="L51" i="47" s="1"/>
  <c r="P46" i="47" a="1"/>
  <c r="P46" i="47" s="1"/>
  <c r="R42" i="47" a="1"/>
  <c r="R42" i="47" s="1"/>
  <c r="N51" i="47" a="1"/>
  <c r="N51" i="47" s="1"/>
  <c r="M27" i="47" a="1"/>
  <c r="M27" i="47" s="1"/>
  <c r="Q50" i="47" a="1"/>
  <c r="Q50" i="47" s="1"/>
  <c r="J30" i="47" a="1"/>
  <c r="J30" i="47" s="1"/>
  <c r="L17" i="47" a="1"/>
  <c r="L17" i="47" s="1"/>
  <c r="I45" i="47" a="1"/>
  <c r="I45" i="47" s="1"/>
  <c r="O32" i="47" a="1"/>
  <c r="O32" i="47" s="1"/>
  <c r="M24" i="47" a="1"/>
  <c r="M24" i="47" s="1"/>
  <c r="I26" i="47" a="1"/>
  <c r="I26" i="47" s="1"/>
  <c r="K25" i="47" a="1"/>
  <c r="K25" i="47" s="1"/>
  <c r="J42" i="47" a="1"/>
  <c r="J42" i="47" s="1"/>
  <c r="M31" i="47" a="1"/>
  <c r="M31" i="47" s="1"/>
  <c r="O18" i="47" a="1"/>
  <c r="O18" i="47" s="1"/>
  <c r="L47" i="47" a="1"/>
  <c r="L47" i="47" s="1"/>
  <c r="S38" i="47" a="1"/>
  <c r="S38" i="47" s="1"/>
  <c r="O34" i="47" a="1"/>
  <c r="O34" i="47" s="1"/>
  <c r="K37" i="47" a="1"/>
  <c r="K37" i="47" s="1"/>
  <c r="J17" i="47" a="1"/>
  <c r="J17" i="47" s="1"/>
  <c r="O49" i="47" a="1"/>
  <c r="O49" i="47" s="1"/>
  <c r="H25" i="47" a="1"/>
  <c r="H25" i="47" s="1"/>
  <c r="N42" i="47" a="1"/>
  <c r="N42" i="47" s="1"/>
  <c r="H48" i="47" a="1"/>
  <c r="H48" i="47" s="1"/>
  <c r="M47" i="47" a="1"/>
  <c r="M47" i="47" s="1"/>
  <c r="K33" i="47" a="1"/>
  <c r="K33" i="47" s="1"/>
  <c r="S21" i="47" a="1"/>
  <c r="S21" i="47" s="1"/>
  <c r="N19" i="47" a="1"/>
  <c r="N19" i="47" s="1"/>
  <c r="N33" i="47" a="1"/>
  <c r="N33" i="47" s="1"/>
  <c r="N47" i="47" a="1"/>
  <c r="N47" i="47" s="1"/>
  <c r="K51" i="47" a="1"/>
  <c r="K51" i="47" s="1"/>
  <c r="Q33" i="47" a="1"/>
  <c r="Q33" i="47" s="1"/>
  <c r="P48" i="47" a="1"/>
  <c r="P48" i="47" s="1"/>
  <c r="K45" i="47" a="1"/>
  <c r="K45" i="47" s="1"/>
  <c r="O28" i="47" a="1"/>
  <c r="O28" i="47" s="1"/>
  <c r="S33" i="47" a="1"/>
  <c r="S33" i="47" s="1"/>
  <c r="N34" i="47" a="1"/>
  <c r="N34" i="47" s="1"/>
  <c r="S49" i="47" a="1"/>
  <c r="S49" i="47" s="1"/>
  <c r="J46" i="47" a="1"/>
  <c r="J46" i="47" s="1"/>
  <c r="J52" i="47" a="1"/>
  <c r="J52" i="47" s="1"/>
  <c r="P25" i="47" a="1"/>
  <c r="P25" i="47" s="1"/>
  <c r="O30" i="47" a="1"/>
  <c r="O30" i="47" s="1"/>
  <c r="Q19" i="47" a="1"/>
  <c r="Q19" i="47" s="1"/>
  <c r="O33" i="47" a="1"/>
  <c r="O33" i="47" s="1"/>
  <c r="Q21" i="47" a="1"/>
  <c r="Q21" i="47" s="1"/>
  <c r="L39" i="47" a="1"/>
  <c r="L39" i="47" s="1"/>
  <c r="R17" i="47" a="1"/>
  <c r="R17" i="47" s="1"/>
  <c r="M20" i="47" a="1"/>
  <c r="M20" i="47" s="1"/>
  <c r="N17" i="47" a="1"/>
  <c r="N17" i="47" s="1"/>
  <c r="O54" i="47" a="1"/>
  <c r="O54" i="47" s="1"/>
  <c r="R40" i="47" a="1"/>
  <c r="R40" i="47" s="1"/>
  <c r="J40" i="47" a="1"/>
  <c r="J40" i="47" s="1"/>
  <c r="Q20" i="47" a="1"/>
  <c r="Q20" i="47" s="1"/>
  <c r="J39" i="47" a="1"/>
  <c r="J39" i="47" s="1"/>
  <c r="L25" i="47" a="1"/>
  <c r="L25" i="47" s="1"/>
  <c r="R51" i="47" a="1"/>
  <c r="R51" i="47" s="1"/>
  <c r="J24" i="47" a="1"/>
  <c r="J24" i="47" s="1"/>
  <c r="P43" i="47" a="1"/>
  <c r="P43" i="47" s="1"/>
  <c r="Q40" i="47" a="1"/>
  <c r="Q40" i="47" s="1"/>
  <c r="K29" i="47" a="1"/>
  <c r="K29" i="47" s="1"/>
  <c r="M50" i="47" a="1"/>
  <c r="M50" i="47" s="1"/>
  <c r="L24" i="47" a="1"/>
  <c r="L24" i="47" s="1"/>
  <c r="J51" i="47" a="1"/>
  <c r="J51" i="47" s="1"/>
  <c r="M46" i="47" a="1"/>
  <c r="M46" i="47" s="1"/>
  <c r="O41" i="47" a="1"/>
  <c r="O41" i="47" s="1"/>
  <c r="Q26" i="47" a="1"/>
  <c r="Q26" i="47" s="1"/>
  <c r="J21" i="47" a="1"/>
  <c r="J21" i="47" s="1"/>
  <c r="L22" i="47" a="1"/>
  <c r="L22" i="47" s="1"/>
  <c r="S42" i="47" a="1"/>
  <c r="S42" i="47" s="1"/>
  <c r="L18" i="47" a="1"/>
  <c r="L18" i="47" s="1"/>
  <c r="R52" i="47" a="1"/>
  <c r="R52" i="47" s="1"/>
  <c r="O43" i="47" a="1"/>
  <c r="O43" i="47" s="1"/>
  <c r="Q23" i="47" a="1"/>
  <c r="Q23" i="47" s="1"/>
  <c r="R25" i="47" a="1"/>
  <c r="R25" i="47" s="1"/>
  <c r="M42" i="47" a="1"/>
  <c r="M42" i="47" s="1"/>
  <c r="Q14" i="47" a="1"/>
  <c r="Q14" i="47" s="1"/>
  <c r="K38" i="47" a="1"/>
  <c r="K38" i="47" s="1"/>
  <c r="H17" i="47" a="1"/>
  <c r="H17" i="47" s="1"/>
  <c r="H26" i="47" a="1"/>
  <c r="H26" i="47" s="1"/>
  <c r="O20" i="47" a="1"/>
  <c r="O20" i="47" s="1"/>
  <c r="M19" i="47" a="1"/>
  <c r="M19" i="47" s="1"/>
  <c r="S20" i="47" a="1"/>
  <c r="S20" i="47" s="1"/>
  <c r="K26" i="47" a="1"/>
  <c r="K26" i="47" s="1"/>
  <c r="O17" i="47" a="1"/>
  <c r="O17" i="47" s="1"/>
  <c r="L35" i="47" a="1"/>
  <c r="L35" i="47" s="1"/>
  <c r="I8" i="47" a="1"/>
  <c r="I8" i="47" s="1"/>
  <c r="P34" i="47" a="1"/>
  <c r="P34" i="47" s="1"/>
  <c r="I36" i="47" a="1"/>
  <c r="I36" i="47" s="1"/>
  <c r="Q52" i="47" a="1"/>
  <c r="Q52" i="47" s="1"/>
  <c r="H38" i="47" a="1"/>
  <c r="H38" i="47" s="1"/>
  <c r="K50" i="47" a="1"/>
  <c r="K50" i="47" s="1"/>
  <c r="O48" i="47" a="1"/>
  <c r="O48" i="47" s="1"/>
  <c r="Q34" i="47" a="1"/>
  <c r="Q34" i="47" s="1"/>
  <c r="K43" i="47" a="1"/>
  <c r="K43" i="47" s="1"/>
  <c r="L6" i="47" a="1"/>
  <c r="L6" i="47" s="1"/>
  <c r="J8" i="47" a="1"/>
  <c r="J8" i="47" s="1"/>
  <c r="K8" i="47" a="1"/>
  <c r="K8" i="47" s="1"/>
  <c r="E8" i="47" a="1"/>
  <c r="E8" i="47" s="1"/>
  <c r="O42" i="47" a="1"/>
  <c r="O42" i="47" s="1"/>
  <c r="M35" i="47" a="1"/>
  <c r="M35" i="47" s="1"/>
  <c r="L36" i="47" a="1"/>
  <c r="L36" i="47" s="1"/>
  <c r="J50" i="47" a="1"/>
  <c r="J50" i="47" s="1"/>
  <c r="R44" i="47" a="1"/>
  <c r="R44" i="47" s="1"/>
  <c r="L8" i="47" a="1"/>
  <c r="L8" i="47" s="1"/>
  <c r="M25" i="47" a="1"/>
  <c r="M25" i="47" s="1"/>
  <c r="Q6" i="47" a="1"/>
  <c r="Q6" i="47" s="1"/>
  <c r="P30" i="47" a="1"/>
  <c r="P30" i="47" s="1"/>
  <c r="F6" i="47" a="1"/>
  <c r="F6" i="47" s="1"/>
  <c r="B6" i="47"/>
  <c r="H8" i="47" a="1"/>
  <c r="H8" i="47" s="1"/>
  <c r="P51" i="47" a="1"/>
  <c r="P51" i="47" s="1"/>
  <c r="M53" i="47" a="1"/>
  <c r="M53" i="47" s="1"/>
  <c r="G6" i="47" a="1"/>
  <c r="G6" i="47" s="1"/>
  <c r="G7" i="47" a="1"/>
  <c r="G7" i="47" s="1"/>
  <c r="B7" i="47"/>
  <c r="O6" i="47" a="1"/>
  <c r="O6" i="47" s="1"/>
  <c r="D8" i="47"/>
  <c r="C8" i="47"/>
  <c r="J35" i="47" a="1"/>
  <c r="J35" i="47" s="1"/>
  <c r="Q39" i="47" a="1"/>
  <c r="Q39" i="47" s="1"/>
  <c r="Q44" i="47" a="1"/>
  <c r="Q44" i="47" s="1"/>
  <c r="L49" i="47" a="1"/>
  <c r="L49" i="47" s="1"/>
  <c r="M44" i="47" a="1"/>
  <c r="M44" i="47" s="1"/>
  <c r="M54" i="47" a="1"/>
  <c r="M54" i="47" s="1"/>
  <c r="Q53" i="47" a="1"/>
  <c r="Q53" i="47" s="1"/>
  <c r="Q24" i="47" a="1"/>
  <c r="Q24" i="47" s="1"/>
  <c r="S27" i="47" a="1"/>
  <c r="S27" i="47" s="1"/>
  <c r="K36" i="47" a="1"/>
  <c r="K36" i="47" s="1"/>
  <c r="O25" i="47" a="1"/>
  <c r="O25" i="47" s="1"/>
  <c r="N8" i="47" a="1"/>
  <c r="N8" i="47" s="1"/>
  <c r="K6" i="47" a="1"/>
  <c r="K6" i="47" s="1"/>
  <c r="I6" i="47" a="1"/>
  <c r="I6" i="47" s="1"/>
  <c r="I10" i="47" a="1"/>
  <c r="I10" i="47" s="1"/>
  <c r="E6" i="47" a="1"/>
  <c r="E6" i="47" s="1"/>
  <c r="D7" i="47"/>
  <c r="C7" i="47"/>
  <c r="F7" i="47" a="1"/>
  <c r="F7" i="47" s="1"/>
  <c r="K53" i="47" a="1"/>
  <c r="K53" i="47" s="1"/>
  <c r="O52" i="47" a="1"/>
  <c r="O52" i="47" s="1"/>
  <c r="S34" i="47" a="1"/>
  <c r="S34" i="47" s="1"/>
  <c r="N39" i="47" a="1"/>
  <c r="N39" i="47" s="1"/>
  <c r="M10" i="47" a="1"/>
  <c r="M10" i="47" s="1"/>
  <c r="H34" i="47" a="1"/>
  <c r="H34" i="47" s="1"/>
  <c r="P6" i="47" a="1"/>
  <c r="P6" i="47" s="1"/>
  <c r="J7" i="47" a="1"/>
  <c r="J7" i="47" s="1"/>
  <c r="B10" i="47"/>
  <c r="B8" i="47"/>
  <c r="C6" i="47"/>
  <c r="F8" i="47" a="1"/>
  <c r="F8" i="47" s="1"/>
  <c r="K41" i="47" a="1"/>
  <c r="K41" i="47" s="1"/>
  <c r="O53" i="47" a="1"/>
  <c r="O53" i="47" s="1"/>
  <c r="L38" i="47" a="1"/>
  <c r="L38" i="47" s="1"/>
  <c r="O36" i="47" a="1"/>
  <c r="O36" i="47" s="1"/>
  <c r="Q43" i="47" a="1"/>
  <c r="Q43" i="47" s="1"/>
  <c r="P50" i="47" a="1"/>
  <c r="P50" i="47" s="1"/>
  <c r="R32" i="47" a="1"/>
  <c r="R32" i="47" s="1"/>
  <c r="O8" i="47" a="1"/>
  <c r="O8" i="47" s="1"/>
  <c r="G8" i="47" a="1"/>
  <c r="G8" i="47" s="1"/>
  <c r="H7" i="47" a="1"/>
  <c r="H7" i="47" s="1"/>
  <c r="N9" i="47" a="1"/>
  <c r="N9" i="47" s="1"/>
  <c r="H14" i="47" a="1"/>
  <c r="H14" i="47" s="1"/>
  <c r="F19" i="47" a="1"/>
  <c r="F19" i="47" s="1"/>
  <c r="F10" i="47" a="1"/>
  <c r="F10" i="47" s="1"/>
  <c r="E43" i="47" a="1"/>
  <c r="E43" i="47" s="1"/>
  <c r="D27" i="47"/>
  <c r="D52" i="47"/>
  <c r="D14" i="47"/>
  <c r="B19" i="47"/>
  <c r="D38" i="47"/>
  <c r="D23" i="47"/>
  <c r="B43" i="47"/>
  <c r="E30" i="47" a="1"/>
  <c r="E30" i="47" s="1"/>
  <c r="O9" i="47" a="1"/>
  <c r="O9" i="47" s="1"/>
  <c r="G23" i="47" a="1"/>
  <c r="G23" i="47" s="1"/>
  <c r="C9" i="47"/>
  <c r="I43" i="47" a="1"/>
  <c r="I43" i="47" s="1"/>
  <c r="F46" i="47" a="1"/>
  <c r="F46" i="47" s="1"/>
  <c r="C21" i="47"/>
  <c r="B26" i="47"/>
  <c r="B9" i="47"/>
  <c r="G54" i="47" a="1"/>
  <c r="G54" i="47" s="1"/>
  <c r="G18" i="47" a="1"/>
  <c r="G18" i="47" s="1"/>
  <c r="B13" i="47"/>
  <c r="B30" i="47"/>
  <c r="E9" i="47" a="1"/>
  <c r="E9" i="47" s="1"/>
  <c r="D22" i="47"/>
  <c r="B53" i="47"/>
  <c r="E41" i="47" a="1"/>
  <c r="E41" i="47" s="1"/>
  <c r="F9" i="47" a="1"/>
  <c r="F9" i="47" s="1"/>
  <c r="E14" i="47" a="1"/>
  <c r="E14" i="47" s="1"/>
  <c r="F37" i="47" a="1"/>
  <c r="F37" i="47" s="1"/>
  <c r="B16" i="47"/>
  <c r="B44" i="47"/>
  <c r="I47" i="47" a="1"/>
  <c r="I47" i="47" s="1"/>
  <c r="B22" i="47"/>
  <c r="B21" i="47"/>
  <c r="F43" i="47" a="1"/>
  <c r="F43" i="47" s="1"/>
  <c r="D43" i="47"/>
  <c r="D25" i="47"/>
  <c r="F21" i="47" a="1"/>
  <c r="F21" i="47" s="1"/>
  <c r="F48" i="47" a="1"/>
  <c r="F48" i="47" s="1"/>
  <c r="B29" i="47"/>
  <c r="D37" i="47"/>
  <c r="F35" i="47" a="1"/>
  <c r="F35" i="47" s="1"/>
  <c r="O31" i="47" a="1"/>
  <c r="O31" i="47" s="1"/>
  <c r="H20" i="47" a="1"/>
  <c r="H20" i="47" s="1"/>
  <c r="B14" i="47"/>
  <c r="I30" i="47" a="1"/>
  <c r="I30" i="47" s="1"/>
  <c r="H19" i="47" a="1"/>
  <c r="H19" i="47" s="1"/>
  <c r="P9" i="47" a="1"/>
  <c r="P9" i="47" s="1"/>
  <c r="C12" i="47"/>
  <c r="C15" i="47"/>
  <c r="D31" i="47"/>
  <c r="E36" i="47" a="1"/>
  <c r="E36" i="47" s="1"/>
  <c r="G9" i="47" a="1"/>
  <c r="G9" i="47" s="1"/>
  <c r="G22" i="47" a="1"/>
  <c r="G22" i="47" s="1"/>
  <c r="I9" i="47" a="1"/>
  <c r="I9" i="47" s="1"/>
  <c r="F33" i="47" a="1"/>
  <c r="F33" i="47" s="1"/>
  <c r="C45" i="47"/>
  <c r="B27" i="47"/>
  <c r="Q9" i="47" a="1"/>
  <c r="Q9" i="47" s="1"/>
  <c r="D54" i="47"/>
  <c r="E28" i="47" a="1"/>
  <c r="E28" i="47" s="1"/>
  <c r="L9" i="47" a="1"/>
  <c r="L9" i="47" s="1"/>
  <c r="B49" i="47"/>
  <c r="D10" i="47"/>
  <c r="C24" i="47"/>
  <c r="I13" i="47" a="1"/>
  <c r="I13" i="47" s="1"/>
  <c r="R38" i="47" a="1"/>
  <c r="R38" i="47" s="1"/>
  <c r="G14" i="47" a="1"/>
  <c r="G14" i="47" s="1"/>
  <c r="D12" i="47"/>
  <c r="B42" i="47"/>
  <c r="F11" i="47" a="1"/>
  <c r="F11" i="47" s="1"/>
  <c r="G53" i="47" a="1"/>
  <c r="G53" i="47" s="1"/>
  <c r="G33" i="47" a="1"/>
  <c r="G33" i="47" s="1"/>
  <c r="E39" i="47" a="1"/>
  <c r="E39" i="47" s="1"/>
  <c r="F22" i="47" a="1"/>
  <c r="F22" i="47" s="1"/>
  <c r="I48" i="47" a="1"/>
  <c r="I48" i="47" s="1"/>
  <c r="O38" i="47" a="1"/>
  <c r="O38" i="47" s="1"/>
  <c r="G26" i="47" a="1"/>
  <c r="G26" i="47" s="1"/>
  <c r="H43" i="47" a="1"/>
  <c r="H43" i="47" s="1"/>
  <c r="B25" i="47"/>
  <c r="F51" i="47" a="1"/>
  <c r="F51" i="47" s="1"/>
  <c r="B36" i="47"/>
  <c r="O26" i="47" a="1"/>
  <c r="O26" i="47" s="1"/>
  <c r="B47" i="47"/>
  <c r="B45" i="47"/>
  <c r="F31" i="47" a="1"/>
  <c r="F31" i="47" s="1"/>
  <c r="C18" i="47"/>
  <c r="M9" i="47" a="1"/>
  <c r="M9" i="47" s="1"/>
  <c r="F36" i="47" a="1"/>
  <c r="F36" i="47" s="1"/>
  <c r="F25" i="47" a="1"/>
  <c r="F25" i="47" s="1"/>
  <c r="D11" i="47"/>
  <c r="D32" i="47"/>
  <c r="I17" i="47" a="1"/>
  <c r="I17" i="47" s="1"/>
  <c r="C53" i="47"/>
  <c r="E29" i="47" a="1"/>
  <c r="E29" i="47" s="1"/>
  <c r="S9" i="47" a="1"/>
  <c r="S9" i="47" s="1"/>
  <c r="G50" i="47" a="1"/>
  <c r="G50" i="47" s="1"/>
  <c r="D36" i="47"/>
  <c r="D16" i="47"/>
  <c r="B31" i="47"/>
  <c r="D19" i="47"/>
  <c r="C22" i="47"/>
  <c r="E37" i="47" a="1"/>
  <c r="E37" i="47" s="1"/>
  <c r="G21" i="47" a="1"/>
  <c r="G21" i="47" s="1"/>
  <c r="H31" i="47" a="1"/>
  <c r="H31" i="47" s="1"/>
  <c r="D45" i="47"/>
  <c r="D34" i="47"/>
  <c r="C52" i="47"/>
  <c r="D15" i="47"/>
  <c r="R9" i="47" a="1"/>
  <c r="R9" i="47" s="1"/>
  <c r="C11" i="47"/>
  <c r="B54" i="47"/>
  <c r="H9" i="47" a="1"/>
  <c r="H9" i="47" s="1"/>
  <c r="F16" i="47" a="1"/>
  <c r="F16" i="47" s="1"/>
  <c r="D30" i="47"/>
  <c r="D39" i="47"/>
  <c r="E42" i="47" a="1"/>
  <c r="E42" i="47" s="1"/>
  <c r="E53" i="47" a="1"/>
  <c r="E53" i="47" s="1"/>
  <c r="B50" i="47"/>
  <c r="I33" i="47" a="1"/>
  <c r="I33" i="47" s="1"/>
  <c r="D26" i="47"/>
  <c r="G29" i="47" a="1"/>
  <c r="G29" i="47" s="1"/>
  <c r="C31" i="47"/>
  <c r="B37" i="47"/>
  <c r="F32" i="47" a="1"/>
  <c r="F32" i="47" s="1"/>
  <c r="C41" i="47"/>
  <c r="C36" i="47"/>
  <c r="E51" i="47" a="1"/>
  <c r="E51" i="47" s="1"/>
  <c r="B39" i="47"/>
  <c r="H44" i="47" a="1"/>
  <c r="H44" i="47" s="1"/>
  <c r="E40" i="47" a="1"/>
  <c r="E40" i="47" s="1"/>
  <c r="I28" i="47" a="1"/>
  <c r="I28" i="47" s="1"/>
  <c r="E11" i="47" a="1"/>
  <c r="E11" i="47" s="1"/>
  <c r="H39" i="47" a="1"/>
  <c r="H39" i="47" s="1"/>
  <c r="C10" i="47"/>
  <c r="E47" i="47" a="1"/>
  <c r="E47" i="47" s="1"/>
  <c r="F50" i="47" a="1"/>
  <c r="F50" i="47" s="1"/>
  <c r="F20" i="47" a="1"/>
  <c r="F20" i="47" s="1"/>
  <c r="C32" i="47"/>
  <c r="K52" i="47" a="1"/>
  <c r="K52" i="47" s="1"/>
  <c r="E22" i="47" a="1"/>
  <c r="E22" i="47" s="1"/>
  <c r="F39" i="47" a="1"/>
  <c r="F39" i="47" s="1"/>
  <c r="B34" i="47"/>
  <c r="G11" i="47" a="1"/>
  <c r="G11" i="47" s="1"/>
  <c r="D28" i="47"/>
  <c r="D24" i="47"/>
  <c r="H12" i="47" a="1"/>
  <c r="H12" i="47" s="1"/>
  <c r="I20" i="47" a="1"/>
  <c r="I20" i="47" s="1"/>
  <c r="O10" i="47" a="1"/>
  <c r="O10" i="47" s="1"/>
  <c r="E12" i="47" a="1"/>
  <c r="E12" i="47" s="1"/>
  <c r="C20" i="47"/>
  <c r="G19" i="47" a="1"/>
  <c r="G19" i="47" s="1"/>
  <c r="K21" i="47" a="1"/>
  <c r="K21" i="47" s="1"/>
  <c r="R50" i="47" a="1"/>
  <c r="R50" i="47" s="1"/>
  <c r="E21" i="47" a="1"/>
  <c r="E21" i="47" s="1"/>
  <c r="F24" i="47" a="1"/>
  <c r="F24" i="47" s="1"/>
  <c r="H46" i="47" a="1"/>
  <c r="H46" i="47" s="1"/>
  <c r="J16" i="47" a="1"/>
  <c r="J16" i="47" s="1"/>
  <c r="S23" i="47" a="1"/>
  <c r="S23" i="47" s="1"/>
  <c r="C48" i="47"/>
  <c r="K9" i="47" a="1"/>
  <c r="K9" i="47" s="1"/>
  <c r="D47" i="47"/>
  <c r="D20" i="47"/>
  <c r="E15" i="47" a="1"/>
  <c r="E15" i="47" s="1"/>
  <c r="D49" i="47"/>
  <c r="N54" i="47" a="1"/>
  <c r="N54" i="47" s="1"/>
  <c r="C35" i="47"/>
  <c r="F28" i="47" a="1"/>
  <c r="F28" i="47" s="1"/>
  <c r="O50" i="47" a="1"/>
  <c r="O50" i="47" s="1"/>
  <c r="H40" i="47" a="1"/>
  <c r="H40" i="47" s="1"/>
  <c r="Q16" i="47" a="1"/>
  <c r="Q16" i="47" s="1"/>
  <c r="S37" i="47" a="1"/>
  <c r="S37" i="47" s="1"/>
  <c r="F49" i="47" a="1"/>
  <c r="F49" i="47" s="1"/>
  <c r="R39" i="47" a="1"/>
  <c r="R39" i="47" s="1"/>
  <c r="N50" i="47" a="1"/>
  <c r="N50" i="47" s="1"/>
  <c r="I34" i="47" a="1"/>
  <c r="I34" i="47" s="1"/>
  <c r="C14" i="47"/>
  <c r="D40" i="47"/>
  <c r="B35" i="47"/>
  <c r="I25" i="47" a="1"/>
  <c r="I25" i="47" s="1"/>
  <c r="H24" i="47" a="1"/>
  <c r="H24" i="47" s="1"/>
  <c r="C50" i="47"/>
  <c r="B20" i="47"/>
  <c r="G30" i="47" a="1"/>
  <c r="G30" i="47" s="1"/>
  <c r="I15" i="47" a="1"/>
  <c r="I15" i="47" s="1"/>
  <c r="B52" i="47"/>
  <c r="G52" i="47" a="1"/>
  <c r="G52" i="47" s="1"/>
  <c r="F42" i="47" a="1"/>
  <c r="F42" i="47" s="1"/>
  <c r="G45" i="47" a="1"/>
  <c r="G45" i="47" s="1"/>
  <c r="E49" i="47" a="1"/>
  <c r="E49" i="47" s="1"/>
  <c r="I52" i="47" a="1"/>
  <c r="I52" i="47" s="1"/>
  <c r="C40" i="47"/>
  <c r="C37" i="47"/>
  <c r="C26" i="47"/>
  <c r="C28" i="47"/>
  <c r="I21" i="47" a="1"/>
  <c r="I21" i="47" s="1"/>
  <c r="C54" i="47"/>
  <c r="I32" i="47" a="1"/>
  <c r="I32" i="47" s="1"/>
  <c r="H41" i="47" a="1"/>
  <c r="H41" i="47" s="1"/>
  <c r="N37" i="47" a="1"/>
  <c r="N37" i="47" s="1"/>
  <c r="I31" i="47" a="1"/>
  <c r="I31" i="47" s="1"/>
  <c r="G49" i="47" a="1"/>
  <c r="G49" i="47" s="1"/>
  <c r="H33" i="47" a="1"/>
  <c r="H33" i="47" s="1"/>
  <c r="H36" i="47" a="1"/>
  <c r="H36" i="47" s="1"/>
  <c r="E13" i="47" a="1"/>
  <c r="E13" i="47" s="1"/>
  <c r="G39" i="47" a="1"/>
  <c r="G39" i="47" s="1"/>
  <c r="G15" i="47" a="1"/>
  <c r="G15" i="47" s="1"/>
  <c r="I16" i="47" a="1"/>
  <c r="I16" i="47" s="1"/>
  <c r="K48" i="47" a="1"/>
  <c r="K48" i="47" s="1"/>
  <c r="C34" i="47"/>
  <c r="F40" i="47" a="1"/>
  <c r="F40" i="47" s="1"/>
  <c r="C51" i="47"/>
  <c r="D50" i="47"/>
  <c r="E16" i="47" a="1"/>
  <c r="E16" i="47" s="1"/>
  <c r="B32" i="47"/>
  <c r="I38" i="47" a="1"/>
  <c r="I38" i="47" s="1"/>
  <c r="I24" i="47" a="1"/>
  <c r="I24" i="47" s="1"/>
  <c r="E46" i="47" a="1"/>
  <c r="E46" i="47" s="1"/>
  <c r="C42" i="47"/>
  <c r="B48" i="47"/>
  <c r="I49" i="47" a="1"/>
  <c r="I49" i="47" s="1"/>
  <c r="G38" i="47" a="1"/>
  <c r="G38" i="47" s="1"/>
  <c r="E23" i="47" a="1"/>
  <c r="E23" i="47" s="1"/>
  <c r="P18" i="47" a="1"/>
  <c r="P18" i="47" s="1"/>
  <c r="D53" i="47"/>
  <c r="F47" i="47" a="1"/>
  <c r="F47" i="47" s="1"/>
  <c r="J9" i="47" a="1"/>
  <c r="J9" i="47" s="1"/>
  <c r="I29" i="47" a="1"/>
  <c r="I29" i="47" s="1"/>
  <c r="F44" i="47" a="1"/>
  <c r="F44" i="47" s="1"/>
  <c r="G12" i="47" a="1"/>
  <c r="G12" i="47" s="1"/>
  <c r="F15" i="47" a="1"/>
  <c r="F15" i="47" s="1"/>
  <c r="I35" i="47" a="1"/>
  <c r="I35" i="47" s="1"/>
  <c r="H18" i="47" a="1"/>
  <c r="H18" i="47" s="1"/>
  <c r="B33" i="47"/>
  <c r="B51" i="47"/>
  <c r="E19" i="47" a="1"/>
  <c r="E19" i="47" s="1"/>
  <c r="C13" i="47"/>
  <c r="C46" i="47"/>
  <c r="C25" i="47"/>
  <c r="G31" i="47" a="1"/>
  <c r="G31" i="47" s="1"/>
  <c r="R35" i="47" a="1"/>
  <c r="R35" i="47" s="1"/>
  <c r="D9" i="47"/>
  <c r="C16" i="47"/>
  <c r="G25" i="47" a="1"/>
  <c r="G25" i="47" s="1"/>
  <c r="G44" i="47" a="1"/>
  <c r="G44" i="47" s="1"/>
  <c r="I41" i="47" a="1"/>
  <c r="I41" i="47" s="1"/>
  <c r="B23" i="47"/>
  <c r="K28" i="47" a="1"/>
  <c r="K28" i="47" s="1"/>
  <c r="G17" i="47" a="1"/>
  <c r="G17" i="47" s="1"/>
  <c r="I19" i="47" a="1"/>
  <c r="I19" i="47" s="1"/>
  <c r="G20" i="47" a="1"/>
  <c r="G20" i="47" s="1"/>
  <c r="B12" i="47"/>
  <c r="G24" i="47" a="1"/>
  <c r="G24" i="47" s="1"/>
  <c r="G43" i="47" a="1"/>
  <c r="G43" i="47" s="1"/>
  <c r="F38" i="47" a="1"/>
  <c r="F38" i="47" s="1"/>
  <c r="R45" i="47" a="1"/>
  <c r="R45" i="47" s="1"/>
  <c r="S12" i="47" a="1"/>
  <c r="S12" i="47" s="1"/>
  <c r="E33" i="47" a="1"/>
  <c r="E33" i="47" s="1"/>
  <c r="C27" i="47"/>
  <c r="L29" i="47" a="1"/>
  <c r="L29" i="47" s="1"/>
  <c r="N27" i="47" a="1"/>
  <c r="N27" i="47" s="1"/>
  <c r="P11" i="47" a="1"/>
  <c r="P11" i="47" s="1"/>
  <c r="I12" i="47" a="1"/>
  <c r="I12" i="47" s="1"/>
  <c r="I23" i="47" a="1"/>
  <c r="I23" i="47" s="1"/>
  <c r="L34" i="47" a="1"/>
  <c r="L34" i="47" s="1"/>
  <c r="M28" i="47" a="1"/>
  <c r="M28" i="47" s="1"/>
  <c r="I54" i="47" a="1"/>
  <c r="I54" i="47" s="1"/>
  <c r="D21" i="47"/>
  <c r="K19" i="47" a="1"/>
  <c r="K19" i="47" s="1"/>
  <c r="E34" i="47" a="1"/>
  <c r="E34" i="47" s="1"/>
  <c r="K15" i="47" a="1"/>
  <c r="K15" i="47" s="1"/>
  <c r="G37" i="47" a="1"/>
  <c r="G37" i="47" s="1"/>
  <c r="R28" i="47" a="1"/>
  <c r="R28" i="47" s="1"/>
  <c r="M29" i="47" a="1"/>
  <c r="M29" i="47" s="1"/>
  <c r="I22" i="47" a="1"/>
  <c r="I22" i="47" s="1"/>
  <c r="F34" i="47" a="1"/>
  <c r="F34" i="47" s="1"/>
  <c r="N48" i="47" a="1"/>
  <c r="N48" i="47" s="1"/>
  <c r="F29" i="47" a="1"/>
  <c r="F29" i="47" s="1"/>
  <c r="L16" i="47" a="1"/>
  <c r="L16" i="47" s="1"/>
  <c r="D51" i="47"/>
  <c r="K47" i="47" a="1"/>
  <c r="K47" i="47" s="1"/>
  <c r="H22" i="47" a="1"/>
  <c r="H22" i="47" s="1"/>
  <c r="N35" i="47" a="1"/>
  <c r="N35" i="47" s="1"/>
  <c r="N25" i="47" a="1"/>
  <c r="N25" i="47" s="1"/>
  <c r="O16" i="47" a="1"/>
  <c r="O16" i="47" s="1"/>
  <c r="S18" i="47" a="1"/>
  <c r="S18" i="47" s="1"/>
  <c r="H28" i="47" a="1"/>
  <c r="H28" i="47" s="1"/>
  <c r="R26" i="47" a="1"/>
  <c r="R26" i="47" s="1"/>
  <c r="P24" i="47" a="1"/>
  <c r="P24" i="47" s="1"/>
  <c r="P45" i="47" a="1"/>
  <c r="P45" i="47" s="1"/>
  <c r="G34" i="47" a="1"/>
  <c r="G34" i="47" s="1"/>
  <c r="L50" i="47" a="1"/>
  <c r="L50" i="47" s="1"/>
  <c r="C49" i="47"/>
  <c r="D17" i="47"/>
  <c r="S41" i="47" a="1"/>
  <c r="S41" i="47" s="1"/>
  <c r="G13" i="47" a="1"/>
  <c r="G13" i="47" s="1"/>
  <c r="P22" i="47" a="1"/>
  <c r="P22" i="47" s="1"/>
  <c r="R36" i="47" a="1"/>
  <c r="R36" i="47" s="1"/>
  <c r="O40" i="47" a="1"/>
  <c r="O40" i="47" s="1"/>
  <c r="D29" i="47"/>
  <c r="C44" i="47"/>
  <c r="P42" i="47" a="1"/>
  <c r="P42" i="47" s="1"/>
  <c r="S46" i="47" a="1"/>
  <c r="S46" i="47" s="1"/>
  <c r="Q11" i="47" a="1"/>
  <c r="Q11" i="47" s="1"/>
  <c r="M16" i="47" a="1"/>
  <c r="M16" i="47" s="1"/>
  <c r="F30" i="47" a="1"/>
  <c r="F30" i="47" s="1"/>
  <c r="S47" i="47" a="1"/>
  <c r="S47" i="47" s="1"/>
  <c r="H21" i="47" a="1"/>
  <c r="H21" i="47" s="1"/>
  <c r="Q37" i="47" a="1"/>
  <c r="Q37" i="47" s="1"/>
  <c r="E50" i="47" a="1"/>
  <c r="E50" i="47" s="1"/>
  <c r="J43" i="47" a="1"/>
  <c r="J43" i="47" s="1"/>
  <c r="G40" i="47" a="1"/>
  <c r="G40" i="47" s="1"/>
  <c r="J34" i="47" a="1"/>
  <c r="J34" i="47" s="1"/>
  <c r="E25" i="47" a="1"/>
  <c r="E25" i="47" s="1"/>
  <c r="I50" i="47" a="1"/>
  <c r="I50" i="47" s="1"/>
  <c r="J23" i="47" a="1"/>
  <c r="J23" i="47" s="1"/>
  <c r="L15" i="47" a="1"/>
  <c r="L15" i="47" s="1"/>
  <c r="H11" i="47" a="1"/>
  <c r="H11" i="47" s="1"/>
  <c r="D35" i="47"/>
  <c r="C29" i="47"/>
  <c r="D41" i="47"/>
  <c r="I40" i="47" a="1"/>
  <c r="I40" i="47" s="1"/>
  <c r="Q54" i="47" a="1"/>
  <c r="Q54" i="47" s="1"/>
  <c r="K39" i="47" a="1"/>
  <c r="K39" i="47" s="1"/>
  <c r="Q13" i="47" a="1"/>
  <c r="Q13" i="47" s="1"/>
  <c r="N13" i="47" a="1"/>
  <c r="N13" i="47" s="1"/>
  <c r="E44" i="47" a="1"/>
  <c r="E44" i="47" s="1"/>
  <c r="H52" i="47" a="1"/>
  <c r="H52" i="47" s="1"/>
  <c r="D18" i="47"/>
  <c r="E17" i="47" a="1"/>
  <c r="E17" i="47" s="1"/>
  <c r="L44" i="47" a="1"/>
  <c r="L44" i="47" s="1"/>
  <c r="G41" i="47" a="1"/>
  <c r="G41" i="47" s="1"/>
  <c r="H35" i="47" a="1"/>
  <c r="H35" i="47" s="1"/>
  <c r="L31" i="47" a="1"/>
  <c r="L31" i="47" s="1"/>
  <c r="M41" i="47" a="1"/>
  <c r="M41" i="47" s="1"/>
  <c r="I42" i="47" a="1"/>
  <c r="I42" i="47" s="1"/>
  <c r="N26" i="47" a="1"/>
  <c r="N26" i="47" s="1"/>
  <c r="B28" i="47"/>
  <c r="P27" i="47" a="1"/>
  <c r="P27" i="47" s="1"/>
  <c r="Q41" i="47" a="1"/>
  <c r="Q41" i="47" s="1"/>
  <c r="F27" i="47" a="1"/>
  <c r="F27" i="47" s="1"/>
  <c r="G42" i="47" a="1"/>
  <c r="G42" i="47" s="1"/>
  <c r="G51" i="47" a="1"/>
  <c r="G51" i="47" s="1"/>
  <c r="D44" i="47"/>
  <c r="F18" i="47" a="1"/>
  <c r="F18" i="47" s="1"/>
  <c r="D13" i="47"/>
  <c r="H51" i="47" a="1"/>
  <c r="H51" i="47" s="1"/>
  <c r="Q28" i="47" a="1"/>
  <c r="Q28" i="47" s="1"/>
  <c r="B18" i="47"/>
  <c r="M48" i="47" a="1"/>
  <c r="M48" i="47" s="1"/>
  <c r="P33" i="47" a="1"/>
  <c r="P33" i="47" s="1"/>
  <c r="R46" i="47" a="1"/>
  <c r="R46" i="47" s="1"/>
  <c r="R54" i="47" a="1"/>
  <c r="R54" i="47" s="1"/>
  <c r="B24" i="47"/>
  <c r="N52" i="47" a="1"/>
  <c r="N52" i="47" s="1"/>
  <c r="Q36" i="47" a="1"/>
  <c r="Q36" i="47" s="1"/>
  <c r="P52" i="47" a="1"/>
  <c r="P52" i="47" s="1"/>
  <c r="F45" i="47" a="1"/>
  <c r="F45" i="47" s="1"/>
  <c r="P14" i="47" a="1"/>
  <c r="P14" i="47" s="1"/>
  <c r="B41" i="47"/>
  <c r="K22" i="47" a="1"/>
  <c r="K22" i="47" s="1"/>
  <c r="L46" i="47" a="1"/>
  <c r="L46" i="47" s="1"/>
  <c r="M51" i="47" a="1"/>
  <c r="M51" i="47" s="1"/>
  <c r="R10" i="47" a="1"/>
  <c r="R10" i="47" s="1"/>
  <c r="G28" i="47" a="1"/>
  <c r="G28" i="47" s="1"/>
  <c r="F17" i="47" a="1"/>
  <c r="F17" i="47" s="1"/>
  <c r="R21" i="47" a="1"/>
  <c r="R21" i="47" s="1"/>
  <c r="I39" i="47" a="1"/>
  <c r="I39" i="47" s="1"/>
  <c r="C33" i="47"/>
  <c r="J36" i="47" a="1"/>
  <c r="J36" i="47" s="1"/>
  <c r="M40" i="47" a="1"/>
  <c r="M40" i="47" s="1"/>
  <c r="R30" i="47" a="1"/>
  <c r="R30" i="47" s="1"/>
  <c r="C23" i="47"/>
  <c r="H42" i="47" a="1"/>
  <c r="H42" i="47" s="1"/>
  <c r="S51" i="47" a="1"/>
  <c r="S51" i="47" s="1"/>
  <c r="S25" i="47" a="1"/>
  <c r="S25" i="47" s="1"/>
  <c r="C39" i="47"/>
  <c r="F53" i="47" a="1"/>
  <c r="F53" i="47" s="1"/>
  <c r="B11" i="47"/>
  <c r="H30" i="47" a="1"/>
  <c r="H30" i="47" s="1"/>
  <c r="E38" i="47" a="1"/>
  <c r="E38" i="47" s="1"/>
  <c r="D33" i="47"/>
  <c r="C19" i="47"/>
  <c r="N40" i="47" a="1"/>
  <c r="N40" i="47" s="1"/>
  <c r="C17" i="47"/>
  <c r="O39" i="47" a="1"/>
  <c r="O39" i="47" s="1"/>
  <c r="E27" i="47" a="1"/>
  <c r="E27" i="47" s="1"/>
  <c r="L19" i="47" a="1"/>
  <c r="L19" i="47" s="1"/>
  <c r="G46" i="47" a="1"/>
  <c r="G46" i="47" s="1"/>
  <c r="E54" i="47" a="1"/>
  <c r="E54" i="47" s="1"/>
  <c r="L41" i="47" a="1"/>
  <c r="L41" i="47" s="1"/>
  <c r="J18" i="47" a="1"/>
  <c r="J18" i="47" s="1"/>
  <c r="O15" i="47" a="1"/>
  <c r="O15" i="47" s="1"/>
  <c r="F41" i="47" a="1"/>
  <c r="F41" i="47" s="1"/>
  <c r="M15" i="47" a="1"/>
  <c r="M15" i="47" s="1"/>
  <c r="O12" i="47" a="1"/>
  <c r="O12" i="47" s="1"/>
  <c r="I53" i="47" a="1"/>
  <c r="I53" i="47" s="1"/>
  <c r="E35" i="47" a="1"/>
  <c r="E35" i="47" s="1"/>
  <c r="H27" i="47" a="1"/>
  <c r="H27" i="47" s="1"/>
  <c r="Q49" i="47" a="1"/>
  <c r="Q49" i="47" s="1"/>
  <c r="B40" i="47"/>
  <c r="H10" i="47" a="1"/>
  <c r="H10" i="47" s="1"/>
  <c r="B46" i="47"/>
  <c r="G36" i="47" a="1"/>
  <c r="G36" i="47" s="1"/>
  <c r="Q46" i="47" a="1"/>
  <c r="Q46" i="47" s="1"/>
  <c r="N11" i="47" a="1"/>
  <c r="N11" i="47" s="1"/>
  <c r="L54" i="47" a="1"/>
  <c r="L54" i="47" s="1"/>
  <c r="I11" i="47" a="1"/>
  <c r="I11" i="47" s="1"/>
  <c r="N41" i="47" a="1"/>
  <c r="N41" i="47" s="1"/>
  <c r="H37" i="47" a="1"/>
  <c r="H37" i="47" s="1"/>
  <c r="B38" i="47"/>
  <c r="N49" i="47" a="1"/>
  <c r="N49" i="47" s="1"/>
  <c r="P17" i="47" a="1"/>
  <c r="P17" i="47" s="1"/>
  <c r="L43" i="47" a="1"/>
  <c r="L43" i="47" s="1"/>
  <c r="R34" i="47" a="1"/>
  <c r="R34" i="47" s="1"/>
  <c r="O23" i="47" a="1"/>
  <c r="O23" i="47" s="1"/>
  <c r="P10" i="47" a="1"/>
  <c r="P10" i="47" s="1"/>
  <c r="C30" i="47"/>
  <c r="K42" i="47" a="1"/>
  <c r="K42" i="47" s="1"/>
  <c r="E48" i="47" a="1"/>
  <c r="E48" i="47" s="1"/>
  <c r="P49" i="47" a="1"/>
  <c r="P49" i="47" s="1"/>
  <c r="M18" i="47" a="1"/>
  <c r="M18" i="47" s="1"/>
  <c r="R48" i="47" a="1"/>
  <c r="R48" i="47" s="1"/>
  <c r="N23" i="47" a="1"/>
  <c r="N23" i="47" s="1"/>
  <c r="M37" i="47" a="1"/>
  <c r="M37" i="47" s="1"/>
  <c r="F54" i="47" a="1"/>
  <c r="F54" i="47" s="1"/>
  <c r="S50" i="47" a="1"/>
  <c r="S50" i="47" s="1"/>
  <c r="K14" i="47" a="1"/>
  <c r="K14" i="47" s="1"/>
  <c r="J54" i="47" a="1"/>
  <c r="J54" i="47" s="1"/>
  <c r="Q48" i="47" a="1"/>
  <c r="Q48" i="47" s="1"/>
  <c r="F12" i="47" a="1"/>
  <c r="F12" i="47" s="1"/>
  <c r="N21" i="47" a="1"/>
  <c r="N21" i="47" s="1"/>
  <c r="M17" i="47" a="1"/>
  <c r="M17" i="47" s="1"/>
  <c r="S10" i="47" a="1"/>
  <c r="S10" i="47" s="1"/>
  <c r="H29" i="47" a="1"/>
  <c r="H29" i="47" s="1"/>
  <c r="S35" i="47" a="1"/>
  <c r="S35" i="47" s="1"/>
  <c r="K17" i="47" a="1"/>
  <c r="K17" i="47" s="1"/>
  <c r="G27" i="47" a="1"/>
  <c r="G27" i="47" s="1"/>
  <c r="C47" i="47"/>
  <c r="M49" i="47" a="1"/>
  <c r="M49" i="47" s="1"/>
  <c r="F52" i="47" a="1"/>
  <c r="F52" i="47" s="1"/>
  <c r="S11" i="47" a="1"/>
  <c r="S11" i="47" s="1"/>
  <c r="G16" i="47" a="1"/>
  <c r="G16" i="47" s="1"/>
  <c r="P16" i="47" a="1"/>
  <c r="P16" i="47" s="1"/>
  <c r="S54" i="47" a="1"/>
  <c r="S54" i="47" s="1"/>
  <c r="G35" i="47" a="1"/>
  <c r="G35" i="47" s="1"/>
  <c r="O22" i="47" a="1"/>
  <c r="O22" i="47" s="1"/>
  <c r="K23" i="47" a="1"/>
  <c r="K23" i="47" s="1"/>
  <c r="O29" i="47" a="1"/>
  <c r="O29" i="47" s="1"/>
  <c r="K49" i="47" a="1"/>
  <c r="K49" i="47" s="1"/>
  <c r="R49" i="47" a="1"/>
  <c r="R49" i="47" s="1"/>
  <c r="F23" i="47" a="1"/>
  <c r="F23" i="47" s="1"/>
  <c r="I44" i="47" a="1"/>
  <c r="I44" i="47" s="1"/>
  <c r="S26" i="47" a="1"/>
  <c r="S26" i="47" s="1"/>
  <c r="E26" i="47" a="1"/>
  <c r="E26" i="47" s="1"/>
  <c r="P53" i="47" a="1"/>
  <c r="P53" i="47" s="1"/>
  <c r="S28" i="47" a="1"/>
  <c r="S28" i="47" s="1"/>
  <c r="J49" i="47" a="1"/>
  <c r="J49" i="47" s="1"/>
  <c r="P38" i="47" a="1"/>
  <c r="P38" i="47" s="1"/>
  <c r="F13" i="47" a="1"/>
  <c r="F13" i="47" s="1"/>
  <c r="N38" i="47" a="1"/>
  <c r="N38" i="47" s="1"/>
  <c r="I14" i="47" a="1"/>
  <c r="I14" i="47" s="1"/>
  <c r="O19" i="47" a="1"/>
  <c r="O19" i="47" s="1"/>
  <c r="O37" i="47" a="1"/>
  <c r="O37" i="47" s="1"/>
  <c r="H53" i="47" a="1"/>
  <c r="H53" i="47" s="1"/>
  <c r="C43" i="47"/>
  <c r="N15" i="47" a="1"/>
  <c r="N15" i="47" s="1"/>
  <c r="M34" i="47" a="1"/>
  <c r="M34" i="47" s="1"/>
  <c r="K24" i="47" a="1"/>
  <c r="K24" i="47" s="1"/>
  <c r="H15" i="47" a="1"/>
  <c r="H15" i="47" s="1"/>
  <c r="J32" i="47" a="1"/>
  <c r="J32" i="47" s="1"/>
  <c r="I27" i="47" a="1"/>
  <c r="I27" i="47" s="1"/>
  <c r="G32" i="47" a="1"/>
  <c r="G32" i="47" s="1"/>
  <c r="D48" i="47"/>
  <c r="H47" i="47" a="1"/>
  <c r="H47" i="47" s="1"/>
  <c r="H13" i="47" a="1"/>
  <c r="H13" i="47" s="1"/>
  <c r="Q17" i="47" a="1"/>
  <c r="Q17" i="47" s="1"/>
  <c r="N31" i="47" a="1"/>
  <c r="N31" i="47" s="1"/>
  <c r="K54" i="47" a="1"/>
  <c r="K54" i="47" s="1"/>
  <c r="S30" i="47" a="1"/>
  <c r="S30" i="47" s="1"/>
  <c r="E32" i="47" a="1"/>
  <c r="E32" i="47" s="1"/>
  <c r="N29" i="47" a="1"/>
  <c r="N29" i="47" s="1"/>
  <c r="J37" i="47" a="1"/>
  <c r="J37" i="47" s="1"/>
  <c r="J10" i="47" a="1"/>
  <c r="J10" i="47" s="1"/>
  <c r="R31" i="47" a="1"/>
  <c r="R31" i="47" s="1"/>
  <c r="Q25" i="47" a="1"/>
  <c r="Q25" i="47" s="1"/>
  <c r="S53" i="47" a="1"/>
  <c r="S53" i="47" s="1"/>
  <c r="L53" i="47" a="1"/>
  <c r="L53" i="47" s="1"/>
  <c r="E20" i="47" a="1"/>
  <c r="E20" i="47" s="1"/>
  <c r="J26" i="47" a="1"/>
  <c r="J26" i="47" s="1"/>
  <c r="F14" i="47" a="1"/>
  <c r="F14" i="47" s="1"/>
  <c r="P40" i="47" a="1"/>
  <c r="P40" i="47" s="1"/>
  <c r="K13" i="47" a="1"/>
  <c r="K13" i="47" s="1"/>
  <c r="D46" i="47"/>
  <c r="J25" i="47" a="1"/>
  <c r="J25" i="47" s="1"/>
  <c r="G10" i="47" a="1"/>
  <c r="G10" i="47" s="1"/>
  <c r="L21" i="47" a="1"/>
  <c r="L21" i="47" s="1"/>
  <c r="N36" i="47" a="1"/>
  <c r="N36" i="47" s="1"/>
  <c r="M36" i="47" a="1"/>
  <c r="M36" i="47" s="1"/>
  <c r="M30" i="47" a="1"/>
  <c r="M30" i="47" s="1"/>
  <c r="M12" i="47" a="1"/>
  <c r="M12" i="47" s="1"/>
  <c r="M11" i="47" a="1"/>
  <c r="M11" i="47" s="1"/>
  <c r="J41" i="47" a="1"/>
  <c r="J41" i="47" s="1"/>
  <c r="R24" i="47" a="1"/>
  <c r="R24" i="47" s="1"/>
  <c r="P32" i="47" a="1"/>
  <c r="P32" i="47" s="1"/>
  <c r="I37" i="47" a="1"/>
  <c r="I37" i="47" s="1"/>
  <c r="B17" i="47"/>
  <c r="H49" i="47" a="1"/>
  <c r="H49" i="47" s="1"/>
  <c r="H23" i="47" a="1"/>
  <c r="H23" i="47" s="1"/>
  <c r="L11" i="47" a="1"/>
  <c r="L11" i="47" s="1"/>
  <c r="L32" i="47" a="1"/>
  <c r="L32" i="47" s="1"/>
  <c r="C38" i="47"/>
  <c r="S43" i="47" a="1"/>
  <c r="S43" i="47" s="1"/>
  <c r="I18" i="47" a="1"/>
  <c r="I18" i="47" s="1"/>
  <c r="P44" i="47" a="1"/>
  <c r="P44" i="47" s="1"/>
  <c r="J28" i="47" a="1"/>
  <c r="J28" i="47" s="1"/>
  <c r="H32" i="47" a="1"/>
  <c r="H32" i="47" s="1"/>
  <c r="P29" i="47" a="1"/>
  <c r="P29" i="47" s="1"/>
  <c r="M52" i="47" a="1"/>
  <c r="M52" i="47" s="1"/>
  <c r="S17" i="47" a="1"/>
  <c r="S17" i="47" s="1"/>
  <c r="S22" i="47" a="1"/>
  <c r="S22" i="47" s="1"/>
  <c r="B15" i="47"/>
  <c r="R11" i="47" a="1"/>
  <c r="R11" i="47" s="1"/>
  <c r="H54" i="47" a="1"/>
  <c r="H54" i="47" s="1"/>
  <c r="J14" i="47" a="1"/>
  <c r="J14" i="47" s="1"/>
  <c r="J31" i="47" a="1"/>
  <c r="J31" i="47" s="1"/>
  <c r="J29" i="47" a="1"/>
  <c r="J29" i="47" s="1"/>
  <c r="K32" i="47" a="1"/>
  <c r="K32" i="47" s="1"/>
  <c r="M45" i="47" a="1"/>
  <c r="M45" i="47" s="1"/>
  <c r="J47" i="47" a="1"/>
  <c r="J47" i="47" s="1"/>
  <c r="G47" i="47" a="1"/>
  <c r="G47" i="47" s="1"/>
  <c r="R43" i="47" a="1"/>
  <c r="R43" i="47" s="1"/>
  <c r="O51" i="47" a="1"/>
  <c r="O51" i="47" s="1"/>
  <c r="P20" i="47" a="1"/>
  <c r="P20" i="47" s="1"/>
  <c r="R47" i="47" a="1"/>
  <c r="R47" i="47" s="1"/>
  <c r="I51" i="47" a="1"/>
  <c r="I51" i="47" s="1"/>
  <c r="P12" i="47" a="1"/>
  <c r="P12" i="47" s="1"/>
  <c r="E45" i="47" a="1"/>
  <c r="E45" i="47" s="1"/>
  <c r="D42" i="47"/>
  <c r="Q30" i="47" a="1"/>
  <c r="Q30" i="47" s="1"/>
  <c r="O46" i="47" a="1"/>
  <c r="O46" i="47" s="1"/>
  <c r="Q32" i="47" a="1"/>
  <c r="Q32" i="47" s="1"/>
  <c r="J22" i="47" a="1"/>
  <c r="J22" i="47" s="1"/>
  <c r="E52" i="47" a="1"/>
  <c r="E52" i="47" s="1"/>
  <c r="O14" i="47" a="1"/>
  <c r="O14" i="47" s="1"/>
  <c r="J45" i="47" a="1"/>
  <c r="J45" i="47" s="1"/>
  <c r="S45" i="47" a="1"/>
  <c r="S45" i="47" s="1"/>
  <c r="E10" i="47" a="1"/>
  <c r="E10" i="47" s="1"/>
  <c r="AI36" i="50"/>
  <c r="AF36" i="50"/>
  <c r="T36" i="50"/>
  <c r="U36" i="50"/>
  <c r="AB36" i="50"/>
  <c r="AK36" i="50"/>
  <c r="AL36" i="50"/>
  <c r="AD36" i="50"/>
  <c r="AA36" i="50"/>
  <c r="AH36" i="50"/>
  <c r="H36" i="50"/>
  <c r="W36" i="50"/>
  <c r="V36" i="50"/>
  <c r="K36" i="50"/>
  <c r="J36" i="50"/>
  <c r="AG36" i="50"/>
  <c r="S36" i="50"/>
  <c r="AE36" i="50"/>
  <c r="AC36" i="50"/>
  <c r="AJ36" i="50"/>
  <c r="P36" i="50"/>
  <c r="L36" i="50"/>
  <c r="Q36" i="50"/>
  <c r="Z36" i="50"/>
  <c r="M36" i="50"/>
  <c r="O36" i="50"/>
  <c r="Y36" i="50"/>
  <c r="X36" i="50"/>
  <c r="R36" i="50"/>
  <c r="AM36" i="50"/>
  <c r="N36" i="50"/>
  <c r="I36" i="50"/>
  <c r="X45" i="50"/>
  <c r="W45" i="50"/>
  <c r="U45" i="50"/>
  <c r="AB45" i="50"/>
  <c r="AK45" i="50"/>
  <c r="S45" i="50"/>
  <c r="AH45" i="50"/>
  <c r="N45" i="50"/>
  <c r="O45" i="50"/>
  <c r="AJ45" i="50"/>
  <c r="R45" i="50"/>
  <c r="V45" i="50"/>
  <c r="AE45" i="50"/>
  <c r="AM45" i="50"/>
  <c r="AF45" i="50"/>
  <c r="Q45" i="50"/>
  <c r="AG45" i="50"/>
  <c r="AI45" i="50"/>
  <c r="AC45" i="50"/>
  <c r="AL45" i="50"/>
  <c r="AD45" i="50"/>
  <c r="K45" i="50"/>
  <c r="Y45" i="50"/>
  <c r="L45" i="50"/>
  <c r="J45" i="50"/>
  <c r="P45" i="50"/>
  <c r="Z45" i="50"/>
  <c r="H45" i="50"/>
  <c r="T45" i="50"/>
  <c r="M45" i="50"/>
  <c r="I45" i="50"/>
  <c r="AA45" i="50"/>
  <c r="L24" i="50"/>
  <c r="S24" i="50"/>
  <c r="P24" i="50"/>
  <c r="AA24" i="50"/>
  <c r="AK24" i="50"/>
  <c r="T24" i="50"/>
  <c r="H24" i="50"/>
  <c r="AD24" i="50"/>
  <c r="Q24" i="50"/>
  <c r="AL24" i="50"/>
  <c r="AI24" i="50"/>
  <c r="W24" i="50"/>
  <c r="AF24" i="50"/>
  <c r="X24" i="50"/>
  <c r="K24" i="50"/>
  <c r="AE24" i="50"/>
  <c r="R24" i="50"/>
  <c r="U24" i="50"/>
  <c r="AH24" i="50"/>
  <c r="V24" i="50"/>
  <c r="AC24" i="50"/>
  <c r="J24" i="50"/>
  <c r="AB24" i="50"/>
  <c r="AJ24" i="50"/>
  <c r="O24" i="50"/>
  <c r="N24" i="50"/>
  <c r="AM24" i="50"/>
  <c r="Y24" i="50"/>
  <c r="AG24" i="50"/>
  <c r="M24" i="50"/>
  <c r="I24" i="50"/>
  <c r="Z24" i="50"/>
  <c r="AD25" i="50"/>
  <c r="AI25" i="50"/>
  <c r="T25" i="50"/>
  <c r="X25" i="50"/>
  <c r="Y25" i="50"/>
  <c r="AB25" i="50"/>
  <c r="AE25" i="50"/>
  <c r="O25" i="50"/>
  <c r="I25" i="50"/>
  <c r="AA25" i="50"/>
  <c r="M25" i="50"/>
  <c r="R25" i="50"/>
  <c r="H25" i="50"/>
  <c r="AM25" i="50"/>
  <c r="AG25" i="50"/>
  <c r="AL25" i="50"/>
  <c r="AF25" i="50"/>
  <c r="U25" i="50"/>
  <c r="Z25" i="50"/>
  <c r="Q25" i="50"/>
  <c r="N25" i="50"/>
  <c r="W25" i="50"/>
  <c r="S25" i="50"/>
  <c r="J25" i="50"/>
  <c r="AC25" i="50"/>
  <c r="P25" i="50"/>
  <c r="K25" i="50"/>
  <c r="L25" i="50"/>
  <c r="AK25" i="50"/>
  <c r="V25" i="50"/>
  <c r="AJ25" i="50"/>
  <c r="AH25" i="50"/>
  <c r="AB23" i="50"/>
  <c r="AK23" i="50"/>
  <c r="AD23" i="50"/>
  <c r="AF23" i="50"/>
  <c r="P23" i="50"/>
  <c r="W23" i="50"/>
  <c r="AH23" i="50"/>
  <c r="L23" i="50"/>
  <c r="J23" i="50"/>
  <c r="O23" i="50"/>
  <c r="Q23" i="50"/>
  <c r="V23" i="50"/>
  <c r="AI23" i="50"/>
  <c r="AL23" i="50"/>
  <c r="R23" i="50"/>
  <c r="AG23" i="50"/>
  <c r="N23" i="50"/>
  <c r="Z23" i="50"/>
  <c r="M23" i="50"/>
  <c r="AM23" i="50"/>
  <c r="U23" i="50"/>
  <c r="AJ23" i="50"/>
  <c r="X23" i="50"/>
  <c r="K23" i="50"/>
  <c r="S23" i="50"/>
  <c r="H23" i="50"/>
  <c r="AA23" i="50"/>
  <c r="Y23" i="50"/>
  <c r="AE23" i="50"/>
  <c r="AC23" i="50"/>
  <c r="T23" i="50"/>
  <c r="I23" i="50"/>
  <c r="AF9" i="50"/>
  <c r="J9" i="50"/>
  <c r="M9" i="50"/>
  <c r="N9" i="50"/>
  <c r="S9" i="50"/>
  <c r="Z9" i="50"/>
  <c r="I9" i="50"/>
  <c r="K9" i="50"/>
  <c r="AJ9" i="50"/>
  <c r="U9" i="50"/>
  <c r="O9" i="50"/>
  <c r="L9" i="50"/>
  <c r="AE9" i="50"/>
  <c r="AL9" i="50"/>
  <c r="AI9" i="50"/>
  <c r="AD9" i="50"/>
  <c r="T9" i="50"/>
  <c r="AC9" i="50"/>
  <c r="AM9" i="50"/>
  <c r="AA9" i="50"/>
  <c r="Y9" i="50"/>
  <c r="H9" i="50"/>
  <c r="X9" i="50"/>
  <c r="AB9" i="50"/>
  <c r="R9" i="50"/>
  <c r="V9" i="50"/>
  <c r="Q9" i="50"/>
  <c r="AH9" i="50"/>
  <c r="P9" i="50"/>
  <c r="AG9" i="50"/>
  <c r="W9" i="50"/>
  <c r="AK9" i="50"/>
  <c r="T32" i="50"/>
  <c r="J32" i="50"/>
  <c r="L32" i="50"/>
  <c r="AG32" i="50"/>
  <c r="AB32" i="50"/>
  <c r="AC32" i="50"/>
  <c r="P32" i="50"/>
  <c r="V32" i="50"/>
  <c r="N32" i="50"/>
  <c r="O32" i="50"/>
  <c r="I32" i="50"/>
  <c r="X32" i="50"/>
  <c r="K32" i="50"/>
  <c r="Y32" i="50"/>
  <c r="AE32" i="50"/>
  <c r="AL32" i="50"/>
  <c r="AH32" i="50"/>
  <c r="Z32" i="50"/>
  <c r="Q32" i="50"/>
  <c r="M32" i="50"/>
  <c r="AK32" i="50"/>
  <c r="U32" i="50"/>
  <c r="H32" i="50"/>
  <c r="AI32" i="50"/>
  <c r="AM32" i="50"/>
  <c r="AJ32" i="50"/>
  <c r="AD32" i="50"/>
  <c r="AA32" i="50"/>
  <c r="AF32" i="50"/>
  <c r="S32" i="50"/>
  <c r="W32" i="50"/>
  <c r="R32" i="50"/>
  <c r="Q20" i="50"/>
  <c r="T20" i="50"/>
  <c r="AA20" i="50"/>
  <c r="R20" i="50"/>
  <c r="U20" i="50"/>
  <c r="Z20" i="50"/>
  <c r="AM20" i="50"/>
  <c r="AF20" i="50"/>
  <c r="M20" i="50"/>
  <c r="AE20" i="50"/>
  <c r="AL20" i="50"/>
  <c r="AI20" i="50"/>
  <c r="L20" i="50"/>
  <c r="H20" i="50"/>
  <c r="AJ20" i="50"/>
  <c r="AK20" i="50"/>
  <c r="J20" i="50"/>
  <c r="P20" i="50"/>
  <c r="O20" i="50"/>
  <c r="V20" i="50"/>
  <c r="W20" i="50"/>
  <c r="AC20" i="50"/>
  <c r="Y20" i="50"/>
  <c r="N20" i="50"/>
  <c r="AH20" i="50"/>
  <c r="AD20" i="50"/>
  <c r="AG20" i="50"/>
  <c r="X20" i="50"/>
  <c r="I20" i="50"/>
  <c r="K20" i="50"/>
  <c r="S20" i="50"/>
  <c r="AB20" i="50"/>
  <c r="Y49" i="50"/>
  <c r="H49" i="50"/>
  <c r="O49" i="50"/>
  <c r="T49" i="50"/>
  <c r="P49" i="50"/>
  <c r="AC49" i="50"/>
  <c r="AL49" i="50"/>
  <c r="R49" i="50"/>
  <c r="N49" i="50"/>
  <c r="U49" i="50"/>
  <c r="Z49" i="50"/>
  <c r="AJ49" i="50"/>
  <c r="V49" i="50"/>
  <c r="AK49" i="50"/>
  <c r="X49" i="50"/>
  <c r="Q49" i="50"/>
  <c r="AI49" i="50"/>
  <c r="AF49" i="50"/>
  <c r="AA49" i="50"/>
  <c r="AB49" i="50"/>
  <c r="AE49" i="50"/>
  <c r="W49" i="50"/>
  <c r="AD49" i="50"/>
  <c r="J49" i="50"/>
  <c r="AG49" i="50"/>
  <c r="I49" i="50"/>
  <c r="M49" i="50"/>
  <c r="AH49" i="50"/>
  <c r="L49" i="50"/>
  <c r="AM49" i="50"/>
  <c r="K49" i="50"/>
  <c r="S49" i="50"/>
  <c r="AB34" i="50"/>
  <c r="AH34" i="50"/>
  <c r="T34" i="50"/>
  <c r="N34" i="50"/>
  <c r="AF34" i="50"/>
  <c r="AK34" i="50"/>
  <c r="Y34" i="50"/>
  <c r="L34" i="50"/>
  <c r="M34" i="50"/>
  <c r="I34" i="50"/>
  <c r="V34" i="50"/>
  <c r="W34" i="50"/>
  <c r="U34" i="50"/>
  <c r="AG34" i="50"/>
  <c r="Z34" i="50"/>
  <c r="S34" i="50"/>
  <c r="K34" i="50"/>
  <c r="AA34" i="50"/>
  <c r="AL34" i="50"/>
  <c r="X34" i="50"/>
  <c r="J34" i="50"/>
  <c r="AI34" i="50"/>
  <c r="Q34" i="50"/>
  <c r="R34" i="50"/>
  <c r="AD34" i="50"/>
  <c r="P34" i="50"/>
  <c r="AJ34" i="50"/>
  <c r="AM34" i="50"/>
  <c r="O34" i="50"/>
  <c r="H34" i="50"/>
  <c r="AE34" i="50"/>
  <c r="AC34" i="50"/>
  <c r="Z46" i="50"/>
  <c r="Q46" i="50"/>
  <c r="P46" i="50"/>
  <c r="U46" i="50"/>
  <c r="L46" i="50"/>
  <c r="AA46" i="50"/>
  <c r="AF46" i="50"/>
  <c r="I46" i="50"/>
  <c r="K46" i="50"/>
  <c r="T46" i="50"/>
  <c r="AK46" i="50"/>
  <c r="AM46" i="50"/>
  <c r="AL46" i="50"/>
  <c r="H46" i="50"/>
  <c r="AH46" i="50"/>
  <c r="W46" i="50"/>
  <c r="AD46" i="50"/>
  <c r="V46" i="50"/>
  <c r="N46" i="50"/>
  <c r="M46" i="50"/>
  <c r="AB46" i="50"/>
  <c r="Y46" i="50"/>
  <c r="AE46" i="50"/>
  <c r="AJ46" i="50"/>
  <c r="X46" i="50"/>
  <c r="R46" i="50"/>
  <c r="AC46" i="50"/>
  <c r="S46" i="50"/>
  <c r="O46" i="50"/>
  <c r="J46" i="50"/>
  <c r="AI46" i="50"/>
  <c r="AG46" i="50"/>
  <c r="X40" i="50"/>
  <c r="S40" i="50"/>
  <c r="L40" i="50"/>
  <c r="AF40" i="50"/>
  <c r="I40" i="50"/>
  <c r="AK40" i="50"/>
  <c r="AL40" i="50"/>
  <c r="AD40" i="50"/>
  <c r="AC40" i="50"/>
  <c r="T40" i="50"/>
  <c r="V40" i="50"/>
  <c r="AA40" i="50"/>
  <c r="AH40" i="50"/>
  <c r="M40" i="50"/>
  <c r="Y40" i="50"/>
  <c r="AM40" i="50"/>
  <c r="K40" i="50"/>
  <c r="H40" i="50"/>
  <c r="AB40" i="50"/>
  <c r="Z40" i="50"/>
  <c r="AJ40" i="50"/>
  <c r="AE40" i="50"/>
  <c r="P40" i="50"/>
  <c r="AG40" i="50"/>
  <c r="N40" i="50"/>
  <c r="U40" i="50"/>
  <c r="R40" i="50"/>
  <c r="W40" i="50"/>
  <c r="J40" i="50"/>
  <c r="O40" i="50"/>
  <c r="Q40" i="50"/>
  <c r="AI40" i="50"/>
  <c r="K31" i="50"/>
  <c r="Z31" i="50"/>
  <c r="L31" i="50"/>
  <c r="H31" i="50"/>
  <c r="AH31" i="50"/>
  <c r="U31" i="50"/>
  <c r="AE31" i="50"/>
  <c r="T31" i="50"/>
  <c r="AI31" i="50"/>
  <c r="X31" i="50"/>
  <c r="AK31" i="50"/>
  <c r="AJ31" i="50"/>
  <c r="AG31" i="50"/>
  <c r="O31" i="50"/>
  <c r="AF31" i="50"/>
  <c r="Y31" i="50"/>
  <c r="N31" i="50"/>
  <c r="R31" i="50"/>
  <c r="I31" i="50"/>
  <c r="W31" i="50"/>
  <c r="M31" i="50"/>
  <c r="AD31" i="50"/>
  <c r="AA31" i="50"/>
  <c r="AC31" i="50"/>
  <c r="P31" i="50"/>
  <c r="S31" i="50"/>
  <c r="AL31" i="50"/>
  <c r="AB31" i="50"/>
  <c r="V31" i="50"/>
  <c r="Q31" i="50"/>
  <c r="AM31" i="50"/>
  <c r="J31" i="50"/>
  <c r="S39" i="50"/>
  <c r="V39" i="50"/>
  <c r="AF39" i="50"/>
  <c r="AJ39" i="50"/>
  <c r="H39" i="50"/>
  <c r="K39" i="50"/>
  <c r="P39" i="50"/>
  <c r="AD39" i="50"/>
  <c r="R39" i="50"/>
  <c r="T39" i="50"/>
  <c r="J39" i="50"/>
  <c r="AK39" i="50"/>
  <c r="I39" i="50"/>
  <c r="U39" i="50"/>
  <c r="AC39" i="50"/>
  <c r="AG39" i="50"/>
  <c r="AA39" i="50"/>
  <c r="X39" i="50"/>
  <c r="AH39" i="50"/>
  <c r="Z39" i="50"/>
  <c r="M39" i="50"/>
  <c r="AL39" i="50"/>
  <c r="Y39" i="50"/>
  <c r="W39" i="50"/>
  <c r="O39" i="50"/>
  <c r="Q39" i="50"/>
  <c r="L39" i="50"/>
  <c r="AM39" i="50"/>
  <c r="AI39" i="50"/>
  <c r="AE39" i="50"/>
  <c r="N39" i="50"/>
  <c r="AB39" i="50"/>
  <c r="S7" i="50"/>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AC47" i="50"/>
  <c r="K47" i="50"/>
  <c r="AI47" i="50"/>
  <c r="AJ47" i="50"/>
  <c r="AH47" i="50"/>
  <c r="X47" i="50"/>
  <c r="Q47" i="50"/>
  <c r="Z47" i="50"/>
  <c r="O47" i="50"/>
  <c r="AA47" i="50"/>
  <c r="R47" i="50"/>
  <c r="T47" i="50"/>
  <c r="M47" i="50"/>
  <c r="AE47" i="50"/>
  <c r="AB47" i="50"/>
  <c r="AG47" i="50"/>
  <c r="W47" i="50"/>
  <c r="U47" i="50"/>
  <c r="AF47" i="50"/>
  <c r="P47" i="50"/>
  <c r="AK47" i="50"/>
  <c r="V47" i="50"/>
  <c r="AD47" i="50"/>
  <c r="N47" i="50"/>
  <c r="Y47" i="50"/>
  <c r="I47" i="50"/>
  <c r="H47" i="50"/>
  <c r="S47" i="50"/>
  <c r="J47" i="50"/>
  <c r="AM47" i="50"/>
  <c r="L47" i="50"/>
  <c r="AL47" i="50"/>
  <c r="AF18" i="50"/>
  <c r="K18" i="50"/>
  <c r="H18" i="50"/>
  <c r="N18" i="50"/>
  <c r="AM18" i="50"/>
  <c r="AH18" i="50"/>
  <c r="AL18" i="50"/>
  <c r="Z18" i="50"/>
  <c r="I18" i="50"/>
  <c r="V18" i="50"/>
  <c r="X18" i="50"/>
  <c r="L18" i="50"/>
  <c r="W18" i="50"/>
  <c r="R18" i="50"/>
  <c r="AC18" i="50"/>
  <c r="Y18" i="50"/>
  <c r="AG18" i="50"/>
  <c r="AE18" i="50"/>
  <c r="O18" i="50"/>
  <c r="AA18" i="50"/>
  <c r="AI18" i="50"/>
  <c r="AJ18" i="50"/>
  <c r="AD18" i="50"/>
  <c r="U18" i="50"/>
  <c r="AK18" i="50"/>
  <c r="S18" i="50"/>
  <c r="Q18" i="50"/>
  <c r="T18" i="50"/>
  <c r="J18" i="50"/>
  <c r="AB18" i="50"/>
  <c r="M18" i="50"/>
  <c r="P18" i="50"/>
  <c r="Y17" i="50"/>
  <c r="AM17" i="50"/>
  <c r="P17" i="50"/>
  <c r="I17" i="50"/>
  <c r="AA17" i="50"/>
  <c r="Q17" i="50"/>
  <c r="M17" i="50"/>
  <c r="AC17" i="50"/>
  <c r="AB17" i="50"/>
  <c r="AJ17" i="50"/>
  <c r="R17" i="50"/>
  <c r="K17" i="50"/>
  <c r="AF17" i="50"/>
  <c r="H17" i="50"/>
  <c r="U17" i="50"/>
  <c r="J17" i="50"/>
  <c r="S17" i="50"/>
  <c r="T17" i="50"/>
  <c r="AI17" i="50"/>
  <c r="AH17" i="50"/>
  <c r="AK17" i="50"/>
  <c r="AD17" i="50"/>
  <c r="Z17" i="50"/>
  <c r="W17" i="50"/>
  <c r="V17" i="50"/>
  <c r="AE17" i="50"/>
  <c r="AL17" i="50"/>
  <c r="O17" i="50"/>
  <c r="L17" i="50"/>
  <c r="N17" i="50"/>
  <c r="AG17" i="50"/>
  <c r="X17" i="50"/>
  <c r="Q30" i="50"/>
  <c r="J30" i="50"/>
  <c r="AJ30" i="50"/>
  <c r="M30" i="50"/>
  <c r="AH30" i="50"/>
  <c r="O30" i="50"/>
  <c r="T30" i="50"/>
  <c r="AK30" i="50"/>
  <c r="V30" i="50"/>
  <c r="AM30" i="50"/>
  <c r="P30" i="50"/>
  <c r="AF30" i="50"/>
  <c r="Z30" i="50"/>
  <c r="AD30" i="50"/>
  <c r="X30" i="50"/>
  <c r="U30" i="50"/>
  <c r="AA30" i="50"/>
  <c r="I30" i="50"/>
  <c r="N30" i="50"/>
  <c r="W30" i="50"/>
  <c r="H30" i="50"/>
  <c r="AB30" i="50"/>
  <c r="R30" i="50"/>
  <c r="AG30" i="50"/>
  <c r="AC30" i="50"/>
  <c r="K30" i="50"/>
  <c r="L30" i="50"/>
  <c r="Y30" i="50"/>
  <c r="AL30" i="50"/>
  <c r="AI30" i="50"/>
  <c r="S30" i="50"/>
  <c r="AE30" i="50"/>
  <c r="T10" i="50"/>
  <c r="P10" i="50"/>
  <c r="AK10" i="50"/>
  <c r="N10" i="50"/>
  <c r="K10" i="50"/>
  <c r="AE10" i="50"/>
  <c r="Q10" i="50"/>
  <c r="R10" i="50"/>
  <c r="AH10" i="50"/>
  <c r="H10" i="50"/>
  <c r="V10" i="50"/>
  <c r="Z10" i="50"/>
  <c r="AC10" i="50"/>
  <c r="AD10" i="50"/>
  <c r="S10" i="50"/>
  <c r="AB10" i="50"/>
  <c r="X10" i="50"/>
  <c r="U10" i="50"/>
  <c r="L10" i="50"/>
  <c r="AG10" i="50"/>
  <c r="AF10" i="50"/>
  <c r="AL10" i="50"/>
  <c r="J10" i="50"/>
  <c r="AM10" i="50"/>
  <c r="AJ10" i="50"/>
  <c r="W10" i="50"/>
  <c r="I10" i="50"/>
  <c r="Y10" i="50"/>
  <c r="AA10" i="50"/>
  <c r="O10" i="50"/>
  <c r="M10" i="50"/>
  <c r="AI10" i="50"/>
  <c r="R29" i="50"/>
  <c r="W29" i="50"/>
  <c r="AH29" i="50"/>
  <c r="Z29" i="50"/>
  <c r="AE29" i="50"/>
  <c r="AA29" i="50"/>
  <c r="U29" i="50"/>
  <c r="K29" i="50"/>
  <c r="AJ29" i="50"/>
  <c r="N29" i="50"/>
  <c r="T29" i="50"/>
  <c r="AI29" i="50"/>
  <c r="O29" i="50"/>
  <c r="I29" i="50"/>
  <c r="M29" i="50"/>
  <c r="AL29" i="50"/>
  <c r="AF29" i="50"/>
  <c r="X29" i="50"/>
  <c r="AB29" i="50"/>
  <c r="AK29" i="50"/>
  <c r="Y29" i="50"/>
  <c r="S29" i="50"/>
  <c r="AM29" i="50"/>
  <c r="L29" i="50"/>
  <c r="H29" i="50"/>
  <c r="P29" i="50"/>
  <c r="V29" i="50"/>
  <c r="AD29" i="50"/>
  <c r="AC29" i="50"/>
  <c r="J29" i="50"/>
  <c r="AG29" i="50"/>
  <c r="Q29" i="50"/>
  <c r="M28" i="50"/>
  <c r="AJ28" i="50"/>
  <c r="S28" i="50"/>
  <c r="W28" i="50"/>
  <c r="Q28" i="50"/>
  <c r="AH28" i="50"/>
  <c r="AI28" i="50"/>
  <c r="AM28" i="50"/>
  <c r="AL28" i="50"/>
  <c r="AE28" i="50"/>
  <c r="AG28" i="50"/>
  <c r="K28" i="50"/>
  <c r="AD28" i="50"/>
  <c r="X28" i="50"/>
  <c r="Y28" i="50"/>
  <c r="P28" i="50"/>
  <c r="AK28" i="50"/>
  <c r="L28" i="50"/>
  <c r="H28" i="50"/>
  <c r="I28" i="50"/>
  <c r="AB28" i="50"/>
  <c r="AF28" i="50"/>
  <c r="N28" i="50"/>
  <c r="J28" i="50"/>
  <c r="T28" i="50"/>
  <c r="V28" i="50"/>
  <c r="AA28" i="50"/>
  <c r="Z28" i="50"/>
  <c r="O28" i="50"/>
  <c r="R28" i="50"/>
  <c r="AC28" i="50"/>
  <c r="U28"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AK33" i="50"/>
  <c r="L33" i="50"/>
  <c r="AI33" i="50"/>
  <c r="AH33" i="50"/>
  <c r="P33" i="50"/>
  <c r="K33" i="50"/>
  <c r="O33" i="50"/>
  <c r="M33" i="50"/>
  <c r="U33" i="50"/>
  <c r="X33" i="50"/>
  <c r="W33" i="50"/>
  <c r="AJ33" i="50"/>
  <c r="AD33" i="50"/>
  <c r="I33" i="50"/>
  <c r="AE33" i="50"/>
  <c r="R33" i="50"/>
  <c r="Q33" i="50"/>
  <c r="Z33" i="50"/>
  <c r="AA33" i="50"/>
  <c r="AM33" i="50"/>
  <c r="AC33" i="50"/>
  <c r="Y33" i="50"/>
  <c r="T33" i="50"/>
  <c r="S33" i="50"/>
  <c r="AB33" i="50"/>
  <c r="J33" i="50"/>
  <c r="AG33" i="50"/>
  <c r="N33" i="50"/>
  <c r="AF33" i="50"/>
  <c r="V33" i="50"/>
  <c r="AL33" i="50"/>
  <c r="H33" i="50"/>
  <c r="R53" i="50"/>
  <c r="M53" i="50"/>
  <c r="Z53" i="50"/>
  <c r="AH53" i="50"/>
  <c r="AG53" i="50"/>
  <c r="AA53" i="50"/>
  <c r="AE53" i="50"/>
  <c r="AC53" i="50"/>
  <c r="I53" i="50"/>
  <c r="AF53" i="50"/>
  <c r="AM53" i="50"/>
  <c r="T53" i="50"/>
  <c r="Y53" i="50"/>
  <c r="Q53" i="50"/>
  <c r="J53" i="50"/>
  <c r="AI53" i="50"/>
  <c r="S53" i="50"/>
  <c r="AB53" i="50"/>
  <c r="K53" i="50"/>
  <c r="AK53" i="50"/>
  <c r="P53" i="50"/>
  <c r="X53" i="50"/>
  <c r="AL53" i="50"/>
  <c r="H53" i="50"/>
  <c r="W53" i="50"/>
  <c r="AJ53" i="50"/>
  <c r="L53" i="50"/>
  <c r="AD53" i="50"/>
  <c r="V53" i="50"/>
  <c r="U53" i="50"/>
  <c r="N53" i="50"/>
  <c r="O53" i="50"/>
  <c r="AB37" i="50"/>
  <c r="AH37" i="50"/>
  <c r="O37" i="50"/>
  <c r="I37" i="50"/>
  <c r="J37" i="50"/>
  <c r="V37" i="50"/>
  <c r="P37" i="50"/>
  <c r="AC37" i="50"/>
  <c r="Q37" i="50"/>
  <c r="AK37" i="50"/>
  <c r="X37" i="50"/>
  <c r="K37" i="50"/>
  <c r="AF37" i="50"/>
  <c r="AL37" i="50"/>
  <c r="Z37" i="50"/>
  <c r="AI37" i="50"/>
  <c r="R37" i="50"/>
  <c r="H37" i="50"/>
  <c r="U37" i="50"/>
  <c r="AA37" i="50"/>
  <c r="AD37" i="50"/>
  <c r="T37" i="50"/>
  <c r="S37" i="50"/>
  <c r="AE37" i="50"/>
  <c r="N37" i="50"/>
  <c r="L37" i="50"/>
  <c r="W37" i="50"/>
  <c r="AJ37" i="50"/>
  <c r="AM37" i="50"/>
  <c r="M37" i="50"/>
  <c r="AG37" i="50"/>
  <c r="Y37"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Z42" i="50"/>
  <c r="R42" i="50"/>
  <c r="AB42" i="50"/>
  <c r="M42" i="50"/>
  <c r="AH42" i="50"/>
  <c r="AA42" i="50"/>
  <c r="Y42" i="50"/>
  <c r="U42" i="50"/>
  <c r="N42" i="50"/>
  <c r="AC42" i="50"/>
  <c r="AL42" i="50"/>
  <c r="AI42" i="50"/>
  <c r="H42" i="50"/>
  <c r="X42" i="50"/>
  <c r="AE42" i="50"/>
  <c r="AD42" i="50"/>
  <c r="I42" i="50"/>
  <c r="O42" i="50"/>
  <c r="Q42" i="50"/>
  <c r="V42" i="50"/>
  <c r="AK42" i="50"/>
  <c r="K42" i="50"/>
  <c r="J42" i="50"/>
  <c r="AJ42" i="50"/>
  <c r="AM42" i="50"/>
  <c r="P42" i="50"/>
  <c r="AF42" i="50"/>
  <c r="W42" i="50"/>
  <c r="S42" i="50"/>
  <c r="T42" i="50"/>
  <c r="AG42" i="50"/>
  <c r="L42" i="50"/>
  <c r="P19" i="50"/>
  <c r="S19" i="50"/>
  <c r="AA19" i="50"/>
  <c r="I19" i="50"/>
  <c r="J19" i="50"/>
  <c r="AC19" i="50"/>
  <c r="AE19" i="50"/>
  <c r="H19" i="50"/>
  <c r="U19" i="50"/>
  <c r="AF19" i="50"/>
  <c r="T19" i="50"/>
  <c r="W19" i="50"/>
  <c r="Q19" i="50"/>
  <c r="V19" i="50"/>
  <c r="Z19" i="50"/>
  <c r="AI19" i="50"/>
  <c r="Y19" i="50"/>
  <c r="AL19" i="50"/>
  <c r="AM19" i="50"/>
  <c r="AB19" i="50"/>
  <c r="L19" i="50"/>
  <c r="N19" i="50"/>
  <c r="AG19" i="50"/>
  <c r="M19" i="50"/>
  <c r="X19" i="50"/>
  <c r="K19" i="50"/>
  <c r="R19" i="50"/>
  <c r="O19" i="50"/>
  <c r="AJ19" i="50"/>
  <c r="AD19" i="50"/>
  <c r="AK19" i="50"/>
  <c r="AH19" i="50"/>
  <c r="AB12" i="50"/>
  <c r="O12" i="50"/>
  <c r="P12" i="50"/>
  <c r="AE12" i="50"/>
  <c r="R12" i="50"/>
  <c r="L12" i="50"/>
  <c r="AF12" i="50"/>
  <c r="U12" i="50"/>
  <c r="AM12" i="50"/>
  <c r="M12" i="50"/>
  <c r="N12" i="50"/>
  <c r="I12" i="50"/>
  <c r="AD12" i="50"/>
  <c r="V12" i="50"/>
  <c r="AA12" i="50"/>
  <c r="H12" i="50"/>
  <c r="AJ12" i="50"/>
  <c r="AK12" i="50"/>
  <c r="Y12" i="50"/>
  <c r="AL12" i="50"/>
  <c r="AG12" i="50"/>
  <c r="S12" i="50"/>
  <c r="X12" i="50"/>
  <c r="T12" i="50"/>
  <c r="Z12" i="50"/>
  <c r="AC12" i="50"/>
  <c r="W12" i="50"/>
  <c r="K12" i="50"/>
  <c r="AH12" i="50"/>
  <c r="J12" i="50"/>
  <c r="Q12" i="50"/>
  <c r="AI12" i="50"/>
  <c r="Z50" i="50"/>
  <c r="AL50" i="50"/>
  <c r="R50" i="50"/>
  <c r="I50" i="50"/>
  <c r="N50" i="50"/>
  <c r="H50" i="50"/>
  <c r="AK50" i="50"/>
  <c r="P50" i="50"/>
  <c r="AD50" i="50"/>
  <c r="T50" i="50"/>
  <c r="O50" i="50"/>
  <c r="X50" i="50"/>
  <c r="AI50" i="50"/>
  <c r="S50" i="50"/>
  <c r="W50" i="50"/>
  <c r="U50" i="50"/>
  <c r="AE50" i="50"/>
  <c r="AA50" i="50"/>
  <c r="K50" i="50"/>
  <c r="L50" i="50"/>
  <c r="AM50" i="50"/>
  <c r="M50" i="50"/>
  <c r="AJ50" i="50"/>
  <c r="AH50" i="50"/>
  <c r="J50" i="50"/>
  <c r="Q50" i="50"/>
  <c r="V50" i="50"/>
  <c r="AG50" i="50"/>
  <c r="AC50" i="50"/>
  <c r="AB50" i="50"/>
  <c r="Y50" i="50"/>
  <c r="AF50" i="50"/>
  <c r="AL38" i="50"/>
  <c r="J38" i="50"/>
  <c r="L38" i="50"/>
  <c r="AF38" i="50"/>
  <c r="V38" i="50"/>
  <c r="AD38" i="50"/>
  <c r="AE38" i="50"/>
  <c r="K38" i="50"/>
  <c r="W38" i="50"/>
  <c r="AC38" i="50"/>
  <c r="AA38" i="50"/>
  <c r="AJ38" i="50"/>
  <c r="Z38" i="50"/>
  <c r="T38" i="50"/>
  <c r="AI38" i="50"/>
  <c r="N38" i="50"/>
  <c r="AM38" i="50"/>
  <c r="S38" i="50"/>
  <c r="I38" i="50"/>
  <c r="AH38" i="50"/>
  <c r="Q38" i="50"/>
  <c r="AB38" i="50"/>
  <c r="M38" i="50"/>
  <c r="H38" i="50"/>
  <c r="R38" i="50"/>
  <c r="X38" i="50"/>
  <c r="P38" i="50"/>
  <c r="Y38" i="50"/>
  <c r="AK38" i="50"/>
  <c r="U38" i="50"/>
  <c r="AG38" i="50"/>
  <c r="O38" i="50"/>
  <c r="AC14" i="50"/>
  <c r="AE14" i="50"/>
  <c r="N14" i="50"/>
  <c r="J14" i="50"/>
  <c r="Q14" i="50"/>
  <c r="AJ14" i="50"/>
  <c r="L14" i="50"/>
  <c r="AG14" i="50"/>
  <c r="S14" i="50"/>
  <c r="AK14" i="50"/>
  <c r="AB14" i="50"/>
  <c r="AM14" i="50"/>
  <c r="Z14" i="50"/>
  <c r="AL14" i="50"/>
  <c r="I14" i="50"/>
  <c r="Y14" i="50"/>
  <c r="W14" i="50"/>
  <c r="P14" i="50"/>
  <c r="AH14" i="50"/>
  <c r="M14" i="50"/>
  <c r="AI14" i="50"/>
  <c r="AA14" i="50"/>
  <c r="AF14" i="50"/>
  <c r="T14" i="50"/>
  <c r="X14" i="50"/>
  <c r="H14" i="50"/>
  <c r="K14" i="50"/>
  <c r="U14" i="50"/>
  <c r="V14" i="50"/>
  <c r="AD14" i="50"/>
  <c r="R14" i="50"/>
  <c r="O14"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AA22" i="50"/>
  <c r="AI22" i="50"/>
  <c r="AH22" i="50"/>
  <c r="P22" i="50"/>
  <c r="S22" i="50"/>
  <c r="AK22" i="50"/>
  <c r="J22" i="50"/>
  <c r="T22" i="50"/>
  <c r="N22" i="50"/>
  <c r="H22" i="50"/>
  <c r="AJ22" i="50"/>
  <c r="AB22" i="50"/>
  <c r="Z22" i="50"/>
  <c r="O22" i="50"/>
  <c r="M22" i="50"/>
  <c r="AL22" i="50"/>
  <c r="AF22" i="50"/>
  <c r="V22" i="50"/>
  <c r="AD22" i="50"/>
  <c r="X22" i="50"/>
  <c r="Q22" i="50"/>
  <c r="AE22" i="50"/>
  <c r="AG22" i="50"/>
  <c r="W22" i="50"/>
  <c r="U22" i="50"/>
  <c r="I22" i="50"/>
  <c r="L22" i="50"/>
  <c r="AM22" i="50"/>
  <c r="K22" i="50"/>
  <c r="AC22" i="50"/>
  <c r="Y22" i="50"/>
  <c r="R22" i="50"/>
  <c r="R43" i="50"/>
  <c r="X43" i="50"/>
  <c r="K43" i="50"/>
  <c r="Z43" i="50"/>
  <c r="AH43" i="50"/>
  <c r="H43" i="50"/>
  <c r="AM43" i="50"/>
  <c r="Q43" i="50"/>
  <c r="AG43" i="50"/>
  <c r="AA43" i="50"/>
  <c r="AJ43" i="50"/>
  <c r="AE43" i="50"/>
  <c r="U43" i="50"/>
  <c r="AD43" i="50"/>
  <c r="M43" i="50"/>
  <c r="T43" i="50"/>
  <c r="V43" i="50"/>
  <c r="AK43" i="50"/>
  <c r="AL43" i="50"/>
  <c r="Y43" i="50"/>
  <c r="L43" i="50"/>
  <c r="J43" i="50"/>
  <c r="P43" i="50"/>
  <c r="S43" i="50"/>
  <c r="AB43" i="50"/>
  <c r="W43" i="50"/>
  <c r="N43" i="50"/>
  <c r="AC43" i="50"/>
  <c r="AI43" i="50"/>
  <c r="O43" i="50"/>
  <c r="I43" i="50"/>
  <c r="AF43" i="50"/>
  <c r="Q52" i="50"/>
  <c r="AL52" i="50"/>
  <c r="L52" i="50"/>
  <c r="K52" i="50"/>
  <c r="W52" i="50"/>
  <c r="M52" i="50"/>
  <c r="V52" i="50"/>
  <c r="AG52" i="50"/>
  <c r="N52" i="50"/>
  <c r="AJ52" i="50"/>
  <c r="P52" i="50"/>
  <c r="T52" i="50"/>
  <c r="S52" i="50"/>
  <c r="H52" i="50"/>
  <c r="O52" i="50"/>
  <c r="AA52" i="50"/>
  <c r="AC52" i="50"/>
  <c r="U52" i="50"/>
  <c r="Z52" i="50"/>
  <c r="AK52" i="50"/>
  <c r="AM52" i="50"/>
  <c r="Y52" i="50"/>
  <c r="X52" i="50"/>
  <c r="I52" i="50"/>
  <c r="AB52" i="50"/>
  <c r="AI52" i="50"/>
  <c r="AE52" i="50"/>
  <c r="AD52" i="50"/>
  <c r="AF52" i="50"/>
  <c r="AH52" i="50"/>
  <c r="J52" i="50"/>
  <c r="R52" i="50"/>
  <c r="X16" i="50"/>
  <c r="Y16" i="50"/>
  <c r="U16" i="50"/>
  <c r="AL16" i="50"/>
  <c r="AA16" i="50"/>
  <c r="AI16" i="50"/>
  <c r="S16" i="50"/>
  <c r="AC16" i="50"/>
  <c r="AD16" i="50"/>
  <c r="N16" i="50"/>
  <c r="H16" i="50"/>
  <c r="K16" i="50"/>
  <c r="AG16" i="50"/>
  <c r="Z16" i="50"/>
  <c r="P16" i="50"/>
  <c r="AK16" i="50"/>
  <c r="W16" i="50"/>
  <c r="Q16" i="50"/>
  <c r="AE16" i="50"/>
  <c r="AM16" i="50"/>
  <c r="I16" i="50"/>
  <c r="AH16" i="50"/>
  <c r="L16" i="50"/>
  <c r="O16" i="50"/>
  <c r="AF16" i="50"/>
  <c r="M16" i="50"/>
  <c r="T16" i="50"/>
  <c r="J16" i="50"/>
  <c r="R16" i="50"/>
  <c r="AB16" i="50"/>
  <c r="AJ16" i="50"/>
  <c r="V16" i="50"/>
  <c r="AF48" i="50"/>
  <c r="AE48" i="50"/>
  <c r="R48" i="50"/>
  <c r="AI48" i="50"/>
  <c r="L48" i="50"/>
  <c r="AH48" i="50"/>
  <c r="AA48" i="50"/>
  <c r="O48" i="50"/>
  <c r="X48" i="50"/>
  <c r="H48" i="50"/>
  <c r="I48" i="50"/>
  <c r="N48" i="50"/>
  <c r="V48" i="50"/>
  <c r="Q48" i="50"/>
  <c r="Y48" i="50"/>
  <c r="AC48" i="50"/>
  <c r="AL48" i="50"/>
  <c r="AM48" i="50"/>
  <c r="AD48" i="50"/>
  <c r="AK48" i="50"/>
  <c r="P48" i="50"/>
  <c r="K48" i="50"/>
  <c r="J48" i="50"/>
  <c r="M48" i="50"/>
  <c r="U48" i="50"/>
  <c r="AJ48" i="50"/>
  <c r="S48" i="50"/>
  <c r="AG48" i="50"/>
  <c r="W48" i="50"/>
  <c r="T48" i="50"/>
  <c r="Z48" i="50"/>
  <c r="AB48" i="50"/>
  <c r="Q15" i="50"/>
  <c r="AH15" i="50"/>
  <c r="P15" i="50"/>
  <c r="S15" i="50"/>
  <c r="I15" i="50"/>
  <c r="Z15" i="50"/>
  <c r="M15" i="50"/>
  <c r="AA15" i="50"/>
  <c r="AC15" i="50"/>
  <c r="H15" i="50"/>
  <c r="AF15" i="50"/>
  <c r="AE15" i="50"/>
  <c r="X15" i="50"/>
  <c r="N15" i="50"/>
  <c r="L15" i="50"/>
  <c r="AK15" i="50"/>
  <c r="O15" i="50"/>
  <c r="AM15" i="50"/>
  <c r="K15" i="50"/>
  <c r="U15" i="50"/>
  <c r="V15" i="50"/>
  <c r="AJ15" i="50"/>
  <c r="R15" i="50"/>
  <c r="AG15" i="50"/>
  <c r="W15" i="50"/>
  <c r="Y15" i="50"/>
  <c r="T15" i="50"/>
  <c r="AD15" i="50"/>
  <c r="J15" i="50"/>
  <c r="AL15" i="50"/>
  <c r="AB15" i="50"/>
  <c r="AI15" i="50"/>
  <c r="I27" i="50"/>
  <c r="H27" i="50"/>
  <c r="J27" i="50"/>
  <c r="AC27" i="50"/>
  <c r="AM27" i="50"/>
  <c r="O27" i="50"/>
  <c r="AD27" i="50"/>
  <c r="R27" i="50"/>
  <c r="Z27" i="50"/>
  <c r="S27" i="50"/>
  <c r="Y27" i="50"/>
  <c r="X27" i="50"/>
  <c r="AH27" i="50"/>
  <c r="L27" i="50"/>
  <c r="AJ27" i="50"/>
  <c r="AL27" i="50"/>
  <c r="V27" i="50"/>
  <c r="AE27" i="50"/>
  <c r="P27" i="50"/>
  <c r="AF27" i="50"/>
  <c r="K27" i="50"/>
  <c r="AI27" i="50"/>
  <c r="N27" i="50"/>
  <c r="AB27" i="50"/>
  <c r="AA27" i="50"/>
  <c r="U27" i="50"/>
  <c r="Q27" i="50"/>
  <c r="W27" i="50"/>
  <c r="AK27" i="50"/>
  <c r="M27" i="50"/>
  <c r="T27" i="50"/>
  <c r="AG27" i="50"/>
  <c r="R44" i="50"/>
  <c r="AI44" i="50"/>
  <c r="M44" i="50"/>
  <c r="AG44" i="50"/>
  <c r="Y44" i="50"/>
  <c r="AD44" i="50"/>
  <c r="AA44" i="50"/>
  <c r="L44" i="50"/>
  <c r="Z44" i="50"/>
  <c r="AK44" i="50"/>
  <c r="AM44" i="50"/>
  <c r="Q44" i="50"/>
  <c r="AH44" i="50"/>
  <c r="AL44" i="50"/>
  <c r="AC44" i="50"/>
  <c r="AF44" i="50"/>
  <c r="P44" i="50"/>
  <c r="T44" i="50"/>
  <c r="O44" i="50"/>
  <c r="V44" i="50"/>
  <c r="AJ44" i="50"/>
  <c r="AB44" i="50"/>
  <c r="U44" i="50"/>
  <c r="AE44" i="50"/>
  <c r="I44" i="50"/>
  <c r="W44" i="50"/>
  <c r="N44" i="50"/>
  <c r="X44" i="50"/>
  <c r="J44" i="50"/>
  <c r="K44" i="50"/>
  <c r="S44" i="50"/>
  <c r="H44"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 r="AG51" i="50"/>
  <c r="S51" i="50"/>
  <c r="AJ51" i="50"/>
  <c r="AI51" i="50"/>
  <c r="N51" i="50"/>
  <c r="AL51" i="50"/>
  <c r="J51" i="50"/>
  <c r="H51" i="50"/>
  <c r="X51" i="50"/>
  <c r="Z51" i="50"/>
  <c r="AB51" i="50"/>
  <c r="P51" i="50"/>
  <c r="AE51" i="50"/>
  <c r="Q51" i="50"/>
  <c r="AD51" i="50"/>
  <c r="V51" i="50"/>
  <c r="AC51" i="50"/>
  <c r="L51" i="50"/>
  <c r="R51" i="50"/>
  <c r="AK51" i="50"/>
  <c r="AM51" i="50"/>
  <c r="T51" i="50"/>
  <c r="AA51" i="50"/>
  <c r="O51" i="50"/>
  <c r="AF51" i="50"/>
  <c r="Y51" i="50"/>
  <c r="M51" i="50"/>
  <c r="W51" i="50"/>
  <c r="AH51" i="50"/>
  <c r="K51" i="50"/>
  <c r="U51" i="50"/>
  <c r="I51" i="50"/>
  <c r="AL11" i="50"/>
  <c r="S11" i="50"/>
  <c r="AM11" i="50"/>
  <c r="AB11" i="50"/>
  <c r="L11" i="50"/>
  <c r="X11" i="50"/>
  <c r="P11" i="50"/>
  <c r="AA11" i="50"/>
  <c r="W11" i="50"/>
  <c r="V11" i="50"/>
  <c r="T11" i="50"/>
  <c r="U11" i="50"/>
  <c r="AF11" i="50"/>
  <c r="Y11" i="50"/>
  <c r="K11" i="50"/>
  <c r="N11" i="50"/>
  <c r="AD11" i="50"/>
  <c r="J11" i="50"/>
  <c r="I11" i="50"/>
  <c r="M11" i="50"/>
  <c r="R11" i="50"/>
  <c r="AK11" i="50"/>
  <c r="AH11" i="50"/>
  <c r="O11" i="50"/>
  <c r="AG11" i="50"/>
  <c r="Z11" i="50"/>
  <c r="AJ11" i="50"/>
  <c r="AE11" i="50"/>
  <c r="AI11" i="50"/>
  <c r="H11" i="50"/>
  <c r="AC11" i="50"/>
  <c r="Q11" i="50"/>
  <c r="AE13" i="50"/>
  <c r="AB13" i="50"/>
  <c r="AJ13" i="50"/>
  <c r="AD13" i="50"/>
  <c r="J13" i="50"/>
  <c r="AH13" i="50"/>
  <c r="AC13" i="50"/>
  <c r="T13" i="50"/>
  <c r="AK13" i="50"/>
  <c r="H13" i="50"/>
  <c r="Z13" i="50"/>
  <c r="W13" i="50"/>
  <c r="Q13" i="50"/>
  <c r="N13" i="50"/>
  <c r="AF13" i="50"/>
  <c r="L13" i="50"/>
  <c r="AL13" i="50"/>
  <c r="I13" i="50"/>
  <c r="S13" i="50"/>
  <c r="R13" i="50"/>
  <c r="K13" i="50"/>
  <c r="Y13" i="50"/>
  <c r="AM13" i="50"/>
  <c r="AA13" i="50"/>
  <c r="P13" i="50"/>
  <c r="X13" i="50"/>
  <c r="V13" i="50"/>
  <c r="M13" i="50"/>
  <c r="U13" i="50"/>
  <c r="AI13" i="50"/>
  <c r="O13" i="50"/>
  <c r="AG13" i="50"/>
  <c r="I26" i="50"/>
  <c r="AL26" i="50"/>
  <c r="W26" i="50"/>
  <c r="V26" i="50"/>
  <c r="J26" i="50"/>
  <c r="AH26" i="50"/>
  <c r="AD26" i="50"/>
  <c r="K26" i="50"/>
  <c r="N26" i="50"/>
  <c r="Q26" i="50"/>
  <c r="AE26" i="50"/>
  <c r="R26" i="50"/>
  <c r="AM26" i="50"/>
  <c r="Z26" i="50"/>
  <c r="AI26" i="50"/>
  <c r="AG26" i="50"/>
  <c r="U26" i="50"/>
  <c r="AB26" i="50"/>
  <c r="AK26" i="50"/>
  <c r="AA26" i="50"/>
  <c r="S26" i="50"/>
  <c r="L26" i="50"/>
  <c r="M26" i="50"/>
  <c r="P26" i="50"/>
  <c r="H26" i="50"/>
  <c r="T26" i="50"/>
  <c r="AJ26" i="50"/>
  <c r="Y26" i="50"/>
  <c r="O26" i="50"/>
  <c r="X26" i="50"/>
  <c r="AF26" i="50"/>
  <c r="AC26" i="50"/>
  <c r="AM41" i="50"/>
  <c r="AF41" i="50"/>
  <c r="N41" i="50"/>
  <c r="U41" i="50"/>
  <c r="K41" i="50"/>
  <c r="Y41" i="50"/>
  <c r="Q41" i="50"/>
  <c r="AJ41" i="50"/>
  <c r="S41" i="50"/>
  <c r="AG41" i="50"/>
  <c r="L41" i="50"/>
  <c r="V41" i="50"/>
  <c r="AC41" i="50"/>
  <c r="AD41" i="50"/>
  <c r="AK41" i="50"/>
  <c r="Z41" i="50"/>
  <c r="AL41" i="50"/>
  <c r="X41" i="50"/>
  <c r="R41" i="50"/>
  <c r="AH41" i="50"/>
  <c r="J41" i="50"/>
  <c r="O41" i="50"/>
  <c r="AI41" i="50"/>
  <c r="M41" i="50"/>
  <c r="AE41" i="50"/>
  <c r="P41" i="50"/>
  <c r="H41" i="50"/>
  <c r="W41" i="50"/>
  <c r="AA41" i="50"/>
  <c r="AB41" i="50"/>
  <c r="T41" i="50"/>
  <c r="I41" i="50"/>
  <c r="AL35" i="50"/>
  <c r="AE35" i="50"/>
  <c r="U35" i="50"/>
  <c r="X35" i="50"/>
  <c r="K35" i="50"/>
  <c r="H35" i="50"/>
  <c r="AH35" i="50"/>
  <c r="Y35" i="50"/>
  <c r="AG35" i="50"/>
  <c r="N35" i="50"/>
  <c r="Q35" i="50"/>
  <c r="T35" i="50"/>
  <c r="S35" i="50"/>
  <c r="AK35" i="50"/>
  <c r="M35" i="50"/>
  <c r="W35" i="50"/>
  <c r="L35" i="50"/>
  <c r="AD35" i="50"/>
  <c r="I35" i="50"/>
  <c r="AI35" i="50"/>
  <c r="AJ35" i="50"/>
  <c r="AA35" i="50"/>
  <c r="AM35" i="50"/>
  <c r="AC35" i="50"/>
  <c r="P35" i="50"/>
  <c r="AB35" i="50"/>
  <c r="O35" i="50"/>
  <c r="R35" i="50"/>
  <c r="V35" i="50"/>
  <c r="Z35" i="50"/>
  <c r="AF35" i="50"/>
  <c r="J35" i="50"/>
  <c r="AL21" i="50"/>
  <c r="N21" i="50"/>
  <c r="K21" i="50"/>
  <c r="T21" i="50"/>
  <c r="O21" i="50"/>
  <c r="W21" i="50"/>
  <c r="AF21" i="50"/>
  <c r="X21" i="50"/>
  <c r="AG21" i="50"/>
  <c r="R21" i="50"/>
  <c r="AJ21" i="50"/>
  <c r="AK21" i="50"/>
  <c r="AE21" i="50"/>
  <c r="M21" i="50"/>
  <c r="L21" i="50"/>
  <c r="AA21" i="50"/>
  <c r="S21" i="50"/>
  <c r="Z21" i="50"/>
  <c r="Q21" i="50"/>
  <c r="U21" i="50"/>
  <c r="H21" i="50"/>
  <c r="I21" i="50"/>
  <c r="AM21" i="50"/>
  <c r="AB21" i="50"/>
  <c r="J21" i="50"/>
  <c r="AD21" i="50"/>
  <c r="AC21" i="50"/>
  <c r="V21" i="50"/>
  <c r="AH21" i="50"/>
  <c r="P21" i="50"/>
  <c r="Y21" i="50"/>
  <c r="AI21"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<sst xmlns="http://schemas.openxmlformats.org/spreadsheetml/2006/main" count="16873" uniqueCount="2800">
  <si>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</si>
  <si>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</si>
  <si>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</si>
  <si>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</si>
  <si>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</si>
  <si>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</si>
  <si>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</si>
  <si>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</si>
  <si>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</si>
  <si>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</si>
  <si>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</si>
  <si>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</si>
  <si>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</si>
  <si>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</si>
  <si>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</si>
  <si>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</si>
  <si>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</si>
  <si>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</si>
  <si>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</si>
  <si>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</si>
  <si>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</si>
  <si>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</si>
  <si>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</si>
  <si>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</si>
  <si>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</si>
  <si>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</si>
  <si>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</si>
  <si>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</si>
  <si>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</si>
  <si>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</si>
  <si>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</si>
  <si>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</si>
  <si>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</si>
  <si>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</si>
  <si>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</si>
  <si>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</si>
  <si>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</si>
  <si>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</si>
  <si>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</si>
  <si>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</si>
  <si>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</si>
  <si>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</si>
  <si>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</si>
  <si>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</si>
  <si>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</si>
  <si>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</si>
  <si>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</si>
  <si>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</si>
  <si>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</si>
  <si>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</si>
  <si>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</si>
  <si>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</si>
  <si>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</si>
  <si>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</si>
  <si>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</si>
  <si>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</si>
  <si>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</si>
  <si>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</si>
  <si>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</si>
  <si>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</si>
  <si>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</si>
  <si>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</si>
  <si>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</si>
  <si>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</si>
  <si>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</si>
  <si>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</si>
  <si>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</si>
  <si>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</si>
  <si>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</si>
  <si>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</si>
  <si>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</si>
  <si>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</si>
  <si>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</si>
  <si>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</si>
  <si>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</si>
  <si>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</si>
  <si>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</si>
  <si>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</si>
  <si>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</si>
  <si>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</si>
  <si>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</si>
  <si>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</si>
  <si>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</si>
  <si>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</si>
  <si>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</si>
  <si>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</si>
  <si>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</si>
  <si>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</si>
  <si>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</si>
  <si>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</si>
  <si>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</si>
  <si>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</si>
  <si>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</si>
  <si>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</si>
  <si>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</si>
  <si>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</si>
  <si>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</si>
  <si>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</si>
  <si>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</si>
  <si>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</si>
  <si>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</si>
  <si>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</si>
  <si>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</si>
  <si>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</si>
  <si>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</si>
  <si>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</si>
  <si>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</si>
  <si>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</si>
  <si>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</si>
  <si>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</si>
  <si>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</si>
  <si>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</si>
  <si>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</si>
  <si>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</si>
  <si>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</si>
  <si>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</si>
  <si>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</si>
  <si>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</si>
  <si>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</si>
  <si>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</si>
  <si>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</si>
  <si>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</si>
  <si>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</si>
  <si>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</si>
  <si>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</si>
  <si>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</si>
  <si>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</si>
  <si>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</si>
  <si>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</si>
  <si>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</si>
  <si>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</si>
  <si>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</si>
  <si>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</si>
  <si>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</si>
  <si>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</si>
  <si>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</si>
  <si>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</si>
  <si>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</si>
  <si>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</si>
  <si>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</si>
  <si>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</si>
  <si>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</si>
  <si>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</si>
  <si>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</si>
  <si>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</si>
  <si>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</si>
  <si>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</si>
  <si>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</si>
  <si>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</si>
  <si>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</si>
  <si>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</si>
  <si>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</si>
  <si>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</si>
  <si>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</si>
  <si>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</si>
  <si>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</si>
  <si>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</si>
  <si>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</si>
  <si>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</si>
  <si>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</si>
  <si>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</si>
  <si>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</si>
  <si>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</si>
  <si>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</si>
  <si>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</si>
  <si>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</si>
  <si>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</si>
  <si>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</si>
  <si>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</si>
  <si>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</si>
  <si>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</si>
  <si>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</si>
  <si>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</si>
  <si>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</si>
  <si>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</si>
  <si>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</si>
  <si>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</si>
  <si>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</si>
  <si>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</si>
  <si>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</si>
  <si>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</si>
  <si>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</si>
  <si>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</si>
  <si>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</si>
  <si>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</si>
  <si>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</si>
  <si>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</si>
  <si>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</si>
  <si>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</si>
  <si>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</si>
  <si>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</si>
  <si>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</si>
  <si>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</si>
  <si>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</si>
  <si>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</si>
  <si>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</si>
  <si>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</si>
  <si>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</si>
  <si>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</si>
  <si>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</si>
  <si>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</si>
  <si>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</si>
  <si>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</si>
  <si>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</si>
  <si>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</si>
  <si>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</si>
  <si>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</si>
  <si>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</si>
  <si>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</si>
  <si>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</si>
  <si>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</si>
  <si>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</si>
  <si>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</si>
  <si>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</si>
  <si>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</si>
  <si>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</si>
  <si>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</si>
  <si>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</si>
  <si>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</si>
  <si>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</si>
  <si>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</si>
  <si>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</si>
  <si>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</si>
  <si>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</si>
  <si>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</si>
  <si>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</si>
  <si>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</si>
  <si>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</si>
  <si>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</si>
  <si>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</si>
  <si>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</si>
  <si>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</si>
  <si>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</si>
  <si>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</si>
  <si>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</si>
  <si>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</si>
  <si>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</si>
  <si>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</si>
  <si>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</si>
  <si>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</si>
  <si>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</si>
  <si>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</si>
  <si>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</si>
  <si>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</si>
  <si>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</si>
  <si>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</si>
  <si>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</si>
  <si>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</si>
  <si>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</si>
  <si>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</si>
  <si>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</si>
  <si>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</si>
  <si>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</si>
  <si>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</si>
  <si>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</si>
  <si>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</si>
  <si>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</si>
  <si>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</si>
  <si>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</si>
  <si>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</si>
  <si>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</si>
  <si>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</si>
  <si>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</si>
  <si>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</si>
  <si>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</si>
  <si>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</si>
  <si>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</si>
  <si>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</si>
  <si>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</si>
  <si>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</si>
  <si>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</si>
  <si>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</si>
  <si>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</si>
  <si>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</si>
  <si>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</si>
  <si>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</si>
  <si>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</si>
  <si>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</si>
  <si>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</si>
  <si>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</si>
  <si>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</si>
  <si>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</si>
  <si>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</si>
  <si>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</si>
  <si>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</si>
  <si>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</si>
  <si>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</si>
  <si>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</si>
  <si>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</si>
  <si>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</si>
  <si>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</si>
  <si>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</si>
  <si>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</si>
  <si>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</si>
  <si>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</si>
  <si>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</si>
  <si>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</si>
  <si>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</si>
  <si>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</si>
  <si>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</si>
  <si>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</si>
  <si>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</si>
  <si>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</si>
  <si>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</si>
  <si>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</si>
  <si>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</si>
  <si>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</si>
  <si>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</si>
  <si>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</si>
  <si>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</si>
  <si>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</si>
  <si>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</si>
  <si>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</si>
  <si>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</si>
  <si>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</si>
  <si>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</si>
  <si>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</si>
  <si>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</si>
  <si>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</si>
  <si>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</si>
  <si>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</si>
  <si>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</si>
  <si>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</si>
  <si>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</si>
  <si>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</si>
  <si>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</si>
  <si>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</si>
  <si>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</si>
  <si>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</si>
  <si>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</si>
  <si>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</si>
  <si>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</si>
  <si>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</si>
  <si>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</si>
  <si>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</si>
  <si>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</si>
  <si>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</si>
  <si>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</si>
  <si>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</si>
  <si>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</si>
  <si>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</si>
  <si>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</si>
  <si>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</si>
  <si>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</si>
  <si>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</si>
  <si>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</si>
  <si>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</si>
  <si>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</si>
  <si>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</si>
  <si>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</si>
  <si>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</si>
  <si>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</si>
  <si>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</si>
  <si>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</si>
  <si>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</si>
  <si>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</si>
  <si>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</si>
  <si>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</si>
  <si>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</si>
  <si>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</si>
  <si>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</si>
  <si>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</si>
  <si>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</si>
  <si>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</si>
  <si>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</si>
  <si>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</si>
  <si>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</si>
  <si>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</si>
  <si>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</si>
  <si>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</si>
  <si>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</si>
  <si>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</si>
  <si>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</si>
  <si>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</si>
  <si>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</si>
  <si>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</si>
  <si>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</si>
  <si>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</si>
  <si>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</si>
  <si>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</si>
  <si>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</si>
  <si>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</si>
  <si>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</si>
  <si>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</si>
  <si>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</si>
  <si>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</si>
  <si>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</si>
  <si>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</si>
  <si>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</si>
  <si>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</si>
  <si>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</si>
  <si>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</si>
  <si>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</si>
  <si>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</si>
  <si>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</si>
  <si>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</si>
  <si>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</si>
  <si>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</si>
  <si>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</si>
  <si>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</si>
  <si>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</si>
  <si>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</si>
  <si>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</si>
  <si>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</si>
  <si>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</si>
  <si>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</si>
  <si>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</si>
  <si>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</si>
  <si>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</si>
  <si>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</si>
  <si>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</si>
  <si>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</si>
  <si>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</si>
  <si>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</si>
  <si>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</si>
  <si>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</si>
  <si>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</si>
  <si>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</si>
  <si>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</si>
  <si>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</si>
  <si>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</si>
  <si>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</si>
  <si>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</si>
  <si>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</si>
  <si>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</si>
  <si>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</si>
  <si>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</si>
  <si>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</si>
  <si>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</si>
  <si>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</si>
  <si>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</si>
  <si>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</si>
  <si>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</si>
  <si>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</si>
  <si>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</si>
  <si>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</si>
  <si>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</si>
  <si>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</si>
  <si>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</si>
  <si>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</si>
  <si>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</si>
  <si>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</si>
  <si>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</si>
  <si>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</si>
  <si>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</si>
  <si>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</si>
  <si>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</si>
  <si>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</si>
  <si>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</si>
  <si>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</si>
  <si>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</si>
  <si>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</si>
  <si>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</si>
  <si>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</si>
  <si>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</si>
  <si>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</si>
  <si>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</si>
  <si>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</si>
  <si>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</si>
  <si>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</si>
  <si>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</si>
  <si>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</si>
  <si>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</si>
  <si>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</si>
  <si>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</si>
  <si>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</si>
  <si>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</si>
  <si>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</si>
  <si>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</si>
  <si>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</si>
  <si>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</si>
  <si>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</si>
  <si>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</si>
  <si>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</si>
  <si>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</si>
  <si>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</si>
  <si>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</si>
  <si>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</si>
  <si>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</si>
  <si>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</si>
  <si>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</si>
  <si>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</si>
  <si>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</si>
  <si>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</si>
  <si>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</si>
  <si>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</si>
  <si>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</si>
  <si>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</si>
  <si>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</si>
  <si>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</si>
  <si>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</si>
  <si>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</si>
  <si>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</si>
  <si>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</si>
  <si>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</si>
  <si>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</si>
  <si>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</si>
  <si>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</si>
  <si>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</si>
  <si>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</si>
  <si>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</si>
  <si>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</si>
  <si>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</si>
  <si>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</si>
  <si>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</si>
  <si>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</si>
  <si>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</si>
  <si>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</si>
  <si>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</si>
  <si>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</si>
  <si>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</si>
  <si>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</si>
  <si>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</si>
  <si>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</si>
  <si>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</si>
  <si>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</si>
  <si>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</si>
  <si>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</si>
  <si>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</si>
  <si>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</si>
  <si>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</si>
  <si>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</si>
  <si>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</si>
  <si>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</si>
  <si>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</si>
  <si>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</si>
  <si>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</si>
  <si>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</si>
  <si>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</si>
  <si>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</si>
  <si>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</si>
  <si>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</si>
  <si>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</si>
  <si>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</si>
  <si>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</si>
  <si>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</si>
  <si>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</si>
  <si>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</si>
  <si>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</si>
  <si>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</si>
  <si>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</si>
  <si>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</si>
  <si>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</si>
  <si>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</si>
  <si>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</si>
  <si>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</si>
  <si>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</si>
  <si>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</si>
  <si>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</si>
  <si>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</si>
  <si>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</si>
  <si>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</si>
  <si>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</si>
  <si>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</si>
  <si>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</si>
  <si>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</si>
  <si>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</si>
  <si>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</si>
  <si>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</si>
  <si>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</si>
  <si>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</si>
  <si>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</si>
  <si>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</si>
  <si>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</si>
  <si>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</si>
  <si>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</si>
  <si>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</si>
  <si>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</si>
  <si>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</si>
  <si>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</si>
  <si>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</si>
  <si>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</si>
  <si>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</si>
  <si>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</si>
  <si>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</si>
  <si>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</si>
  <si>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</si>
  <si>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</si>
  <si>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</si>
  <si>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</si>
  <si>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</si>
  <si>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</si>
  <si>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</si>
  <si>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</si>
  <si>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</si>
  <si>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</si>
  <si>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</si>
  <si>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</si>
  <si>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</si>
  <si>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</si>
  <si>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</si>
  <si>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</si>
  <si>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</si>
  <si>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</si>
  <si>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</si>
  <si>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</si>
  <si>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</si>
  <si>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</si>
  <si>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</si>
  <si>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</si>
  <si>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</si>
  <si>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</si>
  <si>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</si>
  <si>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</si>
  <si>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</si>
  <si>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</si>
  <si>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</si>
  <si>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</si>
  <si>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</si>
  <si>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</si>
  <si>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</si>
  <si>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</si>
  <si>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</si>
  <si>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</si>
  <si>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</si>
  <si>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</si>
  <si>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</si>
  <si>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</si>
  <si>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</si>
  <si>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</si>
  <si>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</si>
  <si>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</si>
  <si>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</si>
  <si>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</si>
  <si>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</si>
  <si>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</si>
  <si>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</si>
  <si>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</si>
  <si>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</si>
  <si>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</si>
  <si>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</si>
  <si>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</si>
  <si>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</si>
  <si>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</si>
  <si>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</si>
  <si>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</si>
  <si>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</si>
  <si>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</si>
  <si>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</si>
  <si>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</si>
  <si>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</si>
  <si>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</si>
  <si>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</si>
  <si>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</si>
  <si>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</si>
  <si>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</si>
  <si>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</si>
  <si>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</si>
  <si>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</si>
  <si>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</si>
  <si>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</si>
  <si>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</si>
  <si>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</si>
  <si>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</si>
  <si>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</si>
  <si>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</si>
  <si>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</si>
  <si>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</si>
  <si>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</si>
  <si>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</si>
  <si>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</si>
  <si>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</si>
  <si>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</si>
  <si>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</si>
  <si>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</si>
  <si>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</si>
  <si>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</si>
  <si>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</si>
  <si>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</si>
  <si>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</si>
  <si>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</si>
  <si>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</si>
  <si>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</si>
  <si>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</si>
  <si>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</si>
  <si>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</si>
  <si>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</si>
  <si>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</si>
  <si>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</si>
  <si>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</si>
  <si>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</si>
  <si>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</si>
  <si>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</si>
  <si>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</si>
  <si>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</si>
  <si>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</si>
  <si>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</si>
  <si>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</si>
  <si>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</si>
  <si>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</si>
  <si>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</si>
  <si>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</si>
  <si>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</si>
  <si>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</si>
  <si>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</si>
  <si>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</si>
  <si>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</si>
  <si>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</si>
  <si>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</si>
  <si>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</si>
  <si>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</si>
  <si>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</si>
  <si>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</si>
  <si>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</si>
  <si>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</si>
  <si>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</si>
  <si>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</si>
  <si>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</si>
  <si>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</si>
  <si>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</si>
  <si>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</si>
  <si>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</si>
  <si>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</si>
  <si>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</si>
  <si>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</si>
  <si>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</si>
  <si>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</si>
  <si>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</si>
  <si>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</si>
  <si>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</si>
  <si>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</si>
  <si>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</si>
  <si>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</si>
  <si>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</si>
  <si>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</si>
  <si>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</si>
  <si>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</si>
  <si>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</si>
  <si>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</si>
  <si>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</si>
  <si>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</si>
  <si>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</si>
  <si>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</si>
  <si>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</si>
  <si>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</si>
  <si>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</si>
  <si>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</si>
  <si>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</si>
  <si>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</si>
  <si>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</si>
  <si>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</si>
  <si>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</si>
  <si>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</si>
  <si>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</si>
  <si>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</si>
  <si>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</si>
  <si>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</si>
  <si>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</si>
  <si>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</si>
  <si>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</si>
  <si>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</si>
  <si>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</si>
  <si>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</si>
  <si>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</si>
  <si>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</si>
  <si>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</si>
  <si>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</si>
  <si>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</si>
  <si>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</si>
  <si>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</si>
  <si>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</si>
  <si>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</si>
  <si>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</si>
  <si>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</si>
  <si>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</si>
  <si>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</si>
  <si>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</si>
  <si>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</si>
  <si>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</si>
  <si>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</si>
  <si>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</si>
  <si>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</si>
  <si>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</si>
  <si>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</si>
  <si>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</si>
  <si>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</si>
  <si>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</si>
  <si>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</si>
  <si>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</si>
  <si>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</si>
  <si>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</si>
  <si>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</si>
  <si>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</si>
  <si>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</si>
  <si>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</si>
  <si>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</si>
  <si>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</si>
  <si>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</si>
  <si>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</si>
  <si>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</si>
  <si>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</si>
  <si>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</si>
  <si>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</si>
  <si>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</si>
  <si>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</si>
  <si>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</si>
  <si>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</si>
  <si>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</si>
  <si>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</si>
  <si>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</si>
  <si>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</si>
  <si>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</si>
  <si>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</si>
  <si>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</si>
  <si>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</si>
  <si>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</si>
  <si>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</si>
  <si>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</si>
  <si>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</si>
  <si>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</si>
  <si>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</si>
  <si>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</si>
  <si>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</si>
  <si>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</si>
  <si>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</si>
  <si>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</si>
  <si>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</si>
  <si>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</si>
  <si>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</si>
  <si>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</si>
  <si>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</si>
  <si>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</si>
  <si>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</si>
  <si>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</si>
  <si>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</si>
  <si>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</si>
  <si>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</si>
  <si>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</si>
  <si>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</si>
  <si>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</si>
  <si>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</si>
  <si>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</si>
  <si>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</si>
  <si>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</si>
  <si>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</si>
  <si>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</si>
  <si>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</si>
  <si>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</si>
  <si>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</si>
  <si>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</si>
  <si>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</si>
  <si>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</si>
  <si>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</si>
  <si>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</si>
  <si>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</si>
  <si>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</si>
  <si>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</si>
  <si>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</si>
  <si>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</si>
  <si>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</si>
  <si>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</si>
  <si>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</si>
  <si>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</si>
  <si>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</si>
  <si>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</si>
  <si>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</si>
  <si>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</si>
  <si>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</si>
  <si>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</si>
  <si>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</si>
  <si>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</si>
  <si>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</si>
  <si>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</si>
  <si>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</si>
  <si>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</si>
  <si>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</si>
  <si>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</si>
  <si>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</si>
  <si>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</si>
  <si>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</si>
  <si>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</si>
  <si>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</si>
  <si>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</si>
  <si>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</si>
  <si>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</si>
  <si>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</si>
  <si>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</si>
  <si>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</si>
  <si>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</si>
  <si>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</si>
  <si>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</si>
  <si>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</si>
  <si>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</si>
  <si>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</si>
  <si>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</si>
  <si>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</si>
  <si>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</si>
  <si>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</si>
  <si>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</si>
  <si>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</si>
  <si>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</si>
  <si>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</si>
  <si>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</si>
  <si>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</si>
  <si>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</si>
  <si>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</si>
  <si>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</si>
  <si>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</si>
  <si>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</si>
  <si>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</si>
  <si>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</si>
  <si>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</si>
  <si>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</si>
  <si>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</si>
  <si>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</si>
  <si>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</si>
  <si>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</si>
  <si>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</si>
  <si>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</si>
  <si>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</si>
  <si>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</si>
  <si>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</si>
  <si>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</si>
  <si>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</si>
  <si>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</si>
  <si>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</si>
  <si>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</si>
  <si>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</si>
  <si>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</si>
  <si>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</si>
  <si>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</si>
  <si>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</si>
  <si>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</si>
  <si>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</si>
  <si>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</si>
  <si>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</si>
  <si>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</si>
  <si>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</si>
  <si>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</si>
  <si>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</si>
  <si>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</si>
  <si>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</si>
  <si>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</si>
  <si>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</si>
  <si>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</si>
  <si>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</si>
  <si>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</si>
  <si>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</si>
  <si>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</si>
  <si>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</si>
  <si>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</si>
  <si>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</si>
  <si>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</si>
  <si>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</si>
  <si>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</si>
  <si>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</si>
  <si>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</si>
  <si>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</si>
  <si>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</si>
  <si>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</si>
  <si>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</si>
  <si>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</si>
  <si>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</si>
  <si>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</si>
  <si>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</si>
  <si>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</si>
  <si>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</si>
  <si>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</si>
  <si>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</si>
  <si>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</si>
  <si>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</si>
  <si>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</si>
  <si>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</si>
  <si>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</si>
  <si>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</si>
  <si>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</si>
  <si>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</si>
  <si>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</si>
  <si>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</si>
  <si>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</si>
  <si>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</si>
  <si>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</si>
  <si>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</si>
  <si>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</si>
  <si>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</si>
  <si>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</si>
  <si>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</si>
  <si>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</si>
  <si>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</si>
  <si>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</si>
  <si>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</si>
  <si>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</si>
  <si>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</si>
  <si>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</si>
  <si>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</si>
  <si>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</si>
  <si>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</si>
  <si>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</si>
  <si>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</si>
  <si>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</si>
  <si>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</si>
  <si>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</si>
  <si>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</si>
  <si>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</si>
  <si>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</si>
  <si>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</si>
  <si>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</si>
  <si>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</si>
  <si>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</si>
  <si>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</si>
  <si>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</si>
  <si>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</si>
  <si>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</si>
  <si>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</si>
  <si>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</si>
  <si>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</si>
  <si>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</si>
  <si>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</si>
  <si>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</si>
  <si>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</si>
  <si>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</si>
  <si>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</si>
  <si>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</si>
  <si>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</si>
  <si>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</si>
  <si>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</si>
  <si>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</si>
  <si>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</si>
  <si>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</si>
  <si>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</si>
  <si>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</si>
  <si>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</si>
  <si>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</si>
  <si>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</si>
  <si>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</si>
  <si>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</si>
  <si>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</si>
  <si>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</si>
  <si>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</si>
  <si>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</si>
  <si>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</si>
  <si>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</si>
  <si>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</si>
  <si>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</si>
  <si>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</si>
  <si>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</si>
  <si>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</si>
  <si>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</si>
  <si>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</si>
  <si>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</si>
  <si>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</si>
  <si>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</si>
  <si>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</si>
  <si>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</si>
  <si>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</si>
  <si>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</si>
  <si>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</si>
  <si>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</si>
  <si>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</si>
  <si>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</si>
  <si>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</si>
  <si>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</si>
  <si>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</si>
  <si>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</si>
  <si>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</si>
  <si>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</si>
  <si>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</si>
  <si>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</si>
  <si>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</si>
  <si>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</si>
  <si>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</si>
  <si>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</si>
  <si>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</si>
  <si>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</si>
  <si>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</si>
  <si>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</si>
  <si>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</si>
  <si>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</si>
  <si>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</si>
  <si>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</si>
  <si>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</si>
  <si>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</si>
  <si>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</si>
  <si>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</si>
  <si>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</si>
  <si>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</si>
  <si>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</si>
  <si>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</si>
  <si>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</si>
  <si>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</si>
  <si>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</si>
  <si>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</si>
  <si>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</si>
  <si>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</si>
  <si>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</si>
  <si>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</si>
  <si>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</si>
  <si>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</si>
  <si>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</si>
  <si>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</si>
  <si>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</si>
  <si>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</si>
  <si>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</si>
  <si>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</si>
  <si>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</si>
  <si>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</si>
  <si>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</si>
  <si>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</si>
  <si>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</si>
  <si>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</si>
  <si>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</si>
  <si>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</si>
  <si>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</si>
  <si>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</si>
  <si>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</si>
  <si>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</si>
  <si>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</si>
  <si>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</si>
  <si>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</si>
  <si>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</si>
  <si>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</si>
  <si>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</si>
  <si>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</si>
  <si>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</si>
  <si>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</si>
  <si>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</si>
  <si>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</si>
  <si>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</si>
  <si>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</si>
  <si>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</si>
  <si>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</si>
  <si>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</si>
  <si>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</si>
  <si>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</si>
  <si>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</si>
  <si>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</si>
  <si>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</si>
  <si>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</si>
  <si>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</si>
  <si>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</si>
  <si>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</si>
  <si>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</si>
  <si>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</si>
  <si>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</si>
  <si>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</si>
  <si>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</si>
  <si>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</si>
  <si>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</si>
  <si>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</si>
  <si>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</si>
  <si>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</si>
  <si>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</si>
  <si>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</si>
  <si>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</si>
  <si>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</si>
  <si>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</si>
  <si>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</si>
  <si>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</si>
  <si>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</si>
  <si>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</si>
  <si>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</si>
  <si>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</si>
  <si>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</si>
  <si>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</si>
  <si>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</si>
  <si>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</si>
  <si>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</si>
  <si>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</si>
  <si>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</si>
  <si>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</si>
  <si>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</si>
  <si>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</si>
  <si>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</si>
  <si>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</si>
  <si>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</si>
  <si>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</si>
  <si>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</si>
  <si>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</si>
  <si>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</si>
  <si>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</si>
  <si>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</si>
  <si>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</si>
  <si>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</si>
  <si>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</si>
  <si>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</si>
  <si>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</si>
  <si>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</si>
  <si>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</si>
  <si>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</si>
  <si>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</si>
  <si>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</si>
  <si>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</si>
  <si>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</si>
  <si>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</si>
  <si>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</si>
  <si>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</si>
  <si>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</si>
  <si>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</si>
  <si>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</si>
  <si>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</si>
  <si>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</si>
  <si>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</si>
  <si>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</si>
  <si>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</si>
  <si>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</si>
  <si>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</si>
  <si>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</si>
  <si>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</si>
  <si>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</si>
  <si>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</si>
  <si>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</si>
  <si>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</si>
  <si>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</si>
  <si>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</si>
  <si>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</si>
  <si>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</si>
  <si>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</si>
  <si>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</si>
  <si>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</si>
  <si>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</si>
  <si>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</si>
  <si>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</si>
  <si>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</si>
  <si>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</si>
  <si>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</si>
  <si>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</si>
  <si>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</si>
  <si>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</si>
  <si>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</si>
  <si>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</si>
  <si>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</si>
  <si>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</si>
  <si>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</si>
  <si>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</si>
  <si>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</si>
  <si>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</si>
  <si>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</si>
  <si>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</si>
  <si>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</si>
  <si>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</si>
  <si>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</si>
  <si>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</si>
  <si>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</si>
  <si>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</si>
  <si>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</si>
  <si>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</si>
  <si>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</si>
  <si>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</si>
  <si>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</si>
  <si>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</si>
  <si>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</si>
  <si>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</si>
  <si>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</si>
  <si>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</si>
  <si>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</si>
  <si>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</si>
  <si>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</si>
  <si>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</si>
  <si>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</si>
  <si>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</si>
  <si>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</si>
  <si>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</si>
  <si>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</si>
  <si>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</si>
  <si>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</si>
  <si>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</si>
  <si>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</si>
  <si>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</si>
  <si>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</si>
  <si>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</si>
  <si>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</si>
  <si>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</si>
  <si>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</si>
  <si>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</si>
  <si>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</si>
  <si>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</si>
  <si>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</si>
  <si>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</si>
  <si>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</si>
  <si>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</si>
  <si>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</si>
  <si>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</si>
  <si>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</si>
  <si>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</si>
  <si>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</si>
  <si>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</si>
  <si>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</si>
  <si>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</si>
  <si>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</si>
  <si>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</si>
  <si>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</si>
  <si>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</si>
  <si>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</si>
  <si>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</si>
  <si>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</si>
  <si>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</si>
  <si>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</si>
  <si>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</si>
  <si>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</si>
  <si>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</si>
  <si>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</si>
  <si>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</si>
  <si>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</si>
  <si>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</si>
  <si>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</si>
  <si>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</si>
  <si>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</si>
  <si>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</si>
  <si>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</si>
  <si>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</si>
  <si>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</si>
  <si>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</si>
  <si>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</si>
  <si>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</si>
  <si>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</si>
  <si>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</si>
  <si>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</si>
  <si>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</si>
  <si>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</si>
  <si>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</si>
  <si>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</si>
  <si>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</si>
  <si>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</si>
  <si>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</si>
  <si>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</si>
  <si>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</si>
  <si>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</si>
  <si>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</si>
  <si>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</si>
  <si>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</si>
  <si>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</si>
  <si>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</si>
  <si>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</si>
  <si>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</si>
  <si>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</si>
  <si>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</si>
  <si>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</si>
  <si>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</si>
  <si>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</si>
  <si>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</si>
  <si>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</si>
  <si>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</si>
  <si>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</si>
  <si>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</si>
  <si>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</si>
  <si>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</si>
  <si>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</si>
  <si>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</si>
  <si>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</si>
  <si>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</si>
  <si>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</si>
  <si>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</si>
  <si>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</si>
  <si>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</si>
  <si>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</si>
  <si>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</si>
  <si>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</si>
  <si>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</si>
  <si>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</si>
  <si>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</si>
  <si>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</si>
  <si>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</si>
  <si>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</si>
  <si>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</si>
  <si>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</si>
  <si>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</si>
  <si>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</si>
  <si>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</si>
  <si>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</si>
  <si>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</si>
  <si>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</si>
  <si>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</si>
  <si>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</si>
  <si>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</si>
  <si>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</si>
  <si>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</si>
  <si>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</si>
  <si>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</si>
  <si>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</si>
  <si>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</si>
  <si>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</si>
  <si>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</si>
  <si>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</si>
  <si>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</si>
  <si>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</si>
  <si>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</si>
  <si>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</si>
  <si>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</si>
  <si>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</si>
  <si>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</si>
  <si>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</si>
  <si>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</si>
  <si>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</si>
  <si>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</si>
  <si>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</si>
  <si>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</si>
  <si>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</si>
  <si>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</si>
  <si>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</si>
  <si>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</si>
  <si>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</si>
  <si>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</si>
  <si>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</si>
  <si>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</si>
  <si>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</si>
  <si>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</si>
  <si>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</si>
  <si>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</si>
  <si>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</si>
  <si>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</si>
  <si>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</si>
  <si>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</si>
  <si>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</si>
  <si>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</si>
  <si>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</si>
  <si>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</si>
  <si>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</si>
  <si>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</si>
  <si>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</si>
  <si>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</si>
  <si>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</si>
  <si>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</si>
  <si>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</si>
  <si>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</si>
  <si>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</si>
  <si>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</si>
  <si>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</si>
  <si>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</si>
  <si>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</si>
  <si>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</si>
  <si>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</si>
  <si>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</si>
  <si>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</si>
  <si>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</si>
  <si>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</si>
  <si>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</si>
  <si>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</si>
  <si>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</si>
  <si>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</si>
  <si>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</si>
  <si>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</si>
  <si>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</si>
  <si>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</si>
  <si>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</si>
  <si>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</si>
  <si>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</si>
  <si>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</si>
  <si>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</si>
  <si>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</si>
  <si>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</si>
  <si>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</si>
  <si>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</si>
  <si>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</si>
  <si>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</si>
  <si>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</si>
  <si>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</si>
  <si>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</si>
  <si>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</si>
  <si>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</si>
  <si>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</si>
  <si>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</si>
  <si>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</si>
  <si>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</si>
  <si>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</si>
  <si>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</si>
  <si>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</si>
  <si>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</si>
  <si>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</si>
  <si>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</si>
  <si>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</si>
  <si>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</si>
  <si>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</si>
  <si>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</si>
  <si>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</si>
  <si>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</si>
  <si>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</si>
  <si>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</si>
  <si>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</si>
  <si>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</si>
  <si>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</si>
  <si>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</si>
  <si>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</si>
  <si>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</si>
  <si>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</si>
  <si>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</si>
  <si>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</si>
  <si>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</si>
  <si>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</si>
  <si>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</si>
  <si>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</si>
  <si>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</si>
  <si>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</si>
  <si>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</si>
  <si>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</si>
  <si>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</si>
  <si>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</si>
  <si>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</si>
  <si>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</si>
  <si>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</si>
  <si>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</si>
  <si>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</si>
  <si>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</si>
  <si>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</si>
  <si>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</si>
  <si>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</si>
  <si>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</si>
  <si>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</si>
  <si>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</si>
  <si>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</si>
  <si>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</si>
  <si>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</si>
  <si>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</si>
  <si>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</si>
  <si>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</si>
  <si>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</si>
  <si>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</si>
  <si>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</si>
  <si>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</si>
  <si>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</si>
  <si>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</si>
  <si>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</si>
  <si>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</si>
  <si>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</si>
  <si>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</si>
  <si>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</si>
  <si>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</si>
  <si>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</si>
  <si>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</si>
  <si>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</si>
  <si>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</si>
  <si>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</si>
  <si>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</si>
  <si>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</si>
  <si>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</si>
  <si>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</si>
  <si>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</si>
  <si>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</si>
  <si>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</si>
  <si>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</si>
  <si>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</si>
  <si>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</si>
  <si>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</si>
  <si>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</si>
  <si>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</si>
  <si>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</si>
  <si>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</si>
  <si>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</si>
  <si>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</si>
  <si>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</si>
  <si>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</si>
  <si>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</si>
  <si>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</si>
  <si>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</si>
  <si>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</si>
  <si>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</si>
  <si>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</si>
  <si>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</si>
  <si>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</si>
  <si>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</si>
  <si>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</si>
  <si>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</si>
  <si>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</si>
  <si>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</si>
  <si>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</si>
  <si>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</si>
  <si>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</si>
  <si>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</si>
  <si>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</si>
  <si>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</si>
  <si>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</si>
  <si>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</si>
  <si>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</si>
  <si>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</si>
  <si>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</si>
  <si>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</si>
  <si>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</si>
  <si>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</si>
  <si>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</si>
  <si>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</si>
  <si>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</si>
  <si>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</si>
  <si>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</si>
  <si>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</si>
  <si>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</si>
  <si>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</si>
  <si>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</si>
  <si>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</si>
  <si>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</si>
  <si>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</si>
  <si>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</si>
  <si>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</si>
  <si>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</si>
  <si>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</si>
  <si>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</si>
  <si>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</si>
  <si>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</si>
  <si>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</si>
  <si>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</si>
  <si>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</si>
  <si>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</si>
  <si>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</si>
  <si>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</si>
  <si>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</si>
  <si>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</si>
  <si>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</si>
  <si>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</si>
  <si>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</si>
  <si>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</si>
  <si>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</si>
  <si>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</si>
  <si>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</si>
  <si>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</si>
  <si>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</si>
  <si>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</si>
  <si>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</si>
  <si>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</si>
  <si>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</si>
  <si>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</si>
  <si>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</si>
  <si>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</si>
  <si>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</si>
  <si>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</si>
  <si>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</si>
  <si>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</si>
  <si>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</si>
  <si>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</si>
  <si>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</si>
  <si>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</si>
  <si>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</si>
  <si>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</si>
  <si>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</si>
  <si>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</si>
  <si>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</si>
  <si>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</si>
  <si>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</si>
  <si>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</si>
  <si>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</si>
  <si>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</si>
  <si>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</si>
  <si>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</si>
  <si>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</si>
  <si>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</si>
  <si>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</si>
  <si>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</si>
  <si>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</si>
  <si>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</si>
  <si>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</si>
  <si>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</si>
  <si>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</si>
  <si>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</si>
  <si>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</si>
  <si>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</si>
  <si>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</si>
  <si>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</si>
  <si>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</si>
  <si>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</si>
  <si>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</si>
  <si>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</si>
  <si>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</si>
  <si>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</si>
  <si>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</si>
  <si>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</si>
  <si>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</si>
  <si>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</si>
  <si>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</si>
  <si>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</si>
  <si>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</si>
  <si>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</si>
  <si>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</si>
  <si>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</si>
  <si>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</si>
  <si>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</si>
  <si>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</si>
  <si>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</si>
  <si>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</si>
  <si>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</si>
  <si>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</si>
  <si>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</si>
  <si>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</si>
  <si>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</si>
  <si>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</si>
  <si>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</si>
  <si>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</si>
  <si>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</si>
  <si>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</si>
  <si>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</si>
  <si>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</si>
  <si>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</si>
  <si>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</si>
  <si>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</si>
  <si>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</si>
  <si>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</si>
  <si>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</si>
  <si>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</si>
  <si>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</si>
  <si>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</si>
  <si>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</si>
  <si>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</si>
  <si>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</si>
  <si>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</si>
  <si>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</si>
  <si>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</si>
  <si>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</si>
  <si>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</si>
  <si>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</si>
  <si>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</si>
  <si>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</si>
  <si>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</si>
  <si>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</si>
  <si>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</si>
  <si>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</si>
  <si>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</si>
  <si>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</si>
  <si>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</si>
  <si>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</si>
  <si>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</si>
  <si>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</si>
  <si>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</si>
  <si>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</si>
  <si>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</si>
  <si>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</si>
  <si>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</si>
  <si>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</si>
  <si>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</si>
  <si>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</si>
  <si>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</si>
  <si>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</si>
  <si>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</si>
  <si>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</si>
  <si>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</si>
  <si>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</si>
  <si>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</si>
  <si>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</si>
  <si>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</si>
  <si>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</si>
  <si>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</si>
  <si>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</si>
  <si>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</si>
  <si>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</si>
  <si>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</si>
  <si>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</si>
  <si>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</si>
  <si>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</si>
  <si>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</si>
  <si>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</si>
  <si>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</si>
  <si>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</si>
  <si>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</si>
  <si>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</si>
  <si>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</si>
  <si>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</si>
  <si>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</si>
  <si>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</si>
  <si>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</si>
  <si>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</si>
  <si>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</si>
  <si>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</si>
  <si>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</si>
  <si>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</si>
  <si>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</si>
  <si>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</si>
  <si>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</si>
  <si>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</si>
  <si>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</si>
  <si>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</si>
  <si>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</si>
  <si>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</si>
  <si>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</si>
  <si>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</si>
  <si>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</si>
  <si>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</si>
  <si>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</si>
  <si>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</si>
  <si>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</si>
  <si>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</si>
  <si>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</si>
  <si>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</si>
  <si>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</si>
  <si>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</si>
  <si>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</si>
  <si>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</si>
  <si>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</si>
  <si>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</si>
  <si>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</si>
  <si>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</si>
  <si>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</si>
  <si>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</si>
  <si>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</si>
  <si>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</si>
  <si>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</si>
  <si>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</si>
  <si>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</si>
  <si>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</si>
  <si>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</si>
  <si>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</si>
  <si>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</si>
  <si>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</si>
  <si>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</si>
  <si>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</si>
  <si>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</si>
  <si>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</si>
  <si>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</si>
  <si>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</si>
  <si>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</si>
  <si>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</si>
  <si>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</si>
  <si>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</si>
  <si>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</si>
  <si>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</si>
  <si>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</si>
  <si>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</si>
  <si>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</si>
  <si>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</si>
  <si>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</si>
  <si>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</si>
  <si>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</si>
  <si>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</si>
  <si>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</si>
  <si>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</si>
  <si>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</si>
  <si>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</si>
  <si>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</si>
  <si>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</si>
  <si>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</si>
  <si>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</si>
  <si>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</si>
  <si>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</si>
  <si>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</si>
  <si>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</si>
  <si>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</si>
  <si>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</si>
  <si>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</si>
  <si>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</si>
  <si>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</si>
  <si>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</si>
  <si>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</si>
  <si>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</si>
  <si>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</si>
  <si>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</si>
  <si>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</si>
  <si>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</si>
  <si>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</si>
  <si>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</si>
  <si>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</si>
  <si>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</si>
  <si>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</si>
  <si>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</si>
  <si>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</si>
  <si>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</si>
  <si>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</si>
  <si>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</si>
  <si>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</si>
  <si>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</si>
  <si>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</si>
  <si>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</si>
  <si>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</si>
  <si>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</si>
  <si>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</si>
  <si>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</si>
  <si>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</si>
  <si>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</si>
  <si>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</si>
  <si>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</si>
  <si>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</si>
  <si>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</si>
  <si>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</si>
  <si>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</si>
  <si>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</si>
  <si>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</si>
  <si>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</si>
  <si>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</si>
  <si>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</si>
  <si>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</si>
  <si>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</si>
  <si>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</si>
  <si>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</si>
  <si>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</si>
  <si>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</si>
  <si>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</si>
  <si>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</si>
  <si>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</si>
  <si>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</si>
  <si>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</si>
  <si>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</si>
  <si>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</si>
  <si>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</si>
  <si>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</si>
  <si>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</si>
  <si>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</si>
  <si>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</si>
  <si>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</si>
  <si>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</si>
  <si>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</si>
  <si>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</si>
  <si>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</si>
  <si>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</si>
  <si>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</si>
  <si>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</si>
  <si>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</si>
  <si>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</si>
  <si>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</si>
  <si>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</si>
  <si>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</si>
  <si>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</si>
  <si>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</si>
  <si>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</si>
  <si>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</si>
  <si>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</si>
  <si>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</si>
  <si>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</si>
  <si>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</si>
  <si>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</si>
  <si>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</si>
  <si>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</si>
  <si>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</si>
  <si>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</si>
  <si>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</si>
  <si>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</si>
  <si>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</si>
  <si>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</si>
  <si>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</si>
  <si>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</si>
  <si>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</si>
  <si>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</si>
  <si>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</si>
  <si>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</si>
  <si>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</si>
  <si>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</si>
  <si>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</si>
  <si>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</si>
  <si>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</si>
  <si>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</si>
  <si>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</si>
  <si>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</si>
  <si>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</si>
  <si>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</si>
  <si>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</si>
  <si>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</si>
  <si>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</si>
  <si>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</si>
  <si>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</si>
  <si>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</si>
  <si>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</si>
  <si>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</si>
  <si>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</si>
  <si>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t>DESREF(Equipos!$Q$40;0;0;SUMAPRODUCTO((NO(ESERROR(Equipos!$Q$40:$Q$63)))*(Equipos!$Q$40:$Q$63&lt;&gt;"")))</t>
  </si>
  <si>
    <t>Sistema de puntuación</t>
  </si>
  <si>
    <t>Scoring system</t>
  </si>
  <si>
    <t>México-Sudáfrica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</si>
  <si>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</si>
  <si>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</si>
  <si>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Metaporra</t>
  </si>
  <si>
    <t>1|1-0</t>
  </si>
  <si>
    <t>1|3-1</t>
  </si>
  <si>
    <t>X|2-2</t>
  </si>
  <si>
    <t>2|1-3</t>
  </si>
  <si>
    <t>X|1-1</t>
  </si>
  <si>
    <t>2|0-3</t>
  </si>
  <si>
    <t>1|2-1</t>
  </si>
  <si>
    <t>2|0-2</t>
  </si>
  <si>
    <t>1|6-0</t>
  </si>
  <si>
    <t>1|5-0</t>
  </si>
  <si>
    <t>2|1-2</t>
  </si>
  <si>
    <t>1|5-2</t>
  </si>
  <si>
    <t>1|2-0</t>
  </si>
  <si>
    <t>2|0-4</t>
  </si>
  <si>
    <t>1|3-2</t>
  </si>
  <si>
    <t>X|0-0</t>
  </si>
  <si>
    <t>1|3-0</t>
  </si>
  <si>
    <t>1|4-1</t>
  </si>
  <si>
    <t>2|0-1</t>
  </si>
  <si>
    <t>2|1-4</t>
  </si>
  <si>
    <t>2|2-3</t>
  </si>
  <si>
    <t>2|2-4</t>
  </si>
  <si>
    <t>Corea del Sur-Suiza·1|2-1</t>
  </si>
  <si>
    <t>Brasil-Países Bajos·1|4-1</t>
  </si>
  <si>
    <t>Alemania-Escocia·1|2-1</t>
  </si>
  <si>
    <t>Japón-Marruecos·2|1-3</t>
  </si>
  <si>
    <t>Costa de Marfil-Noruega·2|0-2</t>
  </si>
  <si>
    <t>Francia-Túnez·1|4-1</t>
  </si>
  <si>
    <t>México-Ecuador·X|2-2</t>
  </si>
  <si>
    <t>Inglaterra-RD Congo·1|2-1</t>
  </si>
  <si>
    <t>Bélgica-República Checa·2|0-1</t>
  </si>
  <si>
    <t>Estados Unidos-Bosnia y Herzegovina·X|1-1</t>
  </si>
  <si>
    <t>España-Austria·1|2-0</t>
  </si>
  <si>
    <t>Portugal-Croacia·1|1-0</t>
  </si>
  <si>
    <t>Canadá-Argelia·2|0-2</t>
  </si>
  <si>
    <t>Turquía-Egipto·1|1-0</t>
  </si>
  <si>
    <t>Argentina-Uruguay·1|3-2</t>
  </si>
  <si>
    <t>Colombia-Senegal·1|2-1</t>
  </si>
  <si>
    <t>Corea del Sur-Marruecos·2|1-2</t>
  </si>
  <si>
    <t>Alemania-Francia·X|2-2</t>
  </si>
  <si>
    <t>Brasil-Noruega·1|3-1</t>
  </si>
  <si>
    <t>México-Inglaterra·2|2-3</t>
  </si>
  <si>
    <t>Portugal-España·2|1-3</t>
  </si>
  <si>
    <t>Estados Unidos-República Checa·1|2-1</t>
  </si>
  <si>
    <t>Argentina-Turquía·1|4-0</t>
  </si>
  <si>
    <t>Argelia-Colombia·2|1-2</t>
  </si>
  <si>
    <t>Alemania-Marruecos·1|2-0</t>
  </si>
  <si>
    <t>España-Estados Unidos·1|1-0</t>
  </si>
  <si>
    <t>Brasil-Inglaterra·X|2-2</t>
  </si>
  <si>
    <t>Argentina-Colombia·1|3-0</t>
  </si>
  <si>
    <t>Alemania-España·X|2-2</t>
  </si>
  <si>
    <t>Inglaterra-Argentina·1|1-0</t>
  </si>
  <si>
    <t>España-Argentina·1|2-0</t>
  </si>
  <si>
    <t>Alemania-Inglaterra·1|2-1</t>
  </si>
  <si>
    <t>Harry Kane</t>
  </si>
  <si>
    <t>Havertz</t>
  </si>
  <si>
    <t>Lamal</t>
  </si>
  <si>
    <t>Musiala</t>
  </si>
  <si>
    <t>Luis B</t>
  </si>
  <si>
    <t>1|4-0</t>
  </si>
  <si>
    <t>1|5-1</t>
  </si>
  <si>
    <t>República Checa-Bosnia y Herzegovina·1|1-0</t>
  </si>
  <si>
    <t>Brasil-Japón·1|3-2</t>
  </si>
  <si>
    <t>Alemania-Escocia·1|3-0</t>
  </si>
  <si>
    <t>Países Bajos-Marruecos·1|1-0</t>
  </si>
  <si>
    <t>Ecuador-Senegal·2|0-2</t>
  </si>
  <si>
    <t>Francia-Suecia·1|3-1</t>
  </si>
  <si>
    <t>México-Costa de Marfil·2|1-2</t>
  </si>
  <si>
    <t>Inglaterra-RD Congo·1|3-0</t>
  </si>
  <si>
    <t>Bélgica-Arabia Saudita·1|2-0</t>
  </si>
  <si>
    <t>Turquía-Noruega·2|1-2</t>
  </si>
  <si>
    <t>España-Austria·1|3-1</t>
  </si>
  <si>
    <t>Colombia-Croacia·2|1-3</t>
  </si>
  <si>
    <t>Suiza-Argelia·1|2-0</t>
  </si>
  <si>
    <t>Estados Unidos-Egipto·1|1-0</t>
  </si>
  <si>
    <t>Argentina-Uruguay·1|2-1</t>
  </si>
  <si>
    <t>Portugal-Ghana·1|1-0</t>
  </si>
  <si>
    <t>República Checa-Países Bajos·2|1-2</t>
  </si>
  <si>
    <t>Alemania-Francia·2|0-1</t>
  </si>
  <si>
    <t>Brasil-Senegal·1|3-1</t>
  </si>
  <si>
    <t>Costa de Marfil-Inglaterra·2|1-2</t>
  </si>
  <si>
    <t>Croacia-España·2|0-2</t>
  </si>
  <si>
    <t>Noruega-Bélgica·1|1-0</t>
  </si>
  <si>
    <t>Argentina-Estados Unidos·1|2-1</t>
  </si>
  <si>
    <t>Suiza-Portugal·2|0-2</t>
  </si>
  <si>
    <t>Francia-Países Bajos·1|3-2</t>
  </si>
  <si>
    <t>España-Noruega·1|3-1</t>
  </si>
  <si>
    <t>Brasil-Inglaterra·2|0-1</t>
  </si>
  <si>
    <t>Argentina-Portugal·2|0-1</t>
  </si>
  <si>
    <t>Francia-España·2|1-2</t>
  </si>
  <si>
    <t>Inglaterra-Portugal·2|0-1</t>
  </si>
  <si>
    <t>Francia-Inglaterra·1|2-1</t>
  </si>
  <si>
    <t>España-Portugal·1|1-0</t>
  </si>
  <si>
    <t>Mbappe</t>
  </si>
  <si>
    <t>Kane</t>
  </si>
  <si>
    <t>Lamine</t>
  </si>
  <si>
    <t>Bruno Fernandes</t>
  </si>
  <si>
    <t>Pedri</t>
  </si>
  <si>
    <t>Alejandro Lafuente</t>
  </si>
  <si>
    <t>República Checa-Bosnia y Herzegovina·1|2-1</t>
  </si>
  <si>
    <t>Brasil-Japón·1|3-1</t>
  </si>
  <si>
    <t>Alemania-Escocia·1|3-1</t>
  </si>
  <si>
    <t>Países Bajos-Marruecos·1|2-1</t>
  </si>
  <si>
    <t>Costa de Marfil-Noruega·X|1-1</t>
  </si>
  <si>
    <t>México-Arabia Saudita·1|2-1</t>
  </si>
  <si>
    <t>Inglaterra-Senegal·1|1-0</t>
  </si>
  <si>
    <t>Bélgica-Corea del Sur·X|1-1</t>
  </si>
  <si>
    <t>Turquía-Canadá·1|1-0</t>
  </si>
  <si>
    <t>España-Austria·1|2-1</t>
  </si>
  <si>
    <t>Colombia-Croacia·1|2-1</t>
  </si>
  <si>
    <t>Suiza-Ecuador·2|1-2</t>
  </si>
  <si>
    <t>Estados Unidos-Egipto·2|0-1</t>
  </si>
  <si>
    <t>Portugal-Ghana·1|2-0</t>
  </si>
  <si>
    <t>República Checa-Países Bajos·2|0-1</t>
  </si>
  <si>
    <t>Alemania-Francia·2|1-2</t>
  </si>
  <si>
    <t>Brasil-Noruega·1|2-0</t>
  </si>
  <si>
    <t>México-Inglaterra·2|0-1</t>
  </si>
  <si>
    <t>Colombia-España·2|1-3</t>
  </si>
  <si>
    <t>Turquía-Bélgica·2|0-1</t>
  </si>
  <si>
    <t>Argentina-Egipto·1|2-0</t>
  </si>
  <si>
    <t>Ecuador-Portugal·2|0-1</t>
  </si>
  <si>
    <t>Francia-Países Bajos·1|1-0</t>
  </si>
  <si>
    <t>España-Bélgica·1|2-0</t>
  </si>
  <si>
    <t>Brasil-Inglaterra·1|2-1</t>
  </si>
  <si>
    <t>Brasil-Portugal·X|1-1</t>
  </si>
  <si>
    <t>Francia-Brasil·X|1-1</t>
  </si>
  <si>
    <t>España-Portugal·X|2-2</t>
  </si>
  <si>
    <t>Cristiano Ronaldo</t>
  </si>
  <si>
    <t>Mbappé</t>
  </si>
  <si>
    <t>Oyarzabal</t>
  </si>
  <si>
    <t xml:space="preserve">Yamal </t>
  </si>
  <si>
    <t>Jaime Lafuente</t>
  </si>
  <si>
    <t>Corea del Sur-Bosnia y Herzegovina·X|1-1</t>
  </si>
  <si>
    <t>Brasil-Japón·1|2-0</t>
  </si>
  <si>
    <t>Alemania-Paraguay·1|2-1</t>
  </si>
  <si>
    <t>Ecuador-Noruega·X|0-0</t>
  </si>
  <si>
    <t>México-Escocia·1|2-1</t>
  </si>
  <si>
    <t>Turquía-Costa de Marfil·1|2-1</t>
  </si>
  <si>
    <t>Colombia-Croacia·1|1-0</t>
  </si>
  <si>
    <t>Suiza-Irán·1|1-0</t>
  </si>
  <si>
    <t>Portugal-Panamá·1|3-1</t>
  </si>
  <si>
    <t>Corea del Sur-Países Bajos·2|0-1</t>
  </si>
  <si>
    <t>México-Inglaterra·2|0-2</t>
  </si>
  <si>
    <t>Turquía-Bélgica·1|1-0</t>
  </si>
  <si>
    <t>Argentina-Estados Unidos·1|2-0</t>
  </si>
  <si>
    <t>Suiza-Portugal·X|1-1</t>
  </si>
  <si>
    <t>Francia-Países Bajos·1|2-0</t>
  </si>
  <si>
    <t>España-Turquía·1|2-0</t>
  </si>
  <si>
    <t>Brasil-Inglaterra·2|1-2</t>
  </si>
  <si>
    <t>Argentina-Portugal·X|1-1</t>
  </si>
  <si>
    <t>Francia-España·1|2-1</t>
  </si>
  <si>
    <t>Francia-Inglaterra·1|2-0</t>
  </si>
  <si>
    <t>Lautaro Martínez</t>
  </si>
  <si>
    <t>Lamine Yamal</t>
  </si>
  <si>
    <t>Pastor</t>
  </si>
  <si>
    <t>Corea del Sur-Canadá·2|1-2</t>
  </si>
  <si>
    <t>Brasil-Países Bajos·X|1-1</t>
  </si>
  <si>
    <t>Alemania-Paraguay·2|0-2</t>
  </si>
  <si>
    <t>Japón-Marruecos·X|1-1</t>
  </si>
  <si>
    <t>Ecuador-Noruega·2|1-2</t>
  </si>
  <si>
    <t>México-Escocia·1|1-0</t>
  </si>
  <si>
    <t>Inglaterra-Uzbekistán·1|2-0</t>
  </si>
  <si>
    <t>Bélgica-República Checa·1|2-1</t>
  </si>
  <si>
    <t>Estados Unidos-Costa de Marfil·1|2-1</t>
  </si>
  <si>
    <t>Portugal-Croacia·2|1-2</t>
  </si>
  <si>
    <t>Turquía-Egipto·X|2-2</t>
  </si>
  <si>
    <t>Argentina-Uruguay·1|1-0</t>
  </si>
  <si>
    <t>Colombia-Senegal·X|1-1</t>
  </si>
  <si>
    <t>Canadá-Marruecos·2|0-2</t>
  </si>
  <si>
    <t>Paraguay-Francia·2|0-3</t>
  </si>
  <si>
    <t>Brasil-Noruega·X|2-2</t>
  </si>
  <si>
    <t>Croacia-España·X|1-1</t>
  </si>
  <si>
    <t>Estados Unidos-Bélgica·2|0-1</t>
  </si>
  <si>
    <t>Argentina-Turquía·1|2-0</t>
  </si>
  <si>
    <t>Suiza-Colombia·X|1-1</t>
  </si>
  <si>
    <t>Francia-Marruecos·1|3-2</t>
  </si>
  <si>
    <t>España-Bélgica·1|3-0</t>
  </si>
  <si>
    <t>Argentina-Colombia·1|2-0</t>
  </si>
  <si>
    <t>Francia-España·X|1-1</t>
  </si>
  <si>
    <t>Brasil-Argentina·1|2-1</t>
  </si>
  <si>
    <t>España-Argentina·1|1-0</t>
  </si>
  <si>
    <t>Francia-Brasil·1|2-1</t>
  </si>
  <si>
    <t>Kylian Mbappé</t>
  </si>
  <si>
    <t>Erling Haaland</t>
  </si>
  <si>
    <t>Raphinha</t>
  </si>
  <si>
    <t>Jaime García de la Riva</t>
  </si>
  <si>
    <t>Marruecos-Suecia·1|3-1</t>
  </si>
  <si>
    <t>Alemania-Paraguay·X|2-2</t>
  </si>
  <si>
    <t>Países Bajos-Brasil·2|1-2</t>
  </si>
  <si>
    <t>Francia-Japón·1|3-0</t>
  </si>
  <si>
    <t>Croacia-Senegal·X|0-0</t>
  </si>
  <si>
    <t>Bélgica-Arabia Saudita·1|1-0</t>
  </si>
  <si>
    <t>Estados Unidos-Austria·1|2-1</t>
  </si>
  <si>
    <t>España-Argelia·1|1-0</t>
  </si>
  <si>
    <t>Colombia-Inglaterra·2|0-2</t>
  </si>
  <si>
    <t>Suiza-Irán·1|3-1</t>
  </si>
  <si>
    <t>Turquía-Egipto·1|2-1</t>
  </si>
  <si>
    <t>Argentina-Uruguay·X|2-2</t>
  </si>
  <si>
    <t>Portugal-Panamá·1|2-0</t>
  </si>
  <si>
    <t>Canadá-Brasil·2|0-2</t>
  </si>
  <si>
    <t>Marruecos-Noruega·1|3-1</t>
  </si>
  <si>
    <t>México-Croacia·2|0-3</t>
  </si>
  <si>
    <t>Inglaterra-España·X|1-1</t>
  </si>
  <si>
    <t>Estados Unidos-Bélgica·2|0-2</t>
  </si>
  <si>
    <t>Argentina-Turquía·1|2-1</t>
  </si>
  <si>
    <t>España-Bélgica·1|3-2</t>
  </si>
  <si>
    <t>Marruecos-Croacia·1|2-1</t>
  </si>
  <si>
    <t>Argentina-Portugal·X|3-3</t>
  </si>
  <si>
    <t>Francia-España·2|2-3</t>
  </si>
  <si>
    <t>Marruecos-Argentina·2|0-2</t>
  </si>
  <si>
    <t>Francia-Marruecos·1|3-1</t>
  </si>
  <si>
    <t>Michael Olise</t>
  </si>
  <si>
    <t>Nacho Novo</t>
  </si>
  <si>
    <t>Alemania-Estados Unidos·1|4-0</t>
  </si>
  <si>
    <t>Países Bajos-Marruecos·X|2-2</t>
  </si>
  <si>
    <t>Ecuador-Senegal·1|1-0</t>
  </si>
  <si>
    <t>Francia-Suecia·1|3-0</t>
  </si>
  <si>
    <t>México-Escocia·2|1-2</t>
  </si>
  <si>
    <t>Inglaterra-Noruega·X|1-1</t>
  </si>
  <si>
    <t>Bélgica-Arabia Saudita·1|2-1</t>
  </si>
  <si>
    <t>Turquía-Costa de Marfil·1|3-1</t>
  </si>
  <si>
    <t>Colombia-Ghana·1|2-0</t>
  </si>
  <si>
    <t>Paraguay-Egipto·2|0-1</t>
  </si>
  <si>
    <t>Argentina-Uruguay·1|2-0</t>
  </si>
  <si>
    <t>Portugal-Croacia·1|3-1</t>
  </si>
  <si>
    <t>República Checa-Países Bajos·2|0-3</t>
  </si>
  <si>
    <t>Brasil-Ecuador·X|1-1</t>
  </si>
  <si>
    <t>Escocia-Inglaterra·2|1-2</t>
  </si>
  <si>
    <t>Colombia-España·2|1-2</t>
  </si>
  <si>
    <t>Turquía-Bélgica·1|3-1</t>
  </si>
  <si>
    <t>Suiza-Portugal·2|1-2</t>
  </si>
  <si>
    <t>Francia-Países Bajos·X|2-2</t>
  </si>
  <si>
    <t>España-Turquía·1|1-0</t>
  </si>
  <si>
    <t>Ecuador-Inglaterra·X|0-0</t>
  </si>
  <si>
    <t>Argentina-Portugal·2|1-2</t>
  </si>
  <si>
    <t>Países Bajos-España·2|1-3</t>
  </si>
  <si>
    <t>Inglaterra-Portugal·2|0-2</t>
  </si>
  <si>
    <t>Países Bajos-Inglaterra·1|2-1</t>
  </si>
  <si>
    <t>España-Portugal·2|1-2</t>
  </si>
  <si>
    <t>Mikel Oyarzábal</t>
  </si>
  <si>
    <t>Vitinha</t>
  </si>
  <si>
    <t>Antonio Zulueta Ramos</t>
  </si>
  <si>
    <t>1|6-1</t>
  </si>
  <si>
    <t>2|1-5</t>
  </si>
  <si>
    <t>Corea del Sur-Canadá·X|1-1</t>
  </si>
  <si>
    <t>Brasil-Japón·1|2-1</t>
  </si>
  <si>
    <t>Países Bajos-Marruecos·X|1-1</t>
  </si>
  <si>
    <t>Costa de Marfil-Noruega·2|0-1</t>
  </si>
  <si>
    <t>Francia-Irán·1|3-0</t>
  </si>
  <si>
    <t>México-Ecuador·2|1-2</t>
  </si>
  <si>
    <t>Inglaterra-RD Congo·1|3-1</t>
  </si>
  <si>
    <t>Bélgica-República Checa·1|1-0</t>
  </si>
  <si>
    <t>Turquía-Senegal·1|3-1</t>
  </si>
  <si>
    <t>España-Argelia·1|2-0</t>
  </si>
  <si>
    <t>Suiza-Austria·X|0-0</t>
  </si>
  <si>
    <t>Argentina-Uruguay·X|1-1</t>
  </si>
  <si>
    <t>Canadá-Países Bajos·2|1-2</t>
  </si>
  <si>
    <t>Alemania-Francia·2|1-3</t>
  </si>
  <si>
    <t>Brasil-Noruega·X|1-1</t>
  </si>
  <si>
    <t>Ecuador-Inglaterra·2|1-3</t>
  </si>
  <si>
    <t>Colombia-España·1|1-0</t>
  </si>
  <si>
    <t>Turquía-Bélgica·X|2-2</t>
  </si>
  <si>
    <t>Uruguay-Estados Unidos·X|1-1</t>
  </si>
  <si>
    <t>Austria-Portugal·2|0-1</t>
  </si>
  <si>
    <t>Colombia-Bélgica·X|1-1</t>
  </si>
  <si>
    <t>Noruega-Inglaterra·2|1-3</t>
  </si>
  <si>
    <t>Uruguay-Portugal·2|0-2</t>
  </si>
  <si>
    <t>Países Bajos-Colombia·1|1-0</t>
  </si>
  <si>
    <t>Inglaterra-Portugal·2|1-2</t>
  </si>
  <si>
    <t>Colombia-Inglaterra·2|1-3</t>
  </si>
  <si>
    <t>Países Bajos-Portugal·2|0-1</t>
  </si>
  <si>
    <t>Cody Gakpo</t>
  </si>
  <si>
    <t>Carlos Murciano</t>
  </si>
  <si>
    <t>2|0-5</t>
  </si>
  <si>
    <t>Corea del Sur-Canadá·1|3-1</t>
  </si>
  <si>
    <t>Brasil-Suecia·X|1-1</t>
  </si>
  <si>
    <t>Alemania-Turquía·1|3-0</t>
  </si>
  <si>
    <t>Ecuador-Noruega·2|0-2</t>
  </si>
  <si>
    <t>Francia-Japón·1|3-1</t>
  </si>
  <si>
    <t>Inglaterra-Senegal·X|2-2</t>
  </si>
  <si>
    <t>Bélgica-República Checa·1|2-0</t>
  </si>
  <si>
    <t>Estados Unidos-Bosnia y Herzegovina·1|2-1</t>
  </si>
  <si>
    <t>España-Austria·1|4-1</t>
  </si>
  <si>
    <t>Colombia-Ghana·1|2-1</t>
  </si>
  <si>
    <t>Suiza-Argelia·X|0-0</t>
  </si>
  <si>
    <t>Paraguay-Egipto·1|1-0</t>
  </si>
  <si>
    <t>Argentina-Uruguay·1|3-1</t>
  </si>
  <si>
    <t>Portugal-Croacia·X|1-1</t>
  </si>
  <si>
    <t>Corea del Sur-Marruecos·2|0-2</t>
  </si>
  <si>
    <t>México-Inglaterra·2|0-3</t>
  </si>
  <si>
    <t>Argentina-Paraguay·1|2-0</t>
  </si>
  <si>
    <t>Suiza-Portugal·2|0-3</t>
  </si>
  <si>
    <t>Argentina-Portugal·1|3-2</t>
  </si>
  <si>
    <t>Inglaterra-Argentina·2|1-2</t>
  </si>
  <si>
    <t>Francia-Inglaterra·1|4-3</t>
  </si>
  <si>
    <t>Julián Álvarez</t>
  </si>
  <si>
    <t>Olise</t>
  </si>
  <si>
    <t>Ignacio de Lecea</t>
  </si>
  <si>
    <t>Corea del Sur-Bosnia y Herzegovina·2|0-1</t>
  </si>
  <si>
    <t>Alemania-República Checa·X|1-1</t>
  </si>
  <si>
    <t>Ecuador-Noruega·X|2-2</t>
  </si>
  <si>
    <t>Francia-Escocia·1|3-1</t>
  </si>
  <si>
    <t>México-Costa de Marfil·1|2-0</t>
  </si>
  <si>
    <t>Bélgica-Senegal·2|0-1</t>
  </si>
  <si>
    <t>Turquía-Canadá·1|2-0</t>
  </si>
  <si>
    <t>Suiza-Argelia·1|1-0</t>
  </si>
  <si>
    <t>Estados Unidos-Egipto·1|2-1</t>
  </si>
  <si>
    <t>Argentina-Uruguay·2|0-1</t>
  </si>
  <si>
    <t>Bosnia y Herzegovina-Países Bajos·2|0-2</t>
  </si>
  <si>
    <t>Brasil-Ecuador·1|2-1</t>
  </si>
  <si>
    <t>México-Inglaterra·X|1-1</t>
  </si>
  <si>
    <t>Turquía-Senegal·1|1-0</t>
  </si>
  <si>
    <t>Suiza-Portugal·2|0-1</t>
  </si>
  <si>
    <t>España-Turquía·X|1-1</t>
  </si>
  <si>
    <t>Uruguay-Portugal·2|1-3</t>
  </si>
  <si>
    <t>Francia-España·1|1-0</t>
  </si>
  <si>
    <t>España-Inglaterra·1|2-1</t>
  </si>
  <si>
    <t>Francia-Portugal·2|1-2</t>
  </si>
  <si>
    <t>Mikel Oyarzabal</t>
  </si>
  <si>
    <t>Jude Bellingham</t>
  </si>
  <si>
    <t>Chente Muñoz</t>
  </si>
  <si>
    <t>Fercho Muro Matosex</t>
  </si>
  <si>
    <t>X|3-3</t>
  </si>
  <si>
    <t>Corea del Sur-Suiza·X|1-1</t>
  </si>
  <si>
    <t>Alemania-República Checa·1|2-0</t>
  </si>
  <si>
    <t>Costa de Marfil-Noruega·1|1-0</t>
  </si>
  <si>
    <t>Francia-Estados Unidos·1|3-1</t>
  </si>
  <si>
    <t>México-Ecuador·2|0-1</t>
  </si>
  <si>
    <t>Inglaterra-Colombia·1|2-0</t>
  </si>
  <si>
    <t>Bélgica-Senegal·1|3-1</t>
  </si>
  <si>
    <t>España-Argelia·1|2-1</t>
  </si>
  <si>
    <t>RD Congo-Ghana·2|0-2</t>
  </si>
  <si>
    <t>Bosnia y Herzegovina-Austria·2|0-1</t>
  </si>
  <si>
    <t>Paraguay-Egipto·X|1-1</t>
  </si>
  <si>
    <t>Brasil-Costa de Marfil·1|2-1</t>
  </si>
  <si>
    <t>Ecuador-Inglaterra·2|0-2</t>
  </si>
  <si>
    <t>Ghana-España·2|1-3</t>
  </si>
  <si>
    <t>Argentina-Paraguay·X|1-1</t>
  </si>
  <si>
    <t>Austria-Portugal·2|1-3</t>
  </si>
  <si>
    <t>España-Bélgica·X|2-2</t>
  </si>
  <si>
    <t>Brasil-Inglaterra·X|1-1</t>
  </si>
  <si>
    <t>Paraguay-Portugal·2|0-2</t>
  </si>
  <si>
    <t>Brasil-Portugal·X|2-2</t>
  </si>
  <si>
    <t>España-Brasil·1|1-0</t>
  </si>
  <si>
    <t>Francia-Portugal·X|1-1</t>
  </si>
  <si>
    <t>KYLIAN</t>
  </si>
  <si>
    <t>CRISTIANO</t>
  </si>
  <si>
    <t>OYARZABAL</t>
  </si>
  <si>
    <t>VITINHA</t>
  </si>
  <si>
    <t>Guillermo Murciano</t>
  </si>
  <si>
    <t>Alemania-Suecia·1|2-0</t>
  </si>
  <si>
    <t>Francia-Arabia Saudita·1|3-0</t>
  </si>
  <si>
    <t>México-Costa de Marfil·X|1-1</t>
  </si>
  <si>
    <t>Inglaterra-Senegal·1|2-1</t>
  </si>
  <si>
    <t>Bélgica-República Checa·1|3-2</t>
  </si>
  <si>
    <t>Turquía-Bosnia y Herzegovina·1|2-1</t>
  </si>
  <si>
    <t>Colombia-Croacia·2|1-2</t>
  </si>
  <si>
    <t>Suiza-Nueva Zelanda·X|1-1</t>
  </si>
  <si>
    <t>Estados Unidos-Egipto·2|1-2</t>
  </si>
  <si>
    <t>Portugal-Ghana·1|3-0</t>
  </si>
  <si>
    <t>Corea del Sur-Marruecos·1|1-0</t>
  </si>
  <si>
    <t>Croacia-España·2|1-3</t>
  </si>
  <si>
    <t>Turquía-Bélgica·1|2-1</t>
  </si>
  <si>
    <t>Nueva Zelanda-Portugal·2|0-2</t>
  </si>
  <si>
    <t>Francia-Corea del Sur·1|3-1</t>
  </si>
  <si>
    <t>Brasil-Inglaterra·1|4-1</t>
  </si>
  <si>
    <t>Brasil-Portugal·2|1-2</t>
  </si>
  <si>
    <t>Francia-Brasil·2|1-2</t>
  </si>
  <si>
    <t>Vini Jr</t>
  </si>
  <si>
    <t>1|4-2</t>
  </si>
  <si>
    <t>México-Canadá·1|2-1</t>
  </si>
  <si>
    <t>Brasil-Suecia·1|4-0</t>
  </si>
  <si>
    <t>Alemania-Paraguay·1|2-0</t>
  </si>
  <si>
    <t>Países Bajos-Marruecos·2|1-2</t>
  </si>
  <si>
    <t>Ecuador-Noruega·1|2-0</t>
  </si>
  <si>
    <t>Corea del Sur-Escocia·2|0-1</t>
  </si>
  <si>
    <t>Croacia-RD Congo·1|4-1</t>
  </si>
  <si>
    <t>Bélgica-Sudáfrica·1|2-1</t>
  </si>
  <si>
    <t>Turquía-Catar·1|3-0</t>
  </si>
  <si>
    <t>Colombia-Inglaterra·2|1-4</t>
  </si>
  <si>
    <t>Suiza-Costa de Marfil·1|2-0</t>
  </si>
  <si>
    <t>Estados Unidos-Egipto·2|0-2</t>
  </si>
  <si>
    <t>Portugal-Ghana·1|4-0</t>
  </si>
  <si>
    <t>México-Marruecos·1|1-0</t>
  </si>
  <si>
    <t>Alemania-Francia·2|2-3</t>
  </si>
  <si>
    <t>Brasil-Ecuador·1|4-2</t>
  </si>
  <si>
    <t>Escocia-Croacia·2|0-1</t>
  </si>
  <si>
    <t>Inglaterra-España·2|2-4</t>
  </si>
  <si>
    <t>Turquía-Bélgica·2|1-2</t>
  </si>
  <si>
    <t>Argentina-Egipto·1|3-1</t>
  </si>
  <si>
    <t>Francia-México·1|3-0</t>
  </si>
  <si>
    <t>Brasil-Croacia·1|4-0</t>
  </si>
  <si>
    <t>Francia-España·2|0-2</t>
  </si>
  <si>
    <t>Brasil-Portugal·1|3-1</t>
  </si>
  <si>
    <t>Francia-Portugal·2|0-2</t>
  </si>
  <si>
    <t>España-Brasil·2|1-3</t>
  </si>
  <si>
    <t>Vinicius Jr</t>
  </si>
  <si>
    <t>Endrick</t>
  </si>
  <si>
    <t>JCU</t>
  </si>
  <si>
    <t>República Checa-Canadá·2|1-2</t>
  </si>
  <si>
    <t>Alemania-Escocia·1|2-0</t>
  </si>
  <si>
    <t>Ecuador-Noruega·2|0-1</t>
  </si>
  <si>
    <t>Francia-Paraguay·1|3-0</t>
  </si>
  <si>
    <t>México-Arabia Saudita·1|2-0</t>
  </si>
  <si>
    <t>Inglaterra-Senegal·1|2-0</t>
  </si>
  <si>
    <t>Bélgica-Corea del Sur·1|2-0</t>
  </si>
  <si>
    <t>Estados Unidos-Catar·1|2-0</t>
  </si>
  <si>
    <t>España-Austria·1|3-0</t>
  </si>
  <si>
    <t>Suiza-Irán·1|2-0</t>
  </si>
  <si>
    <t>Portugal-Costa de Marfil·1|2-0</t>
  </si>
  <si>
    <t>Canadá-Países Bajos·2|0-2</t>
  </si>
  <si>
    <t>Colombia-España·2|0-2</t>
  </si>
  <si>
    <t>Estados Unidos-Bélgica·2|1-2</t>
  </si>
  <si>
    <t>Francia-Países Bajos·1|2-1</t>
  </si>
  <si>
    <t>Argentina-Portugal·1|2-1</t>
  </si>
  <si>
    <t>España-Argentina·1|2-1</t>
  </si>
  <si>
    <t>Lionel Messi</t>
  </si>
  <si>
    <t>Joserra</t>
  </si>
  <si>
    <t>Francia-Estados Unidos·1|5-0</t>
  </si>
  <si>
    <t>México-Ecuador·1|4-2</t>
  </si>
  <si>
    <t>Inglaterra-Senegal·1|3-1</t>
  </si>
  <si>
    <t>Bélgica-Corea del Sur·1|2-1</t>
  </si>
  <si>
    <t>Turquía-Canadá·1|3-1</t>
  </si>
  <si>
    <t>Colombia-Croacia·1|3-0</t>
  </si>
  <si>
    <t>Paraguay-Egipto·1|3-1</t>
  </si>
  <si>
    <t>República Checa-Países Bajos·2|0-2</t>
  </si>
  <si>
    <t>Alemania-Francia·2|2-4</t>
  </si>
  <si>
    <t>Brasil-Noruega·1|3-0</t>
  </si>
  <si>
    <t>Turquía-Bélgica·1|2-0</t>
  </si>
  <si>
    <t>Argentina-Paraguay·1|3-1</t>
  </si>
  <si>
    <t>Francia-Países Bajos·1|3-1</t>
  </si>
  <si>
    <t>España-Turquía·1|4-1</t>
  </si>
  <si>
    <t>Brasil-Inglaterra·1|3-1</t>
  </si>
  <si>
    <t>Francia-España·2|0-1</t>
  </si>
  <si>
    <t>Brasil-Portugal·1|2-0</t>
  </si>
  <si>
    <t>España-Brasil·1|3-1</t>
  </si>
  <si>
    <t>Vinicius JR</t>
  </si>
  <si>
    <t>Migay Marcos</t>
  </si>
  <si>
    <t>República Checa-Canadá·X|1-1</t>
  </si>
  <si>
    <t>Ecuador-Senegal·2|1-2</t>
  </si>
  <si>
    <t>Inglaterra-Noruega·1|2-1</t>
  </si>
  <si>
    <t>Bélgica-Argelia·1|2-0</t>
  </si>
  <si>
    <t>Estados Unidos-Costa de Marfil·X|1-1</t>
  </si>
  <si>
    <t>Colombia-Croacia·X|1-1</t>
  </si>
  <si>
    <t>Suiza-Egipto·1|1-0</t>
  </si>
  <si>
    <t>Turquía-Irán·1|2-1</t>
  </si>
  <si>
    <t>Canadá-Marruecos·2|0-1</t>
  </si>
  <si>
    <t>Brasil-Senegal·1|2-0</t>
  </si>
  <si>
    <t>México-Inglaterra·2|1-2</t>
  </si>
  <si>
    <t>Estados Unidos-Bélgica·X|1-1</t>
  </si>
  <si>
    <t>Francia-Marruecos·1|2-1</t>
  </si>
  <si>
    <t>España-Bélgica·1|2-1</t>
  </si>
  <si>
    <t>Inglaterra-Argentina·2|0-1</t>
  </si>
  <si>
    <t>Kylian Mbappe</t>
  </si>
  <si>
    <t>Antonio del Ojo</t>
  </si>
  <si>
    <t>Corea del Sur-Canadá·1|2-1</t>
  </si>
  <si>
    <t>Costa de Marfil-Senegal·1|2-1</t>
  </si>
  <si>
    <t>Turquía-Austria·1|1-0</t>
  </si>
  <si>
    <t>Colombia-Croacia·2|0-1</t>
  </si>
  <si>
    <t>Estados Unidos-Irán·1|2-0</t>
  </si>
  <si>
    <t>Portugal-Ecuador·1|2-0</t>
  </si>
  <si>
    <t>Brasil-Costa de Marfil·1|2-0</t>
  </si>
  <si>
    <t>España-Turquía·1|2-1</t>
  </si>
  <si>
    <t>España-Portugal·1|2-1</t>
  </si>
  <si>
    <t>Bruno fernandes</t>
  </si>
  <si>
    <t>MURO 204</t>
  </si>
  <si>
    <t>República Checa-Bosnia y Herzegovina·2|1-2</t>
  </si>
  <si>
    <t>Ecuador-Senegal·1|2-0</t>
  </si>
  <si>
    <t>Francia-Estados Unidos·1|2-0</t>
  </si>
  <si>
    <t>Inglaterra-Noruega·1|3-1</t>
  </si>
  <si>
    <t>Paraguay-Egipto·1|2-0</t>
  </si>
  <si>
    <t>Bosnia y Herzegovina-Marruecos·2|1-3</t>
  </si>
  <si>
    <t>Alemania-Francia·2|0-3</t>
  </si>
  <si>
    <t>Suiza-Portugal·2|1-3</t>
  </si>
  <si>
    <t>España-Turquía·1|3-1</t>
  </si>
  <si>
    <t>Argentina-Portugal·X|2-2</t>
  </si>
  <si>
    <t>Francia-España·X|2-2</t>
  </si>
  <si>
    <t>Vinícius Júnior</t>
  </si>
  <si>
    <t>Hulk Rexach</t>
  </si>
  <si>
    <t>México-Bosnia y Herzegovina·1|2-0</t>
  </si>
  <si>
    <t>Brasil-Países Bajos·1|3-1</t>
  </si>
  <si>
    <t>Alemania-Marruecos·1|2-1</t>
  </si>
  <si>
    <t>Japón-Escocia·1|2-1</t>
  </si>
  <si>
    <t>Costa de Marfil-Senegal·1|3-1</t>
  </si>
  <si>
    <t>Corea del Sur-Noruega·X|2-2</t>
  </si>
  <si>
    <t>Inglaterra-RD Congo·1|2-0</t>
  </si>
  <si>
    <t>Bélgica-República Checa·X|2-2</t>
  </si>
  <si>
    <t>Turquía-Canadá·1|3-0</t>
  </si>
  <si>
    <t>Colombia-Croacia·X|2-2</t>
  </si>
  <si>
    <t>Suiza-Irán·1|2-1</t>
  </si>
  <si>
    <t>México-Japón·X|2-2</t>
  </si>
  <si>
    <t>Brasil-Costa de Marfil·X|2-2</t>
  </si>
  <si>
    <t>Corea del Sur-Inglaterra·X|1-1</t>
  </si>
  <si>
    <t>Turquía-Bélgica·X|1-1</t>
  </si>
  <si>
    <t>Argentina-Estados Unidos·1|3-1</t>
  </si>
  <si>
    <t>Francia-México·1|2-1</t>
  </si>
  <si>
    <t>España-Bélgica·1|3-1</t>
  </si>
  <si>
    <t>Argentina-Portugal·2|1-3</t>
  </si>
  <si>
    <t>Francia-Brasil·X|3-3</t>
  </si>
  <si>
    <t>Ferran Torres</t>
  </si>
  <si>
    <t>Miguel San Martín</t>
  </si>
  <si>
    <t>Países Bajos-Marruecos·2|0-1</t>
  </si>
  <si>
    <t>Ecuador-Senegal·2|0-1</t>
  </si>
  <si>
    <t>Francia-Paraguay·1|2-1</t>
  </si>
  <si>
    <t>México-Arabia Saudita·1|3-0</t>
  </si>
  <si>
    <t>Egipto-Noruega·2|2-3</t>
  </si>
  <si>
    <t>Turquía-Bosnia y Herzegovina·1|1-0</t>
  </si>
  <si>
    <t>Portugal-Croacia·1|2-1</t>
  </si>
  <si>
    <t>Suiza-Austria·1|1-0</t>
  </si>
  <si>
    <t>Portugal-España·X|1-1</t>
  </si>
  <si>
    <t>Turquía-Noruega·2|0-1</t>
  </si>
  <si>
    <t>Argentina-Bélgica·1|1-0</t>
  </si>
  <si>
    <t>Suiza-Colombia·2|1-2</t>
  </si>
  <si>
    <t>Francia-Marruecos·1|2-0</t>
  </si>
  <si>
    <t>España-Noruega·1|2-1</t>
  </si>
  <si>
    <t>Argentina-Colombia·2|1-2</t>
  </si>
  <si>
    <t>Inglaterra-Colombia·1|1-0</t>
  </si>
  <si>
    <t>España-Colombia·1|2-0</t>
  </si>
  <si>
    <t>Leo Messi</t>
  </si>
  <si>
    <t>Pablo C</t>
  </si>
  <si>
    <t>México-Canadá·X|1-1</t>
  </si>
  <si>
    <t>Escocia-Suecia·X|1-1</t>
  </si>
  <si>
    <t>Países Bajos-Brasil·2|0-1</t>
  </si>
  <si>
    <t>Francia-Japón·1|1-0</t>
  </si>
  <si>
    <t>Corea del Sur-Marruecos·X|1-1</t>
  </si>
  <si>
    <t>Bélgica-Sudáfrica·1|2-0</t>
  </si>
  <si>
    <t>España-Austria·1|1-0</t>
  </si>
  <si>
    <t>Portugal-Costa de Marfil·1|1-0</t>
  </si>
  <si>
    <t>Alemania-Francia·X|1-1</t>
  </si>
  <si>
    <t>Escocia-Senegal·1|1-0</t>
  </si>
  <si>
    <t>Corea del Sur-Inglaterra·2|0-3</t>
  </si>
  <si>
    <t>Croacia-España·2|0-4</t>
  </si>
  <si>
    <t>Suiza-Portugal·2|2-3</t>
  </si>
  <si>
    <t>Alemania-Brasil·1|1-0</t>
  </si>
  <si>
    <t>España-Bélgica·1|4-0</t>
  </si>
  <si>
    <t>Escocia-Inglaterra·X|1-1</t>
  </si>
  <si>
    <t>Argentina-Portugal·1|1-0</t>
  </si>
  <si>
    <t>Alemania-España·2|1-2</t>
  </si>
  <si>
    <t>Alemania-Inglaterra·2|1-2</t>
  </si>
  <si>
    <t>Ferran</t>
  </si>
  <si>
    <t>Messi</t>
  </si>
  <si>
    <t>Rodri</t>
  </si>
  <si>
    <t>bau</t>
  </si>
  <si>
    <t>Brasil-Países Bajos·1|1-0</t>
  </si>
  <si>
    <t>Alemania-Australia·1|2-0</t>
  </si>
  <si>
    <t>Francia-Suecia·1|2-0</t>
  </si>
  <si>
    <t>México-Escocia·1|2-0</t>
  </si>
  <si>
    <t>Croacia-Senegal·1|1-0</t>
  </si>
  <si>
    <t>Turquía-Bosnia y Herzegovina·1|2-0</t>
  </si>
  <si>
    <t>Colombia-Inglaterra·2|0-1</t>
  </si>
  <si>
    <t>Estados Unidos-Nueva Zelanda·1|2-0</t>
  </si>
  <si>
    <t>Corea del Sur-Marruecos·1|2-1</t>
  </si>
  <si>
    <t>México-Croacia·1|1-0</t>
  </si>
  <si>
    <t>Inglaterra-España·2|1-2</t>
  </si>
  <si>
    <t>Francia-Corea del Sur·1|1-0</t>
  </si>
  <si>
    <t>Brasil-México·1|1-0</t>
  </si>
  <si>
    <t>Brasil-Portugal·2|0-1</t>
  </si>
  <si>
    <t>Ronaldo</t>
  </si>
  <si>
    <t>dmbele</t>
  </si>
  <si>
    <t>Florentino Netanyahu</t>
  </si>
  <si>
    <t>Corea del Sur-Suiza·2|1-2</t>
  </si>
  <si>
    <t>Alemania-República Checa·1|1-0</t>
  </si>
  <si>
    <t>Países Bajos-Marruecos·1|3-1</t>
  </si>
  <si>
    <t>México-Ecuador·1|3-2</t>
  </si>
  <si>
    <t>Bélgica-Noruega·X|1-1</t>
  </si>
  <si>
    <t>Canadá-Nueva Zelanda·1|2-1</t>
  </si>
  <si>
    <t>Turquía-Irán·1|1-0</t>
  </si>
  <si>
    <t>Portugal-Panamá·1|2-1</t>
  </si>
  <si>
    <t>Suiza-Países Bajos·2|1-2</t>
  </si>
  <si>
    <t>Brasil-Costa de Marfil·1|3-1</t>
  </si>
  <si>
    <t>México-Inglaterra·1|2-1</t>
  </si>
  <si>
    <t>Croacia-España·2|1-2</t>
  </si>
  <si>
    <t>Estados Unidos-Noruega·2|1-2</t>
  </si>
  <si>
    <t>Canadá-Portugal·2|1-2</t>
  </si>
  <si>
    <t>Brasil-México·1|2-1</t>
  </si>
  <si>
    <t>Brasil-Argentina·X|2-2</t>
  </si>
  <si>
    <t>Francia-Argentina·1|1-0</t>
  </si>
  <si>
    <t>Halaand</t>
  </si>
  <si>
    <t>Lucas Oriol</t>
  </si>
  <si>
    <t>Corea del Sur-Canadá·1|2-0</t>
  </si>
  <si>
    <t>Ecuador-Noruega·X|1-1</t>
  </si>
  <si>
    <t>Bélgica-República Checa·X|1-1</t>
  </si>
  <si>
    <t>Estados Unidos-Catar·1|1-0</t>
  </si>
  <si>
    <t>Colombia-Croacia·X|0-0</t>
  </si>
  <si>
    <t>Suiza-Nueva Zelanda·1|2-0</t>
  </si>
  <si>
    <t>Turquía-Egipto·X|1-1</t>
  </si>
  <si>
    <t>Portugal-Ghana·1|3-1</t>
  </si>
  <si>
    <t>Corea del Sur-Países Bajos·X|0-0</t>
  </si>
  <si>
    <t>Brasil-Noruega·1|2-1</t>
  </si>
  <si>
    <t>Argentina-Turquía·X|1-1</t>
  </si>
  <si>
    <t>Francia-Inglaterra·X|1-1</t>
  </si>
  <si>
    <t>Cristiano</t>
  </si>
  <si>
    <t>YTD</t>
  </si>
  <si>
    <t>Corea del Sur-Canadá·X|0-0</t>
  </si>
  <si>
    <t>Brasil-Países Bajos·1|3-2</t>
  </si>
  <si>
    <t>Japón-Marruecos·X|2-2</t>
  </si>
  <si>
    <t>México-Arabia Saudita·1|1-0</t>
  </si>
  <si>
    <t>Estados Unidos-Egipto·X|1-1</t>
  </si>
  <si>
    <t>Portugal-Costa de Marfil·1|3-0</t>
  </si>
  <si>
    <t>Corea del Sur-Japón·2|0-2</t>
  </si>
  <si>
    <t>Turquía-República Checa·1|3-1</t>
  </si>
  <si>
    <t>Francia-Japón·1|2-1</t>
  </si>
  <si>
    <t>España-Turquía·1|3-2</t>
  </si>
  <si>
    <t>Noruega-Inglaterra·1|2-1</t>
  </si>
  <si>
    <t>Noruega-Portugal·2|1-2</t>
  </si>
  <si>
    <t>Francia-Noruega·X|2-2</t>
  </si>
  <si>
    <t>España-Portugal·1|3-0</t>
  </si>
  <si>
    <t>Kenan Yıldız</t>
  </si>
  <si>
    <t>Haaland</t>
  </si>
  <si>
    <t>William Hartley</t>
  </si>
  <si>
    <t>República Checa-Canadá·X|0-0</t>
  </si>
  <si>
    <t>Brasil-Países Bajos·X|2-2</t>
  </si>
  <si>
    <t>Japón-Marruecos·2|1-2</t>
  </si>
  <si>
    <t>México-Costa de Marfil·1|1-0</t>
  </si>
  <si>
    <t>España-Argelia·1|3-1</t>
  </si>
  <si>
    <t>Suiza-Austria·1|2-1</t>
  </si>
  <si>
    <t>Canadá-Marruecos·2|1-2</t>
  </si>
  <si>
    <t>Alemania-Francia·2|0-2</t>
  </si>
  <si>
    <t>Argentina-Estados Unidos·1|1-0</t>
  </si>
  <si>
    <t>España-Turquía·1|3-0</t>
  </si>
  <si>
    <t>Francia-Brasil·1|3-1</t>
  </si>
  <si>
    <t>Kurtischamp</t>
  </si>
  <si>
    <t>Brasil-Japón·1|3-0</t>
  </si>
  <si>
    <t>México-Ecuador·1|2-1</t>
  </si>
  <si>
    <t>Portugal-Senegal·1|2-1</t>
  </si>
  <si>
    <t>Brasil-Argentina·2|1-2</t>
  </si>
  <si>
    <t>Francia-Brasil·1|3-2</t>
  </si>
  <si>
    <t>KIRICOCHO</t>
  </si>
  <si>
    <t>Inglaterra-Senegal·X|1-1</t>
  </si>
  <si>
    <t>Colombia-Croacia·1|2-0</t>
  </si>
  <si>
    <t>Suiza-Costa de Marfil·X|2-2</t>
  </si>
  <si>
    <t>Portugal-Paraguay·1|4-0</t>
  </si>
  <si>
    <t>Corea del Sur-Marruecos·2|0-1</t>
  </si>
  <si>
    <t>Colombia-España·X|2-2</t>
  </si>
  <si>
    <t>Argentina-Egipto·1|2-1</t>
  </si>
  <si>
    <t>España-Bélgica·1|1-0</t>
  </si>
  <si>
    <t>Brasil-Portugal·2|1-3</t>
  </si>
  <si>
    <t>España-Portugal·X|1-1</t>
  </si>
  <si>
    <t>MBAPPE</t>
  </si>
  <si>
    <t>KANE</t>
  </si>
  <si>
    <t>JULIAN</t>
  </si>
  <si>
    <t>LAMINE YAMAL</t>
  </si>
  <si>
    <t>OLISE</t>
  </si>
  <si>
    <t>BeliBeltrán</t>
  </si>
  <si>
    <t>1|7-0</t>
  </si>
  <si>
    <t>República Checa-Bosnia y Herzegovina·X|1-1</t>
  </si>
  <si>
    <t>Brasil-Países Bajos·1|2-1</t>
  </si>
  <si>
    <t>Ecuador-Escocia·1|2-0</t>
  </si>
  <si>
    <t>Suecia-Marruecos·1|2-1</t>
  </si>
  <si>
    <t>Francia-Paraguay·1|3-1</t>
  </si>
  <si>
    <t>México-Uruguay·1|2-0</t>
  </si>
  <si>
    <t>Turquía-Argelia·1|3-1</t>
  </si>
  <si>
    <t>España-Austria·X|1-1</t>
  </si>
  <si>
    <t>Colombia-Ghana·1|1-0</t>
  </si>
  <si>
    <t>Argentina-Arabia Saudita·1|3-0</t>
  </si>
  <si>
    <t>Portugal-Alemania·1|2-1</t>
  </si>
  <si>
    <t>Bosnia y Herzegovina-Suecia·2|0-2</t>
  </si>
  <si>
    <t>Ecuador-Francia·2|1-2</t>
  </si>
  <si>
    <t>Brasil-Noruega·2|0-1</t>
  </si>
  <si>
    <t>Turquía-Bélgica·2|0-2</t>
  </si>
  <si>
    <t>Argentina-Estados Unidos·1|3-2</t>
  </si>
  <si>
    <t>Suiza-Portugal·1|1-0</t>
  </si>
  <si>
    <t>Francia-Suecia·1|2-1</t>
  </si>
  <si>
    <t>Noruega-Inglaterra·2|0-1</t>
  </si>
  <si>
    <t>Argentina-Suiza·X|1-1</t>
  </si>
  <si>
    <t>Francia-Inglaterra·2|0-1</t>
  </si>
  <si>
    <t>Alemania-Paraguay·1|3-0</t>
  </si>
  <si>
    <t>Francia-Suecia·1|3-2</t>
  </si>
  <si>
    <t>México-Costa de Marfil·1|2-1</t>
  </si>
  <si>
    <t>Inglaterra-Argelia·1|3-0</t>
  </si>
  <si>
    <t>Colombia-Croacia·1|3-1</t>
  </si>
  <si>
    <t>Portugal-Senegal·X|2-2</t>
  </si>
  <si>
    <t>República Checa-Marruecos·2|0-2</t>
  </si>
  <si>
    <t>Brasil-Noruega·1|4-1</t>
  </si>
  <si>
    <t>Brasil-Inglaterra·1|3-2</t>
  </si>
  <si>
    <t>Brasil-Argentina·X|1-1</t>
  </si>
  <si>
    <t>Francia-Brasil·1|3-0</t>
  </si>
  <si>
    <t>Raphina</t>
  </si>
  <si>
    <t>Dembele</t>
  </si>
  <si>
    <t>Fernando Carlos García-Ramos Redondo</t>
  </si>
  <si>
    <t>Vicuinho</t>
  </si>
  <si>
    <t>República Checa-Canadá·2|0-2</t>
  </si>
  <si>
    <t>Ecuador-Senegal·X|2-2</t>
  </si>
  <si>
    <t>Francia-Arabia Saudita·1|6-1</t>
  </si>
  <si>
    <t>Inglaterra-Noruega·2|1-2</t>
  </si>
  <si>
    <t>Canadá-Países Bajos·2|0-1</t>
  </si>
  <si>
    <t>Alemania-Francia·1|2-1</t>
  </si>
  <si>
    <t>México-Noruega·X|1-1</t>
  </si>
  <si>
    <t>Argentina-Estados Unidos·1|3-0</t>
  </si>
  <si>
    <t>Alemania-Países Bajos·1|2-1</t>
  </si>
  <si>
    <t>Croacia-Turquía·2|1-2</t>
  </si>
  <si>
    <t>Argentina-Portugal·1|2-0</t>
  </si>
  <si>
    <t>Alemania-Turquía·X|1-1</t>
  </si>
  <si>
    <t>Brasil-Argentina·1|3-1</t>
  </si>
  <si>
    <t>Turquía-Argentina·2|1-3</t>
  </si>
  <si>
    <t>Alemania-Brasil·2|0-2</t>
  </si>
  <si>
    <t>Olisse</t>
  </si>
  <si>
    <t>Wirtz</t>
  </si>
  <si>
    <t>Miguel Suárez-Zuloaga</t>
  </si>
  <si>
    <t>México-Canadá·2|1-2</t>
  </si>
  <si>
    <t>Ecuador-Noruega·1|2-1</t>
  </si>
  <si>
    <t>Corea del Sur-Escocia·X|0-0</t>
  </si>
  <si>
    <t>Bélgica-República Checa·1|3-0</t>
  </si>
  <si>
    <t>Turquía-Catar·1|2-0</t>
  </si>
  <si>
    <t>Brasil-Ecuador·1|2-0</t>
  </si>
  <si>
    <t>Corea del Sur-Inglaterra·2|1-3</t>
  </si>
  <si>
    <t>Turquía-Bélgica·1|3-2</t>
  </si>
  <si>
    <t>Brasil-Inglaterra·1|1-0</t>
  </si>
  <si>
    <t>Francia-España·1|3-2</t>
  </si>
  <si>
    <t xml:space="preserve">Mbappe </t>
  </si>
  <si>
    <t>Crsitiano Ronaldo</t>
  </si>
  <si>
    <t xml:space="preserve">Harry Kane </t>
  </si>
  <si>
    <t>Gratacós</t>
  </si>
  <si>
    <t>México-Bosnia y Herzegovina·1|2-1</t>
  </si>
  <si>
    <t>Marruecos-Suecia·X|2-2</t>
  </si>
  <si>
    <t>Alemania-Escocia·1|3-2</t>
  </si>
  <si>
    <t>República Checa-Costa de Marfil·2|1-2</t>
  </si>
  <si>
    <t>Ghana-Senegal·2|0-2</t>
  </si>
  <si>
    <t>Estados Unidos-Egipto·X|0-0</t>
  </si>
  <si>
    <t>Portugal-Croacia·1|2-0</t>
  </si>
  <si>
    <t>México-Brasil·2|0-3</t>
  </si>
  <si>
    <t>Marruecos-Ecuador·X|1-1</t>
  </si>
  <si>
    <t>Costa de Marfil-Senegal·2|1-2</t>
  </si>
  <si>
    <t>Inglaterra-España·2|2-3</t>
  </si>
  <si>
    <t>España-Ecuador·2|1-2</t>
  </si>
  <si>
    <t>Francia-Portugal·1|3-1</t>
  </si>
  <si>
    <t>AD Monchus</t>
  </si>
  <si>
    <t>República Checa-Bosnia y Herzegovina·X|2-2</t>
  </si>
  <si>
    <t>Alemania-Escocia·1|1-0</t>
  </si>
  <si>
    <t>Turquía-Costa de Marfil·X|2-2</t>
  </si>
  <si>
    <t>Paraguay-Egipto·1|2-1</t>
  </si>
  <si>
    <t>Portugal-Senegal·1|4-1</t>
  </si>
  <si>
    <t>Bosnia y Herzegovina-Países Bajos·2|1-3</t>
  </si>
  <si>
    <t>México-Inglaterra·X|2-2</t>
  </si>
  <si>
    <t>Colombia-España·2|0-1</t>
  </si>
  <si>
    <t>Argentina-Paraguay·X|2-2</t>
  </si>
  <si>
    <t>Francia-Brasil·2|1-3</t>
  </si>
  <si>
    <t>Vinicius Jr.</t>
  </si>
  <si>
    <t>JUAN SOLAS</t>
  </si>
  <si>
    <t>Marruecos-Países Bajos·2|1-3</t>
  </si>
  <si>
    <t>Alemania-Suecia·1|4-0</t>
  </si>
  <si>
    <t>Japón-Brasil·X|2-2</t>
  </si>
  <si>
    <t>Ecuador-Irak·1|2-1</t>
  </si>
  <si>
    <t>Francia-Uruguay·X|1-1</t>
  </si>
  <si>
    <t>México-Costa de Marfil·2|2-3</t>
  </si>
  <si>
    <t>Croacia-Uzbekistán·1|3-1</t>
  </si>
  <si>
    <t>Egipto-Noruega·2|1-3</t>
  </si>
  <si>
    <t>Colombia-Inglaterra·X|2-2</t>
  </si>
  <si>
    <t>Suiza-Argelia·X|1-1</t>
  </si>
  <si>
    <t>Turquía-Bélgica·2|2-4</t>
  </si>
  <si>
    <t>Argentina-Arabia Saudita·1|2-0</t>
  </si>
  <si>
    <t>Portugal-Panamá·1|4-1</t>
  </si>
  <si>
    <t>República Checa-Brasil·2|0-3</t>
  </si>
  <si>
    <t>Alemania-Uruguay·1|3-1</t>
  </si>
  <si>
    <t>Países Bajos-Ecuador·1|2-0</t>
  </si>
  <si>
    <t>Costa de Marfil-Croacia·2|2-4</t>
  </si>
  <si>
    <t>Inglaterra-España·1|3-2</t>
  </si>
  <si>
    <t>Estados Unidos-Noruega·2|2-3</t>
  </si>
  <si>
    <t>Argentina-Bélgica·1|2-1</t>
  </si>
  <si>
    <t>Alemania-Brasil·2|1-3</t>
  </si>
  <si>
    <t>Inglaterra-Noruega·1|2-0</t>
  </si>
  <si>
    <t>Países Bajos-Croacia·1|3-2</t>
  </si>
  <si>
    <t>Brasil-Inglaterra·1|2-0</t>
  </si>
  <si>
    <t>Países Bajos-Portugal·2|1-3</t>
  </si>
  <si>
    <t>Inglaterra-Países Bajos·1|2-0</t>
  </si>
  <si>
    <t>Brasil-Portugal·1|2-1</t>
  </si>
  <si>
    <t>CRISTIANO RONALDO</t>
  </si>
  <si>
    <t>VINICIUS</t>
  </si>
  <si>
    <t xml:space="preserve">Martín Matoses </t>
  </si>
  <si>
    <t>Marruecos-Países Bajos·1|3-2</t>
  </si>
  <si>
    <t>Suecia-Escocia·2|1-2</t>
  </si>
  <si>
    <t>Ecuador-Noruega·2|1-3</t>
  </si>
  <si>
    <t>México-Brasil·2|1-3</t>
  </si>
  <si>
    <t>Croacia-Costa de Marfil·1|3-2</t>
  </si>
  <si>
    <t>Bélgica-Sudáfrica·1|4-1</t>
  </si>
  <si>
    <t>Estados Unidos-Bosnia y Herzegovina·1|3-0</t>
  </si>
  <si>
    <t>Portugal-Inglaterra·1|3-2</t>
  </si>
  <si>
    <t>Argentina-Uruguay·2|1-2</t>
  </si>
  <si>
    <t>Colombia-Ghana·1|3-0</t>
  </si>
  <si>
    <t>Canadá-Escocia·2|2-3</t>
  </si>
  <si>
    <t>Marruecos-Noruega·1|1-0</t>
  </si>
  <si>
    <t>Brasil-Croacia·1|3-2</t>
  </si>
  <si>
    <t>Portugal-España·2|1-2</t>
  </si>
  <si>
    <t>Uruguay-Turquía·2|1-2</t>
  </si>
  <si>
    <t>Suiza-Colombia·2|0-1</t>
  </si>
  <si>
    <t>Marruecos-Brasil·2|2-3</t>
  </si>
  <si>
    <t>Turquía-Colombia·2|0-1</t>
  </si>
  <si>
    <t>Alemania-España·2|2-3</t>
  </si>
  <si>
    <t>Brasil-Colombia·1|3-1</t>
  </si>
  <si>
    <t>Alemania-Colombia·1|2-0</t>
  </si>
  <si>
    <t>España-Brasil·1|3-2</t>
  </si>
  <si>
    <t>Luis Diaz</t>
  </si>
  <si>
    <t>IGNACIO LAFUENTE</t>
  </si>
  <si>
    <t>Países Bajos-Marruecos·X|0-0</t>
  </si>
  <si>
    <t>Bélgica-Argelia·X|1-1</t>
  </si>
  <si>
    <t>Turquía-Costa de Marfil·2|1-2</t>
  </si>
  <si>
    <t>Colombia-Ghana·1|3-1</t>
  </si>
  <si>
    <t>Corea del Sur-Países Bajos·2|1-2</t>
  </si>
  <si>
    <t>Brasil-Noruega·2|1-2</t>
  </si>
  <si>
    <t>Colombia-España·X|0-0</t>
  </si>
  <si>
    <t>Costa de Marfil-Argelia·1|1-0</t>
  </si>
  <si>
    <t>España-Costa de Marfil·1|1-0</t>
  </si>
  <si>
    <t>Noruega-Inglaterra·2|1-2</t>
  </si>
  <si>
    <t>Argentina-Portugal·2|0-2</t>
  </si>
  <si>
    <t>Inglaterra-Portugal·X|0-0</t>
  </si>
  <si>
    <t>Francia-Inglaterra·1|3-1</t>
  </si>
  <si>
    <t>MBAPE</t>
  </si>
  <si>
    <t>HAALAND</t>
  </si>
  <si>
    <t>DIDI</t>
  </si>
  <si>
    <t>2|0-11</t>
  </si>
  <si>
    <t>Corea del Sur-Suiza·2|0-1</t>
  </si>
  <si>
    <t>Brasil-Japón·X|2-2</t>
  </si>
  <si>
    <t>Países Bajos-Escocia·1|2-0</t>
  </si>
  <si>
    <t>Francia-Marruecos·1|3-0</t>
  </si>
  <si>
    <t>Inglaterra-RD Congo·1|1-0</t>
  </si>
  <si>
    <t>Bélgica-Senegal·1|2-1</t>
  </si>
  <si>
    <t>Canadá-Argelia·1|2-1</t>
  </si>
  <si>
    <t>Estados Unidos-Bélgica·1|2-1</t>
  </si>
  <si>
    <t>España-Estados Unidos·1|2-1</t>
  </si>
  <si>
    <t>Brasil-México·1|2-0</t>
  </si>
  <si>
    <t>Brasil-Argentina·2|1-3</t>
  </si>
  <si>
    <t>Alemania-Brasil·1|3-1</t>
  </si>
  <si>
    <t>JULIAN ALVAREZ</t>
  </si>
  <si>
    <t>IGOR THIAGO</t>
  </si>
  <si>
    <t>PEDRI</t>
  </si>
  <si>
    <t>MESSI</t>
  </si>
  <si>
    <t xml:space="preserve">Ignacio Núñez </t>
  </si>
  <si>
    <t>Brasil-Túnez·1|3-0</t>
  </si>
  <si>
    <t>Alemania-Estados Unidos·1|2-1</t>
  </si>
  <si>
    <t>Ecuador-Senegal·1|2-1</t>
  </si>
  <si>
    <t>Turquía-Costa de Marfil·1|2-0</t>
  </si>
  <si>
    <t>Argentina-Paraguay·1|1-0</t>
  </si>
  <si>
    <t>Alemania-España·2|1-3</t>
  </si>
  <si>
    <t xml:space="preserve"> Vinicus Jr</t>
  </si>
  <si>
    <t>Ricardo Soto</t>
  </si>
  <si>
    <t>Corea del Sur-Canadá·1|1-0</t>
  </si>
  <si>
    <t>Brasil-Japón·1|4-1</t>
  </si>
  <si>
    <t>Ecuador-Francia·2|0-1</t>
  </si>
  <si>
    <t>Senegal-Australia·1|1-0</t>
  </si>
  <si>
    <t>Estados Unidos-Austria·X|1-1</t>
  </si>
  <si>
    <t>Portugal-Ghana·1|2-1</t>
  </si>
  <si>
    <t>Alemania-Senegal·1|3-1</t>
  </si>
  <si>
    <t>Brasil-Francia·X|1-1</t>
  </si>
  <si>
    <t>Uruguay-Turquía·1|1-0</t>
  </si>
  <si>
    <t>Alemania-Países Bajos·1|3-1</t>
  </si>
  <si>
    <t>España-Estados Unidos·1|3-0</t>
  </si>
  <si>
    <t>Uruguay-Portugal·1|1-0</t>
  </si>
  <si>
    <t>Alemania-España·X|0-0</t>
  </si>
  <si>
    <t>Inglaterra-Uruguay·1|2-1</t>
  </si>
  <si>
    <t>Alemania-Uruguay·2|1-2</t>
  </si>
  <si>
    <t>España-Inglaterra·X|1-1</t>
  </si>
  <si>
    <t>Unai Simón</t>
  </si>
  <si>
    <t>Alexander Schulte</t>
  </si>
  <si>
    <t>Ecuador-Senegal·X|1-1</t>
  </si>
  <si>
    <t>Inglaterra-Argelia·1|2-0</t>
  </si>
  <si>
    <t>Portugal-Noruega·1|3-1</t>
  </si>
  <si>
    <t>Brasil-Senegal·X|2-2</t>
  </si>
  <si>
    <t>Francia-Inglaterra·1|4-1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</si>
</sst>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sz val="14"/>
      <color rgb="FFEEEEEE"/>
      <name val="Arial"/>
      <family val="2"/>
    </font>
    <font>
      <u/>
      <sz val="11"/>
      <color theme="1"/>
      <name val="Arial"/>
      <family val="2"/>
    </font>
    <font>
      <b/>
      <sz val="14"/>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sz val="11"/>
      <color rgb="FFEEEEEE"/>
      <name val="Arial"/>
      <family val="2"/>
    </font>
    <font>
      <sz val="11"/>
      <color theme="0" tint="-0.249977111117893"/>
      <name val="Arial"/>
      <family val="2"/>
    </font>
    <font>
      <sz val="16"/>
      <color rgb="FFFF0000"/>
      <name val="Arial"/>
      <family val="2"/>
    </font>
    <font>
      <u/>
      <sz val="11"/>
      <color theme="0"/>
      <name val="Calibri"/>
      <family val="2"/>
      <scheme val="minor"/>
    </font>
    <font>
      <sz val="10"/>
      <color theme="0"/>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
      <patternFill patternType="solid">
        <fgColor rgb="FFFFFFFF"/>
        <bgColor rgb="FF000000"/>
      </patternFill>
    </fill>
  </fills>
  <borders count="196">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right style="thin">
        <color rgb="FFD9D9D9"/>
      </right>
      <top style="thin">
        <color rgb="FFD9D9D9"/>
      </top>
      <bottom style="thin">
        <color rgb="FFD9D9D9"/>
      </bottom>
      <diagonal/>
    </border>
    <border>
      <left/>
      <right style="thin">
        <color theme="0"/>
      </right>
      <top style="thin">
        <color theme="0"/>
      </top>
      <bottom style="thin">
        <color theme="0"/>
      </bottom>
      <diagonal/>
    </border>
    <border>
      <left style="thin">
        <color rgb="FFBFBFBF"/>
      </left>
      <right style="thin">
        <color theme="0" tint="-0.249977111117893"/>
      </right>
      <top style="thin">
        <color rgb="FFBFBFBF"/>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s>
  <cellStyleXfs count="100">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xf numFmtId="0" fontId="1" fillId="0" borderId="0"/>
    <xf numFmtId="0" fontId="1" fillId="0" borderId="0"/>
  </cellStyleXfs>
  <cellXfs count="871">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2" xfId="27" applyFont="1" applyFill="1" applyBorder="1" applyAlignment="1" applyProtection="1">
      <alignment horizontal="center" vertical="center"/>
      <protection hidden="1"/>
    </xf>
    <xf numFmtId="0" fontId="41" fillId="31" borderId="52" xfId="27" applyFont="1" applyFill="1" applyBorder="1" applyAlignment="1" applyProtection="1">
      <alignment horizontal="center" vertical="center"/>
      <protection hidden="1"/>
    </xf>
    <xf numFmtId="0" fontId="41" fillId="32" borderId="52" xfId="27" applyFont="1" applyFill="1" applyBorder="1" applyAlignment="1" applyProtection="1">
      <alignment horizontal="center" vertical="center"/>
      <protection hidden="1"/>
    </xf>
    <xf numFmtId="0" fontId="41" fillId="33" borderId="52"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5" fillId="35" borderId="0" xfId="0" applyFont="1" applyFill="1" applyProtection="1">
      <protection hidden="1"/>
    </xf>
    <xf numFmtId="0" fontId="56" fillId="35" borderId="0" xfId="0" applyFont="1" applyFill="1" applyProtection="1">
      <protection hidden="1"/>
    </xf>
    <xf numFmtId="0" fontId="56" fillId="0" borderId="0" xfId="0" applyFont="1" applyProtection="1">
      <protection hidden="1"/>
    </xf>
    <xf numFmtId="0" fontId="56" fillId="0" borderId="0" xfId="0" applyFont="1"/>
    <xf numFmtId="0" fontId="55" fillId="35" borderId="0" xfId="0" applyFont="1" applyFill="1" applyAlignment="1" applyProtection="1">
      <alignment horizontal="center"/>
      <protection hidden="1"/>
    </xf>
    <xf numFmtId="0" fontId="56" fillId="0" borderId="0" xfId="0" applyFont="1" applyAlignment="1">
      <alignment horizontal="center"/>
    </xf>
    <xf numFmtId="0" fontId="56" fillId="0" borderId="0" xfId="0" applyFont="1" applyAlignment="1" applyProtection="1">
      <alignment horizontal="center"/>
      <protection hidden="1"/>
    </xf>
    <xf numFmtId="0" fontId="56" fillId="35" borderId="0" xfId="0" applyFont="1" applyFill="1"/>
    <xf numFmtId="0" fontId="47" fillId="0" borderId="0" xfId="90" applyFont="1" applyProtection="1">
      <protection hidden="1"/>
    </xf>
    <xf numFmtId="0" fontId="47" fillId="0" borderId="0" xfId="90" applyFont="1"/>
    <xf numFmtId="0" fontId="47" fillId="0" borderId="0" xfId="90" applyFont="1" applyAlignment="1" applyProtection="1">
      <alignment vertical="top" wrapText="1"/>
      <protection hidden="1"/>
    </xf>
    <xf numFmtId="0" fontId="48" fillId="0" borderId="0" xfId="90" applyFont="1" applyAlignment="1" applyProtection="1">
      <alignment vertical="top"/>
      <protection hidden="1"/>
    </xf>
    <xf numFmtId="0" fontId="47" fillId="0" borderId="0" xfId="90" applyFont="1" applyAlignment="1" applyProtection="1">
      <alignment vertical="top"/>
      <protection hidden="1"/>
    </xf>
    <xf numFmtId="0" fontId="47" fillId="0" borderId="0" xfId="90" applyFont="1" applyAlignment="1" applyProtection="1">
      <alignment vertical="center" wrapText="1"/>
      <protection hidden="1"/>
    </xf>
    <xf numFmtId="0" fontId="47" fillId="0" borderId="0" xfId="90" applyFont="1" applyAlignment="1" applyProtection="1">
      <alignment vertical="center"/>
      <protection hidden="1"/>
    </xf>
    <xf numFmtId="0" fontId="47" fillId="0" borderId="0" xfId="27" applyFont="1" applyFill="1" applyProtection="1">
      <protection hidden="1"/>
    </xf>
    <xf numFmtId="0" fontId="47" fillId="0" borderId="0" xfId="27" applyFont="1" applyFill="1"/>
    <xf numFmtId="0" fontId="47" fillId="0" borderId="0" xfId="90" applyFont="1" applyAlignment="1">
      <alignment vertical="center"/>
    </xf>
    <xf numFmtId="0" fontId="49" fillId="0" borderId="0" xfId="90" applyFont="1" applyAlignment="1" applyProtection="1">
      <alignment vertical="top"/>
      <protection hidden="1"/>
    </xf>
    <xf numFmtId="0" fontId="6" fillId="0" borderId="25" xfId="27" applyFill="1" applyBorder="1" applyAlignment="1" applyProtection="1">
      <alignment horizontal="center" vertical="center"/>
      <protection hidden="1"/>
    </xf>
    <xf numFmtId="0" fontId="59" fillId="0" borderId="25" xfId="27" applyFont="1" applyFill="1" applyBorder="1" applyAlignment="1" applyProtection="1">
      <alignment horizontal="center" vertical="center"/>
      <protection hidden="1"/>
    </xf>
    <xf numFmtId="0" fontId="47" fillId="0" borderId="25" xfId="90" applyFont="1" applyBorder="1" applyAlignment="1" applyProtection="1">
      <alignment horizontal="center" vertical="center"/>
      <protection hidden="1"/>
    </xf>
    <xf numFmtId="0" fontId="45" fillId="2" borderId="75" xfId="0" applyFont="1" applyFill="1" applyBorder="1" applyAlignment="1" applyProtection="1">
      <alignment horizontal="left" vertical="center"/>
      <protection locked="0" hidden="1"/>
    </xf>
    <xf numFmtId="0" fontId="66" fillId="36" borderId="74" xfId="0" applyFont="1" applyFill="1" applyBorder="1" applyAlignment="1" applyProtection="1">
      <alignment horizontal="center" vertical="center"/>
      <protection hidden="1"/>
    </xf>
    <xf numFmtId="0" fontId="41" fillId="34" borderId="52" xfId="27" applyFont="1" applyFill="1" applyBorder="1" applyAlignment="1" applyProtection="1">
      <alignment horizontal="center" vertical="center"/>
      <protection hidden="1"/>
    </xf>
    <xf numFmtId="0" fontId="47" fillId="3" borderId="2" xfId="0" applyFont="1" applyFill="1" applyBorder="1" applyAlignment="1" applyProtection="1">
      <alignment horizontal="center" vertical="center"/>
      <protection locked="0" hidden="1"/>
    </xf>
    <xf numFmtId="0" fontId="47" fillId="2" borderId="99" xfId="0" applyFont="1" applyFill="1" applyBorder="1" applyAlignment="1" applyProtection="1">
      <alignment horizontal="center" vertical="center"/>
      <protection locked="0" hidden="1"/>
    </xf>
    <xf numFmtId="0" fontId="47" fillId="2" borderId="101" xfId="0" applyFont="1" applyFill="1" applyBorder="1" applyAlignment="1" applyProtection="1">
      <alignment horizontal="center" vertical="center"/>
      <protection locked="0" hidden="1"/>
    </xf>
    <xf numFmtId="0" fontId="46" fillId="0" borderId="100" xfId="0" applyFont="1" applyBorder="1" applyAlignment="1" applyProtection="1">
      <alignment horizontal="left" vertical="center"/>
      <protection hidden="1"/>
    </xf>
    <xf numFmtId="0" fontId="46" fillId="4" borderId="100" xfId="0" applyFont="1" applyFill="1" applyBorder="1" applyAlignment="1" applyProtection="1">
      <alignment horizontal="left" vertical="center"/>
      <protection hidden="1"/>
    </xf>
    <xf numFmtId="0" fontId="47"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7" fillId="35" borderId="0" xfId="93" applyFont="1" applyFill="1" applyProtection="1">
      <protection hidden="1"/>
    </xf>
    <xf numFmtId="0" fontId="72" fillId="35" borderId="0" xfId="93" applyFont="1" applyFill="1" applyAlignment="1" applyProtection="1">
      <alignment horizontal="center" vertical="center"/>
      <protection hidden="1"/>
    </xf>
    <xf numFmtId="0" fontId="49" fillId="35" borderId="0" xfId="95" applyFont="1" applyFill="1" applyProtection="1">
      <protection hidden="1"/>
    </xf>
    <xf numFmtId="0" fontId="47" fillId="0" borderId="85" xfId="96" applyFont="1" applyBorder="1" applyAlignment="1" applyProtection="1">
      <alignment horizontal="left" vertical="center"/>
      <protection hidden="1"/>
    </xf>
    <xf numFmtId="0" fontId="49" fillId="7" borderId="102" xfId="0" applyFont="1" applyFill="1" applyBorder="1" applyAlignment="1" applyProtection="1">
      <alignment horizontal="center" vertical="top"/>
      <protection hidden="1"/>
    </xf>
    <xf numFmtId="0" fontId="47" fillId="0" borderId="86" xfId="96" applyFont="1" applyBorder="1" applyAlignment="1" applyProtection="1">
      <alignment horizontal="left" vertical="center"/>
      <protection hidden="1"/>
    </xf>
    <xf numFmtId="0" fontId="47" fillId="0" borderId="87" xfId="96" applyFont="1" applyBorder="1" applyAlignment="1" applyProtection="1">
      <alignment horizontal="left" vertical="center"/>
      <protection hidden="1"/>
    </xf>
    <xf numFmtId="0" fontId="47" fillId="0" borderId="95" xfId="96" applyFont="1" applyBorder="1" applyAlignment="1" applyProtection="1">
      <alignment horizontal="left" vertical="center"/>
      <protection hidden="1"/>
    </xf>
    <xf numFmtId="0" fontId="47" fillId="0" borderId="96" xfId="96" applyFont="1" applyBorder="1" applyAlignment="1" applyProtection="1">
      <alignment horizontal="left" vertical="center"/>
      <protection hidden="1"/>
    </xf>
    <xf numFmtId="0" fontId="47" fillId="0" borderId="94" xfId="96" applyFont="1" applyBorder="1" applyAlignment="1" applyProtection="1">
      <alignment horizontal="left" vertical="center"/>
      <protection hidden="1"/>
    </xf>
    <xf numFmtId="0" fontId="47" fillId="35" borderId="0" xfId="95" applyFont="1" applyFill="1" applyProtection="1">
      <protection hidden="1"/>
    </xf>
    <xf numFmtId="0" fontId="47" fillId="0" borderId="0" xfId="0" applyFont="1" applyProtection="1">
      <protection hidden="1"/>
    </xf>
    <xf numFmtId="0" fontId="47" fillId="4" borderId="99" xfId="0" applyFont="1" applyFill="1" applyBorder="1" applyAlignment="1" applyProtection="1">
      <alignment horizontal="center" vertical="center"/>
      <protection locked="0" hidden="1"/>
    </xf>
    <xf numFmtId="0" fontId="47" fillId="4" borderId="101" xfId="0" applyFont="1" applyFill="1" applyBorder="1" applyAlignment="1" applyProtection="1">
      <alignment horizontal="center" vertical="center"/>
      <protection locked="0" hidden="1"/>
    </xf>
    <xf numFmtId="0" fontId="56" fillId="35" borderId="0" xfId="95" applyFont="1" applyFill="1" applyProtection="1">
      <protection hidden="1"/>
    </xf>
    <xf numFmtId="0" fontId="56" fillId="35" borderId="0" xfId="93" applyFont="1" applyFill="1" applyProtection="1">
      <protection hidden="1"/>
    </xf>
    <xf numFmtId="0" fontId="47" fillId="2" borderId="26" xfId="95" applyFont="1" applyFill="1" applyBorder="1" applyAlignment="1" applyProtection="1">
      <alignment vertical="center"/>
      <protection locked="0" hidden="1"/>
    </xf>
    <xf numFmtId="0" fontId="48" fillId="0" borderId="88" xfId="90" applyFont="1" applyBorder="1" applyAlignment="1" applyProtection="1">
      <alignment horizontal="center" vertical="center"/>
      <protection hidden="1"/>
    </xf>
    <xf numFmtId="0" fontId="47" fillId="0" borderId="88" xfId="90" applyFont="1" applyBorder="1" applyAlignment="1" applyProtection="1">
      <alignment horizontal="center" vertical="center"/>
      <protection hidden="1"/>
    </xf>
    <xf numFmtId="0" fontId="48" fillId="0" borderId="89" xfId="90" applyFont="1" applyBorder="1" applyAlignment="1" applyProtection="1">
      <alignment horizontal="center" vertical="center"/>
      <protection locked="0" hidden="1"/>
    </xf>
    <xf numFmtId="0" fontId="47" fillId="0" borderId="89" xfId="90" applyFont="1" applyBorder="1" applyAlignment="1" applyProtection="1">
      <alignment horizontal="center" vertical="center"/>
      <protection hidden="1"/>
    </xf>
    <xf numFmtId="0" fontId="47" fillId="35" borderId="0" xfId="93" applyFont="1" applyFill="1" applyAlignment="1" applyProtection="1">
      <alignment vertical="center"/>
      <protection hidden="1"/>
    </xf>
    <xf numFmtId="0" fontId="47" fillId="2" borderId="90" xfId="95" applyFont="1" applyFill="1" applyBorder="1" applyAlignment="1" applyProtection="1">
      <alignment horizontal="left" vertical="center"/>
      <protection locked="0" hidden="1"/>
    </xf>
    <xf numFmtId="0" fontId="47" fillId="2" borderId="91" xfId="95" applyFont="1" applyFill="1" applyBorder="1" applyAlignment="1" applyProtection="1">
      <alignment vertical="center"/>
      <protection hidden="1"/>
    </xf>
    <xf numFmtId="0" fontId="47" fillId="2" borderId="90" xfId="95" applyFont="1" applyFill="1" applyBorder="1" applyAlignment="1" applyProtection="1">
      <alignment vertical="center"/>
      <protection locked="0" hidden="1"/>
    </xf>
    <xf numFmtId="16" fontId="47" fillId="2" borderId="90" xfId="95" applyNumberFormat="1" applyFont="1" applyFill="1" applyBorder="1" applyAlignment="1" applyProtection="1">
      <alignment vertical="center"/>
      <protection locked="0" hidden="1"/>
    </xf>
    <xf numFmtId="0" fontId="47" fillId="2" borderId="84" xfId="95" applyFont="1" applyFill="1" applyBorder="1" applyAlignment="1" applyProtection="1">
      <alignment vertical="center"/>
      <protection locked="0" hidden="1"/>
    </xf>
    <xf numFmtId="0" fontId="47" fillId="2" borderId="82" xfId="95" applyFont="1" applyFill="1" applyBorder="1" applyAlignment="1" applyProtection="1">
      <alignment vertical="center"/>
      <protection hidden="1"/>
    </xf>
    <xf numFmtId="0" fontId="47" fillId="2" borderId="97" xfId="95" applyFont="1" applyFill="1" applyBorder="1" applyAlignment="1" applyProtection="1">
      <alignment vertical="center"/>
      <protection locked="0" hidden="1"/>
    </xf>
    <xf numFmtId="0" fontId="47" fillId="2" borderId="98" xfId="95" applyFont="1" applyFill="1" applyBorder="1" applyAlignment="1" applyProtection="1">
      <alignment vertical="center"/>
      <protection hidden="1"/>
    </xf>
    <xf numFmtId="0" fontId="47" fillId="2" borderId="92" xfId="95" applyFont="1" applyFill="1" applyBorder="1" applyAlignment="1" applyProtection="1">
      <alignment vertical="center"/>
      <protection locked="0" hidden="1"/>
    </xf>
    <xf numFmtId="0" fontId="47" fillId="2" borderId="93" xfId="95" applyFont="1" applyFill="1" applyBorder="1" applyAlignment="1" applyProtection="1">
      <alignment vertical="center"/>
      <protection hidden="1"/>
    </xf>
    <xf numFmtId="0" fontId="47" fillId="35" borderId="0" xfId="95" applyFont="1" applyFill="1" applyAlignment="1" applyProtection="1">
      <alignment vertical="center"/>
      <protection locked="0" hidden="1"/>
    </xf>
    <xf numFmtId="0" fontId="47" fillId="35" borderId="0" xfId="95" applyFont="1" applyFill="1" applyAlignment="1" applyProtection="1">
      <alignment vertical="center"/>
      <protection hidden="1"/>
    </xf>
    <xf numFmtId="0" fontId="47" fillId="35" borderId="0" xfId="93" applyFont="1" applyFill="1" applyAlignment="1" applyProtection="1">
      <alignment vertical="center"/>
      <protection locked="0" hidden="1"/>
    </xf>
    <xf numFmtId="0" fontId="47" fillId="2" borderId="103" xfId="95" applyFont="1" applyFill="1" applyBorder="1" applyAlignment="1" applyProtection="1">
      <alignment vertical="center"/>
      <protection hidden="1"/>
    </xf>
    <xf numFmtId="0" fontId="47" fillId="0" borderId="0" xfId="0" applyFont="1" applyAlignment="1" applyProtection="1">
      <alignment vertical="center"/>
      <protection hidden="1"/>
    </xf>
    <xf numFmtId="0" fontId="56" fillId="35" borderId="0" xfId="93" applyFont="1" applyFill="1" applyAlignment="1" applyProtection="1">
      <alignment vertical="center"/>
      <protection hidden="1"/>
    </xf>
    <xf numFmtId="0" fontId="49" fillId="35" borderId="106"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5" fillId="35" borderId="0" xfId="0" applyFont="1" applyFill="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74" fillId="35" borderId="0" xfId="93" applyFont="1" applyFill="1" applyProtection="1">
      <protection hidden="1"/>
    </xf>
    <xf numFmtId="0" fontId="75" fillId="35" borderId="0" xfId="93" applyFont="1" applyFill="1" applyProtection="1">
      <protection hidden="1"/>
    </xf>
    <xf numFmtId="0" fontId="49" fillId="3"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75" fillId="35" borderId="0" xfId="95" applyFont="1" applyFill="1" applyProtection="1">
      <protection hidden="1"/>
    </xf>
    <xf numFmtId="14" fontId="77" fillId="7" borderId="0" xfId="0" quotePrefix="1" applyNumberFormat="1" applyFont="1" applyFill="1" applyAlignment="1" applyProtection="1">
      <alignment horizontal="center" vertical="center"/>
      <protection hidden="1"/>
    </xf>
    <xf numFmtId="0" fontId="75" fillId="4" borderId="0" xfId="93" applyFont="1" applyFill="1" applyProtection="1">
      <protection hidden="1"/>
    </xf>
    <xf numFmtId="0" fontId="78" fillId="3" borderId="0" xfId="0" applyFont="1" applyFill="1" applyAlignment="1" applyProtection="1">
      <alignment horizontal="left" vertical="center"/>
      <protection hidden="1"/>
    </xf>
    <xf numFmtId="0" fontId="79" fillId="3" borderId="0" xfId="0" applyFont="1" applyFill="1" applyAlignment="1" applyProtection="1">
      <alignment horizontal="left" vertical="center"/>
      <protection hidden="1"/>
    </xf>
    <xf numFmtId="0" fontId="78" fillId="7" borderId="0" xfId="0" applyFont="1" applyFill="1" applyAlignment="1" applyProtection="1">
      <alignment horizontal="left" vertical="center"/>
      <protection hidden="1"/>
    </xf>
    <xf numFmtId="0" fontId="79" fillId="7" borderId="0" xfId="0" applyFont="1" applyFill="1" applyAlignment="1" applyProtection="1">
      <alignment horizontal="left" vertical="center"/>
      <protection hidden="1"/>
    </xf>
    <xf numFmtId="0" fontId="75" fillId="0" borderId="0" xfId="0" applyFont="1" applyProtection="1">
      <protection hidden="1"/>
    </xf>
    <xf numFmtId="0" fontId="80" fillId="35" borderId="106" xfId="90" applyFont="1" applyFill="1" applyBorder="1" applyAlignment="1" applyProtection="1">
      <alignment horizontal="center" vertical="center" wrapText="1"/>
      <protection hidden="1"/>
    </xf>
    <xf numFmtId="0" fontId="81" fillId="35" borderId="106" xfId="90" applyFont="1" applyFill="1" applyBorder="1" applyAlignment="1" applyProtection="1">
      <alignment horizontal="center" vertical="center" wrapText="1"/>
      <protection hidden="1"/>
    </xf>
    <xf numFmtId="0" fontId="0" fillId="35" borderId="107" xfId="0" applyFill="1" applyBorder="1" applyProtection="1">
      <protection hidden="1"/>
    </xf>
    <xf numFmtId="0" fontId="56" fillId="35" borderId="107" xfId="0" applyFont="1" applyFill="1" applyBorder="1" applyProtection="1">
      <protection hidden="1"/>
    </xf>
    <xf numFmtId="0" fontId="49" fillId="35" borderId="106"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7" fillId="35" borderId="0" xfId="93" applyFont="1" applyFill="1" applyAlignment="1" applyProtection="1">
      <alignment vertical="center" wrapText="1"/>
      <protection hidden="1"/>
    </xf>
    <xf numFmtId="0" fontId="49" fillId="35" borderId="0" xfId="93" applyFont="1" applyFill="1" applyAlignment="1" applyProtection="1">
      <alignment vertical="center"/>
      <protection hidden="1"/>
    </xf>
    <xf numFmtId="0" fontId="47" fillId="0" borderId="108" xfId="96" applyFont="1" applyBorder="1" applyAlignment="1" applyProtection="1">
      <alignment horizontal="left" vertical="center"/>
      <protection hidden="1"/>
    </xf>
    <xf numFmtId="0" fontId="47" fillId="0" borderId="109" xfId="96" applyFont="1" applyBorder="1" applyAlignment="1" applyProtection="1">
      <alignment horizontal="left" vertical="center"/>
      <protection hidden="1"/>
    </xf>
    <xf numFmtId="0" fontId="47" fillId="0" borderId="110" xfId="96" applyFont="1" applyBorder="1" applyAlignment="1" applyProtection="1">
      <alignment horizontal="left" vertical="center"/>
      <protection hidden="1"/>
    </xf>
    <xf numFmtId="0" fontId="47" fillId="0" borderId="0" xfId="96" applyFont="1" applyAlignment="1" applyProtection="1">
      <alignment horizontal="left" vertical="center"/>
      <protection hidden="1"/>
    </xf>
    <xf numFmtId="0" fontId="49" fillId="35" borderId="0" xfId="95" applyFont="1" applyFill="1" applyAlignment="1" applyProtection="1">
      <alignment vertical="center"/>
      <protection hidden="1"/>
    </xf>
    <xf numFmtId="0" fontId="46" fillId="4" borderId="111" xfId="0" applyFont="1" applyFill="1" applyBorder="1" applyAlignment="1" applyProtection="1">
      <alignment horizontal="left" vertical="center"/>
      <protection hidden="1"/>
    </xf>
    <xf numFmtId="0" fontId="46" fillId="0" borderId="113" xfId="0" applyFont="1" applyBorder="1" applyAlignment="1" applyProtection="1">
      <alignment horizontal="left" vertical="center"/>
      <protection hidden="1"/>
    </xf>
    <xf numFmtId="0" fontId="46" fillId="4" borderId="113" xfId="0" applyFont="1" applyFill="1" applyBorder="1" applyAlignment="1" applyProtection="1">
      <alignment horizontal="left" vertical="center"/>
      <protection hidden="1"/>
    </xf>
    <xf numFmtId="0" fontId="47" fillId="4" borderId="112" xfId="0" applyFont="1" applyFill="1" applyBorder="1" applyAlignment="1" applyProtection="1">
      <alignment horizontal="center" vertical="center"/>
      <protection hidden="1"/>
    </xf>
    <xf numFmtId="0" fontId="47" fillId="2" borderId="99" xfId="0" applyFont="1" applyFill="1" applyBorder="1" applyAlignment="1" applyProtection="1">
      <alignment horizontal="center" vertical="center"/>
      <protection hidden="1"/>
    </xf>
    <xf numFmtId="0" fontId="47" fillId="4" borderId="99" xfId="0" applyFont="1" applyFill="1" applyBorder="1" applyAlignment="1" applyProtection="1">
      <alignment horizontal="center" vertical="center"/>
      <protection hidden="1"/>
    </xf>
    <xf numFmtId="0" fontId="47" fillId="2" borderId="101" xfId="0" applyFont="1" applyFill="1" applyBorder="1" applyAlignment="1" applyProtection="1">
      <alignment horizontal="center" vertical="center"/>
      <protection hidden="1"/>
    </xf>
    <xf numFmtId="0" fontId="47" fillId="4" borderId="101" xfId="0" applyFont="1" applyFill="1" applyBorder="1" applyAlignment="1" applyProtection="1">
      <alignment horizontal="center" vertical="center"/>
      <protection hidden="1"/>
    </xf>
    <xf numFmtId="0" fontId="56" fillId="35" borderId="0" xfId="93" applyFont="1" applyFill="1" applyAlignment="1" applyProtection="1">
      <alignment horizontal="center"/>
      <protection hidden="1"/>
    </xf>
    <xf numFmtId="0" fontId="9" fillId="38" borderId="114" xfId="0" applyFont="1" applyFill="1" applyBorder="1"/>
    <xf numFmtId="0" fontId="9" fillId="38" borderId="115" xfId="0" applyFont="1" applyFill="1" applyBorder="1"/>
    <xf numFmtId="0" fontId="9" fillId="38" borderId="116" xfId="0" applyFont="1" applyFill="1" applyBorder="1"/>
    <xf numFmtId="0" fontId="47" fillId="42" borderId="128" xfId="0" applyFont="1" applyFill="1" applyBorder="1" applyAlignment="1" applyProtection="1">
      <alignment horizontal="left" vertical="center"/>
      <protection hidden="1"/>
    </xf>
    <xf numFmtId="0" fontId="47" fillId="43" borderId="123" xfId="0" applyFont="1" applyFill="1" applyBorder="1" applyAlignment="1" applyProtection="1">
      <alignment horizontal="left" vertical="center"/>
      <protection hidden="1"/>
    </xf>
    <xf numFmtId="0" fontId="47" fillId="42" borderId="123" xfId="0" applyFont="1" applyFill="1" applyBorder="1" applyAlignment="1" applyProtection="1">
      <alignment horizontal="left" vertical="center"/>
      <protection hidden="1"/>
    </xf>
    <xf numFmtId="0" fontId="0" fillId="41" borderId="122" xfId="0" applyFill="1" applyBorder="1"/>
    <xf numFmtId="0" fontId="47" fillId="43" borderId="125" xfId="0" applyFont="1" applyFill="1" applyBorder="1" applyAlignment="1" applyProtection="1">
      <alignment horizontal="left" vertical="center"/>
      <protection hidden="1"/>
    </xf>
    <xf numFmtId="0" fontId="24" fillId="35" borderId="63" xfId="90" applyFill="1" applyBorder="1"/>
    <xf numFmtId="0" fontId="24" fillId="35" borderId="64" xfId="90" applyFill="1" applyBorder="1"/>
    <xf numFmtId="0" fontId="24" fillId="35" borderId="65" xfId="90" applyFill="1" applyBorder="1"/>
    <xf numFmtId="0" fontId="49" fillId="35" borderId="66" xfId="90" applyFont="1" applyFill="1" applyBorder="1" applyAlignment="1" applyProtection="1">
      <alignment horizontal="right" vertical="center"/>
      <protection hidden="1"/>
    </xf>
    <xf numFmtId="0" fontId="47" fillId="35" borderId="0" xfId="27" applyFont="1" applyFill="1" applyBorder="1" applyAlignment="1" applyProtection="1">
      <alignment vertical="center"/>
      <protection hidden="1"/>
    </xf>
    <xf numFmtId="0" fontId="47" fillId="35" borderId="0" xfId="90" applyFont="1" applyFill="1" applyAlignment="1" applyProtection="1">
      <alignment vertical="center"/>
      <protection hidden="1"/>
    </xf>
    <xf numFmtId="0" fontId="47" fillId="35" borderId="0" xfId="90" applyFont="1" applyFill="1" applyAlignment="1" applyProtection="1">
      <alignment vertical="center" wrapText="1"/>
      <protection hidden="1"/>
    </xf>
    <xf numFmtId="0" fontId="47" fillId="35" borderId="67" xfId="90" applyFont="1" applyFill="1" applyBorder="1" applyAlignment="1" applyProtection="1">
      <alignment vertical="center" wrapText="1"/>
      <protection hidden="1"/>
    </xf>
    <xf numFmtId="0" fontId="49" fillId="35" borderId="66" xfId="90" applyFont="1" applyFill="1" applyBorder="1" applyAlignment="1" applyProtection="1">
      <alignment horizontal="right" vertical="top"/>
      <protection hidden="1"/>
    </xf>
    <xf numFmtId="14" fontId="47" fillId="35" borderId="0" xfId="90" applyNumberFormat="1" applyFont="1" applyFill="1" applyAlignment="1" applyProtection="1">
      <alignment horizontal="left" vertical="top"/>
      <protection hidden="1"/>
    </xf>
    <xf numFmtId="0" fontId="47" fillId="35" borderId="0" xfId="90" applyFont="1" applyFill="1" applyAlignment="1" applyProtection="1">
      <alignment vertical="top"/>
      <protection hidden="1"/>
    </xf>
    <xf numFmtId="0" fontId="47" fillId="35" borderId="0" xfId="90" applyFont="1" applyFill="1" applyAlignment="1" applyProtection="1">
      <alignment vertical="top" wrapText="1"/>
      <protection hidden="1"/>
    </xf>
    <xf numFmtId="0" fontId="47" fillId="35" borderId="67" xfId="90" applyFont="1" applyFill="1" applyBorder="1"/>
    <xf numFmtId="0" fontId="47" fillId="35" borderId="68" xfId="90" applyFont="1" applyFill="1" applyBorder="1" applyProtection="1">
      <protection hidden="1"/>
    </xf>
    <xf numFmtId="0" fontId="47" fillId="35" borderId="69" xfId="90" applyFont="1" applyFill="1" applyBorder="1" applyProtection="1">
      <protection hidden="1"/>
    </xf>
    <xf numFmtId="0" fontId="47" fillId="35" borderId="70" xfId="90" applyFont="1" applyFill="1" applyBorder="1" applyProtection="1">
      <protection hidden="1"/>
    </xf>
    <xf numFmtId="0" fontId="47" fillId="35" borderId="63" xfId="90" applyFont="1" applyFill="1" applyBorder="1" applyAlignment="1" applyProtection="1">
      <alignment horizontal="right"/>
      <protection hidden="1"/>
    </xf>
    <xf numFmtId="0" fontId="47" fillId="35" borderId="64" xfId="90" applyFont="1" applyFill="1" applyBorder="1" applyAlignment="1" applyProtection="1">
      <alignment horizontal="right"/>
      <protection hidden="1"/>
    </xf>
    <xf numFmtId="0" fontId="69" fillId="35" borderId="64" xfId="90" applyFont="1" applyFill="1" applyBorder="1" applyAlignment="1" applyProtection="1">
      <alignment horizontal="left"/>
      <protection hidden="1"/>
    </xf>
    <xf numFmtId="0" fontId="47" fillId="35" borderId="64" xfId="90" applyFont="1" applyFill="1" applyBorder="1" applyAlignment="1" applyProtection="1">
      <alignment horizontal="left"/>
      <protection hidden="1"/>
    </xf>
    <xf numFmtId="0" fontId="47" fillId="35" borderId="64" xfId="90" applyFont="1" applyFill="1" applyBorder="1"/>
    <xf numFmtId="0" fontId="47" fillId="35" borderId="65" xfId="90" applyFont="1" applyFill="1" applyBorder="1"/>
    <xf numFmtId="0" fontId="24" fillId="35" borderId="66" xfId="90" applyFill="1" applyBorder="1"/>
    <xf numFmtId="0" fontId="49" fillId="35" borderId="0" xfId="90" applyFont="1" applyFill="1" applyAlignment="1" applyProtection="1">
      <alignment horizontal="left" vertical="center"/>
      <protection hidden="1"/>
    </xf>
    <xf numFmtId="0" fontId="49" fillId="35" borderId="0" xfId="90" applyFont="1" applyFill="1" applyAlignment="1" applyProtection="1">
      <alignment horizontal="center" vertical="center"/>
      <protection hidden="1"/>
    </xf>
    <xf numFmtId="0" fontId="47" fillId="35" borderId="0" xfId="90" applyFont="1" applyFill="1"/>
    <xf numFmtId="0" fontId="24" fillId="35" borderId="66" xfId="90" applyFill="1" applyBorder="1" applyAlignment="1">
      <alignment vertical="center"/>
    </xf>
    <xf numFmtId="0" fontId="47" fillId="35" borderId="25" xfId="90" applyFont="1" applyFill="1" applyBorder="1" applyAlignment="1" applyProtection="1">
      <alignment vertical="center"/>
      <protection hidden="1"/>
    </xf>
    <xf numFmtId="0" fontId="47" fillId="35" borderId="71" xfId="90" applyFont="1" applyFill="1" applyBorder="1" applyAlignment="1" applyProtection="1">
      <alignment vertical="center"/>
      <protection hidden="1"/>
    </xf>
    <xf numFmtId="0" fontId="47" fillId="35" borderId="0" xfId="90" applyFont="1" applyFill="1" applyAlignment="1">
      <alignment vertical="center"/>
    </xf>
    <xf numFmtId="0" fontId="47" fillId="35" borderId="67" xfId="90" applyFont="1" applyFill="1" applyBorder="1" applyAlignment="1">
      <alignment vertical="center"/>
    </xf>
    <xf numFmtId="0" fontId="47" fillId="35" borderId="68" xfId="90" applyFont="1" applyFill="1" applyBorder="1"/>
    <xf numFmtId="0" fontId="47" fillId="35" borderId="69" xfId="90" applyFont="1" applyFill="1" applyBorder="1"/>
    <xf numFmtId="0" fontId="47" fillId="35" borderId="70" xfId="90" applyFont="1" applyFill="1" applyBorder="1"/>
    <xf numFmtId="0" fontId="34" fillId="35" borderId="0" xfId="0" applyFont="1" applyFill="1" applyAlignment="1">
      <alignment vertical="center"/>
    </xf>
    <xf numFmtId="0" fontId="55"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6" xfId="0" applyFont="1" applyFill="1" applyBorder="1" applyAlignment="1">
      <alignment horizontal="left" vertical="top"/>
    </xf>
    <xf numFmtId="0" fontId="49" fillId="7" borderId="17" xfId="0" applyFont="1" applyFill="1" applyBorder="1" applyAlignment="1">
      <alignment horizontal="center" vertical="top"/>
    </xf>
    <xf numFmtId="0" fontId="49" fillId="7" borderId="17" xfId="0" applyFont="1" applyFill="1" applyBorder="1" applyAlignment="1">
      <alignment horizontal="center"/>
    </xf>
    <xf numFmtId="0" fontId="49" fillId="7" borderId="17" xfId="0" applyFont="1" applyFill="1" applyBorder="1" applyAlignment="1">
      <alignment horizontal="right"/>
    </xf>
    <xf numFmtId="0" fontId="49" fillId="7" borderId="17" xfId="0" applyFont="1" applyFill="1" applyBorder="1" applyAlignment="1">
      <alignment horizontal="left"/>
    </xf>
    <xf numFmtId="0" fontId="49" fillId="7" borderId="137"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3"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6" fillId="4" borderId="0" xfId="0" applyNumberFormat="1" applyFont="1" applyFill="1" applyAlignment="1" applyProtection="1">
      <alignment horizontal="center" vertical="center"/>
      <protection hidden="1"/>
    </xf>
    <xf numFmtId="164" fontId="46" fillId="4" borderId="0" xfId="0" applyNumberFormat="1" applyFont="1" applyFill="1" applyAlignment="1" applyProtection="1">
      <alignment horizontal="center" vertical="center"/>
      <protection hidden="1"/>
    </xf>
    <xf numFmtId="14" fontId="46" fillId="4" borderId="138" xfId="0" applyNumberFormat="1" applyFont="1" applyFill="1" applyBorder="1" applyAlignment="1" applyProtection="1">
      <alignment horizontal="center" vertical="center"/>
      <protection hidden="1"/>
    </xf>
    <xf numFmtId="0" fontId="47" fillId="4" borderId="0" xfId="0" applyFont="1" applyFill="1" applyAlignment="1" applyProtection="1">
      <alignment horizontal="right"/>
      <protection hidden="1"/>
    </xf>
    <xf numFmtId="0" fontId="47" fillId="4" borderId="24" xfId="0" applyFont="1" applyFill="1" applyBorder="1" applyAlignment="1" applyProtection="1">
      <alignment horizontal="center"/>
      <protection locked="0"/>
    </xf>
    <xf numFmtId="0" fontId="47" fillId="4" borderId="139" xfId="0" applyFont="1" applyFill="1" applyBorder="1" applyAlignment="1" applyProtection="1">
      <alignment horizontal="center"/>
      <protection locked="0"/>
    </xf>
    <xf numFmtId="0" fontId="47" fillId="4" borderId="19" xfId="0" applyFont="1" applyFill="1" applyBorder="1" applyAlignment="1" applyProtection="1">
      <alignment horizontal="left"/>
      <protection hidden="1"/>
    </xf>
    <xf numFmtId="0" fontId="58" fillId="35" borderId="0" xfId="0" applyFont="1" applyFill="1" applyAlignment="1" applyProtection="1">
      <alignment horizontal="left" vertical="center"/>
      <protection hidden="1"/>
    </xf>
    <xf numFmtId="0" fontId="49" fillId="7" borderId="16" xfId="0" applyFont="1" applyFill="1" applyBorder="1" applyAlignment="1" applyProtection="1">
      <alignment horizontal="centerContinuous"/>
      <protection hidden="1"/>
    </xf>
    <xf numFmtId="0" fontId="49" fillId="7" borderId="17" xfId="0" applyFont="1" applyFill="1" applyBorder="1" applyAlignment="1" applyProtection="1">
      <alignment horizontal="centerContinuous"/>
      <protection hidden="1"/>
    </xf>
    <xf numFmtId="0" fontId="49" fillId="7" borderId="137" xfId="0" applyFont="1" applyFill="1" applyBorder="1" applyAlignment="1" applyProtection="1">
      <alignment horizontal="centerContinuous"/>
      <protection hidden="1"/>
    </xf>
    <xf numFmtId="0" fontId="84"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9" fillId="7" borderId="140" xfId="0" applyFont="1" applyFill="1" applyBorder="1" applyAlignment="1" applyProtection="1">
      <alignment horizontal="center" vertical="center"/>
      <protection hidden="1"/>
    </xf>
    <xf numFmtId="0" fontId="49" fillId="7" borderId="14" xfId="0" applyFont="1" applyFill="1" applyBorder="1" applyAlignment="1" applyProtection="1">
      <alignment horizontal="center" vertical="center"/>
      <protection hidden="1"/>
    </xf>
    <xf numFmtId="0" fontId="49" fillId="7" borderId="14" xfId="0" applyFont="1" applyFill="1" applyBorder="1" applyAlignment="1" applyProtection="1">
      <alignment horizontal="left" vertical="center"/>
      <protection hidden="1"/>
    </xf>
    <xf numFmtId="0" fontId="49" fillId="7" borderId="141" xfId="0" applyFont="1" applyFill="1" applyBorder="1" applyAlignment="1" applyProtection="1">
      <alignment horizontal="center" vertical="center"/>
      <protection hidden="1"/>
    </xf>
    <xf numFmtId="0" fontId="83" fillId="35" borderId="0" xfId="0" applyFont="1" applyFill="1" applyAlignment="1" applyProtection="1">
      <alignment vertical="center"/>
      <protection hidden="1"/>
    </xf>
    <xf numFmtId="0" fontId="53" fillId="7" borderId="142" xfId="0" applyFont="1" applyFill="1" applyBorder="1" applyAlignment="1" applyProtection="1">
      <alignment horizontal="left" vertical="center"/>
      <protection hidden="1"/>
    </xf>
    <xf numFmtId="0" fontId="53" fillId="7" borderId="143" xfId="0" applyFont="1" applyFill="1" applyBorder="1" applyAlignment="1" applyProtection="1">
      <alignment horizontal="center" vertical="center"/>
      <protection hidden="1"/>
    </xf>
    <xf numFmtId="0" fontId="47" fillId="4" borderId="144" xfId="0" applyFont="1" applyFill="1" applyBorder="1" applyAlignment="1" applyProtection="1">
      <alignment horizontal="center" vertical="center"/>
      <protection hidden="1"/>
    </xf>
    <xf numFmtId="0" fontId="47" fillId="4" borderId="15" xfId="0" applyFont="1" applyFill="1" applyBorder="1" applyAlignment="1" applyProtection="1">
      <alignment horizontal="left" vertical="center"/>
      <protection hidden="1"/>
    </xf>
    <xf numFmtId="0" fontId="48" fillId="4" borderId="15" xfId="0" applyFont="1" applyFill="1" applyBorder="1" applyAlignment="1" applyProtection="1">
      <alignment horizontal="center" vertical="center"/>
      <protection hidden="1"/>
    </xf>
    <xf numFmtId="0" fontId="47" fillId="4" borderId="15" xfId="0" applyFont="1" applyFill="1" applyBorder="1" applyAlignment="1" applyProtection="1">
      <alignment horizontal="center" vertical="center"/>
      <protection hidden="1"/>
    </xf>
    <xf numFmtId="0" fontId="47" fillId="4" borderId="145" xfId="0" applyFont="1" applyFill="1" applyBorder="1" applyAlignment="1" applyProtection="1">
      <alignment horizontal="center" vertical="center"/>
      <protection hidden="1"/>
    </xf>
    <xf numFmtId="0" fontId="57" fillId="35" borderId="0" xfId="0" applyFont="1" applyFill="1" applyAlignment="1" applyProtection="1">
      <alignment horizontal="center" vertical="center"/>
      <protection hidden="1"/>
    </xf>
    <xf numFmtId="0" fontId="57"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7" fillId="0" borderId="146" xfId="0" applyFont="1" applyBorder="1" applyAlignment="1" applyProtection="1">
      <alignment horizontal="left" vertical="center"/>
      <protection hidden="1"/>
    </xf>
    <xf numFmtId="0" fontId="47" fillId="0" borderId="147" xfId="0" applyFont="1" applyBorder="1" applyAlignment="1" applyProtection="1">
      <alignment horizontal="center" vertical="center"/>
      <protection locked="0" hidden="1"/>
    </xf>
    <xf numFmtId="0" fontId="47" fillId="4" borderId="18"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protection hidden="1"/>
    </xf>
    <xf numFmtId="0" fontId="48" fillId="4" borderId="0" xfId="0" applyFont="1" applyFill="1" applyAlignment="1" applyProtection="1">
      <alignment horizontal="center" vertical="center"/>
      <protection hidden="1"/>
    </xf>
    <xf numFmtId="0" fontId="47" fillId="4" borderId="0" xfId="0" applyFont="1" applyFill="1" applyAlignment="1" applyProtection="1">
      <alignment horizontal="center" vertical="center"/>
      <protection hidden="1"/>
    </xf>
    <xf numFmtId="0" fontId="47" fillId="4" borderId="19" xfId="0" applyFont="1" applyFill="1" applyBorder="1" applyAlignment="1" applyProtection="1">
      <alignment horizontal="center" vertical="center"/>
      <protection hidden="1"/>
    </xf>
    <xf numFmtId="0" fontId="47" fillId="44" borderId="146" xfId="0" applyFont="1" applyFill="1" applyBorder="1" applyAlignment="1" applyProtection="1">
      <alignment horizontal="left" vertical="center"/>
      <protection hidden="1"/>
    </xf>
    <xf numFmtId="0" fontId="47" fillId="44" borderId="147" xfId="0" applyFont="1" applyFill="1" applyBorder="1" applyAlignment="1" applyProtection="1">
      <alignment horizontal="center" vertical="center"/>
      <protection locked="0" hidden="1"/>
    </xf>
    <xf numFmtId="14" fontId="46" fillId="4" borderId="21" xfId="0" applyNumberFormat="1" applyFont="1" applyFill="1" applyBorder="1" applyAlignment="1" applyProtection="1">
      <alignment horizontal="center" vertical="center"/>
      <protection hidden="1"/>
    </xf>
    <xf numFmtId="164" fontId="46" fillId="4" borderId="21" xfId="0" applyNumberFormat="1" applyFont="1" applyFill="1" applyBorder="1" applyAlignment="1" applyProtection="1">
      <alignment horizontal="center" vertical="center"/>
      <protection hidden="1"/>
    </xf>
    <xf numFmtId="14" fontId="46" fillId="4" borderId="148" xfId="0" applyNumberFormat="1" applyFont="1" applyFill="1" applyBorder="1" applyAlignment="1" applyProtection="1">
      <alignment horizontal="center" vertical="center"/>
      <protection hidden="1"/>
    </xf>
    <xf numFmtId="0" fontId="47" fillId="4" borderId="21" xfId="0" applyFont="1" applyFill="1" applyBorder="1" applyAlignment="1" applyProtection="1">
      <alignment horizontal="right"/>
      <protection hidden="1"/>
    </xf>
    <xf numFmtId="0" fontId="47" fillId="4" borderId="149" xfId="0" applyFont="1" applyFill="1" applyBorder="1" applyAlignment="1" applyProtection="1">
      <alignment horizontal="center"/>
      <protection locked="0"/>
    </xf>
    <xf numFmtId="0" fontId="47" fillId="4" borderId="22" xfId="0" applyFont="1" applyFill="1" applyBorder="1" applyAlignment="1" applyProtection="1">
      <alignment horizontal="center"/>
      <protection locked="0"/>
    </xf>
    <xf numFmtId="0" fontId="47" fillId="4" borderId="23" xfId="0" applyFont="1" applyFill="1" applyBorder="1" applyAlignment="1" applyProtection="1">
      <alignment horizontal="left"/>
      <protection hidden="1"/>
    </xf>
    <xf numFmtId="0" fontId="47" fillId="4" borderId="20" xfId="0" applyFont="1" applyFill="1" applyBorder="1" applyAlignment="1" applyProtection="1">
      <alignment horizontal="center" vertical="center"/>
      <protection hidden="1"/>
    </xf>
    <xf numFmtId="0" fontId="47" fillId="4" borderId="21" xfId="0" applyFont="1" applyFill="1" applyBorder="1" applyAlignment="1" applyProtection="1">
      <alignment horizontal="left" vertical="center"/>
      <protection hidden="1"/>
    </xf>
    <xf numFmtId="0" fontId="48" fillId="4" borderId="21" xfId="0" applyFont="1" applyFill="1" applyBorder="1" applyAlignment="1" applyProtection="1">
      <alignment horizontal="center" vertical="center"/>
      <protection hidden="1"/>
    </xf>
    <xf numFmtId="0" fontId="47" fillId="4" borderId="21" xfId="0" applyFont="1" applyFill="1" applyBorder="1" applyAlignment="1" applyProtection="1">
      <alignment horizontal="center" vertical="center"/>
      <protection hidden="1"/>
    </xf>
    <xf numFmtId="0" fontId="47" fillId="4" borderId="23" xfId="0" applyFont="1" applyFill="1" applyBorder="1" applyAlignment="1" applyProtection="1">
      <alignment horizontal="center" vertical="center"/>
      <protection hidden="1"/>
    </xf>
    <xf numFmtId="0" fontId="47" fillId="44" borderId="150" xfId="0" applyFont="1" applyFill="1" applyBorder="1" applyAlignment="1" applyProtection="1">
      <alignment horizontal="left" vertical="center"/>
      <protection hidden="1"/>
    </xf>
    <xf numFmtId="0" fontId="47" fillId="44" borderId="151"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7" fillId="4" borderId="152" xfId="0" applyFont="1" applyFill="1" applyBorder="1" applyAlignment="1" applyProtection="1">
      <alignment horizontal="center" vertical="center"/>
      <protection hidden="1"/>
    </xf>
    <xf numFmtId="0" fontId="47" fillId="4" borderId="153" xfId="0" applyFont="1" applyFill="1" applyBorder="1" applyAlignment="1" applyProtection="1">
      <alignment horizontal="center" vertical="center"/>
      <protection hidden="1"/>
    </xf>
    <xf numFmtId="0" fontId="47" fillId="4" borderId="154" xfId="0" applyFont="1" applyFill="1" applyBorder="1" applyAlignment="1" applyProtection="1">
      <alignment horizontal="center" vertical="center"/>
      <protection hidden="1"/>
    </xf>
    <xf numFmtId="0" fontId="47" fillId="4" borderId="155" xfId="0" applyFont="1" applyFill="1" applyBorder="1" applyAlignment="1" applyProtection="1">
      <alignment horizontal="center" vertical="center"/>
      <protection hidden="1"/>
    </xf>
    <xf numFmtId="0" fontId="47" fillId="4" borderId="156" xfId="0" applyFont="1" applyFill="1" applyBorder="1" applyAlignment="1" applyProtection="1">
      <alignment horizontal="center" vertical="center"/>
      <protection hidden="1"/>
    </xf>
    <xf numFmtId="0" fontId="47" fillId="4" borderId="157" xfId="0" applyFont="1" applyFill="1" applyBorder="1" applyAlignment="1" applyProtection="1">
      <alignment horizontal="left" vertical="center"/>
      <protection hidden="1"/>
    </xf>
    <xf numFmtId="0" fontId="48" fillId="4" borderId="157" xfId="0" applyFont="1" applyFill="1" applyBorder="1" applyAlignment="1" applyProtection="1">
      <alignment horizontal="center" vertical="center"/>
      <protection hidden="1"/>
    </xf>
    <xf numFmtId="0" fontId="47" fillId="4" borderId="157" xfId="0" applyFont="1" applyFill="1" applyBorder="1" applyAlignment="1" applyProtection="1">
      <alignment horizontal="center" vertical="center"/>
      <protection hidden="1"/>
    </xf>
    <xf numFmtId="0" fontId="47" fillId="4" borderId="158" xfId="0" applyFont="1" applyFill="1" applyBorder="1" applyAlignment="1" applyProtection="1">
      <alignment horizontal="center" vertical="center"/>
      <protection hidden="1"/>
    </xf>
    <xf numFmtId="0" fontId="49" fillId="7" borderId="17" xfId="0" applyFont="1" applyFill="1" applyBorder="1" applyAlignment="1">
      <alignment horizontal="left" vertical="top"/>
    </xf>
    <xf numFmtId="0" fontId="49" fillId="7" borderId="17" xfId="0" applyFont="1" applyFill="1" applyBorder="1" applyAlignment="1">
      <alignment horizontal="right" vertical="top"/>
    </xf>
    <xf numFmtId="0" fontId="49" fillId="7" borderId="137"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9" fillId="7" borderId="16" xfId="0" applyFont="1" applyFill="1" applyBorder="1" applyAlignment="1" applyProtection="1">
      <alignment horizontal="centerContinuous" vertical="center"/>
      <protection hidden="1"/>
    </xf>
    <xf numFmtId="0" fontId="18" fillId="7" borderId="17" xfId="0" applyFont="1" applyFill="1" applyBorder="1" applyAlignment="1" applyProtection="1">
      <alignment horizontal="centerContinuous" vertical="center"/>
      <protection hidden="1"/>
    </xf>
    <xf numFmtId="0" fontId="10" fillId="7" borderId="17" xfId="0" applyFont="1" applyFill="1" applyBorder="1" applyAlignment="1" applyProtection="1">
      <alignment horizontal="centerContinuous" vertical="center"/>
      <protection hidden="1"/>
    </xf>
    <xf numFmtId="0" fontId="10" fillId="7" borderId="137" xfId="0" applyFont="1" applyFill="1" applyBorder="1" applyAlignment="1" applyProtection="1">
      <alignment horizontal="centerContinuous" vertical="center"/>
      <protection hidden="1"/>
    </xf>
    <xf numFmtId="0" fontId="61"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6" fillId="4" borderId="138" xfId="0" applyFont="1" applyFill="1" applyBorder="1" applyAlignment="1" applyProtection="1">
      <alignment horizontal="center" vertical="center"/>
      <protection hidden="1"/>
    </xf>
    <xf numFmtId="0" fontId="47" fillId="4" borderId="0" xfId="0" applyFont="1" applyFill="1" applyAlignment="1" applyProtection="1">
      <alignment horizontal="right" vertical="center"/>
      <protection hidden="1"/>
    </xf>
    <xf numFmtId="0" fontId="47" fillId="4" borderId="0" xfId="0" applyFont="1" applyFill="1" applyAlignment="1" applyProtection="1">
      <alignment horizontal="center"/>
      <protection locked="0" hidden="1"/>
    </xf>
    <xf numFmtId="0" fontId="47" fillId="4" borderId="159" xfId="0" applyFont="1" applyFill="1" applyBorder="1" applyAlignment="1" applyProtection="1">
      <alignment horizontal="center"/>
      <protection locked="0" hidden="1"/>
    </xf>
    <xf numFmtId="0" fontId="47" fillId="4" borderId="19" xfId="0" applyFont="1" applyFill="1" applyBorder="1" applyAlignment="1">
      <alignment horizontal="left" vertical="center"/>
    </xf>
    <xf numFmtId="0" fontId="47" fillId="4" borderId="25" xfId="0" applyFont="1" applyFill="1" applyBorder="1" applyAlignment="1" applyProtection="1">
      <alignment horizontal="center"/>
      <protection locked="0"/>
    </xf>
    <xf numFmtId="0" fontId="47" fillId="4" borderId="16" xfId="0" applyFont="1" applyFill="1" applyBorder="1" applyAlignment="1" applyProtection="1">
      <alignment horizontal="center" vertical="center"/>
      <protection hidden="1"/>
    </xf>
    <xf numFmtId="0" fontId="47" fillId="4" borderId="17" xfId="0" applyFont="1" applyFill="1" applyBorder="1" applyAlignment="1" applyProtection="1">
      <alignment horizontal="left" vertical="center"/>
      <protection hidden="1"/>
    </xf>
    <xf numFmtId="0" fontId="48" fillId="4" borderId="17" xfId="0" applyFont="1" applyFill="1" applyBorder="1" applyAlignment="1" applyProtection="1">
      <alignment horizontal="center" vertical="center"/>
      <protection hidden="1"/>
    </xf>
    <xf numFmtId="0" fontId="47" fillId="4" borderId="17" xfId="0" applyFont="1" applyFill="1" applyBorder="1" applyAlignment="1" applyProtection="1">
      <alignment horizontal="center" vertical="center"/>
      <protection hidden="1"/>
    </xf>
    <xf numFmtId="0" fontId="47" fillId="4" borderId="17" xfId="0" quotePrefix="1" applyFont="1" applyFill="1" applyBorder="1" applyAlignment="1" applyProtection="1">
      <alignment horizontal="center" vertical="center"/>
      <protection hidden="1"/>
    </xf>
    <xf numFmtId="0" fontId="47" fillId="4" borderId="137"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7" fillId="4" borderId="0" xfId="0" quotePrefix="1" applyFont="1" applyFill="1" applyAlignment="1" applyProtection="1">
      <alignment horizontal="left" vertical="center"/>
      <protection hidden="1"/>
    </xf>
    <xf numFmtId="0" fontId="48" fillId="4" borderId="0" xfId="0" quotePrefix="1" applyFont="1" applyFill="1" applyAlignment="1" applyProtection="1">
      <alignment horizontal="center" vertical="center"/>
      <protection hidden="1"/>
    </xf>
    <xf numFmtId="0" fontId="47" fillId="4" borderId="0" xfId="0" quotePrefix="1" applyFont="1" applyFill="1" applyAlignment="1" applyProtection="1">
      <alignment horizontal="center" vertical="center"/>
      <protection hidden="1"/>
    </xf>
    <xf numFmtId="0" fontId="47" fillId="4" borderId="19" xfId="0" quotePrefix="1" applyFont="1" applyFill="1" applyBorder="1" applyAlignment="1" applyProtection="1">
      <alignment horizontal="center" vertical="center"/>
      <protection hidden="1"/>
    </xf>
    <xf numFmtId="14" fontId="47" fillId="35" borderId="0" xfId="0" applyNumberFormat="1" applyFont="1" applyFill="1" applyAlignment="1" applyProtection="1">
      <alignment horizontal="right"/>
      <protection hidden="1"/>
    </xf>
    <xf numFmtId="14" fontId="47" fillId="35" borderId="0" xfId="0" applyNumberFormat="1" applyFont="1" applyFill="1" applyAlignment="1" applyProtection="1">
      <alignment horizontal="left"/>
      <protection hidden="1"/>
    </xf>
    <xf numFmtId="14" fontId="47"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6" fillId="4" borderId="148" xfId="0" applyFont="1" applyFill="1" applyBorder="1" applyAlignment="1" applyProtection="1">
      <alignment horizontal="center" vertical="center"/>
      <protection hidden="1"/>
    </xf>
    <xf numFmtId="0" fontId="47" fillId="4" borderId="21" xfId="0" applyFont="1" applyFill="1" applyBorder="1" applyAlignment="1" applyProtection="1">
      <alignment horizontal="right" vertical="center"/>
      <protection hidden="1"/>
    </xf>
    <xf numFmtId="0" fontId="47" fillId="4" borderId="21" xfId="0" applyFont="1" applyFill="1" applyBorder="1" applyAlignment="1" applyProtection="1">
      <alignment horizontal="center"/>
      <protection locked="0" hidden="1"/>
    </xf>
    <xf numFmtId="0" fontId="47" fillId="4" borderId="160" xfId="0" applyFont="1" applyFill="1" applyBorder="1" applyAlignment="1" applyProtection="1">
      <alignment horizontal="center"/>
      <protection locked="0"/>
    </xf>
    <xf numFmtId="0" fontId="47" fillId="4" borderId="23" xfId="0" applyFont="1" applyFill="1" applyBorder="1" applyAlignment="1">
      <alignment horizontal="left" vertical="center"/>
    </xf>
    <xf numFmtId="0" fontId="47" fillId="35" borderId="0" xfId="0" applyFont="1" applyFill="1" applyAlignment="1" applyProtection="1">
      <alignment horizontal="left"/>
      <protection hidden="1"/>
    </xf>
    <xf numFmtId="0" fontId="47"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7" fillId="4" borderId="162" xfId="0" applyFont="1" applyFill="1" applyBorder="1" applyAlignment="1" applyProtection="1">
      <alignment horizontal="center"/>
      <protection locked="0"/>
    </xf>
    <xf numFmtId="0" fontId="47" fillId="4" borderId="3" xfId="0" applyFont="1" applyFill="1" applyBorder="1" applyAlignment="1" applyProtection="1">
      <alignment horizontal="center"/>
      <protection locked="0" hidden="1"/>
    </xf>
    <xf numFmtId="0" fontId="47" fillId="4" borderId="2" xfId="0" applyFont="1" applyFill="1" applyBorder="1" applyAlignment="1" applyProtection="1">
      <alignment horizontal="center"/>
      <protection locked="0"/>
    </xf>
    <xf numFmtId="0" fontId="47" fillId="4" borderId="164" xfId="0" applyFont="1" applyFill="1" applyBorder="1" applyAlignment="1" applyProtection="1">
      <alignment horizontal="center"/>
      <protection locked="0"/>
    </xf>
    <xf numFmtId="0" fontId="46" fillId="4" borderId="26" xfId="0" applyFont="1" applyFill="1" applyBorder="1" applyAlignment="1" applyProtection="1">
      <alignment horizontal="center" vertical="center"/>
      <protection hidden="1"/>
    </xf>
    <xf numFmtId="0" fontId="47" fillId="4" borderId="165" xfId="0" applyFont="1" applyFill="1" applyBorder="1" applyAlignment="1">
      <alignment horizontal="left" vertical="center"/>
    </xf>
    <xf numFmtId="0" fontId="58" fillId="35" borderId="0" xfId="0" applyFont="1" applyFill="1" applyAlignment="1">
      <alignment horizontal="left" vertical="center"/>
    </xf>
    <xf numFmtId="0" fontId="46" fillId="4" borderId="166" xfId="0" applyFont="1" applyFill="1" applyBorder="1" applyAlignment="1" applyProtection="1">
      <alignment horizontal="center" vertical="center"/>
      <protection hidden="1"/>
    </xf>
    <xf numFmtId="0" fontId="47" fillId="4" borderId="167" xfId="0" applyFont="1" applyFill="1" applyBorder="1" applyAlignment="1">
      <alignment horizontal="left" vertical="center"/>
    </xf>
    <xf numFmtId="0" fontId="58" fillId="35" borderId="0" xfId="0" applyFont="1" applyFill="1" applyAlignment="1">
      <alignment horizontal="center" vertical="center"/>
    </xf>
    <xf numFmtId="0" fontId="49" fillId="7" borderId="168" xfId="0" applyFont="1" applyFill="1" applyBorder="1" applyAlignment="1" applyProtection="1">
      <alignment horizontal="centerContinuous" vertical="center"/>
      <protection hidden="1"/>
    </xf>
    <xf numFmtId="0" fontId="18" fillId="7" borderId="169" xfId="0" applyFont="1" applyFill="1" applyBorder="1" applyAlignment="1" applyProtection="1">
      <alignment horizontal="centerContinuous" vertical="center"/>
      <protection hidden="1"/>
    </xf>
    <xf numFmtId="0" fontId="10" fillId="7" borderId="169" xfId="0" applyFont="1" applyFill="1" applyBorder="1" applyAlignment="1" applyProtection="1">
      <alignment horizontal="centerContinuous" vertical="center"/>
      <protection hidden="1"/>
    </xf>
    <xf numFmtId="0" fontId="10" fillId="7" borderId="170" xfId="0" applyFont="1" applyFill="1" applyBorder="1" applyAlignment="1" applyProtection="1">
      <alignment horizontal="centerContinuous" vertical="center"/>
      <protection hidden="1"/>
    </xf>
    <xf numFmtId="0" fontId="4" fillId="7" borderId="171" xfId="0" applyFont="1" applyFill="1" applyBorder="1" applyAlignment="1">
      <alignment horizontal="left" vertical="top"/>
    </xf>
    <xf numFmtId="0" fontId="49" fillId="7" borderId="172" xfId="0" applyFont="1" applyFill="1" applyBorder="1" applyAlignment="1">
      <alignment horizontal="left" vertical="top"/>
    </xf>
    <xf numFmtId="0" fontId="47" fillId="4" borderId="1" xfId="0" applyFont="1" applyFill="1" applyBorder="1" applyAlignment="1" applyProtection="1">
      <alignment horizontal="center"/>
      <protection locked="0"/>
    </xf>
    <xf numFmtId="14" fontId="46" fillId="4" borderId="175" xfId="0" applyNumberFormat="1" applyFont="1" applyFill="1" applyBorder="1" applyAlignment="1" applyProtection="1">
      <alignment horizontal="center" vertical="center"/>
      <protection hidden="1"/>
    </xf>
    <xf numFmtId="164" fontId="46" fillId="4" borderId="175" xfId="0" applyNumberFormat="1" applyFont="1" applyFill="1" applyBorder="1" applyAlignment="1" applyProtection="1">
      <alignment horizontal="center" vertical="center"/>
      <protection hidden="1"/>
    </xf>
    <xf numFmtId="0" fontId="46" fillId="4" borderId="176" xfId="0" applyFont="1" applyFill="1" applyBorder="1" applyAlignment="1" applyProtection="1">
      <alignment horizontal="center" vertical="center"/>
      <protection hidden="1"/>
    </xf>
    <xf numFmtId="0" fontId="47" fillId="4" borderId="175"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protection locked="0" hidden="1"/>
    </xf>
    <xf numFmtId="0" fontId="47" fillId="4" borderId="177" xfId="0" applyFont="1" applyFill="1" applyBorder="1" applyAlignment="1">
      <alignment horizontal="left" vertical="center"/>
    </xf>
    <xf numFmtId="0" fontId="28" fillId="7" borderId="171" xfId="0" applyFont="1" applyFill="1" applyBorder="1" applyAlignment="1">
      <alignment horizontal="left" vertical="top"/>
    </xf>
    <xf numFmtId="14" fontId="22" fillId="28" borderId="178" xfId="0" quotePrefix="1" applyNumberFormat="1" applyFont="1" applyFill="1" applyBorder="1" applyAlignment="1" applyProtection="1">
      <alignment horizontal="center" vertical="center"/>
      <protection hidden="1"/>
    </xf>
    <xf numFmtId="0" fontId="46" fillId="4" borderId="175" xfId="0" applyFont="1" applyFill="1" applyBorder="1" applyAlignment="1" applyProtection="1">
      <alignment horizontal="center" vertical="center"/>
      <protection hidden="1"/>
    </xf>
    <xf numFmtId="0" fontId="47" fillId="4" borderId="179"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vertical="center"/>
      <protection locked="0"/>
    </xf>
    <xf numFmtId="0" fontId="47" fillId="4" borderId="180" xfId="0" applyFont="1" applyFill="1" applyBorder="1" applyAlignment="1" applyProtection="1">
      <alignment horizontal="center" vertical="center"/>
      <protection locked="0"/>
    </xf>
    <xf numFmtId="0" fontId="47" fillId="4" borderId="177" xfId="0" applyFont="1" applyFill="1" applyBorder="1" applyAlignment="1">
      <alignment vertical="center"/>
    </xf>
    <xf numFmtId="0" fontId="54" fillId="7" borderId="169" xfId="0" applyFont="1" applyFill="1" applyBorder="1" applyAlignment="1" applyProtection="1">
      <alignment horizontal="centerContinuous" vertical="center"/>
      <protection hidden="1"/>
    </xf>
    <xf numFmtId="14" fontId="33" fillId="28" borderId="178" xfId="0" quotePrefix="1" applyNumberFormat="1" applyFont="1" applyFill="1" applyBorder="1" applyAlignment="1" applyProtection="1">
      <alignment horizontal="center" vertical="center"/>
      <protection hidden="1"/>
    </xf>
    <xf numFmtId="0" fontId="57" fillId="35" borderId="0" xfId="0" applyFont="1" applyFill="1" applyAlignment="1">
      <alignment horizontal="center" vertical="center"/>
    </xf>
    <xf numFmtId="0" fontId="49" fillId="7" borderId="168" xfId="0" applyFont="1" applyFill="1" applyBorder="1" applyAlignment="1" applyProtection="1">
      <alignment horizontal="left" vertical="center"/>
      <protection hidden="1"/>
    </xf>
    <xf numFmtId="0" fontId="28" fillId="7" borderId="169" xfId="0" applyFont="1" applyFill="1" applyBorder="1" applyAlignment="1">
      <alignment horizontal="center"/>
    </xf>
    <xf numFmtId="0" fontId="28" fillId="7" borderId="169" xfId="0" applyFont="1" applyFill="1" applyBorder="1" applyAlignment="1">
      <alignment horizontal="left"/>
    </xf>
    <xf numFmtId="0" fontId="49" fillId="7" borderId="169" xfId="0" applyFont="1" applyFill="1" applyBorder="1" applyAlignment="1">
      <alignment horizontal="right"/>
    </xf>
    <xf numFmtId="0" fontId="28" fillId="7" borderId="170" xfId="0" applyFont="1" applyFill="1" applyBorder="1" applyAlignment="1">
      <alignment horizontal="left"/>
    </xf>
    <xf numFmtId="0" fontId="55" fillId="35" borderId="0" xfId="0" applyFont="1" applyFill="1" applyAlignment="1" applyProtection="1">
      <alignment horizontal="centerContinuous" vertical="center"/>
      <protection hidden="1"/>
    </xf>
    <xf numFmtId="0" fontId="53" fillId="7" borderId="181" xfId="0" applyFont="1" applyFill="1" applyBorder="1" applyAlignment="1" applyProtection="1">
      <alignment horizontal="left" vertical="center"/>
      <protection hidden="1"/>
    </xf>
    <xf numFmtId="0" fontId="52"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7" fillId="4" borderId="168" xfId="0" applyFont="1" applyFill="1" applyBorder="1" applyAlignment="1">
      <alignment vertical="center"/>
    </xf>
    <xf numFmtId="0" fontId="0" fillId="4" borderId="169" xfId="0" applyFill="1" applyBorder="1" applyAlignment="1">
      <alignment vertical="center"/>
    </xf>
    <xf numFmtId="0" fontId="0" fillId="4" borderId="170" xfId="0" applyFill="1" applyBorder="1" applyAlignment="1">
      <alignment vertical="center"/>
    </xf>
    <xf numFmtId="0" fontId="47" fillId="4" borderId="181" xfId="0" applyFont="1" applyFill="1" applyBorder="1" applyAlignment="1">
      <alignment vertical="center"/>
    </xf>
    <xf numFmtId="0" fontId="0" fillId="4" borderId="0" xfId="0" applyFill="1" applyAlignment="1">
      <alignment vertical="center"/>
    </xf>
    <xf numFmtId="0" fontId="0" fillId="4" borderId="165" xfId="0" applyFill="1" applyBorder="1" applyAlignment="1">
      <alignment vertical="center"/>
    </xf>
    <xf numFmtId="14" fontId="56" fillId="35" borderId="0" xfId="0" applyNumberFormat="1" applyFont="1" applyFill="1" applyProtection="1">
      <protection hidden="1"/>
    </xf>
    <xf numFmtId="0" fontId="53" fillId="7" borderId="182" xfId="0" applyFont="1" applyFill="1" applyBorder="1" applyAlignment="1" applyProtection="1">
      <alignment horizontal="left" vertical="center"/>
      <protection hidden="1"/>
    </xf>
    <xf numFmtId="0" fontId="52" fillId="7" borderId="175" xfId="0" applyFont="1" applyFill="1" applyBorder="1" applyAlignment="1" applyProtection="1">
      <alignment horizontal="left" vertical="center"/>
      <protection hidden="1"/>
    </xf>
    <xf numFmtId="0" fontId="28" fillId="7" borderId="175" xfId="0" applyFont="1" applyFill="1" applyBorder="1" applyAlignment="1" applyProtection="1">
      <alignment horizontal="left" vertical="center"/>
      <protection hidden="1"/>
    </xf>
    <xf numFmtId="0" fontId="47" fillId="4" borderId="182" xfId="0" applyFont="1" applyFill="1" applyBorder="1" applyAlignment="1">
      <alignment vertical="center"/>
    </xf>
    <xf numFmtId="0" fontId="0" fillId="4" borderId="175" xfId="0" applyFill="1" applyBorder="1" applyAlignment="1">
      <alignment vertical="center"/>
    </xf>
    <xf numFmtId="0" fontId="0" fillId="4" borderId="177" xfId="0" applyFill="1" applyBorder="1" applyAlignment="1">
      <alignment vertical="center"/>
    </xf>
    <xf numFmtId="0" fontId="53" fillId="7" borderId="168" xfId="0" applyFont="1" applyFill="1" applyBorder="1" applyAlignment="1" applyProtection="1">
      <alignment horizontal="left" vertical="center"/>
      <protection hidden="1"/>
    </xf>
    <xf numFmtId="0" fontId="28" fillId="7" borderId="169" xfId="0" applyFont="1" applyFill="1" applyBorder="1" applyAlignment="1" applyProtection="1">
      <alignment horizontal="left" vertical="center"/>
      <protection hidden="1"/>
    </xf>
    <xf numFmtId="0" fontId="28" fillId="7" borderId="170" xfId="0" applyFont="1" applyFill="1" applyBorder="1" applyAlignment="1" applyProtection="1">
      <alignment horizontal="left" vertical="center"/>
      <protection hidden="1"/>
    </xf>
    <xf numFmtId="0" fontId="47" fillId="4" borderId="169" xfId="0" applyFont="1" applyFill="1" applyBorder="1" applyAlignment="1" applyProtection="1">
      <alignment vertical="center"/>
      <protection locked="0" hidden="1"/>
    </xf>
    <xf numFmtId="0" fontId="0" fillId="4" borderId="169" xfId="0" applyFill="1" applyBorder="1" applyAlignment="1" applyProtection="1">
      <alignment vertical="center"/>
      <protection locked="0" hidden="1"/>
    </xf>
    <xf numFmtId="0" fontId="0" fillId="4" borderId="170" xfId="0" applyFill="1" applyBorder="1" applyAlignment="1" applyProtection="1">
      <alignment vertical="center"/>
      <protection locked="0" hidden="1"/>
    </xf>
    <xf numFmtId="0" fontId="56" fillId="35" borderId="0" xfId="0" applyFont="1" applyFill="1" applyAlignment="1" applyProtection="1">
      <alignment horizontal="centerContinuous" vertical="center"/>
      <protection hidden="1"/>
    </xf>
    <xf numFmtId="0" fontId="28" fillId="7" borderId="165" xfId="0" applyFont="1" applyFill="1" applyBorder="1" applyAlignment="1" applyProtection="1">
      <alignment horizontal="left" vertical="center"/>
      <protection hidden="1"/>
    </xf>
    <xf numFmtId="0" fontId="47"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5"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77" xfId="0" applyFont="1" applyFill="1" applyBorder="1" applyAlignment="1" applyProtection="1">
      <alignment horizontal="left" vertical="center"/>
      <protection hidden="1"/>
    </xf>
    <xf numFmtId="0" fontId="47" fillId="4" borderId="175" xfId="0" applyFont="1" applyFill="1" applyBorder="1" applyAlignment="1" applyProtection="1">
      <alignment vertical="center"/>
      <protection locked="0" hidden="1"/>
    </xf>
    <xf numFmtId="0" fontId="0" fillId="4" borderId="175" xfId="0" applyFill="1" applyBorder="1" applyAlignment="1" applyProtection="1">
      <alignment vertical="center"/>
      <protection locked="0" hidden="1"/>
    </xf>
    <xf numFmtId="0" fontId="0" fillId="4" borderId="177" xfId="0" applyFill="1" applyBorder="1" applyAlignment="1" applyProtection="1">
      <alignment vertical="center"/>
      <protection locked="0" hidden="1"/>
    </xf>
    <xf numFmtId="0" fontId="55" fillId="35" borderId="0" xfId="0" applyFont="1" applyFill="1" applyAlignment="1" applyProtection="1">
      <alignment horizontal="left" vertical="center"/>
      <protection hidden="1"/>
    </xf>
    <xf numFmtId="0" fontId="44" fillId="35" borderId="61" xfId="27" applyFont="1" applyFill="1" applyBorder="1" applyAlignment="1">
      <alignment vertical="center"/>
    </xf>
    <xf numFmtId="0" fontId="38" fillId="35" borderId="62" xfId="27" applyFont="1" applyFill="1" applyBorder="1" applyAlignment="1">
      <alignment vertical="center"/>
    </xf>
    <xf numFmtId="0" fontId="0" fillId="35" borderId="0" xfId="0" applyFill="1" applyAlignment="1" applyProtection="1">
      <alignment vertical="center"/>
      <protection hidden="1"/>
    </xf>
    <xf numFmtId="0" fontId="56" fillId="35" borderId="0" xfId="0" applyFont="1" applyFill="1" applyAlignment="1" applyProtection="1">
      <alignment horizontal="left" vertical="center"/>
      <protection hidden="1"/>
    </xf>
    <xf numFmtId="0" fontId="34" fillId="35" borderId="0" xfId="0" applyFont="1" applyFill="1" applyProtection="1">
      <protection hidden="1"/>
    </xf>
    <xf numFmtId="0" fontId="67"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4"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3" xfId="0" applyFont="1" applyFill="1" applyBorder="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5" fillId="35" borderId="0" xfId="0" applyFont="1" applyFill="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38" fillId="35" borderId="0" xfId="0" applyFont="1" applyFill="1" applyAlignment="1" applyProtection="1">
      <alignment horizontal="center" vertical="center"/>
      <protection hidden="1"/>
    </xf>
    <xf numFmtId="0" fontId="55" fillId="35" borderId="0" xfId="0" applyFont="1" applyFill="1"/>
    <xf numFmtId="0" fontId="56" fillId="35" borderId="0" xfId="0" applyFont="1" applyFill="1" applyAlignment="1">
      <alignment horizontal="center" vertical="center"/>
    </xf>
    <xf numFmtId="0" fontId="47" fillId="35" borderId="0" xfId="0" applyFont="1" applyFill="1" applyAlignment="1">
      <alignment horizontal="center"/>
    </xf>
    <xf numFmtId="0" fontId="82" fillId="35" borderId="0" xfId="0" applyFont="1" applyFill="1" applyAlignment="1" applyProtection="1">
      <alignment horizontal="left"/>
      <protection hidden="1"/>
    </xf>
    <xf numFmtId="0" fontId="56" fillId="35" borderId="0" xfId="0" applyFont="1" applyFill="1" applyAlignment="1">
      <alignment horizontal="center"/>
    </xf>
    <xf numFmtId="0" fontId="72" fillId="35" borderId="0" xfId="93" applyFont="1" applyFill="1" applyAlignment="1" applyProtection="1">
      <alignment horizontal="center" vertical="center" wrapText="1"/>
      <protection hidden="1"/>
    </xf>
    <xf numFmtId="0" fontId="55" fillId="35" borderId="0" xfId="0" applyFont="1" applyFill="1" applyAlignment="1" applyProtection="1">
      <alignment horizontal="right"/>
      <protection hidden="1"/>
    </xf>
    <xf numFmtId="0" fontId="0" fillId="35" borderId="129" xfId="0" applyFill="1" applyBorder="1"/>
    <xf numFmtId="0" fontId="0" fillId="35" borderId="130" xfId="0" applyFill="1" applyBorder="1"/>
    <xf numFmtId="0" fontId="0" fillId="35" borderId="131" xfId="0" applyFill="1" applyBorder="1"/>
    <xf numFmtId="0" fontId="87" fillId="35" borderId="0" xfId="0" applyFont="1" applyFill="1" applyAlignment="1" applyProtection="1">
      <alignment horizontal="center" vertical="center"/>
      <protection hidden="1"/>
    </xf>
    <xf numFmtId="0" fontId="88" fillId="35" borderId="0" xfId="0" applyFont="1" applyFill="1" applyProtection="1">
      <protection hidden="1"/>
    </xf>
    <xf numFmtId="0" fontId="88" fillId="35" borderId="0" xfId="0" applyFont="1" applyFill="1" applyAlignment="1" applyProtection="1">
      <alignment vertical="center"/>
      <protection hidden="1"/>
    </xf>
    <xf numFmtId="0" fontId="88" fillId="35" borderId="0" xfId="0" applyFont="1" applyFill="1" applyAlignment="1" applyProtection="1">
      <alignment horizontal="center" vertical="center"/>
      <protection hidden="1"/>
    </xf>
    <xf numFmtId="0" fontId="87" fillId="35" borderId="0" xfId="0" applyFont="1" applyFill="1" applyAlignment="1">
      <alignment horizontal="center" vertical="center"/>
    </xf>
    <xf numFmtId="0" fontId="88" fillId="35" borderId="0" xfId="0" applyFont="1" applyFill="1" applyAlignment="1">
      <alignment horizontal="center" vertical="center"/>
    </xf>
    <xf numFmtId="0" fontId="88" fillId="35" borderId="0" xfId="0" applyFont="1" applyFill="1" applyAlignment="1" applyProtection="1">
      <alignment horizontal="left" vertical="center"/>
      <protection hidden="1"/>
    </xf>
    <xf numFmtId="0" fontId="89" fillId="35" borderId="0" xfId="0" applyFont="1" applyFill="1" applyAlignment="1" applyProtection="1">
      <alignment horizontal="center" vertical="center"/>
      <protection hidden="1"/>
    </xf>
    <xf numFmtId="0" fontId="89" fillId="35" borderId="0" xfId="0" applyFont="1" applyFill="1" applyAlignment="1" applyProtection="1">
      <alignment horizontal="center"/>
      <protection hidden="1"/>
    </xf>
    <xf numFmtId="0" fontId="83" fillId="35" borderId="0" xfId="0" applyFont="1" applyFill="1" applyProtection="1">
      <protection hidden="1"/>
    </xf>
    <xf numFmtId="0" fontId="48" fillId="35" borderId="0" xfId="0" applyFont="1" applyFill="1" applyProtection="1">
      <protection hidden="1"/>
    </xf>
    <xf numFmtId="14" fontId="47" fillId="35" borderId="0" xfId="0" applyNumberFormat="1" applyFont="1" applyFill="1" applyAlignment="1" applyProtection="1">
      <alignment horizontal="center"/>
      <protection hidden="1"/>
    </xf>
    <xf numFmtId="0" fontId="46" fillId="35" borderId="0" xfId="0" applyFont="1" applyFill="1" applyAlignment="1" applyProtection="1">
      <alignment horizontal="right" vertical="center"/>
      <protection hidden="1"/>
    </xf>
    <xf numFmtId="0" fontId="90" fillId="2" borderId="75" xfId="0" applyFont="1" applyFill="1" applyBorder="1" applyAlignment="1" applyProtection="1">
      <alignment horizontal="center" vertical="center"/>
      <protection locked="0" hidden="1"/>
    </xf>
    <xf numFmtId="0" fontId="58" fillId="35" borderId="0" xfId="0" applyFont="1" applyFill="1" applyAlignment="1" applyProtection="1">
      <alignment horizontal="center" vertical="center"/>
      <protection locked="0" hidden="1"/>
    </xf>
    <xf numFmtId="0" fontId="58" fillId="35" borderId="0" xfId="0" applyFont="1" applyFill="1" applyAlignment="1" applyProtection="1">
      <alignment horizontal="center" vertical="center"/>
      <protection hidden="1"/>
    </xf>
    <xf numFmtId="0" fontId="56" fillId="35" borderId="0" xfId="0" applyFont="1" applyFill="1" applyAlignment="1" applyProtection="1">
      <alignment horizontal="center"/>
      <protection hidden="1"/>
    </xf>
    <xf numFmtId="0" fontId="83" fillId="35" borderId="0" xfId="0" applyFont="1" applyFill="1" applyAlignment="1" applyProtection="1">
      <alignment vertical="center" wrapText="1"/>
      <protection hidden="1"/>
    </xf>
    <xf numFmtId="0" fontId="0" fillId="35" borderId="183" xfId="0" applyFill="1" applyBorder="1"/>
    <xf numFmtId="0" fontId="47" fillId="35" borderId="56" xfId="95" applyFont="1" applyFill="1" applyBorder="1" applyAlignment="1" applyProtection="1">
      <alignment vertical="center"/>
      <protection hidden="1"/>
    </xf>
    <xf numFmtId="0" fontId="47" fillId="35" borderId="56" xfId="95" applyFont="1" applyFill="1" applyBorder="1" applyProtection="1">
      <protection hidden="1"/>
    </xf>
    <xf numFmtId="0" fontId="47" fillId="35" borderId="56" xfId="93" applyFont="1" applyFill="1" applyBorder="1" applyAlignment="1" applyProtection="1">
      <alignment vertical="center"/>
      <protection hidden="1"/>
    </xf>
    <xf numFmtId="0" fontId="47" fillId="35" borderId="56" xfId="93" applyFont="1" applyFill="1" applyBorder="1" applyProtection="1">
      <protection hidden="1"/>
    </xf>
    <xf numFmtId="0" fontId="47" fillId="35" borderId="0" xfId="93" applyFont="1" applyFill="1" applyAlignment="1" applyProtection="1">
      <alignment horizontal="right"/>
      <protection hidden="1"/>
    </xf>
    <xf numFmtId="0" fontId="46" fillId="4" borderId="185" xfId="0" applyFont="1" applyFill="1" applyBorder="1" applyAlignment="1" applyProtection="1">
      <alignment horizontal="left" vertical="center"/>
      <protection hidden="1"/>
    </xf>
    <xf numFmtId="0" fontId="46" fillId="0" borderId="185" xfId="0" applyFont="1" applyBorder="1" applyAlignment="1" applyProtection="1">
      <alignment horizontal="left" vertical="center"/>
      <protection hidden="1"/>
    </xf>
    <xf numFmtId="0" fontId="46" fillId="0" borderId="184" xfId="0" applyFont="1" applyBorder="1" applyAlignment="1" applyProtection="1">
      <alignment horizontal="left" vertical="center"/>
      <protection hidden="1"/>
    </xf>
    <xf numFmtId="0" fontId="46" fillId="4" borderId="184"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7"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6" fillId="0" borderId="0" xfId="0" applyFont="1" applyAlignment="1" applyProtection="1">
      <alignment vertical="center"/>
      <protection hidden="1"/>
    </xf>
    <xf numFmtId="0" fontId="56" fillId="35" borderId="0" xfId="95" applyFont="1" applyFill="1" applyAlignment="1" applyProtection="1">
      <alignment horizontal="center"/>
      <protection hidden="1"/>
    </xf>
    <xf numFmtId="14" fontId="56" fillId="35" borderId="0" xfId="95" applyNumberFormat="1" applyFont="1" applyFill="1" applyAlignment="1" applyProtection="1">
      <alignment horizontal="center"/>
      <protection hidden="1"/>
    </xf>
    <xf numFmtId="14" fontId="56" fillId="35" borderId="0" xfId="93" applyNumberFormat="1" applyFont="1" applyFill="1" applyAlignment="1" applyProtection="1">
      <alignment horizontal="center"/>
      <protection hidden="1"/>
    </xf>
    <xf numFmtId="0" fontId="55" fillId="35" borderId="0" xfId="0" applyFont="1" applyFill="1" applyAlignment="1" applyProtection="1">
      <alignment horizontal="left"/>
      <protection hidden="1"/>
    </xf>
    <xf numFmtId="0" fontId="49" fillId="35" borderId="106" xfId="90" applyFont="1" applyFill="1" applyBorder="1" applyAlignment="1" applyProtection="1">
      <alignment horizontal="center" wrapText="1"/>
      <protection hidden="1"/>
    </xf>
    <xf numFmtId="14" fontId="48" fillId="2" borderId="186" xfId="90" applyNumberFormat="1" applyFont="1" applyFill="1" applyBorder="1" applyAlignment="1" applyProtection="1">
      <alignment horizontal="center" vertical="center"/>
      <protection locked="0" hidden="1"/>
    </xf>
    <xf numFmtId="0" fontId="93" fillId="35" borderId="183" xfId="0" applyFont="1" applyFill="1" applyBorder="1" applyAlignment="1">
      <alignment horizontal="center"/>
    </xf>
    <xf numFmtId="0" fontId="72" fillId="2" borderId="186" xfId="90" applyFont="1" applyFill="1" applyBorder="1" applyAlignment="1" applyProtection="1">
      <alignment horizontal="center" vertical="center"/>
      <protection locked="0" hidden="1"/>
    </xf>
    <xf numFmtId="0" fontId="47" fillId="35" borderId="0" xfId="0" applyFont="1" applyFill="1"/>
    <xf numFmtId="0" fontId="47" fillId="39" borderId="117" xfId="0" applyFont="1" applyFill="1" applyBorder="1" applyAlignment="1">
      <alignment vertical="center"/>
    </xf>
    <xf numFmtId="0" fontId="47" fillId="2" borderId="0" xfId="0" applyFont="1" applyFill="1" applyAlignment="1">
      <alignment vertical="center"/>
    </xf>
    <xf numFmtId="10" fontId="47" fillId="40" borderId="118" xfId="97" applyNumberFormat="1" applyFont="1" applyFill="1" applyBorder="1" applyAlignment="1">
      <alignment vertical="center"/>
    </xf>
    <xf numFmtId="0" fontId="47" fillId="41" borderId="117" xfId="0" applyFont="1" applyFill="1" applyBorder="1" applyAlignment="1">
      <alignment vertical="center"/>
    </xf>
    <xf numFmtId="0" fontId="47" fillId="41" borderId="119" xfId="0" applyFont="1" applyFill="1" applyBorder="1" applyAlignment="1">
      <alignment vertical="center"/>
    </xf>
    <xf numFmtId="2" fontId="47" fillId="2" borderId="120" xfId="0" applyNumberFormat="1" applyFont="1" applyFill="1" applyBorder="1" applyAlignment="1">
      <alignment vertical="center"/>
    </xf>
    <xf numFmtId="0" fontId="47" fillId="40" borderId="121" xfId="0" applyFont="1" applyFill="1" applyBorder="1" applyAlignment="1">
      <alignment vertical="center"/>
    </xf>
    <xf numFmtId="0" fontId="94" fillId="37" borderId="135" xfId="0" applyFont="1" applyFill="1" applyBorder="1" applyAlignment="1">
      <alignment horizontal="center"/>
    </xf>
    <xf numFmtId="0" fontId="94" fillId="5" borderId="135" xfId="0" quotePrefix="1" applyFont="1" applyFill="1" applyBorder="1" applyAlignment="1">
      <alignment horizontal="center"/>
    </xf>
    <xf numFmtId="0" fontId="94" fillId="9" borderId="135" xfId="0" quotePrefix="1" applyFont="1" applyFill="1" applyBorder="1" applyAlignment="1">
      <alignment horizontal="center"/>
    </xf>
    <xf numFmtId="0" fontId="94" fillId="6" borderId="135" xfId="0" quotePrefix="1" applyFont="1" applyFill="1" applyBorder="1" applyAlignment="1">
      <alignment horizontal="center"/>
    </xf>
    <xf numFmtId="0" fontId="94" fillId="8" borderId="135" xfId="0" quotePrefix="1" applyFont="1" applyFill="1" applyBorder="1" applyAlignment="1">
      <alignment horizontal="center"/>
    </xf>
    <xf numFmtId="0" fontId="94" fillId="25" borderId="135" xfId="0" applyFont="1" applyFill="1" applyBorder="1" applyAlignment="1">
      <alignment horizontal="center"/>
    </xf>
    <xf numFmtId="0" fontId="94" fillId="24" borderId="135" xfId="0" applyFont="1" applyFill="1" applyBorder="1" applyAlignment="1">
      <alignment horizontal="center"/>
    </xf>
    <xf numFmtId="0" fontId="94" fillId="23" borderId="136" xfId="0" applyFont="1" applyFill="1" applyBorder="1" applyAlignment="1">
      <alignment horizontal="center"/>
    </xf>
    <xf numFmtId="0" fontId="47" fillId="42" borderId="0" xfId="0" applyFont="1" applyFill="1" applyAlignment="1">
      <alignment horizontal="center" vertical="center"/>
    </xf>
    <xf numFmtId="0" fontId="47" fillId="42" borderId="124" xfId="0" applyFont="1" applyFill="1" applyBorder="1" applyAlignment="1">
      <alignment horizontal="center" vertical="center"/>
    </xf>
    <xf numFmtId="0" fontId="47" fillId="43" borderId="0" xfId="0" applyFont="1" applyFill="1" applyAlignment="1">
      <alignment horizontal="center" vertical="center"/>
    </xf>
    <xf numFmtId="0" fontId="47" fillId="43" borderId="124" xfId="0" applyFont="1" applyFill="1" applyBorder="1" applyAlignment="1">
      <alignment horizontal="center" vertical="center"/>
    </xf>
    <xf numFmtId="0" fontId="47" fillId="43" borderId="126" xfId="0" applyFont="1" applyFill="1" applyBorder="1" applyAlignment="1">
      <alignment horizontal="center" vertical="center"/>
    </xf>
    <xf numFmtId="0" fontId="47" fillId="43" borderId="127" xfId="0" applyFont="1" applyFill="1" applyBorder="1" applyAlignment="1">
      <alignment horizontal="center" vertical="center"/>
    </xf>
    <xf numFmtId="0" fontId="56" fillId="35" borderId="0" xfId="0" applyFont="1" applyFill="1" applyAlignment="1">
      <alignment vertical="center"/>
    </xf>
    <xf numFmtId="0" fontId="47" fillId="35" borderId="0" xfId="0" applyFont="1" applyFill="1" applyAlignment="1">
      <alignment horizontal="center" vertical="center"/>
    </xf>
    <xf numFmtId="0" fontId="47" fillId="35" borderId="0" xfId="0" applyFont="1" applyFill="1" applyAlignment="1">
      <alignment horizontal="right" vertical="center"/>
    </xf>
    <xf numFmtId="0" fontId="47" fillId="4" borderId="138" xfId="0" applyFont="1" applyFill="1" applyBorder="1" applyAlignment="1" applyProtection="1">
      <alignment horizontal="center" wrapText="1"/>
      <protection hidden="1"/>
    </xf>
    <xf numFmtId="0" fontId="47" fillId="4" borderId="148" xfId="0" applyFont="1" applyFill="1" applyBorder="1" applyAlignment="1" applyProtection="1">
      <alignment horizontal="center" wrapText="1"/>
      <protection hidden="1"/>
    </xf>
    <xf numFmtId="0" fontId="47" fillId="4" borderId="138" xfId="0" applyFont="1" applyFill="1" applyBorder="1" applyAlignment="1" applyProtection="1">
      <alignment horizontal="center" vertical="center" wrapText="1"/>
      <protection hidden="1"/>
    </xf>
    <xf numFmtId="0" fontId="47" fillId="4" borderId="148"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7" fillId="4" borderId="0" xfId="0" applyFont="1" applyFill="1" applyAlignment="1" applyProtection="1">
      <alignment horizontal="center" wrapText="1"/>
      <protection hidden="1"/>
    </xf>
    <xf numFmtId="0" fontId="47" fillId="4" borderId="21" xfId="0" applyFont="1" applyFill="1" applyBorder="1" applyAlignment="1" applyProtection="1">
      <alignment horizontal="center" wrapText="1"/>
      <protection hidden="1"/>
    </xf>
    <xf numFmtId="0" fontId="47" fillId="4" borderId="17" xfId="0" applyFont="1" applyFill="1" applyBorder="1" applyAlignment="1" applyProtection="1">
      <alignment vertical="center"/>
      <protection hidden="1"/>
    </xf>
    <xf numFmtId="0" fontId="47" fillId="4" borderId="0" xfId="0" applyFont="1" applyFill="1" applyAlignment="1" applyProtection="1">
      <alignment vertical="center"/>
      <protection hidden="1"/>
    </xf>
    <xf numFmtId="0" fontId="47" fillId="4" borderId="21" xfId="0" applyFont="1" applyFill="1" applyBorder="1" applyAlignment="1" applyProtection="1">
      <alignment vertical="center"/>
      <protection hidden="1"/>
    </xf>
    <xf numFmtId="0" fontId="47" fillId="4" borderId="15" xfId="0" applyFont="1" applyFill="1" applyBorder="1" applyAlignment="1" applyProtection="1">
      <alignment vertical="center"/>
      <protection hidden="1"/>
    </xf>
    <xf numFmtId="0" fontId="47" fillId="4" borderId="157" xfId="0" applyFont="1" applyFill="1" applyBorder="1" applyAlignment="1" applyProtection="1">
      <alignment vertical="center"/>
      <protection hidden="1"/>
    </xf>
    <xf numFmtId="0" fontId="47" fillId="4" borderId="15" xfId="0" applyFont="1" applyFill="1" applyBorder="1" applyAlignment="1" applyProtection="1">
      <alignment vertical="center" wrapText="1"/>
      <protection hidden="1"/>
    </xf>
    <xf numFmtId="0" fontId="47" fillId="4" borderId="0" xfId="0" applyFont="1" applyFill="1" applyAlignment="1" applyProtection="1">
      <alignment vertical="center" wrapText="1"/>
      <protection hidden="1"/>
    </xf>
    <xf numFmtId="0" fontId="47" fillId="4" borderId="21"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6" fillId="35" borderId="0" xfId="0" applyFont="1" applyFill="1" applyAlignment="1" applyProtection="1">
      <alignment horizontal="left"/>
      <protection locked="0"/>
    </xf>
    <xf numFmtId="0" fontId="61"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6" xfId="0" applyFont="1" applyFill="1" applyBorder="1" applyAlignment="1" applyProtection="1">
      <alignment horizontal="center" vertical="center"/>
      <protection hidden="1"/>
    </xf>
    <xf numFmtId="0" fontId="47" fillId="4" borderId="27" xfId="0" applyFont="1" applyFill="1" applyBorder="1" applyAlignment="1" applyProtection="1">
      <alignment horizontal="left"/>
      <protection hidden="1"/>
    </xf>
    <xf numFmtId="0" fontId="47" fillId="4" borderId="27" xfId="0" applyFont="1" applyFill="1" applyBorder="1" applyAlignment="1" applyProtection="1">
      <alignment horizontal="center"/>
      <protection hidden="1"/>
    </xf>
    <xf numFmtId="0" fontId="47" fillId="4" borderId="27" xfId="0" applyFont="1" applyFill="1" applyBorder="1" applyProtection="1">
      <protection hidden="1"/>
    </xf>
    <xf numFmtId="0" fontId="48" fillId="3" borderId="28" xfId="0" applyFont="1" applyFill="1" applyBorder="1" applyAlignment="1" applyProtection="1">
      <alignment horizontal="left" vertical="center"/>
      <protection hidden="1"/>
    </xf>
    <xf numFmtId="0" fontId="48" fillId="3" borderId="57" xfId="0" applyFont="1" applyFill="1" applyBorder="1" applyAlignment="1" applyProtection="1">
      <alignment horizontal="left" vertical="center"/>
      <protection hidden="1"/>
    </xf>
    <xf numFmtId="0" fontId="48" fillId="3" borderId="57" xfId="0" applyFont="1" applyFill="1" applyBorder="1" applyAlignment="1" applyProtection="1">
      <alignment horizontal="center" vertical="center"/>
      <protection hidden="1"/>
    </xf>
    <xf numFmtId="0" fontId="48" fillId="3" borderId="58" xfId="0" applyFont="1" applyFill="1" applyBorder="1" applyAlignment="1" applyProtection="1">
      <alignment horizontal="center" vertical="center"/>
      <protection hidden="1"/>
    </xf>
    <xf numFmtId="0" fontId="10" fillId="17" borderId="16" xfId="0" applyFont="1" applyFill="1" applyBorder="1" applyAlignment="1" applyProtection="1">
      <alignment horizontal="center" vertical="center"/>
      <protection hidden="1"/>
    </xf>
    <xf numFmtId="0" fontId="47" fillId="35" borderId="0" xfId="0" applyFont="1" applyFill="1" applyAlignment="1" applyProtection="1">
      <alignment horizontal="center"/>
      <protection hidden="1"/>
    </xf>
    <xf numFmtId="0" fontId="48" fillId="5" borderId="29" xfId="0" applyFont="1" applyFill="1" applyBorder="1" applyAlignment="1" applyProtection="1">
      <alignment horizontal="center" vertical="center"/>
      <protection hidden="1"/>
    </xf>
    <xf numFmtId="0" fontId="47" fillId="5" borderId="29" xfId="0" applyFont="1" applyFill="1" applyBorder="1" applyAlignment="1" applyProtection="1">
      <alignment horizontal="center" vertical="center"/>
      <protection hidden="1"/>
    </xf>
    <xf numFmtId="0" fontId="47" fillId="5" borderId="34" xfId="0" applyFont="1" applyFill="1" applyBorder="1" applyAlignment="1" applyProtection="1">
      <alignment horizontal="center" vertical="top"/>
      <protection hidden="1"/>
    </xf>
    <xf numFmtId="0" fontId="47" fillId="9" borderId="0" xfId="0" applyFont="1" applyFill="1" applyProtection="1">
      <protection hidden="1"/>
    </xf>
    <xf numFmtId="0" fontId="0" fillId="6" borderId="0" xfId="0" applyFill="1" applyAlignment="1" applyProtection="1">
      <alignment horizontal="center" vertical="center"/>
      <protection hidden="1"/>
    </xf>
    <xf numFmtId="0" fontId="47"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0" fillId="0" borderId="77" xfId="0" applyBorder="1" applyAlignment="1" applyProtection="1">
      <alignment horizontal="right"/>
      <protection hidden="1"/>
    </xf>
    <xf numFmtId="0" fontId="4" fillId="37" borderId="78" xfId="0" applyFont="1" applyFill="1" applyBorder="1" applyAlignment="1" applyProtection="1">
      <alignment horizontal="center"/>
      <protection hidden="1"/>
    </xf>
    <xf numFmtId="0" fontId="4" fillId="5" borderId="78" xfId="0" quotePrefix="1" applyFont="1" applyFill="1" applyBorder="1" applyAlignment="1" applyProtection="1">
      <alignment horizontal="center"/>
      <protection hidden="1"/>
    </xf>
    <xf numFmtId="0" fontId="4" fillId="9" borderId="78" xfId="0" quotePrefix="1" applyFont="1" applyFill="1" applyBorder="1" applyAlignment="1" applyProtection="1">
      <alignment horizontal="center"/>
      <protection hidden="1"/>
    </xf>
    <xf numFmtId="0" fontId="4" fillId="6" borderId="78" xfId="0" quotePrefix="1" applyFont="1" applyFill="1" applyBorder="1" applyAlignment="1" applyProtection="1">
      <alignment horizontal="center"/>
      <protection hidden="1"/>
    </xf>
    <xf numFmtId="0" fontId="4" fillId="8" borderId="78" xfId="0" quotePrefix="1" applyFont="1" applyFill="1" applyBorder="1" applyAlignment="1" applyProtection="1">
      <alignment horizontal="center"/>
      <protection hidden="1"/>
    </xf>
    <xf numFmtId="0" fontId="4" fillId="25" borderId="78" xfId="0" applyFont="1" applyFill="1" applyBorder="1" applyAlignment="1" applyProtection="1">
      <alignment horizontal="center"/>
      <protection hidden="1"/>
    </xf>
    <xf numFmtId="0" fontId="4" fillId="24" borderId="78" xfId="0" applyFont="1" applyFill="1" applyBorder="1" applyAlignment="1" applyProtection="1">
      <alignment horizontal="center"/>
      <protection hidden="1"/>
    </xf>
    <xf numFmtId="0" fontId="4" fillId="23" borderId="79" xfId="0" applyFont="1" applyFill="1" applyBorder="1" applyAlignment="1" applyProtection="1">
      <alignment horizontal="center"/>
      <protection hidden="1"/>
    </xf>
    <xf numFmtId="0" fontId="10" fillId="11" borderId="18" xfId="0" applyFont="1" applyFill="1" applyBorder="1" applyAlignment="1" applyProtection="1">
      <alignment horizontal="center" vertical="center"/>
      <protection hidden="1"/>
    </xf>
    <xf numFmtId="0" fontId="47" fillId="4" borderId="25" xfId="0" applyFont="1" applyFill="1" applyBorder="1" applyAlignment="1" applyProtection="1">
      <alignment horizontal="left"/>
      <protection hidden="1"/>
    </xf>
    <xf numFmtId="0" fontId="47" fillId="4" borderId="25" xfId="0" applyFont="1" applyFill="1" applyBorder="1" applyAlignment="1" applyProtection="1">
      <alignment horizontal="center"/>
      <protection hidden="1"/>
    </xf>
    <xf numFmtId="0" fontId="47" fillId="4" borderId="25" xfId="0" applyFont="1" applyFill="1" applyBorder="1" applyProtection="1">
      <protection hidden="1"/>
    </xf>
    <xf numFmtId="0" fontId="47" fillId="4" borderId="53" xfId="0" applyFont="1" applyFill="1" applyBorder="1" applyProtection="1">
      <protection hidden="1"/>
    </xf>
    <xf numFmtId="0" fontId="48" fillId="4" borderId="55" xfId="0" applyFont="1" applyFill="1" applyBorder="1" applyAlignment="1" applyProtection="1">
      <alignment horizontal="left"/>
      <protection hidden="1"/>
    </xf>
    <xf numFmtId="0" fontId="48" fillId="4" borderId="55" xfId="0" applyFont="1" applyFill="1" applyBorder="1" applyAlignment="1" applyProtection="1">
      <alignment horizontal="center" vertical="center"/>
      <protection hidden="1"/>
    </xf>
    <xf numFmtId="0" fontId="47" fillId="4" borderId="55" xfId="0" applyFont="1" applyFill="1" applyBorder="1" applyAlignment="1" applyProtection="1">
      <alignment horizontal="center" vertical="center"/>
      <protection hidden="1"/>
    </xf>
    <xf numFmtId="0" fontId="47" fillId="4" borderId="59" xfId="0" applyFont="1" applyFill="1" applyBorder="1" applyAlignment="1" applyProtection="1">
      <alignment horizontal="center" vertical="center"/>
      <protection hidden="1"/>
    </xf>
    <xf numFmtId="0" fontId="10" fillId="17" borderId="18" xfId="0" applyFont="1" applyFill="1" applyBorder="1" applyAlignment="1" applyProtection="1">
      <alignment horizontal="center" vertical="center"/>
      <protection hidden="1"/>
    </xf>
    <xf numFmtId="0" fontId="47" fillId="5" borderId="30" xfId="0" applyFont="1" applyFill="1" applyBorder="1" applyAlignment="1" applyProtection="1">
      <alignment horizontal="center" vertical="center"/>
      <protection hidden="1"/>
    </xf>
    <xf numFmtId="0" fontId="47" fillId="5" borderId="35" xfId="0" applyFont="1" applyFill="1" applyBorder="1" applyAlignment="1" applyProtection="1">
      <alignment horizontal="center" vertical="center"/>
      <protection hidden="1"/>
    </xf>
    <xf numFmtId="0" fontId="56" fillId="35" borderId="38" xfId="0" applyFont="1" applyFill="1" applyBorder="1" applyAlignment="1" applyProtection="1">
      <alignment horizontal="right" vertical="center"/>
      <protection hidden="1"/>
    </xf>
    <xf numFmtId="0" fontId="48" fillId="9" borderId="29" xfId="0" applyFont="1" applyFill="1" applyBorder="1" applyAlignment="1" applyProtection="1">
      <alignment horizontal="center" vertical="center"/>
      <protection hidden="1"/>
    </xf>
    <xf numFmtId="0" fontId="47" fillId="9" borderId="29" xfId="0" applyFont="1" applyFill="1" applyBorder="1" applyAlignment="1" applyProtection="1">
      <alignment horizontal="center" vertical="center"/>
      <protection hidden="1"/>
    </xf>
    <xf numFmtId="0" fontId="47" fillId="9" borderId="34" xfId="0" applyFont="1" applyFill="1" applyBorder="1" applyAlignment="1" applyProtection="1">
      <alignment horizontal="center" vertical="center"/>
      <protection hidden="1"/>
    </xf>
    <xf numFmtId="0" fontId="47" fillId="6" borderId="0" xfId="0" applyFont="1" applyFill="1" applyAlignment="1" applyProtection="1">
      <alignment horizontal="center" vertical="center"/>
      <protection hidden="1"/>
    </xf>
    <xf numFmtId="0" fontId="47" fillId="10" borderId="0" xfId="0" applyFont="1" applyFill="1" applyAlignment="1" applyProtection="1">
      <alignment horizontal="center" vertical="center"/>
      <protection hidden="1"/>
    </xf>
    <xf numFmtId="0" fontId="49" fillId="35" borderId="0" xfId="0" applyFont="1" applyFill="1" applyProtection="1">
      <protection hidden="1"/>
    </xf>
    <xf numFmtId="0" fontId="0" fillId="0" borderId="80" xfId="0" applyBorder="1" applyAlignment="1" applyProtection="1">
      <alignment horizontal="right"/>
      <protection hidden="1"/>
    </xf>
    <xf numFmtId="165" fontId="0" fillId="0" borderId="72" xfId="0" applyNumberFormat="1" applyBorder="1" applyProtection="1">
      <protection hidden="1"/>
    </xf>
    <xf numFmtId="165" fontId="56" fillId="0" borderId="72" xfId="0" applyNumberFormat="1" applyFont="1" applyBorder="1" applyProtection="1">
      <protection hidden="1"/>
    </xf>
    <xf numFmtId="165" fontId="9" fillId="0" borderId="72" xfId="0" applyNumberFormat="1" applyFont="1" applyBorder="1" applyProtection="1">
      <protection hidden="1"/>
    </xf>
    <xf numFmtId="165" fontId="0" fillId="0" borderId="81" xfId="0" applyNumberFormat="1" applyBorder="1" applyProtection="1">
      <protection hidden="1"/>
    </xf>
    <xf numFmtId="0" fontId="47" fillId="4" borderId="54" xfId="0" applyFont="1" applyFill="1" applyBorder="1" applyProtection="1">
      <protection hidden="1"/>
    </xf>
    <xf numFmtId="0" fontId="48" fillId="4" borderId="0" xfId="0" applyFont="1" applyFill="1" applyAlignment="1" applyProtection="1">
      <alignment horizontal="left"/>
      <protection hidden="1"/>
    </xf>
    <xf numFmtId="0" fontId="47" fillId="5" borderId="31" xfId="0" applyFont="1" applyFill="1" applyBorder="1" applyAlignment="1" applyProtection="1">
      <alignment horizontal="center" vertical="center"/>
      <protection hidden="1"/>
    </xf>
    <xf numFmtId="0" fontId="47" fillId="5" borderId="36" xfId="0" applyFont="1" applyFill="1" applyBorder="1" applyAlignment="1" applyProtection="1">
      <alignment horizontal="center" vertical="center"/>
      <protection hidden="1"/>
    </xf>
    <xf numFmtId="0" fontId="47" fillId="9" borderId="40" xfId="0" applyFont="1" applyFill="1" applyBorder="1" applyAlignment="1" applyProtection="1">
      <alignment horizontal="center" vertical="center"/>
      <protection hidden="1"/>
    </xf>
    <xf numFmtId="0" fontId="47" fillId="5" borderId="33"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top"/>
      <protection hidden="1"/>
    </xf>
    <xf numFmtId="0" fontId="47" fillId="9" borderId="0" xfId="0" applyFont="1" applyFill="1" applyAlignment="1" applyProtection="1">
      <alignment horizontal="center" vertical="center"/>
      <protection hidden="1"/>
    </xf>
    <xf numFmtId="0" fontId="47" fillId="9" borderId="36" xfId="0" applyFont="1" applyFill="1" applyBorder="1" applyAlignment="1" applyProtection="1">
      <alignment horizontal="center" vertical="center"/>
      <protection hidden="1"/>
    </xf>
    <xf numFmtId="0" fontId="48" fillId="4" borderId="56" xfId="0" applyFont="1" applyFill="1" applyBorder="1" applyAlignment="1" applyProtection="1">
      <alignment horizontal="left"/>
      <protection hidden="1"/>
    </xf>
    <xf numFmtId="0" fontId="48" fillId="4" borderId="56" xfId="0" applyFont="1" applyFill="1" applyBorder="1" applyAlignment="1" applyProtection="1">
      <alignment horizontal="center" vertical="center"/>
      <protection hidden="1"/>
    </xf>
    <xf numFmtId="0" fontId="47" fillId="4" borderId="56" xfId="0" applyFont="1" applyFill="1" applyBorder="1" applyAlignment="1" applyProtection="1">
      <alignment horizontal="center" vertical="center"/>
      <protection hidden="1"/>
    </xf>
    <xf numFmtId="0" fontId="47" fillId="4" borderId="60" xfId="0" applyFont="1" applyFill="1" applyBorder="1" applyAlignment="1" applyProtection="1">
      <alignment horizontal="center" vertical="center"/>
      <protection hidden="1"/>
    </xf>
    <xf numFmtId="0" fontId="48" fillId="5" borderId="30" xfId="0" applyFont="1" applyFill="1" applyBorder="1" applyAlignment="1" applyProtection="1">
      <alignment horizontal="center" vertical="center"/>
      <protection hidden="1"/>
    </xf>
    <xf numFmtId="0" fontId="47" fillId="5" borderId="32" xfId="0" applyFont="1" applyFill="1" applyBorder="1" applyAlignment="1" applyProtection="1">
      <alignment horizontal="center" vertical="center"/>
      <protection hidden="1"/>
    </xf>
    <xf numFmtId="0" fontId="47" fillId="5" borderId="0" xfId="0" applyFont="1" applyFill="1" applyAlignment="1" applyProtection="1">
      <alignment horizontal="center"/>
      <protection hidden="1"/>
    </xf>
    <xf numFmtId="0" fontId="48" fillId="6" borderId="29" xfId="0" applyFont="1" applyFill="1" applyBorder="1" applyAlignment="1" applyProtection="1">
      <alignment horizontal="center" vertical="center"/>
      <protection hidden="1"/>
    </xf>
    <xf numFmtId="0" fontId="47" fillId="6" borderId="29" xfId="0" applyFont="1" applyFill="1" applyBorder="1" applyAlignment="1" applyProtection="1">
      <alignment horizontal="center" vertical="center"/>
      <protection hidden="1"/>
    </xf>
    <xf numFmtId="0" fontId="47" fillId="6" borderId="34" xfId="0"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47" fillId="4" borderId="22" xfId="0" applyFont="1" applyFill="1" applyBorder="1" applyAlignment="1" applyProtection="1">
      <alignment horizontal="left"/>
      <protection hidden="1"/>
    </xf>
    <xf numFmtId="0" fontId="47" fillId="4" borderId="22" xfId="0" applyFont="1" applyFill="1" applyBorder="1" applyAlignment="1" applyProtection="1">
      <alignment horizontal="center"/>
      <protection hidden="1"/>
    </xf>
    <xf numFmtId="0" fontId="47" fillId="4" borderId="22" xfId="0" applyFont="1" applyFill="1" applyBorder="1" applyProtection="1">
      <protection hidden="1"/>
    </xf>
    <xf numFmtId="0" fontId="47" fillId="3" borderId="21" xfId="0" applyFont="1" applyFill="1" applyBorder="1" applyAlignment="1" applyProtection="1">
      <alignment horizontal="left"/>
      <protection hidden="1"/>
    </xf>
    <xf numFmtId="0" fontId="47" fillId="3" borderId="21" xfId="0" applyFont="1" applyFill="1" applyBorder="1" applyProtection="1">
      <protection hidden="1"/>
    </xf>
    <xf numFmtId="0" fontId="47" fillId="3" borderId="23" xfId="0" applyFont="1" applyFill="1" applyBorder="1" applyProtection="1">
      <protection hidden="1"/>
    </xf>
    <xf numFmtId="0" fontId="10" fillId="17" borderId="20" xfId="0" applyFont="1" applyFill="1" applyBorder="1" applyAlignment="1" applyProtection="1">
      <alignment horizontal="center" vertical="center"/>
      <protection hidden="1"/>
    </xf>
    <xf numFmtId="0" fontId="47" fillId="5" borderId="0" xfId="0" applyFont="1" applyFill="1" applyProtection="1">
      <protection hidden="1"/>
    </xf>
    <xf numFmtId="0" fontId="47" fillId="6" borderId="35"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7" fillId="5" borderId="34" xfId="0" applyFont="1" applyFill="1" applyBorder="1" applyAlignment="1" applyProtection="1">
      <alignment horizontal="center" vertical="center"/>
      <protection hidden="1"/>
    </xf>
    <xf numFmtId="0" fontId="47" fillId="6" borderId="36" xfId="0" applyFont="1" applyFill="1" applyBorder="1" applyAlignment="1" applyProtection="1">
      <alignment horizontal="center" vertical="center"/>
      <protection hidden="1"/>
    </xf>
    <xf numFmtId="0" fontId="56" fillId="35" borderId="39" xfId="0" applyFont="1" applyFill="1" applyBorder="1" applyAlignment="1" applyProtection="1">
      <alignment horizontal="right" vertical="center"/>
      <protection hidden="1"/>
    </xf>
    <xf numFmtId="0" fontId="47" fillId="9" borderId="37" xfId="0" applyFont="1" applyFill="1" applyBorder="1" applyAlignment="1" applyProtection="1">
      <alignment horizontal="center" vertical="center"/>
      <protection hidden="1"/>
    </xf>
    <xf numFmtId="0" fontId="0" fillId="2" borderId="0" xfId="0" applyFill="1" applyProtection="1">
      <protection hidden="1"/>
    </xf>
    <xf numFmtId="0" fontId="10" fillId="13" borderId="16" xfId="0" applyFont="1" applyFill="1" applyBorder="1" applyAlignment="1" applyProtection="1">
      <alignment horizontal="center" vertical="center"/>
      <protection hidden="1"/>
    </xf>
    <xf numFmtId="0" fontId="10" fillId="18" borderId="16" xfId="0" applyFont="1" applyFill="1" applyBorder="1" applyAlignment="1" applyProtection="1">
      <alignment horizontal="center" vertical="center"/>
      <protection hidden="1"/>
    </xf>
    <xf numFmtId="0" fontId="10" fillId="13" borderId="18" xfId="0" applyFont="1" applyFill="1" applyBorder="1" applyAlignment="1" applyProtection="1">
      <alignment horizontal="center" vertical="center"/>
      <protection hidden="1"/>
    </xf>
    <xf numFmtId="0" fontId="10" fillId="18" borderId="18"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center"/>
      <protection hidden="1"/>
    </xf>
    <xf numFmtId="0" fontId="47" fillId="5" borderId="0" xfId="0" applyFont="1" applyFill="1" applyAlignment="1" applyProtection="1">
      <alignment horizontal="center" vertical="center"/>
      <protection hidden="1"/>
    </xf>
    <xf numFmtId="0" fontId="48" fillId="8" borderId="29" xfId="0" applyFont="1" applyFill="1" applyBorder="1" applyAlignment="1" applyProtection="1">
      <alignment horizontal="center" vertical="center"/>
      <protection hidden="1"/>
    </xf>
    <xf numFmtId="0" fontId="47" fillId="8" borderId="29" xfId="0" applyFont="1" applyFill="1" applyBorder="1" applyAlignment="1" applyProtection="1">
      <alignment horizontal="center" vertical="center"/>
      <protection hidden="1"/>
    </xf>
    <xf numFmtId="0" fontId="47" fillId="8" borderId="34" xfId="0" applyFont="1" applyFill="1" applyBorder="1" applyAlignment="1" applyProtection="1">
      <alignment horizontal="center" vertical="center"/>
      <protection hidden="1"/>
    </xf>
    <xf numFmtId="0" fontId="47" fillId="8" borderId="35" xfId="0" applyFont="1" applyFill="1" applyBorder="1" applyAlignment="1" applyProtection="1">
      <alignment horizontal="center" vertical="center"/>
      <protection hidden="1"/>
    </xf>
    <xf numFmtId="0" fontId="47" fillId="8" borderId="36" xfId="0" applyFont="1" applyFill="1" applyBorder="1" applyAlignment="1" applyProtection="1">
      <alignment horizontal="center" vertical="center"/>
      <protection hidden="1"/>
    </xf>
    <xf numFmtId="0" fontId="10" fillId="13" borderId="20" xfId="0" applyFont="1" applyFill="1" applyBorder="1" applyAlignment="1" applyProtection="1">
      <alignment horizontal="center" vertical="center"/>
      <protection hidden="1"/>
    </xf>
    <xf numFmtId="0" fontId="10" fillId="18" borderId="20" xfId="0" applyFont="1" applyFill="1" applyBorder="1" applyAlignment="1" applyProtection="1">
      <alignment horizontal="center" vertical="center"/>
      <protection hidden="1"/>
    </xf>
    <xf numFmtId="0" fontId="47" fillId="9" borderId="43" xfId="0" applyFont="1" applyFill="1" applyBorder="1" applyAlignment="1" applyProtection="1">
      <alignment horizontal="center" vertical="center"/>
      <protection hidden="1"/>
    </xf>
    <xf numFmtId="0" fontId="49"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6" xfId="0" applyFont="1" applyFill="1" applyBorder="1" applyAlignment="1" applyProtection="1">
      <alignment horizontal="center" vertical="center"/>
      <protection hidden="1"/>
    </xf>
    <xf numFmtId="0" fontId="10" fillId="19" borderId="16" xfId="0" applyFont="1" applyFill="1" applyBorder="1" applyAlignment="1" applyProtection="1">
      <alignment horizontal="center" vertical="center"/>
      <protection hidden="1"/>
    </xf>
    <xf numFmtId="0" fontId="47" fillId="6" borderId="37" xfId="0" applyFont="1" applyFill="1" applyBorder="1" applyAlignment="1" applyProtection="1">
      <alignment horizontal="center" vertical="center"/>
      <protection hidden="1"/>
    </xf>
    <xf numFmtId="0" fontId="10" fillId="12" borderId="18" xfId="0" applyFont="1" applyFill="1" applyBorder="1" applyAlignment="1" applyProtection="1">
      <alignment horizontal="center" vertical="center"/>
      <protection hidden="1"/>
    </xf>
    <xf numFmtId="0" fontId="10" fillId="19" borderId="18" xfId="0" applyFont="1" applyFill="1" applyBorder="1" applyAlignment="1" applyProtection="1">
      <alignment horizontal="center" vertical="center"/>
      <protection hidden="1"/>
    </xf>
    <xf numFmtId="0" fontId="59" fillId="3" borderId="0" xfId="0" applyFont="1" applyFill="1" applyAlignment="1" applyProtection="1">
      <alignment horizontal="center" vertical="center"/>
      <protection hidden="1"/>
    </xf>
    <xf numFmtId="0" fontId="47" fillId="3" borderId="0" xfId="0" applyFont="1" applyFill="1" applyProtection="1">
      <protection hidden="1"/>
    </xf>
    <xf numFmtId="0" fontId="0" fillId="4" borderId="44" xfId="0" applyFill="1" applyBorder="1" applyAlignment="1" applyProtection="1">
      <alignment horizontal="center"/>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47" fillId="4" borderId="0" xfId="0" applyFont="1" applyFill="1" applyAlignment="1" applyProtection="1">
      <alignment horizontal="center"/>
      <protection hidden="1"/>
    </xf>
    <xf numFmtId="0" fontId="0" fillId="4" borderId="48" xfId="0" applyFill="1" applyBorder="1" applyAlignment="1" applyProtection="1">
      <alignment horizontal="center"/>
      <protection hidden="1"/>
    </xf>
    <xf numFmtId="0" fontId="47" fillId="23" borderId="0" xfId="0" applyFont="1" applyFill="1" applyAlignment="1" applyProtection="1">
      <alignment horizontal="center"/>
      <protection hidden="1"/>
    </xf>
    <xf numFmtId="0" fontId="10" fillId="12" borderId="20" xfId="0" applyFont="1" applyFill="1" applyBorder="1" applyAlignment="1" applyProtection="1">
      <alignment horizontal="center" vertical="center"/>
      <protection hidden="1"/>
    </xf>
    <xf numFmtId="0" fontId="10" fillId="19" borderId="20" xfId="0" applyFont="1" applyFill="1" applyBorder="1" applyAlignment="1" applyProtection="1">
      <alignment horizontal="center" vertical="center"/>
      <protection hidden="1"/>
    </xf>
    <xf numFmtId="0" fontId="47" fillId="24" borderId="0" xfId="0" applyFont="1" applyFill="1" applyAlignment="1" applyProtection="1">
      <alignment horizontal="center"/>
      <protection hidden="1"/>
    </xf>
    <xf numFmtId="0" fontId="56" fillId="35" borderId="41" xfId="0" applyFont="1" applyFill="1" applyBorder="1" applyProtection="1">
      <protection hidden="1"/>
    </xf>
    <xf numFmtId="0" fontId="47" fillId="10" borderId="42" xfId="0" applyFont="1" applyFill="1" applyBorder="1" applyAlignment="1" applyProtection="1">
      <alignment horizontal="center" vertical="center"/>
      <protection hidden="1"/>
    </xf>
    <xf numFmtId="0" fontId="56" fillId="35" borderId="39" xfId="0" applyFont="1" applyFill="1" applyBorder="1" applyProtection="1">
      <protection hidden="1"/>
    </xf>
    <xf numFmtId="0" fontId="48" fillId="3" borderId="29" xfId="0" applyFont="1" applyFill="1" applyBorder="1" applyAlignment="1" applyProtection="1">
      <alignment horizontal="center" vertical="center"/>
      <protection hidden="1"/>
    </xf>
    <xf numFmtId="0" fontId="47" fillId="3" borderId="29" xfId="0" applyFont="1" applyFill="1" applyBorder="1" applyAlignment="1" applyProtection="1">
      <alignment horizontal="center" vertical="center"/>
      <protection hidden="1"/>
    </xf>
    <xf numFmtId="0" fontId="47" fillId="3" borderId="34" xfId="0" applyFont="1" applyFill="1" applyBorder="1" applyAlignment="1" applyProtection="1">
      <alignment horizontal="center" vertical="center"/>
      <protection hidden="1"/>
    </xf>
    <xf numFmtId="0" fontId="56" fillId="35" borderId="42" xfId="0" applyFont="1" applyFill="1" applyBorder="1" applyProtection="1">
      <protection hidden="1"/>
    </xf>
    <xf numFmtId="0" fontId="47" fillId="25" borderId="0" xfId="0" applyFont="1" applyFill="1" applyAlignment="1" applyProtection="1">
      <alignment horizontal="center"/>
      <protection hidden="1"/>
    </xf>
    <xf numFmtId="0" fontId="10" fillId="14" borderId="16" xfId="0" applyFont="1" applyFill="1" applyBorder="1" applyAlignment="1" applyProtection="1">
      <alignment horizontal="center" vertical="center"/>
      <protection hidden="1"/>
    </xf>
    <xf numFmtId="0" fontId="10" fillId="20" borderId="16" xfId="0" applyFont="1" applyFill="1" applyBorder="1" applyAlignment="1" applyProtection="1">
      <alignment horizontal="center" vertical="center"/>
      <protection hidden="1"/>
    </xf>
    <xf numFmtId="0" fontId="10" fillId="14" borderId="18" xfId="0" applyFont="1" applyFill="1" applyBorder="1" applyAlignment="1" applyProtection="1">
      <alignment horizontal="center" vertical="center"/>
      <protection hidden="1"/>
    </xf>
    <xf numFmtId="0" fontId="10" fillId="20" borderId="18" xfId="0" applyFont="1" applyFill="1" applyBorder="1" applyAlignment="1" applyProtection="1">
      <alignment horizontal="center" vertical="center"/>
      <protection hidden="1"/>
    </xf>
    <xf numFmtId="0" fontId="56" fillId="35" borderId="38" xfId="0" applyFont="1" applyFill="1" applyBorder="1" applyAlignment="1" applyProtection="1">
      <alignment horizontal="center" vertical="center"/>
      <protection hidden="1"/>
    </xf>
    <xf numFmtId="0" fontId="48" fillId="10" borderId="29" xfId="0" applyFont="1" applyFill="1" applyBorder="1" applyAlignment="1" applyProtection="1">
      <alignment horizontal="center" vertical="center"/>
      <protection hidden="1"/>
    </xf>
    <xf numFmtId="0" fontId="47" fillId="10" borderId="29" xfId="0" applyFont="1" applyFill="1" applyBorder="1" applyAlignment="1" applyProtection="1">
      <alignment horizontal="center" vertical="center"/>
      <protection hidden="1"/>
    </xf>
    <xf numFmtId="0" fontId="47" fillId="10" borderId="34" xfId="0" applyFont="1" applyFill="1" applyBorder="1" applyAlignment="1" applyProtection="1">
      <alignment horizontal="center" vertical="center"/>
      <protection hidden="1"/>
    </xf>
    <xf numFmtId="0" fontId="56" fillId="35" borderId="50" xfId="0" applyFont="1" applyFill="1" applyBorder="1" applyProtection="1">
      <protection hidden="1"/>
    </xf>
    <xf numFmtId="0" fontId="47" fillId="3" borderId="50" xfId="0" applyFont="1" applyFill="1" applyBorder="1" applyAlignment="1" applyProtection="1">
      <alignment horizontal="center" vertical="center"/>
      <protection hidden="1"/>
    </xf>
    <xf numFmtId="0" fontId="0" fillId="4" borderId="49" xfId="0" applyFill="1" applyBorder="1" applyAlignment="1" applyProtection="1">
      <alignment horizont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10" fillId="14" borderId="20" xfId="0" applyFont="1" applyFill="1" applyBorder="1" applyAlignment="1" applyProtection="1">
      <alignment horizontal="center" vertical="center"/>
      <protection hidden="1"/>
    </xf>
    <xf numFmtId="0" fontId="10" fillId="20" borderId="20"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protection hidden="1"/>
    </xf>
    <xf numFmtId="0" fontId="10" fillId="21" borderId="16" xfId="0" applyFont="1" applyFill="1" applyBorder="1" applyAlignment="1" applyProtection="1">
      <alignment horizontal="center" vertical="center"/>
      <protection hidden="1"/>
    </xf>
    <xf numFmtId="0" fontId="47" fillId="8" borderId="0" xfId="0" applyFont="1" applyFill="1" applyAlignment="1" applyProtection="1">
      <alignment horizontal="left" vertical="center"/>
      <protection hidden="1"/>
    </xf>
    <xf numFmtId="0" fontId="10" fillId="15" borderId="18" xfId="0" applyFont="1" applyFill="1" applyBorder="1" applyAlignment="1" applyProtection="1">
      <alignment horizontal="center" vertical="center"/>
      <protection hidden="1"/>
    </xf>
    <xf numFmtId="0" fontId="10" fillId="21" borderId="18" xfId="0" applyFont="1" applyFill="1" applyBorder="1" applyAlignment="1" applyProtection="1">
      <alignment horizontal="center" vertical="center"/>
      <protection hidden="1"/>
    </xf>
    <xf numFmtId="0" fontId="47" fillId="8" borderId="37"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protection hidden="1"/>
    </xf>
    <xf numFmtId="0" fontId="10" fillId="21" borderId="20" xfId="0" applyFont="1" applyFill="1" applyBorder="1" applyAlignment="1" applyProtection="1">
      <alignment horizontal="center" vertical="center"/>
      <protection hidden="1"/>
    </xf>
    <xf numFmtId="0" fontId="10" fillId="16" borderId="16" xfId="0" applyFont="1" applyFill="1" applyBorder="1" applyAlignment="1" applyProtection="1">
      <alignment horizontal="center" vertical="center"/>
      <protection hidden="1"/>
    </xf>
    <xf numFmtId="0" fontId="10" fillId="22" borderId="16" xfId="0" applyFont="1" applyFill="1" applyBorder="1" applyAlignment="1" applyProtection="1">
      <alignment horizontal="center" vertical="center"/>
      <protection hidden="1"/>
    </xf>
    <xf numFmtId="0" fontId="10" fillId="16" borderId="18" xfId="0" applyFont="1" applyFill="1" applyBorder="1" applyAlignment="1" applyProtection="1">
      <alignment horizontal="center" vertical="center"/>
      <protection hidden="1"/>
    </xf>
    <xf numFmtId="0" fontId="10" fillId="22" borderId="18" xfId="0" applyFont="1" applyFill="1" applyBorder="1" applyAlignment="1" applyProtection="1">
      <alignment horizontal="center" vertical="center"/>
      <protection hidden="1"/>
    </xf>
    <xf numFmtId="0" fontId="10" fillId="16" borderId="20" xfId="0" applyFont="1" applyFill="1" applyBorder="1" applyAlignment="1" applyProtection="1">
      <alignment horizontal="center" vertical="center"/>
      <protection hidden="1"/>
    </xf>
    <xf numFmtId="0" fontId="10" fillId="22" borderId="20"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2" xfId="0" applyBorder="1" applyAlignment="1" applyProtection="1">
      <alignment horizontal="right"/>
      <protection hidden="1"/>
    </xf>
    <xf numFmtId="165" fontId="0" fillId="0" borderId="83" xfId="0" applyNumberFormat="1" applyBorder="1" applyProtection="1">
      <protection hidden="1"/>
    </xf>
    <xf numFmtId="165" fontId="56" fillId="0" borderId="83" xfId="0" applyNumberFormat="1" applyFont="1" applyBorder="1" applyProtection="1">
      <protection hidden="1"/>
    </xf>
    <xf numFmtId="165" fontId="9" fillId="0" borderId="83" xfId="0" applyNumberFormat="1" applyFont="1" applyBorder="1" applyProtection="1">
      <protection hidden="1"/>
    </xf>
    <xf numFmtId="165" fontId="0" fillId="0" borderId="84" xfId="0" applyNumberFormat="1" applyBorder="1" applyProtection="1">
      <protection hidden="1"/>
    </xf>
    <xf numFmtId="0" fontId="56" fillId="35" borderId="0" xfId="93" applyFont="1" applyFill="1" applyAlignment="1" applyProtection="1">
      <alignment vertical="center" wrapText="1"/>
      <protection hidden="1"/>
    </xf>
    <xf numFmtId="0" fontId="56" fillId="35" borderId="0" xfId="93" applyFont="1" applyFill="1" applyAlignment="1" applyProtection="1">
      <alignment horizontal="center" vertical="center"/>
      <protection hidden="1"/>
    </xf>
    <xf numFmtId="0" fontId="53" fillId="35" borderId="0" xfId="93" applyFont="1" applyFill="1" applyAlignment="1" applyProtection="1">
      <alignment horizontal="left" vertical="top"/>
      <protection hidden="1"/>
    </xf>
    <xf numFmtId="9" fontId="94" fillId="0" borderId="187" xfId="0" applyNumberFormat="1" applyFont="1" applyBorder="1" applyAlignment="1" applyProtection="1">
      <alignment horizontal="center" vertical="top"/>
      <protection locked="0" hidden="1"/>
    </xf>
    <xf numFmtId="0" fontId="13" fillId="35" borderId="21" xfId="93" applyFont="1" applyFill="1" applyBorder="1" applyProtection="1">
      <protection hidden="1"/>
    </xf>
    <xf numFmtId="0" fontId="48" fillId="35" borderId="0" xfId="27" applyFont="1" applyFill="1" applyAlignment="1" applyProtection="1">
      <alignment vertical="center"/>
      <protection locked="0" hidden="1"/>
    </xf>
    <xf numFmtId="0" fontId="95" fillId="36" borderId="74" xfId="0" applyFont="1" applyFill="1" applyBorder="1" applyAlignment="1" applyProtection="1">
      <alignment horizontal="center" vertical="center"/>
      <protection locked="0" hidden="1"/>
    </xf>
    <xf numFmtId="0" fontId="9" fillId="0" borderId="0" xfId="0" applyFont="1" applyProtection="1">
      <protection locked="0" hidden="1"/>
    </xf>
    <xf numFmtId="0" fontId="47" fillId="0" borderId="0" xfId="90" applyFont="1" applyProtection="1">
      <protection locked="0" hidden="1"/>
    </xf>
    <xf numFmtId="0" fontId="47" fillId="35" borderId="63" xfId="90" applyFont="1" applyFill="1" applyBorder="1" applyAlignment="1" applyProtection="1">
      <alignment vertical="center"/>
      <protection hidden="1"/>
    </xf>
    <xf numFmtId="0" fontId="47" fillId="35" borderId="64" xfId="90" applyFont="1" applyFill="1" applyBorder="1" applyAlignment="1" applyProtection="1">
      <alignment vertical="center"/>
      <protection hidden="1"/>
    </xf>
    <xf numFmtId="0" fontId="47" fillId="35" borderId="66" xfId="90" applyFont="1" applyFill="1" applyBorder="1" applyAlignment="1" applyProtection="1">
      <alignment vertical="center"/>
      <protection hidden="1"/>
    </xf>
    <xf numFmtId="0" fontId="47" fillId="35" borderId="68" xfId="90" applyFont="1" applyFill="1" applyBorder="1" applyAlignment="1" applyProtection="1">
      <alignment vertical="center"/>
      <protection hidden="1"/>
    </xf>
    <xf numFmtId="0" fontId="47" fillId="35" borderId="69" xfId="90" applyFont="1" applyFill="1" applyBorder="1" applyAlignment="1" applyProtection="1">
      <alignment vertical="center"/>
      <protection hidden="1"/>
    </xf>
    <xf numFmtId="0" fontId="47" fillId="35" borderId="66" xfId="27" applyFont="1" applyFill="1" applyBorder="1" applyAlignment="1" applyProtection="1">
      <alignment vertical="center"/>
      <protection hidden="1"/>
    </xf>
    <xf numFmtId="0" fontId="49"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5" fillId="0" borderId="0" xfId="90" applyFont="1" applyAlignment="1" applyProtection="1">
      <alignment vertical="top"/>
      <protection hidden="1"/>
    </xf>
    <xf numFmtId="0" fontId="47" fillId="35" borderId="188" xfId="90" applyFont="1" applyFill="1" applyBorder="1" applyAlignment="1" applyProtection="1">
      <alignment vertical="center"/>
      <protection hidden="1"/>
    </xf>
    <xf numFmtId="0" fontId="47" fillId="35" borderId="189" xfId="90" applyFont="1" applyFill="1" applyBorder="1" applyAlignment="1" applyProtection="1">
      <alignment vertical="center"/>
      <protection hidden="1"/>
    </xf>
    <xf numFmtId="0" fontId="47" fillId="35" borderId="68" xfId="0" applyFont="1" applyFill="1" applyBorder="1"/>
    <xf numFmtId="0" fontId="47" fillId="35" borderId="69" xfId="0" applyFont="1" applyFill="1" applyBorder="1"/>
    <xf numFmtId="0" fontId="9" fillId="0" borderId="0" xfId="90" applyFont="1"/>
    <xf numFmtId="0" fontId="9" fillId="35" borderId="64" xfId="90" applyFont="1" applyFill="1" applyBorder="1" applyAlignment="1" applyProtection="1">
      <alignment vertical="center"/>
      <protection hidden="1"/>
    </xf>
    <xf numFmtId="0" fontId="9" fillId="35" borderId="65"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7" xfId="90" applyFont="1" applyFill="1" applyBorder="1" applyAlignment="1" applyProtection="1">
      <alignment vertical="center"/>
      <protection hidden="1"/>
    </xf>
    <xf numFmtId="0" fontId="9" fillId="35" borderId="69"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189" xfId="90" applyFont="1" applyFill="1" applyBorder="1" applyAlignment="1" applyProtection="1">
      <alignment vertical="center"/>
      <protection hidden="1"/>
    </xf>
    <xf numFmtId="0" fontId="9" fillId="35" borderId="190" xfId="90" applyFont="1" applyFill="1" applyBorder="1" applyAlignment="1" applyProtection="1">
      <alignment vertical="center"/>
      <protection hidden="1"/>
    </xf>
    <xf numFmtId="0" fontId="9" fillId="0" borderId="0" xfId="90" applyFont="1" applyAlignment="1">
      <alignment vertical="center"/>
    </xf>
    <xf numFmtId="0" fontId="9" fillId="35" borderId="69" xfId="0" applyFont="1" applyFill="1" applyBorder="1"/>
    <xf numFmtId="0" fontId="9" fillId="35" borderId="70" xfId="0" applyFont="1" applyFill="1" applyBorder="1"/>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56" fillId="35" borderId="116" xfId="0" applyFont="1" applyFill="1" applyBorder="1"/>
    <xf numFmtId="0" fontId="0" fillId="2" borderId="0" xfId="0" applyFill="1" applyAlignment="1">
      <alignment vertical="center"/>
    </xf>
    <xf numFmtId="0" fontId="0" fillId="2" borderId="120" xfId="0" applyFill="1" applyBorder="1" applyAlignment="1">
      <alignment vertical="center"/>
    </xf>
    <xf numFmtId="0" fontId="56" fillId="35" borderId="118" xfId="97" applyNumberFormat="1" applyFont="1" applyFill="1" applyBorder="1" applyAlignment="1">
      <alignment horizontal="center" vertical="center"/>
    </xf>
    <xf numFmtId="0" fontId="56" fillId="35" borderId="121" xfId="0" applyFont="1" applyFill="1" applyBorder="1" applyAlignment="1">
      <alignment horizontal="center" vertical="center"/>
    </xf>
    <xf numFmtId="0" fontId="47" fillId="45" borderId="191" xfId="0" applyFont="1" applyFill="1" applyBorder="1" applyAlignment="1" applyProtection="1">
      <alignment vertical="center"/>
      <protection locked="0" hidden="1"/>
    </xf>
    <xf numFmtId="14" fontId="56" fillId="35" borderId="0" xfId="0" applyNumberFormat="1" applyFont="1" applyFill="1"/>
    <xf numFmtId="22" fontId="13" fillId="0" borderId="0" xfId="0" applyNumberFormat="1" applyFont="1"/>
    <xf numFmtId="14" fontId="99" fillId="2" borderId="186" xfId="90" applyNumberFormat="1" applyFont="1" applyFill="1" applyBorder="1" applyAlignment="1" applyProtection="1">
      <alignment horizontal="center" vertical="center" wrapText="1"/>
      <protection locked="0" hidden="1"/>
    </xf>
    <xf numFmtId="0" fontId="71" fillId="36" borderId="74"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3" xfId="0" applyFont="1" applyBorder="1"/>
    <xf numFmtId="20" fontId="13" fillId="0" borderId="13" xfId="0" applyNumberFormat="1" applyFont="1" applyBorder="1"/>
    <xf numFmtId="22" fontId="100" fillId="0" borderId="0" xfId="0" applyNumberFormat="1" applyFont="1" applyAlignment="1" applyProtection="1">
      <alignment vertical="center"/>
      <protection hidden="1"/>
    </xf>
    <xf numFmtId="22" fontId="100"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72"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1"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1"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1"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2" fillId="2" borderId="186" xfId="90" applyNumberFormat="1" applyFont="1" applyFill="1" applyBorder="1" applyAlignment="1" applyProtection="1">
      <alignment horizontal="center" vertical="center" wrapText="1"/>
      <protection hidden="1"/>
    </xf>
    <xf numFmtId="14" fontId="94" fillId="35" borderId="0" xfId="0" applyNumberFormat="1" applyFont="1" applyFill="1" applyAlignment="1">
      <alignment horizontal="left" vertical="center" wrapText="1"/>
    </xf>
    <xf numFmtId="0" fontId="60" fillId="35" borderId="2" xfId="27" applyFont="1" applyFill="1" applyBorder="1" applyAlignment="1" applyProtection="1">
      <alignment vertical="center"/>
      <protection hidden="1"/>
    </xf>
    <xf numFmtId="0" fontId="4" fillId="35" borderId="192" xfId="0" applyFont="1" applyFill="1" applyBorder="1" applyAlignment="1" applyProtection="1">
      <alignment horizontal="centerContinuous" vertical="center"/>
      <protection hidden="1"/>
    </xf>
    <xf numFmtId="0" fontId="103" fillId="35" borderId="0" xfId="0" applyFont="1" applyFill="1" applyProtection="1">
      <protection hidden="1"/>
    </xf>
    <xf numFmtId="0" fontId="104" fillId="35" borderId="0" xfId="0" applyFont="1" applyFill="1" applyAlignment="1" applyProtection="1">
      <alignment horizontal="left"/>
      <protection hidden="1"/>
    </xf>
    <xf numFmtId="0" fontId="8" fillId="35" borderId="0" xfId="93" applyFont="1" applyFill="1" applyProtection="1">
      <protection locked="0" hidden="1"/>
    </xf>
    <xf numFmtId="0" fontId="49" fillId="7" borderId="0" xfId="0" applyFont="1" applyFill="1" applyAlignment="1" applyProtection="1">
      <alignment horizontal="left"/>
      <protection locked="0" hidden="1"/>
    </xf>
    <xf numFmtId="0" fontId="105" fillId="3" borderId="76" xfId="0" applyFont="1" applyFill="1" applyBorder="1" applyAlignment="1">
      <alignment horizontal="center" vertical="center"/>
    </xf>
    <xf numFmtId="0" fontId="62" fillId="3" borderId="76" xfId="0" applyFont="1" applyFill="1" applyBorder="1" applyAlignment="1" applyProtection="1">
      <alignment horizontal="center" vertical="center"/>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22" fillId="0" borderId="0" xfId="0" applyFont="1" applyAlignment="1" applyProtection="1">
      <alignment vertical="center"/>
      <protection hidden="1"/>
    </xf>
    <xf numFmtId="0" fontId="107" fillId="0" borderId="0" xfId="0" applyFont="1" applyAlignment="1">
      <alignment vertical="center" wrapText="1"/>
    </xf>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0" fontId="9" fillId="0" borderId="0" xfId="0" applyFont="1" applyAlignment="1">
      <alignment horizontal="left"/>
    </xf>
    <xf numFmtId="14" fontId="9" fillId="0" borderId="0" xfId="0" applyNumberFormat="1" applyFont="1" applyAlignment="1" applyProtection="1">
      <alignment horizontal="left"/>
      <protection hidden="1"/>
    </xf>
    <xf numFmtId="9" fontId="9" fillId="0" borderId="0" xfId="0" applyNumberFormat="1" applyFont="1" applyAlignment="1" applyProtection="1">
      <alignment horizontal="left" indent="1"/>
      <protection hidden="1"/>
    </xf>
    <xf numFmtId="0" fontId="9" fillId="0" borderId="0" xfId="0" applyFont="1" applyAlignment="1" applyProtection="1">
      <alignment horizontal="left" indent="1"/>
      <protection hidden="1"/>
    </xf>
    <xf numFmtId="14" fontId="9" fillId="0" borderId="0" xfId="0" applyNumberFormat="1" applyFont="1" applyAlignment="1" applyProtection="1">
      <alignment horizontal="left" indent="1"/>
      <protection hidden="1"/>
    </xf>
    <xf numFmtId="0" fontId="10" fillId="0" borderId="0" xfId="0" applyFont="1"/>
    <xf numFmtId="0" fontId="10" fillId="0" borderId="0" xfId="0" quotePrefix="1" applyFont="1"/>
    <xf numFmtId="20" fontId="9" fillId="0" borderId="0" xfId="0" applyNumberFormat="1" applyFont="1"/>
    <xf numFmtId="0" fontId="47" fillId="0" borderId="193" xfId="0" applyFont="1" applyBorder="1" applyProtection="1">
      <protection locked="0" hidden="1"/>
    </xf>
    <xf numFmtId="0" fontId="47" fillId="0" borderId="24" xfId="0" applyFont="1" applyBorder="1" applyProtection="1">
      <protection locked="0" hidden="1"/>
    </xf>
    <xf numFmtId="0" fontId="47" fillId="0" borderId="194" xfId="0" applyFont="1" applyBorder="1" applyProtection="1">
      <protection locked="0" hidden="1"/>
    </xf>
    <xf numFmtId="0" fontId="47" fillId="0" borderId="195" xfId="0" applyFont="1" applyBorder="1" applyProtection="1">
      <protection locked="0" hidden="1"/>
    </xf>
    <xf numFmtId="0" fontId="47" fillId="0" borderId="0" xfId="0" applyFont="1" applyProtection="1">
      <protection locked="0" hidden="1"/>
    </xf>
    <xf numFmtId="0" fontId="47" fillId="0" borderId="195" xfId="0" quotePrefix="1" applyFont="1" applyBorder="1" applyProtection="1">
      <protection locked="0" hidden="1"/>
    </xf>
    <xf numFmtId="14" fontId="17" fillId="26" borderId="18" xfId="0" applyNumberFormat="1" applyFont="1" applyFill="1" applyBorder="1" applyAlignment="1" applyProtection="1">
      <alignment horizontal="center" vertical="center" textRotation="2"/>
      <protection hidden="1"/>
    </xf>
    <xf numFmtId="14" fontId="17" fillId="26" borderId="20" xfId="0" applyNumberFormat="1" applyFont="1" applyFill="1" applyBorder="1" applyAlignment="1" applyProtection="1">
      <alignment horizontal="center" vertical="center" textRotation="2"/>
      <protection hidden="1"/>
    </xf>
    <xf numFmtId="14" fontId="17" fillId="13" borderId="18" xfId="0" applyNumberFormat="1" applyFont="1" applyFill="1" applyBorder="1" applyAlignment="1" applyProtection="1">
      <alignment horizontal="center" vertical="center" textRotation="2"/>
      <protection hidden="1"/>
    </xf>
    <xf numFmtId="14" fontId="17" fillId="13" borderId="20" xfId="0" applyNumberFormat="1" applyFont="1" applyFill="1" applyBorder="1" applyAlignment="1" applyProtection="1">
      <alignment horizontal="center" vertical="center" textRotation="2"/>
      <protection hidden="1"/>
    </xf>
    <xf numFmtId="0" fontId="50" fillId="35" borderId="0" xfId="0" applyFont="1" applyFill="1" applyAlignment="1" applyProtection="1">
      <alignment horizontal="center" vertical="center"/>
      <protection hidden="1"/>
    </xf>
    <xf numFmtId="0" fontId="85" fillId="7" borderId="4" xfId="0" applyFont="1" applyFill="1" applyBorder="1" applyAlignment="1" applyProtection="1">
      <alignment horizontal="center" vertical="center" wrapText="1"/>
      <protection hidden="1"/>
    </xf>
    <xf numFmtId="0" fontId="85" fillId="7" borderId="5" xfId="0" applyFont="1" applyFill="1" applyBorder="1" applyAlignment="1" applyProtection="1">
      <alignment horizontal="center" vertical="center" wrapText="1"/>
      <protection hidden="1"/>
    </xf>
    <xf numFmtId="0" fontId="85" fillId="7" borderId="6" xfId="0" applyFont="1" applyFill="1" applyBorder="1" applyAlignment="1" applyProtection="1">
      <alignment horizontal="center" vertical="center" wrapText="1"/>
      <protection hidden="1"/>
    </xf>
    <xf numFmtId="0" fontId="85" fillId="7" borderId="7" xfId="0" applyFont="1" applyFill="1" applyBorder="1" applyAlignment="1" applyProtection="1">
      <alignment horizontal="center" vertical="center" wrapText="1"/>
      <protection hidden="1"/>
    </xf>
    <xf numFmtId="0" fontId="85" fillId="7" borderId="0" xfId="0" applyFont="1" applyFill="1" applyAlignment="1" applyProtection="1">
      <alignment horizontal="center" vertical="center" wrapText="1"/>
      <protection hidden="1"/>
    </xf>
    <xf numFmtId="0" fontId="85" fillId="7" borderId="8" xfId="0" applyFont="1" applyFill="1" applyBorder="1" applyAlignment="1" applyProtection="1">
      <alignment horizontal="center" vertical="center" wrapText="1"/>
      <protection hidden="1"/>
    </xf>
    <xf numFmtId="14" fontId="17" fillId="27" borderId="18" xfId="0" applyNumberFormat="1" applyFont="1" applyFill="1" applyBorder="1" applyAlignment="1" applyProtection="1">
      <alignment horizontal="center" vertical="center" textRotation="2"/>
      <protection hidden="1"/>
    </xf>
    <xf numFmtId="14" fontId="17" fillId="27" borderId="20" xfId="0" applyNumberFormat="1" applyFont="1" applyFill="1" applyBorder="1" applyAlignment="1" applyProtection="1">
      <alignment horizontal="center" vertical="center" textRotation="2"/>
      <protection hidden="1"/>
    </xf>
    <xf numFmtId="14" fontId="17" fillId="14" borderId="18" xfId="0" applyNumberFormat="1" applyFont="1" applyFill="1" applyBorder="1" applyAlignment="1" applyProtection="1">
      <alignment horizontal="center" vertical="center" textRotation="2"/>
      <protection hidden="1"/>
    </xf>
    <xf numFmtId="14" fontId="17" fillId="14" borderId="20" xfId="0" applyNumberFormat="1" applyFont="1" applyFill="1" applyBorder="1" applyAlignment="1" applyProtection="1">
      <alignment horizontal="center" vertical="center" textRotation="2"/>
      <protection hidden="1"/>
    </xf>
    <xf numFmtId="14" fontId="17" fillId="15" borderId="18" xfId="0" applyNumberFormat="1" applyFont="1" applyFill="1" applyBorder="1" applyAlignment="1" applyProtection="1">
      <alignment horizontal="center" vertical="center" textRotation="2"/>
      <protection hidden="1"/>
    </xf>
    <xf numFmtId="14" fontId="17" fillId="15" borderId="20" xfId="0" applyNumberFormat="1" applyFont="1" applyFill="1" applyBorder="1" applyAlignment="1" applyProtection="1">
      <alignment horizontal="center" vertical="center" textRotation="2"/>
      <protection hidden="1"/>
    </xf>
    <xf numFmtId="0" fontId="86" fillId="7" borderId="7" xfId="0" applyFont="1" applyFill="1" applyBorder="1" applyAlignment="1">
      <alignment horizontal="center" vertical="center" wrapText="1"/>
    </xf>
    <xf numFmtId="0" fontId="86" fillId="7" borderId="0" xfId="0" applyFont="1" applyFill="1" applyAlignment="1">
      <alignment horizontal="center" vertical="center" wrapText="1"/>
    </xf>
    <xf numFmtId="0" fontId="86" fillId="7" borderId="8" xfId="0" applyFont="1" applyFill="1" applyBorder="1" applyAlignment="1">
      <alignment horizontal="center" vertical="center" wrapText="1"/>
    </xf>
    <xf numFmtId="0" fontId="86" fillId="7" borderId="9" xfId="0" applyFont="1" applyFill="1" applyBorder="1" applyAlignment="1">
      <alignment horizontal="center" vertical="center" wrapText="1"/>
    </xf>
    <xf numFmtId="0" fontId="86" fillId="7" borderId="10" xfId="0" applyFont="1" applyFill="1" applyBorder="1" applyAlignment="1">
      <alignment horizontal="center" vertical="center" wrapText="1"/>
    </xf>
    <xf numFmtId="0" fontId="86" fillId="7" borderId="11" xfId="0" applyFont="1" applyFill="1" applyBorder="1" applyAlignment="1">
      <alignment horizontal="center" vertical="center" wrapText="1"/>
    </xf>
    <xf numFmtId="14" fontId="17" fillId="16" borderId="18" xfId="0" applyNumberFormat="1" applyFont="1" applyFill="1" applyBorder="1" applyAlignment="1" applyProtection="1">
      <alignment horizontal="center" vertical="center" textRotation="2"/>
      <protection hidden="1"/>
    </xf>
    <xf numFmtId="14" fontId="17" fillId="16" borderId="20" xfId="0" applyNumberFormat="1" applyFont="1" applyFill="1" applyBorder="1" applyAlignment="1" applyProtection="1">
      <alignment horizontal="center" vertical="center" textRotation="2"/>
      <protection hidden="1"/>
    </xf>
    <xf numFmtId="14" fontId="17" fillId="18" borderId="18" xfId="0" applyNumberFormat="1" applyFont="1" applyFill="1" applyBorder="1" applyAlignment="1" applyProtection="1">
      <alignment horizontal="center" vertical="center" textRotation="2"/>
      <protection hidden="1"/>
    </xf>
    <xf numFmtId="14" fontId="17" fillId="18" borderId="20" xfId="0" applyNumberFormat="1" applyFont="1" applyFill="1" applyBorder="1" applyAlignment="1" applyProtection="1">
      <alignment horizontal="center" vertical="center" textRotation="2"/>
      <protection hidden="1"/>
    </xf>
    <xf numFmtId="14" fontId="17" fillId="20" borderId="18" xfId="0" applyNumberFormat="1" applyFont="1" applyFill="1" applyBorder="1" applyAlignment="1" applyProtection="1">
      <alignment horizontal="center" vertical="center" textRotation="2"/>
      <protection hidden="1"/>
    </xf>
    <xf numFmtId="14" fontId="17" fillId="20" borderId="20" xfId="0" applyNumberFormat="1" applyFont="1" applyFill="1" applyBorder="1" applyAlignment="1" applyProtection="1">
      <alignment horizontal="center" vertical="center" textRotation="2"/>
      <protection hidden="1"/>
    </xf>
    <xf numFmtId="14" fontId="17" fillId="22" borderId="18" xfId="0" applyNumberFormat="1" applyFont="1" applyFill="1" applyBorder="1" applyAlignment="1" applyProtection="1">
      <alignment horizontal="center" vertical="center" textRotation="2"/>
      <protection hidden="1"/>
    </xf>
    <xf numFmtId="14" fontId="17" fillId="22" borderId="20" xfId="0" applyNumberFormat="1" applyFont="1" applyFill="1" applyBorder="1" applyAlignment="1" applyProtection="1">
      <alignment horizontal="center" vertical="center" textRotation="2"/>
      <protection hidden="1"/>
    </xf>
    <xf numFmtId="14" fontId="17" fillId="19" borderId="18" xfId="0" applyNumberFormat="1" applyFont="1" applyFill="1" applyBorder="1" applyAlignment="1" applyProtection="1">
      <alignment horizontal="center" vertical="center" textRotation="2"/>
      <protection hidden="1"/>
    </xf>
    <xf numFmtId="14" fontId="17" fillId="19" borderId="20" xfId="0" applyNumberFormat="1" applyFont="1" applyFill="1" applyBorder="1" applyAlignment="1" applyProtection="1">
      <alignment horizontal="center" vertical="center" textRotation="2"/>
      <protection hidden="1"/>
    </xf>
    <xf numFmtId="14" fontId="17" fillId="21" borderId="18" xfId="0" applyNumberFormat="1" applyFont="1" applyFill="1" applyBorder="1" applyAlignment="1" applyProtection="1">
      <alignment horizontal="center" vertical="center" textRotation="2"/>
      <protection hidden="1"/>
    </xf>
    <xf numFmtId="14" fontId="17" fillId="21" borderId="20" xfId="0" applyNumberFormat="1" applyFont="1" applyFill="1" applyBorder="1" applyAlignment="1" applyProtection="1">
      <alignment horizontal="center" vertical="center" textRotation="2"/>
      <protection hidden="1"/>
    </xf>
    <xf numFmtId="14" fontId="31" fillId="28" borderId="18" xfId="0" applyNumberFormat="1" applyFont="1" applyFill="1" applyBorder="1" applyAlignment="1" applyProtection="1">
      <alignment horizontal="center" vertical="center" textRotation="2"/>
      <protection hidden="1"/>
    </xf>
    <xf numFmtId="14" fontId="31" fillId="28" borderId="20" xfId="0" applyNumberFormat="1" applyFont="1" applyFill="1" applyBorder="1" applyAlignment="1" applyProtection="1">
      <alignment horizontal="center" vertical="center" textRotation="2"/>
      <protection hidden="1"/>
    </xf>
    <xf numFmtId="14" fontId="32" fillId="29" borderId="161" xfId="0" quotePrefix="1" applyNumberFormat="1" applyFont="1" applyFill="1" applyBorder="1" applyAlignment="1" applyProtection="1">
      <alignment horizontal="center" vertical="center"/>
      <protection hidden="1"/>
    </xf>
    <xf numFmtId="14" fontId="32" fillId="29" borderId="163" xfId="0" quotePrefix="1" applyNumberFormat="1" applyFont="1" applyFill="1" applyBorder="1" applyAlignment="1" applyProtection="1">
      <alignment horizontal="center" vertical="center"/>
      <protection hidden="1"/>
    </xf>
    <xf numFmtId="14" fontId="32" fillId="28" borderId="161" xfId="0" quotePrefix="1" applyNumberFormat="1" applyFont="1" applyFill="1" applyBorder="1" applyAlignment="1" applyProtection="1">
      <alignment horizontal="center" vertical="center"/>
      <protection hidden="1"/>
    </xf>
    <xf numFmtId="14" fontId="32" fillId="28" borderId="163" xfId="0" quotePrefix="1" applyNumberFormat="1" applyFont="1" applyFill="1" applyBorder="1" applyAlignment="1" applyProtection="1">
      <alignment horizontal="center" vertical="center"/>
      <protection hidden="1"/>
    </xf>
    <xf numFmtId="14" fontId="33" fillId="29" borderId="173" xfId="0" quotePrefix="1" applyNumberFormat="1" applyFont="1" applyFill="1" applyBorder="1" applyAlignment="1" applyProtection="1">
      <alignment horizontal="center" vertical="center"/>
      <protection hidden="1"/>
    </xf>
    <xf numFmtId="14" fontId="33" fillId="29" borderId="174" xfId="0" quotePrefix="1" applyNumberFormat="1" applyFont="1" applyFill="1" applyBorder="1" applyAlignment="1" applyProtection="1">
      <alignment horizontal="center" vertical="center"/>
      <protection hidden="1"/>
    </xf>
    <xf numFmtId="14" fontId="17" fillId="17" borderId="18" xfId="0" applyNumberFormat="1" applyFont="1" applyFill="1" applyBorder="1" applyAlignment="1" applyProtection="1">
      <alignment horizontal="center" vertical="center" textRotation="2"/>
      <protection hidden="1"/>
    </xf>
    <xf numFmtId="14" fontId="17" fillId="17" borderId="20" xfId="0" applyNumberFormat="1" applyFont="1" applyFill="1" applyBorder="1" applyAlignment="1" applyProtection="1">
      <alignment horizontal="center" vertical="center" textRotation="2"/>
      <protection hidden="1"/>
    </xf>
    <xf numFmtId="0" fontId="43" fillId="35" borderId="0" xfId="27" applyFont="1" applyFill="1" applyBorder="1" applyAlignment="1" applyProtection="1">
      <alignment horizontal="center" vertical="center"/>
      <protection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0" fillId="35" borderId="0" xfId="0" applyFont="1" applyFill="1" applyAlignment="1" applyProtection="1">
      <alignment horizontal="center" vertical="center"/>
      <protection hidden="1"/>
    </xf>
    <xf numFmtId="0" fontId="51" fillId="35" borderId="0" xfId="27" applyFont="1" applyFill="1" applyBorder="1" applyAlignment="1" applyProtection="1">
      <alignment horizontal="left" vertical="center" wrapText="1"/>
      <protection hidden="1"/>
    </xf>
    <xf numFmtId="0" fontId="51" fillId="35" borderId="0" xfId="0" applyFont="1" applyFill="1" applyAlignment="1" applyProtection="1">
      <alignment horizontal="left" vertical="center" wrapText="1"/>
      <protection hidden="1"/>
    </xf>
    <xf numFmtId="14" fontId="76" fillId="7" borderId="0" xfId="0" quotePrefix="1" applyNumberFormat="1" applyFont="1" applyFill="1" applyAlignment="1" applyProtection="1">
      <alignment horizontal="center" vertical="center"/>
      <protection hidden="1"/>
    </xf>
    <xf numFmtId="14" fontId="77" fillId="7" borderId="0" xfId="0" quotePrefix="1" applyNumberFormat="1" applyFont="1" applyFill="1" applyAlignment="1" applyProtection="1">
      <alignment horizontal="center" vertical="center"/>
      <protection hidden="1"/>
    </xf>
    <xf numFmtId="0" fontId="73" fillId="3" borderId="0" xfId="0" applyFont="1" applyFill="1" applyAlignment="1" applyProtection="1">
      <alignment horizontal="center" vertical="center"/>
      <protection hidden="1"/>
    </xf>
    <xf numFmtId="14" fontId="73" fillId="7" borderId="0" xfId="0" applyNumberFormat="1" applyFont="1" applyFill="1" applyAlignment="1" applyProtection="1">
      <alignment horizontal="center" vertical="center" textRotation="2"/>
      <protection hidden="1"/>
    </xf>
    <xf numFmtId="0" fontId="73" fillId="0" borderId="104" xfId="95" applyFont="1" applyBorder="1" applyAlignment="1" applyProtection="1">
      <alignment horizontal="center" vertical="center"/>
      <protection hidden="1"/>
    </xf>
    <xf numFmtId="0" fontId="73" fillId="0" borderId="105" xfId="95" applyFont="1" applyBorder="1" applyAlignment="1" applyProtection="1">
      <alignment horizontal="center" vertical="center"/>
      <protection hidden="1"/>
    </xf>
    <xf numFmtId="9" fontId="72" fillId="41" borderId="132" xfId="97" applyFont="1" applyFill="1" applyBorder="1" applyAlignment="1">
      <alignment horizontal="center" vertical="center"/>
    </xf>
    <xf numFmtId="9" fontId="72" fillId="41" borderId="133" xfId="97" applyFont="1" applyFill="1" applyBorder="1" applyAlignment="1">
      <alignment horizontal="center" vertical="center"/>
    </xf>
    <xf numFmtId="9" fontId="72" fillId="41" borderId="134" xfId="97" applyFont="1" applyFill="1" applyBorder="1" applyAlignment="1">
      <alignment horizontal="center" vertical="center"/>
    </xf>
    <xf numFmtId="0" fontId="47" fillId="35" borderId="63" xfId="90" applyFont="1" applyFill="1" applyBorder="1" applyAlignment="1" applyProtection="1">
      <alignment horizontal="left" vertical="center" wrapText="1"/>
      <protection hidden="1"/>
    </xf>
    <xf numFmtId="0" fontId="47" fillId="35" borderId="64" xfId="90" applyFont="1" applyFill="1" applyBorder="1" applyAlignment="1" applyProtection="1">
      <alignment horizontal="left" vertical="center" wrapText="1"/>
      <protection hidden="1"/>
    </xf>
    <xf numFmtId="0" fontId="47" fillId="35" borderId="65" xfId="90" applyFont="1" applyFill="1" applyBorder="1" applyAlignment="1" applyProtection="1">
      <alignment horizontal="left" vertical="center" wrapText="1"/>
      <protection hidden="1"/>
    </xf>
    <xf numFmtId="0" fontId="47" fillId="35" borderId="66" xfId="90" applyFont="1" applyFill="1" applyBorder="1" applyAlignment="1" applyProtection="1">
      <alignment horizontal="left" vertical="center" wrapText="1"/>
      <protection hidden="1"/>
    </xf>
    <xf numFmtId="0" fontId="47" fillId="35" borderId="0" xfId="90" applyFont="1" applyFill="1" applyAlignment="1" applyProtection="1">
      <alignment horizontal="left" vertical="center" wrapText="1"/>
      <protection hidden="1"/>
    </xf>
    <xf numFmtId="0" fontId="47" fillId="35" borderId="67" xfId="90" applyFont="1" applyFill="1" applyBorder="1" applyAlignment="1" applyProtection="1">
      <alignment horizontal="left" vertical="center" wrapText="1"/>
      <protection hidden="1"/>
    </xf>
    <xf numFmtId="0" fontId="47" fillId="35" borderId="68" xfId="90" applyFont="1" applyFill="1" applyBorder="1" applyAlignment="1" applyProtection="1">
      <alignment horizontal="left" vertical="center" wrapText="1"/>
      <protection hidden="1"/>
    </xf>
    <xf numFmtId="0" fontId="47" fillId="35" borderId="69" xfId="90" applyFont="1" applyFill="1" applyBorder="1" applyAlignment="1" applyProtection="1">
      <alignment horizontal="left" vertical="center" wrapText="1"/>
      <protection hidden="1"/>
    </xf>
    <xf numFmtId="0" fontId="47" fillId="35" borderId="70" xfId="90" applyFont="1" applyFill="1" applyBorder="1" applyAlignment="1" applyProtection="1">
      <alignment horizontal="left" vertical="center" wrapText="1"/>
      <protection hidden="1"/>
    </xf>
    <xf numFmtId="0" fontId="68" fillId="0" borderId="0" xfId="0" applyFont="1" applyAlignment="1">
      <alignment horizontal="center" vertical="center"/>
    </xf>
    <xf numFmtId="0" fontId="9" fillId="0" borderId="0" xfId="0" applyFont="1" applyAlignment="1" applyProtection="1">
      <alignment horizontal="left" vertical="center" wrapText="1"/>
      <protection hidden="1"/>
    </xf>
    <xf numFmtId="0" fontId="102" fillId="35" borderId="66" xfId="27" applyFont="1" applyFill="1" applyBorder="1" applyAlignment="1" applyProtection="1">
      <alignment horizontal="left" vertical="center"/>
      <protection hidden="1"/>
    </xf>
    <xf numFmtId="0" fontId="102" fillId="35" borderId="0" xfId="27" applyFont="1" applyFill="1" applyBorder="1" applyAlignment="1" applyProtection="1">
      <alignment horizontal="left" vertical="center"/>
      <protection hidden="1"/>
    </xf>
  </cellXfs>
  <cellStyles count="1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3 3" xfId="98" xr:uid="{F157E48F-04F7-4557-B299-A50F291640AF}"/>
    <cellStyle name="Normal 4" xfId="93" xr:uid="{6104D907-AD2C-5845-90F7-E59DF85A9F45}"/>
    <cellStyle name="Normal 4 2" xfId="95" xr:uid="{266E0619-40AF-444D-B7AB-2D81FB645B4D}"/>
    <cellStyle name="Normal 4 3" xfId="99" xr:uid="{E9DFC8D2-93B9-403F-8A98-A4C6A830E22C}"/>
    <cellStyle name="Normal 5" xfId="96" xr:uid="{35ED9CFF-BD18-CE49-8375-08DF93D24062}"/>
    <cellStyle name="Percent" xfId="97" builtinId="5"/>
  </cellStyles>
  <dxfs count="44">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8"/>
                <c:pt idx="0">
                  <c:v>1|2-0</c:v>
                </c:pt>
                <c:pt idx="1">
                  <c:v>1|2-1</c:v>
                </c:pt>
                <c:pt idx="2">
                  <c:v>Pegar Valores (J1)</c:v>
                </c:pt>
                <c:pt idx="3">
                  <c:v>1|1-0</c:v>
                </c:pt>
                <c:pt idx="4">
                  <c:v>1|3-1</c:v>
                </c:pt>
                <c:pt idx="5">
                  <c:v>1|3-0</c:v>
                </c:pt>
                <c:pt idx="6">
                  <c:v>X|1-1</c:v>
                </c:pt>
                <c:pt idx="7">
                  <c:v>X|2-2</c:v>
                </c:pt>
              </c:strCache>
            </c:strRef>
          </c:cat>
          <c:val>
            <c:numRef>
              <c:f>Stats!$I$8:$I$31</c:f>
              <c:numCache>
                <c:formatCode>General</c:formatCode>
                <c:ptCount val="24"/>
                <c:pt idx="0">
                  <c:v>20</c:v>
                </c:pt>
                <c:pt idx="1">
                  <c:v>9</c:v>
                </c:pt>
                <c:pt idx="2">
                  <c:v>9</c:v>
                </c:pt>
                <c:pt idx="3">
                  <c:v>6</c:v>
                </c:pt>
                <c:pt idx="4">
                  <c:v>3</c:v>
                </c:pt>
                <c:pt idx="5">
                  <c:v>1</c:v>
                </c:pt>
                <c:pt idx="6">
                  <c:v>1</c:v>
                </c:pt>
                <c:pt idx="7">
                  <c:v>1</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8"/>
                <c:pt idx="0">
                  <c:v>1|2-0</c:v>
                </c:pt>
                <c:pt idx="1">
                  <c:v>1|2-1</c:v>
                </c:pt>
                <c:pt idx="2">
                  <c:v>Pegar Valores (J1)</c:v>
                </c:pt>
                <c:pt idx="3">
                  <c:v>1|1-0</c:v>
                </c:pt>
                <c:pt idx="4">
                  <c:v>1|3-1</c:v>
                </c:pt>
                <c:pt idx="5">
                  <c:v>1|3-0</c:v>
                </c:pt>
                <c:pt idx="6">
                  <c:v>X|1-1</c:v>
                </c:pt>
                <c:pt idx="7">
                  <c:v>X|2-2</c:v>
                </c:pt>
              </c:strCache>
            </c:strRef>
          </c:cat>
          <c:val>
            <c:numRef>
              <c:f>Stats!$J$8:$J$31</c:f>
              <c:numCache>
                <c:formatCode>General</c:formatCode>
                <c:ptCount val="24"/>
                <c:pt idx="0">
                  <c:v>20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8"/>
                <c:pt idx="0">
                  <c:v>1|2-0</c:v>
                </c:pt>
                <c:pt idx="1">
                  <c:v>1|2-1</c:v>
                </c:pt>
                <c:pt idx="2">
                  <c:v>Pegar Valores (J1)</c:v>
                </c:pt>
                <c:pt idx="3">
                  <c:v>1|1-0</c:v>
                </c:pt>
                <c:pt idx="4">
                  <c:v>1|3-1</c:v>
                </c:pt>
                <c:pt idx="5">
                  <c:v>1|3-0</c:v>
                </c:pt>
                <c:pt idx="6">
                  <c:v>X|1-1</c:v>
                </c:pt>
                <c:pt idx="7">
                  <c:v>X|2-2</c:v>
                </c:pt>
              </c:strCache>
            </c:strRef>
          </c:cat>
          <c:val>
            <c:numRef>
              <c:f>Stats!$K$8:$K$31</c:f>
              <c:numCache>
                <c:formatCode>General</c:formatCode>
                <c:ptCount val="24"/>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0.95121951219512191</c:v>
                </c:pt>
                <c:pt idx="1">
                  <c:v>4.878048780487805E-2</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41"/>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2">
    <v>0</v>
    <v>8</v>
    <v>7</v>
    <v>1</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localImage">
    <k n="_rvRel:LocalImageIdentifier" t="i"/>
    <k n="CalcOrigin" t="i"/>
    <k n="Text" t="s"/>
  </s>
  <s t="_error">
    <k n="colOffset" t="i"/>
    <k n="errorType" t="i"/>
    <k n="rwOffset" t="i"/>
    <k n="subType"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printerSettings" Target="../printerSettings/printerSettings1.bin"/><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youtu.be/D-oCnWDX9us"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matejero" TargetMode="External"/><Relationship Id="rId1" Type="http://schemas.openxmlformats.org/officeDocument/2006/relationships/hyperlink" Target="https://youtu.be/D-oCnWDX9us"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10" sqref="C10"/>
      <extLst>
        <ext xmlns:xlsdti="http://schemas.microsoft.com/office/spreadsheetml/2023/showDataTypeIcons" uri="{77bfe23e-c014-4d31-8a63-9c772dbf06b6}">
          <xlsdti:showDataTypeIcons visible="0"/>
        </ext>
      </extLst>
    </sheetView>
  </sheetViews>
  <sheetFormatPr defaultColWidth="10.77734375" defaultRowHeight="14.4"/>
  <cols>
    <col min="1" max="1" width="3.77734375" customWidth="1"/>
    <col min="2" max="2" width="6.77734375" customWidth="1"/>
    <col min="3" max="3" width="25.77734375" customWidth="1"/>
    <col min="4" max="4" width="5.77734375" customWidth="1"/>
    <col min="5" max="9" width="10.77734375" customWidth="1"/>
    <col min="10" max="10" width="5.77734375" customWidth="1"/>
    <col min="11" max="11" width="25.77734375" customWidth="1"/>
    <col min="12" max="12" width="15.77734375" customWidth="1"/>
    <col min="13" max="13" width="10.44140625" customWidth="1"/>
    <col min="14" max="15" width="10.77734375" customWidth="1"/>
    <col min="16" max="16" width="12.109375" customWidth="1"/>
    <col min="17" max="17" width="6.109375" customWidth="1"/>
    <col min="18" max="16380" width="10.77734375" customWidth="1"/>
  </cols>
  <sheetData>
    <row r="1" spans="1:31">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row>
    <row r="2" spans="1:31">
      <c r="A2" s="383"/>
      <c r="B2" s="383"/>
      <c r="C2" s="384"/>
      <c r="D2" s="383"/>
      <c r="E2" s="385"/>
      <c r="F2" s="385"/>
      <c r="G2" s="385"/>
      <c r="H2" s="385"/>
      <c r="I2" s="385"/>
      <c r="J2" s="385"/>
      <c r="K2" s="385"/>
      <c r="L2" s="383"/>
      <c r="M2" s="383"/>
      <c r="N2" s="383"/>
      <c r="O2" s="383"/>
      <c r="P2" s="383"/>
      <c r="Q2" s="383"/>
      <c r="R2" s="383"/>
      <c r="S2" s="383"/>
      <c r="T2" s="383"/>
      <c r="U2" s="383"/>
      <c r="V2" s="383"/>
      <c r="W2" s="383"/>
      <c r="X2" s="383"/>
      <c r="Y2" s="383"/>
      <c r="Z2" s="383"/>
      <c r="AA2" s="383"/>
      <c r="AB2" s="383"/>
      <c r="AC2" s="383"/>
      <c r="AD2" s="383"/>
      <c r="AE2" s="383"/>
    </row>
    <row r="3" spans="1:31" ht="34.950000000000003" customHeight="1">
      <c r="A3" s="383"/>
      <c r="B3" s="846" t="str">
        <f>Idiomas!D8</f>
        <v>XXIII Mundial USA/MEX/CAN 2026</v>
      </c>
      <c r="C3" s="846"/>
      <c r="D3" s="846"/>
      <c r="E3" s="846"/>
      <c r="F3" s="846"/>
      <c r="G3" s="846"/>
      <c r="H3" s="846"/>
      <c r="I3" s="846"/>
      <c r="J3" s="846"/>
      <c r="K3" s="846"/>
      <c r="L3" s="846"/>
      <c r="M3" s="383"/>
      <c r="N3" s="383"/>
      <c r="O3" s="383"/>
      <c r="P3" s="383"/>
      <c r="Q3" s="383"/>
      <c r="R3" s="383"/>
      <c r="S3" s="383"/>
      <c r="T3" s="383"/>
      <c r="U3" s="383"/>
      <c r="V3" s="383"/>
      <c r="W3" s="383"/>
      <c r="X3" s="383"/>
      <c r="Y3" s="383"/>
      <c r="Z3" s="383"/>
      <c r="AA3" s="383"/>
      <c r="AB3" s="383"/>
      <c r="AC3" s="383"/>
      <c r="AD3" s="383"/>
      <c r="AE3" s="383"/>
    </row>
    <row r="4" spans="1:31" ht="15" customHeight="1">
      <c r="A4" s="383"/>
      <c r="B4" s="383"/>
      <c r="C4" s="383"/>
      <c r="D4" s="383"/>
      <c r="E4" s="385"/>
      <c r="F4" s="385"/>
      <c r="G4" s="385"/>
      <c r="H4" s="385"/>
      <c r="I4" s="385"/>
      <c r="J4" s="385"/>
      <c r="K4" s="385"/>
      <c r="L4" s="386"/>
      <c r="M4" s="383"/>
      <c r="N4" s="383"/>
      <c r="O4" s="383"/>
      <c r="P4" s="383"/>
      <c r="Q4" s="383"/>
      <c r="R4" s="383"/>
      <c r="S4" s="383"/>
      <c r="T4" s="383"/>
      <c r="U4" s="383"/>
      <c r="V4" s="383"/>
      <c r="W4" s="383"/>
      <c r="X4" s="383"/>
      <c r="Y4" s="383"/>
      <c r="Z4" s="383"/>
      <c r="AA4" s="383"/>
      <c r="AB4" s="383"/>
      <c r="AC4" s="383"/>
      <c r="AD4" s="383"/>
      <c r="AE4" s="383"/>
    </row>
    <row r="5" spans="1:31" ht="19.95" customHeight="1" thickBot="1">
      <c r="A5" s="383"/>
      <c r="B5" s="383"/>
      <c r="C5" s="387" t="str">
        <f>"📋 "&amp;Idiomas!D7</f>
        <v>📋 Selecciona idioma</v>
      </c>
      <c r="D5" s="383"/>
      <c r="E5" s="388"/>
      <c r="F5" s="388"/>
      <c r="G5" s="388"/>
      <c r="H5" s="388"/>
      <c r="I5" s="388"/>
      <c r="J5" s="388"/>
      <c r="K5" s="388"/>
      <c r="L5" s="389"/>
      <c r="M5" s="390"/>
      <c r="N5" s="390"/>
      <c r="O5" s="390"/>
      <c r="P5" s="383"/>
      <c r="Q5" s="383"/>
      <c r="R5" s="383"/>
      <c r="S5" s="383"/>
      <c r="T5" s="383"/>
      <c r="U5" s="383"/>
      <c r="V5" s="383"/>
      <c r="W5" s="383"/>
      <c r="X5" s="383"/>
      <c r="Y5" s="383"/>
      <c r="Z5" s="383"/>
      <c r="AA5" s="383"/>
      <c r="AB5" s="383"/>
      <c r="AC5" s="383"/>
      <c r="AD5" s="383"/>
      <c r="AE5" s="383"/>
    </row>
    <row r="6" spans="1:31" ht="25.05" customHeight="1" thickBot="1">
      <c r="A6" s="383"/>
      <c r="B6" s="391"/>
      <c r="C6" s="40" t="s">
        <v>216</v>
      </c>
      <c r="D6" s="383"/>
      <c r="E6" s="385"/>
      <c r="F6" s="385"/>
      <c r="G6" s="385"/>
      <c r="H6" s="385"/>
      <c r="I6" s="385"/>
      <c r="J6" s="385"/>
      <c r="K6" s="41" t="s">
        <v>1773</v>
      </c>
      <c r="L6" s="383"/>
      <c r="M6" s="383"/>
      <c r="N6" s="383"/>
      <c r="O6" s="383"/>
      <c r="P6" s="383"/>
      <c r="Q6" s="383"/>
      <c r="R6" s="383"/>
      <c r="S6" s="383"/>
      <c r="T6" s="383"/>
      <c r="U6" s="383"/>
      <c r="V6" s="383"/>
      <c r="W6" s="383"/>
      <c r="X6" s="383"/>
      <c r="Y6" s="383"/>
      <c r="Z6" s="383"/>
      <c r="AA6" s="383"/>
      <c r="AB6" s="383"/>
      <c r="AC6" s="383"/>
      <c r="AD6" s="383"/>
      <c r="AE6" s="383"/>
    </row>
    <row r="7" spans="1:31" ht="19.95" customHeight="1" thickBot="1">
      <c r="A7" s="383"/>
      <c r="B7" s="392"/>
      <c r="C7" s="387" t="str">
        <f>"🕒 "&amp;Idiomas!D15</f>
        <v>🕒 Selecciona horario</v>
      </c>
      <c r="D7" s="383"/>
      <c r="E7" s="385"/>
      <c r="F7" s="385"/>
      <c r="G7" s="385"/>
      <c r="H7" s="385"/>
      <c r="I7" s="385"/>
      <c r="J7" s="385"/>
      <c r="K7" s="385"/>
      <c r="L7" s="383"/>
      <c r="M7" s="383"/>
      <c r="N7" s="383"/>
      <c r="O7" s="383"/>
      <c r="P7" s="383"/>
      <c r="Q7" s="383"/>
      <c r="R7" s="383"/>
      <c r="S7" s="383"/>
      <c r="T7" s="383"/>
      <c r="U7" s="383"/>
      <c r="V7" s="383"/>
      <c r="W7" s="383"/>
      <c r="X7" s="383"/>
      <c r="Y7" s="383"/>
      <c r="Z7" s="383"/>
      <c r="AA7" s="383"/>
      <c r="AB7" s="383"/>
      <c r="AC7" s="383"/>
      <c r="AD7" s="383"/>
      <c r="AE7" s="383"/>
    </row>
    <row r="8" spans="1:31" ht="25.05" customHeight="1" thickBot="1">
      <c r="A8" s="383"/>
      <c r="B8" s="391"/>
      <c r="C8" s="40" t="s">
        <v>38</v>
      </c>
      <c r="D8" s="383"/>
      <c r="E8" s="385"/>
      <c r="F8" s="385"/>
      <c r="G8" s="385"/>
      <c r="H8" s="385"/>
      <c r="I8" s="385"/>
      <c r="J8" s="385"/>
      <c r="K8" s="41" t="str">
        <f>Idiomas!D4</f>
        <v>Introducir resultados</v>
      </c>
      <c r="L8" s="383"/>
      <c r="M8" s="383"/>
      <c r="N8" s="383"/>
      <c r="O8" s="383"/>
      <c r="P8" s="383"/>
      <c r="Q8" s="383"/>
      <c r="R8" s="383"/>
      <c r="S8" s="383"/>
      <c r="T8" s="383"/>
      <c r="U8" s="383"/>
      <c r="V8" s="383"/>
      <c r="W8" s="383"/>
      <c r="X8" s="383"/>
      <c r="Y8" s="383"/>
      <c r="Z8" s="383"/>
      <c r="AA8" s="383"/>
      <c r="AB8" s="383"/>
      <c r="AC8" s="383"/>
      <c r="AD8" s="383"/>
      <c r="AE8" s="383"/>
    </row>
    <row r="9" spans="1:31" ht="19.95" customHeight="1" thickBot="1">
      <c r="A9" s="383"/>
      <c r="B9" s="392"/>
      <c r="C9" s="387" t="str">
        <f>"✍️ "&amp;Idiomas!D48</f>
        <v>✍️ Escribe el nombre del grupo</v>
      </c>
      <c r="D9" s="383"/>
      <c r="E9" s="385"/>
      <c r="F9" s="385"/>
      <c r="G9" s="385"/>
      <c r="H9" s="385"/>
      <c r="I9" s="385"/>
      <c r="J9" s="385"/>
      <c r="K9" s="385"/>
      <c r="L9" s="383"/>
      <c r="M9" s="383"/>
      <c r="N9" s="383"/>
      <c r="O9" s="383"/>
      <c r="P9" s="383"/>
      <c r="Q9" s="383"/>
      <c r="R9" s="383"/>
      <c r="S9" s="383"/>
      <c r="T9" s="383"/>
      <c r="U9" s="383"/>
      <c r="V9" s="383"/>
      <c r="W9" s="383"/>
      <c r="X9" s="383"/>
      <c r="Y9" s="383"/>
      <c r="Z9" s="383"/>
      <c r="AA9" s="383"/>
      <c r="AB9" s="383"/>
      <c r="AC9" s="383"/>
      <c r="AD9" s="383"/>
      <c r="AE9" s="383"/>
    </row>
    <row r="10" spans="1:31" ht="25.05" customHeight="1" thickBot="1">
      <c r="A10" s="383"/>
      <c r="B10" s="391"/>
      <c r="C10" s="40" t="s">
        <v>1941</v>
      </c>
      <c r="D10" s="383"/>
      <c r="E10" s="385"/>
      <c r="F10" s="385"/>
      <c r="G10" s="385"/>
      <c r="H10" s="385"/>
      <c r="I10" s="385"/>
      <c r="J10" s="385"/>
      <c r="K10" s="41" t="s">
        <v>1314</v>
      </c>
      <c r="L10" s="383"/>
      <c r="M10" s="383"/>
      <c r="N10" s="383"/>
      <c r="O10" s="383"/>
      <c r="P10" s="383"/>
      <c r="Q10" s="383"/>
      <c r="R10" s="383"/>
      <c r="S10" s="383"/>
      <c r="T10" s="383"/>
      <c r="U10" s="383"/>
      <c r="V10" s="383"/>
      <c r="W10" s="383"/>
      <c r="X10" s="383"/>
      <c r="Y10" s="383"/>
      <c r="Z10" s="383"/>
      <c r="AA10" s="383"/>
      <c r="AB10" s="383"/>
      <c r="AC10" s="383"/>
      <c r="AD10" s="383"/>
      <c r="AE10" s="383"/>
    </row>
    <row r="11" spans="1:31" ht="19.95" customHeight="1" thickBot="1">
      <c r="A11" s="383"/>
      <c r="B11" s="383"/>
      <c r="C11" s="383"/>
      <c r="D11" s="383"/>
      <c r="E11" s="385"/>
      <c r="F11" s="385"/>
      <c r="G11" s="385"/>
      <c r="H11" s="385"/>
      <c r="I11" s="385"/>
      <c r="J11" s="385"/>
      <c r="K11" s="385"/>
      <c r="L11" s="383"/>
      <c r="M11" s="383"/>
      <c r="N11" s="383"/>
      <c r="O11" s="383"/>
      <c r="P11" s="383"/>
      <c r="Q11" s="383"/>
      <c r="R11" s="383"/>
      <c r="S11" s="383"/>
      <c r="T11" s="383"/>
      <c r="U11" s="383"/>
      <c r="V11" s="383"/>
      <c r="W11" s="383"/>
      <c r="X11" s="383"/>
      <c r="Y11" s="383"/>
      <c r="Z11" s="383"/>
      <c r="AA11" s="383"/>
      <c r="AB11" s="383"/>
      <c r="AC11" s="383"/>
      <c r="AD11" s="383"/>
      <c r="AE11" s="383"/>
    </row>
    <row r="12" spans="1:31" ht="25.05" customHeight="1" thickBot="1">
      <c r="A12" s="383"/>
      <c r="B12" s="383"/>
      <c r="C12" s="383"/>
      <c r="D12" s="383"/>
      <c r="E12" s="385"/>
      <c r="F12" s="385"/>
      <c r="G12" s="385"/>
      <c r="H12" s="385"/>
      <c r="I12" s="385"/>
      <c r="J12" s="385"/>
      <c r="K12" s="41" t="str">
        <f>HYPERLINK(Idiomas!D302,Idiomas!D431)</f>
        <v>Sistema de puntuación</v>
      </c>
      <c r="L12" s="393"/>
      <c r="M12" s="383"/>
      <c r="N12" s="383"/>
      <c r="O12" s="383"/>
      <c r="P12" s="383"/>
      <c r="Q12" s="383"/>
      <c r="R12" s="383"/>
      <c r="S12" s="383"/>
      <c r="T12" s="383"/>
      <c r="U12" s="383"/>
      <c r="V12" s="383"/>
      <c r="W12" s="383"/>
      <c r="X12" s="383"/>
      <c r="Y12" s="383"/>
      <c r="Z12" s="383"/>
      <c r="AA12" s="383"/>
      <c r="AB12" s="383"/>
      <c r="AC12" s="383"/>
      <c r="AD12" s="383"/>
      <c r="AE12" s="383"/>
    </row>
    <row r="13" spans="1:31" ht="19.95" customHeight="1" thickBot="1">
      <c r="A13" s="383"/>
      <c r="B13" s="383"/>
      <c r="C13" s="394"/>
      <c r="D13" s="383"/>
      <c r="E13" s="385"/>
      <c r="F13" s="385"/>
      <c r="G13" s="385"/>
      <c r="H13" s="385"/>
      <c r="I13" s="385"/>
      <c r="J13" s="385"/>
      <c r="K13" s="385"/>
      <c r="L13" s="383"/>
      <c r="M13" s="383"/>
      <c r="N13" s="383"/>
      <c r="O13" s="383"/>
      <c r="P13" s="383"/>
      <c r="Q13" s="383"/>
      <c r="R13" s="383"/>
      <c r="S13" s="383"/>
      <c r="T13" s="383"/>
      <c r="U13" s="383"/>
      <c r="V13" s="383"/>
      <c r="W13" s="383"/>
      <c r="X13" s="383"/>
      <c r="Y13" s="383"/>
      <c r="Z13" s="383"/>
      <c r="AA13" s="383"/>
      <c r="AB13" s="383"/>
      <c r="AC13" s="383"/>
      <c r="AD13" s="383"/>
      <c r="AE13" s="383"/>
    </row>
    <row r="14" spans="1:31" ht="25.05" customHeight="1" thickBot="1">
      <c r="A14" s="383"/>
      <c r="B14" s="395"/>
      <c r="C14" s="395"/>
      <c r="D14" s="383"/>
      <c r="E14" s="385"/>
      <c r="F14" s="385"/>
      <c r="G14" s="385"/>
      <c r="H14" s="385"/>
      <c r="I14" s="385"/>
      <c r="J14" s="385"/>
      <c r="K14" s="41" t="str">
        <f>HYPERLINK(Idiomas!D13,"FAQ")</f>
        <v>FAQ</v>
      </c>
      <c r="L14" s="396"/>
      <c r="M14" s="383"/>
      <c r="N14" s="383"/>
      <c r="O14" s="383"/>
      <c r="P14" s="383"/>
      <c r="Q14" s="383"/>
      <c r="R14" s="383"/>
      <c r="S14" s="383"/>
      <c r="T14" s="383"/>
      <c r="U14" s="383"/>
      <c r="V14" s="383"/>
      <c r="W14" s="383"/>
      <c r="X14" s="383"/>
      <c r="Y14" s="383"/>
      <c r="Z14" s="383"/>
      <c r="AA14" s="383"/>
      <c r="AB14" s="383"/>
      <c r="AC14" s="383"/>
      <c r="AD14" s="383"/>
      <c r="AE14" s="383"/>
    </row>
    <row r="15" spans="1:31" ht="15" customHeight="1">
      <c r="A15" s="383"/>
      <c r="B15" s="395"/>
      <c r="C15" s="395"/>
      <c r="D15" s="383"/>
      <c r="E15" s="385"/>
      <c r="F15" s="385"/>
      <c r="G15" s="385"/>
      <c r="H15" s="385"/>
      <c r="I15" s="385"/>
      <c r="J15" s="385"/>
      <c r="K15" s="385"/>
      <c r="L15" s="393"/>
      <c r="M15" s="383"/>
      <c r="N15" s="383"/>
      <c r="O15" s="383"/>
      <c r="P15" s="383"/>
      <c r="Q15" s="383"/>
      <c r="R15" s="383"/>
      <c r="S15" s="383"/>
      <c r="T15" s="383"/>
      <c r="U15" s="383"/>
      <c r="V15" s="383"/>
      <c r="W15" s="383"/>
      <c r="X15" s="383"/>
      <c r="Y15" s="383"/>
      <c r="Z15" s="383"/>
      <c r="AA15" s="383"/>
      <c r="AB15" s="383"/>
      <c r="AC15" s="383"/>
      <c r="AD15" s="383"/>
      <c r="AE15" s="383"/>
    </row>
    <row r="16" spans="1:31" ht="40.049999999999997" customHeight="1" thickBot="1">
      <c r="A16" s="383"/>
      <c r="B16" s="383"/>
      <c r="C16" s="383"/>
      <c r="D16" s="383"/>
      <c r="E16" s="844"/>
      <c r="F16" s="845"/>
      <c r="G16" s="845"/>
      <c r="H16" s="845"/>
      <c r="I16" s="845"/>
      <c r="J16" s="385"/>
      <c r="K16" s="397"/>
      <c r="L16" s="383"/>
      <c r="M16" s="383"/>
      <c r="N16" s="383"/>
      <c r="O16" s="383"/>
      <c r="P16" s="383"/>
      <c r="Q16" s="383"/>
      <c r="R16" s="383"/>
      <c r="S16" s="383"/>
      <c r="T16" s="383"/>
      <c r="U16" s="383"/>
      <c r="V16" s="383"/>
      <c r="W16" s="383"/>
      <c r="X16" s="383"/>
      <c r="Y16" s="383"/>
      <c r="Z16" s="383"/>
      <c r="AA16" s="383"/>
      <c r="AB16" s="383"/>
      <c r="AC16" s="383"/>
      <c r="AD16" s="383"/>
      <c r="AE16" s="383"/>
    </row>
    <row r="17" spans="1:31" ht="40.049999999999997" customHeight="1" thickBot="1">
      <c r="A17" s="383"/>
      <c r="B17" s="383"/>
      <c r="C17" s="383"/>
      <c r="D17" s="383"/>
      <c r="E17" s="843"/>
      <c r="F17" s="843"/>
      <c r="G17" s="843"/>
      <c r="H17" s="843"/>
      <c r="I17" s="843"/>
      <c r="J17" s="385"/>
      <c r="K17" s="770" t="s">
        <v>1335</v>
      </c>
      <c r="L17" s="398"/>
      <c r="M17" s="383"/>
      <c r="N17" s="399"/>
      <c r="O17" s="400"/>
      <c r="P17" s="383"/>
      <c r="Q17" s="383"/>
      <c r="R17" s="383"/>
      <c r="S17" s="383"/>
      <c r="T17" s="383"/>
      <c r="U17" s="383"/>
      <c r="V17" s="383"/>
      <c r="W17" s="383"/>
      <c r="X17" s="383"/>
      <c r="Y17" s="383"/>
      <c r="Z17" s="383"/>
      <c r="AA17" s="383"/>
      <c r="AB17" s="383"/>
      <c r="AC17" s="383"/>
      <c r="AD17" s="383"/>
      <c r="AE17" s="383"/>
    </row>
    <row r="18" spans="1:31" ht="15" customHeight="1">
      <c r="A18" s="383"/>
      <c r="B18" s="383"/>
      <c r="C18" s="383"/>
      <c r="D18" s="383"/>
      <c r="E18" s="385"/>
      <c r="F18" s="385"/>
      <c r="G18" s="385"/>
      <c r="H18" s="385"/>
      <c r="I18" s="385"/>
      <c r="J18" s="385"/>
      <c r="K18" s="385"/>
      <c r="L18" s="383"/>
      <c r="M18" s="383"/>
      <c r="N18" s="383"/>
      <c r="O18" s="383"/>
      <c r="P18" s="383"/>
      <c r="Q18" s="383"/>
      <c r="R18" s="383"/>
      <c r="S18" s="383"/>
      <c r="T18" s="383"/>
      <c r="U18" s="383"/>
      <c r="V18" s="383"/>
      <c r="W18" s="383"/>
      <c r="X18" s="383"/>
      <c r="Y18" s="383"/>
      <c r="Z18" s="383"/>
      <c r="AA18" s="383"/>
      <c r="AB18" s="383"/>
      <c r="AC18" s="383"/>
      <c r="AD18" s="383"/>
      <c r="AE18" s="383"/>
    </row>
    <row r="19" spans="1:31">
      <c r="A19" s="383"/>
      <c r="B19" s="383"/>
      <c r="C19" s="383"/>
      <c r="D19" s="383"/>
      <c r="E19" s="383"/>
      <c r="F19" s="385"/>
      <c r="G19" s="405" t="str">
        <f ca="1">IFERROR(IF(E41&lt;E42,Idiomas!D505,IF(AND(E41&gt;=E42,E41&lt;=E43),Idiomas!D507,""))&amp;" "&amp;IF(E41&lt;E42,DATEDIF(E41,E42,"D"),IF(E41=E42,1,IF(AND(E41&gt;E42,E41&lt;=E43),DATEDIF(E42,E41,"D")+1,IF(E41&gt;E43,"",""))))&amp;" "&amp;IF(E41&lt;E42,Idiomas!D506,IF(AND(E41&gt;=E42,E41&lt;=E43),Idiomas!D508,"")),"")</f>
        <v>Es el día 10 del Mundial 2026</v>
      </c>
      <c r="H19" s="385"/>
      <c r="I19" s="385"/>
      <c r="J19" s="385"/>
      <c r="K19" s="385"/>
      <c r="L19" s="383"/>
      <c r="M19" s="383"/>
      <c r="N19" s="383"/>
      <c r="O19" s="383"/>
      <c r="P19" s="383"/>
      <c r="Q19" s="383"/>
      <c r="R19" s="383"/>
      <c r="S19" s="383"/>
      <c r="T19" s="383"/>
      <c r="U19" s="383"/>
      <c r="V19" s="383"/>
      <c r="W19" s="383"/>
      <c r="X19" s="383"/>
      <c r="Y19" s="383"/>
      <c r="Z19" s="383"/>
      <c r="AA19" s="383"/>
      <c r="AB19" s="383"/>
      <c r="AC19" s="383"/>
      <c r="AD19" s="383"/>
      <c r="AE19" s="383"/>
    </row>
    <row r="20" spans="1:31">
      <c r="A20" s="383"/>
      <c r="B20" s="383" t="s">
        <v>1304</v>
      </c>
      <c r="C20" s="383"/>
      <c r="D20" s="383"/>
      <c r="E20" s="385"/>
      <c r="F20" s="385"/>
      <c r="G20" s="405" t="str">
        <f ca="1">IFERROR(IF(E41&lt;E42,"",IF(AND(E41&gt;=E42,E41&lt;=E43),Idiomas!D509,IF(E41&gt;E43,"",)))&amp;" "&amp;IF(E41&lt;E42,"",IF(AND(E41&gt;=E42,E41&lt;=E43),DATEDIF(E41,E43,"D"),IF(E41&gt;E43,"",)))&amp;" "&amp;IF(E41&lt;E42,"",IF(AND(E41&gt;=E42,E41&lt;=E43),Idiomas!D510,IF(E41&gt;E43,"",))),"")</f>
        <v>Quedan 29 días para que acabe el Mundial 2026</v>
      </c>
      <c r="H20" s="385"/>
      <c r="I20" s="385"/>
      <c r="J20" s="385"/>
      <c r="K20" s="385"/>
      <c r="L20" s="383"/>
      <c r="M20" s="383"/>
      <c r="N20" s="383"/>
      <c r="O20" s="383"/>
      <c r="P20" s="383"/>
      <c r="Q20" s="383"/>
      <c r="R20" s="383"/>
      <c r="S20" s="383"/>
      <c r="T20" s="383"/>
      <c r="U20" s="383"/>
      <c r="V20" s="383"/>
      <c r="W20" s="383"/>
      <c r="X20" s="383"/>
      <c r="Y20" s="383"/>
      <c r="Z20" s="383"/>
      <c r="AA20" s="383"/>
      <c r="AB20" s="383"/>
      <c r="AC20" s="383"/>
      <c r="AD20" s="383"/>
      <c r="AE20" s="383"/>
    </row>
    <row r="21" spans="1:31" ht="15" customHeight="1" thickBot="1">
      <c r="A21" s="383"/>
      <c r="B21" s="383" t="s">
        <v>1304</v>
      </c>
      <c r="C21" s="383"/>
      <c r="D21" s="383"/>
      <c r="E21" s="401" t="s">
        <v>1332</v>
      </c>
      <c r="F21" s="385"/>
      <c r="G21" s="385"/>
      <c r="H21" s="385"/>
      <c r="I21" s="385"/>
      <c r="J21" s="385"/>
      <c r="K21" s="385"/>
      <c r="L21" s="383"/>
      <c r="M21" s="383"/>
      <c r="N21" s="383"/>
      <c r="O21" s="393"/>
      <c r="P21" s="383"/>
      <c r="Q21" s="383"/>
      <c r="R21" s="383"/>
      <c r="S21" s="383"/>
      <c r="T21" s="383"/>
      <c r="U21" s="383"/>
      <c r="V21" s="383"/>
      <c r="W21" s="383"/>
      <c r="X21" s="383"/>
      <c r="Y21" s="383"/>
      <c r="Z21" s="383"/>
      <c r="AA21" s="383"/>
      <c r="AB21" s="383"/>
      <c r="AC21" s="383"/>
      <c r="AD21" s="383"/>
      <c r="AE21" s="383"/>
    </row>
    <row r="22" spans="1:31" ht="31.05" customHeight="1" thickBot="1">
      <c r="A22" s="383"/>
      <c r="B22" s="383" t="s">
        <v>1304</v>
      </c>
      <c r="C22" s="767">
        <v>50</v>
      </c>
      <c r="D22" s="383"/>
      <c r="E22" s="12" t="s">
        <v>1300</v>
      </c>
      <c r="F22" s="13" t="s">
        <v>1301</v>
      </c>
      <c r="G22" s="14" t="s">
        <v>1302</v>
      </c>
      <c r="H22" s="15" t="s">
        <v>13</v>
      </c>
      <c r="I22" s="42" t="s">
        <v>1303</v>
      </c>
      <c r="J22" s="385"/>
      <c r="K22" s="385"/>
      <c r="L22" s="383"/>
      <c r="M22" s="383"/>
      <c r="N22" s="383"/>
      <c r="O22" s="393"/>
      <c r="P22" s="383"/>
      <c r="Q22" s="383"/>
      <c r="R22" s="383"/>
      <c r="S22" s="383"/>
      <c r="T22" s="383"/>
      <c r="U22" s="383"/>
      <c r="V22" s="383"/>
      <c r="W22" s="383"/>
      <c r="X22" s="383"/>
      <c r="Y22" s="383"/>
      <c r="Z22" s="383"/>
      <c r="AA22" s="383"/>
      <c r="AB22" s="383"/>
      <c r="AC22" s="383"/>
      <c r="AD22" s="383"/>
      <c r="AE22" s="383"/>
    </row>
    <row r="23" spans="1:31" ht="19.95" customHeight="1">
      <c r="A23" s="383"/>
      <c r="B23" s="383" t="s">
        <v>1304</v>
      </c>
      <c r="C23" s="766"/>
      <c r="D23" s="383"/>
      <c r="E23" s="385"/>
      <c r="F23" s="385"/>
      <c r="G23" s="385"/>
      <c r="H23" s="385"/>
      <c r="I23" s="385"/>
      <c r="J23" s="385"/>
      <c r="K23" s="764" t="s">
        <v>1317</v>
      </c>
      <c r="L23" s="383"/>
      <c r="M23" s="383"/>
      <c r="N23" s="393"/>
      <c r="O23" s="393"/>
      <c r="P23" s="383"/>
      <c r="Q23" s="383"/>
      <c r="R23" s="383"/>
      <c r="S23" s="383"/>
      <c r="T23" s="383"/>
      <c r="U23" s="383"/>
      <c r="V23" s="383"/>
      <c r="W23" s="383"/>
      <c r="X23" s="383"/>
      <c r="Y23" s="383"/>
      <c r="Z23" s="383"/>
      <c r="AA23" s="383"/>
      <c r="AB23" s="383"/>
      <c r="AC23" s="383"/>
      <c r="AD23" s="383"/>
      <c r="AE23" s="383"/>
    </row>
    <row r="24" spans="1:31" ht="30" customHeight="1">
      <c r="A24" s="383"/>
      <c r="B24" s="847"/>
      <c r="C24" s="848"/>
      <c r="D24" s="383"/>
      <c r="E24" s="385"/>
      <c r="F24" s="385"/>
      <c r="G24" s="385"/>
      <c r="H24" s="402"/>
      <c r="I24" s="402"/>
      <c r="J24" s="385"/>
      <c r="K24" s="402"/>
      <c r="L24" s="393"/>
      <c r="M24" s="393"/>
      <c r="N24" s="393"/>
      <c r="O24" s="393"/>
      <c r="P24" s="383"/>
      <c r="Q24" s="383"/>
      <c r="R24" s="383"/>
      <c r="S24" s="383"/>
      <c r="T24" s="383"/>
      <c r="U24" s="383"/>
      <c r="V24" s="383"/>
      <c r="W24" s="383"/>
      <c r="X24" s="383"/>
      <c r="Y24" s="383"/>
      <c r="Z24" s="383"/>
      <c r="AA24" s="383"/>
      <c r="AB24" s="383"/>
      <c r="AC24" s="383"/>
      <c r="AD24" s="383"/>
      <c r="AE24" s="383"/>
    </row>
    <row r="25" spans="1:31">
      <c r="A25" s="383"/>
      <c r="B25" s="383"/>
      <c r="C25" s="383"/>
      <c r="D25" s="383"/>
      <c r="E25" s="385"/>
      <c r="F25" s="385"/>
      <c r="G25" s="385"/>
      <c r="H25" s="402"/>
      <c r="I25" s="402"/>
      <c r="J25" s="385"/>
      <c r="K25" s="402"/>
      <c r="L25" s="393"/>
      <c r="M25" s="393"/>
      <c r="N25" s="393"/>
      <c r="O25" s="393"/>
      <c r="P25" s="383"/>
      <c r="Q25" s="383"/>
      <c r="R25" s="383"/>
      <c r="S25" s="383"/>
      <c r="T25" s="383"/>
      <c r="U25" s="383"/>
      <c r="V25" s="383"/>
      <c r="W25" s="383"/>
      <c r="X25" s="383"/>
      <c r="Y25" s="383"/>
      <c r="Z25" s="383"/>
      <c r="AA25" s="383"/>
      <c r="AB25" s="383"/>
      <c r="AC25" s="383"/>
      <c r="AD25" s="383"/>
      <c r="AE25" s="383"/>
    </row>
    <row r="26" spans="1:31">
      <c r="A26" s="383"/>
      <c r="B26" s="383"/>
      <c r="C26" s="383"/>
      <c r="D26" s="383"/>
      <c r="E26" s="383"/>
      <c r="F26" s="383"/>
      <c r="G26" s="383"/>
      <c r="H26" s="383"/>
      <c r="I26" s="383"/>
      <c r="J26" s="385"/>
      <c r="K26" s="383"/>
      <c r="L26" s="383"/>
      <c r="M26" s="383"/>
      <c r="N26" s="383"/>
      <c r="O26" s="383"/>
      <c r="P26" s="383"/>
      <c r="Q26" s="383"/>
      <c r="R26" s="383"/>
      <c r="S26" s="383"/>
      <c r="T26" s="383"/>
      <c r="U26" s="383"/>
      <c r="V26" s="383"/>
      <c r="W26" s="383"/>
      <c r="X26" s="383"/>
      <c r="Y26" s="383"/>
      <c r="Z26" s="383"/>
      <c r="AA26" s="383"/>
      <c r="AB26" s="383"/>
      <c r="AC26" s="383"/>
      <c r="AD26" s="383"/>
      <c r="AE26" s="383"/>
    </row>
    <row r="27" spans="1:31">
      <c r="A27" s="383"/>
      <c r="B27" s="383"/>
      <c r="C27" s="383"/>
      <c r="D27" s="383"/>
      <c r="E27" s="383"/>
      <c r="F27" s="383"/>
      <c r="G27" s="383"/>
      <c r="H27" s="383"/>
      <c r="I27" s="383"/>
      <c r="J27" s="385"/>
      <c r="K27" s="383"/>
      <c r="L27" s="383"/>
      <c r="M27" s="383"/>
      <c r="N27" s="383"/>
      <c r="O27" s="383"/>
      <c r="P27" s="383"/>
      <c r="Q27" s="383"/>
      <c r="R27" s="383"/>
      <c r="S27" s="383"/>
      <c r="T27" s="383"/>
      <c r="U27" s="383"/>
      <c r="V27" s="383"/>
      <c r="W27" s="383"/>
      <c r="X27" s="383"/>
      <c r="Y27" s="383"/>
      <c r="Z27" s="383"/>
      <c r="AA27" s="383"/>
      <c r="AB27" s="383"/>
      <c r="AC27" s="383"/>
      <c r="AD27" s="383"/>
      <c r="AE27" s="383"/>
    </row>
    <row r="28" spans="1:31">
      <c r="A28" s="383"/>
      <c r="B28" s="383"/>
      <c r="C28" s="383"/>
      <c r="D28" s="383"/>
      <c r="E28" s="383"/>
      <c r="F28" s="383"/>
      <c r="G28" s="383"/>
      <c r="H28" s="383"/>
      <c r="I28" s="383"/>
      <c r="J28" s="385"/>
      <c r="K28" s="383"/>
      <c r="L28" s="383"/>
      <c r="M28" s="383"/>
      <c r="N28" s="383"/>
      <c r="O28" s="383"/>
      <c r="P28" s="383"/>
      <c r="Q28" s="383"/>
      <c r="R28" s="383"/>
      <c r="S28" s="383"/>
      <c r="T28" s="383"/>
      <c r="U28" s="383"/>
      <c r="V28" s="383"/>
      <c r="W28" s="383"/>
      <c r="X28" s="383"/>
      <c r="Y28" s="383"/>
      <c r="Z28" s="383"/>
      <c r="AA28" s="383"/>
      <c r="AB28" s="383"/>
      <c r="AC28" s="383"/>
      <c r="AD28" s="383"/>
      <c r="AE28" s="383"/>
    </row>
    <row r="29" spans="1:31">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c r="AA29" s="383"/>
      <c r="AB29" s="383"/>
      <c r="AC29" s="383"/>
      <c r="AD29" s="383"/>
      <c r="AE29" s="383"/>
    </row>
    <row r="30" spans="1:31">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c r="AA30" s="383"/>
      <c r="AB30" s="383"/>
      <c r="AC30" s="383"/>
      <c r="AD30" s="383"/>
      <c r="AE30" s="383"/>
    </row>
    <row r="31" spans="1:31">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c r="AA31" s="383"/>
      <c r="AB31" s="383"/>
      <c r="AC31" s="383"/>
      <c r="AD31" s="383"/>
      <c r="AE31" s="383"/>
    </row>
    <row r="32" spans="1:31">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c r="AA32" s="383"/>
      <c r="AB32" s="383"/>
      <c r="AC32" s="383"/>
      <c r="AD32" s="383"/>
      <c r="AE32" s="383"/>
    </row>
    <row r="33" spans="1:31">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c r="AA33" s="383"/>
      <c r="AB33" s="383"/>
      <c r="AC33" s="383"/>
      <c r="AD33" s="383"/>
      <c r="AE33" s="383"/>
    </row>
    <row r="34" spans="1:31">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c r="AA34" s="383"/>
      <c r="AB34" s="383"/>
      <c r="AC34" s="383"/>
      <c r="AD34" s="383"/>
      <c r="AE34" s="383"/>
    </row>
    <row r="35" spans="1:31">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c r="AA35" s="383"/>
      <c r="AB35" s="383"/>
      <c r="AC35" s="383"/>
      <c r="AD35" s="383"/>
      <c r="AE35" s="383"/>
    </row>
    <row r="36" spans="1:31">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c r="AA36" s="383"/>
      <c r="AB36" s="383"/>
      <c r="AC36" s="383"/>
      <c r="AD36" s="383"/>
      <c r="AE36" s="383"/>
    </row>
    <row r="37" spans="1:31">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c r="AA37" s="383"/>
      <c r="AB37" s="383"/>
      <c r="AC37" s="383"/>
      <c r="AD37" s="383"/>
      <c r="AE37" s="383"/>
    </row>
    <row r="38" spans="1:31">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c r="AA38" s="383"/>
      <c r="AB38" s="383"/>
      <c r="AC38" s="383"/>
      <c r="AD38" s="383"/>
      <c r="AE38" s="383"/>
    </row>
    <row r="39" spans="1:31">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c r="AA39" s="383"/>
      <c r="AB39" s="383"/>
      <c r="AC39" s="383"/>
      <c r="AD39" s="383"/>
      <c r="AE39" s="383"/>
    </row>
    <row r="40" spans="1:31">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c r="AA40" s="383"/>
      <c r="AB40" s="383"/>
      <c r="AC40" s="383"/>
      <c r="AD40" s="383"/>
      <c r="AE40" s="383"/>
    </row>
    <row r="41" spans="1:31">
      <c r="A41" s="383"/>
      <c r="B41" s="383"/>
      <c r="C41" s="383"/>
      <c r="D41" s="383"/>
      <c r="E41" s="709">
        <f ca="1">TODAY()</f>
        <v>46193</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row>
    <row r="42" spans="1:31">
      <c r="A42" s="383"/>
      <c r="B42" s="383"/>
      <c r="C42" s="383"/>
      <c r="D42" s="383"/>
      <c r="E42" s="709">
        <f ca="1">INT(Horarios!C4)</f>
        <v>46184</v>
      </c>
      <c r="F42" s="453"/>
      <c r="G42" s="383"/>
      <c r="H42" s="383"/>
      <c r="I42" s="383"/>
      <c r="J42" s="383"/>
      <c r="K42" s="383"/>
      <c r="L42" s="383"/>
      <c r="M42" s="383"/>
      <c r="N42" s="383"/>
      <c r="O42" s="383"/>
      <c r="P42" s="383"/>
      <c r="Q42" s="383"/>
      <c r="R42" s="383"/>
      <c r="S42" s="383"/>
      <c r="T42" s="383"/>
      <c r="U42" s="383"/>
      <c r="V42" s="383"/>
      <c r="W42" s="383"/>
      <c r="X42" s="383"/>
      <c r="Y42" s="383"/>
      <c r="Z42" s="383"/>
      <c r="AA42" s="383"/>
      <c r="AB42" s="383"/>
      <c r="AC42" s="383"/>
      <c r="AD42" s="383"/>
      <c r="AE42" s="383"/>
    </row>
    <row r="43" spans="1:31">
      <c r="A43" s="383"/>
      <c r="B43" s="383"/>
      <c r="C43" s="383"/>
      <c r="D43" s="383"/>
      <c r="E43" s="709">
        <f ca="1">INT(Horarios!C147)</f>
        <v>46222</v>
      </c>
      <c r="F43" s="453"/>
      <c r="G43" s="383"/>
      <c r="H43" s="383"/>
      <c r="I43" s="383"/>
      <c r="J43" s="383"/>
      <c r="K43" s="383"/>
      <c r="L43" s="383"/>
      <c r="M43" s="383"/>
      <c r="N43" s="383"/>
      <c r="O43" s="383"/>
      <c r="P43" s="383"/>
      <c r="Q43" s="383"/>
      <c r="R43" s="383"/>
      <c r="S43" s="383"/>
      <c r="T43" s="383"/>
      <c r="U43" s="383"/>
      <c r="V43" s="383"/>
      <c r="W43" s="383"/>
      <c r="X43" s="383"/>
      <c r="Y43" s="383"/>
      <c r="Z43" s="383"/>
      <c r="AA43" s="383"/>
      <c r="AB43" s="383"/>
      <c r="AC43" s="383"/>
      <c r="AD43" s="383"/>
      <c r="AE43" s="383"/>
    </row>
    <row r="44" spans="1:31">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c r="AA44" s="383"/>
      <c r="AB44" s="383"/>
      <c r="AC44" s="383"/>
      <c r="AD44" s="383"/>
      <c r="AE44" s="383"/>
    </row>
    <row r="45" spans="1:31">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c r="AA45" s="383"/>
      <c r="AB45" s="383"/>
      <c r="AC45" s="383"/>
      <c r="AD45" s="383"/>
      <c r="AE45" s="383"/>
    </row>
    <row r="46" spans="1:31">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c r="AA46" s="383"/>
      <c r="AB46" s="383"/>
      <c r="AC46" s="383"/>
      <c r="AD46" s="383"/>
      <c r="AE46" s="383"/>
    </row>
    <row r="47" spans="1:31">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c r="AA47" s="383"/>
      <c r="AB47" s="383"/>
      <c r="AC47" s="383"/>
      <c r="AD47" s="383"/>
      <c r="AE47" s="383"/>
    </row>
    <row r="48" spans="1:31">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row>
    <row r="49" spans="1:31">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row>
    <row r="50" spans="1:31">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c r="AA50" s="383"/>
      <c r="AB50" s="383"/>
      <c r="AC50" s="383"/>
      <c r="AD50" s="383"/>
      <c r="AE50" s="383"/>
    </row>
  </sheetData>
  <sheetProtection algorithmName="SHA-512" hashValue="zvOrAhuLXikWCKJ4ZSUcpLPbffrg1LQv5t0kI0zRmppMENqT08te7vtL3Qwa0iZ2CQOf5GGevv3Z10fQiVlghw==" saltValue="miInVi4zAScWbqg6NFOX7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K17" r:id="rId6" xr:uid="{B62C1094-D3CE-DA45-AAD5-44BA995917DF}"/>
    <hyperlink ref="K10" location="Credits!L1" display="Help" xr:uid="{7FBE6F04-CA10-D24D-AAD1-18A1F31F0756}"/>
  </hyperlinks>
  <pageMargins left="0.7" right="0.7" top="0.75" bottom="0.75" header="0.3" footer="0.3"/>
  <pageSetup paperSize="9" orientation="portrait" r:id="rId7"/>
  <headerFooter>
    <oddFooter>&amp;L_x000D_&amp;1#&amp;"Aptos"&amp;8&amp;K000000 Clasificación: Interna</oddFooter>
  </headerFooter>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W26" zoomScaleNormal="100" workbookViewId="0">
      <selection activeCell="AD24" sqref="AD24"/>
    </sheetView>
  </sheetViews>
  <sheetFormatPr defaultColWidth="0" defaultRowHeight="14.4"/>
  <cols>
    <col min="1" max="2" width="10.77734375" style="5" hidden="1" customWidth="1"/>
    <col min="3" max="3" width="2.109375" style="9" hidden="1" customWidth="1"/>
    <col min="4" max="10" width="8.77734375" style="9" hidden="1" customWidth="1"/>
    <col min="11" max="11" width="12.77734375" style="9" hidden="1" customWidth="1"/>
    <col min="12" max="21" width="8.77734375" style="9" hidden="1" customWidth="1"/>
    <col min="22" max="22" width="3.44140625" customWidth="1"/>
    <col min="23" max="23" width="6.6640625" customWidth="1"/>
    <col min="24" max="24" width="12.77734375" customWidth="1"/>
    <col min="25" max="25" width="6.77734375" customWidth="1"/>
    <col min="26" max="26" width="4.44140625" customWidth="1"/>
    <col min="27" max="27" width="20.77734375" customWidth="1"/>
    <col min="28" max="28" width="3.77734375" customWidth="1"/>
    <col min="29" max="30" width="5.33203125" customWidth="1"/>
    <col min="31" max="31" width="3.77734375" customWidth="1"/>
    <col min="32" max="32" width="20.77734375" customWidth="1"/>
    <col min="33" max="33" width="3.44140625" customWidth="1"/>
    <col min="34" max="34" width="3.77734375" style="21" customWidth="1"/>
    <col min="35" max="35" width="3.33203125" style="21" customWidth="1"/>
    <col min="36" max="36" width="4.33203125" customWidth="1"/>
    <col min="37" max="37" width="3.33203125" customWidth="1"/>
    <col min="38" max="38" width="20.77734375" customWidth="1"/>
    <col min="39" max="39" width="5.77734375" customWidth="1"/>
    <col min="40" max="43" width="4.33203125" customWidth="1"/>
    <col min="44" max="45" width="5.44140625" customWidth="1"/>
    <col min="46" max="46" width="6" customWidth="1"/>
    <col min="47" max="47" width="3.33203125" style="23" customWidth="1"/>
    <col min="48" max="48" width="18.44140625" style="24" customWidth="1"/>
    <col min="49" max="49" width="3.44140625" style="6" customWidth="1"/>
    <col min="50" max="50" width="3.44140625" style="2" customWidth="1"/>
    <col min="51" max="51" width="17" style="10" customWidth="1"/>
    <col min="52" max="52" width="15.77734375" style="6" customWidth="1"/>
    <col min="53" max="53" width="3" customWidth="1"/>
    <col min="54" max="54" width="10.77734375" style="5" hidden="1" customWidth="1"/>
    <col min="55" max="55" width="6" style="5" hidden="1" customWidth="1"/>
    <col min="56" max="56" width="17" style="5" hidden="1" customWidth="1"/>
    <col min="57" max="57" width="3.44140625" style="5" hidden="1" customWidth="1"/>
    <col min="58" max="58" width="2.109375" style="5" hidden="1" customWidth="1"/>
    <col min="59" max="59" width="7.77734375" style="5" hidden="1" customWidth="1"/>
    <col min="60" max="61" width="2.109375" style="5" hidden="1" customWidth="1"/>
    <col min="62" max="63" width="4.109375" style="5" hidden="1" customWidth="1"/>
    <col min="64" max="64" width="3.33203125" style="5" hidden="1" customWidth="1"/>
    <col min="65" max="66" width="5.6640625" style="5" hidden="1" customWidth="1"/>
    <col min="67" max="67" width="7" style="5" hidden="1" customWidth="1"/>
    <col min="68" max="68" width="4.33203125" style="5" hidden="1" customWidth="1"/>
    <col min="69" max="69" width="7.109375" style="5" hidden="1" customWidth="1"/>
    <col min="70" max="71" width="7.33203125" style="5" hidden="1" customWidth="1"/>
    <col min="72" max="100" width="8" style="5" hidden="1" customWidth="1"/>
    <col min="101" max="101" width="4.109375" style="5" hidden="1" customWidth="1"/>
    <col min="102" max="102" width="7.33203125" style="5" hidden="1" customWidth="1"/>
    <col min="103" max="103" width="10.77734375" style="5" hidden="1" customWidth="1"/>
    <col min="104" max="104" width="3.109375" style="5" hidden="1" customWidth="1"/>
    <col min="105" max="105" width="8.6640625" style="5" hidden="1" customWidth="1"/>
    <col min="106" max="106" width="8" style="5" hidden="1" customWidth="1"/>
    <col min="107" max="107" width="15.77734375" style="5" hidden="1" customWidth="1"/>
    <col min="108" max="108" width="10.77734375" style="5" hidden="1" customWidth="1"/>
    <col min="109" max="109" width="2.6640625" style="5" hidden="1" customWidth="1"/>
    <col min="110" max="126" width="10.77734375" style="5" hidden="1" customWidth="1"/>
    <col min="127" max="127" width="10.77734375" style="1" hidden="1" customWidth="1"/>
    <col min="128" max="16384" width="10.77734375" hidden="1"/>
  </cols>
  <sheetData>
    <row r="1" spans="1:127" ht="30" customHeight="1" thickBot="1">
      <c r="A1" s="739"/>
      <c r="B1" s="739"/>
      <c r="C1" s="739"/>
      <c r="D1" s="739"/>
      <c r="E1" s="739"/>
      <c r="F1" s="739"/>
      <c r="G1" s="739"/>
      <c r="H1" s="739"/>
      <c r="I1" s="739"/>
      <c r="J1" s="739"/>
      <c r="K1" s="739"/>
      <c r="L1" s="739"/>
      <c r="M1" s="739"/>
      <c r="N1" s="739"/>
      <c r="O1" s="739"/>
      <c r="P1" s="739"/>
      <c r="Q1" s="739"/>
      <c r="R1" s="739"/>
      <c r="S1" s="739"/>
      <c r="T1" s="739"/>
      <c r="U1" s="739"/>
      <c r="V1" s="170"/>
      <c r="W1" s="802" t="str">
        <f>Idiomas!D8</f>
        <v>XXIII Mundial USA/MEX/CAN 2026</v>
      </c>
      <c r="X1" s="802"/>
      <c r="Y1" s="802"/>
      <c r="Z1" s="802"/>
      <c r="AA1" s="802"/>
      <c r="AB1" s="802"/>
      <c r="AC1" s="802"/>
      <c r="AD1" s="802"/>
      <c r="AE1" s="802"/>
      <c r="AF1" s="802"/>
      <c r="AG1" s="16"/>
      <c r="AH1" s="171"/>
      <c r="AI1" s="171"/>
      <c r="AJ1" s="16"/>
      <c r="AK1" s="16"/>
      <c r="AL1" s="16"/>
      <c r="AM1" s="16"/>
      <c r="AN1" s="16"/>
      <c r="AO1" s="16"/>
      <c r="AP1" s="16"/>
      <c r="AQ1" s="16"/>
      <c r="AR1" s="16"/>
      <c r="AS1" s="16"/>
      <c r="AT1" s="16"/>
      <c r="AU1" s="171"/>
      <c r="AV1" s="771" t="s">
        <v>1335</v>
      </c>
      <c r="AW1" s="16"/>
      <c r="AX1" s="16"/>
      <c r="AY1" s="16"/>
      <c r="AZ1" s="16"/>
      <c r="BA1" s="16"/>
      <c r="BB1" s="743"/>
      <c r="BC1" s="743"/>
      <c r="BD1" s="743"/>
      <c r="BE1" s="743"/>
      <c r="BF1" s="743"/>
      <c r="BG1" s="743"/>
      <c r="BH1" s="743"/>
      <c r="BI1" s="743"/>
      <c r="BJ1" s="743"/>
      <c r="BK1" s="743"/>
      <c r="BL1" s="743"/>
      <c r="BM1" s="743"/>
      <c r="BN1" s="743"/>
      <c r="BO1" s="743"/>
      <c r="BP1" s="743"/>
      <c r="BQ1" s="743"/>
      <c r="BR1" s="743"/>
      <c r="BS1" s="743"/>
      <c r="BT1" s="743"/>
      <c r="BU1" s="743"/>
      <c r="BV1" s="743"/>
      <c r="BW1" s="743"/>
      <c r="BX1" s="743"/>
      <c r="BY1" s="743"/>
      <c r="BZ1" s="743"/>
      <c r="CA1" s="743"/>
      <c r="CB1" s="743"/>
      <c r="CC1" s="743"/>
      <c r="CD1" s="743"/>
      <c r="CE1" s="743"/>
      <c r="CF1" s="743"/>
      <c r="CG1" s="743"/>
      <c r="CH1" s="743"/>
      <c r="CI1" s="743"/>
      <c r="CJ1" s="743"/>
      <c r="CK1" s="743"/>
      <c r="CL1" s="743"/>
      <c r="CM1" s="743"/>
      <c r="CN1" s="743"/>
      <c r="CO1" s="743"/>
      <c r="CP1" s="743"/>
      <c r="CQ1" s="743"/>
      <c r="CR1" s="743"/>
      <c r="CS1" s="743"/>
      <c r="CT1" s="743"/>
      <c r="CU1" s="743"/>
      <c r="CV1" s="743"/>
      <c r="CW1" s="743"/>
      <c r="CX1" s="743"/>
      <c r="CY1" s="743"/>
      <c r="CZ1" s="743"/>
      <c r="DA1" s="743"/>
      <c r="DB1" s="743"/>
      <c r="DC1" s="743"/>
      <c r="DD1" s="743"/>
      <c r="DE1" s="743"/>
      <c r="DF1" s="743"/>
      <c r="DG1" s="743"/>
      <c r="DH1" s="743"/>
      <c r="DI1" s="743"/>
      <c r="DJ1" s="743"/>
      <c r="DK1" s="743"/>
      <c r="DL1" s="743"/>
      <c r="DM1" s="743"/>
      <c r="DN1" s="743" t="s">
        <v>1344</v>
      </c>
      <c r="DO1" s="743"/>
      <c r="DP1" s="743"/>
      <c r="DQ1" s="743"/>
      <c r="DR1" s="743"/>
      <c r="DS1" s="743"/>
      <c r="DT1" s="743"/>
      <c r="DU1" s="743"/>
      <c r="DV1" s="743"/>
      <c r="DW1" s="713"/>
    </row>
    <row r="2" spans="1:127" ht="10.050000000000001" customHeight="1" thickBot="1">
      <c r="A2" s="739"/>
      <c r="B2" s="739"/>
      <c r="C2" s="739"/>
      <c r="D2" s="739"/>
      <c r="E2" s="739"/>
      <c r="F2" s="739"/>
      <c r="G2" s="739"/>
      <c r="H2" s="739"/>
      <c r="I2" s="739"/>
      <c r="J2" s="739"/>
      <c r="K2" s="739"/>
      <c r="L2" s="739"/>
      <c r="M2" s="739"/>
      <c r="N2" s="739"/>
      <c r="O2" s="739"/>
      <c r="P2" s="739"/>
      <c r="Q2" s="739"/>
      <c r="R2" s="739"/>
      <c r="S2" s="739"/>
      <c r="T2" s="739"/>
      <c r="U2" s="739"/>
      <c r="V2" s="172"/>
      <c r="W2" s="173"/>
      <c r="X2" s="173"/>
      <c r="Y2" s="16"/>
      <c r="Z2" s="173"/>
      <c r="AA2" s="174"/>
      <c r="AB2" s="173"/>
      <c r="AC2" s="174"/>
      <c r="AD2" s="174"/>
      <c r="AE2" s="174"/>
      <c r="AF2" s="174"/>
      <c r="AG2" s="175"/>
      <c r="AH2" s="18"/>
      <c r="AI2" s="18"/>
      <c r="AJ2" s="175"/>
      <c r="AK2" s="175"/>
      <c r="AL2" s="175"/>
      <c r="AM2" s="175"/>
      <c r="AN2" s="175"/>
      <c r="AO2" s="175"/>
      <c r="AP2" s="175"/>
      <c r="AQ2" s="175"/>
      <c r="AR2" s="175"/>
      <c r="AS2" s="175"/>
      <c r="AT2" s="175"/>
      <c r="AU2" s="22"/>
      <c r="AV2" s="22"/>
      <c r="AW2" s="176"/>
      <c r="AX2" s="176"/>
      <c r="AY2" s="177"/>
      <c r="AZ2" s="178"/>
      <c r="BA2" s="175"/>
      <c r="BB2" s="744"/>
      <c r="BC2" s="744"/>
      <c r="BD2" s="744"/>
      <c r="BE2" s="744"/>
      <c r="BF2" s="744"/>
      <c r="BG2" s="744"/>
      <c r="BH2" s="744"/>
      <c r="BI2" s="744"/>
      <c r="BJ2" s="744"/>
      <c r="BK2" s="744"/>
      <c r="BL2" s="744"/>
      <c r="BM2" s="744"/>
      <c r="BN2" s="744"/>
      <c r="BO2" s="744"/>
      <c r="BP2" s="744"/>
      <c r="BQ2" s="744"/>
      <c r="BR2" s="744"/>
      <c r="BS2" s="744"/>
      <c r="BT2" s="744"/>
      <c r="BU2" s="744"/>
      <c r="BV2" s="744"/>
      <c r="BW2" s="744"/>
      <c r="BX2" s="744"/>
      <c r="BY2" s="744"/>
      <c r="BZ2" s="744"/>
      <c r="CA2" s="744"/>
      <c r="CB2" s="744"/>
      <c r="CC2" s="744"/>
      <c r="CD2" s="744"/>
      <c r="CE2" s="744"/>
      <c r="CF2" s="744"/>
      <c r="CG2" s="744"/>
      <c r="CH2" s="744"/>
      <c r="CI2" s="744"/>
      <c r="CJ2" s="744"/>
      <c r="CK2" s="744"/>
      <c r="CL2" s="744"/>
      <c r="CM2" s="744"/>
      <c r="CN2" s="744"/>
      <c r="CO2" s="744"/>
      <c r="CP2" s="744"/>
      <c r="CQ2" s="744"/>
      <c r="CR2" s="744"/>
      <c r="CS2" s="744"/>
      <c r="CT2" s="744"/>
      <c r="CU2" s="744"/>
      <c r="CV2" s="744"/>
      <c r="CW2" s="744"/>
      <c r="CX2" s="744"/>
      <c r="CY2" s="744"/>
      <c r="CZ2" s="744"/>
      <c r="DA2" s="744"/>
      <c r="DB2" s="744"/>
      <c r="DC2" s="751"/>
      <c r="DD2" s="744"/>
      <c r="DE2" s="744"/>
      <c r="DF2" s="744"/>
      <c r="DG2" s="744"/>
      <c r="DH2" s="744"/>
      <c r="DI2" s="744"/>
      <c r="DJ2" s="744"/>
      <c r="DK2" s="744"/>
      <c r="DL2" s="744"/>
      <c r="DM2" s="744"/>
      <c r="DN2" s="744"/>
      <c r="DO2" s="744"/>
      <c r="DP2" s="744"/>
      <c r="DQ2" s="744"/>
      <c r="DR2" s="744"/>
      <c r="DS2" s="744"/>
      <c r="DT2" s="744"/>
      <c r="DU2" s="744"/>
      <c r="DV2" s="744"/>
      <c r="DW2" s="8"/>
    </row>
    <row r="3" spans="1:127" ht="15" thickBot="1">
      <c r="A3" s="739"/>
      <c r="B3" s="739"/>
      <c r="C3" s="739"/>
      <c r="D3" s="739" t="s">
        <v>1199</v>
      </c>
      <c r="E3" s="740" t="s">
        <v>636</v>
      </c>
      <c r="F3" s="740" t="s">
        <v>637</v>
      </c>
      <c r="G3" s="739"/>
      <c r="H3" s="740" t="s">
        <v>638</v>
      </c>
      <c r="I3" s="740" t="s">
        <v>639</v>
      </c>
      <c r="J3" s="739"/>
      <c r="K3" s="740" t="s">
        <v>643</v>
      </c>
      <c r="L3" s="740" t="s">
        <v>644</v>
      </c>
      <c r="M3" s="740"/>
      <c r="N3" s="740" t="s">
        <v>1209</v>
      </c>
      <c r="O3" s="740" t="s">
        <v>1210</v>
      </c>
      <c r="P3" s="739"/>
      <c r="Q3" s="740" t="s">
        <v>1211</v>
      </c>
      <c r="R3" s="740" t="s">
        <v>1212</v>
      </c>
      <c r="S3" s="739"/>
      <c r="T3" s="740" t="s">
        <v>1213</v>
      </c>
      <c r="U3" s="740" t="s">
        <v>1214</v>
      </c>
      <c r="V3" s="172"/>
      <c r="W3" s="179"/>
      <c r="X3" s="180" t="str">
        <f>Idiomas!D16</f>
        <v>Fecha</v>
      </c>
      <c r="Y3" s="180" t="str">
        <f>Idiomas!D17</f>
        <v>Hora</v>
      </c>
      <c r="Z3" s="181" t="str">
        <f>Idiomas!D18</f>
        <v>Jor.</v>
      </c>
      <c r="AA3" s="182" t="str">
        <f>Idiomas!D19</f>
        <v>Casa</v>
      </c>
      <c r="AB3" s="183"/>
      <c r="AC3" s="181" t="str">
        <f>Idiomas!D20</f>
        <v>Gol</v>
      </c>
      <c r="AD3" s="181" t="str">
        <f>Idiomas!D20</f>
        <v>Gol</v>
      </c>
      <c r="AE3" s="183"/>
      <c r="AF3" s="184" t="str">
        <f>Idiomas!D21</f>
        <v>Fuera</v>
      </c>
      <c r="AG3" s="175"/>
      <c r="AH3" s="18"/>
      <c r="AI3" s="18"/>
      <c r="AJ3" s="18" t="str">
        <f>Idiomas!D22</f>
        <v>Grupo</v>
      </c>
      <c r="AK3" s="185"/>
      <c r="AL3" s="186"/>
      <c r="AM3" s="186"/>
      <c r="AN3" s="186"/>
      <c r="AO3" s="186"/>
      <c r="AP3" s="186"/>
      <c r="AQ3" s="186"/>
      <c r="AR3" s="186"/>
      <c r="AS3" s="186"/>
      <c r="AT3" s="186"/>
      <c r="AU3" s="22"/>
      <c r="AV3" s="187" t="str">
        <f>Idiomas!D23</f>
        <v>¡EMPATE! Puedes seleccionar el orden de los empatados.</v>
      </c>
      <c r="AW3" s="188"/>
      <c r="AX3" s="188"/>
      <c r="AY3" s="425" t="str">
        <f>Idiomas!D74</f>
        <v>¿Hay equipos penalizados?</v>
      </c>
      <c r="AZ3" s="426" t="s">
        <v>1220</v>
      </c>
      <c r="BA3" s="175"/>
      <c r="BB3" s="744"/>
      <c r="BC3" s="744"/>
      <c r="BD3" s="744"/>
      <c r="BE3" s="744"/>
      <c r="BF3" s="744"/>
      <c r="BG3" s="744"/>
      <c r="BH3" s="744"/>
      <c r="BI3" s="744"/>
      <c r="BJ3" s="744"/>
      <c r="BK3" s="744"/>
      <c r="BL3" s="744"/>
      <c r="BM3" s="744"/>
      <c r="BN3" s="744"/>
      <c r="BO3" s="744"/>
      <c r="BP3" s="744"/>
      <c r="BQ3" s="744"/>
      <c r="BR3" s="744"/>
      <c r="BS3" s="744"/>
      <c r="BT3" s="744"/>
      <c r="BU3" s="744"/>
      <c r="BV3" s="744"/>
      <c r="BW3" s="744"/>
      <c r="BX3" s="744"/>
      <c r="BY3" s="744"/>
      <c r="BZ3" s="744"/>
      <c r="CA3" s="744"/>
      <c r="CB3" s="744"/>
      <c r="CC3" s="744"/>
      <c r="CD3" s="744"/>
      <c r="CE3" s="744"/>
      <c r="CF3" s="744"/>
      <c r="CG3" s="744"/>
      <c r="CH3" s="744"/>
      <c r="CI3" s="744"/>
      <c r="CJ3" s="744"/>
      <c r="CK3" s="744"/>
      <c r="CL3" s="744"/>
      <c r="CM3" s="744"/>
      <c r="CN3" s="744"/>
      <c r="CO3" s="744"/>
      <c r="CP3" s="744"/>
      <c r="CQ3" s="744"/>
      <c r="CR3" s="744"/>
      <c r="CS3" s="744"/>
      <c r="CT3" s="744"/>
      <c r="CU3" s="744"/>
      <c r="CV3" s="744"/>
      <c r="CW3" s="744"/>
      <c r="CX3" s="744"/>
      <c r="CY3" s="744"/>
      <c r="CZ3" s="744"/>
      <c r="DA3" s="744"/>
      <c r="DB3" s="744"/>
      <c r="DC3" s="744"/>
      <c r="DD3" s="744"/>
      <c r="DE3" s="744"/>
      <c r="DF3" s="744"/>
      <c r="DG3" s="744"/>
      <c r="DH3" s="744"/>
      <c r="DI3" s="744"/>
      <c r="DJ3" s="744"/>
      <c r="DK3" s="744"/>
      <c r="DL3" s="744"/>
      <c r="DM3" s="744"/>
      <c r="DN3" s="744"/>
      <c r="DO3" s="744"/>
      <c r="DP3" s="744"/>
      <c r="DQ3" s="744"/>
      <c r="DR3" s="744"/>
      <c r="DS3" s="744"/>
      <c r="DT3" s="744" t="s">
        <v>1902</v>
      </c>
      <c r="DU3" s="744"/>
      <c r="DV3" s="744"/>
      <c r="DW3" s="8"/>
    </row>
    <row r="4" spans="1:127" ht="15" customHeight="1" thickBot="1">
      <c r="A4" s="741" t="s">
        <v>30</v>
      </c>
      <c r="B4" s="742" t="s">
        <v>0</v>
      </c>
      <c r="C4" s="743">
        <f>COUNTIF(Equipos!$C$2:$C$49,WORLDCUP!B4)</f>
        <v>4</v>
      </c>
      <c r="D4" s="744" t="str">
        <f t="shared" ref="D4:D9" si="0">IF(OR(AC4="",AD4=""),"Pendiente",IF(AC4&gt;AD4,"Local",IF(AC4&lt;AD4,"Visitante","Empate")))</f>
        <v>Local</v>
      </c>
      <c r="E4" s="744" t="str">
        <f t="shared" ref="E4:E9" ca="1" si="1">IF(D4="Pendiente","-",INDEX($BT$6:$BT$53,MATCH($AA4,$BD$6:$BD$53,0)))</f>
        <v>-</v>
      </c>
      <c r="F4" s="744" t="str">
        <f t="shared" ref="F4:F9" ca="1" si="2">IF(D4="Pendiente","-",INDEX($BT$6:$BT$53,MATCH($AF4,$BD$6:$BD$53,0)))</f>
        <v>P.3 (2)</v>
      </c>
      <c r="G4" s="744"/>
      <c r="H4" s="744" t="str">
        <f t="shared" ref="H4:H9" ca="1" si="3">IF(D4="Pendiente","-",INDEX($BZ$6:$BZ$53,MATCH($AA4,$BD$6:$BD$53,0)))</f>
        <v>-</v>
      </c>
      <c r="I4" s="744" t="str">
        <f t="shared" ref="I4:I9" ca="1" si="4">IF(D4="Pendiente","-",INDEX($BZ$6:$BZ$53,MATCH($AF4,$BD$6:$BD$53,0)))</f>
        <v>P.3 (2)</v>
      </c>
      <c r="J4" s="744"/>
      <c r="K4" s="744" t="str">
        <f t="shared" ref="K4:K9" ca="1" si="5">IF(D4="Pendiente","-",INDEX($CE$6:$CE$53,MATCH($AA4,$BD$6:$BD$53,0)))</f>
        <v>-</v>
      </c>
      <c r="L4" s="744" t="str">
        <f t="shared" ref="L4:L9" ca="1" si="6">IF(D4="Pendiente","-",INDEX($CE$6:$CE$53,MATCH($AF4,$BD$6:$BD$53,0)))</f>
        <v>P.3 (2)</v>
      </c>
      <c r="M4" s="744"/>
      <c r="N4" s="744" t="str">
        <f t="shared" ref="N4:N9" ca="1" si="7">IF(D4="Pendiente","-",INDEX($CH$6:$CH$53,MATCH($AA4,$BD$6:$BD$53,0)))</f>
        <v>-</v>
      </c>
      <c r="O4" s="744" t="str">
        <f t="shared" ref="O4:O9" ca="1" si="8">IF(D4="Pendiente","-",INDEX($CH$6:$CH$53,MATCH($AF4,$BD$6:$BD$53,0)))</f>
        <v>P.3 (2)</v>
      </c>
      <c r="P4" s="744"/>
      <c r="Q4" s="744" t="str">
        <f t="shared" ref="Q4:Q9" ca="1" si="9">IF(D4="Pendiente","-",INDEX($CN$6:$CN$53,MATCH($AA4,$BD$6:$BD$53,0)))</f>
        <v>-</v>
      </c>
      <c r="R4" s="744" t="str">
        <f t="shared" ref="R4:R9" ca="1" si="10">IF(D4="Pendiente","-",INDEX($CN$6:$CN$53,MATCH($AF4,$BD$6:$BD$53,0)))</f>
        <v>P.3 (2)</v>
      </c>
      <c r="S4" s="744"/>
      <c r="T4" s="744" t="str">
        <f t="shared" ref="T4:T9" ca="1" si="11">IF(D4="Pendiente","-",INDEX($CS$6:$CS$53,MATCH($AA4,$BD$6:$BD$53,0)))</f>
        <v>-</v>
      </c>
      <c r="U4" s="744" t="str">
        <f t="shared" ref="U4:U9" ca="1" si="12">IF(D4="Pendiente","-",INDEX($CS$6:$CS$53,MATCH($AF4,$BD$6:$BD$53,0)))</f>
        <v>P.3 (2)</v>
      </c>
      <c r="V4" s="172"/>
      <c r="W4" s="798" t="s">
        <v>0</v>
      </c>
      <c r="X4" s="189">
        <f ca="1">Horarios!C4</f>
        <v>46184.875</v>
      </c>
      <c r="Y4" s="190">
        <f ca="1">Horarios!C4</f>
        <v>46184.875</v>
      </c>
      <c r="Z4" s="191" t="str">
        <f>Idiomas!D63</f>
        <v>J1</v>
      </c>
      <c r="AA4" s="192" t="str">
        <f ca="1">+A5</f>
        <v>México</v>
      </c>
      <c r="AB4" s="480" t="e" cm="1" vm="1">
        <f t="array" aca="1" ref="AB4" ca="1">Ver_flag_local</f>
        <v>#VALUE!</v>
      </c>
      <c r="AC4" s="193">
        <v>2</v>
      </c>
      <c r="AD4" s="194">
        <v>0</v>
      </c>
      <c r="AE4" s="483" t="e" cm="1" vm="2">
        <f t="array" aca="1" ref="AE4" ca="1">Ver_flag_visit</f>
        <v>#VALUE!</v>
      </c>
      <c r="AF4" s="195" t="str">
        <f ca="1">A6</f>
        <v>Sudáfrica</v>
      </c>
      <c r="AG4" s="413">
        <f t="shared" ref="AG4:AG9" si="13">IF(NOT(OR(ISBLANK(AC4),ISBLANK(AD4))),1,0)</f>
        <v>1</v>
      </c>
      <c r="AH4" s="196">
        <v>1</v>
      </c>
      <c r="AI4" s="19"/>
      <c r="AJ4" s="197" t="str">
        <f>CONCATENATE(AJ3," ",B4)</f>
        <v>Grupo A</v>
      </c>
      <c r="AK4" s="198"/>
      <c r="AL4" s="198"/>
      <c r="AM4" s="198"/>
      <c r="AN4" s="198"/>
      <c r="AO4" s="198"/>
      <c r="AP4" s="198"/>
      <c r="AQ4" s="198"/>
      <c r="AR4" s="198"/>
      <c r="AS4" s="198"/>
      <c r="AT4" s="199"/>
      <c r="AU4" s="22"/>
      <c r="AV4" s="200" t="str">
        <f ca="1">IF(AU5&gt;0,$AV$3,"")</f>
        <v/>
      </c>
      <c r="AW4" s="201"/>
      <c r="AX4" s="201"/>
      <c r="AY4" s="202"/>
      <c r="AZ4" s="203"/>
      <c r="BA4" s="175"/>
      <c r="BB4" s="744"/>
      <c r="BC4" s="744"/>
      <c r="BD4" s="744"/>
      <c r="BE4" s="744"/>
      <c r="BF4" s="744"/>
      <c r="BG4" s="744"/>
      <c r="BH4" s="744"/>
      <c r="BI4" s="744"/>
      <c r="BJ4" s="744"/>
      <c r="BK4" s="744"/>
      <c r="BL4" s="744"/>
      <c r="BM4" s="744"/>
      <c r="BN4" s="744"/>
      <c r="BO4" s="744"/>
      <c r="BP4" s="744"/>
      <c r="BQ4" s="744"/>
      <c r="BR4" s="744"/>
      <c r="BS4" s="744"/>
      <c r="BT4" s="744"/>
      <c r="BU4" s="744"/>
      <c r="BV4" s="744"/>
      <c r="BW4" s="744"/>
      <c r="BX4" s="744"/>
      <c r="BY4" s="744"/>
      <c r="BZ4" s="744"/>
      <c r="CA4" s="744"/>
      <c r="CB4" s="744"/>
      <c r="CC4" s="744"/>
      <c r="CD4" s="744"/>
      <c r="CE4" s="744"/>
      <c r="CF4" s="744"/>
      <c r="CG4" s="744"/>
      <c r="CH4" s="744"/>
      <c r="CI4" s="744"/>
      <c r="CJ4" s="744"/>
      <c r="CK4" s="744"/>
      <c r="CL4" s="744"/>
      <c r="CM4" s="744"/>
      <c r="CN4" s="744"/>
      <c r="CO4" s="744"/>
      <c r="CP4" s="744"/>
      <c r="CQ4" s="744"/>
      <c r="CR4" s="744"/>
      <c r="CS4" s="744"/>
      <c r="CT4" s="744"/>
      <c r="CU4" s="744"/>
      <c r="CV4" s="744"/>
      <c r="CW4" s="744"/>
      <c r="CX4" s="744"/>
      <c r="CY4" s="749"/>
      <c r="CZ4" s="744"/>
      <c r="DA4" s="744"/>
      <c r="DB4" s="744"/>
      <c r="DC4" s="744" t="s">
        <v>1336</v>
      </c>
      <c r="DD4" s="744"/>
      <c r="DE4" s="744"/>
      <c r="DF4" s="744"/>
      <c r="DG4" s="744"/>
      <c r="DH4" s="744"/>
      <c r="DI4" s="744"/>
      <c r="DJ4" s="744"/>
      <c r="DK4" s="744"/>
      <c r="DL4" s="744"/>
      <c r="DM4" s="744"/>
      <c r="DN4" s="744"/>
      <c r="DO4" s="744"/>
      <c r="DP4" s="744"/>
      <c r="DQ4" s="744"/>
      <c r="DR4" s="744"/>
      <c r="DS4" s="744"/>
      <c r="DT4" s="744" t="str">
        <f ca="1">AA4&amp;"-"&amp;AF4</f>
        <v>México-Sudáfrica</v>
      </c>
      <c r="DU4" s="744"/>
      <c r="DV4" s="744"/>
      <c r="DW4" s="8"/>
    </row>
    <row r="5" spans="1:127" ht="16.95" customHeight="1">
      <c r="A5" s="745" t="str">
        <f ca="1">+Equipos!B2</f>
        <v>México</v>
      </c>
      <c r="B5" s="742"/>
      <c r="C5" s="742"/>
      <c r="D5" s="744" t="str">
        <f t="shared" si="0"/>
        <v>Local</v>
      </c>
      <c r="E5" s="744" t="str">
        <f t="shared" ca="1" si="1"/>
        <v>-</v>
      </c>
      <c r="F5" s="744" t="str">
        <f t="shared" ca="1" si="2"/>
        <v>P.3 (2)</v>
      </c>
      <c r="G5" s="744"/>
      <c r="H5" s="744" t="str">
        <f t="shared" ca="1" si="3"/>
        <v>-</v>
      </c>
      <c r="I5" s="744" t="str">
        <f t="shared" ca="1" si="4"/>
        <v>P.3 (2)</v>
      </c>
      <c r="J5" s="744"/>
      <c r="K5" s="744" t="str">
        <f t="shared" ca="1" si="5"/>
        <v>-</v>
      </c>
      <c r="L5" s="744" t="str">
        <f t="shared" ca="1" si="6"/>
        <v>P.3 (2)</v>
      </c>
      <c r="M5" s="744"/>
      <c r="N5" s="744" t="str">
        <f t="shared" ca="1" si="7"/>
        <v>-</v>
      </c>
      <c r="O5" s="744" t="str">
        <f t="shared" ca="1" si="8"/>
        <v>P.3 (2)</v>
      </c>
      <c r="P5" s="744"/>
      <c r="Q5" s="744" t="str">
        <f t="shared" ca="1" si="9"/>
        <v>-</v>
      </c>
      <c r="R5" s="744" t="str">
        <f t="shared" ca="1" si="10"/>
        <v>P.3 (2)</v>
      </c>
      <c r="S5" s="744"/>
      <c r="T5" s="744" t="str">
        <f t="shared" ca="1" si="11"/>
        <v>-</v>
      </c>
      <c r="U5" s="744" t="str">
        <f t="shared" ca="1" si="12"/>
        <v>P.3 (2)</v>
      </c>
      <c r="V5" s="172"/>
      <c r="W5" s="798"/>
      <c r="X5" s="189">
        <f ca="1">Horarios!C5</f>
        <v>46185.166666666664</v>
      </c>
      <c r="Y5" s="190">
        <f ca="1">Horarios!C5</f>
        <v>46185.166666666664</v>
      </c>
      <c r="Z5" s="191" t="str">
        <f>$Z$4</f>
        <v>J1</v>
      </c>
      <c r="AA5" s="192" t="str">
        <f ca="1">A7</f>
        <v>Corea del Sur</v>
      </c>
      <c r="AB5" s="480" t="e" cm="1" vm="3">
        <f t="array" aca="1" ref="AB5" ca="1">Ver_flag_local</f>
        <v>#VALUE!</v>
      </c>
      <c r="AC5" s="193">
        <v>2</v>
      </c>
      <c r="AD5" s="194">
        <v>1</v>
      </c>
      <c r="AE5" s="483" t="e" cm="1" vm="4">
        <f t="array" aca="1" ref="AE5" ca="1">Ver_flag_visit</f>
        <v>#VALUE!</v>
      </c>
      <c r="AF5" s="195" t="str">
        <f ca="1">A8</f>
        <v>República Checa</v>
      </c>
      <c r="AG5" s="413">
        <f t="shared" si="13"/>
        <v>1</v>
      </c>
      <c r="AH5" s="196">
        <v>2</v>
      </c>
      <c r="AI5" s="19"/>
      <c r="AJ5" s="204" t="str">
        <f>Idiomas!D53</f>
        <v>Pos</v>
      </c>
      <c r="AK5" s="205"/>
      <c r="AL5" s="206" t="str">
        <f>Idiomas!D54</f>
        <v>Selección</v>
      </c>
      <c r="AM5" s="205" t="str">
        <f>Idiomas!D55</f>
        <v>Pts</v>
      </c>
      <c r="AN5" s="205" t="str">
        <f>Idiomas!D56</f>
        <v>J</v>
      </c>
      <c r="AO5" s="205" t="str">
        <f>Idiomas!D57</f>
        <v>G</v>
      </c>
      <c r="AP5" s="205" t="str">
        <f>Idiomas!D58</f>
        <v>E</v>
      </c>
      <c r="AQ5" s="205" t="str">
        <f>Idiomas!D59</f>
        <v>P</v>
      </c>
      <c r="AR5" s="205" t="str">
        <f>Idiomas!D60</f>
        <v>GF</v>
      </c>
      <c r="AS5" s="205" t="str">
        <f>Idiomas!D61</f>
        <v>GC</v>
      </c>
      <c r="AT5" s="207" t="str">
        <f>Idiomas!D62</f>
        <v>DG</v>
      </c>
      <c r="AU5" s="22">
        <f ca="1">COUNTIF(AU6:AU9,"&gt;1")</f>
        <v>0</v>
      </c>
      <c r="AV5" s="208"/>
      <c r="AW5" s="201"/>
      <c r="AX5" s="201"/>
      <c r="AY5" s="209" t="str">
        <f>AL5</f>
        <v>Selección</v>
      </c>
      <c r="AZ5" s="210" t="str">
        <f>+Idiomas!$D$69</f>
        <v>Puntos penalizados</v>
      </c>
      <c r="BA5" s="175"/>
      <c r="BB5" s="744"/>
      <c r="BC5" s="752" t="str">
        <f>Idiomas!D22</f>
        <v>Grupo</v>
      </c>
      <c r="BD5" s="752" t="str">
        <f>Idiomas!D54</f>
        <v>Selección</v>
      </c>
      <c r="BE5" s="752" t="str">
        <f t="shared" ref="BE5:BL5" si="14">+AM5</f>
        <v>Pts</v>
      </c>
      <c r="BF5" s="752" t="str">
        <f t="shared" si="14"/>
        <v>J</v>
      </c>
      <c r="BG5" s="752" t="str">
        <f t="shared" si="14"/>
        <v>G</v>
      </c>
      <c r="BH5" s="752" t="str">
        <f t="shared" si="14"/>
        <v>E</v>
      </c>
      <c r="BI5" s="752" t="str">
        <f t="shared" si="14"/>
        <v>P</v>
      </c>
      <c r="BJ5" s="752" t="str">
        <f t="shared" si="14"/>
        <v>GF</v>
      </c>
      <c r="BK5" s="752" t="str">
        <f t="shared" si="14"/>
        <v>GC</v>
      </c>
      <c r="BL5" s="752" t="str">
        <f t="shared" si="14"/>
        <v>DG</v>
      </c>
      <c r="BM5" s="752" t="s">
        <v>612</v>
      </c>
      <c r="BN5" s="752" t="s">
        <v>613</v>
      </c>
      <c r="BO5" s="753" t="s">
        <v>1815</v>
      </c>
      <c r="BP5" s="753" t="s">
        <v>1816</v>
      </c>
      <c r="BQ5" s="753" t="s">
        <v>1817</v>
      </c>
      <c r="BR5" s="753" t="s">
        <v>614</v>
      </c>
      <c r="BS5" s="753" t="s">
        <v>617</v>
      </c>
      <c r="BT5" s="753" t="s">
        <v>615</v>
      </c>
      <c r="BU5" s="752" t="s">
        <v>632</v>
      </c>
      <c r="BV5" s="752" t="s">
        <v>633</v>
      </c>
      <c r="BW5" s="752" t="s">
        <v>634</v>
      </c>
      <c r="BX5" s="752" t="s">
        <v>635</v>
      </c>
      <c r="BY5" s="752" t="s">
        <v>618</v>
      </c>
      <c r="BZ5" s="753" t="s">
        <v>616</v>
      </c>
      <c r="CA5" s="753" t="s">
        <v>640</v>
      </c>
      <c r="CB5" s="753" t="s">
        <v>641</v>
      </c>
      <c r="CC5" s="753" t="s">
        <v>642</v>
      </c>
      <c r="CD5" s="753" t="s">
        <v>619</v>
      </c>
      <c r="CE5" s="753" t="s">
        <v>620</v>
      </c>
      <c r="CF5" s="752" t="s">
        <v>640</v>
      </c>
      <c r="CG5" s="752" t="s">
        <v>621</v>
      </c>
      <c r="CH5" s="753" t="s">
        <v>622</v>
      </c>
      <c r="CI5" s="752" t="s">
        <v>1203</v>
      </c>
      <c r="CJ5" s="752" t="s">
        <v>1204</v>
      </c>
      <c r="CK5" s="752" t="s">
        <v>1205</v>
      </c>
      <c r="CL5" s="752" t="s">
        <v>1206</v>
      </c>
      <c r="CM5" s="752" t="s">
        <v>623</v>
      </c>
      <c r="CN5" s="753" t="s">
        <v>624</v>
      </c>
      <c r="CO5" s="753" t="s">
        <v>1200</v>
      </c>
      <c r="CP5" s="753" t="s">
        <v>1201</v>
      </c>
      <c r="CQ5" s="753" t="s">
        <v>1202</v>
      </c>
      <c r="CR5" s="753" t="s">
        <v>625</v>
      </c>
      <c r="CS5" s="753" t="s">
        <v>626</v>
      </c>
      <c r="CT5" s="752" t="s">
        <v>1200</v>
      </c>
      <c r="CU5" s="752" t="s">
        <v>1207</v>
      </c>
      <c r="CV5" s="753" t="s">
        <v>1208</v>
      </c>
      <c r="CW5" s="753" t="s">
        <v>66</v>
      </c>
      <c r="CX5" s="753" t="s">
        <v>1215</v>
      </c>
      <c r="CY5" s="753" t="s">
        <v>1216</v>
      </c>
      <c r="CZ5" s="753" t="s">
        <v>8</v>
      </c>
      <c r="DA5" s="753" t="s">
        <v>1217</v>
      </c>
      <c r="DB5" s="753" t="s">
        <v>1218</v>
      </c>
      <c r="DC5" s="754" t="s">
        <v>1255</v>
      </c>
      <c r="DD5" s="754" t="s">
        <v>628</v>
      </c>
      <c r="DE5" s="755"/>
      <c r="DF5" s="754" t="s">
        <v>629</v>
      </c>
      <c r="DG5" s="754" t="s">
        <v>630</v>
      </c>
      <c r="DH5" s="754" t="s">
        <v>631</v>
      </c>
      <c r="DI5" s="744"/>
      <c r="DJ5" s="746" t="s">
        <v>652</v>
      </c>
      <c r="DK5" s="746" t="s">
        <v>1195</v>
      </c>
      <c r="DL5" s="746" t="s">
        <v>653</v>
      </c>
      <c r="DM5" s="746" t="s">
        <v>654</v>
      </c>
      <c r="DN5" s="746" t="s">
        <v>655</v>
      </c>
      <c r="DO5" s="746"/>
      <c r="DP5" s="746" t="s">
        <v>762</v>
      </c>
      <c r="DQ5" s="746" t="s">
        <v>763</v>
      </c>
      <c r="DR5" s="744"/>
      <c r="DS5" s="744"/>
      <c r="DT5" s="744" t="str">
        <f t="shared" ref="DT5:DT68" ca="1" si="15">AA5&amp;"-"&amp;AF5</f>
        <v>Corea del Sur-República Checa</v>
      </c>
      <c r="DU5" s="744"/>
      <c r="DV5" s="744"/>
      <c r="DW5" s="8"/>
    </row>
    <row r="6" spans="1:127" ht="16.95" customHeight="1">
      <c r="A6" s="745" t="str">
        <f ca="1">+Equipos!B3</f>
        <v>Sudáfrica</v>
      </c>
      <c r="B6" s="742"/>
      <c r="C6" s="746"/>
      <c r="D6" s="744" t="str">
        <f t="shared" si="0"/>
        <v>Empate</v>
      </c>
      <c r="E6" s="744" t="str">
        <f t="shared" ca="1" si="1"/>
        <v>P.3 (2)</v>
      </c>
      <c r="F6" s="744" t="str">
        <f t="shared" ca="1" si="2"/>
        <v>P.3 (2)</v>
      </c>
      <c r="G6" s="744"/>
      <c r="H6" s="744" t="str">
        <f t="shared" ca="1" si="3"/>
        <v>P.3 (2)</v>
      </c>
      <c r="I6" s="744" t="str">
        <f t="shared" ca="1" si="4"/>
        <v>P.3 (2)</v>
      </c>
      <c r="J6" s="744"/>
      <c r="K6" s="744" t="str">
        <f t="shared" ca="1" si="5"/>
        <v>P.3 (2)</v>
      </c>
      <c r="L6" s="744" t="str">
        <f t="shared" ca="1" si="6"/>
        <v>P.3 (2)</v>
      </c>
      <c r="M6" s="744"/>
      <c r="N6" s="744" t="str">
        <f t="shared" ca="1" si="7"/>
        <v>P.3 (2)</v>
      </c>
      <c r="O6" s="744" t="str">
        <f t="shared" ca="1" si="8"/>
        <v>P.3 (2)</v>
      </c>
      <c r="P6" s="744"/>
      <c r="Q6" s="744" t="str">
        <f t="shared" ca="1" si="9"/>
        <v>P.3 (2)</v>
      </c>
      <c r="R6" s="744" t="str">
        <f t="shared" ca="1" si="10"/>
        <v>P.3 (2)</v>
      </c>
      <c r="S6" s="744"/>
      <c r="T6" s="744" t="str">
        <f t="shared" ca="1" si="11"/>
        <v>P.3 (2)</v>
      </c>
      <c r="U6" s="744" t="str">
        <f t="shared" ca="1" si="12"/>
        <v>P.3 (2)</v>
      </c>
      <c r="V6" s="172"/>
      <c r="W6" s="798"/>
      <c r="X6" s="189">
        <f ca="1">Horarios!C6</f>
        <v>46191.75</v>
      </c>
      <c r="Y6" s="190">
        <f ca="1">Horarios!C6</f>
        <v>46191.75</v>
      </c>
      <c r="Z6" s="191" t="str">
        <f>Idiomas!D64</f>
        <v>J2</v>
      </c>
      <c r="AA6" s="192" t="str">
        <f ca="1">A8</f>
        <v>República Checa</v>
      </c>
      <c r="AB6" s="480" t="e" cm="1" vm="4">
        <f t="array" aca="1" ref="AB6" ca="1">Ver_flag_local</f>
        <v>#VALUE!</v>
      </c>
      <c r="AC6" s="193">
        <v>1</v>
      </c>
      <c r="AD6" s="194">
        <v>1</v>
      </c>
      <c r="AE6" s="483" t="e" cm="1" vm="2">
        <f t="array" aca="1" ref="AE6" ca="1">Ver_flag_visit</f>
        <v>#VALUE!</v>
      </c>
      <c r="AF6" s="195" t="str">
        <f ca="1">A6</f>
        <v>Sudáfrica</v>
      </c>
      <c r="AG6" s="413">
        <f t="shared" si="13"/>
        <v>1</v>
      </c>
      <c r="AH6" s="196">
        <v>25</v>
      </c>
      <c r="AI6" s="19" t="str">
        <f>AJ6&amp;$B$4</f>
        <v>1A</v>
      </c>
      <c r="AJ6" s="211">
        <v>1</v>
      </c>
      <c r="AK6" s="490" t="e" cm="1" vm="1">
        <f t="array" aca="1" ref="AK6" ca="1">Ver_flag_visit</f>
        <v>#VALUE!</v>
      </c>
      <c r="AL6" s="212" t="str">
        <f ca="1">IFERROR(INDEX($BD$6:$BD$53,MATCH(AI6,$BN$6:$BN$53,0)),"")</f>
        <v>México</v>
      </c>
      <c r="AM6" s="213">
        <f t="shared" ref="AM6:AT9" ca="1" si="16">INDEX($BE$6:$BN$53,MATCH($AL6,$BD$6:$BD$53,0),MATCH(AM$5,$BE$5:$BN$5,0))</f>
        <v>6</v>
      </c>
      <c r="AN6" s="214">
        <f t="shared" ca="1" si="16"/>
        <v>2</v>
      </c>
      <c r="AO6" s="214">
        <f t="shared" ca="1" si="16"/>
        <v>2</v>
      </c>
      <c r="AP6" s="214">
        <f t="shared" ca="1" si="16"/>
        <v>0</v>
      </c>
      <c r="AQ6" s="214">
        <f t="shared" ca="1" si="16"/>
        <v>0</v>
      </c>
      <c r="AR6" s="214">
        <f t="shared" ca="1" si="16"/>
        <v>3</v>
      </c>
      <c r="AS6" s="214">
        <f t="shared" ca="1" si="16"/>
        <v>0</v>
      </c>
      <c r="AT6" s="215">
        <f t="shared" ca="1" si="16"/>
        <v>3</v>
      </c>
      <c r="AU6" s="420">
        <f ca="1">INDEX($DL$6:$DL$53,MATCH(AI6,$DP$6:$DP$53,0))</f>
        <v>1</v>
      </c>
      <c r="AV6" s="217" t="str">
        <f ca="1">INDEX($BD$6:$BD$53,MATCH(AI6,$BM$6:$BM$53,0))</f>
        <v>México</v>
      </c>
      <c r="AW6" s="427"/>
      <c r="AX6" s="218"/>
      <c r="AY6" s="219" t="str">
        <f ca="1">+A5</f>
        <v>México</v>
      </c>
      <c r="AZ6" s="220"/>
      <c r="BA6" s="175"/>
      <c r="BB6" s="744"/>
      <c r="BC6" s="756" t="str">
        <f ca="1">+INDEX(T_Equipos[Grupo],MATCH(WORLDCUP!BD6,T_Equipos[NombreEquipo],0))</f>
        <v>A</v>
      </c>
      <c r="BD6" s="744" t="str">
        <f ca="1">+Equipos!B2</f>
        <v>México</v>
      </c>
      <c r="BE6" s="748">
        <f ca="1">+BG6*3+BH6+IF($AZ$3="no",0,INDEX($AZ$6:$AZ$97,MATCH(BD6,$AY$6:$AY$97,0)))</f>
        <v>6</v>
      </c>
      <c r="BF6" s="748">
        <f ca="1">+BG6+BH6+BI6</f>
        <v>2</v>
      </c>
      <c r="BG6" s="748">
        <f t="shared" ref="BG6:BG53" ca="1" si="17">+COUNTIFS(FGLocal,BD6,Ganador,"Local")+COUNTIFS(FGVisitante,BD6,Ganador,"Visitante")</f>
        <v>2</v>
      </c>
      <c r="BH6" s="748">
        <f t="shared" ref="BH6:BH53" ca="1" si="18">+COUNTIFS(FGLocal,BD6,Ganador,"Empate")+COUNTIFS(FGVisitante,BD6,Ganador,"Empate")</f>
        <v>0</v>
      </c>
      <c r="BI6" s="748">
        <f t="shared" ref="BI6:BI53" ca="1" si="19">+COUNTIFS(FGVisitante,BD6,Ganador,"Local")+COUNTIFS(FGLocal,BD6,Ganador,"Visitante")</f>
        <v>0</v>
      </c>
      <c r="BJ6" s="748">
        <f t="shared" ref="BJ6:BJ53" ca="1" si="20">+SUMIFS(FG_GolesLocal,FGLocal,BD6,Ganador,"&lt;&gt;"&amp;"Pendiente",FG_GolesLocal,"&lt;&gt;"&amp;"",FG_GolesVisitante,"&lt;&gt;"&amp;"")+SUMIFS(FG_GolesVisitante,FGVisitante,BD6,Ganador,"&lt;&gt;"&amp;"Pendiente",FG_GolesLocal,"&lt;&gt;"&amp;"",FG_GolesVisitante,"&lt;&gt;"&amp;"")</f>
        <v>3</v>
      </c>
      <c r="BK6" s="748">
        <f t="shared" ref="BK6:BK53" ca="1" si="21">+SUMIFS(FG_GolesLocal,FGVisitante,BD6,Ganador,"&lt;&gt;"&amp;"Pendiente",FG_GolesLocal,"&lt;&gt;"&amp;"",FG_GolesVisitante,"&lt;&gt;"&amp;"")+SUMIFS(FG_GolesVisitante,FGLocal,BD6,Ganador,"&lt;&gt;"&amp;"Pendiente",FG_GolesLocal,"&lt;&gt;"&amp;"",FG_GolesVisitante,"&lt;&gt;"&amp;"")</f>
        <v>0</v>
      </c>
      <c r="BL6" s="748">
        <f ca="1">+BJ6-BK6</f>
        <v>3</v>
      </c>
      <c r="BM6" s="748" t="str">
        <f t="shared" ref="BM6:BM53" ca="1" si="22">DD6&amp;BC6</f>
        <v>1A</v>
      </c>
      <c r="BN6" s="748" t="str">
        <f t="shared" ref="BN6:BN53" ca="1" si="23">DH6&amp;BC6</f>
        <v>1A</v>
      </c>
      <c r="BO6" s="757">
        <f ca="1">IF(AND($AJ$99=144,BF6&gt;=1),1,0)</f>
        <v>0</v>
      </c>
      <c r="BP6" s="757">
        <f ca="1">COUNTIFS($BO$6:$BO$53,"&gt;"&amp;BO6,$BC$6:$BC$53,INDEX(T_Equipos[Grupo],MATCH(BD6,T_Equipos[NombreEquipo],0)))+1</f>
        <v>1</v>
      </c>
      <c r="BQ6" s="757" t="str">
        <f ca="1">IF(COUNTIFS($BP$6:$BP$53,BP6,$BC$6:$BC$53,INDEX(T_Equipos[Grupo],MATCH(BD6,T_Equipos[NombreEquipo],0)))=1,"-","P."&amp;BP6&amp;" ("&amp;COUNTIFS($BP$6:$BP$53,BP6,$BC$6:$BC$53,INDEX(T_Equipos[Grupo],MATCH(BD6,T_Equipos[NombreEquipo],0)))&amp;")")</f>
        <v>P.1 (4)</v>
      </c>
      <c r="BR6" s="757">
        <f ca="1">IF($BQ6="-","-",BE6)</f>
        <v>6</v>
      </c>
      <c r="BS6" s="757">
        <f ca="1">BP6+COUNTIFS($BQ$6:$BQ$53,BQ6,$BR$6:BR$53,"&gt;"&amp;BR6,$BC$6:$BC$53,INDEX(T_Equipos[Grupo],MATCH(BD6,T_Equipos[NombreEquipo],0)))</f>
        <v>1</v>
      </c>
      <c r="BT6" s="757" t="str">
        <f ca="1">IF(COUNTIFS($BS$6:$BS$53,BS6,$BC$6:$BC$53,INDEX(T_Equipos[Grupo],MATCH(BD6,T_Equipos[NombreEquipo],0)))=1,"-","P."&amp;BS6&amp;" ("&amp;COUNTIFS($BS$6:$BS$53,BS6,$BC$6:$BC$53,INDEX(T_Equipos[Grupo],MATCH(BD6,T_Equipos[NombreEquipo],0)))&amp;")")</f>
        <v>-</v>
      </c>
      <c r="BU6" s="758" t="str">
        <f ca="1">IF($BT6="-","-",COUNTIFS(FGLocal,$BD6,Ganador,"Local",Part1Empate1V,$BT6)+COUNTIFS(FGVisitante,$BD6,Ganador,"Visitante",Part1Empate1L,$BT6))</f>
        <v>-</v>
      </c>
      <c r="BV6" s="758" t="str">
        <f ca="1">IF($BT6="-","-",COUNTIFS(FGLocal,$BD6,Ganador,"Empate",Part1Empate1V,$BT6)+COUNTIFS(FGVisitante,$BD6,Ganador,"Empate",Part1Empate1L,$BT6))</f>
        <v>-</v>
      </c>
      <c r="BW6" s="758" t="str">
        <f ca="1">IF($BT6="-","-",COUNTIFS(FGLocal,$BD6,Ganador,"Visitante",Part1Empate1V,$BT6)+COUNTIFS(FGVisitante,$BD6,Ganador,"Local",Part1Empate1L,$BT6))</f>
        <v>-</v>
      </c>
      <c r="BX6" s="758" t="str">
        <f ca="1">IF($BT6="-","-",BU6*3+BV6)</f>
        <v>-</v>
      </c>
      <c r="BY6" s="758">
        <f ca="1">BS6+COUNTIFS($BT$6:$BT$53,BT6,$BX$6:BX$53,"&gt;"&amp;BX6,$BC$6:$BC$53,INDEX(T_Equipos[Grupo],MATCH(BD6,T_Equipos[NombreEquipo],0)))</f>
        <v>1</v>
      </c>
      <c r="BZ6" s="757" t="str">
        <f ca="1">IF(COUNTIFS($BY$6:$BY$53,BY6,$BC$6:$BC$53,INDEX(T_Equipos[Grupo],MATCH(BD6,T_Equipos[NombreEquipo],0)))=1,"-","P."&amp;BY6&amp;" ("&amp;COUNTIFS($BY$6:$BY$53,BY6,$BC$6:$BC$53,INDEX(T_Equipos[Grupo],MATCH(BD6,T_Equipos[NombreEquipo],0)))&amp;")")</f>
        <v>-</v>
      </c>
      <c r="CA6" s="758" t="str">
        <f ca="1">IF($BZ6="-","-",SUMIFS(FG_GolesLocal,FGLocal,$BD6,Part1Empate2V,$BZ6)+SUMIFS(FG_GolesVisitante,FGVisitante,$BD6,Part1Empate2L,$BZ6))</f>
        <v>-</v>
      </c>
      <c r="CB6" s="758" t="str">
        <f ca="1">IF($BZ6="-","-",SUMIFS(FG_GolesVisitante,FGLocal,$BD6,Part1Empate2V,$BZ6)+SUMIFS(FG_GolesLocal,FGVisitante,$BD6,Part1Empate2L,$BZ6))</f>
        <v>-</v>
      </c>
      <c r="CC6" s="758" t="str">
        <f ca="1">IF($BZ6="-","-",CA6-CB6)</f>
        <v>-</v>
      </c>
      <c r="CD6" s="758">
        <f ca="1">BY6+COUNTIFS($BZ$6:$BZ$53,BZ6,$CC$6:CC$53,"&gt;"&amp;CC6,$BC$6:$BC$53,INDEX(T_Equipos[Grupo],MATCH(BD6,T_Equipos[NombreEquipo],0)))</f>
        <v>1</v>
      </c>
      <c r="CE6" s="757" t="str">
        <f ca="1">IF(COUNTIFS($CD$6:$CD$53,CD6,$BC$6:$BC$53,INDEX(T_Equipos[Grupo],MATCH(BD6,T_Equipos[NombreEquipo],0)))=1,"-","P."&amp;CD6&amp;" ("&amp;COUNTIFS($CD$6:$CD$53,CD6,$BC$6:$BC$53,INDEX(T_Equipos[Grupo],MATCH(BD6,T_Equipos[NombreEquipo],0)))&amp;")")</f>
        <v>-</v>
      </c>
      <c r="CF6" s="758" t="str">
        <f ca="1">IF($CE6="-","-",SUMIFS(FG_GolesLocal,FGLocal,$BD6,Part1Empate3V,$CE6)+SUMIFS(FG_GolesVisitante,FGVisitante,$BD6,Part1Empate3L,$CE6))</f>
        <v>-</v>
      </c>
      <c r="CG6" s="758">
        <f ca="1">CD6+COUNTIFS($CE$6:$CE$53,CE6,$CF$6:CF$53,"&gt;"&amp;CF6,$BC$6:$BC$53,INDEX(T_Equipos[Grupo],MATCH(BD6,T_Equipos[NombreEquipo],0)))</f>
        <v>1</v>
      </c>
      <c r="CH6" s="757" t="str">
        <f ca="1">IF(COUNTIFS($CG$6:$CG$53,CG6,$BC$6:$BC$53,INDEX(T_Equipos[Grupo],MATCH(BD6,T_Equipos[NombreEquipo],0)))=1,"-","P."&amp;CG6&amp;" ("&amp;COUNTIFS($CG$6:$CG$53,CG6,$BC$6:$BC$53,INDEX(T_Equipos[Grupo],MATCH(BD6,T_Equipos[NombreEquipo],0)))&amp;")")</f>
        <v>-</v>
      </c>
      <c r="CI6" s="758" t="str">
        <f ca="1">IF($CH6="-","-",COUNTIFS(FGLocal,$BD6,Ganador,"Local",Part2Empate4V,$CH6)+COUNTIFS(FGVisitante,$BD6,Ganador,"Visitante",Part2Empate4L,$CH6))</f>
        <v>-</v>
      </c>
      <c r="CJ6" s="758" t="str">
        <f ca="1">IF($CH6="-","-",COUNTIFS(FGLocal,$BD6,Ganador,"Empate",Part2Empate4V,$CH6)+COUNTIFS(FGVisitante,$BD6,Ganador,"Empate",Part2Empate4L,$CH6))</f>
        <v>-</v>
      </c>
      <c r="CK6" s="758" t="str">
        <f ca="1">IF($CH6="-","-",COUNTIFS(FGLocal,$BD6,Ganador,"Visitante",Part2Empate4V,$CH6)+COUNTIFS(FGVisitante,$BD6,Ganador,"Local",Part2Empate4L,$CH6))</f>
        <v>-</v>
      </c>
      <c r="CL6" s="758" t="str">
        <f ca="1">IF($CH6="-","-",CI6*3+CJ6)</f>
        <v>-</v>
      </c>
      <c r="CM6" s="758">
        <f ca="1">CG6+COUNTIFS($CH$6:$CH$53,CH6,$CL$6:CL$53,"&gt;"&amp;CL6,$BC$6:$BC$53,INDEX(T_Equipos[Grupo],MATCH(BD6,T_Equipos[NombreEquipo],0)))</f>
        <v>1</v>
      </c>
      <c r="CN6" s="757" t="str">
        <f ca="1">IF(COUNTIFS($CM$6:$CM$53,CM6,$BC$6:$BC$53,INDEX(T_Equipos[Grupo],MATCH(BD6,T_Equipos[NombreEquipo],0)))=1,"-","P."&amp;CM6&amp;" ("&amp;COUNTIFS($CM$6:$CM$53,CM6,$BC$6:$BC$53,INDEX(T_Equipos[Grupo],MATCH(BD6,T_Equipos[NombreEquipo],0)))&amp;")")</f>
        <v>-</v>
      </c>
      <c r="CO6" s="758" t="str">
        <f ca="1">IF($CN6="-","-",SUMIFS(FG_GolesLocal,FGLocal,$BD6,Part2Empate5V,$CN6)+SUMIFS(FG_GolesVisitante,FGVisitante,$BD6,Part2Empate5L,$CN6))</f>
        <v>-</v>
      </c>
      <c r="CP6" s="758" t="str">
        <f ca="1">IF($CN6="-","-",SUMIFS(FG_GolesVisitante,FGLocal,$BD6,Part2Empate5V,$CN6)+SUMIFS(FG_GolesLocal,FGVisitante,$BD6,Part2Empate5L,$CN6))</f>
        <v>-</v>
      </c>
      <c r="CQ6" s="758" t="str">
        <f ca="1">IF($CN6="-","-",CO6-CP6)</f>
        <v>-</v>
      </c>
      <c r="CR6" s="758">
        <f ca="1">CM6+COUNTIFS($CN$6:$CN$53,CN6,$CQ$6:CQ$53,"&gt;"&amp;CQ6,$BC$6:$BC$53,INDEX(T_Equipos[Grupo],MATCH(BD6,T_Equipos[NombreEquipo],0)))</f>
        <v>1</v>
      </c>
      <c r="CS6" s="757" t="str">
        <f ca="1">IF(COUNTIFS($CR$6:$CR$53,CR6,$BC$6:$BC$53,INDEX(T_Equipos[Grupo],MATCH(BD6,T_Equipos[NombreEquipo],0)))=1,"-","P."&amp;CR6&amp;" ("&amp;COUNTIFS($CR$6:$CR$53,CR6,$BC$6:$BC$53,INDEX(T_Equipos[Grupo],MATCH(BD6,T_Equipos[NombreEquipo],0)))&amp;")")</f>
        <v>-</v>
      </c>
      <c r="CT6" s="758" t="str">
        <f ca="1">IF($CS6="-","-",SUMIFS(FG_GolesLocal,FGLocal,$BD6,Part2Empate6V,$CS6)+SUMIFS(FG_GolesVisitante,FGVisitante,$BD6,Part2Empate6L,$CS6))</f>
        <v>-</v>
      </c>
      <c r="CU6" s="758">
        <f ca="1">CR6+COUNTIFS($CS$6:$CS$53,CS6,$CT$6:CT$53,"&gt;"&amp;CT6,$BC$6:$BC$53,INDEX(T_Equipos[Grupo],MATCH(BD6,T_Equipos[NombreEquipo],0)))</f>
        <v>1</v>
      </c>
      <c r="CV6" s="757" t="str">
        <f ca="1">IF(COUNTIFS($CU$6:$CU$53,CU6,$BC$6:$BC$53,INDEX(T_Equipos[Grupo],MATCH(BD6,T_Equipos[NombreEquipo],0)))=1,"-","P."&amp;CU6&amp;" ("&amp;COUNTIFS($CU$6:$CU$53,CU6,$BC$6:$BC$53,INDEX(T_Equipos[Grupo],MATCH(BD6,T_Equipos[NombreEquipo],0)))&amp;")")</f>
        <v>-</v>
      </c>
      <c r="CW6" s="757" t="str">
        <f ca="1">IF(CV6="-","-",BL6)</f>
        <v>-</v>
      </c>
      <c r="CX6" s="757">
        <f ca="1">CU6+COUNTIFS($CV$6:$CV$53,CV6,$CW$6:CW$53,"&gt;"&amp;CW6,$BC$6:$BC$53,INDEX(T_Equipos[Grupo],MATCH(BD6,T_Equipos[NombreEquipo],0)))</f>
        <v>1</v>
      </c>
      <c r="CY6" s="757" t="str">
        <f ca="1">IF(COUNTIFS($CX$6:$CX$53,CX6,$BC$6:$BC$53,INDEX(T_Equipos[Grupo],MATCH(BD6,T_Equipos[NombreEquipo],0)))=1,"-","P."&amp;CX6&amp;" ("&amp;COUNTIFS($CX$6:$CX$53,CX6,$BC$6:$BC$53,INDEX(T_Equipos[Grupo],MATCH(BD6,T_Equipos[NombreEquipo],0)))&amp;")")</f>
        <v>-</v>
      </c>
      <c r="CZ6" s="757" t="str">
        <f ca="1">IF(CY6="-","-",BJ6)</f>
        <v>-</v>
      </c>
      <c r="DA6" s="758">
        <f ca="1">CX6+COUNTIFS($CY$6:$CY$53,CY6,$CZ$6:CZ$53,"&gt;"&amp;CZ6,$BC$6:$BC$53,INDEX(T_Equipos[Grupo],MATCH(BD6,T_Equipos[NombreEquipo],0)))</f>
        <v>1</v>
      </c>
      <c r="DB6" s="757" t="str">
        <f ca="1">IF(COUNTIFS($DA$6:$DA$53,DA6,$BC$6:$BC$53,INDEX(T_Equipos[Grupo],MATCH(BD6,T_Equipos[NombreEquipo],0)))=1,"-","P."&amp;DA6&amp;" ("&amp;COUNTIFS($DA$6:$DA$53,DA6,$BC$6:$BC$53,INDEX(T_Equipos[Grupo],MATCH(BD6,T_Equipos[NombreEquipo],0)))&amp;")")</f>
        <v>-</v>
      </c>
      <c r="DC6" s="756" t="str">
        <f ca="1">IF(DB6="-","-",COUNTIFS(T_Equipos[Rank],"&lt;"&amp;INDEX(T_Equipos[Rank],MATCH(BD6,T_Equipos[NombreEquipo],0)),$BC$6:$BC$53,INDEX(T_Equipos[Grupo],MATCH(BD6,T_Equipos[NombreEquipo],0)))+1)</f>
        <v>-</v>
      </c>
      <c r="DD6" s="756">
        <f ca="1">DA6+COUNTIFS($DB$6:$DB$53,DB6,$DC$6:DC$53,"&lt;"&amp;DC6,$BC$6:$BC$53,INDEX(T_Equipos[Grupo],MATCH(BD6,T_Equipos[NombreEquipo],0)))</f>
        <v>1</v>
      </c>
      <c r="DE6" s="756"/>
      <c r="DF6" s="756">
        <f ca="1">IF(OR(INDEX($AW$6:$AW$97,MATCH($BD6,$AV$6:$AV$97,0))="",DB6="-"),DD6,INDEX($AW$6:$AW$97,MATCH($BD6,$AV$6:$AV$97,0))+DD6/1000)</f>
        <v>1</v>
      </c>
      <c r="DG6" s="756" t="str">
        <f ca="1">IF(DB6="-","-",COUNTIFS(DF$6:DF$53,"&lt;"&amp;DF6,$BC$6:$BC$53,INDEX(T_Equipos[Grupo],MATCH(BD6,T_Equipos[NombreEquipo],0))))</f>
        <v>-</v>
      </c>
      <c r="DH6" s="756">
        <f ca="1">DA6+COUNTIFS(DB$6:DB$53,DB6,DG$6:DG$53,"&lt;"&amp;DG6,$BC$6:$BC$53,INDEX(T_Equipos[Grupo],MATCH(BD6,T_Equipos[NombreEquipo],0)))</f>
        <v>1</v>
      </c>
      <c r="DI6" s="744"/>
      <c r="DJ6" s="744">
        <f ca="1">INDEX($DA$6:$DA$53,MATCH($DQ6,$BD$6:$BD$53,0))</f>
        <v>1</v>
      </c>
      <c r="DK6" s="744">
        <f t="shared" ref="DK6:DK53" ca="1" si="24">+SUMIF($BC$6:$BC$53,BC6,$BF$6:$BF$53)</f>
        <v>8</v>
      </c>
      <c r="DL6" s="744">
        <f ca="1">IF(OR(DK6=12,$AJ$99=144),COUNTIFS($DJ$6:$DJ$53,DJ6,$BC$6:$BC$53,BC6),1)</f>
        <v>1</v>
      </c>
      <c r="DM6" s="738" t="str">
        <f ca="1">DJ6&amp;"."&amp;DL6</f>
        <v>1.1</v>
      </c>
      <c r="DN6" s="744" cm="1">
        <f t="array" aca="1" ref="DN6" ca="1">OFFSET(Horarios!$P$3,DJ6-1,0,DL6,1)</f>
        <v>1</v>
      </c>
      <c r="DO6" s="744"/>
      <c r="DP6" s="744" t="s">
        <v>645</v>
      </c>
      <c r="DQ6" s="744" t="str">
        <f ca="1">INDEX($BD$6:$BD$53,MATCH(DP6,$BM$6:$BM$53,0))</f>
        <v>México</v>
      </c>
      <c r="DR6" s="744"/>
      <c r="DS6" s="744"/>
      <c r="DT6" s="744" t="str">
        <f t="shared" ca="1" si="15"/>
        <v>República Checa-Sudáfrica</v>
      </c>
      <c r="DU6" s="744"/>
      <c r="DV6" s="744"/>
      <c r="DW6" s="8"/>
    </row>
    <row r="7" spans="1:127" ht="16.95" customHeight="1">
      <c r="A7" s="745" t="str">
        <f ca="1">+Equipos!B4</f>
        <v>Corea del Sur</v>
      </c>
      <c r="B7" s="742"/>
      <c r="C7" s="744"/>
      <c r="D7" s="744" t="str">
        <f t="shared" si="0"/>
        <v>Local</v>
      </c>
      <c r="E7" s="744" t="str">
        <f t="shared" ca="1" si="1"/>
        <v>-</v>
      </c>
      <c r="F7" s="744" t="str">
        <f t="shared" ca="1" si="2"/>
        <v>-</v>
      </c>
      <c r="G7" s="744"/>
      <c r="H7" s="744" t="str">
        <f t="shared" ca="1" si="3"/>
        <v>-</v>
      </c>
      <c r="I7" s="744" t="str">
        <f t="shared" ca="1" si="4"/>
        <v>-</v>
      </c>
      <c r="J7" s="744"/>
      <c r="K7" s="744" t="str">
        <f t="shared" ca="1" si="5"/>
        <v>-</v>
      </c>
      <c r="L7" s="744" t="str">
        <f t="shared" ca="1" si="6"/>
        <v>-</v>
      </c>
      <c r="M7" s="744"/>
      <c r="N7" s="744" t="str">
        <f t="shared" ca="1" si="7"/>
        <v>-</v>
      </c>
      <c r="O7" s="744" t="str">
        <f t="shared" ca="1" si="8"/>
        <v>-</v>
      </c>
      <c r="P7" s="744"/>
      <c r="Q7" s="744" t="str">
        <f t="shared" ca="1" si="9"/>
        <v>-</v>
      </c>
      <c r="R7" s="744" t="str">
        <f t="shared" ca="1" si="10"/>
        <v>-</v>
      </c>
      <c r="S7" s="744"/>
      <c r="T7" s="744" t="str">
        <f t="shared" ca="1" si="11"/>
        <v>-</v>
      </c>
      <c r="U7" s="744" t="str">
        <f t="shared" ca="1" si="12"/>
        <v>-</v>
      </c>
      <c r="V7" s="172"/>
      <c r="W7" s="798"/>
      <c r="X7" s="189">
        <f ca="1">Horarios!C7</f>
        <v>46192.125</v>
      </c>
      <c r="Y7" s="190">
        <f ca="1">Horarios!C7</f>
        <v>46192.125</v>
      </c>
      <c r="Z7" s="191" t="str">
        <f>$Z$6</f>
        <v>J2</v>
      </c>
      <c r="AA7" s="192" t="str">
        <f ca="1">A5</f>
        <v>México</v>
      </c>
      <c r="AB7" s="480" t="e" cm="1" vm="1">
        <f t="array" aca="1" ref="AB7" ca="1">Ver_flag_local</f>
        <v>#VALUE!</v>
      </c>
      <c r="AC7" s="193">
        <v>1</v>
      </c>
      <c r="AD7" s="194">
        <v>0</v>
      </c>
      <c r="AE7" s="483" t="e" cm="1" vm="3">
        <f t="array" aca="1" ref="AE7" ca="1">Ver_flag_visit</f>
        <v>#VALUE!</v>
      </c>
      <c r="AF7" s="195" t="str">
        <f ca="1">A7</f>
        <v>Corea del Sur</v>
      </c>
      <c r="AG7" s="413">
        <f t="shared" si="13"/>
        <v>1</v>
      </c>
      <c r="AH7" s="196">
        <v>28</v>
      </c>
      <c r="AI7" s="19" t="str">
        <f>AJ7&amp;$B$4</f>
        <v>2A</v>
      </c>
      <c r="AJ7" s="221">
        <v>2</v>
      </c>
      <c r="AK7" s="491" t="e" cm="1" vm="3">
        <f t="array" aca="1" ref="AK7" ca="1">Ver_flag_visit</f>
        <v>#VALUE!</v>
      </c>
      <c r="AL7" s="222" t="str">
        <f ca="1">IFERROR(INDEX($BD$6:$BD$53,MATCH(AI7,$BN$6:$BN$53,0)),"")</f>
        <v>Corea del Sur</v>
      </c>
      <c r="AM7" s="223">
        <f t="shared" ca="1" si="16"/>
        <v>3</v>
      </c>
      <c r="AN7" s="224">
        <f t="shared" ca="1" si="16"/>
        <v>2</v>
      </c>
      <c r="AO7" s="224">
        <f t="shared" ca="1" si="16"/>
        <v>1</v>
      </c>
      <c r="AP7" s="224">
        <f t="shared" ca="1" si="16"/>
        <v>0</v>
      </c>
      <c r="AQ7" s="224">
        <f t="shared" ca="1" si="16"/>
        <v>1</v>
      </c>
      <c r="AR7" s="224">
        <f t="shared" ca="1" si="16"/>
        <v>2</v>
      </c>
      <c r="AS7" s="224">
        <f t="shared" ca="1" si="16"/>
        <v>2</v>
      </c>
      <c r="AT7" s="225">
        <f t="shared" ca="1" si="16"/>
        <v>0</v>
      </c>
      <c r="AU7" s="420">
        <f ca="1">INDEX($DL$6:$DL$53,MATCH(AI7,$DP$6:$DP$53,0))</f>
        <v>1</v>
      </c>
      <c r="AV7" s="217" t="str">
        <f ca="1">INDEX($BD$6:$BD$53,MATCH(AI7,$BM$6:$BM$53,0))</f>
        <v>Corea del Sur</v>
      </c>
      <c r="AW7" s="427"/>
      <c r="AX7" s="218"/>
      <c r="AY7" s="226" t="str">
        <f ca="1">+A6</f>
        <v>Sudáfrica</v>
      </c>
      <c r="AZ7" s="227"/>
      <c r="BA7" s="175"/>
      <c r="BB7" s="744"/>
      <c r="BC7" s="756" t="str">
        <f ca="1">+INDEX(T_Equipos[Grupo],MATCH(WORLDCUP!BD7,T_Equipos[NombreEquipo],0))</f>
        <v>A</v>
      </c>
      <c r="BD7" s="744" t="str">
        <f ca="1">+Equipos!B3</f>
        <v>Sudáfrica</v>
      </c>
      <c r="BE7" s="748">
        <f t="shared" ref="BE7:BE53" ca="1" si="25">+BG7*3+BH7+IF($AZ$3="no",0,INDEX($AZ$6:$AZ$97,MATCH(BD7,$AY$6:$AY$97,0)))</f>
        <v>1</v>
      </c>
      <c r="BF7" s="748">
        <f t="shared" ref="BF7:BF53" ca="1" si="26">+BG7+BH7+BI7</f>
        <v>2</v>
      </c>
      <c r="BG7" s="748">
        <f t="shared" ca="1" si="17"/>
        <v>0</v>
      </c>
      <c r="BH7" s="748">
        <f t="shared" ca="1" si="18"/>
        <v>1</v>
      </c>
      <c r="BI7" s="748">
        <f t="shared" ca="1" si="19"/>
        <v>1</v>
      </c>
      <c r="BJ7" s="748">
        <f t="shared" ca="1" si="20"/>
        <v>1</v>
      </c>
      <c r="BK7" s="748">
        <f t="shared" ca="1" si="21"/>
        <v>3</v>
      </c>
      <c r="BL7" s="748">
        <f t="shared" ref="BL7:BL53" ca="1" si="27">+BJ7-BK7</f>
        <v>-2</v>
      </c>
      <c r="BM7" s="748" t="str">
        <f t="shared" ca="1" si="22"/>
        <v>4A</v>
      </c>
      <c r="BN7" s="748" t="str">
        <f t="shared" ca="1" si="23"/>
        <v>4A</v>
      </c>
      <c r="BO7" s="757">
        <f t="shared" ref="BO7:BO53" ca="1" si="28">IF(AND($AJ$99=144,BF7&gt;=1),1,0)</f>
        <v>0</v>
      </c>
      <c r="BP7" s="757">
        <f ca="1">COUNTIFS($BO$6:$BO$53,"&gt;"&amp;BO7,$BC$6:$BC$53,INDEX(T_Equipos[Grupo],MATCH(BD7,T_Equipos[NombreEquipo],0)))+1</f>
        <v>1</v>
      </c>
      <c r="BQ7" s="757" t="str">
        <f ca="1">IF(COUNTIFS($BP$6:$BP$53,BP7,$BC$6:$BC$53,INDEX(T_Equipos[Grupo],MATCH(BD7,T_Equipos[NombreEquipo],0)))=1,"-","P."&amp;BP7&amp;" ("&amp;COUNTIFS($BP$6:$BP$53,BP7,$BC$6:$BC$53,INDEX(T_Equipos[Grupo],MATCH(BD7,T_Equipos[NombreEquipo],0)))&amp;")")</f>
        <v>P.1 (4)</v>
      </c>
      <c r="BR7" s="757">
        <f t="shared" ref="BR7:BR53" ca="1" si="29">IF($BQ7="-","-",BE7)</f>
        <v>1</v>
      </c>
      <c r="BS7" s="757">
        <f ca="1">BP7+COUNTIFS($BQ$6:$BQ$53,BQ7,$BR$6:BR$53,"&gt;"&amp;BR7,$BC$6:$BC$53,INDEX(T_Equipos[Grupo],MATCH(BD7,T_Equipos[NombreEquipo],0)))</f>
        <v>3</v>
      </c>
      <c r="BT7" s="757" t="str">
        <f ca="1">IF(COUNTIFS($BS$6:$BS$53,BS7,$BC$6:$BC$53,INDEX(T_Equipos[Grupo],MATCH(BD7,T_Equipos[NombreEquipo],0)))=1,"-","P."&amp;BS7&amp;" ("&amp;COUNTIFS($BS$6:$BS$53,BS7,$BC$6:$BC$53,INDEX(T_Equipos[Grupo],MATCH(BD7,T_Equipos[NombreEquipo],0)))&amp;")")</f>
        <v>P.3 (2)</v>
      </c>
      <c r="BU7" s="758">
        <f ca="1">IF($BT7="-","-",COUNTIFS(FGLocal,$BD7,Ganador,"Local",Part1Empate1V,$BT7)+COUNTIFS(FGVisitante,$BD7,Ganador,"Visitante",Part1Empate1L,$BT7))</f>
        <v>0</v>
      </c>
      <c r="BV7" s="758">
        <f ca="1">IF($BT7="-","-",COUNTIFS(FGLocal,$BD7,Ganador,"Empate",Part1Empate1V,$BT7)+COUNTIFS(FGVisitante,$BD7,Ganador,"Empate",Part1Empate1L,$BT7))</f>
        <v>1</v>
      </c>
      <c r="BW7" s="758">
        <f ca="1">IF($BT7="-","-",COUNTIFS(FGLocal,$BD7,Ganador,"Visitante",Part1Empate1V,$BT7)+COUNTIFS(FGVisitante,$BD7,Ganador,"Local",Part1Empate1L,$BT7))</f>
        <v>0</v>
      </c>
      <c r="BX7" s="758">
        <f ca="1">IF($BT7="-","-",BU7*3+BV7)</f>
        <v>1</v>
      </c>
      <c r="BY7" s="758">
        <f ca="1">BS7+COUNTIFS($BT$6:$BT$53,BT7,$BX$6:BX$53,"&gt;"&amp;BX7,$BC$6:$BC$53,INDEX(T_Equipos[Grupo],MATCH(BD7,T_Equipos[NombreEquipo],0)))</f>
        <v>3</v>
      </c>
      <c r="BZ7" s="757" t="str">
        <f ca="1">IF(COUNTIFS($BY$6:$BY$53,BY7,$BC$6:$BC$53,INDEX(T_Equipos[Grupo],MATCH(BD7,T_Equipos[NombreEquipo],0)))=1,"-","P."&amp;BY7&amp;" ("&amp;COUNTIFS($BY$6:$BY$53,BY7,$BC$6:$BC$53,INDEX(T_Equipos[Grupo],MATCH(BD7,T_Equipos[NombreEquipo],0)))&amp;")")</f>
        <v>P.3 (2)</v>
      </c>
      <c r="CA7" s="758">
        <f ca="1">IF($BZ7="-","-",SUMIFS(FG_GolesLocal,FGLocal,$BD7,Part1Empate2V,$BZ7)+SUMIFS(FG_GolesVisitante,FGVisitante,$BD7,Part1Empate2L,$BZ7))</f>
        <v>1</v>
      </c>
      <c r="CB7" s="758">
        <f ca="1">IF($BZ7="-","-",SUMIFS(FG_GolesVisitante,FGLocal,$BD7,Part1Empate2V,$BZ7)+SUMIFS(FG_GolesLocal,FGVisitante,$BD7,Part1Empate2L,$BZ7))</f>
        <v>1</v>
      </c>
      <c r="CC7" s="758">
        <f ca="1">IF($BZ7="-","-",CA7-CB7)</f>
        <v>0</v>
      </c>
      <c r="CD7" s="758">
        <f ca="1">BY7+COUNTIFS($BZ$6:$BZ$53,BZ7,$CC$6:CC$53,"&gt;"&amp;CC7,$BC$6:$BC$53,INDEX(T_Equipos[Grupo],MATCH(BD7,T_Equipos[NombreEquipo],0)))</f>
        <v>3</v>
      </c>
      <c r="CE7" s="757" t="str">
        <f ca="1">IF(COUNTIFS($CD$6:$CD$53,CD7,$BC$6:$BC$53,INDEX(T_Equipos[Grupo],MATCH(BD7,T_Equipos[NombreEquipo],0)))=1,"-","P."&amp;CD7&amp;" ("&amp;COUNTIFS($CD$6:$CD$53,CD7,$BC$6:$BC$53,INDEX(T_Equipos[Grupo],MATCH(BD7,T_Equipos[NombreEquipo],0)))&amp;")")</f>
        <v>P.3 (2)</v>
      </c>
      <c r="CF7" s="758">
        <f ca="1">IF($CE7="-","-",SUMIFS(FG_GolesLocal,FGLocal,$BD7,Part1Empate3V,$CE7)+SUMIFS(FG_GolesVisitante,FGVisitante,$BD7,Part1Empate3L,$CE7))</f>
        <v>1</v>
      </c>
      <c r="CG7" s="758">
        <f ca="1">CD7+COUNTIFS($CE$6:$CE$53,CE7,$CF$6:CF$53,"&gt;"&amp;CF7,$BC$6:$BC$53,INDEX(T_Equipos[Grupo],MATCH(BD7,T_Equipos[NombreEquipo],0)))</f>
        <v>3</v>
      </c>
      <c r="CH7" s="757" t="str">
        <f ca="1">IF(COUNTIFS($CG$6:$CG$53,CG7,$BC$6:$BC$53,INDEX(T_Equipos[Grupo],MATCH(BD7,T_Equipos[NombreEquipo],0)))=1,"-","P."&amp;CG7&amp;" ("&amp;COUNTIFS($CG$6:$CG$53,CG7,$BC$6:$BC$53,INDEX(T_Equipos[Grupo],MATCH(BD7,T_Equipos[NombreEquipo],0)))&amp;")")</f>
        <v>P.3 (2)</v>
      </c>
      <c r="CI7" s="758">
        <f ca="1">IF($CH7="-","-",COUNTIFS(FGLocal,$BD7,Ganador,"Local",Part2Empate4V,$CH7)+COUNTIFS(FGVisitante,$BD7,Ganador,"Visitante",Part2Empate4L,$CH7))</f>
        <v>0</v>
      </c>
      <c r="CJ7" s="758">
        <f ca="1">IF($CH7="-","-",COUNTIFS(FGLocal,$BD7,Ganador,"Empate",Part2Empate4V,$CH7)+COUNTIFS(FGVisitante,$BD7,Ganador,"Empate",Part2Empate4L,$CH7))</f>
        <v>1</v>
      </c>
      <c r="CK7" s="758">
        <f ca="1">IF($CH7="-","-",COUNTIFS(FGLocal,$BD7,Ganador,"Visitante",Part2Empate4V,$CH7)+COUNTIFS(FGVisitante,$BD7,Ganador,"Local",Part2Empate4L,$CH7))</f>
        <v>0</v>
      </c>
      <c r="CL7" s="758">
        <f ca="1">IF($CH7="-","-",CI7*3+CJ7)</f>
        <v>1</v>
      </c>
      <c r="CM7" s="758">
        <f ca="1">CG7+COUNTIFS($CH$6:$CH$53,CH7,$CL$6:CL$53,"&gt;"&amp;CL7,$BC$6:$BC$53,INDEX(T_Equipos[Grupo],MATCH(BD7,T_Equipos[NombreEquipo],0)))</f>
        <v>3</v>
      </c>
      <c r="CN7" s="757" t="str">
        <f ca="1">IF(COUNTIFS($CM$6:$CM$53,CM7,$BC$6:$BC$53,INDEX(T_Equipos[Grupo],MATCH(BD7,T_Equipos[NombreEquipo],0)))=1,"-","P."&amp;CM7&amp;" ("&amp;COUNTIFS($CM$6:$CM$53,CM7,$BC$6:$BC$53,INDEX(T_Equipos[Grupo],MATCH(BD7,T_Equipos[NombreEquipo],0)))&amp;")")</f>
        <v>P.3 (2)</v>
      </c>
      <c r="CO7" s="758">
        <f ca="1">IF($CN7="-","-",SUMIFS(FG_GolesLocal,FGLocal,$BD7,Part2Empate5V,$CN7)+SUMIFS(FG_GolesVisitante,FGVisitante,$BD7,Part2Empate5L,$CN7))</f>
        <v>1</v>
      </c>
      <c r="CP7" s="758">
        <f ca="1">IF($CN7="-","-",SUMIFS(FG_GolesVisitante,FGLocal,$BD7,Part2Empate5V,$CN7)+SUMIFS(FG_GolesLocal,FGVisitante,$BD7,Part2Empate5L,$CN7))</f>
        <v>1</v>
      </c>
      <c r="CQ7" s="758">
        <f ca="1">IF($CN7="-","-",CO7-CP7)</f>
        <v>0</v>
      </c>
      <c r="CR7" s="758">
        <f ca="1">CM7+COUNTIFS($CN$6:$CN$53,CN7,$CQ$6:CQ$53,"&gt;"&amp;CQ7,$BC$6:$BC$53,INDEX(T_Equipos[Grupo],MATCH(BD7,T_Equipos[NombreEquipo],0)))</f>
        <v>3</v>
      </c>
      <c r="CS7" s="757" t="str">
        <f ca="1">IF(COUNTIFS($CR$6:$CR$53,CR7,$BC$6:$BC$53,INDEX(T_Equipos[Grupo],MATCH(BD7,T_Equipos[NombreEquipo],0)))=1,"-","P."&amp;CR7&amp;" ("&amp;COUNTIFS($CR$6:$CR$53,CR7,$BC$6:$BC$53,INDEX(T_Equipos[Grupo],MATCH(BD7,T_Equipos[NombreEquipo],0)))&amp;")")</f>
        <v>P.3 (2)</v>
      </c>
      <c r="CT7" s="758">
        <f ca="1">IF($CS7="-","-",SUMIFS(FG_GolesLocal,FGLocal,$BD7,Part2Empate6V,$CS7)+SUMIFS(FG_GolesVisitante,FGVisitante,$BD7,Part2Empate6L,$CS7))</f>
        <v>1</v>
      </c>
      <c r="CU7" s="758">
        <f ca="1">CR7+COUNTIFS($CS$6:$CS$53,CS7,$CT$6:CT$53,"&gt;"&amp;CT7,$BC$6:$BC$53,INDEX(T_Equipos[Grupo],MATCH(BD7,T_Equipos[NombreEquipo],0)))</f>
        <v>3</v>
      </c>
      <c r="CV7" s="757" t="str">
        <f ca="1">IF(COUNTIFS($CU$6:$CU$53,CU7,$BC$6:$BC$53,INDEX(T_Equipos[Grupo],MATCH(BD7,T_Equipos[NombreEquipo],0)))=1,"-","P."&amp;CU7&amp;" ("&amp;COUNTIFS($CU$6:$CU$53,CU7,$BC$6:$BC$53,INDEX(T_Equipos[Grupo],MATCH(BD7,T_Equipos[NombreEquipo],0)))&amp;")")</f>
        <v>P.3 (2)</v>
      </c>
      <c r="CW7" s="757">
        <f t="shared" ref="CW7:CW53" ca="1" si="30">IF(CV7="-","-",BL7)</f>
        <v>-2</v>
      </c>
      <c r="CX7" s="757">
        <f ca="1">CU7+COUNTIFS($CV$6:$CV$53,CV7,$CW$6:CW$53,"&gt;"&amp;CW7,$BC$6:$BC$53,INDEX(T_Equipos[Grupo],MATCH(BD7,T_Equipos[NombreEquipo],0)))</f>
        <v>4</v>
      </c>
      <c r="CY7" s="757" t="str">
        <f ca="1">IF(COUNTIFS($CX$6:$CX$53,CX7,$BC$6:$BC$53,INDEX(T_Equipos[Grupo],MATCH(BD7,T_Equipos[NombreEquipo],0)))=1,"-","P."&amp;CX7&amp;" ("&amp;COUNTIFS($CX$6:$CX$53,CX7,$BC$6:$BC$53,INDEX(T_Equipos[Grupo],MATCH(BD7,T_Equipos[NombreEquipo],0)))&amp;")")</f>
        <v>-</v>
      </c>
      <c r="CZ7" s="757" t="str">
        <f t="shared" ref="CZ7:CZ53" ca="1" si="31">IF(CY7="-","-",BJ7)</f>
        <v>-</v>
      </c>
      <c r="DA7" s="758">
        <f ca="1">CX7+COUNTIFS($CY$6:$CY$53,CY7,$CZ$6:CZ$53,"&gt;"&amp;CZ7,$BC$6:$BC$53,INDEX(T_Equipos[Grupo],MATCH(BD7,T_Equipos[NombreEquipo],0)))</f>
        <v>4</v>
      </c>
      <c r="DB7" s="757" t="str">
        <f ca="1">IF(COUNTIFS($DA$6:$DA$53,DA7,$BC$6:$BC$53,INDEX(T_Equipos[Grupo],MATCH(BD7,T_Equipos[NombreEquipo],0)))=1,"-","P."&amp;DA7&amp;" ("&amp;COUNTIFS($DA$6:$DA$53,DA7,$BC$6:$BC$53,INDEX(T_Equipos[Grupo],MATCH(BD7,T_Equipos[NombreEquipo],0)))&amp;")")</f>
        <v>-</v>
      </c>
      <c r="DC7" s="756" t="str">
        <f ca="1">IF(DB7="-","-",COUNTIFS(T_Equipos[Rank],"&lt;"&amp;INDEX(T_Equipos[Rank],MATCH(BD7,T_Equipos[NombreEquipo],0)),$BC$6:$BC$53,INDEX(T_Equipos[Grupo],MATCH(BD7,T_Equipos[NombreEquipo],0)))+1)</f>
        <v>-</v>
      </c>
      <c r="DD7" s="756">
        <f ca="1">DA7+COUNTIFS($DB$6:$DB$53,DB7,$DC$6:DC$53,"&lt;"&amp;DC7,$BC$6:$BC$53,INDEX(T_Equipos[Grupo],MATCH(BD7,T_Equipos[NombreEquipo],0)))</f>
        <v>4</v>
      </c>
      <c r="DE7" s="756"/>
      <c r="DF7" s="756">
        <f t="shared" ref="DF7:DF9" ca="1" si="32">IF(OR(INDEX($AW$6:$AW$97,MATCH($BD7,$AV$6:$AV$97,0))="",DB7="-"),DD7,INDEX($AW$6:$AW$97,MATCH($BD7,$AV$6:$AV$97,0))+DD7/1000)</f>
        <v>4</v>
      </c>
      <c r="DG7" s="756" t="str">
        <f ca="1">IF(DB7="-","-",COUNTIFS(DF$6:DF$53,"&lt;"&amp;DF7,$BC$6:$BC$53,INDEX(T_Equipos[Grupo],MATCH(BD7,T_Equipos[NombreEquipo],0))))</f>
        <v>-</v>
      </c>
      <c r="DH7" s="756">
        <f ca="1">DA7+COUNTIFS(DB$6:DB$53,DB7,DG$6:DG$53,"&lt;"&amp;DG7,$BC$6:$BC$53,INDEX(T_Equipos[Grupo],MATCH(BD7,T_Equipos[NombreEquipo],0)))</f>
        <v>4</v>
      </c>
      <c r="DI7" s="744"/>
      <c r="DJ7" s="744">
        <f ca="1">INDEX($DA$6:$DA$53,MATCH($DQ7,$BD$6:$BD$53,0))</f>
        <v>2</v>
      </c>
      <c r="DK7" s="744">
        <f t="shared" ca="1" si="24"/>
        <v>8</v>
      </c>
      <c r="DL7" s="744">
        <f t="shared" ref="DL7:DL53" ca="1" si="33">IF(OR(DK7=12,$AJ$99=144),COUNTIFS($DJ$6:$DJ$53,DJ7,$BC$6:$BC$53,BC7),1)</f>
        <v>1</v>
      </c>
      <c r="DM7" s="738" t="str">
        <f t="shared" ref="DM7:DM53" ca="1" si="34">DJ7&amp;"."&amp;DL7</f>
        <v>2.1</v>
      </c>
      <c r="DN7" s="744" cm="1">
        <f t="array" aca="1" ref="DN7" ca="1">OFFSET(Horarios!$P$3,DJ7-1,0,DL7,1)</f>
        <v>2</v>
      </c>
      <c r="DO7" s="744"/>
      <c r="DP7" s="744" t="s">
        <v>646</v>
      </c>
      <c r="DQ7" s="744" t="str">
        <f t="shared" ref="DQ7:DQ53" ca="1" si="35">INDEX($BD$6:$BD$53,MATCH(DP7,$BM$6:$BM$53,0))</f>
        <v>Corea del Sur</v>
      </c>
      <c r="DR7" s="744"/>
      <c r="DS7" s="744"/>
      <c r="DT7" s="744" t="str">
        <f t="shared" ca="1" si="15"/>
        <v>México-Corea del Sur</v>
      </c>
      <c r="DU7" s="744"/>
      <c r="DV7" s="744"/>
      <c r="DW7" s="8"/>
    </row>
    <row r="8" spans="1:127" ht="16.95" customHeight="1">
      <c r="A8" s="745" t="str">
        <f ca="1">+Equipos!B5</f>
        <v>República Checa</v>
      </c>
      <c r="B8" s="742"/>
      <c r="C8" s="744"/>
      <c r="D8" s="744" t="str">
        <f t="shared" si="0"/>
        <v>Pendiente</v>
      </c>
      <c r="E8" s="744" t="str">
        <f t="shared" si="1"/>
        <v>-</v>
      </c>
      <c r="F8" s="744" t="str">
        <f t="shared" si="2"/>
        <v>-</v>
      </c>
      <c r="G8" s="744"/>
      <c r="H8" s="744" t="str">
        <f t="shared" si="3"/>
        <v>-</v>
      </c>
      <c r="I8" s="744" t="str">
        <f t="shared" si="4"/>
        <v>-</v>
      </c>
      <c r="J8" s="744"/>
      <c r="K8" s="744" t="str">
        <f t="shared" si="5"/>
        <v>-</v>
      </c>
      <c r="L8" s="744" t="str">
        <f t="shared" si="6"/>
        <v>-</v>
      </c>
      <c r="M8" s="744"/>
      <c r="N8" s="744" t="str">
        <f t="shared" si="7"/>
        <v>-</v>
      </c>
      <c r="O8" s="744" t="str">
        <f t="shared" si="8"/>
        <v>-</v>
      </c>
      <c r="P8" s="744"/>
      <c r="Q8" s="744" t="str">
        <f t="shared" si="9"/>
        <v>-</v>
      </c>
      <c r="R8" s="744" t="str">
        <f t="shared" si="10"/>
        <v>-</v>
      </c>
      <c r="S8" s="744"/>
      <c r="T8" s="744" t="str">
        <f t="shared" si="11"/>
        <v>-</v>
      </c>
      <c r="U8" s="744" t="str">
        <f t="shared" si="12"/>
        <v>-</v>
      </c>
      <c r="V8" s="172"/>
      <c r="W8" s="798"/>
      <c r="X8" s="189">
        <f ca="1">Horarios!C8</f>
        <v>46198.125</v>
      </c>
      <c r="Y8" s="190">
        <f ca="1">Horarios!C8</f>
        <v>46198.125</v>
      </c>
      <c r="Z8" s="191" t="str">
        <f>Idiomas!D65</f>
        <v>J3</v>
      </c>
      <c r="AA8" s="192" t="str">
        <f ca="1">A8</f>
        <v>República Checa</v>
      </c>
      <c r="AB8" s="480" t="e" cm="1" vm="4">
        <f t="array" aca="1" ref="AB8" ca="1">Ver_flag_local</f>
        <v>#VALUE!</v>
      </c>
      <c r="AC8" s="193"/>
      <c r="AD8" s="194"/>
      <c r="AE8" s="483" t="e" cm="1" vm="1">
        <f t="array" aca="1" ref="AE8" ca="1">Ver_flag_visit</f>
        <v>#VALUE!</v>
      </c>
      <c r="AF8" s="195" t="str">
        <f ca="1">A5</f>
        <v>México</v>
      </c>
      <c r="AG8" s="413">
        <f t="shared" si="13"/>
        <v>0</v>
      </c>
      <c r="AH8" s="196">
        <v>53</v>
      </c>
      <c r="AI8" s="19" t="str">
        <f>AJ8&amp;$B$4</f>
        <v>3A</v>
      </c>
      <c r="AJ8" s="221">
        <v>3</v>
      </c>
      <c r="AK8" s="491" t="e" cm="1" vm="4">
        <f t="array" aca="1" ref="AK8" ca="1">Ver_flag_visit</f>
        <v>#VALUE!</v>
      </c>
      <c r="AL8" s="222" t="str">
        <f ca="1">IFERROR(INDEX($BD$6:$BD$53,MATCH(AI8,$BN$6:$BN$53,0)),"")</f>
        <v>República Checa</v>
      </c>
      <c r="AM8" s="223">
        <f t="shared" ca="1" si="16"/>
        <v>1</v>
      </c>
      <c r="AN8" s="224">
        <f t="shared" ca="1" si="16"/>
        <v>2</v>
      </c>
      <c r="AO8" s="224">
        <f t="shared" ca="1" si="16"/>
        <v>0</v>
      </c>
      <c r="AP8" s="224">
        <f t="shared" ca="1" si="16"/>
        <v>1</v>
      </c>
      <c r="AQ8" s="224">
        <f t="shared" ca="1" si="16"/>
        <v>1</v>
      </c>
      <c r="AR8" s="224">
        <f t="shared" ca="1" si="16"/>
        <v>2</v>
      </c>
      <c r="AS8" s="224">
        <f t="shared" ca="1" si="16"/>
        <v>3</v>
      </c>
      <c r="AT8" s="225">
        <f t="shared" ca="1" si="16"/>
        <v>-1</v>
      </c>
      <c r="AU8" s="420">
        <f ca="1">INDEX($DL$6:$DL$53,MATCH(AI8,$DP$6:$DP$53,0))</f>
        <v>1</v>
      </c>
      <c r="AV8" s="217" t="str">
        <f ca="1">INDEX($BD$6:$BD$53,MATCH(AI8,$BM$6:$BM$53,0))</f>
        <v>República Checa</v>
      </c>
      <c r="AW8" s="427"/>
      <c r="AX8" s="218"/>
      <c r="AY8" s="219" t="str">
        <f ca="1">+A7</f>
        <v>Corea del Sur</v>
      </c>
      <c r="AZ8" s="220"/>
      <c r="BA8" s="175"/>
      <c r="BB8" s="744"/>
      <c r="BC8" s="756" t="str">
        <f ca="1">+INDEX(T_Equipos[Grupo],MATCH(WORLDCUP!BD8,T_Equipos[NombreEquipo],0))</f>
        <v>A</v>
      </c>
      <c r="BD8" s="744" t="str">
        <f ca="1">+Equipos!B4</f>
        <v>Corea del Sur</v>
      </c>
      <c r="BE8" s="748">
        <f t="shared" ca="1" si="25"/>
        <v>3</v>
      </c>
      <c r="BF8" s="748">
        <f t="shared" ca="1" si="26"/>
        <v>2</v>
      </c>
      <c r="BG8" s="748">
        <f t="shared" ca="1" si="17"/>
        <v>1</v>
      </c>
      <c r="BH8" s="748">
        <f t="shared" ca="1" si="18"/>
        <v>0</v>
      </c>
      <c r="BI8" s="748">
        <f t="shared" ca="1" si="19"/>
        <v>1</v>
      </c>
      <c r="BJ8" s="748">
        <f t="shared" ca="1" si="20"/>
        <v>2</v>
      </c>
      <c r="BK8" s="748">
        <f t="shared" ca="1" si="21"/>
        <v>2</v>
      </c>
      <c r="BL8" s="748">
        <f t="shared" ca="1" si="27"/>
        <v>0</v>
      </c>
      <c r="BM8" s="748" t="str">
        <f t="shared" ca="1" si="22"/>
        <v>2A</v>
      </c>
      <c r="BN8" s="748" t="str">
        <f t="shared" ca="1" si="23"/>
        <v>2A</v>
      </c>
      <c r="BO8" s="757">
        <f t="shared" ca="1" si="28"/>
        <v>0</v>
      </c>
      <c r="BP8" s="757">
        <f ca="1">COUNTIFS($BO$6:$BO$53,"&gt;"&amp;BO8,$BC$6:$BC$53,INDEX(T_Equipos[Grupo],MATCH(BD8,T_Equipos[NombreEquipo],0)))+1</f>
        <v>1</v>
      </c>
      <c r="BQ8" s="757" t="str">
        <f ca="1">IF(COUNTIFS($BP$6:$BP$53,BP8,$BC$6:$BC$53,INDEX(T_Equipos[Grupo],MATCH(BD8,T_Equipos[NombreEquipo],0)))=1,"-","P."&amp;BP8&amp;" ("&amp;COUNTIFS($BP$6:$BP$53,BP8,$BC$6:$BC$53,INDEX(T_Equipos[Grupo],MATCH(BD8,T_Equipos[NombreEquipo],0)))&amp;")")</f>
        <v>P.1 (4)</v>
      </c>
      <c r="BR8" s="757">
        <f t="shared" ca="1" si="29"/>
        <v>3</v>
      </c>
      <c r="BS8" s="757">
        <f ca="1">BP8+COUNTIFS($BQ$6:$BQ$53,BQ8,$BR$6:BR$53,"&gt;"&amp;BR8,$BC$6:$BC$53,INDEX(T_Equipos[Grupo],MATCH(BD8,T_Equipos[NombreEquipo],0)))</f>
        <v>2</v>
      </c>
      <c r="BT8" s="757" t="str">
        <f ca="1">IF(COUNTIFS($BS$6:$BS$53,BS8,$BC$6:$BC$53,INDEX(T_Equipos[Grupo],MATCH(BD8,T_Equipos[NombreEquipo],0)))=1,"-","P."&amp;BS8&amp;" ("&amp;COUNTIFS($BS$6:$BS$53,BS8,$BC$6:$BC$53,INDEX(T_Equipos[Grupo],MATCH(BD8,T_Equipos[NombreEquipo],0)))&amp;")")</f>
        <v>-</v>
      </c>
      <c r="BU8" s="758" t="str">
        <f ca="1">IF($BT8="-","-",COUNTIFS(FGLocal,$BD8,Ganador,"Local",Part1Empate1V,$BT8)+COUNTIFS(FGVisitante,$BD8,Ganador,"Visitante",Part1Empate1L,$BT8))</f>
        <v>-</v>
      </c>
      <c r="BV8" s="758" t="str">
        <f ca="1">IF($BT8="-","-",COUNTIFS(FGLocal,$BD8,Ganador,"Empate",Part1Empate1V,$BT8)+COUNTIFS(FGVisitante,$BD8,Ganador,"Empate",Part1Empate1L,$BT8))</f>
        <v>-</v>
      </c>
      <c r="BW8" s="758" t="str">
        <f ca="1">IF($BT8="-","-",COUNTIFS(FGLocal,$BD8,Ganador,"Visitante",Part1Empate1V,$BT8)+COUNTIFS(FGVisitante,$BD8,Ganador,"Local",Part1Empate1L,$BT8))</f>
        <v>-</v>
      </c>
      <c r="BX8" s="758" t="str">
        <f ca="1">IF($BT8="-","-",BU8*3+BV8)</f>
        <v>-</v>
      </c>
      <c r="BY8" s="758">
        <f ca="1">BS8+COUNTIFS($BT$6:$BT$53,BT8,$BX$6:BX$53,"&gt;"&amp;BX8,$BC$6:$BC$53,INDEX(T_Equipos[Grupo],MATCH(BD8,T_Equipos[NombreEquipo],0)))</f>
        <v>2</v>
      </c>
      <c r="BZ8" s="757" t="str">
        <f ca="1">IF(COUNTIFS($BY$6:$BY$53,BY8,$BC$6:$BC$53,INDEX(T_Equipos[Grupo],MATCH(BD8,T_Equipos[NombreEquipo],0)))=1,"-","P."&amp;BY8&amp;" ("&amp;COUNTIFS($BY$6:$BY$53,BY8,$BC$6:$BC$53,INDEX(T_Equipos[Grupo],MATCH(BD8,T_Equipos[NombreEquipo],0)))&amp;")")</f>
        <v>-</v>
      </c>
      <c r="CA8" s="758" t="str">
        <f ca="1">IF($BZ8="-","-",SUMIFS(FG_GolesLocal,FGLocal,$BD8,Part1Empate2V,$BZ8)+SUMIFS(FG_GolesVisitante,FGVisitante,$BD8,Part1Empate2L,$BZ8))</f>
        <v>-</v>
      </c>
      <c r="CB8" s="758" t="str">
        <f ca="1">IF($BZ8="-","-",SUMIFS(FG_GolesVisitante,FGLocal,$BD8,Part1Empate2V,$BZ8)+SUMIFS(FG_GolesLocal,FGVisitante,$BD8,Part1Empate2L,$BZ8))</f>
        <v>-</v>
      </c>
      <c r="CC8" s="758" t="str">
        <f ca="1">IF($BZ8="-","-",CA8-CB8)</f>
        <v>-</v>
      </c>
      <c r="CD8" s="758">
        <f ca="1">BY8+COUNTIFS($BZ$6:$BZ$53,BZ8,$CC$6:CC$53,"&gt;"&amp;CC8,$BC$6:$BC$53,INDEX(T_Equipos[Grupo],MATCH(BD8,T_Equipos[NombreEquipo],0)))</f>
        <v>2</v>
      </c>
      <c r="CE8" s="757" t="str">
        <f ca="1">IF(COUNTIFS($CD$6:$CD$53,CD8,$BC$6:$BC$53,INDEX(T_Equipos[Grupo],MATCH(BD8,T_Equipos[NombreEquipo],0)))=1,"-","P."&amp;CD8&amp;" ("&amp;COUNTIFS($CD$6:$CD$53,CD8,$BC$6:$BC$53,INDEX(T_Equipos[Grupo],MATCH(BD8,T_Equipos[NombreEquipo],0)))&amp;")")</f>
        <v>-</v>
      </c>
      <c r="CF8" s="758" t="str">
        <f ca="1">IF($CE8="-","-",SUMIFS(FG_GolesLocal,FGLocal,$BD8,Part1Empate3V,$CE8)+SUMIFS(FG_GolesVisitante,FGVisitante,$BD8,Part1Empate3L,$CE8))</f>
        <v>-</v>
      </c>
      <c r="CG8" s="758">
        <f ca="1">CD8+COUNTIFS($CE$6:$CE$53,CE8,$CF$6:CF$53,"&gt;"&amp;CF8,$BC$6:$BC$53,INDEX(T_Equipos[Grupo],MATCH(BD8,T_Equipos[NombreEquipo],0)))</f>
        <v>2</v>
      </c>
      <c r="CH8" s="757" t="str">
        <f ca="1">IF(COUNTIFS($CG$6:$CG$53,CG8,$BC$6:$BC$53,INDEX(T_Equipos[Grupo],MATCH(BD8,T_Equipos[NombreEquipo],0)))=1,"-","P."&amp;CG8&amp;" ("&amp;COUNTIFS($CG$6:$CG$53,CG8,$BC$6:$BC$53,INDEX(T_Equipos[Grupo],MATCH(BD8,T_Equipos[NombreEquipo],0)))&amp;")")</f>
        <v>-</v>
      </c>
      <c r="CI8" s="758" t="str">
        <f ca="1">IF($CH8="-","-",COUNTIFS(FGLocal,$BD8,Ganador,"Local",Part2Empate4V,$CH8)+COUNTIFS(FGVisitante,$BD8,Ganador,"Visitante",Part2Empate4L,$CH8))</f>
        <v>-</v>
      </c>
      <c r="CJ8" s="758" t="str">
        <f ca="1">IF($CH8="-","-",COUNTIFS(FGLocal,$BD8,Ganador,"Empate",Part2Empate4V,$CH8)+COUNTIFS(FGVisitante,$BD8,Ganador,"Empate",Part2Empate4L,$CH8))</f>
        <v>-</v>
      </c>
      <c r="CK8" s="758" t="str">
        <f ca="1">IF($CH8="-","-",COUNTIFS(FGLocal,$BD8,Ganador,"Visitante",Part2Empate4V,$CH8)+COUNTIFS(FGVisitante,$BD8,Ganador,"Local",Part2Empate4L,$CH8))</f>
        <v>-</v>
      </c>
      <c r="CL8" s="758" t="str">
        <f ca="1">IF($CH8="-","-",CI8*3+CJ8)</f>
        <v>-</v>
      </c>
      <c r="CM8" s="758">
        <f ca="1">CG8+COUNTIFS($CH$6:$CH$53,CH8,$CL$6:CL$53,"&gt;"&amp;CL8,$BC$6:$BC$53,INDEX(T_Equipos[Grupo],MATCH(BD8,T_Equipos[NombreEquipo],0)))</f>
        <v>2</v>
      </c>
      <c r="CN8" s="757" t="str">
        <f ca="1">IF(COUNTIFS($CM$6:$CM$53,CM8,$BC$6:$BC$53,INDEX(T_Equipos[Grupo],MATCH(BD8,T_Equipos[NombreEquipo],0)))=1,"-","P."&amp;CM8&amp;" ("&amp;COUNTIFS($CM$6:$CM$53,CM8,$BC$6:$BC$53,INDEX(T_Equipos[Grupo],MATCH(BD8,T_Equipos[NombreEquipo],0)))&amp;")")</f>
        <v>-</v>
      </c>
      <c r="CO8" s="758" t="str">
        <f ca="1">IF($CN8="-","-",SUMIFS(FG_GolesLocal,FGLocal,$BD8,Part2Empate5V,$CN8)+SUMIFS(FG_GolesVisitante,FGVisitante,$BD8,Part2Empate5L,$CN8))</f>
        <v>-</v>
      </c>
      <c r="CP8" s="758" t="str">
        <f ca="1">IF($CN8="-","-",SUMIFS(FG_GolesVisitante,FGLocal,$BD8,Part2Empate5V,$CN8)+SUMIFS(FG_GolesLocal,FGVisitante,$BD8,Part2Empate5L,$CN8))</f>
        <v>-</v>
      </c>
      <c r="CQ8" s="758" t="str">
        <f ca="1">IF($CN8="-","-",CO8-CP8)</f>
        <v>-</v>
      </c>
      <c r="CR8" s="758">
        <f ca="1">CM8+COUNTIFS($CN$6:$CN$53,CN8,$CQ$6:CQ$53,"&gt;"&amp;CQ8,$BC$6:$BC$53,INDEX(T_Equipos[Grupo],MATCH(BD8,T_Equipos[NombreEquipo],0)))</f>
        <v>2</v>
      </c>
      <c r="CS8" s="757" t="str">
        <f ca="1">IF(COUNTIFS($CR$6:$CR$53,CR8,$BC$6:$BC$53,INDEX(T_Equipos[Grupo],MATCH(BD8,T_Equipos[NombreEquipo],0)))=1,"-","P."&amp;CR8&amp;" ("&amp;COUNTIFS($CR$6:$CR$53,CR8,$BC$6:$BC$53,INDEX(T_Equipos[Grupo],MATCH(BD8,T_Equipos[NombreEquipo],0)))&amp;")")</f>
        <v>-</v>
      </c>
      <c r="CT8" s="758" t="str">
        <f ca="1">IF($CS8="-","-",SUMIFS(FG_GolesLocal,FGLocal,$BD8,Part2Empate6V,$CS8)+SUMIFS(FG_GolesVisitante,FGVisitante,$BD8,Part2Empate6L,$CS8))</f>
        <v>-</v>
      </c>
      <c r="CU8" s="758">
        <f ca="1">CR8+COUNTIFS($CS$6:$CS$53,CS8,$CT$6:CT$53,"&gt;"&amp;CT8,$BC$6:$BC$53,INDEX(T_Equipos[Grupo],MATCH(BD8,T_Equipos[NombreEquipo],0)))</f>
        <v>2</v>
      </c>
      <c r="CV8" s="757" t="str">
        <f ca="1">IF(COUNTIFS($CU$6:$CU$53,CU8,$BC$6:$BC$53,INDEX(T_Equipos[Grupo],MATCH(BD8,T_Equipos[NombreEquipo],0)))=1,"-","P."&amp;CU8&amp;" ("&amp;COUNTIFS($CU$6:$CU$53,CU8,$BC$6:$BC$53,INDEX(T_Equipos[Grupo],MATCH(BD8,T_Equipos[NombreEquipo],0)))&amp;")")</f>
        <v>-</v>
      </c>
      <c r="CW8" s="757" t="str">
        <f t="shared" ca="1" si="30"/>
        <v>-</v>
      </c>
      <c r="CX8" s="757">
        <f ca="1">CU8+COUNTIFS($CV$6:$CV$53,CV8,$CW$6:CW$53,"&gt;"&amp;CW8,$BC$6:$BC$53,INDEX(T_Equipos[Grupo],MATCH(BD8,T_Equipos[NombreEquipo],0)))</f>
        <v>2</v>
      </c>
      <c r="CY8" s="757" t="str">
        <f ca="1">IF(COUNTIFS($CX$6:$CX$53,CX8,$BC$6:$BC$53,INDEX(T_Equipos[Grupo],MATCH(BD8,T_Equipos[NombreEquipo],0)))=1,"-","P."&amp;CX8&amp;" ("&amp;COUNTIFS($CX$6:$CX$53,CX8,$BC$6:$BC$53,INDEX(T_Equipos[Grupo],MATCH(BD8,T_Equipos[NombreEquipo],0)))&amp;")")</f>
        <v>-</v>
      </c>
      <c r="CZ8" s="757" t="str">
        <f t="shared" ca="1" si="31"/>
        <v>-</v>
      </c>
      <c r="DA8" s="758">
        <f ca="1">CX8+COUNTIFS($CY$6:$CY$53,CY8,$CZ$6:CZ$53,"&gt;"&amp;CZ8,$BC$6:$BC$53,INDEX(T_Equipos[Grupo],MATCH(BD8,T_Equipos[NombreEquipo],0)))</f>
        <v>2</v>
      </c>
      <c r="DB8" s="757" t="str">
        <f ca="1">IF(COUNTIFS($DA$6:$DA$53,DA8,$BC$6:$BC$53,INDEX(T_Equipos[Grupo],MATCH(BD8,T_Equipos[NombreEquipo],0)))=1,"-","P."&amp;DA8&amp;" ("&amp;COUNTIFS($DA$6:$DA$53,DA8,$BC$6:$BC$53,INDEX(T_Equipos[Grupo],MATCH(BD8,T_Equipos[NombreEquipo],0)))&amp;")")</f>
        <v>-</v>
      </c>
      <c r="DC8" s="756" t="str">
        <f ca="1">IF(DB8="-","-",COUNTIFS(T_Equipos[Rank],"&lt;"&amp;INDEX(T_Equipos[Rank],MATCH(BD8,T_Equipos[NombreEquipo],0)),$BC$6:$BC$53,INDEX(T_Equipos[Grupo],MATCH(BD8,T_Equipos[NombreEquipo],0)))+1)</f>
        <v>-</v>
      </c>
      <c r="DD8" s="756">
        <f ca="1">DA8+COUNTIFS($DB$6:$DB$53,DB8,$DC$6:DC$53,"&lt;"&amp;DC8,$BC$6:$BC$53,INDEX(T_Equipos[Grupo],MATCH(BD8,T_Equipos[NombreEquipo],0)))</f>
        <v>2</v>
      </c>
      <c r="DE8" s="756"/>
      <c r="DF8" s="756">
        <f t="shared" ca="1" si="32"/>
        <v>2</v>
      </c>
      <c r="DG8" s="756" t="str">
        <f ca="1">IF(DB8="-","-",COUNTIFS(DF$6:DF$53,"&lt;"&amp;DF8,$BC$6:$BC$53,INDEX(T_Equipos[Grupo],MATCH(BD8,T_Equipos[NombreEquipo],0))))</f>
        <v>-</v>
      </c>
      <c r="DH8" s="756">
        <f ca="1">DA8+COUNTIFS(DB$6:DB$53,DB8,DG$6:DG$53,"&lt;"&amp;DG8,$BC$6:$BC$53,INDEX(T_Equipos[Grupo],MATCH(BD8,T_Equipos[NombreEquipo],0)))</f>
        <v>2</v>
      </c>
      <c r="DI8" s="744"/>
      <c r="DJ8" s="744">
        <f ca="1">INDEX($DA$6:$DA$53,MATCH($DQ8,$BD$6:$BD$53,0))</f>
        <v>3</v>
      </c>
      <c r="DK8" s="744">
        <f t="shared" ca="1" si="24"/>
        <v>8</v>
      </c>
      <c r="DL8" s="744">
        <f t="shared" ca="1" si="33"/>
        <v>1</v>
      </c>
      <c r="DM8" s="738" t="str">
        <f t="shared" ca="1" si="34"/>
        <v>3.1</v>
      </c>
      <c r="DN8" s="744" cm="1">
        <f t="array" aca="1" ref="DN8" ca="1">OFFSET(Horarios!$P$3,DJ8-1,0,DL8,1)</f>
        <v>3</v>
      </c>
      <c r="DO8" s="744"/>
      <c r="DP8" s="744" t="s">
        <v>89</v>
      </c>
      <c r="DQ8" s="744" t="str">
        <f t="shared" ca="1" si="35"/>
        <v>República Checa</v>
      </c>
      <c r="DR8" s="744"/>
      <c r="DS8" s="744"/>
      <c r="DT8" s="744" t="str">
        <f t="shared" ca="1" si="15"/>
        <v>República Checa-México</v>
      </c>
      <c r="DU8" s="744"/>
      <c r="DV8" s="744"/>
      <c r="DW8" s="8"/>
    </row>
    <row r="9" spans="1:127" ht="18" customHeight="1" thickBot="1">
      <c r="A9" s="739"/>
      <c r="B9" s="742"/>
      <c r="C9" s="739"/>
      <c r="D9" s="744" t="str">
        <f t="shared" si="0"/>
        <v>Pendiente</v>
      </c>
      <c r="E9" s="744" t="str">
        <f t="shared" si="1"/>
        <v>-</v>
      </c>
      <c r="F9" s="744" t="str">
        <f t="shared" si="2"/>
        <v>-</v>
      </c>
      <c r="G9" s="744"/>
      <c r="H9" s="744" t="str">
        <f t="shared" si="3"/>
        <v>-</v>
      </c>
      <c r="I9" s="744" t="str">
        <f t="shared" si="4"/>
        <v>-</v>
      </c>
      <c r="J9" s="744"/>
      <c r="K9" s="744" t="str">
        <f t="shared" si="5"/>
        <v>-</v>
      </c>
      <c r="L9" s="744" t="str">
        <f t="shared" si="6"/>
        <v>-</v>
      </c>
      <c r="M9" s="744"/>
      <c r="N9" s="744" t="str">
        <f t="shared" si="7"/>
        <v>-</v>
      </c>
      <c r="O9" s="744" t="str">
        <f t="shared" si="8"/>
        <v>-</v>
      </c>
      <c r="P9" s="744"/>
      <c r="Q9" s="744" t="str">
        <f t="shared" si="9"/>
        <v>-</v>
      </c>
      <c r="R9" s="744" t="str">
        <f t="shared" si="10"/>
        <v>-</v>
      </c>
      <c r="S9" s="744"/>
      <c r="T9" s="744" t="str">
        <f t="shared" si="11"/>
        <v>-</v>
      </c>
      <c r="U9" s="744" t="str">
        <f t="shared" si="12"/>
        <v>-</v>
      </c>
      <c r="V9" s="172"/>
      <c r="W9" s="799"/>
      <c r="X9" s="228">
        <f ca="1">Horarios!C9</f>
        <v>46198.125</v>
      </c>
      <c r="Y9" s="229">
        <f ca="1">Horarios!C9</f>
        <v>46198.125</v>
      </c>
      <c r="Z9" s="230" t="str">
        <f>$Z$8</f>
        <v>J3</v>
      </c>
      <c r="AA9" s="231" t="str">
        <f ca="1">A6</f>
        <v>Sudáfrica</v>
      </c>
      <c r="AB9" s="481" t="e" cm="1" vm="2">
        <f t="array" aca="1" ref="AB9" ca="1">Ver_flag_local</f>
        <v>#VALUE!</v>
      </c>
      <c r="AC9" s="232"/>
      <c r="AD9" s="233"/>
      <c r="AE9" s="484" t="e" cm="1" vm="3">
        <f t="array" aca="1" ref="AE9" ca="1">Ver_flag_visit</f>
        <v>#VALUE!</v>
      </c>
      <c r="AF9" s="234" t="str">
        <f ca="1">A7</f>
        <v>Corea del Sur</v>
      </c>
      <c r="AG9" s="413">
        <f t="shared" si="13"/>
        <v>0</v>
      </c>
      <c r="AH9" s="196">
        <v>54</v>
      </c>
      <c r="AI9" s="19" t="str">
        <f>AJ9&amp;$B$4</f>
        <v>4A</v>
      </c>
      <c r="AJ9" s="235">
        <v>4</v>
      </c>
      <c r="AK9" s="492" t="e" cm="1" vm="2">
        <f t="array" aca="1" ref="AK9" ca="1">Ver_flag_visit</f>
        <v>#VALUE!</v>
      </c>
      <c r="AL9" s="236" t="str">
        <f ca="1">IFERROR(INDEX($BD$6:$BD$53,MATCH(AI9,$BN$6:$BN$53,0)),"")</f>
        <v>Sudáfrica</v>
      </c>
      <c r="AM9" s="237">
        <f t="shared" ca="1" si="16"/>
        <v>1</v>
      </c>
      <c r="AN9" s="238">
        <f t="shared" ca="1" si="16"/>
        <v>2</v>
      </c>
      <c r="AO9" s="238">
        <f t="shared" ca="1" si="16"/>
        <v>0</v>
      </c>
      <c r="AP9" s="238">
        <f t="shared" ca="1" si="16"/>
        <v>1</v>
      </c>
      <c r="AQ9" s="238">
        <f t="shared" ca="1" si="16"/>
        <v>1</v>
      </c>
      <c r="AR9" s="238">
        <f t="shared" ca="1" si="16"/>
        <v>1</v>
      </c>
      <c r="AS9" s="238">
        <f t="shared" ca="1" si="16"/>
        <v>3</v>
      </c>
      <c r="AT9" s="239">
        <f t="shared" ca="1" si="16"/>
        <v>-2</v>
      </c>
      <c r="AU9" s="420">
        <f ca="1">INDEX($DL$6:$DL$53,MATCH(AI9,$DP$6:$DP$53,0))</f>
        <v>1</v>
      </c>
      <c r="AV9" s="217" t="str">
        <f ca="1">INDEX($BD$6:$BD$53,MATCH(AI9,$BM$6:$BM$53,0))</f>
        <v>Sudáfrica</v>
      </c>
      <c r="AW9" s="427"/>
      <c r="AX9" s="218"/>
      <c r="AY9" s="240" t="str">
        <f ca="1">+A8</f>
        <v>República Checa</v>
      </c>
      <c r="AZ9" s="241"/>
      <c r="BA9" s="175"/>
      <c r="BB9" s="744"/>
      <c r="BC9" s="756" t="str">
        <f ca="1">+INDEX(T_Equipos[Grupo],MATCH(WORLDCUP!BD9,T_Equipos[NombreEquipo],0))</f>
        <v>A</v>
      </c>
      <c r="BD9" s="744" t="str">
        <f ca="1">+Equipos!B5</f>
        <v>República Checa</v>
      </c>
      <c r="BE9" s="748">
        <f t="shared" ca="1" si="25"/>
        <v>1</v>
      </c>
      <c r="BF9" s="748">
        <f t="shared" ca="1" si="26"/>
        <v>2</v>
      </c>
      <c r="BG9" s="748">
        <f t="shared" ca="1" si="17"/>
        <v>0</v>
      </c>
      <c r="BH9" s="748">
        <f t="shared" ca="1" si="18"/>
        <v>1</v>
      </c>
      <c r="BI9" s="748">
        <f t="shared" ca="1" si="19"/>
        <v>1</v>
      </c>
      <c r="BJ9" s="748">
        <f t="shared" ca="1" si="20"/>
        <v>2</v>
      </c>
      <c r="BK9" s="748">
        <f t="shared" ca="1" si="21"/>
        <v>3</v>
      </c>
      <c r="BL9" s="748">
        <f t="shared" ca="1" si="27"/>
        <v>-1</v>
      </c>
      <c r="BM9" s="748" t="str">
        <f t="shared" ca="1" si="22"/>
        <v>3A</v>
      </c>
      <c r="BN9" s="748" t="str">
        <f t="shared" ca="1" si="23"/>
        <v>3A</v>
      </c>
      <c r="BO9" s="757">
        <f t="shared" ca="1" si="28"/>
        <v>0</v>
      </c>
      <c r="BP9" s="757">
        <f ca="1">COUNTIFS($BO$6:$BO$53,"&gt;"&amp;BO9,$BC$6:$BC$53,INDEX(T_Equipos[Grupo],MATCH(BD9,T_Equipos[NombreEquipo],0)))+1</f>
        <v>1</v>
      </c>
      <c r="BQ9" s="757" t="str">
        <f ca="1">IF(COUNTIFS($BP$6:$BP$53,BP9,$BC$6:$BC$53,INDEX(T_Equipos[Grupo],MATCH(BD9,T_Equipos[NombreEquipo],0)))=1,"-","P."&amp;BP9&amp;" ("&amp;COUNTIFS($BP$6:$BP$53,BP9,$BC$6:$BC$53,INDEX(T_Equipos[Grupo],MATCH(BD9,T_Equipos[NombreEquipo],0)))&amp;")")</f>
        <v>P.1 (4)</v>
      </c>
      <c r="BR9" s="757">
        <f t="shared" ca="1" si="29"/>
        <v>1</v>
      </c>
      <c r="BS9" s="757">
        <f ca="1">BP9+COUNTIFS($BQ$6:$BQ$53,BQ9,$BR$6:BR$53,"&gt;"&amp;BR9,$BC$6:$BC$53,INDEX(T_Equipos[Grupo],MATCH(BD9,T_Equipos[NombreEquipo],0)))</f>
        <v>3</v>
      </c>
      <c r="BT9" s="757" t="str">
        <f ca="1">IF(COUNTIFS($BS$6:$BS$53,BS9,$BC$6:$BC$53,INDEX(T_Equipos[Grupo],MATCH(BD9,T_Equipos[NombreEquipo],0)))=1,"-","P."&amp;BS9&amp;" ("&amp;COUNTIFS($BS$6:$BS$53,BS9,$BC$6:$BC$53,INDEX(T_Equipos[Grupo],MATCH(BD9,T_Equipos[NombreEquipo],0)))&amp;")")</f>
        <v>P.3 (2)</v>
      </c>
      <c r="BU9" s="758">
        <f ca="1">IF($BT9="-","-",COUNTIFS(FGLocal,$BD9,Ganador,"Local",Part1Empate1V,$BT9)+COUNTIFS(FGVisitante,$BD9,Ganador,"Visitante",Part1Empate1L,$BT9))</f>
        <v>0</v>
      </c>
      <c r="BV9" s="758">
        <f ca="1">IF($BT9="-","-",COUNTIFS(FGLocal,$BD9,Ganador,"Empate",Part1Empate1V,$BT9)+COUNTIFS(FGVisitante,$BD9,Ganador,"Empate",Part1Empate1L,$BT9))</f>
        <v>1</v>
      </c>
      <c r="BW9" s="758">
        <f ca="1">IF($BT9="-","-",COUNTIFS(FGLocal,$BD9,Ganador,"Visitante",Part1Empate1V,$BT9)+COUNTIFS(FGVisitante,$BD9,Ganador,"Local",Part1Empate1L,$BT9))</f>
        <v>0</v>
      </c>
      <c r="BX9" s="758">
        <f ca="1">IF($BT9="-","-",BU9*3+BV9)</f>
        <v>1</v>
      </c>
      <c r="BY9" s="758">
        <f ca="1">BS9+COUNTIFS($BT$6:$BT$53,BT9,$BX$6:BX$53,"&gt;"&amp;BX9,$BC$6:$BC$53,INDEX(T_Equipos[Grupo],MATCH(BD9,T_Equipos[NombreEquipo],0)))</f>
        <v>3</v>
      </c>
      <c r="BZ9" s="757" t="str">
        <f ca="1">IF(COUNTIFS($BY$6:$BY$53,BY9,$BC$6:$BC$53,INDEX(T_Equipos[Grupo],MATCH(BD9,T_Equipos[NombreEquipo],0)))=1,"-","P."&amp;BY9&amp;" ("&amp;COUNTIFS($BY$6:$BY$53,BY9,$BC$6:$BC$53,INDEX(T_Equipos[Grupo],MATCH(BD9,T_Equipos[NombreEquipo],0)))&amp;")")</f>
        <v>P.3 (2)</v>
      </c>
      <c r="CA9" s="758">
        <f ca="1">IF($BZ9="-","-",SUMIFS(FG_GolesLocal,FGLocal,$BD9,Part1Empate2V,$BZ9)+SUMIFS(FG_GolesVisitante,FGVisitante,$BD9,Part1Empate2L,$BZ9))</f>
        <v>1</v>
      </c>
      <c r="CB9" s="758">
        <f ca="1">IF($BZ9="-","-",SUMIFS(FG_GolesVisitante,FGLocal,$BD9,Part1Empate2V,$BZ9)+SUMIFS(FG_GolesLocal,FGVisitante,$BD9,Part1Empate2L,$BZ9))</f>
        <v>1</v>
      </c>
      <c r="CC9" s="758">
        <f ca="1">IF($BZ9="-","-",CA9-CB9)</f>
        <v>0</v>
      </c>
      <c r="CD9" s="758">
        <f ca="1">BY9+COUNTIFS($BZ$6:$BZ$53,BZ9,$CC$6:CC$53,"&gt;"&amp;CC9,$BC$6:$BC$53,INDEX(T_Equipos[Grupo],MATCH(BD9,T_Equipos[NombreEquipo],0)))</f>
        <v>3</v>
      </c>
      <c r="CE9" s="757" t="str">
        <f ca="1">IF(COUNTIFS($CD$6:$CD$53,CD9,$BC$6:$BC$53,INDEX(T_Equipos[Grupo],MATCH(BD9,T_Equipos[NombreEquipo],0)))=1,"-","P."&amp;CD9&amp;" ("&amp;COUNTIFS($CD$6:$CD$53,CD9,$BC$6:$BC$53,INDEX(T_Equipos[Grupo],MATCH(BD9,T_Equipos[NombreEquipo],0)))&amp;")")</f>
        <v>P.3 (2)</v>
      </c>
      <c r="CF9" s="758">
        <f ca="1">IF($CE9="-","-",SUMIFS(FG_GolesLocal,FGLocal,$BD9,Part1Empate3V,$CE9)+SUMIFS(FG_GolesVisitante,FGVisitante,$BD9,Part1Empate3L,$CE9))</f>
        <v>1</v>
      </c>
      <c r="CG9" s="758">
        <f ca="1">CD9+COUNTIFS($CE$6:$CE$53,CE9,$CF$6:CF$53,"&gt;"&amp;CF9,$BC$6:$BC$53,INDEX(T_Equipos[Grupo],MATCH(BD9,T_Equipos[NombreEquipo],0)))</f>
        <v>3</v>
      </c>
      <c r="CH9" s="757" t="str">
        <f ca="1">IF(COUNTIFS($CG$6:$CG$53,CG9,$BC$6:$BC$53,INDEX(T_Equipos[Grupo],MATCH(BD9,T_Equipos[NombreEquipo],0)))=1,"-","P."&amp;CG9&amp;" ("&amp;COUNTIFS($CG$6:$CG$53,CG9,$BC$6:$BC$53,INDEX(T_Equipos[Grupo],MATCH(BD9,T_Equipos[NombreEquipo],0)))&amp;")")</f>
        <v>P.3 (2)</v>
      </c>
      <c r="CI9" s="758">
        <f ca="1">IF($CH9="-","-",COUNTIFS(FGLocal,$BD9,Ganador,"Local",Part2Empate4V,$CH9)+COUNTIFS(FGVisitante,$BD9,Ganador,"Visitante",Part2Empate4L,$CH9))</f>
        <v>0</v>
      </c>
      <c r="CJ9" s="758">
        <f ca="1">IF($CH9="-","-",COUNTIFS(FGLocal,$BD9,Ganador,"Empate",Part2Empate4V,$CH9)+COUNTIFS(FGVisitante,$BD9,Ganador,"Empate",Part2Empate4L,$CH9))</f>
        <v>1</v>
      </c>
      <c r="CK9" s="758">
        <f ca="1">IF($CH9="-","-",COUNTIFS(FGLocal,$BD9,Ganador,"Visitante",Part2Empate4V,$CH9)+COUNTIFS(FGVisitante,$BD9,Ganador,"Local",Part2Empate4L,$CH9))</f>
        <v>0</v>
      </c>
      <c r="CL9" s="758">
        <f ca="1">IF($CH9="-","-",CI9*3+CJ9)</f>
        <v>1</v>
      </c>
      <c r="CM9" s="758">
        <f ca="1">CG9+COUNTIFS($CH$6:$CH$53,CH9,$CL$6:CL$53,"&gt;"&amp;CL9,$BC$6:$BC$53,INDEX(T_Equipos[Grupo],MATCH(BD9,T_Equipos[NombreEquipo],0)))</f>
        <v>3</v>
      </c>
      <c r="CN9" s="757" t="str">
        <f ca="1">IF(COUNTIFS($CM$6:$CM$53,CM9,$BC$6:$BC$53,INDEX(T_Equipos[Grupo],MATCH(BD9,T_Equipos[NombreEquipo],0)))=1,"-","P."&amp;CM9&amp;" ("&amp;COUNTIFS($CM$6:$CM$53,CM9,$BC$6:$BC$53,INDEX(T_Equipos[Grupo],MATCH(BD9,T_Equipos[NombreEquipo],0)))&amp;")")</f>
        <v>P.3 (2)</v>
      </c>
      <c r="CO9" s="758">
        <f ca="1">IF($CN9="-","-",SUMIFS(FG_GolesLocal,FGLocal,$BD9,Part2Empate5V,$CN9)+SUMIFS(FG_GolesVisitante,FGVisitante,$BD9,Part2Empate5L,$CN9))</f>
        <v>1</v>
      </c>
      <c r="CP9" s="758">
        <f ca="1">IF($CN9="-","-",SUMIFS(FG_GolesVisitante,FGLocal,$BD9,Part2Empate5V,$CN9)+SUMIFS(FG_GolesLocal,FGVisitante,$BD9,Part2Empate5L,$CN9))</f>
        <v>1</v>
      </c>
      <c r="CQ9" s="758">
        <f ca="1">IF($CN9="-","-",CO9-CP9)</f>
        <v>0</v>
      </c>
      <c r="CR9" s="758">
        <f ca="1">CM9+COUNTIFS($CN$6:$CN$53,CN9,$CQ$6:CQ$53,"&gt;"&amp;CQ9,$BC$6:$BC$53,INDEX(T_Equipos[Grupo],MATCH(BD9,T_Equipos[NombreEquipo],0)))</f>
        <v>3</v>
      </c>
      <c r="CS9" s="757" t="str">
        <f ca="1">IF(COUNTIFS($CR$6:$CR$53,CR9,$BC$6:$BC$53,INDEX(T_Equipos[Grupo],MATCH(BD9,T_Equipos[NombreEquipo],0)))=1,"-","P."&amp;CR9&amp;" ("&amp;COUNTIFS($CR$6:$CR$53,CR9,$BC$6:$BC$53,INDEX(T_Equipos[Grupo],MATCH(BD9,T_Equipos[NombreEquipo],0)))&amp;")")</f>
        <v>P.3 (2)</v>
      </c>
      <c r="CT9" s="758">
        <f ca="1">IF($CS9="-","-",SUMIFS(FG_GolesLocal,FGLocal,$BD9,Part2Empate6V,$CS9)+SUMIFS(FG_GolesVisitante,FGVisitante,$BD9,Part2Empate6L,$CS9))</f>
        <v>1</v>
      </c>
      <c r="CU9" s="758">
        <f ca="1">CR9+COUNTIFS($CS$6:$CS$53,CS9,$CT$6:CT$53,"&gt;"&amp;CT9,$BC$6:$BC$53,INDEX(T_Equipos[Grupo],MATCH(BD9,T_Equipos[NombreEquipo],0)))</f>
        <v>3</v>
      </c>
      <c r="CV9" s="757" t="str">
        <f ca="1">IF(COUNTIFS($CU$6:$CU$53,CU9,$BC$6:$BC$53,INDEX(T_Equipos[Grupo],MATCH(BD9,T_Equipos[NombreEquipo],0)))=1,"-","P."&amp;CU9&amp;" ("&amp;COUNTIFS($CU$6:$CU$53,CU9,$BC$6:$BC$53,INDEX(T_Equipos[Grupo],MATCH(BD9,T_Equipos[NombreEquipo],0)))&amp;")")</f>
        <v>P.3 (2)</v>
      </c>
      <c r="CW9" s="757">
        <f t="shared" ca="1" si="30"/>
        <v>-1</v>
      </c>
      <c r="CX9" s="757">
        <f ca="1">CU9+COUNTIFS($CV$6:$CV$53,CV9,$CW$6:CW$53,"&gt;"&amp;CW9,$BC$6:$BC$53,INDEX(T_Equipos[Grupo],MATCH(BD9,T_Equipos[NombreEquipo],0)))</f>
        <v>3</v>
      </c>
      <c r="CY9" s="757" t="str">
        <f ca="1">IF(COUNTIFS($CX$6:$CX$53,CX9,$BC$6:$BC$53,INDEX(T_Equipos[Grupo],MATCH(BD9,T_Equipos[NombreEquipo],0)))=1,"-","P."&amp;CX9&amp;" ("&amp;COUNTIFS($CX$6:$CX$53,CX9,$BC$6:$BC$53,INDEX(T_Equipos[Grupo],MATCH(BD9,T_Equipos[NombreEquipo],0)))&amp;")")</f>
        <v>-</v>
      </c>
      <c r="CZ9" s="757" t="str">
        <f t="shared" ca="1" si="31"/>
        <v>-</v>
      </c>
      <c r="DA9" s="758">
        <f ca="1">CX9+COUNTIFS($CY$6:$CY$53,CY9,$CZ$6:CZ$53,"&gt;"&amp;CZ9,$BC$6:$BC$53,INDEX(T_Equipos[Grupo],MATCH(BD9,T_Equipos[NombreEquipo],0)))</f>
        <v>3</v>
      </c>
      <c r="DB9" s="757" t="str">
        <f ca="1">IF(COUNTIFS($DA$6:$DA$53,DA9,$BC$6:$BC$53,INDEX(T_Equipos[Grupo],MATCH(BD9,T_Equipos[NombreEquipo],0)))=1,"-","P."&amp;DA9&amp;" ("&amp;COUNTIFS($DA$6:$DA$53,DA9,$BC$6:$BC$53,INDEX(T_Equipos[Grupo],MATCH(BD9,T_Equipos[NombreEquipo],0)))&amp;")")</f>
        <v>-</v>
      </c>
      <c r="DC9" s="756" t="str">
        <f ca="1">IF(DB9="-","-",COUNTIFS(T_Equipos[Rank],"&lt;"&amp;INDEX(T_Equipos[Rank],MATCH(BD9,T_Equipos[NombreEquipo],0)),$BC$6:$BC$53,INDEX(T_Equipos[Grupo],MATCH(BD9,T_Equipos[NombreEquipo],0)))+1)</f>
        <v>-</v>
      </c>
      <c r="DD9" s="756">
        <f ca="1">DA9+COUNTIFS($DB$6:$DB$53,DB9,$DC$6:DC$53,"&lt;"&amp;DC9,$BC$6:$BC$53,INDEX(T_Equipos[Grupo],MATCH(BD9,T_Equipos[NombreEquipo],0)))</f>
        <v>3</v>
      </c>
      <c r="DE9" s="756"/>
      <c r="DF9" s="756">
        <f t="shared" ca="1" si="32"/>
        <v>3</v>
      </c>
      <c r="DG9" s="756" t="str">
        <f ca="1">IF(DB9="-","-",COUNTIFS(DF$6:DF$53,"&lt;"&amp;DF9,$BC$6:$BC$53,INDEX(T_Equipos[Grupo],MATCH(BD9,T_Equipos[NombreEquipo],0))))</f>
        <v>-</v>
      </c>
      <c r="DH9" s="756">
        <f ca="1">DA9+COUNTIFS(DB$6:DB$53,DB9,DG$6:DG$53,"&lt;"&amp;DG9,$BC$6:$BC$53,INDEX(T_Equipos[Grupo],MATCH(BD9,T_Equipos[NombreEquipo],0)))</f>
        <v>3</v>
      </c>
      <c r="DI9" s="744"/>
      <c r="DJ9" s="744">
        <f ca="1">INDEX($DA$6:$DA$53,MATCH($DQ9,$BD$6:$BD$53,0))</f>
        <v>4</v>
      </c>
      <c r="DK9" s="744">
        <f t="shared" ca="1" si="24"/>
        <v>8</v>
      </c>
      <c r="DL9" s="744">
        <f t="shared" ca="1" si="33"/>
        <v>1</v>
      </c>
      <c r="DM9" s="738" t="str">
        <f t="shared" ca="1" si="34"/>
        <v>4.1</v>
      </c>
      <c r="DN9" s="744" cm="1">
        <f t="array" aca="1" ref="DN9" ca="1">OFFSET(Horarios!$P$3,DJ9-1,0,DL9,1)</f>
        <v>4</v>
      </c>
      <c r="DO9" s="744"/>
      <c r="DP9" s="744" t="s">
        <v>647</v>
      </c>
      <c r="DQ9" s="744" t="str">
        <f t="shared" ca="1" si="35"/>
        <v>Sudáfrica</v>
      </c>
      <c r="DR9" s="744"/>
      <c r="DS9" s="744"/>
      <c r="DT9" s="744" t="str">
        <f t="shared" ca="1" si="15"/>
        <v>Sudáfrica-Corea del Sur</v>
      </c>
      <c r="DU9" s="744"/>
      <c r="DV9" s="744"/>
      <c r="DW9" s="8"/>
    </row>
    <row r="10" spans="1:127" ht="15" customHeight="1" thickBot="1">
      <c r="A10" s="739"/>
      <c r="B10" s="742"/>
      <c r="C10" s="739"/>
      <c r="D10" s="744"/>
      <c r="E10" s="744"/>
      <c r="F10" s="744"/>
      <c r="G10" s="744"/>
      <c r="H10" s="744"/>
      <c r="I10" s="744"/>
      <c r="J10" s="744"/>
      <c r="K10" s="744"/>
      <c r="L10" s="744"/>
      <c r="M10" s="744"/>
      <c r="N10" s="744"/>
      <c r="O10" s="744"/>
      <c r="P10" s="744"/>
      <c r="Q10" s="744"/>
      <c r="R10" s="744"/>
      <c r="S10" s="744"/>
      <c r="T10" s="744"/>
      <c r="U10" s="744"/>
      <c r="V10" s="172"/>
      <c r="W10" s="242"/>
      <c r="X10" s="243"/>
      <c r="Y10" s="242"/>
      <c r="Z10" s="244"/>
      <c r="AA10" s="245"/>
      <c r="AB10" s="482"/>
      <c r="AC10" s="247"/>
      <c r="AD10" s="247"/>
      <c r="AE10" s="482"/>
      <c r="AF10" s="248"/>
      <c r="AG10" s="413"/>
      <c r="AH10" s="196"/>
      <c r="AI10" s="19"/>
      <c r="AJ10" s="249"/>
      <c r="AK10" s="250"/>
      <c r="AL10" s="186"/>
      <c r="AM10" s="251"/>
      <c r="AN10" s="249"/>
      <c r="AO10" s="249"/>
      <c r="AP10" s="249"/>
      <c r="AQ10" s="249"/>
      <c r="AR10" s="249"/>
      <c r="AS10" s="249"/>
      <c r="AT10" s="249"/>
      <c r="AU10" s="420"/>
      <c r="AV10" s="216"/>
      <c r="AW10" s="428"/>
      <c r="AX10" s="218"/>
      <c r="AY10" s="242"/>
      <c r="AZ10" s="243"/>
      <c r="BA10" s="175"/>
      <c r="BB10" s="744"/>
      <c r="BC10" s="756" t="str">
        <f ca="1">+INDEX(T_Equipos[Grupo],MATCH(WORLDCUP!BD10,T_Equipos[NombreEquipo],0))</f>
        <v>B</v>
      </c>
      <c r="BD10" s="744" t="str">
        <f ca="1">+Equipos!B6</f>
        <v>Canadá</v>
      </c>
      <c r="BE10" s="748">
        <f t="shared" ca="1" si="25"/>
        <v>4</v>
      </c>
      <c r="BF10" s="748">
        <f t="shared" ca="1" si="26"/>
        <v>2</v>
      </c>
      <c r="BG10" s="748">
        <f t="shared" ca="1" si="17"/>
        <v>1</v>
      </c>
      <c r="BH10" s="748">
        <f t="shared" ca="1" si="18"/>
        <v>1</v>
      </c>
      <c r="BI10" s="748">
        <f t="shared" ca="1" si="19"/>
        <v>0</v>
      </c>
      <c r="BJ10" s="748">
        <f t="shared" ca="1" si="20"/>
        <v>7</v>
      </c>
      <c r="BK10" s="748">
        <f t="shared" ca="1" si="21"/>
        <v>1</v>
      </c>
      <c r="BL10" s="748">
        <f t="shared" ca="1" si="27"/>
        <v>6</v>
      </c>
      <c r="BM10" s="748" t="str">
        <f t="shared" ca="1" si="22"/>
        <v>1B</v>
      </c>
      <c r="BN10" s="748" t="str">
        <f t="shared" ca="1" si="23"/>
        <v>1B</v>
      </c>
      <c r="BO10" s="758">
        <f t="shared" ca="1" si="28"/>
        <v>0</v>
      </c>
      <c r="BP10" s="757">
        <f ca="1">COUNTIFS($BO$6:$BO$53,"&gt;"&amp;BO10,$BC$6:$BC$53,INDEX(T_Equipos[Grupo],MATCH(BD10,T_Equipos[NombreEquipo],0)))+1</f>
        <v>1</v>
      </c>
      <c r="BQ10" s="757" t="str">
        <f ca="1">IF(COUNTIFS($BP$6:$BP$53,BP10,$BC$6:$BC$53,INDEX(T_Equipos[Grupo],MATCH(BD10,T_Equipos[NombreEquipo],0)))=1,"-","P."&amp;BP10&amp;" ("&amp;COUNTIFS($BP$6:$BP$53,BP10,$BC$6:$BC$53,INDEX(T_Equipos[Grupo],MATCH(BD10,T_Equipos[NombreEquipo],0)))&amp;")")</f>
        <v>P.1 (4)</v>
      </c>
      <c r="BR10" s="758">
        <f t="shared" ca="1" si="29"/>
        <v>4</v>
      </c>
      <c r="BS10" s="757">
        <f ca="1">BP10+COUNTIFS($BQ$6:$BQ$53,BQ10,$BR$6:BR$53,"&gt;"&amp;BR10,$BC$6:$BC$53,INDEX(T_Equipos[Grupo],MATCH(BD10,T_Equipos[NombreEquipo],0)))</f>
        <v>1</v>
      </c>
      <c r="BT10" s="757" t="str">
        <f ca="1">IF(COUNTIFS($BS$6:$BS$53,BS10,$BC$6:$BC$53,INDEX(T_Equipos[Grupo],MATCH(BD10,T_Equipos[NombreEquipo],0)))=1,"-","P."&amp;BS10&amp;" ("&amp;COUNTIFS($BS$6:$BS$53,BS10,$BC$6:$BC$53,INDEX(T_Equipos[Grupo],MATCH(BD10,T_Equipos[NombreEquipo],0)))&amp;")")</f>
        <v>P.1 (2)</v>
      </c>
      <c r="BU10" s="758">
        <f t="shared" ref="BU10:BU53" ca="1" si="36">IF($BT10="-","-",COUNTIFS(FGLocal,$BD10,Ganador,"Local",Part1Empate1V,$BT10)+COUNTIFS(FGVisitante,$BD10,Ganador,"Visitante",Part1Empate1L,$BT10))</f>
        <v>0</v>
      </c>
      <c r="BV10" s="758">
        <f t="shared" ref="BV10:BV53" ca="1" si="37">IF($BT10="-","-",COUNTIFS(FGLocal,$BD10,Ganador,"Empate",Part1Empate1V,$BT10)+COUNTIFS(FGVisitante,$BD10,Ganador,"Empate",Part1Empate1L,$BT10))</f>
        <v>0</v>
      </c>
      <c r="BW10" s="758">
        <f t="shared" ref="BW10:BW53" ca="1" si="38">IF($BT10="-","-",COUNTIFS(FGLocal,$BD10,Ganador,"Visitante",Part1Empate1V,$BT10)+COUNTIFS(FGVisitante,$BD10,Ganador,"Local",Part1Empate1L,$BT10))</f>
        <v>0</v>
      </c>
      <c r="BX10" s="758">
        <f t="shared" ref="BX10:BX53" ca="1" si="39">IF($BT10="-","-",BU10*3+BV10)</f>
        <v>0</v>
      </c>
      <c r="BY10" s="758">
        <f ca="1">BS10+COUNTIFS($BT$6:$BT$53,BT10,$BX$6:BX$53,"&gt;"&amp;BX10,$BC$6:$BC$53,INDEX(T_Equipos[Grupo],MATCH(BD10,T_Equipos[NombreEquipo],0)))</f>
        <v>1</v>
      </c>
      <c r="BZ10" s="757" t="str">
        <f ca="1">IF(COUNTIFS($BY$6:$BY$53,BY10,$BC$6:$BC$53,INDEX(T_Equipos[Grupo],MATCH(BD10,T_Equipos[NombreEquipo],0)))=1,"-","P."&amp;BY10&amp;" ("&amp;COUNTIFS($BY$6:$BY$53,BY10,$BC$6:$BC$53,INDEX(T_Equipos[Grupo],MATCH(BD10,T_Equipos[NombreEquipo],0)))&amp;")")</f>
        <v>P.1 (2)</v>
      </c>
      <c r="CA10" s="758">
        <f t="shared" ref="CA10:CA53" ca="1" si="40">IF($BZ10="-","-",SUMIFS(FG_GolesLocal,FGLocal,$BD10,Part1Empate2V,$BZ10)+SUMIFS(FG_GolesVisitante,FGVisitante,$BD10,Part1Empate2L,$BZ10))</f>
        <v>0</v>
      </c>
      <c r="CB10" s="758">
        <f t="shared" ref="CB10:CB53" ca="1" si="41">IF($BZ10="-","-",SUMIFS(FG_GolesVisitante,FGLocal,$BD10,Part1Empate2V,$BZ10)+SUMIFS(FG_GolesLocal,FGVisitante,$BD10,Part1Empate2L,$BZ10))</f>
        <v>0</v>
      </c>
      <c r="CC10" s="758">
        <f t="shared" ref="CC10:CC53" ca="1" si="42">IF($BZ10="-","-",CA10-CB10)</f>
        <v>0</v>
      </c>
      <c r="CD10" s="758">
        <f ca="1">BY10+COUNTIFS($BZ$6:$BZ$53,BZ10,$CC$6:CC$53,"&gt;"&amp;CC10,$BC$6:$BC$53,INDEX(T_Equipos[Grupo],MATCH(BD10,T_Equipos[NombreEquipo],0)))</f>
        <v>1</v>
      </c>
      <c r="CE10" s="757" t="str">
        <f ca="1">IF(COUNTIFS($CD$6:$CD$53,CD10,$BC$6:$BC$53,INDEX(T_Equipos[Grupo],MATCH(BD10,T_Equipos[NombreEquipo],0)))=1,"-","P."&amp;CD10&amp;" ("&amp;COUNTIFS($CD$6:$CD$53,CD10,$BC$6:$BC$53,INDEX(T_Equipos[Grupo],MATCH(BD10,T_Equipos[NombreEquipo],0)))&amp;")")</f>
        <v>P.1 (2)</v>
      </c>
      <c r="CF10" s="758">
        <f t="shared" ref="CF10:CF53" ca="1" si="43">IF($CE10="-","-",SUMIFS(FG_GolesLocal,FGLocal,$BD10,Part1Empate3V,$CE10)+SUMIFS(FG_GolesVisitante,FGVisitante,$BD10,Part1Empate3L,$CE10))</f>
        <v>0</v>
      </c>
      <c r="CG10" s="758">
        <f ca="1">CD10+COUNTIFS($CE$6:$CE$53,CE10,$CF$6:CF$53,"&gt;"&amp;CF10,$BC$6:$BC$53,INDEX(T_Equipos[Grupo],MATCH(BD10,T_Equipos[NombreEquipo],0)))</f>
        <v>1</v>
      </c>
      <c r="CH10" s="757" t="str">
        <f ca="1">IF(COUNTIFS($CG$6:$CG$53,CG10,$BC$6:$BC$53,INDEX(T_Equipos[Grupo],MATCH(BD10,T_Equipos[NombreEquipo],0)))=1,"-","P."&amp;CG10&amp;" ("&amp;COUNTIFS($CG$6:$CG$53,CG10,$BC$6:$BC$53,INDEX(T_Equipos[Grupo],MATCH(BD10,T_Equipos[NombreEquipo],0)))&amp;")")</f>
        <v>P.1 (2)</v>
      </c>
      <c r="CI10" s="758">
        <f t="shared" ref="CI10:CI53" ca="1" si="44">IF($CH10="-","-",COUNTIFS(FGLocal,$BD10,Ganador,"Local",Part2Empate4V,$CH10)+COUNTIFS(FGVisitante,$BD10,Ganador,"Visitante",Part2Empate4L,$CH10))</f>
        <v>0</v>
      </c>
      <c r="CJ10" s="758">
        <f t="shared" ref="CJ10:CJ53" ca="1" si="45">IF($CH10="-","-",COUNTIFS(FGLocal,$BD10,Ganador,"Empate",Part2Empate4V,$CH10)+COUNTIFS(FGVisitante,$BD10,Ganador,"Empate",Part2Empate4L,$CH10))</f>
        <v>0</v>
      </c>
      <c r="CK10" s="758">
        <f t="shared" ref="CK10:CK53" ca="1" si="46">IF($CH10="-","-",COUNTIFS(FGLocal,$BD10,Ganador,"Visitante",Part2Empate4V,$CH10)+COUNTIFS(FGVisitante,$BD10,Ganador,"Local",Part2Empate4L,$CH10))</f>
        <v>0</v>
      </c>
      <c r="CL10" s="758">
        <f t="shared" ref="CL10:CL53" ca="1" si="47">IF($CH10="-","-",CI10*3+CJ10)</f>
        <v>0</v>
      </c>
      <c r="CM10" s="758">
        <f ca="1">CG10+COUNTIFS($CH$6:$CH$53,CH10,$CL$6:CL$53,"&gt;"&amp;CL10,$BC$6:$BC$53,INDEX(T_Equipos[Grupo],MATCH(BD10,T_Equipos[NombreEquipo],0)))</f>
        <v>1</v>
      </c>
      <c r="CN10" s="757" t="str">
        <f ca="1">IF(COUNTIFS($CM$6:$CM$53,CM10,$BC$6:$BC$53,INDEX(T_Equipos[Grupo],MATCH(BD10,T_Equipos[NombreEquipo],0)))=1,"-","P."&amp;CM10&amp;" ("&amp;COUNTIFS($CM$6:$CM$53,CM10,$BC$6:$BC$53,INDEX(T_Equipos[Grupo],MATCH(BD10,T_Equipos[NombreEquipo],0)))&amp;")")</f>
        <v>P.1 (2)</v>
      </c>
      <c r="CO10" s="758">
        <f t="shared" ref="CO10:CO53" ca="1" si="48">IF($CN10="-","-",SUMIFS(FG_GolesLocal,FGLocal,$BD10,Part2Empate5V,$CN10)+SUMIFS(FG_GolesVisitante,FGVisitante,$BD10,Part2Empate5L,$CN10))</f>
        <v>0</v>
      </c>
      <c r="CP10" s="758">
        <f t="shared" ref="CP10:CP53" ca="1" si="49">IF($CN10="-","-",SUMIFS(FG_GolesVisitante,FGLocal,$BD10,Part2Empate5V,$CN10)+SUMIFS(FG_GolesLocal,FGVisitante,$BD10,Part2Empate5L,$CN10))</f>
        <v>0</v>
      </c>
      <c r="CQ10" s="758">
        <f t="shared" ref="CQ10:CQ53" ca="1" si="50">IF($CN10="-","-",CO10-CP10)</f>
        <v>0</v>
      </c>
      <c r="CR10" s="758">
        <f ca="1">CM10+COUNTIFS($CN$6:$CN$53,CN10,$CQ$6:CQ$53,"&gt;"&amp;CQ10,$BC$6:$BC$53,INDEX(T_Equipos[Grupo],MATCH(BD10,T_Equipos[NombreEquipo],0)))</f>
        <v>1</v>
      </c>
      <c r="CS10" s="757" t="str">
        <f ca="1">IF(COUNTIFS($CR$6:$CR$53,CR10,$BC$6:$BC$53,INDEX(T_Equipos[Grupo],MATCH(BD10,T_Equipos[NombreEquipo],0)))=1,"-","P."&amp;CR10&amp;" ("&amp;COUNTIFS($CR$6:$CR$53,CR10,$BC$6:$BC$53,INDEX(T_Equipos[Grupo],MATCH(BD10,T_Equipos[NombreEquipo],0)))&amp;")")</f>
        <v>P.1 (2)</v>
      </c>
      <c r="CT10" s="758">
        <f t="shared" ref="CT10:CT53" ca="1" si="51">IF($CS10="-","-",SUMIFS(FG_GolesLocal,FGLocal,$BD10,Part2Empate6V,$CS10)+SUMIFS(FG_GolesVisitante,FGVisitante,$BD10,Part2Empate6L,$CS10))</f>
        <v>0</v>
      </c>
      <c r="CU10" s="758">
        <f ca="1">CR10+COUNTIFS($CS$6:$CS$53,CS10,$CT$6:CT$53,"&gt;"&amp;CT10,$BC$6:$BC$53,INDEX(T_Equipos[Grupo],MATCH(BD10,T_Equipos[NombreEquipo],0)))</f>
        <v>1</v>
      </c>
      <c r="CV10" s="757" t="str">
        <f ca="1">IF(COUNTIFS($CU$6:$CU$53,CU10,$BC$6:$BC$53,INDEX(T_Equipos[Grupo],MATCH(BD10,T_Equipos[NombreEquipo],0)))=1,"-","P."&amp;CU10&amp;" ("&amp;COUNTIFS($CU$6:$CU$53,CU10,$BC$6:$BC$53,INDEX(T_Equipos[Grupo],MATCH(BD10,T_Equipos[NombreEquipo],0)))&amp;")")</f>
        <v>P.1 (2)</v>
      </c>
      <c r="CW10" s="757">
        <f t="shared" ca="1" si="30"/>
        <v>6</v>
      </c>
      <c r="CX10" s="757">
        <f ca="1">CU10+COUNTIFS($CV$6:$CV$53,CV10,$CW$6:CW$53,"&gt;"&amp;CW10,$BC$6:$BC$53,INDEX(T_Equipos[Grupo],MATCH(BD10,T_Equipos[NombreEquipo],0)))</f>
        <v>1</v>
      </c>
      <c r="CY10" s="757" t="str">
        <f ca="1">IF(COUNTIFS($CX$6:$CX$53,CX10,$BC$6:$BC$53,INDEX(T_Equipos[Grupo],MATCH(BD10,T_Equipos[NombreEquipo],0)))=1,"-","P."&amp;CX10&amp;" ("&amp;COUNTIFS($CX$6:$CX$53,CX10,$BC$6:$BC$53,INDEX(T_Equipos[Grupo],MATCH(BD10,T_Equipos[NombreEquipo],0)))&amp;")")</f>
        <v>-</v>
      </c>
      <c r="CZ10" s="757" t="str">
        <f t="shared" ca="1" si="31"/>
        <v>-</v>
      </c>
      <c r="DA10" s="758">
        <f ca="1">CX10+COUNTIFS($CY$6:$CY$53,CY10,$CZ$6:CZ$53,"&gt;"&amp;CZ10,$BC$6:$BC$53,INDEX(T_Equipos[Grupo],MATCH(BD10,T_Equipos[NombreEquipo],0)))</f>
        <v>1</v>
      </c>
      <c r="DB10" s="757" t="str">
        <f ca="1">IF(COUNTIFS($DA$6:$DA$53,DA10,$BC$6:$BC$53,INDEX(T_Equipos[Grupo],MATCH(BD10,T_Equipos[NombreEquipo],0)))=1,"-","P."&amp;DA10&amp;" ("&amp;COUNTIFS($DA$6:$DA$53,DA10,$BC$6:$BC$53,INDEX(T_Equipos[Grupo],MATCH(BD10,T_Equipos[NombreEquipo],0)))&amp;")")</f>
        <v>-</v>
      </c>
      <c r="DC10" s="756" t="str">
        <f ca="1">IF(DB10="-","-",COUNTIFS(T_Equipos[Rank],"&lt;"&amp;INDEX(T_Equipos[Rank],MATCH(BD10,T_Equipos[NombreEquipo],0)),$BC$6:$BC$53,INDEX(T_Equipos[Grupo],MATCH(BD10,T_Equipos[NombreEquipo],0)))+1)</f>
        <v>-</v>
      </c>
      <c r="DD10" s="756">
        <f ca="1">DA10+COUNTIFS($DB$6:$DB$53,DB10,$DC$6:DC$53,"&lt;"&amp;DC10,$BC$6:$BC$53,INDEX(T_Equipos[Grupo],MATCH(BD10,T_Equipos[NombreEquipo],0)))</f>
        <v>1</v>
      </c>
      <c r="DE10" s="756"/>
      <c r="DF10" s="756">
        <f t="shared" ref="DF10:DF53" ca="1" si="52">IF(OR(INDEX($AW$6:$AW$97,MATCH($BD10,$AV$6:$AV$97,0))="",DB10="-"),DD10,INDEX($AW$6:$AW$97,MATCH($BD10,$AV$6:$AV$97,0))+DD10/1000)</f>
        <v>1</v>
      </c>
      <c r="DG10" s="756" t="str">
        <f ca="1">IF(DB10="-","-",COUNTIFS(DF$6:DF$53,"&lt;"&amp;DF10,$BC$6:$BC$53,INDEX(T_Equipos[Grupo],MATCH(BD10,T_Equipos[NombreEquipo],0))))</f>
        <v>-</v>
      </c>
      <c r="DH10" s="756">
        <f ca="1">DA10+COUNTIFS(DB$6:DB$53,DB10,DG$6:DG$53,"&lt;"&amp;DG10,$BC$6:$BC$53,INDEX(T_Equipos[Grupo],MATCH(BD10,T_Equipos[NombreEquipo],0)))</f>
        <v>1</v>
      </c>
      <c r="DI10" s="744"/>
      <c r="DJ10" s="744">
        <f t="shared" ref="DJ10:DJ53" ca="1" si="53">INDEX($DA$6:$DA$53,MATCH($DQ10,$BD$6:$BD$53,0))</f>
        <v>1</v>
      </c>
      <c r="DK10" s="744">
        <f t="shared" ca="1" si="24"/>
        <v>8</v>
      </c>
      <c r="DL10" s="744">
        <f t="shared" ca="1" si="33"/>
        <v>1</v>
      </c>
      <c r="DM10" s="738" t="str">
        <f t="shared" ca="1" si="34"/>
        <v>1.1</v>
      </c>
      <c r="DN10" s="744" cm="1">
        <f t="array" aca="1" ref="DN10" ca="1">OFFSET(Horarios!$P$3,DJ10-1,0,DL10,1)</f>
        <v>1</v>
      </c>
      <c r="DO10" s="744"/>
      <c r="DP10" s="744" t="s">
        <v>648</v>
      </c>
      <c r="DQ10" s="744" t="str">
        <f t="shared" ca="1" si="35"/>
        <v>Canadá</v>
      </c>
      <c r="DR10" s="744"/>
      <c r="DS10" s="744"/>
      <c r="DT10" s="744" t="str">
        <f t="shared" si="15"/>
        <v>-</v>
      </c>
      <c r="DU10" s="744"/>
      <c r="DV10" s="744"/>
      <c r="DW10" s="8"/>
    </row>
    <row r="11" spans="1:127" ht="16.05" customHeight="1" thickBot="1">
      <c r="A11" s="739"/>
      <c r="B11" s="742"/>
      <c r="C11" s="739"/>
      <c r="D11" s="739"/>
      <c r="E11" s="739"/>
      <c r="F11" s="739"/>
      <c r="G11" s="739"/>
      <c r="H11" s="739"/>
      <c r="I11" s="739"/>
      <c r="J11" s="739"/>
      <c r="K11" s="739"/>
      <c r="L11" s="739"/>
      <c r="M11" s="739"/>
      <c r="N11" s="744"/>
      <c r="O11" s="744"/>
      <c r="P11" s="744"/>
      <c r="Q11" s="744"/>
      <c r="R11" s="744"/>
      <c r="S11" s="744"/>
      <c r="T11" s="744"/>
      <c r="U11" s="744"/>
      <c r="V11" s="172"/>
      <c r="W11" s="179"/>
      <c r="X11" s="180" t="str">
        <f>X3</f>
        <v>Fecha</v>
      </c>
      <c r="Y11" s="180" t="str">
        <f>Y3</f>
        <v>Hora</v>
      </c>
      <c r="Z11" s="181" t="str">
        <f>Z3</f>
        <v>Jor.</v>
      </c>
      <c r="AA11" s="182" t="str">
        <f>AA3</f>
        <v>Casa</v>
      </c>
      <c r="AB11" s="181"/>
      <c r="AC11" s="181" t="str">
        <f>AC3</f>
        <v>Gol</v>
      </c>
      <c r="AD11" s="181" t="str">
        <f>AD3</f>
        <v>Gol</v>
      </c>
      <c r="AE11" s="181"/>
      <c r="AF11" s="184" t="str">
        <f>AF3</f>
        <v>Fuera</v>
      </c>
      <c r="AG11" s="414"/>
      <c r="AH11" s="196"/>
      <c r="AI11" s="18"/>
      <c r="AJ11" s="186"/>
      <c r="AK11" s="252"/>
      <c r="AL11" s="186"/>
      <c r="AM11" s="186"/>
      <c r="AN11" s="186"/>
      <c r="AO11" s="186"/>
      <c r="AP11" s="186"/>
      <c r="AQ11" s="186"/>
      <c r="AR11" s="186"/>
      <c r="AS11" s="186"/>
      <c r="AT11" s="186"/>
      <c r="AU11" s="421"/>
      <c r="AV11" s="22"/>
      <c r="AW11" s="429"/>
      <c r="AX11" s="253"/>
      <c r="AY11" s="242"/>
      <c r="AZ11" s="243"/>
      <c r="BA11" s="175"/>
      <c r="BB11" s="744"/>
      <c r="BC11" s="756" t="str">
        <f ca="1">+INDEX(T_Equipos[Grupo],MATCH(WORLDCUP!BD11,T_Equipos[NombreEquipo],0))</f>
        <v>B</v>
      </c>
      <c r="BD11" s="744" t="str">
        <f ca="1">+Equipos!B7</f>
        <v>Bosnia y Herzegovina</v>
      </c>
      <c r="BE11" s="748">
        <f t="shared" ca="1" si="25"/>
        <v>1</v>
      </c>
      <c r="BF11" s="748">
        <f t="shared" ca="1" si="26"/>
        <v>2</v>
      </c>
      <c r="BG11" s="748">
        <f t="shared" ca="1" si="17"/>
        <v>0</v>
      </c>
      <c r="BH11" s="748">
        <f t="shared" ca="1" si="18"/>
        <v>1</v>
      </c>
      <c r="BI11" s="748">
        <f t="shared" ca="1" si="19"/>
        <v>1</v>
      </c>
      <c r="BJ11" s="748">
        <f t="shared" ca="1" si="20"/>
        <v>2</v>
      </c>
      <c r="BK11" s="748">
        <f t="shared" ca="1" si="21"/>
        <v>5</v>
      </c>
      <c r="BL11" s="748">
        <f t="shared" ca="1" si="27"/>
        <v>-3</v>
      </c>
      <c r="BM11" s="748" t="str">
        <f t="shared" ca="1" si="22"/>
        <v>3B</v>
      </c>
      <c r="BN11" s="748" t="str">
        <f t="shared" ca="1" si="23"/>
        <v>3B</v>
      </c>
      <c r="BO11" s="758">
        <f t="shared" ca="1" si="28"/>
        <v>0</v>
      </c>
      <c r="BP11" s="757">
        <f ca="1">COUNTIFS($BO$6:$BO$53,"&gt;"&amp;BO11,$BC$6:$BC$53,INDEX(T_Equipos[Grupo],MATCH(BD11,T_Equipos[NombreEquipo],0)))+1</f>
        <v>1</v>
      </c>
      <c r="BQ11" s="757" t="str">
        <f ca="1">IF(COUNTIFS($BP$6:$BP$53,BP11,$BC$6:$BC$53,INDEX(T_Equipos[Grupo],MATCH(BD11,T_Equipos[NombreEquipo],0)))=1,"-","P."&amp;BP11&amp;" ("&amp;COUNTIFS($BP$6:$BP$53,BP11,$BC$6:$BC$53,INDEX(T_Equipos[Grupo],MATCH(BD11,T_Equipos[NombreEquipo],0)))&amp;")")</f>
        <v>P.1 (4)</v>
      </c>
      <c r="BR11" s="758">
        <f t="shared" ca="1" si="29"/>
        <v>1</v>
      </c>
      <c r="BS11" s="757">
        <f ca="1">BP11+COUNTIFS($BQ$6:$BQ$53,BQ11,$BR$6:BR$53,"&gt;"&amp;BR11,$BC$6:$BC$53,INDEX(T_Equipos[Grupo],MATCH(BD11,T_Equipos[NombreEquipo],0)))</f>
        <v>3</v>
      </c>
      <c r="BT11" s="757" t="str">
        <f ca="1">IF(COUNTIFS($BS$6:$BS$53,BS11,$BC$6:$BC$53,INDEX(T_Equipos[Grupo],MATCH(BD11,T_Equipos[NombreEquipo],0)))=1,"-","P."&amp;BS11&amp;" ("&amp;COUNTIFS($BS$6:$BS$53,BS11,$BC$6:$BC$53,INDEX(T_Equipos[Grupo],MATCH(BD11,T_Equipos[NombreEquipo],0)))&amp;")")</f>
        <v>P.3 (2)</v>
      </c>
      <c r="BU11" s="758">
        <f t="shared" ca="1" si="36"/>
        <v>0</v>
      </c>
      <c r="BV11" s="758">
        <f t="shared" ca="1" si="37"/>
        <v>0</v>
      </c>
      <c r="BW11" s="758">
        <f t="shared" ca="1" si="38"/>
        <v>0</v>
      </c>
      <c r="BX11" s="758">
        <f t="shared" ca="1" si="39"/>
        <v>0</v>
      </c>
      <c r="BY11" s="758">
        <f ca="1">BS11+COUNTIFS($BT$6:$BT$53,BT11,$BX$6:BX$53,"&gt;"&amp;BX11,$BC$6:$BC$53,INDEX(T_Equipos[Grupo],MATCH(BD11,T_Equipos[NombreEquipo],0)))</f>
        <v>3</v>
      </c>
      <c r="BZ11" s="757" t="str">
        <f ca="1">IF(COUNTIFS($BY$6:$BY$53,BY11,$BC$6:$BC$53,INDEX(T_Equipos[Grupo],MATCH(BD11,T_Equipos[NombreEquipo],0)))=1,"-","P."&amp;BY11&amp;" ("&amp;COUNTIFS($BY$6:$BY$53,BY11,$BC$6:$BC$53,INDEX(T_Equipos[Grupo],MATCH(BD11,T_Equipos[NombreEquipo],0)))&amp;")")</f>
        <v>P.3 (2)</v>
      </c>
      <c r="CA11" s="758">
        <f t="shared" ca="1" si="40"/>
        <v>0</v>
      </c>
      <c r="CB11" s="758">
        <f t="shared" ca="1" si="41"/>
        <v>0</v>
      </c>
      <c r="CC11" s="758">
        <f t="shared" ca="1" si="42"/>
        <v>0</v>
      </c>
      <c r="CD11" s="758">
        <f ca="1">BY11+COUNTIFS($BZ$6:$BZ$53,BZ11,$CC$6:CC$53,"&gt;"&amp;CC11,$BC$6:$BC$53,INDEX(T_Equipos[Grupo],MATCH(BD11,T_Equipos[NombreEquipo],0)))</f>
        <v>3</v>
      </c>
      <c r="CE11" s="757" t="str">
        <f ca="1">IF(COUNTIFS($CD$6:$CD$53,CD11,$BC$6:$BC$53,INDEX(T_Equipos[Grupo],MATCH(BD11,T_Equipos[NombreEquipo],0)))=1,"-","P."&amp;CD11&amp;" ("&amp;COUNTIFS($CD$6:$CD$53,CD11,$BC$6:$BC$53,INDEX(T_Equipos[Grupo],MATCH(BD11,T_Equipos[NombreEquipo],0)))&amp;")")</f>
        <v>P.3 (2)</v>
      </c>
      <c r="CF11" s="758">
        <f t="shared" ca="1" si="43"/>
        <v>0</v>
      </c>
      <c r="CG11" s="758">
        <f ca="1">CD11+COUNTIFS($CE$6:$CE$53,CE11,$CF$6:CF$53,"&gt;"&amp;CF11,$BC$6:$BC$53,INDEX(T_Equipos[Grupo],MATCH(BD11,T_Equipos[NombreEquipo],0)))</f>
        <v>3</v>
      </c>
      <c r="CH11" s="757" t="str">
        <f ca="1">IF(COUNTIFS($CG$6:$CG$53,CG11,$BC$6:$BC$53,INDEX(T_Equipos[Grupo],MATCH(BD11,T_Equipos[NombreEquipo],0)))=1,"-","P."&amp;CG11&amp;" ("&amp;COUNTIFS($CG$6:$CG$53,CG11,$BC$6:$BC$53,INDEX(T_Equipos[Grupo],MATCH(BD11,T_Equipos[NombreEquipo],0)))&amp;")")</f>
        <v>P.3 (2)</v>
      </c>
      <c r="CI11" s="758">
        <f t="shared" ca="1" si="44"/>
        <v>0</v>
      </c>
      <c r="CJ11" s="758">
        <f t="shared" ca="1" si="45"/>
        <v>0</v>
      </c>
      <c r="CK11" s="758">
        <f t="shared" ca="1" si="46"/>
        <v>0</v>
      </c>
      <c r="CL11" s="758">
        <f t="shared" ca="1" si="47"/>
        <v>0</v>
      </c>
      <c r="CM11" s="758">
        <f ca="1">CG11+COUNTIFS($CH$6:$CH$53,CH11,$CL$6:CL$53,"&gt;"&amp;CL11,$BC$6:$BC$53,INDEX(T_Equipos[Grupo],MATCH(BD11,T_Equipos[NombreEquipo],0)))</f>
        <v>3</v>
      </c>
      <c r="CN11" s="757" t="str">
        <f ca="1">IF(COUNTIFS($CM$6:$CM$53,CM11,$BC$6:$BC$53,INDEX(T_Equipos[Grupo],MATCH(BD11,T_Equipos[NombreEquipo],0)))=1,"-","P."&amp;CM11&amp;" ("&amp;COUNTIFS($CM$6:$CM$53,CM11,$BC$6:$BC$53,INDEX(T_Equipos[Grupo],MATCH(BD11,T_Equipos[NombreEquipo],0)))&amp;")")</f>
        <v>P.3 (2)</v>
      </c>
      <c r="CO11" s="758">
        <f t="shared" ca="1" si="48"/>
        <v>0</v>
      </c>
      <c r="CP11" s="758">
        <f t="shared" ca="1" si="49"/>
        <v>0</v>
      </c>
      <c r="CQ11" s="758">
        <f t="shared" ca="1" si="50"/>
        <v>0</v>
      </c>
      <c r="CR11" s="758">
        <f ca="1">CM11+COUNTIFS($CN$6:$CN$53,CN11,$CQ$6:CQ$53,"&gt;"&amp;CQ11,$BC$6:$BC$53,INDEX(T_Equipos[Grupo],MATCH(BD11,T_Equipos[NombreEquipo],0)))</f>
        <v>3</v>
      </c>
      <c r="CS11" s="757" t="str">
        <f ca="1">IF(COUNTIFS($CR$6:$CR$53,CR11,$BC$6:$BC$53,INDEX(T_Equipos[Grupo],MATCH(BD11,T_Equipos[NombreEquipo],0)))=1,"-","P."&amp;CR11&amp;" ("&amp;COUNTIFS($CR$6:$CR$53,CR11,$BC$6:$BC$53,INDEX(T_Equipos[Grupo],MATCH(BD11,T_Equipos[NombreEquipo],0)))&amp;")")</f>
        <v>P.3 (2)</v>
      </c>
      <c r="CT11" s="758">
        <f t="shared" ca="1" si="51"/>
        <v>0</v>
      </c>
      <c r="CU11" s="758">
        <f ca="1">CR11+COUNTIFS($CS$6:$CS$53,CS11,$CT$6:CT$53,"&gt;"&amp;CT11,$BC$6:$BC$53,INDEX(T_Equipos[Grupo],MATCH(BD11,T_Equipos[NombreEquipo],0)))</f>
        <v>3</v>
      </c>
      <c r="CV11" s="757" t="str">
        <f ca="1">IF(COUNTIFS($CU$6:$CU$53,CU11,$BC$6:$BC$53,INDEX(T_Equipos[Grupo],MATCH(BD11,T_Equipos[NombreEquipo],0)))=1,"-","P."&amp;CU11&amp;" ("&amp;COUNTIFS($CU$6:$CU$53,CU11,$BC$6:$BC$53,INDEX(T_Equipos[Grupo],MATCH(BD11,T_Equipos[NombreEquipo],0)))&amp;")")</f>
        <v>P.3 (2)</v>
      </c>
      <c r="CW11" s="757">
        <f t="shared" ca="1" si="30"/>
        <v>-3</v>
      </c>
      <c r="CX11" s="757">
        <f ca="1">CU11+COUNTIFS($CV$6:$CV$53,CV11,$CW$6:CW$53,"&gt;"&amp;CW11,$BC$6:$BC$53,INDEX(T_Equipos[Grupo],MATCH(BD11,T_Equipos[NombreEquipo],0)))</f>
        <v>3</v>
      </c>
      <c r="CY11" s="757" t="str">
        <f ca="1">IF(COUNTIFS($CX$6:$CX$53,CX11,$BC$6:$BC$53,INDEX(T_Equipos[Grupo],MATCH(BD11,T_Equipos[NombreEquipo],0)))=1,"-","P."&amp;CX11&amp;" ("&amp;COUNTIFS($CX$6:$CX$53,CX11,$BC$6:$BC$53,INDEX(T_Equipos[Grupo],MATCH(BD11,T_Equipos[NombreEquipo],0)))&amp;")")</f>
        <v>-</v>
      </c>
      <c r="CZ11" s="757" t="str">
        <f t="shared" ca="1" si="31"/>
        <v>-</v>
      </c>
      <c r="DA11" s="758">
        <f ca="1">CX11+COUNTIFS($CY$6:$CY$53,CY11,$CZ$6:CZ$53,"&gt;"&amp;CZ11,$BC$6:$BC$53,INDEX(T_Equipos[Grupo],MATCH(BD11,T_Equipos[NombreEquipo],0)))</f>
        <v>3</v>
      </c>
      <c r="DB11" s="757" t="str">
        <f ca="1">IF(COUNTIFS($DA$6:$DA$53,DA11,$BC$6:$BC$53,INDEX(T_Equipos[Grupo],MATCH(BD11,T_Equipos[NombreEquipo],0)))=1,"-","P."&amp;DA11&amp;" ("&amp;COUNTIFS($DA$6:$DA$53,DA11,$BC$6:$BC$53,INDEX(T_Equipos[Grupo],MATCH(BD11,T_Equipos[NombreEquipo],0)))&amp;")")</f>
        <v>-</v>
      </c>
      <c r="DC11" s="756" t="str">
        <f ca="1">IF(DB11="-","-",COUNTIFS(T_Equipos[Rank],"&lt;"&amp;INDEX(T_Equipos[Rank],MATCH(BD11,T_Equipos[NombreEquipo],0)),$BC$6:$BC$53,INDEX(T_Equipos[Grupo],MATCH(BD11,T_Equipos[NombreEquipo],0)))+1)</f>
        <v>-</v>
      </c>
      <c r="DD11" s="756">
        <f ca="1">DA11+COUNTIFS($DB$6:$DB$53,DB11,$DC$6:DC$53,"&lt;"&amp;DC11,$BC$6:$BC$53,INDEX(T_Equipos[Grupo],MATCH(BD11,T_Equipos[NombreEquipo],0)))</f>
        <v>3</v>
      </c>
      <c r="DE11" s="756"/>
      <c r="DF11" s="756">
        <f t="shared" ca="1" si="52"/>
        <v>3</v>
      </c>
      <c r="DG11" s="756" t="str">
        <f ca="1">IF(DB11="-","-",COUNTIFS(DF$6:DF$53,"&lt;"&amp;DF11,$BC$6:$BC$53,INDEX(T_Equipos[Grupo],MATCH(BD11,T_Equipos[NombreEquipo],0))))</f>
        <v>-</v>
      </c>
      <c r="DH11" s="756">
        <f ca="1">DA11+COUNTIFS(DB$6:DB$53,DB11,DG$6:DG$53,"&lt;"&amp;DG11,$BC$6:$BC$53,INDEX(T_Equipos[Grupo],MATCH(BD11,T_Equipos[NombreEquipo],0)))</f>
        <v>3</v>
      </c>
      <c r="DI11" s="744"/>
      <c r="DJ11" s="744">
        <f t="shared" ca="1" si="53"/>
        <v>2</v>
      </c>
      <c r="DK11" s="744">
        <f t="shared" ca="1" si="24"/>
        <v>8</v>
      </c>
      <c r="DL11" s="744">
        <f t="shared" ca="1" si="33"/>
        <v>1</v>
      </c>
      <c r="DM11" s="738" t="str">
        <f t="shared" ca="1" si="34"/>
        <v>2.1</v>
      </c>
      <c r="DN11" s="744" cm="1">
        <f t="array" aca="1" ref="DN11" ca="1">OFFSET(Horarios!$P$3,DJ11-1,0,DL11,1)</f>
        <v>2</v>
      </c>
      <c r="DO11" s="744"/>
      <c r="DP11" s="744" t="s">
        <v>649</v>
      </c>
      <c r="DQ11" s="744" t="str">
        <f t="shared" ca="1" si="35"/>
        <v>Suiza</v>
      </c>
      <c r="DR11" s="744"/>
      <c r="DS11" s="744"/>
      <c r="DT11" s="744" t="str">
        <f t="shared" si="15"/>
        <v>Casa-Fuera</v>
      </c>
      <c r="DU11" s="744"/>
      <c r="DV11" s="744"/>
      <c r="DW11" s="8"/>
    </row>
    <row r="12" spans="1:127" ht="15" customHeight="1" thickBot="1">
      <c r="A12" s="741" t="s">
        <v>30</v>
      </c>
      <c r="B12" s="742" t="s">
        <v>1</v>
      </c>
      <c r="C12" s="743">
        <f>COUNTIF(Equipos!$C$2:$C$49,WORLDCUP!B12)</f>
        <v>4</v>
      </c>
      <c r="D12" s="744" t="str">
        <f t="shared" ref="D12:D17" si="54">IF(OR(AC12="",AD12=""),"Pendiente",IF(AC12&gt;AD12,"Local",IF(AC12&lt;AD12,"Visitante","Empate")))</f>
        <v>Empate</v>
      </c>
      <c r="E12" s="744" t="str">
        <f t="shared" ref="E12:E17" ca="1" si="55">IF(D12="Pendiente","-",INDEX($BT$6:$BT$53,MATCH($AA12,$BD$6:$BD$53,0)))</f>
        <v>P.1 (2)</v>
      </c>
      <c r="F12" s="744" t="str">
        <f t="shared" ref="F12:F17" ca="1" si="56">IF(D12="Pendiente","-",INDEX($BT$6:$BT$53,MATCH($AF12,$BD$6:$BD$53,0)))</f>
        <v>P.3 (2)</v>
      </c>
      <c r="G12" s="744"/>
      <c r="H12" s="744" t="str">
        <f t="shared" ref="H12:H17" ca="1" si="57">IF(D12="Pendiente","-",INDEX($BZ$6:$BZ$53,MATCH($AA12,$BD$6:$BD$53,0)))</f>
        <v>P.1 (2)</v>
      </c>
      <c r="I12" s="744" t="str">
        <f t="shared" ref="I12:I17" ca="1" si="58">IF(D12="Pendiente","-",INDEX($BZ$6:$BZ$53,MATCH($AF12,$BD$6:$BD$53,0)))</f>
        <v>P.3 (2)</v>
      </c>
      <c r="J12" s="744"/>
      <c r="K12" s="744" t="str">
        <f t="shared" ref="K12:K17" ca="1" si="59">IF(D12="Pendiente","-",INDEX($CE$6:$CE$53,MATCH($AA12,$BD$6:$BD$53,0)))</f>
        <v>P.1 (2)</v>
      </c>
      <c r="L12" s="744" t="str">
        <f t="shared" ref="L12:L17" ca="1" si="60">IF(D12="Pendiente","-",INDEX($CE$6:$CE$53,MATCH($AF12,$BD$6:$BD$53,0)))</f>
        <v>P.3 (2)</v>
      </c>
      <c r="M12" s="744"/>
      <c r="N12" s="744" t="str">
        <f t="shared" ref="N12:N17" ca="1" si="61">IF(D12="Pendiente","-",INDEX($CH$6:$CH$53,MATCH($AA12,$BD$6:$BD$53,0)))</f>
        <v>P.1 (2)</v>
      </c>
      <c r="O12" s="744" t="str">
        <f t="shared" ref="O12:O17" ca="1" si="62">IF(D12="Pendiente","-",INDEX($CH$6:$CH$53,MATCH($AF12,$BD$6:$BD$53,0)))</f>
        <v>P.3 (2)</v>
      </c>
      <c r="P12" s="744"/>
      <c r="Q12" s="744" t="str">
        <f t="shared" ref="Q12:Q17" ca="1" si="63">IF(D12="Pendiente","-",INDEX($CN$6:$CN$53,MATCH($AA12,$BD$6:$BD$53,0)))</f>
        <v>P.1 (2)</v>
      </c>
      <c r="R12" s="744" t="str">
        <f t="shared" ref="R12:R17" ca="1" si="64">IF(D12="Pendiente","-",INDEX($CN$6:$CN$53,MATCH($AF12,$BD$6:$BD$53,0)))</f>
        <v>P.3 (2)</v>
      </c>
      <c r="S12" s="744"/>
      <c r="T12" s="744" t="str">
        <f t="shared" ref="T12:T17" ca="1" si="65">IF(D12="Pendiente","-",INDEX($CS$6:$CS$53,MATCH($AA12,$BD$6:$BD$53,0)))</f>
        <v>P.1 (2)</v>
      </c>
      <c r="U12" s="744" t="str">
        <f t="shared" ref="U12:U17" ca="1" si="66">IF(D12="Pendiente","-",INDEX($CS$6:$CS$53,MATCH($AF12,$BD$6:$BD$53,0)))</f>
        <v>P.3 (2)</v>
      </c>
      <c r="V12" s="172"/>
      <c r="W12" s="800" t="s">
        <v>1</v>
      </c>
      <c r="X12" s="189">
        <f ca="1">Horarios!C12</f>
        <v>46185.875</v>
      </c>
      <c r="Y12" s="190">
        <f ca="1">Horarios!C12</f>
        <v>46185.875</v>
      </c>
      <c r="Z12" s="191" t="str">
        <f>$Z$4</f>
        <v>J1</v>
      </c>
      <c r="AA12" s="192" t="str">
        <f ca="1">A13</f>
        <v>Canadá</v>
      </c>
      <c r="AB12" s="478" t="e" cm="1" vm="5">
        <f t="array" aca="1" ref="AB12" ca="1">Ver_flag_local</f>
        <v>#VALUE!</v>
      </c>
      <c r="AC12" s="193">
        <v>1</v>
      </c>
      <c r="AD12" s="194">
        <v>1</v>
      </c>
      <c r="AE12" s="483" t="e" cm="1" vm="6">
        <f t="array" aca="1" ref="AE12" ca="1">Ver_flag_visit</f>
        <v>#VALUE!</v>
      </c>
      <c r="AF12" s="195" t="str">
        <f ca="1">A14</f>
        <v>Bosnia y Herzegovina</v>
      </c>
      <c r="AG12" s="413">
        <f t="shared" ref="AG12:AG17" si="67">IF(NOT(OR(ISBLANK(AC12),ISBLANK(AD12))),1,0)</f>
        <v>1</v>
      </c>
      <c r="AH12" s="196">
        <v>3</v>
      </c>
      <c r="AI12" s="19"/>
      <c r="AJ12" s="197" t="str">
        <f>CONCATENATE(AJ3," ",B12)</f>
        <v>Grupo B</v>
      </c>
      <c r="AK12" s="198"/>
      <c r="AL12" s="198"/>
      <c r="AM12" s="198"/>
      <c r="AN12" s="198"/>
      <c r="AO12" s="198"/>
      <c r="AP12" s="198"/>
      <c r="AQ12" s="198"/>
      <c r="AR12" s="198"/>
      <c r="AS12" s="198"/>
      <c r="AT12" s="199"/>
      <c r="AU12" s="421"/>
      <c r="AV12" s="200" t="str">
        <f t="shared" ref="AV12" ca="1" si="68">IF(AU13&gt;0,$AV$3,"")</f>
        <v/>
      </c>
      <c r="AW12" s="430"/>
      <c r="AX12" s="254"/>
      <c r="AY12" s="242"/>
      <c r="AZ12" s="243"/>
      <c r="BA12" s="175"/>
      <c r="BB12" s="744"/>
      <c r="BC12" s="756" t="str">
        <f ca="1">+INDEX(T_Equipos[Grupo],MATCH(WORLDCUP!BD12,T_Equipos[NombreEquipo],0))</f>
        <v>B</v>
      </c>
      <c r="BD12" s="744" t="str">
        <f ca="1">+Equipos!B8</f>
        <v>Catar</v>
      </c>
      <c r="BE12" s="748">
        <f t="shared" ca="1" si="25"/>
        <v>1</v>
      </c>
      <c r="BF12" s="748">
        <f t="shared" ca="1" si="26"/>
        <v>2</v>
      </c>
      <c r="BG12" s="748">
        <f t="shared" ca="1" si="17"/>
        <v>0</v>
      </c>
      <c r="BH12" s="748">
        <f t="shared" ca="1" si="18"/>
        <v>1</v>
      </c>
      <c r="BI12" s="748">
        <f t="shared" ca="1" si="19"/>
        <v>1</v>
      </c>
      <c r="BJ12" s="748">
        <f t="shared" ca="1" si="20"/>
        <v>1</v>
      </c>
      <c r="BK12" s="748">
        <f t="shared" ca="1" si="21"/>
        <v>7</v>
      </c>
      <c r="BL12" s="748">
        <f t="shared" ca="1" si="27"/>
        <v>-6</v>
      </c>
      <c r="BM12" s="748" t="str">
        <f t="shared" ca="1" si="22"/>
        <v>4B</v>
      </c>
      <c r="BN12" s="748" t="str">
        <f t="shared" ca="1" si="23"/>
        <v>4B</v>
      </c>
      <c r="BO12" s="758">
        <f t="shared" ca="1" si="28"/>
        <v>0</v>
      </c>
      <c r="BP12" s="757">
        <f ca="1">COUNTIFS($BO$6:$BO$53,"&gt;"&amp;BO12,$BC$6:$BC$53,INDEX(T_Equipos[Grupo],MATCH(BD12,T_Equipos[NombreEquipo],0)))+1</f>
        <v>1</v>
      </c>
      <c r="BQ12" s="757" t="str">
        <f ca="1">IF(COUNTIFS($BP$6:$BP$53,BP12,$BC$6:$BC$53,INDEX(T_Equipos[Grupo],MATCH(BD12,T_Equipos[NombreEquipo],0)))=1,"-","P."&amp;BP12&amp;" ("&amp;COUNTIFS($BP$6:$BP$53,BP12,$BC$6:$BC$53,INDEX(T_Equipos[Grupo],MATCH(BD12,T_Equipos[NombreEquipo],0)))&amp;")")</f>
        <v>P.1 (4)</v>
      </c>
      <c r="BR12" s="758">
        <f t="shared" ca="1" si="29"/>
        <v>1</v>
      </c>
      <c r="BS12" s="757">
        <f ca="1">BP12+COUNTIFS($BQ$6:$BQ$53,BQ12,$BR$6:BR$53,"&gt;"&amp;BR12,$BC$6:$BC$53,INDEX(T_Equipos[Grupo],MATCH(BD12,T_Equipos[NombreEquipo],0)))</f>
        <v>3</v>
      </c>
      <c r="BT12" s="757" t="str">
        <f ca="1">IF(COUNTIFS($BS$6:$BS$53,BS12,$BC$6:$BC$53,INDEX(T_Equipos[Grupo],MATCH(BD12,T_Equipos[NombreEquipo],0)))=1,"-","P."&amp;BS12&amp;" ("&amp;COUNTIFS($BS$6:$BS$53,BS12,$BC$6:$BC$53,INDEX(T_Equipos[Grupo],MATCH(BD12,T_Equipos[NombreEquipo],0)))&amp;")")</f>
        <v>P.3 (2)</v>
      </c>
      <c r="BU12" s="758">
        <f t="shared" ca="1" si="36"/>
        <v>0</v>
      </c>
      <c r="BV12" s="758">
        <f t="shared" ca="1" si="37"/>
        <v>0</v>
      </c>
      <c r="BW12" s="758">
        <f t="shared" ca="1" si="38"/>
        <v>0</v>
      </c>
      <c r="BX12" s="758">
        <f t="shared" ca="1" si="39"/>
        <v>0</v>
      </c>
      <c r="BY12" s="758">
        <f ca="1">BS12+COUNTIFS($BT$6:$BT$53,BT12,$BX$6:BX$53,"&gt;"&amp;BX12,$BC$6:$BC$53,INDEX(T_Equipos[Grupo],MATCH(BD12,T_Equipos[NombreEquipo],0)))</f>
        <v>3</v>
      </c>
      <c r="BZ12" s="757" t="str">
        <f ca="1">IF(COUNTIFS($BY$6:$BY$53,BY12,$BC$6:$BC$53,INDEX(T_Equipos[Grupo],MATCH(BD12,T_Equipos[NombreEquipo],0)))=1,"-","P."&amp;BY12&amp;" ("&amp;COUNTIFS($BY$6:$BY$53,BY12,$BC$6:$BC$53,INDEX(T_Equipos[Grupo],MATCH(BD12,T_Equipos[NombreEquipo],0)))&amp;")")</f>
        <v>P.3 (2)</v>
      </c>
      <c r="CA12" s="758">
        <f t="shared" ca="1" si="40"/>
        <v>0</v>
      </c>
      <c r="CB12" s="758">
        <f t="shared" ca="1" si="41"/>
        <v>0</v>
      </c>
      <c r="CC12" s="758">
        <f t="shared" ca="1" si="42"/>
        <v>0</v>
      </c>
      <c r="CD12" s="758">
        <f ca="1">BY12+COUNTIFS($BZ$6:$BZ$53,BZ12,$CC$6:CC$53,"&gt;"&amp;CC12,$BC$6:$BC$53,INDEX(T_Equipos[Grupo],MATCH(BD12,T_Equipos[NombreEquipo],0)))</f>
        <v>3</v>
      </c>
      <c r="CE12" s="757" t="str">
        <f ca="1">IF(COUNTIFS($CD$6:$CD$53,CD12,$BC$6:$BC$53,INDEX(T_Equipos[Grupo],MATCH(BD12,T_Equipos[NombreEquipo],0)))=1,"-","P."&amp;CD12&amp;" ("&amp;COUNTIFS($CD$6:$CD$53,CD12,$BC$6:$BC$53,INDEX(T_Equipos[Grupo],MATCH(BD12,T_Equipos[NombreEquipo],0)))&amp;")")</f>
        <v>P.3 (2)</v>
      </c>
      <c r="CF12" s="758">
        <f t="shared" ca="1" si="43"/>
        <v>0</v>
      </c>
      <c r="CG12" s="758">
        <f ca="1">CD12+COUNTIFS($CE$6:$CE$53,CE12,$CF$6:CF$53,"&gt;"&amp;CF12,$BC$6:$BC$53,INDEX(T_Equipos[Grupo],MATCH(BD12,T_Equipos[NombreEquipo],0)))</f>
        <v>3</v>
      </c>
      <c r="CH12" s="757" t="str">
        <f ca="1">IF(COUNTIFS($CG$6:$CG$53,CG12,$BC$6:$BC$53,INDEX(T_Equipos[Grupo],MATCH(BD12,T_Equipos[NombreEquipo],0)))=1,"-","P."&amp;CG12&amp;" ("&amp;COUNTIFS($CG$6:$CG$53,CG12,$BC$6:$BC$53,INDEX(T_Equipos[Grupo],MATCH(BD12,T_Equipos[NombreEquipo],0)))&amp;")")</f>
        <v>P.3 (2)</v>
      </c>
      <c r="CI12" s="758">
        <f t="shared" ca="1" si="44"/>
        <v>0</v>
      </c>
      <c r="CJ12" s="758">
        <f t="shared" ca="1" si="45"/>
        <v>0</v>
      </c>
      <c r="CK12" s="758">
        <f t="shared" ca="1" si="46"/>
        <v>0</v>
      </c>
      <c r="CL12" s="758">
        <f t="shared" ca="1" si="47"/>
        <v>0</v>
      </c>
      <c r="CM12" s="758">
        <f ca="1">CG12+COUNTIFS($CH$6:$CH$53,CH12,$CL$6:CL$53,"&gt;"&amp;CL12,$BC$6:$BC$53,INDEX(T_Equipos[Grupo],MATCH(BD12,T_Equipos[NombreEquipo],0)))</f>
        <v>3</v>
      </c>
      <c r="CN12" s="757" t="str">
        <f ca="1">IF(COUNTIFS($CM$6:$CM$53,CM12,$BC$6:$BC$53,INDEX(T_Equipos[Grupo],MATCH(BD12,T_Equipos[NombreEquipo],0)))=1,"-","P."&amp;CM12&amp;" ("&amp;COUNTIFS($CM$6:$CM$53,CM12,$BC$6:$BC$53,INDEX(T_Equipos[Grupo],MATCH(BD12,T_Equipos[NombreEquipo],0)))&amp;")")</f>
        <v>P.3 (2)</v>
      </c>
      <c r="CO12" s="758">
        <f t="shared" ca="1" si="48"/>
        <v>0</v>
      </c>
      <c r="CP12" s="758">
        <f t="shared" ca="1" si="49"/>
        <v>0</v>
      </c>
      <c r="CQ12" s="758">
        <f t="shared" ca="1" si="50"/>
        <v>0</v>
      </c>
      <c r="CR12" s="758">
        <f ca="1">CM12+COUNTIFS($CN$6:$CN$53,CN12,$CQ$6:CQ$53,"&gt;"&amp;CQ12,$BC$6:$BC$53,INDEX(T_Equipos[Grupo],MATCH(BD12,T_Equipos[NombreEquipo],0)))</f>
        <v>3</v>
      </c>
      <c r="CS12" s="757" t="str">
        <f ca="1">IF(COUNTIFS($CR$6:$CR$53,CR12,$BC$6:$BC$53,INDEX(T_Equipos[Grupo],MATCH(BD12,T_Equipos[NombreEquipo],0)))=1,"-","P."&amp;CR12&amp;" ("&amp;COUNTIFS($CR$6:$CR$53,CR12,$BC$6:$BC$53,INDEX(T_Equipos[Grupo],MATCH(BD12,T_Equipos[NombreEquipo],0)))&amp;")")</f>
        <v>P.3 (2)</v>
      </c>
      <c r="CT12" s="758">
        <f t="shared" ca="1" si="51"/>
        <v>0</v>
      </c>
      <c r="CU12" s="758">
        <f ca="1">CR12+COUNTIFS($CS$6:$CS$53,CS12,$CT$6:CT$53,"&gt;"&amp;CT12,$BC$6:$BC$53,INDEX(T_Equipos[Grupo],MATCH(BD12,T_Equipos[NombreEquipo],0)))</f>
        <v>3</v>
      </c>
      <c r="CV12" s="757" t="str">
        <f ca="1">IF(COUNTIFS($CU$6:$CU$53,CU12,$BC$6:$BC$53,INDEX(T_Equipos[Grupo],MATCH(BD12,T_Equipos[NombreEquipo],0)))=1,"-","P."&amp;CU12&amp;" ("&amp;COUNTIFS($CU$6:$CU$53,CU12,$BC$6:$BC$53,INDEX(T_Equipos[Grupo],MATCH(BD12,T_Equipos[NombreEquipo],0)))&amp;")")</f>
        <v>P.3 (2)</v>
      </c>
      <c r="CW12" s="757">
        <f t="shared" ca="1" si="30"/>
        <v>-6</v>
      </c>
      <c r="CX12" s="757">
        <f ca="1">CU12+COUNTIFS($CV$6:$CV$53,CV12,$CW$6:CW$53,"&gt;"&amp;CW12,$BC$6:$BC$53,INDEX(T_Equipos[Grupo],MATCH(BD12,T_Equipos[NombreEquipo],0)))</f>
        <v>4</v>
      </c>
      <c r="CY12" s="757" t="str">
        <f ca="1">IF(COUNTIFS($CX$6:$CX$53,CX12,$BC$6:$BC$53,INDEX(T_Equipos[Grupo],MATCH(BD12,T_Equipos[NombreEquipo],0)))=1,"-","P."&amp;CX12&amp;" ("&amp;COUNTIFS($CX$6:$CX$53,CX12,$BC$6:$BC$53,INDEX(T_Equipos[Grupo],MATCH(BD12,T_Equipos[NombreEquipo],0)))&amp;")")</f>
        <v>-</v>
      </c>
      <c r="CZ12" s="757" t="str">
        <f t="shared" ca="1" si="31"/>
        <v>-</v>
      </c>
      <c r="DA12" s="758">
        <f ca="1">CX12+COUNTIFS($CY$6:$CY$53,CY12,$CZ$6:CZ$53,"&gt;"&amp;CZ12,$BC$6:$BC$53,INDEX(T_Equipos[Grupo],MATCH(BD12,T_Equipos[NombreEquipo],0)))</f>
        <v>4</v>
      </c>
      <c r="DB12" s="757" t="str">
        <f ca="1">IF(COUNTIFS($DA$6:$DA$53,DA12,$BC$6:$BC$53,INDEX(T_Equipos[Grupo],MATCH(BD12,T_Equipos[NombreEquipo],0)))=1,"-","P."&amp;DA12&amp;" ("&amp;COUNTIFS($DA$6:$DA$53,DA12,$BC$6:$BC$53,INDEX(T_Equipos[Grupo],MATCH(BD12,T_Equipos[NombreEquipo],0)))&amp;")")</f>
        <v>-</v>
      </c>
      <c r="DC12" s="756" t="str">
        <f ca="1">IF(DB12="-","-",COUNTIFS(T_Equipos[Rank],"&lt;"&amp;INDEX(T_Equipos[Rank],MATCH(BD12,T_Equipos[NombreEquipo],0)),$BC$6:$BC$53,INDEX(T_Equipos[Grupo],MATCH(BD12,T_Equipos[NombreEquipo],0)))+1)</f>
        <v>-</v>
      </c>
      <c r="DD12" s="756">
        <f ca="1">DA12+COUNTIFS($DB$6:$DB$53,DB12,$DC$6:DC$53,"&lt;"&amp;DC12,$BC$6:$BC$53,INDEX(T_Equipos[Grupo],MATCH(BD12,T_Equipos[NombreEquipo],0)))</f>
        <v>4</v>
      </c>
      <c r="DE12" s="756"/>
      <c r="DF12" s="756">
        <f t="shared" ca="1" si="52"/>
        <v>4</v>
      </c>
      <c r="DG12" s="756" t="str">
        <f ca="1">IF(DB12="-","-",COUNTIFS(DF$6:DF$53,"&lt;"&amp;DF12,$BC$6:$BC$53,INDEX(T_Equipos[Grupo],MATCH(BD12,T_Equipos[NombreEquipo],0))))</f>
        <v>-</v>
      </c>
      <c r="DH12" s="756">
        <f ca="1">DA12+COUNTIFS(DB$6:DB$53,DB12,DG$6:DG$53,"&lt;"&amp;DG12,$BC$6:$BC$53,INDEX(T_Equipos[Grupo],MATCH(BD12,T_Equipos[NombreEquipo],0)))</f>
        <v>4</v>
      </c>
      <c r="DI12" s="744"/>
      <c r="DJ12" s="744">
        <f t="shared" ca="1" si="53"/>
        <v>3</v>
      </c>
      <c r="DK12" s="744">
        <f t="shared" ca="1" si="24"/>
        <v>8</v>
      </c>
      <c r="DL12" s="744">
        <f t="shared" ca="1" si="33"/>
        <v>1</v>
      </c>
      <c r="DM12" s="738" t="str">
        <f t="shared" ca="1" si="34"/>
        <v>3.1</v>
      </c>
      <c r="DN12" s="744" cm="1">
        <f t="array" aca="1" ref="DN12" ca="1">OFFSET(Horarios!$P$3,DJ12-1,0,DL12,1)</f>
        <v>3</v>
      </c>
      <c r="DO12" s="744"/>
      <c r="DP12" s="744" t="s">
        <v>90</v>
      </c>
      <c r="DQ12" s="744" t="str">
        <f t="shared" ca="1" si="35"/>
        <v>Bosnia y Herzegovina</v>
      </c>
      <c r="DR12" s="744"/>
      <c r="DS12" s="744"/>
      <c r="DT12" s="744" t="str">
        <f t="shared" ca="1" si="15"/>
        <v>Canadá-Bosnia y Herzegovina</v>
      </c>
      <c r="DU12" s="744"/>
      <c r="DV12" s="744"/>
      <c r="DW12" s="8"/>
    </row>
    <row r="13" spans="1:127" ht="16.05" customHeight="1">
      <c r="A13" s="745" t="str">
        <f ca="1">+Equipos!B6</f>
        <v>Canadá</v>
      </c>
      <c r="B13" s="742"/>
      <c r="C13" s="742"/>
      <c r="D13" s="744" t="str">
        <f t="shared" si="54"/>
        <v>Empate</v>
      </c>
      <c r="E13" s="744" t="str">
        <f t="shared" ca="1" si="55"/>
        <v>P.3 (2)</v>
      </c>
      <c r="F13" s="744" t="str">
        <f t="shared" ca="1" si="56"/>
        <v>P.1 (2)</v>
      </c>
      <c r="G13" s="744"/>
      <c r="H13" s="744" t="str">
        <f t="shared" ca="1" si="57"/>
        <v>P.3 (2)</v>
      </c>
      <c r="I13" s="744" t="str">
        <f t="shared" ca="1" si="58"/>
        <v>P.1 (2)</v>
      </c>
      <c r="J13" s="744"/>
      <c r="K13" s="744" t="str">
        <f t="shared" ca="1" si="59"/>
        <v>P.3 (2)</v>
      </c>
      <c r="L13" s="744" t="str">
        <f t="shared" ca="1" si="60"/>
        <v>P.1 (2)</v>
      </c>
      <c r="M13" s="744"/>
      <c r="N13" s="744" t="str">
        <f t="shared" ca="1" si="61"/>
        <v>P.3 (2)</v>
      </c>
      <c r="O13" s="744" t="str">
        <f t="shared" ca="1" si="62"/>
        <v>P.1 (2)</v>
      </c>
      <c r="P13" s="744"/>
      <c r="Q13" s="744" t="str">
        <f t="shared" ca="1" si="63"/>
        <v>P.3 (2)</v>
      </c>
      <c r="R13" s="744" t="str">
        <f t="shared" ca="1" si="64"/>
        <v>P.1 (2)</v>
      </c>
      <c r="S13" s="744"/>
      <c r="T13" s="744" t="str">
        <f t="shared" ca="1" si="65"/>
        <v>P.3 (2)</v>
      </c>
      <c r="U13" s="744" t="str">
        <f t="shared" ca="1" si="66"/>
        <v>P.1 (2)</v>
      </c>
      <c r="V13" s="172"/>
      <c r="W13" s="800"/>
      <c r="X13" s="189">
        <f ca="1">Horarios!C13</f>
        <v>46186.875</v>
      </c>
      <c r="Y13" s="190">
        <f ca="1">Horarios!C13</f>
        <v>46186.875</v>
      </c>
      <c r="Z13" s="191" t="str">
        <f>$Z$4</f>
        <v>J1</v>
      </c>
      <c r="AA13" s="192" t="str">
        <f ca="1">A15</f>
        <v>Catar</v>
      </c>
      <c r="AB13" s="478" t="e" cm="1" vm="7">
        <f t="array" aca="1" ref="AB13" ca="1">Ver_flag_local</f>
        <v>#VALUE!</v>
      </c>
      <c r="AC13" s="193">
        <v>1</v>
      </c>
      <c r="AD13" s="194">
        <v>1</v>
      </c>
      <c r="AE13" s="483" t="e" cm="1" vm="8">
        <f t="array" aca="1" ref="AE13" ca="1">Ver_flag_visit</f>
        <v>#VALUE!</v>
      </c>
      <c r="AF13" s="195" t="str">
        <f ca="1">A16</f>
        <v>Suiza</v>
      </c>
      <c r="AG13" s="413">
        <f t="shared" si="67"/>
        <v>1</v>
      </c>
      <c r="AH13" s="196">
        <v>8</v>
      </c>
      <c r="AI13" s="19"/>
      <c r="AJ13" s="204" t="str">
        <f>AJ5</f>
        <v>Pos</v>
      </c>
      <c r="AK13" s="205"/>
      <c r="AL13" s="206" t="str">
        <f t="shared" ref="AL13:AT13" si="69">AL5</f>
        <v>Selección</v>
      </c>
      <c r="AM13" s="205" t="str">
        <f t="shared" si="69"/>
        <v>Pts</v>
      </c>
      <c r="AN13" s="205" t="str">
        <f t="shared" si="69"/>
        <v>J</v>
      </c>
      <c r="AO13" s="205" t="str">
        <f t="shared" si="69"/>
        <v>G</v>
      </c>
      <c r="AP13" s="205" t="str">
        <f t="shared" si="69"/>
        <v>E</v>
      </c>
      <c r="AQ13" s="205" t="str">
        <f t="shared" si="69"/>
        <v>P</v>
      </c>
      <c r="AR13" s="205" t="str">
        <f t="shared" si="69"/>
        <v>GF</v>
      </c>
      <c r="AS13" s="205" t="str">
        <f t="shared" si="69"/>
        <v>GC</v>
      </c>
      <c r="AT13" s="207" t="str">
        <f t="shared" si="69"/>
        <v>DG</v>
      </c>
      <c r="AU13" s="421">
        <f t="shared" ref="AU13" ca="1" si="70">COUNTIF(AU14:AU17,"&gt;1")</f>
        <v>0</v>
      </c>
      <c r="AV13" s="208"/>
      <c r="AW13" s="208"/>
      <c r="AX13" s="255"/>
      <c r="AY13" s="209" t="str">
        <f>AL13</f>
        <v>Selección</v>
      </c>
      <c r="AZ13" s="210" t="str">
        <f>+Idiomas!$D$69</f>
        <v>Puntos penalizados</v>
      </c>
      <c r="BA13" s="175"/>
      <c r="BB13" s="744"/>
      <c r="BC13" s="756" t="str">
        <f ca="1">+INDEX(T_Equipos[Grupo],MATCH(WORLDCUP!BD13,T_Equipos[NombreEquipo],0))</f>
        <v>B</v>
      </c>
      <c r="BD13" s="744" t="str">
        <f ca="1">+Equipos!B9</f>
        <v>Suiza</v>
      </c>
      <c r="BE13" s="748">
        <f t="shared" ca="1" si="25"/>
        <v>4</v>
      </c>
      <c r="BF13" s="748">
        <f t="shared" ca="1" si="26"/>
        <v>2</v>
      </c>
      <c r="BG13" s="748">
        <f t="shared" ca="1" si="17"/>
        <v>1</v>
      </c>
      <c r="BH13" s="748">
        <f t="shared" ca="1" si="18"/>
        <v>1</v>
      </c>
      <c r="BI13" s="748">
        <f t="shared" ca="1" si="19"/>
        <v>0</v>
      </c>
      <c r="BJ13" s="748">
        <f t="shared" ca="1" si="20"/>
        <v>5</v>
      </c>
      <c r="BK13" s="748">
        <f t="shared" ca="1" si="21"/>
        <v>2</v>
      </c>
      <c r="BL13" s="748">
        <f t="shared" ca="1" si="27"/>
        <v>3</v>
      </c>
      <c r="BM13" s="748" t="str">
        <f t="shared" ca="1" si="22"/>
        <v>2B</v>
      </c>
      <c r="BN13" s="748" t="str">
        <f t="shared" ca="1" si="23"/>
        <v>2B</v>
      </c>
      <c r="BO13" s="758">
        <f t="shared" ca="1" si="28"/>
        <v>0</v>
      </c>
      <c r="BP13" s="757">
        <f ca="1">COUNTIFS($BO$6:$BO$53,"&gt;"&amp;BO13,$BC$6:$BC$53,INDEX(T_Equipos[Grupo],MATCH(BD13,T_Equipos[NombreEquipo],0)))+1</f>
        <v>1</v>
      </c>
      <c r="BQ13" s="757" t="str">
        <f ca="1">IF(COUNTIFS($BP$6:$BP$53,BP13,$BC$6:$BC$53,INDEX(T_Equipos[Grupo],MATCH(BD13,T_Equipos[NombreEquipo],0)))=1,"-","P."&amp;BP13&amp;" ("&amp;COUNTIFS($BP$6:$BP$53,BP13,$BC$6:$BC$53,INDEX(T_Equipos[Grupo],MATCH(BD13,T_Equipos[NombreEquipo],0)))&amp;")")</f>
        <v>P.1 (4)</v>
      </c>
      <c r="BR13" s="758">
        <f t="shared" ca="1" si="29"/>
        <v>4</v>
      </c>
      <c r="BS13" s="757">
        <f ca="1">BP13+COUNTIFS($BQ$6:$BQ$53,BQ13,$BR$6:BR$53,"&gt;"&amp;BR13,$BC$6:$BC$53,INDEX(T_Equipos[Grupo],MATCH(BD13,T_Equipos[NombreEquipo],0)))</f>
        <v>1</v>
      </c>
      <c r="BT13" s="757" t="str">
        <f ca="1">IF(COUNTIFS($BS$6:$BS$53,BS13,$BC$6:$BC$53,INDEX(T_Equipos[Grupo],MATCH(BD13,T_Equipos[NombreEquipo],0)))=1,"-","P."&amp;BS13&amp;" ("&amp;COUNTIFS($BS$6:$BS$53,BS13,$BC$6:$BC$53,INDEX(T_Equipos[Grupo],MATCH(BD13,T_Equipos[NombreEquipo],0)))&amp;")")</f>
        <v>P.1 (2)</v>
      </c>
      <c r="BU13" s="758">
        <f t="shared" ca="1" si="36"/>
        <v>0</v>
      </c>
      <c r="BV13" s="758">
        <f t="shared" ca="1" si="37"/>
        <v>0</v>
      </c>
      <c r="BW13" s="758">
        <f t="shared" ca="1" si="38"/>
        <v>0</v>
      </c>
      <c r="BX13" s="758">
        <f t="shared" ca="1" si="39"/>
        <v>0</v>
      </c>
      <c r="BY13" s="758">
        <f ca="1">BS13+COUNTIFS($BT$6:$BT$53,BT13,$BX$6:BX$53,"&gt;"&amp;BX13,$BC$6:$BC$53,INDEX(T_Equipos[Grupo],MATCH(BD13,T_Equipos[NombreEquipo],0)))</f>
        <v>1</v>
      </c>
      <c r="BZ13" s="757" t="str">
        <f ca="1">IF(COUNTIFS($BY$6:$BY$53,BY13,$BC$6:$BC$53,INDEX(T_Equipos[Grupo],MATCH(BD13,T_Equipos[NombreEquipo],0)))=1,"-","P."&amp;BY13&amp;" ("&amp;COUNTIFS($BY$6:$BY$53,BY13,$BC$6:$BC$53,INDEX(T_Equipos[Grupo],MATCH(BD13,T_Equipos[NombreEquipo],0)))&amp;")")</f>
        <v>P.1 (2)</v>
      </c>
      <c r="CA13" s="758">
        <f t="shared" ca="1" si="40"/>
        <v>0</v>
      </c>
      <c r="CB13" s="758">
        <f t="shared" ca="1" si="41"/>
        <v>0</v>
      </c>
      <c r="CC13" s="758">
        <f t="shared" ca="1" si="42"/>
        <v>0</v>
      </c>
      <c r="CD13" s="758">
        <f ca="1">BY13+COUNTIFS($BZ$6:$BZ$53,BZ13,$CC$6:CC$53,"&gt;"&amp;CC13,$BC$6:$BC$53,INDEX(T_Equipos[Grupo],MATCH(BD13,T_Equipos[NombreEquipo],0)))</f>
        <v>1</v>
      </c>
      <c r="CE13" s="757" t="str">
        <f ca="1">IF(COUNTIFS($CD$6:$CD$53,CD13,$BC$6:$BC$53,INDEX(T_Equipos[Grupo],MATCH(BD13,T_Equipos[NombreEquipo],0)))=1,"-","P."&amp;CD13&amp;" ("&amp;COUNTIFS($CD$6:$CD$53,CD13,$BC$6:$BC$53,INDEX(T_Equipos[Grupo],MATCH(BD13,T_Equipos[NombreEquipo],0)))&amp;")")</f>
        <v>P.1 (2)</v>
      </c>
      <c r="CF13" s="758">
        <f t="shared" ca="1" si="43"/>
        <v>0</v>
      </c>
      <c r="CG13" s="758">
        <f ca="1">CD13+COUNTIFS($CE$6:$CE$53,CE13,$CF$6:CF$53,"&gt;"&amp;CF13,$BC$6:$BC$53,INDEX(T_Equipos[Grupo],MATCH(BD13,T_Equipos[NombreEquipo],0)))</f>
        <v>1</v>
      </c>
      <c r="CH13" s="757" t="str">
        <f ca="1">IF(COUNTIFS($CG$6:$CG$53,CG13,$BC$6:$BC$53,INDEX(T_Equipos[Grupo],MATCH(BD13,T_Equipos[NombreEquipo],0)))=1,"-","P."&amp;CG13&amp;" ("&amp;COUNTIFS($CG$6:$CG$53,CG13,$BC$6:$BC$53,INDEX(T_Equipos[Grupo],MATCH(BD13,T_Equipos[NombreEquipo],0)))&amp;")")</f>
        <v>P.1 (2)</v>
      </c>
      <c r="CI13" s="758">
        <f t="shared" ca="1" si="44"/>
        <v>0</v>
      </c>
      <c r="CJ13" s="758">
        <f t="shared" ca="1" si="45"/>
        <v>0</v>
      </c>
      <c r="CK13" s="758">
        <f t="shared" ca="1" si="46"/>
        <v>0</v>
      </c>
      <c r="CL13" s="758">
        <f t="shared" ca="1" si="47"/>
        <v>0</v>
      </c>
      <c r="CM13" s="758">
        <f ca="1">CG13+COUNTIFS($CH$6:$CH$53,CH13,$CL$6:CL$53,"&gt;"&amp;CL13,$BC$6:$BC$53,INDEX(T_Equipos[Grupo],MATCH(BD13,T_Equipos[NombreEquipo],0)))</f>
        <v>1</v>
      </c>
      <c r="CN13" s="757" t="str">
        <f ca="1">IF(COUNTIFS($CM$6:$CM$53,CM13,$BC$6:$BC$53,INDEX(T_Equipos[Grupo],MATCH(BD13,T_Equipos[NombreEquipo],0)))=1,"-","P."&amp;CM13&amp;" ("&amp;COUNTIFS($CM$6:$CM$53,CM13,$BC$6:$BC$53,INDEX(T_Equipos[Grupo],MATCH(BD13,T_Equipos[NombreEquipo],0)))&amp;")")</f>
        <v>P.1 (2)</v>
      </c>
      <c r="CO13" s="758">
        <f t="shared" ca="1" si="48"/>
        <v>0</v>
      </c>
      <c r="CP13" s="758">
        <f t="shared" ca="1" si="49"/>
        <v>0</v>
      </c>
      <c r="CQ13" s="758">
        <f t="shared" ca="1" si="50"/>
        <v>0</v>
      </c>
      <c r="CR13" s="758">
        <f ca="1">CM13+COUNTIFS($CN$6:$CN$53,CN13,$CQ$6:CQ$53,"&gt;"&amp;CQ13,$BC$6:$BC$53,INDEX(T_Equipos[Grupo],MATCH(BD13,T_Equipos[NombreEquipo],0)))</f>
        <v>1</v>
      </c>
      <c r="CS13" s="757" t="str">
        <f ca="1">IF(COUNTIFS($CR$6:$CR$53,CR13,$BC$6:$BC$53,INDEX(T_Equipos[Grupo],MATCH(BD13,T_Equipos[NombreEquipo],0)))=1,"-","P."&amp;CR13&amp;" ("&amp;COUNTIFS($CR$6:$CR$53,CR13,$BC$6:$BC$53,INDEX(T_Equipos[Grupo],MATCH(BD13,T_Equipos[NombreEquipo],0)))&amp;")")</f>
        <v>P.1 (2)</v>
      </c>
      <c r="CT13" s="758">
        <f t="shared" ca="1" si="51"/>
        <v>0</v>
      </c>
      <c r="CU13" s="758">
        <f ca="1">CR13+COUNTIFS($CS$6:$CS$53,CS13,$CT$6:CT$53,"&gt;"&amp;CT13,$BC$6:$BC$53,INDEX(T_Equipos[Grupo],MATCH(BD13,T_Equipos[NombreEquipo],0)))</f>
        <v>1</v>
      </c>
      <c r="CV13" s="757" t="str">
        <f ca="1">IF(COUNTIFS($CU$6:$CU$53,CU13,$BC$6:$BC$53,INDEX(T_Equipos[Grupo],MATCH(BD13,T_Equipos[NombreEquipo],0)))=1,"-","P."&amp;CU13&amp;" ("&amp;COUNTIFS($CU$6:$CU$53,CU13,$BC$6:$BC$53,INDEX(T_Equipos[Grupo],MATCH(BD13,T_Equipos[NombreEquipo],0)))&amp;")")</f>
        <v>P.1 (2)</v>
      </c>
      <c r="CW13" s="757">
        <f t="shared" ca="1" si="30"/>
        <v>3</v>
      </c>
      <c r="CX13" s="757">
        <f ca="1">CU13+COUNTIFS($CV$6:$CV$53,CV13,$CW$6:CW$53,"&gt;"&amp;CW13,$BC$6:$BC$53,INDEX(T_Equipos[Grupo],MATCH(BD13,T_Equipos[NombreEquipo],0)))</f>
        <v>2</v>
      </c>
      <c r="CY13" s="757" t="str">
        <f ca="1">IF(COUNTIFS($CX$6:$CX$53,CX13,$BC$6:$BC$53,INDEX(T_Equipos[Grupo],MATCH(BD13,T_Equipos[NombreEquipo],0)))=1,"-","P."&amp;CX13&amp;" ("&amp;COUNTIFS($CX$6:$CX$53,CX13,$BC$6:$BC$53,INDEX(T_Equipos[Grupo],MATCH(BD13,T_Equipos[NombreEquipo],0)))&amp;")")</f>
        <v>-</v>
      </c>
      <c r="CZ13" s="757" t="str">
        <f t="shared" ca="1" si="31"/>
        <v>-</v>
      </c>
      <c r="DA13" s="758">
        <f ca="1">CX13+COUNTIFS($CY$6:$CY$53,CY13,$CZ$6:CZ$53,"&gt;"&amp;CZ13,$BC$6:$BC$53,INDEX(T_Equipos[Grupo],MATCH(BD13,T_Equipos[NombreEquipo],0)))</f>
        <v>2</v>
      </c>
      <c r="DB13" s="757" t="str">
        <f ca="1">IF(COUNTIFS($DA$6:$DA$53,DA13,$BC$6:$BC$53,INDEX(T_Equipos[Grupo],MATCH(BD13,T_Equipos[NombreEquipo],0)))=1,"-","P."&amp;DA13&amp;" ("&amp;COUNTIFS($DA$6:$DA$53,DA13,$BC$6:$BC$53,INDEX(T_Equipos[Grupo],MATCH(BD13,T_Equipos[NombreEquipo],0)))&amp;")")</f>
        <v>-</v>
      </c>
      <c r="DC13" s="756" t="str">
        <f ca="1">IF(DB13="-","-",COUNTIFS(T_Equipos[Rank],"&lt;"&amp;INDEX(T_Equipos[Rank],MATCH(BD13,T_Equipos[NombreEquipo],0)),$BC$6:$BC$53,INDEX(T_Equipos[Grupo],MATCH(BD13,T_Equipos[NombreEquipo],0)))+1)</f>
        <v>-</v>
      </c>
      <c r="DD13" s="756">
        <f ca="1">DA13+COUNTIFS($DB$6:$DB$53,DB13,$DC$6:DC$53,"&lt;"&amp;DC13,$BC$6:$BC$53,INDEX(T_Equipos[Grupo],MATCH(BD13,T_Equipos[NombreEquipo],0)))</f>
        <v>2</v>
      </c>
      <c r="DE13" s="756"/>
      <c r="DF13" s="756">
        <f t="shared" ca="1" si="52"/>
        <v>2</v>
      </c>
      <c r="DG13" s="756" t="str">
        <f ca="1">IF(DB13="-","-",COUNTIFS(DF$6:DF$53,"&lt;"&amp;DF13,$BC$6:$BC$53,INDEX(T_Equipos[Grupo],MATCH(BD13,T_Equipos[NombreEquipo],0))))</f>
        <v>-</v>
      </c>
      <c r="DH13" s="756">
        <f ca="1">DA13+COUNTIFS(DB$6:DB$53,DB13,DG$6:DG$53,"&lt;"&amp;DG13,$BC$6:$BC$53,INDEX(T_Equipos[Grupo],MATCH(BD13,T_Equipos[NombreEquipo],0)))</f>
        <v>2</v>
      </c>
      <c r="DI13" s="744"/>
      <c r="DJ13" s="744">
        <f t="shared" ca="1" si="53"/>
        <v>4</v>
      </c>
      <c r="DK13" s="744">
        <f t="shared" ca="1" si="24"/>
        <v>8</v>
      </c>
      <c r="DL13" s="744">
        <f t="shared" ca="1" si="33"/>
        <v>1</v>
      </c>
      <c r="DM13" s="738" t="str">
        <f t="shared" ca="1" si="34"/>
        <v>4.1</v>
      </c>
      <c r="DN13" s="744" cm="1">
        <f t="array" aca="1" ref="DN13" ca="1">OFFSET(Horarios!$P$3,DJ13-1,0,DL13,1)</f>
        <v>4</v>
      </c>
      <c r="DO13" s="744"/>
      <c r="DP13" s="744" t="s">
        <v>650</v>
      </c>
      <c r="DQ13" s="744" t="str">
        <f t="shared" ca="1" si="35"/>
        <v>Catar</v>
      </c>
      <c r="DR13" s="744"/>
      <c r="DS13" s="744"/>
      <c r="DT13" s="744" t="str">
        <f t="shared" ca="1" si="15"/>
        <v>Catar-Suiza</v>
      </c>
      <c r="DU13" s="744"/>
      <c r="DV13" s="744"/>
      <c r="DW13" s="8"/>
    </row>
    <row r="14" spans="1:127" ht="16.95" customHeight="1">
      <c r="A14" s="745" t="str">
        <f ca="1">+Equipos!B7</f>
        <v>Bosnia y Herzegovina</v>
      </c>
      <c r="B14" s="742"/>
      <c r="C14" s="746"/>
      <c r="D14" s="744" t="str">
        <f t="shared" si="54"/>
        <v>Local</v>
      </c>
      <c r="E14" s="744" t="str">
        <f t="shared" ca="1" si="55"/>
        <v>P.1 (2)</v>
      </c>
      <c r="F14" s="744" t="str">
        <f t="shared" ca="1" si="56"/>
        <v>P.3 (2)</v>
      </c>
      <c r="G14" s="744"/>
      <c r="H14" s="744" t="str">
        <f t="shared" ca="1" si="57"/>
        <v>P.1 (2)</v>
      </c>
      <c r="I14" s="744" t="str">
        <f t="shared" ca="1" si="58"/>
        <v>P.3 (2)</v>
      </c>
      <c r="J14" s="744"/>
      <c r="K14" s="744" t="str">
        <f t="shared" ca="1" si="59"/>
        <v>P.1 (2)</v>
      </c>
      <c r="L14" s="744" t="str">
        <f t="shared" ca="1" si="60"/>
        <v>P.3 (2)</v>
      </c>
      <c r="M14" s="744"/>
      <c r="N14" s="744" t="str">
        <f t="shared" ca="1" si="61"/>
        <v>P.1 (2)</v>
      </c>
      <c r="O14" s="744" t="str">
        <f t="shared" ca="1" si="62"/>
        <v>P.3 (2)</v>
      </c>
      <c r="P14" s="744"/>
      <c r="Q14" s="744" t="str">
        <f t="shared" ca="1" si="63"/>
        <v>P.1 (2)</v>
      </c>
      <c r="R14" s="744" t="str">
        <f t="shared" ca="1" si="64"/>
        <v>P.3 (2)</v>
      </c>
      <c r="S14" s="744"/>
      <c r="T14" s="744" t="str">
        <f t="shared" ca="1" si="65"/>
        <v>P.1 (2)</v>
      </c>
      <c r="U14" s="744" t="str">
        <f t="shared" ca="1" si="66"/>
        <v>P.3 (2)</v>
      </c>
      <c r="V14" s="172"/>
      <c r="W14" s="800"/>
      <c r="X14" s="189">
        <f ca="1">Horarios!C14</f>
        <v>46191.875</v>
      </c>
      <c r="Y14" s="190">
        <f ca="1">Horarios!C14</f>
        <v>46191.875</v>
      </c>
      <c r="Z14" s="191" t="str">
        <f>$Z$6</f>
        <v>J2</v>
      </c>
      <c r="AA14" s="192" t="str">
        <f ca="1">A16</f>
        <v>Suiza</v>
      </c>
      <c r="AB14" s="478" t="e" cm="1" vm="8">
        <f t="array" aca="1" ref="AB14" ca="1">Ver_flag_local</f>
        <v>#VALUE!</v>
      </c>
      <c r="AC14" s="193">
        <v>4</v>
      </c>
      <c r="AD14" s="194">
        <v>1</v>
      </c>
      <c r="AE14" s="483" t="e" cm="1" vm="6">
        <f t="array" aca="1" ref="AE14" ca="1">Ver_flag_visit</f>
        <v>#VALUE!</v>
      </c>
      <c r="AF14" s="195" t="str">
        <f ca="1">A14</f>
        <v>Bosnia y Herzegovina</v>
      </c>
      <c r="AG14" s="413">
        <f t="shared" si="67"/>
        <v>1</v>
      </c>
      <c r="AH14" s="196">
        <v>26</v>
      </c>
      <c r="AI14" s="19" t="str">
        <f>AJ14&amp;$B$12</f>
        <v>1B</v>
      </c>
      <c r="AJ14" s="256">
        <v>1</v>
      </c>
      <c r="AK14" s="488" t="e" cm="1" vm="5">
        <f t="array" aca="1" ref="AK14" ca="1">Ver_flag_visit</f>
        <v>#VALUE!</v>
      </c>
      <c r="AL14" s="212" t="str">
        <f ca="1">IFERROR(INDEX($BD$6:$BD$53,MATCH(AI14,$BN$6:$BN$53,0)),"")</f>
        <v>Canadá</v>
      </c>
      <c r="AM14" s="213">
        <f t="shared" ref="AM14:AT17" ca="1" si="71">INDEX($BE$6:$BN$53,MATCH($AL14,$BD$6:$BD$53,0),MATCH(AM$5,$BE$5:$BN$5,0))</f>
        <v>4</v>
      </c>
      <c r="AN14" s="214">
        <f t="shared" ca="1" si="71"/>
        <v>2</v>
      </c>
      <c r="AO14" s="214">
        <f t="shared" ca="1" si="71"/>
        <v>1</v>
      </c>
      <c r="AP14" s="214">
        <f t="shared" ca="1" si="71"/>
        <v>1</v>
      </c>
      <c r="AQ14" s="214">
        <f t="shared" ca="1" si="71"/>
        <v>0</v>
      </c>
      <c r="AR14" s="214">
        <f t="shared" ca="1" si="71"/>
        <v>7</v>
      </c>
      <c r="AS14" s="214">
        <f t="shared" ca="1" si="71"/>
        <v>1</v>
      </c>
      <c r="AT14" s="257">
        <f t="shared" ca="1" si="71"/>
        <v>6</v>
      </c>
      <c r="AU14" s="420">
        <f ca="1">INDEX($DL$6:$DL$53,MATCH(AI14,$DP$6:$DP$53,0))</f>
        <v>1</v>
      </c>
      <c r="AV14" s="217" t="str">
        <f ca="1">INDEX($BD$6:$BD$53,MATCH(AI14,$BM$6:$BM$53,0))</f>
        <v>Canadá</v>
      </c>
      <c r="AW14" s="427"/>
      <c r="AX14" s="218"/>
      <c r="AY14" s="219" t="str">
        <f ca="1">+A13</f>
        <v>Canadá</v>
      </c>
      <c r="AZ14" s="220"/>
      <c r="BA14" s="175"/>
      <c r="BB14" s="744"/>
      <c r="BC14" s="756" t="str">
        <f ca="1">+INDEX(T_Equipos[Grupo],MATCH(WORLDCUP!BD14,T_Equipos[NombreEquipo],0))</f>
        <v>C</v>
      </c>
      <c r="BD14" s="744" t="str">
        <f ca="1">+Equipos!B10</f>
        <v>Brasil</v>
      </c>
      <c r="BE14" s="748">
        <f t="shared" ca="1" si="25"/>
        <v>4</v>
      </c>
      <c r="BF14" s="748">
        <f t="shared" ca="1" si="26"/>
        <v>2</v>
      </c>
      <c r="BG14" s="748">
        <f t="shared" ca="1" si="17"/>
        <v>1</v>
      </c>
      <c r="BH14" s="748">
        <f t="shared" ca="1" si="18"/>
        <v>1</v>
      </c>
      <c r="BI14" s="748">
        <f t="shared" ca="1" si="19"/>
        <v>0</v>
      </c>
      <c r="BJ14" s="748">
        <f t="shared" ca="1" si="20"/>
        <v>4</v>
      </c>
      <c r="BK14" s="748">
        <f t="shared" ca="1" si="21"/>
        <v>1</v>
      </c>
      <c r="BL14" s="748">
        <f t="shared" ca="1" si="27"/>
        <v>3</v>
      </c>
      <c r="BM14" s="748" t="str">
        <f t="shared" ca="1" si="22"/>
        <v>1C</v>
      </c>
      <c r="BN14" s="748" t="str">
        <f t="shared" ca="1" si="23"/>
        <v>1C</v>
      </c>
      <c r="BO14" s="757">
        <f t="shared" ca="1" si="28"/>
        <v>0</v>
      </c>
      <c r="BP14" s="757">
        <f ca="1">COUNTIFS($BO$6:$BO$53,"&gt;"&amp;BO14,$BC$6:$BC$53,INDEX(T_Equipos[Grupo],MATCH(BD14,T_Equipos[NombreEquipo],0)))+1</f>
        <v>1</v>
      </c>
      <c r="BQ14" s="757" t="str">
        <f ca="1">IF(COUNTIFS($BP$6:$BP$53,BP14,$BC$6:$BC$53,INDEX(T_Equipos[Grupo],MATCH(BD14,T_Equipos[NombreEquipo],0)))=1,"-","P."&amp;BP14&amp;" ("&amp;COUNTIFS($BP$6:$BP$53,BP14,$BC$6:$BC$53,INDEX(T_Equipos[Grupo],MATCH(BD14,T_Equipos[NombreEquipo],0)))&amp;")")</f>
        <v>P.1 (4)</v>
      </c>
      <c r="BR14" s="757">
        <f t="shared" ca="1" si="29"/>
        <v>4</v>
      </c>
      <c r="BS14" s="757">
        <f ca="1">BP14+COUNTIFS($BQ$6:$BQ$53,BQ14,$BR$6:BR$53,"&gt;"&amp;BR14,$BC$6:$BC$53,INDEX(T_Equipos[Grupo],MATCH(BD14,T_Equipos[NombreEquipo],0)))</f>
        <v>1</v>
      </c>
      <c r="BT14" s="757" t="str">
        <f ca="1">IF(COUNTIFS($BS$6:$BS$53,BS14,$BC$6:$BC$53,INDEX(T_Equipos[Grupo],MATCH(BD14,T_Equipos[NombreEquipo],0)))=1,"-","P."&amp;BS14&amp;" ("&amp;COUNTIFS($BS$6:$BS$53,BS14,$BC$6:$BC$53,INDEX(T_Equipos[Grupo],MATCH(BD14,T_Equipos[NombreEquipo],0)))&amp;")")</f>
        <v>P.1 (2)</v>
      </c>
      <c r="BU14" s="758">
        <f t="shared" ca="1" si="36"/>
        <v>0</v>
      </c>
      <c r="BV14" s="758">
        <f t="shared" ca="1" si="37"/>
        <v>1</v>
      </c>
      <c r="BW14" s="758">
        <f t="shared" ca="1" si="38"/>
        <v>0</v>
      </c>
      <c r="BX14" s="758">
        <f t="shared" ca="1" si="39"/>
        <v>1</v>
      </c>
      <c r="BY14" s="758">
        <f ca="1">BS14+COUNTIFS($BT$6:$BT$53,BT14,$BX$6:BX$53,"&gt;"&amp;BX14,$BC$6:$BC$53,INDEX(T_Equipos[Grupo],MATCH(BD14,T_Equipos[NombreEquipo],0)))</f>
        <v>1</v>
      </c>
      <c r="BZ14" s="757" t="str">
        <f ca="1">IF(COUNTIFS($BY$6:$BY$53,BY14,$BC$6:$BC$53,INDEX(T_Equipos[Grupo],MATCH(BD14,T_Equipos[NombreEquipo],0)))=1,"-","P."&amp;BY14&amp;" ("&amp;COUNTIFS($BY$6:$BY$53,BY14,$BC$6:$BC$53,INDEX(T_Equipos[Grupo],MATCH(BD14,T_Equipos[NombreEquipo],0)))&amp;")")</f>
        <v>P.1 (2)</v>
      </c>
      <c r="CA14" s="758">
        <f t="shared" ca="1" si="40"/>
        <v>1</v>
      </c>
      <c r="CB14" s="758">
        <f t="shared" ca="1" si="41"/>
        <v>1</v>
      </c>
      <c r="CC14" s="758">
        <f t="shared" ca="1" si="42"/>
        <v>0</v>
      </c>
      <c r="CD14" s="758">
        <f ca="1">BY14+COUNTIFS($BZ$6:$BZ$53,BZ14,$CC$6:CC$53,"&gt;"&amp;CC14,$BC$6:$BC$53,INDEX(T_Equipos[Grupo],MATCH(BD14,T_Equipos[NombreEquipo],0)))</f>
        <v>1</v>
      </c>
      <c r="CE14" s="757" t="str">
        <f ca="1">IF(COUNTIFS($CD$6:$CD$53,CD14,$BC$6:$BC$53,INDEX(T_Equipos[Grupo],MATCH(BD14,T_Equipos[NombreEquipo],0)))=1,"-","P."&amp;CD14&amp;" ("&amp;COUNTIFS($CD$6:$CD$53,CD14,$BC$6:$BC$53,INDEX(T_Equipos[Grupo],MATCH(BD14,T_Equipos[NombreEquipo],0)))&amp;")")</f>
        <v>P.1 (2)</v>
      </c>
      <c r="CF14" s="758">
        <f t="shared" ca="1" si="43"/>
        <v>1</v>
      </c>
      <c r="CG14" s="758">
        <f ca="1">CD14+COUNTIFS($CE$6:$CE$53,CE14,$CF$6:CF$53,"&gt;"&amp;CF14,$BC$6:$BC$53,INDEX(T_Equipos[Grupo],MATCH(BD14,T_Equipos[NombreEquipo],0)))</f>
        <v>1</v>
      </c>
      <c r="CH14" s="757" t="str">
        <f ca="1">IF(COUNTIFS($CG$6:$CG$53,CG14,$BC$6:$BC$53,INDEX(T_Equipos[Grupo],MATCH(BD14,T_Equipos[NombreEquipo],0)))=1,"-","P."&amp;CG14&amp;" ("&amp;COUNTIFS($CG$6:$CG$53,CG14,$BC$6:$BC$53,INDEX(T_Equipos[Grupo],MATCH(BD14,T_Equipos[NombreEquipo],0)))&amp;")")</f>
        <v>P.1 (2)</v>
      </c>
      <c r="CI14" s="758">
        <f t="shared" ca="1" si="44"/>
        <v>0</v>
      </c>
      <c r="CJ14" s="758">
        <f t="shared" ca="1" si="45"/>
        <v>1</v>
      </c>
      <c r="CK14" s="758">
        <f t="shared" ca="1" si="46"/>
        <v>0</v>
      </c>
      <c r="CL14" s="758">
        <f t="shared" ca="1" si="47"/>
        <v>1</v>
      </c>
      <c r="CM14" s="758">
        <f ca="1">CG14+COUNTIFS($CH$6:$CH$53,CH14,$CL$6:CL$53,"&gt;"&amp;CL14,$BC$6:$BC$53,INDEX(T_Equipos[Grupo],MATCH(BD14,T_Equipos[NombreEquipo],0)))</f>
        <v>1</v>
      </c>
      <c r="CN14" s="757" t="str">
        <f ca="1">IF(COUNTIFS($CM$6:$CM$53,CM14,$BC$6:$BC$53,INDEX(T_Equipos[Grupo],MATCH(BD14,T_Equipos[NombreEquipo],0)))=1,"-","P."&amp;CM14&amp;" ("&amp;COUNTIFS($CM$6:$CM$53,CM14,$BC$6:$BC$53,INDEX(T_Equipos[Grupo],MATCH(BD14,T_Equipos[NombreEquipo],0)))&amp;")")</f>
        <v>P.1 (2)</v>
      </c>
      <c r="CO14" s="758">
        <f t="shared" ca="1" si="48"/>
        <v>1</v>
      </c>
      <c r="CP14" s="758">
        <f t="shared" ca="1" si="49"/>
        <v>1</v>
      </c>
      <c r="CQ14" s="758">
        <f t="shared" ca="1" si="50"/>
        <v>0</v>
      </c>
      <c r="CR14" s="758">
        <f ca="1">CM14+COUNTIFS($CN$6:$CN$53,CN14,$CQ$6:CQ$53,"&gt;"&amp;CQ14,$BC$6:$BC$53,INDEX(T_Equipos[Grupo],MATCH(BD14,T_Equipos[NombreEquipo],0)))</f>
        <v>1</v>
      </c>
      <c r="CS14" s="757" t="str">
        <f ca="1">IF(COUNTIFS($CR$6:$CR$53,CR14,$BC$6:$BC$53,INDEX(T_Equipos[Grupo],MATCH(BD14,T_Equipos[NombreEquipo],0)))=1,"-","P."&amp;CR14&amp;" ("&amp;COUNTIFS($CR$6:$CR$53,CR14,$BC$6:$BC$53,INDEX(T_Equipos[Grupo],MATCH(BD14,T_Equipos[NombreEquipo],0)))&amp;")")</f>
        <v>P.1 (2)</v>
      </c>
      <c r="CT14" s="758">
        <f t="shared" ca="1" si="51"/>
        <v>1</v>
      </c>
      <c r="CU14" s="758">
        <f ca="1">CR14+COUNTIFS($CS$6:$CS$53,CS14,$CT$6:CT$53,"&gt;"&amp;CT14,$BC$6:$BC$53,INDEX(T_Equipos[Grupo],MATCH(BD14,T_Equipos[NombreEquipo],0)))</f>
        <v>1</v>
      </c>
      <c r="CV14" s="757" t="str">
        <f ca="1">IF(COUNTIFS($CU$6:$CU$53,CU14,$BC$6:$BC$53,INDEX(T_Equipos[Grupo],MATCH(BD14,T_Equipos[NombreEquipo],0)))=1,"-","P."&amp;CU14&amp;" ("&amp;COUNTIFS($CU$6:$CU$53,CU14,$BC$6:$BC$53,INDEX(T_Equipos[Grupo],MATCH(BD14,T_Equipos[NombreEquipo],0)))&amp;")")</f>
        <v>P.1 (2)</v>
      </c>
      <c r="CW14" s="757">
        <f t="shared" ca="1" si="30"/>
        <v>3</v>
      </c>
      <c r="CX14" s="757">
        <f ca="1">CU14+COUNTIFS($CV$6:$CV$53,CV14,$CW$6:CW$53,"&gt;"&amp;CW14,$BC$6:$BC$53,INDEX(T_Equipos[Grupo],MATCH(BD14,T_Equipos[NombreEquipo],0)))</f>
        <v>1</v>
      </c>
      <c r="CY14" s="757" t="str">
        <f ca="1">IF(COUNTIFS($CX$6:$CX$53,CX14,$BC$6:$BC$53,INDEX(T_Equipos[Grupo],MATCH(BD14,T_Equipos[NombreEquipo],0)))=1,"-","P."&amp;CX14&amp;" ("&amp;COUNTIFS($CX$6:$CX$53,CX14,$BC$6:$BC$53,INDEX(T_Equipos[Grupo],MATCH(BD14,T_Equipos[NombreEquipo],0)))&amp;")")</f>
        <v>-</v>
      </c>
      <c r="CZ14" s="757" t="str">
        <f t="shared" ca="1" si="31"/>
        <v>-</v>
      </c>
      <c r="DA14" s="758">
        <f ca="1">CX14+COUNTIFS($CY$6:$CY$53,CY14,$CZ$6:CZ$53,"&gt;"&amp;CZ14,$BC$6:$BC$53,INDEX(T_Equipos[Grupo],MATCH(BD14,T_Equipos[NombreEquipo],0)))</f>
        <v>1</v>
      </c>
      <c r="DB14" s="757" t="str">
        <f ca="1">IF(COUNTIFS($DA$6:$DA$53,DA14,$BC$6:$BC$53,INDEX(T_Equipos[Grupo],MATCH(BD14,T_Equipos[NombreEquipo],0)))=1,"-","P."&amp;DA14&amp;" ("&amp;COUNTIFS($DA$6:$DA$53,DA14,$BC$6:$BC$53,INDEX(T_Equipos[Grupo],MATCH(BD14,T_Equipos[NombreEquipo],0)))&amp;")")</f>
        <v>-</v>
      </c>
      <c r="DC14" s="756" t="str">
        <f ca="1">IF(DB14="-","-",COUNTIFS(T_Equipos[Rank],"&lt;"&amp;INDEX(T_Equipos[Rank],MATCH(BD14,T_Equipos[NombreEquipo],0)),$BC$6:$BC$53,INDEX(T_Equipos[Grupo],MATCH(BD14,T_Equipos[NombreEquipo],0)))+1)</f>
        <v>-</v>
      </c>
      <c r="DD14" s="756">
        <f ca="1">DA14+COUNTIFS($DB$6:$DB$53,DB14,$DC$6:DC$53,"&lt;"&amp;DC14,$BC$6:$BC$53,INDEX(T_Equipos[Grupo],MATCH(BD14,T_Equipos[NombreEquipo],0)))</f>
        <v>1</v>
      </c>
      <c r="DE14" s="756"/>
      <c r="DF14" s="756">
        <f t="shared" ca="1" si="52"/>
        <v>1</v>
      </c>
      <c r="DG14" s="756" t="str">
        <f ca="1">IF(DB14="-","-",COUNTIFS(DF$6:DF$53,"&lt;"&amp;DF14,$BC$6:$BC$53,INDEX(T_Equipos[Grupo],MATCH(BD14,T_Equipos[NombreEquipo],0))))</f>
        <v>-</v>
      </c>
      <c r="DH14" s="756">
        <f ca="1">DA14+COUNTIFS(DB$6:DB$53,DB14,DG$6:DG$53,"&lt;"&amp;DG14,$BC$6:$BC$53,INDEX(T_Equipos[Grupo],MATCH(BD14,T_Equipos[NombreEquipo],0)))</f>
        <v>1</v>
      </c>
      <c r="DI14" s="744"/>
      <c r="DJ14" s="744">
        <f t="shared" ca="1" si="53"/>
        <v>1</v>
      </c>
      <c r="DK14" s="744">
        <f t="shared" ca="1" si="24"/>
        <v>8</v>
      </c>
      <c r="DL14" s="744">
        <f t="shared" ca="1" si="33"/>
        <v>1</v>
      </c>
      <c r="DM14" s="738" t="str">
        <f t="shared" ca="1" si="34"/>
        <v>1.1</v>
      </c>
      <c r="DN14" s="744" cm="1">
        <f t="array" aca="1" ref="DN14" ca="1">OFFSET(Horarios!$P$3,DJ14-1,0,DL14,1)</f>
        <v>1</v>
      </c>
      <c r="DO14" s="744"/>
      <c r="DP14" s="744" t="s">
        <v>651</v>
      </c>
      <c r="DQ14" s="744" t="str">
        <f t="shared" ca="1" si="35"/>
        <v>Brasil</v>
      </c>
      <c r="DR14" s="744"/>
      <c r="DS14" s="744"/>
      <c r="DT14" s="744" t="str">
        <f t="shared" ca="1" si="15"/>
        <v>Suiza-Bosnia y Herzegovina</v>
      </c>
      <c r="DU14" s="744"/>
      <c r="DV14" s="744"/>
      <c r="DW14" s="8"/>
    </row>
    <row r="15" spans="1:127">
      <c r="A15" s="745" t="str">
        <f ca="1">+Equipos!B8</f>
        <v>Catar</v>
      </c>
      <c r="B15" s="742"/>
      <c r="C15" s="744"/>
      <c r="D15" s="744" t="str">
        <f t="shared" si="54"/>
        <v>Local</v>
      </c>
      <c r="E15" s="744" t="str">
        <f t="shared" ca="1" si="55"/>
        <v>P.1 (2)</v>
      </c>
      <c r="F15" s="744" t="str">
        <f t="shared" ca="1" si="56"/>
        <v>P.3 (2)</v>
      </c>
      <c r="G15" s="744"/>
      <c r="H15" s="744" t="str">
        <f t="shared" ca="1" si="57"/>
        <v>P.1 (2)</v>
      </c>
      <c r="I15" s="744" t="str">
        <f t="shared" ca="1" si="58"/>
        <v>P.3 (2)</v>
      </c>
      <c r="J15" s="744"/>
      <c r="K15" s="744" t="str">
        <f t="shared" ca="1" si="59"/>
        <v>P.1 (2)</v>
      </c>
      <c r="L15" s="744" t="str">
        <f t="shared" ca="1" si="60"/>
        <v>P.3 (2)</v>
      </c>
      <c r="M15" s="744"/>
      <c r="N15" s="744" t="str">
        <f t="shared" ca="1" si="61"/>
        <v>P.1 (2)</v>
      </c>
      <c r="O15" s="744" t="str">
        <f t="shared" ca="1" si="62"/>
        <v>P.3 (2)</v>
      </c>
      <c r="P15" s="744"/>
      <c r="Q15" s="744" t="str">
        <f t="shared" ca="1" si="63"/>
        <v>P.1 (2)</v>
      </c>
      <c r="R15" s="744" t="str">
        <f t="shared" ca="1" si="64"/>
        <v>P.3 (2)</v>
      </c>
      <c r="S15" s="744"/>
      <c r="T15" s="744" t="str">
        <f t="shared" ca="1" si="65"/>
        <v>P.1 (2)</v>
      </c>
      <c r="U15" s="744" t="str">
        <f t="shared" ca="1" si="66"/>
        <v>P.3 (2)</v>
      </c>
      <c r="V15" s="172"/>
      <c r="W15" s="800"/>
      <c r="X15" s="189">
        <f ca="1">Horarios!C15</f>
        <v>46192</v>
      </c>
      <c r="Y15" s="190">
        <f ca="1">Horarios!C15</f>
        <v>46192</v>
      </c>
      <c r="Z15" s="191" t="str">
        <f>$Z$6</f>
        <v>J2</v>
      </c>
      <c r="AA15" s="192" t="str">
        <f ca="1">A13</f>
        <v>Canadá</v>
      </c>
      <c r="AB15" s="478" t="e" cm="1" vm="5">
        <f t="array" aca="1" ref="AB15" ca="1">Ver_flag_local</f>
        <v>#VALUE!</v>
      </c>
      <c r="AC15" s="193">
        <v>6</v>
      </c>
      <c r="AD15" s="194">
        <v>0</v>
      </c>
      <c r="AE15" s="483" t="e" cm="1" vm="7">
        <f t="array" aca="1" ref="AE15" ca="1">Ver_flag_visit</f>
        <v>#VALUE!</v>
      </c>
      <c r="AF15" s="195" t="str">
        <f ca="1">A15</f>
        <v>Catar</v>
      </c>
      <c r="AG15" s="413">
        <f t="shared" si="67"/>
        <v>1</v>
      </c>
      <c r="AH15" s="196">
        <v>27</v>
      </c>
      <c r="AI15" s="19" t="str">
        <f t="shared" ref="AI15:AI17" si="72">AJ15&amp;$B$12</f>
        <v>2B</v>
      </c>
      <c r="AJ15" s="258">
        <v>2</v>
      </c>
      <c r="AK15" s="486" t="e" cm="1" vm="8">
        <f t="array" aca="1" ref="AK15" ca="1">Ver_flag_visit</f>
        <v>#VALUE!</v>
      </c>
      <c r="AL15" s="222" t="str">
        <f ca="1">IFERROR(INDEX($BD$6:$BD$53,MATCH(AI15,$BN$6:$BN$53,0)),"")</f>
        <v>Suiza</v>
      </c>
      <c r="AM15" s="223">
        <f t="shared" ca="1" si="71"/>
        <v>4</v>
      </c>
      <c r="AN15" s="224">
        <f t="shared" ca="1" si="71"/>
        <v>2</v>
      </c>
      <c r="AO15" s="224">
        <f t="shared" ca="1" si="71"/>
        <v>1</v>
      </c>
      <c r="AP15" s="224">
        <f t="shared" ca="1" si="71"/>
        <v>1</v>
      </c>
      <c r="AQ15" s="224">
        <f t="shared" ca="1" si="71"/>
        <v>0</v>
      </c>
      <c r="AR15" s="224">
        <f t="shared" ca="1" si="71"/>
        <v>5</v>
      </c>
      <c r="AS15" s="224">
        <f t="shared" ca="1" si="71"/>
        <v>2</v>
      </c>
      <c r="AT15" s="259">
        <f t="shared" ca="1" si="71"/>
        <v>3</v>
      </c>
      <c r="AU15" s="420">
        <f ca="1">INDEX($DL$6:$DL$53,MATCH(AI15,$DP$6:$DP$53,0))</f>
        <v>1</v>
      </c>
      <c r="AV15" s="217" t="str">
        <f ca="1">INDEX($BD$6:$BD$53,MATCH(AI15,$BM$6:$BM$53,0))</f>
        <v>Suiza</v>
      </c>
      <c r="AW15" s="427"/>
      <c r="AX15" s="218"/>
      <c r="AY15" s="226" t="str">
        <f ca="1">+A14</f>
        <v>Bosnia y Herzegovina</v>
      </c>
      <c r="AZ15" s="227"/>
      <c r="BA15" s="175"/>
      <c r="BB15" s="744"/>
      <c r="BC15" s="756" t="str">
        <f ca="1">+INDEX(T_Equipos[Grupo],MATCH(WORLDCUP!BD15,T_Equipos[NombreEquipo],0))</f>
        <v>C</v>
      </c>
      <c r="BD15" s="744" t="str">
        <f ca="1">+Equipos!B11</f>
        <v>Marruecos</v>
      </c>
      <c r="BE15" s="748">
        <f t="shared" ca="1" si="25"/>
        <v>4</v>
      </c>
      <c r="BF15" s="748">
        <f t="shared" ca="1" si="26"/>
        <v>2</v>
      </c>
      <c r="BG15" s="748">
        <f t="shared" ca="1" si="17"/>
        <v>1</v>
      </c>
      <c r="BH15" s="748">
        <f t="shared" ca="1" si="18"/>
        <v>1</v>
      </c>
      <c r="BI15" s="748">
        <f t="shared" ca="1" si="19"/>
        <v>0</v>
      </c>
      <c r="BJ15" s="748">
        <f t="shared" ca="1" si="20"/>
        <v>2</v>
      </c>
      <c r="BK15" s="748">
        <f t="shared" ca="1" si="21"/>
        <v>1</v>
      </c>
      <c r="BL15" s="748">
        <f t="shared" ca="1" si="27"/>
        <v>1</v>
      </c>
      <c r="BM15" s="748" t="str">
        <f t="shared" ca="1" si="22"/>
        <v>2C</v>
      </c>
      <c r="BN15" s="748" t="str">
        <f t="shared" ca="1" si="23"/>
        <v>2C</v>
      </c>
      <c r="BO15" s="757">
        <f t="shared" ca="1" si="28"/>
        <v>0</v>
      </c>
      <c r="BP15" s="757">
        <f ca="1">COUNTIFS($BO$6:$BO$53,"&gt;"&amp;BO15,$BC$6:$BC$53,INDEX(T_Equipos[Grupo],MATCH(BD15,T_Equipos[NombreEquipo],0)))+1</f>
        <v>1</v>
      </c>
      <c r="BQ15" s="757" t="str">
        <f ca="1">IF(COUNTIFS($BP$6:$BP$53,BP15,$BC$6:$BC$53,INDEX(T_Equipos[Grupo],MATCH(BD15,T_Equipos[NombreEquipo],0)))=1,"-","P."&amp;BP15&amp;" ("&amp;COUNTIFS($BP$6:$BP$53,BP15,$BC$6:$BC$53,INDEX(T_Equipos[Grupo],MATCH(BD15,T_Equipos[NombreEquipo],0)))&amp;")")</f>
        <v>P.1 (4)</v>
      </c>
      <c r="BR15" s="757">
        <f t="shared" ca="1" si="29"/>
        <v>4</v>
      </c>
      <c r="BS15" s="757">
        <f ca="1">BP15+COUNTIFS($BQ$6:$BQ$53,BQ15,$BR$6:BR$53,"&gt;"&amp;BR15,$BC$6:$BC$53,INDEX(T_Equipos[Grupo],MATCH(BD15,T_Equipos[NombreEquipo],0)))</f>
        <v>1</v>
      </c>
      <c r="BT15" s="757" t="str">
        <f ca="1">IF(COUNTIFS($BS$6:$BS$53,BS15,$BC$6:$BC$53,INDEX(T_Equipos[Grupo],MATCH(BD15,T_Equipos[NombreEquipo],0)))=1,"-","P."&amp;BS15&amp;" ("&amp;COUNTIFS($BS$6:$BS$53,BS15,$BC$6:$BC$53,INDEX(T_Equipos[Grupo],MATCH(BD15,T_Equipos[NombreEquipo],0)))&amp;")")</f>
        <v>P.1 (2)</v>
      </c>
      <c r="BU15" s="758">
        <f t="shared" ca="1" si="36"/>
        <v>0</v>
      </c>
      <c r="BV15" s="758">
        <f t="shared" ca="1" si="37"/>
        <v>1</v>
      </c>
      <c r="BW15" s="758">
        <f t="shared" ca="1" si="38"/>
        <v>0</v>
      </c>
      <c r="BX15" s="758">
        <f t="shared" ca="1" si="39"/>
        <v>1</v>
      </c>
      <c r="BY15" s="758">
        <f ca="1">BS15+COUNTIFS($BT$6:$BT$53,BT15,$BX$6:BX$53,"&gt;"&amp;BX15,$BC$6:$BC$53,INDEX(T_Equipos[Grupo],MATCH(BD15,T_Equipos[NombreEquipo],0)))</f>
        <v>1</v>
      </c>
      <c r="BZ15" s="757" t="str">
        <f ca="1">IF(COUNTIFS($BY$6:$BY$53,BY15,$BC$6:$BC$53,INDEX(T_Equipos[Grupo],MATCH(BD15,T_Equipos[NombreEquipo],0)))=1,"-","P."&amp;BY15&amp;" ("&amp;COUNTIFS($BY$6:$BY$53,BY15,$BC$6:$BC$53,INDEX(T_Equipos[Grupo],MATCH(BD15,T_Equipos[NombreEquipo],0)))&amp;")")</f>
        <v>P.1 (2)</v>
      </c>
      <c r="CA15" s="758">
        <f t="shared" ca="1" si="40"/>
        <v>1</v>
      </c>
      <c r="CB15" s="758">
        <f t="shared" ca="1" si="41"/>
        <v>1</v>
      </c>
      <c r="CC15" s="758">
        <f t="shared" ca="1" si="42"/>
        <v>0</v>
      </c>
      <c r="CD15" s="758">
        <f ca="1">BY15+COUNTIFS($BZ$6:$BZ$53,BZ15,$CC$6:CC$53,"&gt;"&amp;CC15,$BC$6:$BC$53,INDEX(T_Equipos[Grupo],MATCH(BD15,T_Equipos[NombreEquipo],0)))</f>
        <v>1</v>
      </c>
      <c r="CE15" s="757" t="str">
        <f ca="1">IF(COUNTIFS($CD$6:$CD$53,CD15,$BC$6:$BC$53,INDEX(T_Equipos[Grupo],MATCH(BD15,T_Equipos[NombreEquipo],0)))=1,"-","P."&amp;CD15&amp;" ("&amp;COUNTIFS($CD$6:$CD$53,CD15,$BC$6:$BC$53,INDEX(T_Equipos[Grupo],MATCH(BD15,T_Equipos[NombreEquipo],0)))&amp;")")</f>
        <v>P.1 (2)</v>
      </c>
      <c r="CF15" s="758">
        <f t="shared" ca="1" si="43"/>
        <v>1</v>
      </c>
      <c r="CG15" s="758">
        <f ca="1">CD15+COUNTIFS($CE$6:$CE$53,CE15,$CF$6:CF$53,"&gt;"&amp;CF15,$BC$6:$BC$53,INDEX(T_Equipos[Grupo],MATCH(BD15,T_Equipos[NombreEquipo],0)))</f>
        <v>1</v>
      </c>
      <c r="CH15" s="757" t="str">
        <f ca="1">IF(COUNTIFS($CG$6:$CG$53,CG15,$BC$6:$BC$53,INDEX(T_Equipos[Grupo],MATCH(BD15,T_Equipos[NombreEquipo],0)))=1,"-","P."&amp;CG15&amp;" ("&amp;COUNTIFS($CG$6:$CG$53,CG15,$BC$6:$BC$53,INDEX(T_Equipos[Grupo],MATCH(BD15,T_Equipos[NombreEquipo],0)))&amp;")")</f>
        <v>P.1 (2)</v>
      </c>
      <c r="CI15" s="758">
        <f t="shared" ca="1" si="44"/>
        <v>0</v>
      </c>
      <c r="CJ15" s="758">
        <f t="shared" ca="1" si="45"/>
        <v>1</v>
      </c>
      <c r="CK15" s="758">
        <f t="shared" ca="1" si="46"/>
        <v>0</v>
      </c>
      <c r="CL15" s="758">
        <f t="shared" ca="1" si="47"/>
        <v>1</v>
      </c>
      <c r="CM15" s="758">
        <f ca="1">CG15+COUNTIFS($CH$6:$CH$53,CH15,$CL$6:CL$53,"&gt;"&amp;CL15,$BC$6:$BC$53,INDEX(T_Equipos[Grupo],MATCH(BD15,T_Equipos[NombreEquipo],0)))</f>
        <v>1</v>
      </c>
      <c r="CN15" s="757" t="str">
        <f ca="1">IF(COUNTIFS($CM$6:$CM$53,CM15,$BC$6:$BC$53,INDEX(T_Equipos[Grupo],MATCH(BD15,T_Equipos[NombreEquipo],0)))=1,"-","P."&amp;CM15&amp;" ("&amp;COUNTIFS($CM$6:$CM$53,CM15,$BC$6:$BC$53,INDEX(T_Equipos[Grupo],MATCH(BD15,T_Equipos[NombreEquipo],0)))&amp;")")</f>
        <v>P.1 (2)</v>
      </c>
      <c r="CO15" s="758">
        <f t="shared" ca="1" si="48"/>
        <v>1</v>
      </c>
      <c r="CP15" s="758">
        <f t="shared" ca="1" si="49"/>
        <v>1</v>
      </c>
      <c r="CQ15" s="758">
        <f t="shared" ca="1" si="50"/>
        <v>0</v>
      </c>
      <c r="CR15" s="758">
        <f ca="1">CM15+COUNTIFS($CN$6:$CN$53,CN15,$CQ$6:CQ$53,"&gt;"&amp;CQ15,$BC$6:$BC$53,INDEX(T_Equipos[Grupo],MATCH(BD15,T_Equipos[NombreEquipo],0)))</f>
        <v>1</v>
      </c>
      <c r="CS15" s="757" t="str">
        <f ca="1">IF(COUNTIFS($CR$6:$CR$53,CR15,$BC$6:$BC$53,INDEX(T_Equipos[Grupo],MATCH(BD15,T_Equipos[NombreEquipo],0)))=1,"-","P."&amp;CR15&amp;" ("&amp;COUNTIFS($CR$6:$CR$53,CR15,$BC$6:$BC$53,INDEX(T_Equipos[Grupo],MATCH(BD15,T_Equipos[NombreEquipo],0)))&amp;")")</f>
        <v>P.1 (2)</v>
      </c>
      <c r="CT15" s="758">
        <f t="shared" ca="1" si="51"/>
        <v>1</v>
      </c>
      <c r="CU15" s="758">
        <f ca="1">CR15+COUNTIFS($CS$6:$CS$53,CS15,$CT$6:CT$53,"&gt;"&amp;CT15,$BC$6:$BC$53,INDEX(T_Equipos[Grupo],MATCH(BD15,T_Equipos[NombreEquipo],0)))</f>
        <v>1</v>
      </c>
      <c r="CV15" s="757" t="str">
        <f ca="1">IF(COUNTIFS($CU$6:$CU$53,CU15,$BC$6:$BC$53,INDEX(T_Equipos[Grupo],MATCH(BD15,T_Equipos[NombreEquipo],0)))=1,"-","P."&amp;CU15&amp;" ("&amp;COUNTIFS($CU$6:$CU$53,CU15,$BC$6:$BC$53,INDEX(T_Equipos[Grupo],MATCH(BD15,T_Equipos[NombreEquipo],0)))&amp;")")</f>
        <v>P.1 (2)</v>
      </c>
      <c r="CW15" s="757">
        <f t="shared" ca="1" si="30"/>
        <v>1</v>
      </c>
      <c r="CX15" s="757">
        <f ca="1">CU15+COUNTIFS($CV$6:$CV$53,CV15,$CW$6:CW$53,"&gt;"&amp;CW15,$BC$6:$BC$53,INDEX(T_Equipos[Grupo],MATCH(BD15,T_Equipos[NombreEquipo],0)))</f>
        <v>2</v>
      </c>
      <c r="CY15" s="757" t="str">
        <f ca="1">IF(COUNTIFS($CX$6:$CX$53,CX15,$BC$6:$BC$53,INDEX(T_Equipos[Grupo],MATCH(BD15,T_Equipos[NombreEquipo],0)))=1,"-","P."&amp;CX15&amp;" ("&amp;COUNTIFS($CX$6:$CX$53,CX15,$BC$6:$BC$53,INDEX(T_Equipos[Grupo],MATCH(BD15,T_Equipos[NombreEquipo],0)))&amp;")")</f>
        <v>-</v>
      </c>
      <c r="CZ15" s="757" t="str">
        <f t="shared" ca="1" si="31"/>
        <v>-</v>
      </c>
      <c r="DA15" s="758">
        <f ca="1">CX15+COUNTIFS($CY$6:$CY$53,CY15,$CZ$6:CZ$53,"&gt;"&amp;CZ15,$BC$6:$BC$53,INDEX(T_Equipos[Grupo],MATCH(BD15,T_Equipos[NombreEquipo],0)))</f>
        <v>2</v>
      </c>
      <c r="DB15" s="757" t="str">
        <f ca="1">IF(COUNTIFS($DA$6:$DA$53,DA15,$BC$6:$BC$53,INDEX(T_Equipos[Grupo],MATCH(BD15,T_Equipos[NombreEquipo],0)))=1,"-","P."&amp;DA15&amp;" ("&amp;COUNTIFS($DA$6:$DA$53,DA15,$BC$6:$BC$53,INDEX(T_Equipos[Grupo],MATCH(BD15,T_Equipos[NombreEquipo],0)))&amp;")")</f>
        <v>-</v>
      </c>
      <c r="DC15" s="756" t="str">
        <f ca="1">IF(DB15="-","-",COUNTIFS(T_Equipos[Rank],"&lt;"&amp;INDEX(T_Equipos[Rank],MATCH(BD15,T_Equipos[NombreEquipo],0)),$BC$6:$BC$53,INDEX(T_Equipos[Grupo],MATCH(BD15,T_Equipos[NombreEquipo],0)))+1)</f>
        <v>-</v>
      </c>
      <c r="DD15" s="756">
        <f ca="1">DA15+COUNTIFS($DB$6:$DB$53,DB15,$DC$6:DC$53,"&lt;"&amp;DC15,$BC$6:$BC$53,INDEX(T_Equipos[Grupo],MATCH(BD15,T_Equipos[NombreEquipo],0)))</f>
        <v>2</v>
      </c>
      <c r="DE15" s="756"/>
      <c r="DF15" s="756">
        <f t="shared" ca="1" si="52"/>
        <v>2</v>
      </c>
      <c r="DG15" s="756" t="str">
        <f ca="1">IF(DB15="-","-",COUNTIFS(DF$6:DF$53,"&lt;"&amp;DF15,$BC$6:$BC$53,INDEX(T_Equipos[Grupo],MATCH(BD15,T_Equipos[NombreEquipo],0))))</f>
        <v>-</v>
      </c>
      <c r="DH15" s="756">
        <f ca="1">DA15+COUNTIFS(DB$6:DB$53,DB15,DG$6:DG$53,"&lt;"&amp;DG15,$BC$6:$BC$53,INDEX(T_Equipos[Grupo],MATCH(BD15,T_Equipos[NombreEquipo],0)))</f>
        <v>2</v>
      </c>
      <c r="DI15" s="744"/>
      <c r="DJ15" s="744">
        <f t="shared" ca="1" si="53"/>
        <v>2</v>
      </c>
      <c r="DK15" s="744">
        <f t="shared" ca="1" si="24"/>
        <v>8</v>
      </c>
      <c r="DL15" s="744">
        <f t="shared" ca="1" si="33"/>
        <v>1</v>
      </c>
      <c r="DM15" s="738" t="str">
        <f t="shared" ca="1" si="34"/>
        <v>2.1</v>
      </c>
      <c r="DN15" s="744" cm="1">
        <f t="array" aca="1" ref="DN15" ca="1">OFFSET(Horarios!$P$3,DJ15-1,0,DL15,1)</f>
        <v>2</v>
      </c>
      <c r="DO15" s="744"/>
      <c r="DP15" s="744" t="s">
        <v>656</v>
      </c>
      <c r="DQ15" s="744" t="str">
        <f t="shared" ca="1" si="35"/>
        <v>Marruecos</v>
      </c>
      <c r="DR15" s="744"/>
      <c r="DS15" s="744"/>
      <c r="DT15" s="744" t="str">
        <f t="shared" ca="1" si="15"/>
        <v>Canadá-Catar</v>
      </c>
      <c r="DU15" s="744"/>
      <c r="DV15" s="744"/>
      <c r="DW15" s="8"/>
    </row>
    <row r="16" spans="1:127">
      <c r="A16" s="745" t="str">
        <f ca="1">+Equipos!B9</f>
        <v>Suiza</v>
      </c>
      <c r="B16" s="742"/>
      <c r="C16" s="744"/>
      <c r="D16" s="744" t="str">
        <f t="shared" si="54"/>
        <v>Pendiente</v>
      </c>
      <c r="E16" s="744" t="str">
        <f t="shared" si="55"/>
        <v>-</v>
      </c>
      <c r="F16" s="744" t="str">
        <f t="shared" si="56"/>
        <v>-</v>
      </c>
      <c r="G16" s="744"/>
      <c r="H16" s="744" t="str">
        <f t="shared" si="57"/>
        <v>-</v>
      </c>
      <c r="I16" s="744" t="str">
        <f t="shared" si="58"/>
        <v>-</v>
      </c>
      <c r="J16" s="744"/>
      <c r="K16" s="744" t="str">
        <f t="shared" si="59"/>
        <v>-</v>
      </c>
      <c r="L16" s="744" t="str">
        <f t="shared" si="60"/>
        <v>-</v>
      </c>
      <c r="M16" s="744"/>
      <c r="N16" s="744" t="str">
        <f t="shared" si="61"/>
        <v>-</v>
      </c>
      <c r="O16" s="744" t="str">
        <f t="shared" si="62"/>
        <v>-</v>
      </c>
      <c r="P16" s="744"/>
      <c r="Q16" s="744" t="str">
        <f t="shared" si="63"/>
        <v>-</v>
      </c>
      <c r="R16" s="744" t="str">
        <f t="shared" si="64"/>
        <v>-</v>
      </c>
      <c r="S16" s="744"/>
      <c r="T16" s="744" t="str">
        <f t="shared" si="65"/>
        <v>-</v>
      </c>
      <c r="U16" s="744" t="str">
        <f t="shared" si="66"/>
        <v>-</v>
      </c>
      <c r="V16" s="172"/>
      <c r="W16" s="800"/>
      <c r="X16" s="189">
        <f ca="1">Horarios!C16</f>
        <v>46197.875</v>
      </c>
      <c r="Y16" s="190">
        <f ca="1">Horarios!C16</f>
        <v>46197.875</v>
      </c>
      <c r="Z16" s="191" t="str">
        <f>$Z$8</f>
        <v>J3</v>
      </c>
      <c r="AA16" s="192" t="str">
        <f ca="1">A16</f>
        <v>Suiza</v>
      </c>
      <c r="AB16" s="478" t="e" cm="1" vm="8">
        <f t="array" aca="1" ref="AB16" ca="1">Ver_flag_local</f>
        <v>#VALUE!</v>
      </c>
      <c r="AC16" s="193"/>
      <c r="AD16" s="194"/>
      <c r="AE16" s="483" t="e" cm="1" vm="5">
        <f t="array" aca="1" ref="AE16" ca="1">Ver_flag_visit</f>
        <v>#VALUE!</v>
      </c>
      <c r="AF16" s="195" t="str">
        <f ca="1">A13</f>
        <v>Canadá</v>
      </c>
      <c r="AG16" s="413">
        <f t="shared" si="67"/>
        <v>0</v>
      </c>
      <c r="AH16" s="196">
        <v>51</v>
      </c>
      <c r="AI16" s="19" t="str">
        <f t="shared" si="72"/>
        <v>3B</v>
      </c>
      <c r="AJ16" s="258">
        <v>3</v>
      </c>
      <c r="AK16" s="486" t="e" cm="1" vm="6">
        <f t="array" aca="1" ref="AK16" ca="1">Ver_flag_visit</f>
        <v>#VALUE!</v>
      </c>
      <c r="AL16" s="222" t="str">
        <f ca="1">IFERROR(INDEX($BD$6:$BD$53,MATCH(AI16,$BN$6:$BN$53,0)),"")</f>
        <v>Bosnia y Herzegovina</v>
      </c>
      <c r="AM16" s="223">
        <f t="shared" ca="1" si="71"/>
        <v>1</v>
      </c>
      <c r="AN16" s="224">
        <f t="shared" ca="1" si="71"/>
        <v>2</v>
      </c>
      <c r="AO16" s="224">
        <f t="shared" ca="1" si="71"/>
        <v>0</v>
      </c>
      <c r="AP16" s="224">
        <f t="shared" ca="1" si="71"/>
        <v>1</v>
      </c>
      <c r="AQ16" s="224">
        <f t="shared" ca="1" si="71"/>
        <v>1</v>
      </c>
      <c r="AR16" s="224">
        <f t="shared" ca="1" si="71"/>
        <v>2</v>
      </c>
      <c r="AS16" s="224">
        <f t="shared" ca="1" si="71"/>
        <v>5</v>
      </c>
      <c r="AT16" s="259">
        <f t="shared" ca="1" si="71"/>
        <v>-3</v>
      </c>
      <c r="AU16" s="420">
        <f ca="1">INDEX($DL$6:$DL$53,MATCH(AI16,$DP$6:$DP$53,0))</f>
        <v>1</v>
      </c>
      <c r="AV16" s="217" t="str">
        <f ca="1">INDEX($BD$6:$BD$53,MATCH(AI16,$BM$6:$BM$53,0))</f>
        <v>Bosnia y Herzegovina</v>
      </c>
      <c r="AW16" s="427"/>
      <c r="AX16" s="218"/>
      <c r="AY16" s="219" t="str">
        <f ca="1">+A15</f>
        <v>Catar</v>
      </c>
      <c r="AZ16" s="220"/>
      <c r="BA16" s="175"/>
      <c r="BB16" s="744"/>
      <c r="BC16" s="756" t="str">
        <f ca="1">+INDEX(T_Equipos[Grupo],MATCH(WORLDCUP!BD16,T_Equipos[NombreEquipo],0))</f>
        <v>C</v>
      </c>
      <c r="BD16" s="744" t="str">
        <f ca="1">+Equipos!B12</f>
        <v>Haití</v>
      </c>
      <c r="BE16" s="748">
        <f t="shared" ca="1" si="25"/>
        <v>0</v>
      </c>
      <c r="BF16" s="748">
        <f t="shared" ca="1" si="26"/>
        <v>2</v>
      </c>
      <c r="BG16" s="748">
        <f t="shared" ca="1" si="17"/>
        <v>0</v>
      </c>
      <c r="BH16" s="748">
        <f t="shared" ca="1" si="18"/>
        <v>0</v>
      </c>
      <c r="BI16" s="748">
        <f t="shared" ca="1" si="19"/>
        <v>2</v>
      </c>
      <c r="BJ16" s="748">
        <f t="shared" ca="1" si="20"/>
        <v>0</v>
      </c>
      <c r="BK16" s="748">
        <f t="shared" ca="1" si="21"/>
        <v>4</v>
      </c>
      <c r="BL16" s="748">
        <f t="shared" ca="1" si="27"/>
        <v>-4</v>
      </c>
      <c r="BM16" s="748" t="str">
        <f t="shared" ca="1" si="22"/>
        <v>4C</v>
      </c>
      <c r="BN16" s="748" t="str">
        <f t="shared" ca="1" si="23"/>
        <v>4C</v>
      </c>
      <c r="BO16" s="757">
        <f t="shared" ca="1" si="28"/>
        <v>0</v>
      </c>
      <c r="BP16" s="757">
        <f ca="1">COUNTIFS($BO$6:$BO$53,"&gt;"&amp;BO16,$BC$6:$BC$53,INDEX(T_Equipos[Grupo],MATCH(BD16,T_Equipos[NombreEquipo],0)))+1</f>
        <v>1</v>
      </c>
      <c r="BQ16" s="757" t="str">
        <f ca="1">IF(COUNTIFS($BP$6:$BP$53,BP16,$BC$6:$BC$53,INDEX(T_Equipos[Grupo],MATCH(BD16,T_Equipos[NombreEquipo],0)))=1,"-","P."&amp;BP16&amp;" ("&amp;COUNTIFS($BP$6:$BP$53,BP16,$BC$6:$BC$53,INDEX(T_Equipos[Grupo],MATCH(BD16,T_Equipos[NombreEquipo],0)))&amp;")")</f>
        <v>P.1 (4)</v>
      </c>
      <c r="BR16" s="757">
        <f t="shared" ca="1" si="29"/>
        <v>0</v>
      </c>
      <c r="BS16" s="757">
        <f ca="1">BP16+COUNTIFS($BQ$6:$BQ$53,BQ16,$BR$6:BR$53,"&gt;"&amp;BR16,$BC$6:$BC$53,INDEX(T_Equipos[Grupo],MATCH(BD16,T_Equipos[NombreEquipo],0)))</f>
        <v>4</v>
      </c>
      <c r="BT16" s="757" t="str">
        <f ca="1">IF(COUNTIFS($BS$6:$BS$53,BS16,$BC$6:$BC$53,INDEX(T_Equipos[Grupo],MATCH(BD16,T_Equipos[NombreEquipo],0)))=1,"-","P."&amp;BS16&amp;" ("&amp;COUNTIFS($BS$6:$BS$53,BS16,$BC$6:$BC$53,INDEX(T_Equipos[Grupo],MATCH(BD16,T_Equipos[NombreEquipo],0)))&amp;")")</f>
        <v>-</v>
      </c>
      <c r="BU16" s="758" t="str">
        <f t="shared" ca="1" si="36"/>
        <v>-</v>
      </c>
      <c r="BV16" s="758" t="str">
        <f t="shared" ca="1" si="37"/>
        <v>-</v>
      </c>
      <c r="BW16" s="758" t="str">
        <f t="shared" ca="1" si="38"/>
        <v>-</v>
      </c>
      <c r="BX16" s="758" t="str">
        <f t="shared" ca="1" si="39"/>
        <v>-</v>
      </c>
      <c r="BY16" s="758">
        <f ca="1">BS16+COUNTIFS($BT$6:$BT$53,BT16,$BX$6:BX$53,"&gt;"&amp;BX16,$BC$6:$BC$53,INDEX(T_Equipos[Grupo],MATCH(BD16,T_Equipos[NombreEquipo],0)))</f>
        <v>4</v>
      </c>
      <c r="BZ16" s="757" t="str">
        <f ca="1">IF(COUNTIFS($BY$6:$BY$53,BY16,$BC$6:$BC$53,INDEX(T_Equipos[Grupo],MATCH(BD16,T_Equipos[NombreEquipo],0)))=1,"-","P."&amp;BY16&amp;" ("&amp;COUNTIFS($BY$6:$BY$53,BY16,$BC$6:$BC$53,INDEX(T_Equipos[Grupo],MATCH(BD16,T_Equipos[NombreEquipo],0)))&amp;")")</f>
        <v>-</v>
      </c>
      <c r="CA16" s="758" t="str">
        <f t="shared" ca="1" si="40"/>
        <v>-</v>
      </c>
      <c r="CB16" s="758" t="str">
        <f t="shared" ca="1" si="41"/>
        <v>-</v>
      </c>
      <c r="CC16" s="758" t="str">
        <f t="shared" ca="1" si="42"/>
        <v>-</v>
      </c>
      <c r="CD16" s="758">
        <f ca="1">BY16+COUNTIFS($BZ$6:$BZ$53,BZ16,$CC$6:CC$53,"&gt;"&amp;CC16,$BC$6:$BC$53,INDEX(T_Equipos[Grupo],MATCH(BD16,T_Equipos[NombreEquipo],0)))</f>
        <v>4</v>
      </c>
      <c r="CE16" s="757" t="str">
        <f ca="1">IF(COUNTIFS($CD$6:$CD$53,CD16,$BC$6:$BC$53,INDEX(T_Equipos[Grupo],MATCH(BD16,T_Equipos[NombreEquipo],0)))=1,"-","P."&amp;CD16&amp;" ("&amp;COUNTIFS($CD$6:$CD$53,CD16,$BC$6:$BC$53,INDEX(T_Equipos[Grupo],MATCH(BD16,T_Equipos[NombreEquipo],0)))&amp;")")</f>
        <v>-</v>
      </c>
      <c r="CF16" s="758" t="str">
        <f t="shared" ca="1" si="43"/>
        <v>-</v>
      </c>
      <c r="CG16" s="758">
        <f ca="1">CD16+COUNTIFS($CE$6:$CE$53,CE16,$CF$6:CF$53,"&gt;"&amp;CF16,$BC$6:$BC$53,INDEX(T_Equipos[Grupo],MATCH(BD16,T_Equipos[NombreEquipo],0)))</f>
        <v>4</v>
      </c>
      <c r="CH16" s="757" t="str">
        <f ca="1">IF(COUNTIFS($CG$6:$CG$53,CG16,$BC$6:$BC$53,INDEX(T_Equipos[Grupo],MATCH(BD16,T_Equipos[NombreEquipo],0)))=1,"-","P."&amp;CG16&amp;" ("&amp;COUNTIFS($CG$6:$CG$53,CG16,$BC$6:$BC$53,INDEX(T_Equipos[Grupo],MATCH(BD16,T_Equipos[NombreEquipo],0)))&amp;")")</f>
        <v>-</v>
      </c>
      <c r="CI16" s="758" t="str">
        <f t="shared" ca="1" si="44"/>
        <v>-</v>
      </c>
      <c r="CJ16" s="758" t="str">
        <f t="shared" ca="1" si="45"/>
        <v>-</v>
      </c>
      <c r="CK16" s="758" t="str">
        <f t="shared" ca="1" si="46"/>
        <v>-</v>
      </c>
      <c r="CL16" s="758" t="str">
        <f t="shared" ca="1" si="47"/>
        <v>-</v>
      </c>
      <c r="CM16" s="758">
        <f ca="1">CG16+COUNTIFS($CH$6:$CH$53,CH16,$CL$6:CL$53,"&gt;"&amp;CL16,$BC$6:$BC$53,INDEX(T_Equipos[Grupo],MATCH(BD16,T_Equipos[NombreEquipo],0)))</f>
        <v>4</v>
      </c>
      <c r="CN16" s="757" t="str">
        <f ca="1">IF(COUNTIFS($CM$6:$CM$53,CM16,$BC$6:$BC$53,INDEX(T_Equipos[Grupo],MATCH(BD16,T_Equipos[NombreEquipo],0)))=1,"-","P."&amp;CM16&amp;" ("&amp;COUNTIFS($CM$6:$CM$53,CM16,$BC$6:$BC$53,INDEX(T_Equipos[Grupo],MATCH(BD16,T_Equipos[NombreEquipo],0)))&amp;")")</f>
        <v>-</v>
      </c>
      <c r="CO16" s="758" t="str">
        <f t="shared" ca="1" si="48"/>
        <v>-</v>
      </c>
      <c r="CP16" s="758" t="str">
        <f t="shared" ca="1" si="49"/>
        <v>-</v>
      </c>
      <c r="CQ16" s="758" t="str">
        <f t="shared" ca="1" si="50"/>
        <v>-</v>
      </c>
      <c r="CR16" s="758">
        <f ca="1">CM16+COUNTIFS($CN$6:$CN$53,CN16,$CQ$6:CQ$53,"&gt;"&amp;CQ16,$BC$6:$BC$53,INDEX(T_Equipos[Grupo],MATCH(BD16,T_Equipos[NombreEquipo],0)))</f>
        <v>4</v>
      </c>
      <c r="CS16" s="757" t="str">
        <f ca="1">IF(COUNTIFS($CR$6:$CR$53,CR16,$BC$6:$BC$53,INDEX(T_Equipos[Grupo],MATCH(BD16,T_Equipos[NombreEquipo],0)))=1,"-","P."&amp;CR16&amp;" ("&amp;COUNTIFS($CR$6:$CR$53,CR16,$BC$6:$BC$53,INDEX(T_Equipos[Grupo],MATCH(BD16,T_Equipos[NombreEquipo],0)))&amp;")")</f>
        <v>-</v>
      </c>
      <c r="CT16" s="758" t="str">
        <f t="shared" ca="1" si="51"/>
        <v>-</v>
      </c>
      <c r="CU16" s="758">
        <f ca="1">CR16+COUNTIFS($CS$6:$CS$53,CS16,$CT$6:CT$53,"&gt;"&amp;CT16,$BC$6:$BC$53,INDEX(T_Equipos[Grupo],MATCH(BD16,T_Equipos[NombreEquipo],0)))</f>
        <v>4</v>
      </c>
      <c r="CV16" s="757" t="str">
        <f ca="1">IF(COUNTIFS($CU$6:$CU$53,CU16,$BC$6:$BC$53,INDEX(T_Equipos[Grupo],MATCH(BD16,T_Equipos[NombreEquipo],0)))=1,"-","P."&amp;CU16&amp;" ("&amp;COUNTIFS($CU$6:$CU$53,CU16,$BC$6:$BC$53,INDEX(T_Equipos[Grupo],MATCH(BD16,T_Equipos[NombreEquipo],0)))&amp;")")</f>
        <v>-</v>
      </c>
      <c r="CW16" s="757" t="str">
        <f t="shared" ca="1" si="30"/>
        <v>-</v>
      </c>
      <c r="CX16" s="757">
        <f ca="1">CU16+COUNTIFS($CV$6:$CV$53,CV16,$CW$6:CW$53,"&gt;"&amp;CW16,$BC$6:$BC$53,INDEX(T_Equipos[Grupo],MATCH(BD16,T_Equipos[NombreEquipo],0)))</f>
        <v>4</v>
      </c>
      <c r="CY16" s="757" t="str">
        <f ca="1">IF(COUNTIFS($CX$6:$CX$53,CX16,$BC$6:$BC$53,INDEX(T_Equipos[Grupo],MATCH(BD16,T_Equipos[NombreEquipo],0)))=1,"-","P."&amp;CX16&amp;" ("&amp;COUNTIFS($CX$6:$CX$53,CX16,$BC$6:$BC$53,INDEX(T_Equipos[Grupo],MATCH(BD16,T_Equipos[NombreEquipo],0)))&amp;")")</f>
        <v>-</v>
      </c>
      <c r="CZ16" s="757" t="str">
        <f t="shared" ca="1" si="31"/>
        <v>-</v>
      </c>
      <c r="DA16" s="758">
        <f ca="1">CX16+COUNTIFS($CY$6:$CY$53,CY16,$CZ$6:CZ$53,"&gt;"&amp;CZ16,$BC$6:$BC$53,INDEX(T_Equipos[Grupo],MATCH(BD16,T_Equipos[NombreEquipo],0)))</f>
        <v>4</v>
      </c>
      <c r="DB16" s="757" t="str">
        <f ca="1">IF(COUNTIFS($DA$6:$DA$53,DA16,$BC$6:$BC$53,INDEX(T_Equipos[Grupo],MATCH(BD16,T_Equipos[NombreEquipo],0)))=1,"-","P."&amp;DA16&amp;" ("&amp;COUNTIFS($DA$6:$DA$53,DA16,$BC$6:$BC$53,INDEX(T_Equipos[Grupo],MATCH(BD16,T_Equipos[NombreEquipo],0)))&amp;")")</f>
        <v>-</v>
      </c>
      <c r="DC16" s="756" t="str">
        <f ca="1">IF(DB16="-","-",COUNTIFS(T_Equipos[Rank],"&lt;"&amp;INDEX(T_Equipos[Rank],MATCH(BD16,T_Equipos[NombreEquipo],0)),$BC$6:$BC$53,INDEX(T_Equipos[Grupo],MATCH(BD16,T_Equipos[NombreEquipo],0)))+1)</f>
        <v>-</v>
      </c>
      <c r="DD16" s="756">
        <f ca="1">DA16+COUNTIFS($DB$6:$DB$53,DB16,$DC$6:DC$53,"&lt;"&amp;DC16,$BC$6:$BC$53,INDEX(T_Equipos[Grupo],MATCH(BD16,T_Equipos[NombreEquipo],0)))</f>
        <v>4</v>
      </c>
      <c r="DE16" s="756"/>
      <c r="DF16" s="756">
        <f t="shared" ca="1" si="52"/>
        <v>4</v>
      </c>
      <c r="DG16" s="756" t="str">
        <f ca="1">IF(DB16="-","-",COUNTIFS(DF$6:DF$53,"&lt;"&amp;DF16,$BC$6:$BC$53,INDEX(T_Equipos[Grupo],MATCH(BD16,T_Equipos[NombreEquipo],0))))</f>
        <v>-</v>
      </c>
      <c r="DH16" s="756">
        <f ca="1">DA16+COUNTIFS(DB$6:DB$53,DB16,DG$6:DG$53,"&lt;"&amp;DG16,$BC$6:$BC$53,INDEX(T_Equipos[Grupo],MATCH(BD16,T_Equipos[NombreEquipo],0)))</f>
        <v>4</v>
      </c>
      <c r="DI16" s="744"/>
      <c r="DJ16" s="744">
        <f t="shared" ca="1" si="53"/>
        <v>3</v>
      </c>
      <c r="DK16" s="744">
        <f t="shared" ca="1" si="24"/>
        <v>8</v>
      </c>
      <c r="DL16" s="744">
        <f t="shared" ca="1" si="33"/>
        <v>1</v>
      </c>
      <c r="DM16" s="738" t="str">
        <f t="shared" ca="1" si="34"/>
        <v>3.1</v>
      </c>
      <c r="DN16" s="744" cm="1">
        <f t="array" aca="1" ref="DN16" ca="1">OFFSET(Horarios!$P$3,DJ16-1,0,DL16,1)</f>
        <v>3</v>
      </c>
      <c r="DO16" s="744"/>
      <c r="DP16" s="744" t="s">
        <v>91</v>
      </c>
      <c r="DQ16" s="744" t="str">
        <f t="shared" ca="1" si="35"/>
        <v>Escocia</v>
      </c>
      <c r="DR16" s="744"/>
      <c r="DS16" s="744"/>
      <c r="DT16" s="744" t="str">
        <f t="shared" ca="1" si="15"/>
        <v>Suiza-Canadá</v>
      </c>
      <c r="DU16" s="744"/>
      <c r="DV16" s="744"/>
      <c r="DW16" s="8"/>
    </row>
    <row r="17" spans="1:127" ht="15" thickBot="1">
      <c r="A17" s="739"/>
      <c r="B17" s="742"/>
      <c r="C17" s="739"/>
      <c r="D17" s="744" t="str">
        <f t="shared" si="54"/>
        <v>Pendiente</v>
      </c>
      <c r="E17" s="744" t="str">
        <f t="shared" si="55"/>
        <v>-</v>
      </c>
      <c r="F17" s="744" t="str">
        <f t="shared" si="56"/>
        <v>-</v>
      </c>
      <c r="G17" s="744"/>
      <c r="H17" s="744" t="str">
        <f t="shared" si="57"/>
        <v>-</v>
      </c>
      <c r="I17" s="744" t="str">
        <f t="shared" si="58"/>
        <v>-</v>
      </c>
      <c r="J17" s="744"/>
      <c r="K17" s="744" t="str">
        <f t="shared" si="59"/>
        <v>-</v>
      </c>
      <c r="L17" s="744" t="str">
        <f t="shared" si="60"/>
        <v>-</v>
      </c>
      <c r="M17" s="744"/>
      <c r="N17" s="744" t="str">
        <f t="shared" si="61"/>
        <v>-</v>
      </c>
      <c r="O17" s="744" t="str">
        <f t="shared" si="62"/>
        <v>-</v>
      </c>
      <c r="P17" s="744"/>
      <c r="Q17" s="744" t="str">
        <f t="shared" si="63"/>
        <v>-</v>
      </c>
      <c r="R17" s="744" t="str">
        <f t="shared" si="64"/>
        <v>-</v>
      </c>
      <c r="S17" s="744"/>
      <c r="T17" s="744" t="str">
        <f t="shared" si="65"/>
        <v>-</v>
      </c>
      <c r="U17" s="744" t="str">
        <f t="shared" si="66"/>
        <v>-</v>
      </c>
      <c r="V17" s="172"/>
      <c r="W17" s="801"/>
      <c r="X17" s="228">
        <f ca="1">Horarios!C17</f>
        <v>46197.875</v>
      </c>
      <c r="Y17" s="229">
        <f ca="1">Horarios!C17</f>
        <v>46197.875</v>
      </c>
      <c r="Z17" s="230" t="str">
        <f>$Z$8</f>
        <v>J3</v>
      </c>
      <c r="AA17" s="231" t="str">
        <f ca="1">A14</f>
        <v>Bosnia y Herzegovina</v>
      </c>
      <c r="AB17" s="479" t="e" cm="1" vm="6">
        <f t="array" aca="1" ref="AB17" ca="1">Ver_flag_local</f>
        <v>#VALUE!</v>
      </c>
      <c r="AC17" s="232"/>
      <c r="AD17" s="233"/>
      <c r="AE17" s="484" t="e" cm="1" vm="7">
        <f t="array" aca="1" ref="AE17" ca="1">Ver_flag_visit</f>
        <v>#VALUE!</v>
      </c>
      <c r="AF17" s="234" t="str">
        <f ca="1">A15</f>
        <v>Catar</v>
      </c>
      <c r="AG17" s="413">
        <f t="shared" si="67"/>
        <v>0</v>
      </c>
      <c r="AH17" s="196">
        <v>52</v>
      </c>
      <c r="AI17" s="19" t="str">
        <f t="shared" si="72"/>
        <v>4B</v>
      </c>
      <c r="AJ17" s="260">
        <v>4</v>
      </c>
      <c r="AK17" s="489" t="e" cm="1" vm="7">
        <f t="array" aca="1" ref="AK17" ca="1">Ver_flag_visit</f>
        <v>#VALUE!</v>
      </c>
      <c r="AL17" s="261" t="str">
        <f ca="1">IFERROR(INDEX($BD$6:$BD$53,MATCH(AI17,$BN$6:$BN$53,0)),"")</f>
        <v>Catar</v>
      </c>
      <c r="AM17" s="262">
        <f t="shared" ca="1" si="71"/>
        <v>1</v>
      </c>
      <c r="AN17" s="263">
        <f t="shared" ca="1" si="71"/>
        <v>2</v>
      </c>
      <c r="AO17" s="263">
        <f t="shared" ca="1" si="71"/>
        <v>0</v>
      </c>
      <c r="AP17" s="263">
        <f t="shared" ca="1" si="71"/>
        <v>1</v>
      </c>
      <c r="AQ17" s="263">
        <f t="shared" ca="1" si="71"/>
        <v>1</v>
      </c>
      <c r="AR17" s="263">
        <f t="shared" ca="1" si="71"/>
        <v>1</v>
      </c>
      <c r="AS17" s="263">
        <f t="shared" ca="1" si="71"/>
        <v>7</v>
      </c>
      <c r="AT17" s="264">
        <f t="shared" ca="1" si="71"/>
        <v>-6</v>
      </c>
      <c r="AU17" s="420">
        <f ca="1">INDEX($DL$6:$DL$53,MATCH(AI17,$DP$6:$DP$53,0))</f>
        <v>1</v>
      </c>
      <c r="AV17" s="217" t="str">
        <f ca="1">INDEX($BD$6:$BD$53,MATCH(AI17,$BM$6:$BM$53,0))</f>
        <v>Catar</v>
      </c>
      <c r="AW17" s="427"/>
      <c r="AX17" s="218"/>
      <c r="AY17" s="240" t="str">
        <f ca="1">+A16</f>
        <v>Suiza</v>
      </c>
      <c r="AZ17" s="241"/>
      <c r="BA17" s="175"/>
      <c r="BB17" s="744"/>
      <c r="BC17" s="756" t="str">
        <f ca="1">+INDEX(T_Equipos[Grupo],MATCH(WORLDCUP!BD17,T_Equipos[NombreEquipo],0))</f>
        <v>C</v>
      </c>
      <c r="BD17" s="744" t="str">
        <f ca="1">+Equipos!B13</f>
        <v>Escocia</v>
      </c>
      <c r="BE17" s="748">
        <f t="shared" ca="1" si="25"/>
        <v>3</v>
      </c>
      <c r="BF17" s="748">
        <f t="shared" ca="1" si="26"/>
        <v>2</v>
      </c>
      <c r="BG17" s="748">
        <f t="shared" ca="1" si="17"/>
        <v>1</v>
      </c>
      <c r="BH17" s="748">
        <f t="shared" ca="1" si="18"/>
        <v>0</v>
      </c>
      <c r="BI17" s="748">
        <f t="shared" ca="1" si="19"/>
        <v>1</v>
      </c>
      <c r="BJ17" s="748">
        <f t="shared" ca="1" si="20"/>
        <v>1</v>
      </c>
      <c r="BK17" s="748">
        <f t="shared" ca="1" si="21"/>
        <v>1</v>
      </c>
      <c r="BL17" s="748">
        <f t="shared" ca="1" si="27"/>
        <v>0</v>
      </c>
      <c r="BM17" s="748" t="str">
        <f t="shared" ca="1" si="22"/>
        <v>3C</v>
      </c>
      <c r="BN17" s="748" t="str">
        <f t="shared" ca="1" si="23"/>
        <v>3C</v>
      </c>
      <c r="BO17" s="757">
        <f t="shared" ca="1" si="28"/>
        <v>0</v>
      </c>
      <c r="BP17" s="757">
        <f ca="1">COUNTIFS($BO$6:$BO$53,"&gt;"&amp;BO17,$BC$6:$BC$53,INDEX(T_Equipos[Grupo],MATCH(BD17,T_Equipos[NombreEquipo],0)))+1</f>
        <v>1</v>
      </c>
      <c r="BQ17" s="757" t="str">
        <f ca="1">IF(COUNTIFS($BP$6:$BP$53,BP17,$BC$6:$BC$53,INDEX(T_Equipos[Grupo],MATCH(BD17,T_Equipos[NombreEquipo],0)))=1,"-","P."&amp;BP17&amp;" ("&amp;COUNTIFS($BP$6:$BP$53,BP17,$BC$6:$BC$53,INDEX(T_Equipos[Grupo],MATCH(BD17,T_Equipos[NombreEquipo],0)))&amp;")")</f>
        <v>P.1 (4)</v>
      </c>
      <c r="BR17" s="757">
        <f t="shared" ca="1" si="29"/>
        <v>3</v>
      </c>
      <c r="BS17" s="757">
        <f ca="1">BP17+COUNTIFS($BQ$6:$BQ$53,BQ17,$BR$6:BR$53,"&gt;"&amp;BR17,$BC$6:$BC$53,INDEX(T_Equipos[Grupo],MATCH(BD17,T_Equipos[NombreEquipo],0)))</f>
        <v>3</v>
      </c>
      <c r="BT17" s="757" t="str">
        <f ca="1">IF(COUNTIFS($BS$6:$BS$53,BS17,$BC$6:$BC$53,INDEX(T_Equipos[Grupo],MATCH(BD17,T_Equipos[NombreEquipo],0)))=1,"-","P."&amp;BS17&amp;" ("&amp;COUNTIFS($BS$6:$BS$53,BS17,$BC$6:$BC$53,INDEX(T_Equipos[Grupo],MATCH(BD17,T_Equipos[NombreEquipo],0)))&amp;")")</f>
        <v>-</v>
      </c>
      <c r="BU17" s="758" t="str">
        <f t="shared" ca="1" si="36"/>
        <v>-</v>
      </c>
      <c r="BV17" s="758" t="str">
        <f t="shared" ca="1" si="37"/>
        <v>-</v>
      </c>
      <c r="BW17" s="758" t="str">
        <f t="shared" ca="1" si="38"/>
        <v>-</v>
      </c>
      <c r="BX17" s="758" t="str">
        <f t="shared" ca="1" si="39"/>
        <v>-</v>
      </c>
      <c r="BY17" s="758">
        <f ca="1">BS17+COUNTIFS($BT$6:$BT$53,BT17,$BX$6:BX$53,"&gt;"&amp;BX17,$BC$6:$BC$53,INDEX(T_Equipos[Grupo],MATCH(BD17,T_Equipos[NombreEquipo],0)))</f>
        <v>3</v>
      </c>
      <c r="BZ17" s="757" t="str">
        <f ca="1">IF(COUNTIFS($BY$6:$BY$53,BY17,$BC$6:$BC$53,INDEX(T_Equipos[Grupo],MATCH(BD17,T_Equipos[NombreEquipo],0)))=1,"-","P."&amp;BY17&amp;" ("&amp;COUNTIFS($BY$6:$BY$53,BY17,$BC$6:$BC$53,INDEX(T_Equipos[Grupo],MATCH(BD17,T_Equipos[NombreEquipo],0)))&amp;")")</f>
        <v>-</v>
      </c>
      <c r="CA17" s="758" t="str">
        <f t="shared" ca="1" si="40"/>
        <v>-</v>
      </c>
      <c r="CB17" s="758" t="str">
        <f t="shared" ca="1" si="41"/>
        <v>-</v>
      </c>
      <c r="CC17" s="758" t="str">
        <f t="shared" ca="1" si="42"/>
        <v>-</v>
      </c>
      <c r="CD17" s="758">
        <f ca="1">BY17+COUNTIFS($BZ$6:$BZ$53,BZ17,$CC$6:CC$53,"&gt;"&amp;CC17,$BC$6:$BC$53,INDEX(T_Equipos[Grupo],MATCH(BD17,T_Equipos[NombreEquipo],0)))</f>
        <v>3</v>
      </c>
      <c r="CE17" s="757" t="str">
        <f ca="1">IF(COUNTIFS($CD$6:$CD$53,CD17,$BC$6:$BC$53,INDEX(T_Equipos[Grupo],MATCH(BD17,T_Equipos[NombreEquipo],0)))=1,"-","P."&amp;CD17&amp;" ("&amp;COUNTIFS($CD$6:$CD$53,CD17,$BC$6:$BC$53,INDEX(T_Equipos[Grupo],MATCH(BD17,T_Equipos[NombreEquipo],0)))&amp;")")</f>
        <v>-</v>
      </c>
      <c r="CF17" s="758" t="str">
        <f t="shared" ca="1" si="43"/>
        <v>-</v>
      </c>
      <c r="CG17" s="758">
        <f ca="1">CD17+COUNTIFS($CE$6:$CE$53,CE17,$CF$6:CF$53,"&gt;"&amp;CF17,$BC$6:$BC$53,INDEX(T_Equipos[Grupo],MATCH(BD17,T_Equipos[NombreEquipo],0)))</f>
        <v>3</v>
      </c>
      <c r="CH17" s="757" t="str">
        <f ca="1">IF(COUNTIFS($CG$6:$CG$53,CG17,$BC$6:$BC$53,INDEX(T_Equipos[Grupo],MATCH(BD17,T_Equipos[NombreEquipo],0)))=1,"-","P."&amp;CG17&amp;" ("&amp;COUNTIFS($CG$6:$CG$53,CG17,$BC$6:$BC$53,INDEX(T_Equipos[Grupo],MATCH(BD17,T_Equipos[NombreEquipo],0)))&amp;")")</f>
        <v>-</v>
      </c>
      <c r="CI17" s="758" t="str">
        <f t="shared" ca="1" si="44"/>
        <v>-</v>
      </c>
      <c r="CJ17" s="758" t="str">
        <f t="shared" ca="1" si="45"/>
        <v>-</v>
      </c>
      <c r="CK17" s="758" t="str">
        <f t="shared" ca="1" si="46"/>
        <v>-</v>
      </c>
      <c r="CL17" s="758" t="str">
        <f t="shared" ca="1" si="47"/>
        <v>-</v>
      </c>
      <c r="CM17" s="758">
        <f ca="1">CG17+COUNTIFS($CH$6:$CH$53,CH17,$CL$6:CL$53,"&gt;"&amp;CL17,$BC$6:$BC$53,INDEX(T_Equipos[Grupo],MATCH(BD17,T_Equipos[NombreEquipo],0)))</f>
        <v>3</v>
      </c>
      <c r="CN17" s="757" t="str">
        <f ca="1">IF(COUNTIFS($CM$6:$CM$53,CM17,$BC$6:$BC$53,INDEX(T_Equipos[Grupo],MATCH(BD17,T_Equipos[NombreEquipo],0)))=1,"-","P."&amp;CM17&amp;" ("&amp;COUNTIFS($CM$6:$CM$53,CM17,$BC$6:$BC$53,INDEX(T_Equipos[Grupo],MATCH(BD17,T_Equipos[NombreEquipo],0)))&amp;")")</f>
        <v>-</v>
      </c>
      <c r="CO17" s="758" t="str">
        <f t="shared" ca="1" si="48"/>
        <v>-</v>
      </c>
      <c r="CP17" s="758" t="str">
        <f t="shared" ca="1" si="49"/>
        <v>-</v>
      </c>
      <c r="CQ17" s="758" t="str">
        <f t="shared" ca="1" si="50"/>
        <v>-</v>
      </c>
      <c r="CR17" s="758">
        <f ca="1">CM17+COUNTIFS($CN$6:$CN$53,CN17,$CQ$6:CQ$53,"&gt;"&amp;CQ17,$BC$6:$BC$53,INDEX(T_Equipos[Grupo],MATCH(BD17,T_Equipos[NombreEquipo],0)))</f>
        <v>3</v>
      </c>
      <c r="CS17" s="757" t="str">
        <f ca="1">IF(COUNTIFS($CR$6:$CR$53,CR17,$BC$6:$BC$53,INDEX(T_Equipos[Grupo],MATCH(BD17,T_Equipos[NombreEquipo],0)))=1,"-","P."&amp;CR17&amp;" ("&amp;COUNTIFS($CR$6:$CR$53,CR17,$BC$6:$BC$53,INDEX(T_Equipos[Grupo],MATCH(BD17,T_Equipos[NombreEquipo],0)))&amp;")")</f>
        <v>-</v>
      </c>
      <c r="CT17" s="758" t="str">
        <f t="shared" ca="1" si="51"/>
        <v>-</v>
      </c>
      <c r="CU17" s="758">
        <f ca="1">CR17+COUNTIFS($CS$6:$CS$53,CS17,$CT$6:CT$53,"&gt;"&amp;CT17,$BC$6:$BC$53,INDEX(T_Equipos[Grupo],MATCH(BD17,T_Equipos[NombreEquipo],0)))</f>
        <v>3</v>
      </c>
      <c r="CV17" s="757" t="str">
        <f ca="1">IF(COUNTIFS($CU$6:$CU$53,CU17,$BC$6:$BC$53,INDEX(T_Equipos[Grupo],MATCH(BD17,T_Equipos[NombreEquipo],0)))=1,"-","P."&amp;CU17&amp;" ("&amp;COUNTIFS($CU$6:$CU$53,CU17,$BC$6:$BC$53,INDEX(T_Equipos[Grupo],MATCH(BD17,T_Equipos[NombreEquipo],0)))&amp;")")</f>
        <v>-</v>
      </c>
      <c r="CW17" s="757" t="str">
        <f t="shared" ca="1" si="30"/>
        <v>-</v>
      </c>
      <c r="CX17" s="757">
        <f ca="1">CU17+COUNTIFS($CV$6:$CV$53,CV17,$CW$6:CW$53,"&gt;"&amp;CW17,$BC$6:$BC$53,INDEX(T_Equipos[Grupo],MATCH(BD17,T_Equipos[NombreEquipo],0)))</f>
        <v>3</v>
      </c>
      <c r="CY17" s="757" t="str">
        <f ca="1">IF(COUNTIFS($CX$6:$CX$53,CX17,$BC$6:$BC$53,INDEX(T_Equipos[Grupo],MATCH(BD17,T_Equipos[NombreEquipo],0)))=1,"-","P."&amp;CX17&amp;" ("&amp;COUNTIFS($CX$6:$CX$53,CX17,$BC$6:$BC$53,INDEX(T_Equipos[Grupo],MATCH(BD17,T_Equipos[NombreEquipo],0)))&amp;")")</f>
        <v>-</v>
      </c>
      <c r="CZ17" s="757" t="str">
        <f t="shared" ca="1" si="31"/>
        <v>-</v>
      </c>
      <c r="DA17" s="758">
        <f ca="1">CX17+COUNTIFS($CY$6:$CY$53,CY17,$CZ$6:CZ$53,"&gt;"&amp;CZ17,$BC$6:$BC$53,INDEX(T_Equipos[Grupo],MATCH(BD17,T_Equipos[NombreEquipo],0)))</f>
        <v>3</v>
      </c>
      <c r="DB17" s="757" t="str">
        <f ca="1">IF(COUNTIFS($DA$6:$DA$53,DA17,$BC$6:$BC$53,INDEX(T_Equipos[Grupo],MATCH(BD17,T_Equipos[NombreEquipo],0)))=1,"-","P."&amp;DA17&amp;" ("&amp;COUNTIFS($DA$6:$DA$53,DA17,$BC$6:$BC$53,INDEX(T_Equipos[Grupo],MATCH(BD17,T_Equipos[NombreEquipo],0)))&amp;")")</f>
        <v>-</v>
      </c>
      <c r="DC17" s="756" t="str">
        <f ca="1">IF(DB17="-","-",COUNTIFS(T_Equipos[Rank],"&lt;"&amp;INDEX(T_Equipos[Rank],MATCH(BD17,T_Equipos[NombreEquipo],0)),$BC$6:$BC$53,INDEX(T_Equipos[Grupo],MATCH(BD17,T_Equipos[NombreEquipo],0)))+1)</f>
        <v>-</v>
      </c>
      <c r="DD17" s="756">
        <f ca="1">DA17+COUNTIFS($DB$6:$DB$53,DB17,$DC$6:DC$53,"&lt;"&amp;DC17,$BC$6:$BC$53,INDEX(T_Equipos[Grupo],MATCH(BD17,T_Equipos[NombreEquipo],0)))</f>
        <v>3</v>
      </c>
      <c r="DE17" s="756"/>
      <c r="DF17" s="756">
        <f t="shared" ca="1" si="52"/>
        <v>3</v>
      </c>
      <c r="DG17" s="756" t="str">
        <f ca="1">IF(DB17="-","-",COUNTIFS(DF$6:DF$53,"&lt;"&amp;DF17,$BC$6:$BC$53,INDEX(T_Equipos[Grupo],MATCH(BD17,T_Equipos[NombreEquipo],0))))</f>
        <v>-</v>
      </c>
      <c r="DH17" s="756">
        <f ca="1">DA17+COUNTIFS(DB$6:DB$53,DB17,DG$6:DG$53,"&lt;"&amp;DG17,$BC$6:$BC$53,INDEX(T_Equipos[Grupo],MATCH(BD17,T_Equipos[NombreEquipo],0)))</f>
        <v>3</v>
      </c>
      <c r="DI17" s="744"/>
      <c r="DJ17" s="744">
        <f t="shared" ca="1" si="53"/>
        <v>4</v>
      </c>
      <c r="DK17" s="744">
        <f t="shared" ca="1" si="24"/>
        <v>8</v>
      </c>
      <c r="DL17" s="744">
        <f t="shared" ca="1" si="33"/>
        <v>1</v>
      </c>
      <c r="DM17" s="738" t="str">
        <f t="shared" ca="1" si="34"/>
        <v>4.1</v>
      </c>
      <c r="DN17" s="744" cm="1">
        <f t="array" aca="1" ref="DN17" ca="1">OFFSET(Horarios!$P$3,DJ17-1,0,DL17,1)</f>
        <v>4</v>
      </c>
      <c r="DO17" s="744"/>
      <c r="DP17" s="744" t="s">
        <v>657</v>
      </c>
      <c r="DQ17" s="744" t="str">
        <f t="shared" ca="1" si="35"/>
        <v>Haití</v>
      </c>
      <c r="DR17" s="744"/>
      <c r="DS17" s="744"/>
      <c r="DT17" s="744" t="str">
        <f t="shared" ca="1" si="15"/>
        <v>Bosnia y Herzegovina-Catar</v>
      </c>
      <c r="DU17" s="744"/>
      <c r="DV17" s="744"/>
      <c r="DW17" s="8"/>
    </row>
    <row r="18" spans="1:127" ht="15" thickBot="1">
      <c r="A18" s="739"/>
      <c r="B18" s="742"/>
      <c r="C18" s="739"/>
      <c r="D18" s="744"/>
      <c r="E18" s="744"/>
      <c r="F18" s="744"/>
      <c r="G18" s="744"/>
      <c r="H18" s="744"/>
      <c r="I18" s="744"/>
      <c r="J18" s="744"/>
      <c r="K18" s="744"/>
      <c r="L18" s="744"/>
      <c r="M18" s="744"/>
      <c r="N18" s="744"/>
      <c r="O18" s="744"/>
      <c r="P18" s="744"/>
      <c r="Q18" s="744"/>
      <c r="R18" s="744"/>
      <c r="S18" s="744"/>
      <c r="T18" s="744"/>
      <c r="U18" s="744"/>
      <c r="V18" s="172"/>
      <c r="W18" s="242"/>
      <c r="X18" s="243"/>
      <c r="Y18" s="242"/>
      <c r="Z18" s="244"/>
      <c r="AA18" s="245"/>
      <c r="AB18" s="482"/>
      <c r="AC18" s="247"/>
      <c r="AD18" s="247"/>
      <c r="AE18" s="482"/>
      <c r="AF18" s="248"/>
      <c r="AG18" s="415"/>
      <c r="AH18" s="196"/>
      <c r="AI18" s="171"/>
      <c r="AJ18" s="249"/>
      <c r="AK18" s="250"/>
      <c r="AL18" s="186"/>
      <c r="AM18" s="251"/>
      <c r="AN18" s="249"/>
      <c r="AO18" s="249"/>
      <c r="AP18" s="249"/>
      <c r="AQ18" s="249"/>
      <c r="AR18" s="249"/>
      <c r="AS18" s="249"/>
      <c r="AT18" s="249"/>
      <c r="AU18" s="420"/>
      <c r="AV18" s="216"/>
      <c r="AW18" s="428"/>
      <c r="AX18" s="218"/>
      <c r="AY18" s="242"/>
      <c r="AZ18" s="243"/>
      <c r="BA18" s="175"/>
      <c r="BB18" s="744"/>
      <c r="BC18" s="756" t="str">
        <f ca="1">+INDEX(T_Equipos[Grupo],MATCH(WORLDCUP!BD18,T_Equipos[NombreEquipo],0))</f>
        <v>D</v>
      </c>
      <c r="BD18" s="744" t="str">
        <f ca="1">+Equipos!B14</f>
        <v>Estados Unidos</v>
      </c>
      <c r="BE18" s="748">
        <f t="shared" ca="1" si="25"/>
        <v>6</v>
      </c>
      <c r="BF18" s="748">
        <f t="shared" ca="1" si="26"/>
        <v>2</v>
      </c>
      <c r="BG18" s="748">
        <f t="shared" ca="1" si="17"/>
        <v>2</v>
      </c>
      <c r="BH18" s="748">
        <f t="shared" ca="1" si="18"/>
        <v>0</v>
      </c>
      <c r="BI18" s="748">
        <f t="shared" ca="1" si="19"/>
        <v>0</v>
      </c>
      <c r="BJ18" s="748">
        <f t="shared" ca="1" si="20"/>
        <v>6</v>
      </c>
      <c r="BK18" s="748">
        <f t="shared" ca="1" si="21"/>
        <v>1</v>
      </c>
      <c r="BL18" s="748">
        <f t="shared" ca="1" si="27"/>
        <v>5</v>
      </c>
      <c r="BM18" s="748" t="str">
        <f t="shared" ca="1" si="22"/>
        <v>1D</v>
      </c>
      <c r="BN18" s="748" t="str">
        <f t="shared" ca="1" si="23"/>
        <v>1D</v>
      </c>
      <c r="BO18" s="758">
        <f t="shared" ca="1" si="28"/>
        <v>0</v>
      </c>
      <c r="BP18" s="757">
        <f ca="1">COUNTIFS($BO$6:$BO$53,"&gt;"&amp;BO18,$BC$6:$BC$53,INDEX(T_Equipos[Grupo],MATCH(BD18,T_Equipos[NombreEquipo],0)))+1</f>
        <v>1</v>
      </c>
      <c r="BQ18" s="757" t="str">
        <f ca="1">IF(COUNTIFS($BP$6:$BP$53,BP18,$BC$6:$BC$53,INDEX(T_Equipos[Grupo],MATCH(BD18,T_Equipos[NombreEquipo],0)))=1,"-","P."&amp;BP18&amp;" ("&amp;COUNTIFS($BP$6:$BP$53,BP18,$BC$6:$BC$53,INDEX(T_Equipos[Grupo],MATCH(BD18,T_Equipos[NombreEquipo],0)))&amp;")")</f>
        <v>P.1 (4)</v>
      </c>
      <c r="BR18" s="758">
        <f t="shared" ca="1" si="29"/>
        <v>6</v>
      </c>
      <c r="BS18" s="757">
        <f ca="1">BP18+COUNTIFS($BQ$6:$BQ$53,BQ18,$BR$6:BR$53,"&gt;"&amp;BR18,$BC$6:$BC$53,INDEX(T_Equipos[Grupo],MATCH(BD18,T_Equipos[NombreEquipo],0)))</f>
        <v>1</v>
      </c>
      <c r="BT18" s="757" t="str">
        <f ca="1">IF(COUNTIFS($BS$6:$BS$53,BS18,$BC$6:$BC$53,INDEX(T_Equipos[Grupo],MATCH(BD18,T_Equipos[NombreEquipo],0)))=1,"-","P."&amp;BS18&amp;" ("&amp;COUNTIFS($BS$6:$BS$53,BS18,$BC$6:$BC$53,INDEX(T_Equipos[Grupo],MATCH(BD18,T_Equipos[NombreEquipo],0)))&amp;")")</f>
        <v>-</v>
      </c>
      <c r="BU18" s="758" t="str">
        <f t="shared" ca="1" si="36"/>
        <v>-</v>
      </c>
      <c r="BV18" s="758" t="str">
        <f t="shared" ca="1" si="37"/>
        <v>-</v>
      </c>
      <c r="BW18" s="758" t="str">
        <f t="shared" ca="1" si="38"/>
        <v>-</v>
      </c>
      <c r="BX18" s="758" t="str">
        <f t="shared" ca="1" si="39"/>
        <v>-</v>
      </c>
      <c r="BY18" s="758">
        <f ca="1">BS18+COUNTIFS($BT$6:$BT$53,BT18,$BX$6:BX$53,"&gt;"&amp;BX18,$BC$6:$BC$53,INDEX(T_Equipos[Grupo],MATCH(BD18,T_Equipos[NombreEquipo],0)))</f>
        <v>1</v>
      </c>
      <c r="BZ18" s="757" t="str">
        <f ca="1">IF(COUNTIFS($BY$6:$BY$53,BY18,$BC$6:$BC$53,INDEX(T_Equipos[Grupo],MATCH(BD18,T_Equipos[NombreEquipo],0)))=1,"-","P."&amp;BY18&amp;" ("&amp;COUNTIFS($BY$6:$BY$53,BY18,$BC$6:$BC$53,INDEX(T_Equipos[Grupo],MATCH(BD18,T_Equipos[NombreEquipo],0)))&amp;")")</f>
        <v>-</v>
      </c>
      <c r="CA18" s="758" t="str">
        <f t="shared" ca="1" si="40"/>
        <v>-</v>
      </c>
      <c r="CB18" s="758" t="str">
        <f t="shared" ca="1" si="41"/>
        <v>-</v>
      </c>
      <c r="CC18" s="758" t="str">
        <f t="shared" ca="1" si="42"/>
        <v>-</v>
      </c>
      <c r="CD18" s="758">
        <f ca="1">BY18+COUNTIFS($BZ$6:$BZ$53,BZ18,$CC$6:CC$53,"&gt;"&amp;CC18,$BC$6:$BC$53,INDEX(T_Equipos[Grupo],MATCH(BD18,T_Equipos[NombreEquipo],0)))</f>
        <v>1</v>
      </c>
      <c r="CE18" s="757" t="str">
        <f ca="1">IF(COUNTIFS($CD$6:$CD$53,CD18,$BC$6:$BC$53,INDEX(T_Equipos[Grupo],MATCH(BD18,T_Equipos[NombreEquipo],0)))=1,"-","P."&amp;CD18&amp;" ("&amp;COUNTIFS($CD$6:$CD$53,CD18,$BC$6:$BC$53,INDEX(T_Equipos[Grupo],MATCH(BD18,T_Equipos[NombreEquipo],0)))&amp;")")</f>
        <v>-</v>
      </c>
      <c r="CF18" s="758" t="str">
        <f t="shared" ca="1" si="43"/>
        <v>-</v>
      </c>
      <c r="CG18" s="758">
        <f ca="1">CD18+COUNTIFS($CE$6:$CE$53,CE18,$CF$6:CF$53,"&gt;"&amp;CF18,$BC$6:$BC$53,INDEX(T_Equipos[Grupo],MATCH(BD18,T_Equipos[NombreEquipo],0)))</f>
        <v>1</v>
      </c>
      <c r="CH18" s="757" t="str">
        <f ca="1">IF(COUNTIFS($CG$6:$CG$53,CG18,$BC$6:$BC$53,INDEX(T_Equipos[Grupo],MATCH(BD18,T_Equipos[NombreEquipo],0)))=1,"-","P."&amp;CG18&amp;" ("&amp;COUNTIFS($CG$6:$CG$53,CG18,$BC$6:$BC$53,INDEX(T_Equipos[Grupo],MATCH(BD18,T_Equipos[NombreEquipo],0)))&amp;")")</f>
        <v>-</v>
      </c>
      <c r="CI18" s="758" t="str">
        <f t="shared" ca="1" si="44"/>
        <v>-</v>
      </c>
      <c r="CJ18" s="758" t="str">
        <f t="shared" ca="1" si="45"/>
        <v>-</v>
      </c>
      <c r="CK18" s="758" t="str">
        <f t="shared" ca="1" si="46"/>
        <v>-</v>
      </c>
      <c r="CL18" s="758" t="str">
        <f t="shared" ca="1" si="47"/>
        <v>-</v>
      </c>
      <c r="CM18" s="758">
        <f ca="1">CG18+COUNTIFS($CH$6:$CH$53,CH18,$CL$6:CL$53,"&gt;"&amp;CL18,$BC$6:$BC$53,INDEX(T_Equipos[Grupo],MATCH(BD18,T_Equipos[NombreEquipo],0)))</f>
        <v>1</v>
      </c>
      <c r="CN18" s="757" t="str">
        <f ca="1">IF(COUNTIFS($CM$6:$CM$53,CM18,$BC$6:$BC$53,INDEX(T_Equipos[Grupo],MATCH(BD18,T_Equipos[NombreEquipo],0)))=1,"-","P."&amp;CM18&amp;" ("&amp;COUNTIFS($CM$6:$CM$53,CM18,$BC$6:$BC$53,INDEX(T_Equipos[Grupo],MATCH(BD18,T_Equipos[NombreEquipo],0)))&amp;")")</f>
        <v>-</v>
      </c>
      <c r="CO18" s="758" t="str">
        <f t="shared" ca="1" si="48"/>
        <v>-</v>
      </c>
      <c r="CP18" s="758" t="str">
        <f t="shared" ca="1" si="49"/>
        <v>-</v>
      </c>
      <c r="CQ18" s="758" t="str">
        <f t="shared" ca="1" si="50"/>
        <v>-</v>
      </c>
      <c r="CR18" s="758">
        <f ca="1">CM18+COUNTIFS($CN$6:$CN$53,CN18,$CQ$6:CQ$53,"&gt;"&amp;CQ18,$BC$6:$BC$53,INDEX(T_Equipos[Grupo],MATCH(BD18,T_Equipos[NombreEquipo],0)))</f>
        <v>1</v>
      </c>
      <c r="CS18" s="757" t="str">
        <f ca="1">IF(COUNTIFS($CR$6:$CR$53,CR18,$BC$6:$BC$53,INDEX(T_Equipos[Grupo],MATCH(BD18,T_Equipos[NombreEquipo],0)))=1,"-","P."&amp;CR18&amp;" ("&amp;COUNTIFS($CR$6:$CR$53,CR18,$BC$6:$BC$53,INDEX(T_Equipos[Grupo],MATCH(BD18,T_Equipos[NombreEquipo],0)))&amp;")")</f>
        <v>-</v>
      </c>
      <c r="CT18" s="758" t="str">
        <f t="shared" ca="1" si="51"/>
        <v>-</v>
      </c>
      <c r="CU18" s="758">
        <f ca="1">CR18+COUNTIFS($CS$6:$CS$53,CS18,$CT$6:CT$53,"&gt;"&amp;CT18,$BC$6:$BC$53,INDEX(T_Equipos[Grupo],MATCH(BD18,T_Equipos[NombreEquipo],0)))</f>
        <v>1</v>
      </c>
      <c r="CV18" s="757" t="str">
        <f ca="1">IF(COUNTIFS($CU$6:$CU$53,CU18,$BC$6:$BC$53,INDEX(T_Equipos[Grupo],MATCH(BD18,T_Equipos[NombreEquipo],0)))=1,"-","P."&amp;CU18&amp;" ("&amp;COUNTIFS($CU$6:$CU$53,CU18,$BC$6:$BC$53,INDEX(T_Equipos[Grupo],MATCH(BD18,T_Equipos[NombreEquipo],0)))&amp;")")</f>
        <v>-</v>
      </c>
      <c r="CW18" s="757" t="str">
        <f t="shared" ca="1" si="30"/>
        <v>-</v>
      </c>
      <c r="CX18" s="757">
        <f ca="1">CU18+COUNTIFS($CV$6:$CV$53,CV18,$CW$6:CW$53,"&gt;"&amp;CW18,$BC$6:$BC$53,INDEX(T_Equipos[Grupo],MATCH(BD18,T_Equipos[NombreEquipo],0)))</f>
        <v>1</v>
      </c>
      <c r="CY18" s="757" t="str">
        <f ca="1">IF(COUNTIFS($CX$6:$CX$53,CX18,$BC$6:$BC$53,INDEX(T_Equipos[Grupo],MATCH(BD18,T_Equipos[NombreEquipo],0)))=1,"-","P."&amp;CX18&amp;" ("&amp;COUNTIFS($CX$6:$CX$53,CX18,$BC$6:$BC$53,INDEX(T_Equipos[Grupo],MATCH(BD18,T_Equipos[NombreEquipo],0)))&amp;")")</f>
        <v>-</v>
      </c>
      <c r="CZ18" s="757" t="str">
        <f t="shared" ca="1" si="31"/>
        <v>-</v>
      </c>
      <c r="DA18" s="758">
        <f ca="1">CX18+COUNTIFS($CY$6:$CY$53,CY18,$CZ$6:CZ$53,"&gt;"&amp;CZ18,$BC$6:$BC$53,INDEX(T_Equipos[Grupo],MATCH(BD18,T_Equipos[NombreEquipo],0)))</f>
        <v>1</v>
      </c>
      <c r="DB18" s="757" t="str">
        <f ca="1">IF(COUNTIFS($DA$6:$DA$53,DA18,$BC$6:$BC$53,INDEX(T_Equipos[Grupo],MATCH(BD18,T_Equipos[NombreEquipo],0)))=1,"-","P."&amp;DA18&amp;" ("&amp;COUNTIFS($DA$6:$DA$53,DA18,$BC$6:$BC$53,INDEX(T_Equipos[Grupo],MATCH(BD18,T_Equipos[NombreEquipo],0)))&amp;")")</f>
        <v>-</v>
      </c>
      <c r="DC18" s="756" t="str">
        <f ca="1">IF(DB18="-","-",COUNTIFS(T_Equipos[Rank],"&lt;"&amp;INDEX(T_Equipos[Rank],MATCH(BD18,T_Equipos[NombreEquipo],0)),$BC$6:$BC$53,INDEX(T_Equipos[Grupo],MATCH(BD18,T_Equipos[NombreEquipo],0)))+1)</f>
        <v>-</v>
      </c>
      <c r="DD18" s="756">
        <f ca="1">DA18+COUNTIFS($DB$6:$DB$53,DB18,$DC$6:DC$53,"&lt;"&amp;DC18,$BC$6:$BC$53,INDEX(T_Equipos[Grupo],MATCH(BD18,T_Equipos[NombreEquipo],0)))</f>
        <v>1</v>
      </c>
      <c r="DE18" s="756"/>
      <c r="DF18" s="756">
        <f t="shared" ca="1" si="52"/>
        <v>1</v>
      </c>
      <c r="DG18" s="756" t="str">
        <f ca="1">IF(DB18="-","-",COUNTIFS(DF$6:DF$53,"&lt;"&amp;DF18,$BC$6:$BC$53,INDEX(T_Equipos[Grupo],MATCH(BD18,T_Equipos[NombreEquipo],0))))</f>
        <v>-</v>
      </c>
      <c r="DH18" s="756">
        <f ca="1">DA18+COUNTIFS(DB$6:DB$53,DB18,DG$6:DG$53,"&lt;"&amp;DG18,$BC$6:$BC$53,INDEX(T_Equipos[Grupo],MATCH(BD18,T_Equipos[NombreEquipo],0)))</f>
        <v>1</v>
      </c>
      <c r="DI18" s="744"/>
      <c r="DJ18" s="744">
        <f t="shared" ca="1" si="53"/>
        <v>1</v>
      </c>
      <c r="DK18" s="744">
        <f t="shared" ca="1" si="24"/>
        <v>8</v>
      </c>
      <c r="DL18" s="744">
        <f t="shared" ca="1" si="33"/>
        <v>1</v>
      </c>
      <c r="DM18" s="738" t="str">
        <f t="shared" ca="1" si="34"/>
        <v>1.1</v>
      </c>
      <c r="DN18" s="744" cm="1">
        <f t="array" aca="1" ref="DN18" ca="1">OFFSET(Horarios!$P$3,DJ18-1,0,DL18,1)</f>
        <v>1</v>
      </c>
      <c r="DO18" s="744"/>
      <c r="DP18" s="744" t="s">
        <v>658</v>
      </c>
      <c r="DQ18" s="744" t="str">
        <f t="shared" ca="1" si="35"/>
        <v>Estados Unidos</v>
      </c>
      <c r="DR18" s="744"/>
      <c r="DS18" s="744"/>
      <c r="DT18" s="744" t="str">
        <f t="shared" si="15"/>
        <v>-</v>
      </c>
      <c r="DU18" s="744"/>
      <c r="DV18" s="744"/>
      <c r="DW18" s="8"/>
    </row>
    <row r="19" spans="1:127" ht="15" thickBot="1">
      <c r="A19" s="739"/>
      <c r="B19" s="742"/>
      <c r="C19" s="739"/>
      <c r="D19" s="739"/>
      <c r="E19" s="739"/>
      <c r="F19" s="739"/>
      <c r="G19" s="739"/>
      <c r="H19" s="739"/>
      <c r="I19" s="739"/>
      <c r="J19" s="739"/>
      <c r="K19" s="739"/>
      <c r="L19" s="739"/>
      <c r="M19" s="739"/>
      <c r="N19" s="744"/>
      <c r="O19" s="744"/>
      <c r="P19" s="744"/>
      <c r="Q19" s="744"/>
      <c r="R19" s="744"/>
      <c r="S19" s="744"/>
      <c r="T19" s="744"/>
      <c r="U19" s="744"/>
      <c r="V19" s="172"/>
      <c r="W19" s="179"/>
      <c r="X19" s="180" t="str">
        <f>X3</f>
        <v>Fecha</v>
      </c>
      <c r="Y19" s="180" t="str">
        <f>Y3</f>
        <v>Hora</v>
      </c>
      <c r="Z19" s="181" t="str">
        <f>Z3</f>
        <v>Jor.</v>
      </c>
      <c r="AA19" s="182" t="str">
        <f>AA3</f>
        <v>Casa</v>
      </c>
      <c r="AB19" s="181"/>
      <c r="AC19" s="181" t="str">
        <f>AC3</f>
        <v>Gol</v>
      </c>
      <c r="AD19" s="181" t="str">
        <f>AD3</f>
        <v>Gol</v>
      </c>
      <c r="AE19" s="181"/>
      <c r="AF19" s="184" t="str">
        <f>AF3</f>
        <v>Fuera</v>
      </c>
      <c r="AG19" s="414"/>
      <c r="AH19" s="196"/>
      <c r="AI19" s="18"/>
      <c r="AJ19" s="186"/>
      <c r="AK19" s="252"/>
      <c r="AL19" s="186"/>
      <c r="AM19" s="186"/>
      <c r="AN19" s="186"/>
      <c r="AO19" s="186"/>
      <c r="AP19" s="186"/>
      <c r="AQ19" s="186"/>
      <c r="AR19" s="186"/>
      <c r="AS19" s="186"/>
      <c r="AT19" s="186"/>
      <c r="AU19" s="421"/>
      <c r="AV19" s="22"/>
      <c r="AW19" s="429"/>
      <c r="AX19" s="253"/>
      <c r="AY19" s="242"/>
      <c r="AZ19" s="243"/>
      <c r="BA19" s="175"/>
      <c r="BB19" s="744"/>
      <c r="BC19" s="756" t="str">
        <f ca="1">+INDEX(T_Equipos[Grupo],MATCH(WORLDCUP!BD19,T_Equipos[NombreEquipo],0))</f>
        <v>D</v>
      </c>
      <c r="BD19" s="744" t="str">
        <f ca="1">+Equipos!B15</f>
        <v>Paraguay</v>
      </c>
      <c r="BE19" s="748">
        <f t="shared" ca="1" si="25"/>
        <v>3</v>
      </c>
      <c r="BF19" s="748">
        <f t="shared" ca="1" si="26"/>
        <v>2</v>
      </c>
      <c r="BG19" s="748">
        <f t="shared" ca="1" si="17"/>
        <v>1</v>
      </c>
      <c r="BH19" s="748">
        <f t="shared" ca="1" si="18"/>
        <v>0</v>
      </c>
      <c r="BI19" s="748">
        <f t="shared" ca="1" si="19"/>
        <v>1</v>
      </c>
      <c r="BJ19" s="748">
        <f t="shared" ca="1" si="20"/>
        <v>2</v>
      </c>
      <c r="BK19" s="748">
        <f t="shared" ca="1" si="21"/>
        <v>4</v>
      </c>
      <c r="BL19" s="748">
        <f t="shared" ca="1" si="27"/>
        <v>-2</v>
      </c>
      <c r="BM19" s="748" t="str">
        <f t="shared" ca="1" si="22"/>
        <v>3D</v>
      </c>
      <c r="BN19" s="748" t="str">
        <f t="shared" ca="1" si="23"/>
        <v>3D</v>
      </c>
      <c r="BO19" s="758">
        <f t="shared" ca="1" si="28"/>
        <v>0</v>
      </c>
      <c r="BP19" s="757">
        <f ca="1">COUNTIFS($BO$6:$BO$53,"&gt;"&amp;BO19,$BC$6:$BC$53,INDEX(T_Equipos[Grupo],MATCH(BD19,T_Equipos[NombreEquipo],0)))+1</f>
        <v>1</v>
      </c>
      <c r="BQ19" s="757" t="str">
        <f ca="1">IF(COUNTIFS($BP$6:$BP$53,BP19,$BC$6:$BC$53,INDEX(T_Equipos[Grupo],MATCH(BD19,T_Equipos[NombreEquipo],0)))=1,"-","P."&amp;BP19&amp;" ("&amp;COUNTIFS($BP$6:$BP$53,BP19,$BC$6:$BC$53,INDEX(T_Equipos[Grupo],MATCH(BD19,T_Equipos[NombreEquipo],0)))&amp;")")</f>
        <v>P.1 (4)</v>
      </c>
      <c r="BR19" s="758">
        <f t="shared" ca="1" si="29"/>
        <v>3</v>
      </c>
      <c r="BS19" s="757">
        <f ca="1">BP19+COUNTIFS($BQ$6:$BQ$53,BQ19,$BR$6:BR$53,"&gt;"&amp;BR19,$BC$6:$BC$53,INDEX(T_Equipos[Grupo],MATCH(BD19,T_Equipos[NombreEquipo],0)))</f>
        <v>2</v>
      </c>
      <c r="BT19" s="757" t="str">
        <f ca="1">IF(COUNTIFS($BS$6:$BS$53,BS19,$BC$6:$BC$53,INDEX(T_Equipos[Grupo],MATCH(BD19,T_Equipos[NombreEquipo],0)))=1,"-","P."&amp;BS19&amp;" ("&amp;COUNTIFS($BS$6:$BS$53,BS19,$BC$6:$BC$53,INDEX(T_Equipos[Grupo],MATCH(BD19,T_Equipos[NombreEquipo],0)))&amp;")")</f>
        <v>P.2 (2)</v>
      </c>
      <c r="BU19" s="758">
        <f t="shared" ca="1" si="36"/>
        <v>0</v>
      </c>
      <c r="BV19" s="758">
        <f t="shared" ca="1" si="37"/>
        <v>0</v>
      </c>
      <c r="BW19" s="758">
        <f t="shared" ca="1" si="38"/>
        <v>0</v>
      </c>
      <c r="BX19" s="758">
        <f t="shared" ca="1" si="39"/>
        <v>0</v>
      </c>
      <c r="BY19" s="758">
        <f ca="1">BS19+COUNTIFS($BT$6:$BT$53,BT19,$BX$6:BX$53,"&gt;"&amp;BX19,$BC$6:$BC$53,INDEX(T_Equipos[Grupo],MATCH(BD19,T_Equipos[NombreEquipo],0)))</f>
        <v>2</v>
      </c>
      <c r="BZ19" s="757" t="str">
        <f ca="1">IF(COUNTIFS($BY$6:$BY$53,BY19,$BC$6:$BC$53,INDEX(T_Equipos[Grupo],MATCH(BD19,T_Equipos[NombreEquipo],0)))=1,"-","P."&amp;BY19&amp;" ("&amp;COUNTIFS($BY$6:$BY$53,BY19,$BC$6:$BC$53,INDEX(T_Equipos[Grupo],MATCH(BD19,T_Equipos[NombreEquipo],0)))&amp;")")</f>
        <v>P.2 (2)</v>
      </c>
      <c r="CA19" s="758">
        <f t="shared" ca="1" si="40"/>
        <v>0</v>
      </c>
      <c r="CB19" s="758">
        <f t="shared" ca="1" si="41"/>
        <v>0</v>
      </c>
      <c r="CC19" s="758">
        <f t="shared" ca="1" si="42"/>
        <v>0</v>
      </c>
      <c r="CD19" s="758">
        <f ca="1">BY19+COUNTIFS($BZ$6:$BZ$53,BZ19,$CC$6:CC$53,"&gt;"&amp;CC19,$BC$6:$BC$53,INDEX(T_Equipos[Grupo],MATCH(BD19,T_Equipos[NombreEquipo],0)))</f>
        <v>2</v>
      </c>
      <c r="CE19" s="757" t="str">
        <f ca="1">IF(COUNTIFS($CD$6:$CD$53,CD19,$BC$6:$BC$53,INDEX(T_Equipos[Grupo],MATCH(BD19,T_Equipos[NombreEquipo],0)))=1,"-","P."&amp;CD19&amp;" ("&amp;COUNTIFS($CD$6:$CD$53,CD19,$BC$6:$BC$53,INDEX(T_Equipos[Grupo],MATCH(BD19,T_Equipos[NombreEquipo],0)))&amp;")")</f>
        <v>P.2 (2)</v>
      </c>
      <c r="CF19" s="758">
        <f t="shared" ca="1" si="43"/>
        <v>0</v>
      </c>
      <c r="CG19" s="758">
        <f ca="1">CD19+COUNTIFS($CE$6:$CE$53,CE19,$CF$6:CF$53,"&gt;"&amp;CF19,$BC$6:$BC$53,INDEX(T_Equipos[Grupo],MATCH(BD19,T_Equipos[NombreEquipo],0)))</f>
        <v>2</v>
      </c>
      <c r="CH19" s="757" t="str">
        <f ca="1">IF(COUNTIFS($CG$6:$CG$53,CG19,$BC$6:$BC$53,INDEX(T_Equipos[Grupo],MATCH(BD19,T_Equipos[NombreEquipo],0)))=1,"-","P."&amp;CG19&amp;" ("&amp;COUNTIFS($CG$6:$CG$53,CG19,$BC$6:$BC$53,INDEX(T_Equipos[Grupo],MATCH(BD19,T_Equipos[NombreEquipo],0)))&amp;")")</f>
        <v>P.2 (2)</v>
      </c>
      <c r="CI19" s="758">
        <f t="shared" ca="1" si="44"/>
        <v>0</v>
      </c>
      <c r="CJ19" s="758">
        <f t="shared" ca="1" si="45"/>
        <v>0</v>
      </c>
      <c r="CK19" s="758">
        <f t="shared" ca="1" si="46"/>
        <v>0</v>
      </c>
      <c r="CL19" s="758">
        <f t="shared" ca="1" si="47"/>
        <v>0</v>
      </c>
      <c r="CM19" s="758">
        <f ca="1">CG19+COUNTIFS($CH$6:$CH$53,CH19,$CL$6:CL$53,"&gt;"&amp;CL19,$BC$6:$BC$53,INDEX(T_Equipos[Grupo],MATCH(BD19,T_Equipos[NombreEquipo],0)))</f>
        <v>2</v>
      </c>
      <c r="CN19" s="757" t="str">
        <f ca="1">IF(COUNTIFS($CM$6:$CM$53,CM19,$BC$6:$BC$53,INDEX(T_Equipos[Grupo],MATCH(BD19,T_Equipos[NombreEquipo],0)))=1,"-","P."&amp;CM19&amp;" ("&amp;COUNTIFS($CM$6:$CM$53,CM19,$BC$6:$BC$53,INDEX(T_Equipos[Grupo],MATCH(BD19,T_Equipos[NombreEquipo],0)))&amp;")")</f>
        <v>P.2 (2)</v>
      </c>
      <c r="CO19" s="758">
        <f t="shared" ca="1" si="48"/>
        <v>0</v>
      </c>
      <c r="CP19" s="758">
        <f t="shared" ca="1" si="49"/>
        <v>0</v>
      </c>
      <c r="CQ19" s="758">
        <f t="shared" ca="1" si="50"/>
        <v>0</v>
      </c>
      <c r="CR19" s="758">
        <f ca="1">CM19+COUNTIFS($CN$6:$CN$53,CN19,$CQ$6:CQ$53,"&gt;"&amp;CQ19,$BC$6:$BC$53,INDEX(T_Equipos[Grupo],MATCH(BD19,T_Equipos[NombreEquipo],0)))</f>
        <v>2</v>
      </c>
      <c r="CS19" s="757" t="str">
        <f ca="1">IF(COUNTIFS($CR$6:$CR$53,CR19,$BC$6:$BC$53,INDEX(T_Equipos[Grupo],MATCH(BD19,T_Equipos[NombreEquipo],0)))=1,"-","P."&amp;CR19&amp;" ("&amp;COUNTIFS($CR$6:$CR$53,CR19,$BC$6:$BC$53,INDEX(T_Equipos[Grupo],MATCH(BD19,T_Equipos[NombreEquipo],0)))&amp;")")</f>
        <v>P.2 (2)</v>
      </c>
      <c r="CT19" s="758">
        <f t="shared" ca="1" si="51"/>
        <v>0</v>
      </c>
      <c r="CU19" s="758">
        <f ca="1">CR19+COUNTIFS($CS$6:$CS$53,CS19,$CT$6:CT$53,"&gt;"&amp;CT19,$BC$6:$BC$53,INDEX(T_Equipos[Grupo],MATCH(BD19,T_Equipos[NombreEquipo],0)))</f>
        <v>2</v>
      </c>
      <c r="CV19" s="757" t="str">
        <f ca="1">IF(COUNTIFS($CU$6:$CU$53,CU19,$BC$6:$BC$53,INDEX(T_Equipos[Grupo],MATCH(BD19,T_Equipos[NombreEquipo],0)))=1,"-","P."&amp;CU19&amp;" ("&amp;COUNTIFS($CU$6:$CU$53,CU19,$BC$6:$BC$53,INDEX(T_Equipos[Grupo],MATCH(BD19,T_Equipos[NombreEquipo],0)))&amp;")")</f>
        <v>P.2 (2)</v>
      </c>
      <c r="CW19" s="757">
        <f t="shared" ca="1" si="30"/>
        <v>-2</v>
      </c>
      <c r="CX19" s="757">
        <f ca="1">CU19+COUNTIFS($CV$6:$CV$53,CV19,$CW$6:CW$53,"&gt;"&amp;CW19,$BC$6:$BC$53,INDEX(T_Equipos[Grupo],MATCH(BD19,T_Equipos[NombreEquipo],0)))</f>
        <v>3</v>
      </c>
      <c r="CY19" s="757" t="str">
        <f ca="1">IF(COUNTIFS($CX$6:$CX$53,CX19,$BC$6:$BC$53,INDEX(T_Equipos[Grupo],MATCH(BD19,T_Equipos[NombreEquipo],0)))=1,"-","P."&amp;CX19&amp;" ("&amp;COUNTIFS($CX$6:$CX$53,CX19,$BC$6:$BC$53,INDEX(T_Equipos[Grupo],MATCH(BD19,T_Equipos[NombreEquipo],0)))&amp;")")</f>
        <v>-</v>
      </c>
      <c r="CZ19" s="757" t="str">
        <f t="shared" ca="1" si="31"/>
        <v>-</v>
      </c>
      <c r="DA19" s="758">
        <f ca="1">CX19+COUNTIFS($CY$6:$CY$53,CY19,$CZ$6:CZ$53,"&gt;"&amp;CZ19,$BC$6:$BC$53,INDEX(T_Equipos[Grupo],MATCH(BD19,T_Equipos[NombreEquipo],0)))</f>
        <v>3</v>
      </c>
      <c r="DB19" s="757" t="str">
        <f ca="1">IF(COUNTIFS($DA$6:$DA$53,DA19,$BC$6:$BC$53,INDEX(T_Equipos[Grupo],MATCH(BD19,T_Equipos[NombreEquipo],0)))=1,"-","P."&amp;DA19&amp;" ("&amp;COUNTIFS($DA$6:$DA$53,DA19,$BC$6:$BC$53,INDEX(T_Equipos[Grupo],MATCH(BD19,T_Equipos[NombreEquipo],0)))&amp;")")</f>
        <v>-</v>
      </c>
      <c r="DC19" s="756" t="str">
        <f ca="1">IF(DB19="-","-",COUNTIFS(T_Equipos[Rank],"&lt;"&amp;INDEX(T_Equipos[Rank],MATCH(BD19,T_Equipos[NombreEquipo],0)),$BC$6:$BC$53,INDEX(T_Equipos[Grupo],MATCH(BD19,T_Equipos[NombreEquipo],0)))+1)</f>
        <v>-</v>
      </c>
      <c r="DD19" s="756">
        <f ca="1">DA19+COUNTIFS($DB$6:$DB$53,DB19,$DC$6:DC$53,"&lt;"&amp;DC19,$BC$6:$BC$53,INDEX(T_Equipos[Grupo],MATCH(BD19,T_Equipos[NombreEquipo],0)))</f>
        <v>3</v>
      </c>
      <c r="DE19" s="756"/>
      <c r="DF19" s="756">
        <f t="shared" ca="1" si="52"/>
        <v>3</v>
      </c>
      <c r="DG19" s="756" t="str">
        <f ca="1">IF(DB19="-","-",COUNTIFS(DF$6:DF$53,"&lt;"&amp;DF19,$BC$6:$BC$53,INDEX(T_Equipos[Grupo],MATCH(BD19,T_Equipos[NombreEquipo],0))))</f>
        <v>-</v>
      </c>
      <c r="DH19" s="756">
        <f ca="1">DA19+COUNTIFS(DB$6:DB$53,DB19,DG$6:DG$53,"&lt;"&amp;DG19,$BC$6:$BC$53,INDEX(T_Equipos[Grupo],MATCH(BD19,T_Equipos[NombreEquipo],0)))</f>
        <v>3</v>
      </c>
      <c r="DI19" s="744"/>
      <c r="DJ19" s="744">
        <f t="shared" ca="1" si="53"/>
        <v>2</v>
      </c>
      <c r="DK19" s="744">
        <f t="shared" ca="1" si="24"/>
        <v>8</v>
      </c>
      <c r="DL19" s="744">
        <f t="shared" ca="1" si="33"/>
        <v>1</v>
      </c>
      <c r="DM19" s="738" t="str">
        <f t="shared" ca="1" si="34"/>
        <v>2.1</v>
      </c>
      <c r="DN19" s="744" cm="1">
        <f t="array" aca="1" ref="DN19" ca="1">OFFSET(Horarios!$P$3,DJ19-1,0,DL19,1)</f>
        <v>2</v>
      </c>
      <c r="DO19" s="744"/>
      <c r="DP19" s="744" t="s">
        <v>659</v>
      </c>
      <c r="DQ19" s="744" t="str">
        <f t="shared" ca="1" si="35"/>
        <v>Australia</v>
      </c>
      <c r="DR19" s="744"/>
      <c r="DS19" s="744"/>
      <c r="DT19" s="744" t="str">
        <f t="shared" si="15"/>
        <v>Casa-Fuera</v>
      </c>
      <c r="DU19" s="744"/>
      <c r="DV19" s="744"/>
      <c r="DW19" s="8"/>
    </row>
    <row r="20" spans="1:127" ht="15" customHeight="1" thickBot="1">
      <c r="A20" s="741" t="s">
        <v>30</v>
      </c>
      <c r="B20" s="742" t="s">
        <v>2</v>
      </c>
      <c r="C20" s="743">
        <f>COUNTIF(Equipos!$C$2:$C$49,WORLDCUP!B20)</f>
        <v>4</v>
      </c>
      <c r="D20" s="744" t="str">
        <f t="shared" ref="D20:D25" si="73">IF(OR(AC20="",AD20=""),"Pendiente",IF(AC20&gt;AD20,"Local",IF(AC20&lt;AD20,"Visitante","Empate")))</f>
        <v>Empate</v>
      </c>
      <c r="E20" s="744" t="str">
        <f t="shared" ref="E20:E25" ca="1" si="74">IF(D20="Pendiente","-",INDEX($BT$6:$BT$53,MATCH($AA20,$BD$6:$BD$53,0)))</f>
        <v>P.1 (2)</v>
      </c>
      <c r="F20" s="744" t="str">
        <f t="shared" ref="F20:F25" ca="1" si="75">IF(D20="Pendiente","-",INDEX($BT$6:$BT$53,MATCH($AF20,$BD$6:$BD$53,0)))</f>
        <v>P.1 (2)</v>
      </c>
      <c r="G20" s="744"/>
      <c r="H20" s="744" t="str">
        <f t="shared" ref="H20:H25" ca="1" si="76">IF(D20="Pendiente","-",INDEX($BZ$6:$BZ$53,MATCH($AA20,$BD$6:$BD$53,0)))</f>
        <v>P.1 (2)</v>
      </c>
      <c r="I20" s="744" t="str">
        <f t="shared" ref="I20:I25" ca="1" si="77">IF(D20="Pendiente","-",INDEX($BZ$6:$BZ$53,MATCH($AF20,$BD$6:$BD$53,0)))</f>
        <v>P.1 (2)</v>
      </c>
      <c r="J20" s="744"/>
      <c r="K20" s="744" t="str">
        <f t="shared" ref="K20:K25" ca="1" si="78">IF(D20="Pendiente","-",INDEX($CE$6:$CE$53,MATCH($AA20,$BD$6:$BD$53,0)))</f>
        <v>P.1 (2)</v>
      </c>
      <c r="L20" s="744" t="str">
        <f t="shared" ref="L20:L25" ca="1" si="79">IF(D20="Pendiente","-",INDEX($CE$6:$CE$53,MATCH($AF20,$BD$6:$BD$53,0)))</f>
        <v>P.1 (2)</v>
      </c>
      <c r="M20" s="744"/>
      <c r="N20" s="744" t="str">
        <f t="shared" ref="N20:N25" ca="1" si="80">IF(D20="Pendiente","-",INDEX($CH$6:$CH$53,MATCH($AA20,$BD$6:$BD$53,0)))</f>
        <v>P.1 (2)</v>
      </c>
      <c r="O20" s="744" t="str">
        <f t="shared" ref="O20:O25" ca="1" si="81">IF(D20="Pendiente","-",INDEX($CH$6:$CH$53,MATCH($AF20,$BD$6:$BD$53,0)))</f>
        <v>P.1 (2)</v>
      </c>
      <c r="P20" s="744"/>
      <c r="Q20" s="744" t="str">
        <f t="shared" ref="Q20:Q25" ca="1" si="82">IF(D20="Pendiente","-",INDEX($CN$6:$CN$53,MATCH($AA20,$BD$6:$BD$53,0)))</f>
        <v>P.1 (2)</v>
      </c>
      <c r="R20" s="744" t="str">
        <f t="shared" ref="R20:R25" ca="1" si="83">IF(D20="Pendiente","-",INDEX($CN$6:$CN$53,MATCH($AF20,$BD$6:$BD$53,0)))</f>
        <v>P.1 (2)</v>
      </c>
      <c r="S20" s="744"/>
      <c r="T20" s="744" t="str">
        <f t="shared" ref="T20:T25" ca="1" si="84">IF(D20="Pendiente","-",INDEX($CS$6:$CS$53,MATCH($AA20,$BD$6:$BD$53,0)))</f>
        <v>P.1 (2)</v>
      </c>
      <c r="U20" s="744" t="str">
        <f t="shared" ref="U20:U25" ca="1" si="85">IF(D20="Pendiente","-",INDEX($CS$6:$CS$53,MATCH($AF20,$BD$6:$BD$53,0)))</f>
        <v>P.1 (2)</v>
      </c>
      <c r="V20" s="172"/>
      <c r="W20" s="809" t="s">
        <v>2</v>
      </c>
      <c r="X20" s="189">
        <f ca="1">Horarios!C20</f>
        <v>46187</v>
      </c>
      <c r="Y20" s="190">
        <f ca="1">Horarios!C20</f>
        <v>46187</v>
      </c>
      <c r="Z20" s="191" t="str">
        <f>$Z$4</f>
        <v>J1</v>
      </c>
      <c r="AA20" s="192" t="str">
        <f ca="1">A21</f>
        <v>Brasil</v>
      </c>
      <c r="AB20" s="478" t="e" cm="1" vm="9">
        <f t="array" aca="1" ref="AB20" ca="1">Ver_flag_local</f>
        <v>#VALUE!</v>
      </c>
      <c r="AC20" s="193">
        <v>1</v>
      </c>
      <c r="AD20" s="194">
        <v>1</v>
      </c>
      <c r="AE20" s="483" t="e" cm="1" vm="10">
        <f t="array" aca="1" ref="AE20" ca="1">Ver_flag_visit</f>
        <v>#VALUE!</v>
      </c>
      <c r="AF20" s="195" t="str">
        <f ca="1">A22</f>
        <v>Marruecos</v>
      </c>
      <c r="AG20" s="413">
        <f t="shared" ref="AG20:AG25" si="86">IF(NOT(OR(ISBLANK(AC20),ISBLANK(AD20))),1,0)</f>
        <v>1</v>
      </c>
      <c r="AH20" s="196">
        <v>7</v>
      </c>
      <c r="AI20" s="19"/>
      <c r="AJ20" s="197" t="str">
        <f>CONCATENATE(AJ3," ",B20)</f>
        <v>Grupo C</v>
      </c>
      <c r="AK20" s="198"/>
      <c r="AL20" s="198"/>
      <c r="AM20" s="198"/>
      <c r="AN20" s="198"/>
      <c r="AO20" s="198"/>
      <c r="AP20" s="198"/>
      <c r="AQ20" s="198"/>
      <c r="AR20" s="198"/>
      <c r="AS20" s="198"/>
      <c r="AT20" s="199"/>
      <c r="AU20" s="421"/>
      <c r="AV20" s="200" t="str">
        <f t="shared" ref="AV20" ca="1" si="87">IF(AU21&gt;0,$AV$3,"")</f>
        <v/>
      </c>
      <c r="AW20" s="208"/>
      <c r="AX20" s="255"/>
      <c r="AY20" s="242"/>
      <c r="AZ20" s="243"/>
      <c r="BA20" s="175"/>
      <c r="BB20" s="744"/>
      <c r="BC20" s="756" t="str">
        <f ca="1">+INDEX(T_Equipos[Grupo],MATCH(WORLDCUP!BD20,T_Equipos[NombreEquipo],0))</f>
        <v>D</v>
      </c>
      <c r="BD20" s="744" t="str">
        <f ca="1">+Equipos!B16</f>
        <v>Australia</v>
      </c>
      <c r="BE20" s="748">
        <f t="shared" ca="1" si="25"/>
        <v>3</v>
      </c>
      <c r="BF20" s="748">
        <f t="shared" ca="1" si="26"/>
        <v>2</v>
      </c>
      <c r="BG20" s="748">
        <f t="shared" ca="1" si="17"/>
        <v>1</v>
      </c>
      <c r="BH20" s="748">
        <f t="shared" ca="1" si="18"/>
        <v>0</v>
      </c>
      <c r="BI20" s="748">
        <f t="shared" ca="1" si="19"/>
        <v>1</v>
      </c>
      <c r="BJ20" s="748">
        <f t="shared" ca="1" si="20"/>
        <v>2</v>
      </c>
      <c r="BK20" s="748">
        <f t="shared" ca="1" si="21"/>
        <v>2</v>
      </c>
      <c r="BL20" s="748">
        <f t="shared" ca="1" si="27"/>
        <v>0</v>
      </c>
      <c r="BM20" s="748" t="str">
        <f t="shared" ca="1" si="22"/>
        <v>2D</v>
      </c>
      <c r="BN20" s="748" t="str">
        <f t="shared" ca="1" si="23"/>
        <v>2D</v>
      </c>
      <c r="BO20" s="758">
        <f t="shared" ca="1" si="28"/>
        <v>0</v>
      </c>
      <c r="BP20" s="757">
        <f ca="1">COUNTIFS($BO$6:$BO$53,"&gt;"&amp;BO20,$BC$6:$BC$53,INDEX(T_Equipos[Grupo],MATCH(BD20,T_Equipos[NombreEquipo],0)))+1</f>
        <v>1</v>
      </c>
      <c r="BQ20" s="757" t="str">
        <f ca="1">IF(COUNTIFS($BP$6:$BP$53,BP20,$BC$6:$BC$53,INDEX(T_Equipos[Grupo],MATCH(BD20,T_Equipos[NombreEquipo],0)))=1,"-","P."&amp;BP20&amp;" ("&amp;COUNTIFS($BP$6:$BP$53,BP20,$BC$6:$BC$53,INDEX(T_Equipos[Grupo],MATCH(BD20,T_Equipos[NombreEquipo],0)))&amp;")")</f>
        <v>P.1 (4)</v>
      </c>
      <c r="BR20" s="758">
        <f t="shared" ca="1" si="29"/>
        <v>3</v>
      </c>
      <c r="BS20" s="757">
        <f ca="1">BP20+COUNTIFS($BQ$6:$BQ$53,BQ20,$BR$6:BR$53,"&gt;"&amp;BR20,$BC$6:$BC$53,INDEX(T_Equipos[Grupo],MATCH(BD20,T_Equipos[NombreEquipo],0)))</f>
        <v>2</v>
      </c>
      <c r="BT20" s="757" t="str">
        <f ca="1">IF(COUNTIFS($BS$6:$BS$53,BS20,$BC$6:$BC$53,INDEX(T_Equipos[Grupo],MATCH(BD20,T_Equipos[NombreEquipo],0)))=1,"-","P."&amp;BS20&amp;" ("&amp;COUNTIFS($BS$6:$BS$53,BS20,$BC$6:$BC$53,INDEX(T_Equipos[Grupo],MATCH(BD20,T_Equipos[NombreEquipo],0)))&amp;")")</f>
        <v>P.2 (2)</v>
      </c>
      <c r="BU20" s="758">
        <f t="shared" ca="1" si="36"/>
        <v>0</v>
      </c>
      <c r="BV20" s="758">
        <f t="shared" ca="1" si="37"/>
        <v>0</v>
      </c>
      <c r="BW20" s="758">
        <f t="shared" ca="1" si="38"/>
        <v>0</v>
      </c>
      <c r="BX20" s="758">
        <f t="shared" ca="1" si="39"/>
        <v>0</v>
      </c>
      <c r="BY20" s="758">
        <f ca="1">BS20+COUNTIFS($BT$6:$BT$53,BT20,$BX$6:BX$53,"&gt;"&amp;BX20,$BC$6:$BC$53,INDEX(T_Equipos[Grupo],MATCH(BD20,T_Equipos[NombreEquipo],0)))</f>
        <v>2</v>
      </c>
      <c r="BZ20" s="757" t="str">
        <f ca="1">IF(COUNTIFS($BY$6:$BY$53,BY20,$BC$6:$BC$53,INDEX(T_Equipos[Grupo],MATCH(BD20,T_Equipos[NombreEquipo],0)))=1,"-","P."&amp;BY20&amp;" ("&amp;COUNTIFS($BY$6:$BY$53,BY20,$BC$6:$BC$53,INDEX(T_Equipos[Grupo],MATCH(BD20,T_Equipos[NombreEquipo],0)))&amp;")")</f>
        <v>P.2 (2)</v>
      </c>
      <c r="CA20" s="758">
        <f t="shared" ca="1" si="40"/>
        <v>0</v>
      </c>
      <c r="CB20" s="758">
        <f t="shared" ca="1" si="41"/>
        <v>0</v>
      </c>
      <c r="CC20" s="758">
        <f t="shared" ca="1" si="42"/>
        <v>0</v>
      </c>
      <c r="CD20" s="758">
        <f ca="1">BY20+COUNTIFS($BZ$6:$BZ$53,BZ20,$CC$6:CC$53,"&gt;"&amp;CC20,$BC$6:$BC$53,INDEX(T_Equipos[Grupo],MATCH(BD20,T_Equipos[NombreEquipo],0)))</f>
        <v>2</v>
      </c>
      <c r="CE20" s="757" t="str">
        <f ca="1">IF(COUNTIFS($CD$6:$CD$53,CD20,$BC$6:$BC$53,INDEX(T_Equipos[Grupo],MATCH(BD20,T_Equipos[NombreEquipo],0)))=1,"-","P."&amp;CD20&amp;" ("&amp;COUNTIFS($CD$6:$CD$53,CD20,$BC$6:$BC$53,INDEX(T_Equipos[Grupo],MATCH(BD20,T_Equipos[NombreEquipo],0)))&amp;")")</f>
        <v>P.2 (2)</v>
      </c>
      <c r="CF20" s="758">
        <f t="shared" ca="1" si="43"/>
        <v>0</v>
      </c>
      <c r="CG20" s="758">
        <f ca="1">CD20+COUNTIFS($CE$6:$CE$53,CE20,$CF$6:CF$53,"&gt;"&amp;CF20,$BC$6:$BC$53,INDEX(T_Equipos[Grupo],MATCH(BD20,T_Equipos[NombreEquipo],0)))</f>
        <v>2</v>
      </c>
      <c r="CH20" s="757" t="str">
        <f ca="1">IF(COUNTIFS($CG$6:$CG$53,CG20,$BC$6:$BC$53,INDEX(T_Equipos[Grupo],MATCH(BD20,T_Equipos[NombreEquipo],0)))=1,"-","P."&amp;CG20&amp;" ("&amp;COUNTIFS($CG$6:$CG$53,CG20,$BC$6:$BC$53,INDEX(T_Equipos[Grupo],MATCH(BD20,T_Equipos[NombreEquipo],0)))&amp;")")</f>
        <v>P.2 (2)</v>
      </c>
      <c r="CI20" s="758">
        <f t="shared" ca="1" si="44"/>
        <v>0</v>
      </c>
      <c r="CJ20" s="758">
        <f t="shared" ca="1" si="45"/>
        <v>0</v>
      </c>
      <c r="CK20" s="758">
        <f t="shared" ca="1" si="46"/>
        <v>0</v>
      </c>
      <c r="CL20" s="758">
        <f t="shared" ca="1" si="47"/>
        <v>0</v>
      </c>
      <c r="CM20" s="758">
        <f ca="1">CG20+COUNTIFS($CH$6:$CH$53,CH20,$CL$6:CL$53,"&gt;"&amp;CL20,$BC$6:$BC$53,INDEX(T_Equipos[Grupo],MATCH(BD20,T_Equipos[NombreEquipo],0)))</f>
        <v>2</v>
      </c>
      <c r="CN20" s="757" t="str">
        <f ca="1">IF(COUNTIFS($CM$6:$CM$53,CM20,$BC$6:$BC$53,INDEX(T_Equipos[Grupo],MATCH(BD20,T_Equipos[NombreEquipo],0)))=1,"-","P."&amp;CM20&amp;" ("&amp;COUNTIFS($CM$6:$CM$53,CM20,$BC$6:$BC$53,INDEX(T_Equipos[Grupo],MATCH(BD20,T_Equipos[NombreEquipo],0)))&amp;")")</f>
        <v>P.2 (2)</v>
      </c>
      <c r="CO20" s="758">
        <f t="shared" ca="1" si="48"/>
        <v>0</v>
      </c>
      <c r="CP20" s="758">
        <f t="shared" ca="1" si="49"/>
        <v>0</v>
      </c>
      <c r="CQ20" s="758">
        <f t="shared" ca="1" si="50"/>
        <v>0</v>
      </c>
      <c r="CR20" s="758">
        <f ca="1">CM20+COUNTIFS($CN$6:$CN$53,CN20,$CQ$6:CQ$53,"&gt;"&amp;CQ20,$BC$6:$BC$53,INDEX(T_Equipos[Grupo],MATCH(BD20,T_Equipos[NombreEquipo],0)))</f>
        <v>2</v>
      </c>
      <c r="CS20" s="757" t="str">
        <f ca="1">IF(COUNTIFS($CR$6:$CR$53,CR20,$BC$6:$BC$53,INDEX(T_Equipos[Grupo],MATCH(BD20,T_Equipos[NombreEquipo],0)))=1,"-","P."&amp;CR20&amp;" ("&amp;COUNTIFS($CR$6:$CR$53,CR20,$BC$6:$BC$53,INDEX(T_Equipos[Grupo],MATCH(BD20,T_Equipos[NombreEquipo],0)))&amp;")")</f>
        <v>P.2 (2)</v>
      </c>
      <c r="CT20" s="758">
        <f t="shared" ca="1" si="51"/>
        <v>0</v>
      </c>
      <c r="CU20" s="758">
        <f ca="1">CR20+COUNTIFS($CS$6:$CS$53,CS20,$CT$6:CT$53,"&gt;"&amp;CT20,$BC$6:$BC$53,INDEX(T_Equipos[Grupo],MATCH(BD20,T_Equipos[NombreEquipo],0)))</f>
        <v>2</v>
      </c>
      <c r="CV20" s="757" t="str">
        <f ca="1">IF(COUNTIFS($CU$6:$CU$53,CU20,$BC$6:$BC$53,INDEX(T_Equipos[Grupo],MATCH(BD20,T_Equipos[NombreEquipo],0)))=1,"-","P."&amp;CU20&amp;" ("&amp;COUNTIFS($CU$6:$CU$53,CU20,$BC$6:$BC$53,INDEX(T_Equipos[Grupo],MATCH(BD20,T_Equipos[NombreEquipo],0)))&amp;")")</f>
        <v>P.2 (2)</v>
      </c>
      <c r="CW20" s="757">
        <f t="shared" ca="1" si="30"/>
        <v>0</v>
      </c>
      <c r="CX20" s="757">
        <f ca="1">CU20+COUNTIFS($CV$6:$CV$53,CV20,$CW$6:CW$53,"&gt;"&amp;CW20,$BC$6:$BC$53,INDEX(T_Equipos[Grupo],MATCH(BD20,T_Equipos[NombreEquipo],0)))</f>
        <v>2</v>
      </c>
      <c r="CY20" s="757" t="str">
        <f ca="1">IF(COUNTIFS($CX$6:$CX$53,CX20,$BC$6:$BC$53,INDEX(T_Equipos[Grupo],MATCH(BD20,T_Equipos[NombreEquipo],0)))=1,"-","P."&amp;CX20&amp;" ("&amp;COUNTIFS($CX$6:$CX$53,CX20,$BC$6:$BC$53,INDEX(T_Equipos[Grupo],MATCH(BD20,T_Equipos[NombreEquipo],0)))&amp;")")</f>
        <v>-</v>
      </c>
      <c r="CZ20" s="757" t="str">
        <f t="shared" ca="1" si="31"/>
        <v>-</v>
      </c>
      <c r="DA20" s="758">
        <f ca="1">CX20+COUNTIFS($CY$6:$CY$53,CY20,$CZ$6:CZ$53,"&gt;"&amp;CZ20,$BC$6:$BC$53,INDEX(T_Equipos[Grupo],MATCH(BD20,T_Equipos[NombreEquipo],0)))</f>
        <v>2</v>
      </c>
      <c r="DB20" s="757" t="str">
        <f ca="1">IF(COUNTIFS($DA$6:$DA$53,DA20,$BC$6:$BC$53,INDEX(T_Equipos[Grupo],MATCH(BD20,T_Equipos[NombreEquipo],0)))=1,"-","P."&amp;DA20&amp;" ("&amp;COUNTIFS($DA$6:$DA$53,DA20,$BC$6:$BC$53,INDEX(T_Equipos[Grupo],MATCH(BD20,T_Equipos[NombreEquipo],0)))&amp;")")</f>
        <v>-</v>
      </c>
      <c r="DC20" s="756" t="str">
        <f ca="1">IF(DB20="-","-",COUNTIFS(T_Equipos[Rank],"&lt;"&amp;INDEX(T_Equipos[Rank],MATCH(BD20,T_Equipos[NombreEquipo],0)),$BC$6:$BC$53,INDEX(T_Equipos[Grupo],MATCH(BD20,T_Equipos[NombreEquipo],0)))+1)</f>
        <v>-</v>
      </c>
      <c r="DD20" s="756">
        <f ca="1">DA20+COUNTIFS($DB$6:$DB$53,DB20,$DC$6:DC$53,"&lt;"&amp;DC20,$BC$6:$BC$53,INDEX(T_Equipos[Grupo],MATCH(BD20,T_Equipos[NombreEquipo],0)))</f>
        <v>2</v>
      </c>
      <c r="DE20" s="756"/>
      <c r="DF20" s="756">
        <f t="shared" ca="1" si="52"/>
        <v>2</v>
      </c>
      <c r="DG20" s="756" t="str">
        <f ca="1">IF(DB20="-","-",COUNTIFS(DF$6:DF$53,"&lt;"&amp;DF20,$BC$6:$BC$53,INDEX(T_Equipos[Grupo],MATCH(BD20,T_Equipos[NombreEquipo],0))))</f>
        <v>-</v>
      </c>
      <c r="DH20" s="756">
        <f ca="1">DA20+COUNTIFS(DB$6:DB$53,DB20,DG$6:DG$53,"&lt;"&amp;DG20,$BC$6:$BC$53,INDEX(T_Equipos[Grupo],MATCH(BD20,T_Equipos[NombreEquipo],0)))</f>
        <v>2</v>
      </c>
      <c r="DI20" s="744"/>
      <c r="DJ20" s="744">
        <f t="shared" ca="1" si="53"/>
        <v>3</v>
      </c>
      <c r="DK20" s="744">
        <f t="shared" ca="1" si="24"/>
        <v>8</v>
      </c>
      <c r="DL20" s="744">
        <f t="shared" ca="1" si="33"/>
        <v>1</v>
      </c>
      <c r="DM20" s="738" t="str">
        <f t="shared" ca="1" si="34"/>
        <v>3.1</v>
      </c>
      <c r="DN20" s="744" cm="1">
        <f t="array" aca="1" ref="DN20" ca="1">OFFSET(Horarios!$P$3,DJ20-1,0,DL20,1)</f>
        <v>3</v>
      </c>
      <c r="DO20" s="744"/>
      <c r="DP20" s="744" t="s">
        <v>92</v>
      </c>
      <c r="DQ20" s="744" t="str">
        <f t="shared" ca="1" si="35"/>
        <v>Paraguay</v>
      </c>
      <c r="DR20" s="744"/>
      <c r="DS20" s="744"/>
      <c r="DT20" s="744" t="str">
        <f t="shared" ca="1" si="15"/>
        <v>Brasil-Marruecos</v>
      </c>
      <c r="DU20" s="744"/>
      <c r="DV20" s="744"/>
      <c r="DW20" s="8"/>
    </row>
    <row r="21" spans="1:127" ht="16.05" customHeight="1">
      <c r="A21" s="745" t="str">
        <f ca="1">+Equipos!B10</f>
        <v>Brasil</v>
      </c>
      <c r="B21" s="742"/>
      <c r="C21" s="742"/>
      <c r="D21" s="744" t="str">
        <f t="shared" si="73"/>
        <v>Visitante</v>
      </c>
      <c r="E21" s="744" t="str">
        <f t="shared" ca="1" si="74"/>
        <v>-</v>
      </c>
      <c r="F21" s="744" t="str">
        <f t="shared" ca="1" si="75"/>
        <v>-</v>
      </c>
      <c r="G21" s="744"/>
      <c r="H21" s="744" t="str">
        <f t="shared" ca="1" si="76"/>
        <v>-</v>
      </c>
      <c r="I21" s="744" t="str">
        <f t="shared" ca="1" si="77"/>
        <v>-</v>
      </c>
      <c r="J21" s="744"/>
      <c r="K21" s="744" t="str">
        <f t="shared" ca="1" si="78"/>
        <v>-</v>
      </c>
      <c r="L21" s="744" t="str">
        <f t="shared" ca="1" si="79"/>
        <v>-</v>
      </c>
      <c r="M21" s="744"/>
      <c r="N21" s="744" t="str">
        <f t="shared" ca="1" si="80"/>
        <v>-</v>
      </c>
      <c r="O21" s="744" t="str">
        <f t="shared" ca="1" si="81"/>
        <v>-</v>
      </c>
      <c r="P21" s="744"/>
      <c r="Q21" s="744" t="str">
        <f t="shared" ca="1" si="82"/>
        <v>-</v>
      </c>
      <c r="R21" s="744" t="str">
        <f t="shared" ca="1" si="83"/>
        <v>-</v>
      </c>
      <c r="S21" s="744"/>
      <c r="T21" s="744" t="str">
        <f t="shared" ca="1" si="84"/>
        <v>-</v>
      </c>
      <c r="U21" s="744" t="str">
        <f t="shared" ca="1" si="85"/>
        <v>-</v>
      </c>
      <c r="V21" s="172"/>
      <c r="W21" s="809"/>
      <c r="X21" s="189">
        <f ca="1">Horarios!C21</f>
        <v>46187.125</v>
      </c>
      <c r="Y21" s="190">
        <f ca="1">Horarios!C21</f>
        <v>46187.125</v>
      </c>
      <c r="Z21" s="191" t="str">
        <f>$Z$4</f>
        <v>J1</v>
      </c>
      <c r="AA21" s="192" t="str">
        <f ca="1">A23</f>
        <v>Haití</v>
      </c>
      <c r="AB21" s="478" t="e" cm="1" vm="11">
        <f t="array" aca="1" ref="AB21" ca="1">Ver_flag_local</f>
        <v>#VALUE!</v>
      </c>
      <c r="AC21" s="193">
        <v>0</v>
      </c>
      <c r="AD21" s="194">
        <v>1</v>
      </c>
      <c r="AE21" s="483" t="e" cm="1" vm="12">
        <f t="array" aca="1" ref="AE21" ca="1">Ver_flag_visit</f>
        <v>#VALUE!</v>
      </c>
      <c r="AF21" s="195" t="str">
        <f ca="1">A24</f>
        <v>Escocia</v>
      </c>
      <c r="AG21" s="413">
        <f t="shared" si="86"/>
        <v>1</v>
      </c>
      <c r="AH21" s="196">
        <v>5</v>
      </c>
      <c r="AI21" s="19"/>
      <c r="AJ21" s="204" t="str">
        <f>AJ5</f>
        <v>Pos</v>
      </c>
      <c r="AK21" s="205"/>
      <c r="AL21" s="206" t="str">
        <f t="shared" ref="AL21:AT21" si="88">AL5</f>
        <v>Selección</v>
      </c>
      <c r="AM21" s="205" t="str">
        <f t="shared" si="88"/>
        <v>Pts</v>
      </c>
      <c r="AN21" s="205" t="str">
        <f t="shared" si="88"/>
        <v>J</v>
      </c>
      <c r="AO21" s="205" t="str">
        <f t="shared" si="88"/>
        <v>G</v>
      </c>
      <c r="AP21" s="205" t="str">
        <f t="shared" si="88"/>
        <v>E</v>
      </c>
      <c r="AQ21" s="205" t="str">
        <f t="shared" si="88"/>
        <v>P</v>
      </c>
      <c r="AR21" s="205" t="str">
        <f t="shared" si="88"/>
        <v>GF</v>
      </c>
      <c r="AS21" s="205" t="str">
        <f t="shared" si="88"/>
        <v>GC</v>
      </c>
      <c r="AT21" s="207" t="str">
        <f t="shared" si="88"/>
        <v>DG</v>
      </c>
      <c r="AU21" s="421">
        <f t="shared" ref="AU21" ca="1" si="89">COUNTIF(AU22:AU25,"&gt;1")</f>
        <v>0</v>
      </c>
      <c r="AV21" s="208"/>
      <c r="AW21" s="208"/>
      <c r="AX21" s="255"/>
      <c r="AY21" s="209" t="str">
        <f>AL21</f>
        <v>Selección</v>
      </c>
      <c r="AZ21" s="210" t="str">
        <f>+Idiomas!$D$69</f>
        <v>Puntos penalizados</v>
      </c>
      <c r="BA21" s="175"/>
      <c r="BB21" s="744"/>
      <c r="BC21" s="756" t="str">
        <f ca="1">+INDEX(T_Equipos[Grupo],MATCH(WORLDCUP!BD21,T_Equipos[NombreEquipo],0))</f>
        <v>D</v>
      </c>
      <c r="BD21" s="744" t="str">
        <f ca="1">+Equipos!B17</f>
        <v>Turquía</v>
      </c>
      <c r="BE21" s="748">
        <f t="shared" ca="1" si="25"/>
        <v>0</v>
      </c>
      <c r="BF21" s="748">
        <f t="shared" ca="1" si="26"/>
        <v>2</v>
      </c>
      <c r="BG21" s="748">
        <f t="shared" ca="1" si="17"/>
        <v>0</v>
      </c>
      <c r="BH21" s="748">
        <f t="shared" ca="1" si="18"/>
        <v>0</v>
      </c>
      <c r="BI21" s="748">
        <f t="shared" ca="1" si="19"/>
        <v>2</v>
      </c>
      <c r="BJ21" s="748">
        <f t="shared" ca="1" si="20"/>
        <v>0</v>
      </c>
      <c r="BK21" s="748">
        <f t="shared" ca="1" si="21"/>
        <v>3</v>
      </c>
      <c r="BL21" s="748">
        <f t="shared" ca="1" si="27"/>
        <v>-3</v>
      </c>
      <c r="BM21" s="748" t="str">
        <f t="shared" ca="1" si="22"/>
        <v>4D</v>
      </c>
      <c r="BN21" s="748" t="str">
        <f t="shared" ca="1" si="23"/>
        <v>4D</v>
      </c>
      <c r="BO21" s="758">
        <f t="shared" ca="1" si="28"/>
        <v>0</v>
      </c>
      <c r="BP21" s="757">
        <f ca="1">COUNTIFS($BO$6:$BO$53,"&gt;"&amp;BO21,$BC$6:$BC$53,INDEX(T_Equipos[Grupo],MATCH(BD21,T_Equipos[NombreEquipo],0)))+1</f>
        <v>1</v>
      </c>
      <c r="BQ21" s="757" t="str">
        <f ca="1">IF(COUNTIFS($BP$6:$BP$53,BP21,$BC$6:$BC$53,INDEX(T_Equipos[Grupo],MATCH(BD21,T_Equipos[NombreEquipo],0)))=1,"-","P."&amp;BP21&amp;" ("&amp;COUNTIFS($BP$6:$BP$53,BP21,$BC$6:$BC$53,INDEX(T_Equipos[Grupo],MATCH(BD21,T_Equipos[NombreEquipo],0)))&amp;")")</f>
        <v>P.1 (4)</v>
      </c>
      <c r="BR21" s="758">
        <f t="shared" ca="1" si="29"/>
        <v>0</v>
      </c>
      <c r="BS21" s="757">
        <f ca="1">BP21+COUNTIFS($BQ$6:$BQ$53,BQ21,$BR$6:BR$53,"&gt;"&amp;BR21,$BC$6:$BC$53,INDEX(T_Equipos[Grupo],MATCH(BD21,T_Equipos[NombreEquipo],0)))</f>
        <v>4</v>
      </c>
      <c r="BT21" s="757" t="str">
        <f ca="1">IF(COUNTIFS($BS$6:$BS$53,BS21,$BC$6:$BC$53,INDEX(T_Equipos[Grupo],MATCH(BD21,T_Equipos[NombreEquipo],0)))=1,"-","P."&amp;BS21&amp;" ("&amp;COUNTIFS($BS$6:$BS$53,BS21,$BC$6:$BC$53,INDEX(T_Equipos[Grupo],MATCH(BD21,T_Equipos[NombreEquipo],0)))&amp;")")</f>
        <v>-</v>
      </c>
      <c r="BU21" s="758" t="str">
        <f t="shared" ca="1" si="36"/>
        <v>-</v>
      </c>
      <c r="BV21" s="758" t="str">
        <f t="shared" ca="1" si="37"/>
        <v>-</v>
      </c>
      <c r="BW21" s="758" t="str">
        <f t="shared" ca="1" si="38"/>
        <v>-</v>
      </c>
      <c r="BX21" s="758" t="str">
        <f t="shared" ca="1" si="39"/>
        <v>-</v>
      </c>
      <c r="BY21" s="758">
        <f ca="1">BS21+COUNTIFS($BT$6:$BT$53,BT21,$BX$6:BX$53,"&gt;"&amp;BX21,$BC$6:$BC$53,INDEX(T_Equipos[Grupo],MATCH(BD21,T_Equipos[NombreEquipo],0)))</f>
        <v>4</v>
      </c>
      <c r="BZ21" s="757" t="str">
        <f ca="1">IF(COUNTIFS($BY$6:$BY$53,BY21,$BC$6:$BC$53,INDEX(T_Equipos[Grupo],MATCH(BD21,T_Equipos[NombreEquipo],0)))=1,"-","P."&amp;BY21&amp;" ("&amp;COUNTIFS($BY$6:$BY$53,BY21,$BC$6:$BC$53,INDEX(T_Equipos[Grupo],MATCH(BD21,T_Equipos[NombreEquipo],0)))&amp;")")</f>
        <v>-</v>
      </c>
      <c r="CA21" s="758" t="str">
        <f t="shared" ca="1" si="40"/>
        <v>-</v>
      </c>
      <c r="CB21" s="758" t="str">
        <f t="shared" ca="1" si="41"/>
        <v>-</v>
      </c>
      <c r="CC21" s="758" t="str">
        <f t="shared" ca="1" si="42"/>
        <v>-</v>
      </c>
      <c r="CD21" s="758">
        <f ca="1">BY21+COUNTIFS($BZ$6:$BZ$53,BZ21,$CC$6:CC$53,"&gt;"&amp;CC21,$BC$6:$BC$53,INDEX(T_Equipos[Grupo],MATCH(BD21,T_Equipos[NombreEquipo],0)))</f>
        <v>4</v>
      </c>
      <c r="CE21" s="757" t="str">
        <f ca="1">IF(COUNTIFS($CD$6:$CD$53,CD21,$BC$6:$BC$53,INDEX(T_Equipos[Grupo],MATCH(BD21,T_Equipos[NombreEquipo],0)))=1,"-","P."&amp;CD21&amp;" ("&amp;COUNTIFS($CD$6:$CD$53,CD21,$BC$6:$BC$53,INDEX(T_Equipos[Grupo],MATCH(BD21,T_Equipos[NombreEquipo],0)))&amp;")")</f>
        <v>-</v>
      </c>
      <c r="CF21" s="758" t="str">
        <f t="shared" ca="1" si="43"/>
        <v>-</v>
      </c>
      <c r="CG21" s="758">
        <f ca="1">CD21+COUNTIFS($CE$6:$CE$53,CE21,$CF$6:CF$53,"&gt;"&amp;CF21,$BC$6:$BC$53,INDEX(T_Equipos[Grupo],MATCH(BD21,T_Equipos[NombreEquipo],0)))</f>
        <v>4</v>
      </c>
      <c r="CH21" s="757" t="str">
        <f ca="1">IF(COUNTIFS($CG$6:$CG$53,CG21,$BC$6:$BC$53,INDEX(T_Equipos[Grupo],MATCH(BD21,T_Equipos[NombreEquipo],0)))=1,"-","P."&amp;CG21&amp;" ("&amp;COUNTIFS($CG$6:$CG$53,CG21,$BC$6:$BC$53,INDEX(T_Equipos[Grupo],MATCH(BD21,T_Equipos[NombreEquipo],0)))&amp;")")</f>
        <v>-</v>
      </c>
      <c r="CI21" s="758" t="str">
        <f t="shared" ca="1" si="44"/>
        <v>-</v>
      </c>
      <c r="CJ21" s="758" t="str">
        <f t="shared" ca="1" si="45"/>
        <v>-</v>
      </c>
      <c r="CK21" s="758" t="str">
        <f t="shared" ca="1" si="46"/>
        <v>-</v>
      </c>
      <c r="CL21" s="758" t="str">
        <f t="shared" ca="1" si="47"/>
        <v>-</v>
      </c>
      <c r="CM21" s="758">
        <f ca="1">CG21+COUNTIFS($CH$6:$CH$53,CH21,$CL$6:CL$53,"&gt;"&amp;CL21,$BC$6:$BC$53,INDEX(T_Equipos[Grupo],MATCH(BD21,T_Equipos[NombreEquipo],0)))</f>
        <v>4</v>
      </c>
      <c r="CN21" s="757" t="str">
        <f ca="1">IF(COUNTIFS($CM$6:$CM$53,CM21,$BC$6:$BC$53,INDEX(T_Equipos[Grupo],MATCH(BD21,T_Equipos[NombreEquipo],0)))=1,"-","P."&amp;CM21&amp;" ("&amp;COUNTIFS($CM$6:$CM$53,CM21,$BC$6:$BC$53,INDEX(T_Equipos[Grupo],MATCH(BD21,T_Equipos[NombreEquipo],0)))&amp;")")</f>
        <v>-</v>
      </c>
      <c r="CO21" s="758" t="str">
        <f t="shared" ca="1" si="48"/>
        <v>-</v>
      </c>
      <c r="CP21" s="758" t="str">
        <f t="shared" ca="1" si="49"/>
        <v>-</v>
      </c>
      <c r="CQ21" s="758" t="str">
        <f t="shared" ca="1" si="50"/>
        <v>-</v>
      </c>
      <c r="CR21" s="758">
        <f ca="1">CM21+COUNTIFS($CN$6:$CN$53,CN21,$CQ$6:CQ$53,"&gt;"&amp;CQ21,$BC$6:$BC$53,INDEX(T_Equipos[Grupo],MATCH(BD21,T_Equipos[NombreEquipo],0)))</f>
        <v>4</v>
      </c>
      <c r="CS21" s="757" t="str">
        <f ca="1">IF(COUNTIFS($CR$6:$CR$53,CR21,$BC$6:$BC$53,INDEX(T_Equipos[Grupo],MATCH(BD21,T_Equipos[NombreEquipo],0)))=1,"-","P."&amp;CR21&amp;" ("&amp;COUNTIFS($CR$6:$CR$53,CR21,$BC$6:$BC$53,INDEX(T_Equipos[Grupo],MATCH(BD21,T_Equipos[NombreEquipo],0)))&amp;")")</f>
        <v>-</v>
      </c>
      <c r="CT21" s="758" t="str">
        <f t="shared" ca="1" si="51"/>
        <v>-</v>
      </c>
      <c r="CU21" s="758">
        <f ca="1">CR21+COUNTIFS($CS$6:$CS$53,CS21,$CT$6:CT$53,"&gt;"&amp;CT21,$BC$6:$BC$53,INDEX(T_Equipos[Grupo],MATCH(BD21,T_Equipos[NombreEquipo],0)))</f>
        <v>4</v>
      </c>
      <c r="CV21" s="757" t="str">
        <f ca="1">IF(COUNTIFS($CU$6:$CU$53,CU21,$BC$6:$BC$53,INDEX(T_Equipos[Grupo],MATCH(BD21,T_Equipos[NombreEquipo],0)))=1,"-","P."&amp;CU21&amp;" ("&amp;COUNTIFS($CU$6:$CU$53,CU21,$BC$6:$BC$53,INDEX(T_Equipos[Grupo],MATCH(BD21,T_Equipos[NombreEquipo],0)))&amp;")")</f>
        <v>-</v>
      </c>
      <c r="CW21" s="757" t="str">
        <f t="shared" ca="1" si="30"/>
        <v>-</v>
      </c>
      <c r="CX21" s="757">
        <f ca="1">CU21+COUNTIFS($CV$6:$CV$53,CV21,$CW$6:CW$53,"&gt;"&amp;CW21,$BC$6:$BC$53,INDEX(T_Equipos[Grupo],MATCH(BD21,T_Equipos[NombreEquipo],0)))</f>
        <v>4</v>
      </c>
      <c r="CY21" s="757" t="str">
        <f ca="1">IF(COUNTIFS($CX$6:$CX$53,CX21,$BC$6:$BC$53,INDEX(T_Equipos[Grupo],MATCH(BD21,T_Equipos[NombreEquipo],0)))=1,"-","P."&amp;CX21&amp;" ("&amp;COUNTIFS($CX$6:$CX$53,CX21,$BC$6:$BC$53,INDEX(T_Equipos[Grupo],MATCH(BD21,T_Equipos[NombreEquipo],0)))&amp;")")</f>
        <v>-</v>
      </c>
      <c r="CZ21" s="757" t="str">
        <f t="shared" ca="1" si="31"/>
        <v>-</v>
      </c>
      <c r="DA21" s="758">
        <f ca="1">CX21+COUNTIFS($CY$6:$CY$53,CY21,$CZ$6:CZ$53,"&gt;"&amp;CZ21,$BC$6:$BC$53,INDEX(T_Equipos[Grupo],MATCH(BD21,T_Equipos[NombreEquipo],0)))</f>
        <v>4</v>
      </c>
      <c r="DB21" s="757" t="str">
        <f ca="1">IF(COUNTIFS($DA$6:$DA$53,DA21,$BC$6:$BC$53,INDEX(T_Equipos[Grupo],MATCH(BD21,T_Equipos[NombreEquipo],0)))=1,"-","P."&amp;DA21&amp;" ("&amp;COUNTIFS($DA$6:$DA$53,DA21,$BC$6:$BC$53,INDEX(T_Equipos[Grupo],MATCH(BD21,T_Equipos[NombreEquipo],0)))&amp;")")</f>
        <v>-</v>
      </c>
      <c r="DC21" s="756" t="str">
        <f ca="1">IF(DB21="-","-",COUNTIFS(T_Equipos[Rank],"&lt;"&amp;INDEX(T_Equipos[Rank],MATCH(BD21,T_Equipos[NombreEquipo],0)),$BC$6:$BC$53,INDEX(T_Equipos[Grupo],MATCH(BD21,T_Equipos[NombreEquipo],0)))+1)</f>
        <v>-</v>
      </c>
      <c r="DD21" s="756">
        <f ca="1">DA21+COUNTIFS($DB$6:$DB$53,DB21,$DC$6:DC$53,"&lt;"&amp;DC21,$BC$6:$BC$53,INDEX(T_Equipos[Grupo],MATCH(BD21,T_Equipos[NombreEquipo],0)))</f>
        <v>4</v>
      </c>
      <c r="DE21" s="756"/>
      <c r="DF21" s="756">
        <f t="shared" ca="1" si="52"/>
        <v>4</v>
      </c>
      <c r="DG21" s="756" t="str">
        <f ca="1">IF(DB21="-","-",COUNTIFS(DF$6:DF$53,"&lt;"&amp;DF21,$BC$6:$BC$53,INDEX(T_Equipos[Grupo],MATCH(BD21,T_Equipos[NombreEquipo],0))))</f>
        <v>-</v>
      </c>
      <c r="DH21" s="756">
        <f ca="1">DA21+COUNTIFS(DB$6:DB$53,DB21,DG$6:DG$53,"&lt;"&amp;DG21,$BC$6:$BC$53,INDEX(T_Equipos[Grupo],MATCH(BD21,T_Equipos[NombreEquipo],0)))</f>
        <v>4</v>
      </c>
      <c r="DI21" s="744"/>
      <c r="DJ21" s="744">
        <f t="shared" ca="1" si="53"/>
        <v>4</v>
      </c>
      <c r="DK21" s="744">
        <f t="shared" ca="1" si="24"/>
        <v>8</v>
      </c>
      <c r="DL21" s="744">
        <f t="shared" ca="1" si="33"/>
        <v>1</v>
      </c>
      <c r="DM21" s="738" t="str">
        <f t="shared" ca="1" si="34"/>
        <v>4.1</v>
      </c>
      <c r="DN21" s="744" cm="1">
        <f t="array" aca="1" ref="DN21" ca="1">OFFSET(Horarios!$P$3,DJ21-1,0,DL21,1)</f>
        <v>4</v>
      </c>
      <c r="DO21" s="744"/>
      <c r="DP21" s="744" t="s">
        <v>660</v>
      </c>
      <c r="DQ21" s="744" t="str">
        <f t="shared" ca="1" si="35"/>
        <v>Turquía</v>
      </c>
      <c r="DR21" s="744"/>
      <c r="DS21" s="744"/>
      <c r="DT21" s="744" t="str">
        <f t="shared" ca="1" si="15"/>
        <v>Haití-Escocia</v>
      </c>
      <c r="DU21" s="744"/>
      <c r="DV21" s="744"/>
      <c r="DW21" s="8"/>
    </row>
    <row r="22" spans="1:127" ht="16.05" customHeight="1">
      <c r="A22" s="745" t="str">
        <f ca="1">+Equipos!B11</f>
        <v>Marruecos</v>
      </c>
      <c r="B22" s="742"/>
      <c r="C22" s="746"/>
      <c r="D22" s="744" t="str">
        <f t="shared" si="73"/>
        <v>Visitante</v>
      </c>
      <c r="E22" s="744" t="str">
        <f t="shared" ca="1" si="74"/>
        <v>-</v>
      </c>
      <c r="F22" s="744" t="str">
        <f t="shared" ca="1" si="75"/>
        <v>P.1 (2)</v>
      </c>
      <c r="G22" s="744"/>
      <c r="H22" s="744" t="str">
        <f t="shared" ca="1" si="76"/>
        <v>-</v>
      </c>
      <c r="I22" s="744" t="str">
        <f t="shared" ca="1" si="77"/>
        <v>P.1 (2)</v>
      </c>
      <c r="J22" s="744"/>
      <c r="K22" s="744" t="str">
        <f t="shared" ca="1" si="78"/>
        <v>-</v>
      </c>
      <c r="L22" s="744" t="str">
        <f t="shared" ca="1" si="79"/>
        <v>P.1 (2)</v>
      </c>
      <c r="M22" s="744"/>
      <c r="N22" s="744" t="str">
        <f t="shared" ca="1" si="80"/>
        <v>-</v>
      </c>
      <c r="O22" s="744" t="str">
        <f t="shared" ca="1" si="81"/>
        <v>P.1 (2)</v>
      </c>
      <c r="P22" s="744"/>
      <c r="Q22" s="744" t="str">
        <f t="shared" ca="1" si="82"/>
        <v>-</v>
      </c>
      <c r="R22" s="744" t="str">
        <f t="shared" ca="1" si="83"/>
        <v>P.1 (2)</v>
      </c>
      <c r="S22" s="744"/>
      <c r="T22" s="744" t="str">
        <f t="shared" ca="1" si="84"/>
        <v>-</v>
      </c>
      <c r="U22" s="744" t="str">
        <f t="shared" ca="1" si="85"/>
        <v>P.1 (2)</v>
      </c>
      <c r="V22" s="172"/>
      <c r="W22" s="809"/>
      <c r="X22" s="189">
        <f ca="1">Horarios!C22</f>
        <v>46193</v>
      </c>
      <c r="Y22" s="190">
        <f ca="1">Horarios!C22</f>
        <v>46193</v>
      </c>
      <c r="Z22" s="191" t="str">
        <f>$Z$6</f>
        <v>J2</v>
      </c>
      <c r="AA22" s="192" t="str">
        <f ca="1">A24</f>
        <v>Escocia</v>
      </c>
      <c r="AB22" s="478" t="e" cm="1" vm="12">
        <f t="array" aca="1" ref="AB22" ca="1">Ver_flag_local</f>
        <v>#VALUE!</v>
      </c>
      <c r="AC22" s="193">
        <v>0</v>
      </c>
      <c r="AD22" s="194">
        <v>1</v>
      </c>
      <c r="AE22" s="483" t="e" cm="1" vm="10">
        <f t="array" aca="1" ref="AE22" ca="1">Ver_flag_visit</f>
        <v>#VALUE!</v>
      </c>
      <c r="AF22" s="195" t="str">
        <f ca="1">A22</f>
        <v>Marruecos</v>
      </c>
      <c r="AG22" s="413">
        <f t="shared" si="86"/>
        <v>1</v>
      </c>
      <c r="AH22" s="196">
        <v>30</v>
      </c>
      <c r="AI22" s="19" t="str">
        <f>AJ22&amp;$B$20</f>
        <v>1C</v>
      </c>
      <c r="AJ22" s="211">
        <v>1</v>
      </c>
      <c r="AK22" s="488" t="e" cm="1" vm="9">
        <f t="array" aca="1" ref="AK22" ca="1">Ver_flag_visit</f>
        <v>#VALUE!</v>
      </c>
      <c r="AL22" s="212" t="str">
        <f ca="1">IFERROR(INDEX($BD$6:$BD$53,MATCH(AI22,$BN$6:$BN$53,0)),"")</f>
        <v>Brasil</v>
      </c>
      <c r="AM22" s="213">
        <f t="shared" ref="AM22:AT25" ca="1" si="90">INDEX($BE$6:$BN$53,MATCH($AL22,$BD$6:$BD$53,0),MATCH(AM$5,$BE$5:$BN$5,0))</f>
        <v>4</v>
      </c>
      <c r="AN22" s="214">
        <f t="shared" ca="1" si="90"/>
        <v>2</v>
      </c>
      <c r="AO22" s="214">
        <f t="shared" ca="1" si="90"/>
        <v>1</v>
      </c>
      <c r="AP22" s="214">
        <f t="shared" ca="1" si="90"/>
        <v>1</v>
      </c>
      <c r="AQ22" s="214">
        <f t="shared" ca="1" si="90"/>
        <v>0</v>
      </c>
      <c r="AR22" s="214">
        <f t="shared" ca="1" si="90"/>
        <v>4</v>
      </c>
      <c r="AS22" s="214">
        <f t="shared" ca="1" si="90"/>
        <v>1</v>
      </c>
      <c r="AT22" s="215">
        <f t="shared" ca="1" si="90"/>
        <v>3</v>
      </c>
      <c r="AU22" s="420">
        <f ca="1">INDEX($DL$6:$DL$53,MATCH(AI22,$DP$6:$DP$53,0))</f>
        <v>1</v>
      </c>
      <c r="AV22" s="217" t="str">
        <f ca="1">INDEX($BD$6:$BD$53,MATCH(AI22,$BM$6:$BM$53,0))</f>
        <v>Brasil</v>
      </c>
      <c r="AW22" s="427"/>
      <c r="AX22" s="218"/>
      <c r="AY22" s="219" t="str">
        <f ca="1">+A21</f>
        <v>Brasil</v>
      </c>
      <c r="AZ22" s="220"/>
      <c r="BA22" s="175"/>
      <c r="BB22" s="744"/>
      <c r="BC22" s="756" t="str">
        <f ca="1">+INDEX(T_Equipos[Grupo],MATCH(WORLDCUP!BD22,T_Equipos[NombreEquipo],0))</f>
        <v>E</v>
      </c>
      <c r="BD22" s="744" t="str">
        <f ca="1">+Equipos!B18</f>
        <v>Alemania</v>
      </c>
      <c r="BE22" s="748">
        <f t="shared" ca="1" si="25"/>
        <v>3</v>
      </c>
      <c r="BF22" s="748">
        <f t="shared" ca="1" si="26"/>
        <v>1</v>
      </c>
      <c r="BG22" s="748">
        <f t="shared" ca="1" si="17"/>
        <v>1</v>
      </c>
      <c r="BH22" s="748">
        <f t="shared" ca="1" si="18"/>
        <v>0</v>
      </c>
      <c r="BI22" s="748">
        <f t="shared" ca="1" si="19"/>
        <v>0</v>
      </c>
      <c r="BJ22" s="748">
        <f t="shared" ca="1" si="20"/>
        <v>7</v>
      </c>
      <c r="BK22" s="748">
        <f t="shared" ca="1" si="21"/>
        <v>1</v>
      </c>
      <c r="BL22" s="748">
        <f t="shared" ca="1" si="27"/>
        <v>6</v>
      </c>
      <c r="BM22" s="748" t="str">
        <f t="shared" ca="1" si="22"/>
        <v>1E</v>
      </c>
      <c r="BN22" s="748" t="str">
        <f t="shared" ca="1" si="23"/>
        <v>1E</v>
      </c>
      <c r="BO22" s="757">
        <f t="shared" ca="1" si="28"/>
        <v>0</v>
      </c>
      <c r="BP22" s="757">
        <f ca="1">COUNTIFS($BO$6:$BO$53,"&gt;"&amp;BO22,$BC$6:$BC$53,INDEX(T_Equipos[Grupo],MATCH(BD22,T_Equipos[NombreEquipo],0)))+1</f>
        <v>1</v>
      </c>
      <c r="BQ22" s="757" t="str">
        <f ca="1">IF(COUNTIFS($BP$6:$BP$53,BP22,$BC$6:$BC$53,INDEX(T_Equipos[Grupo],MATCH(BD22,T_Equipos[NombreEquipo],0)))=1,"-","P."&amp;BP22&amp;" ("&amp;COUNTIFS($BP$6:$BP$53,BP22,$BC$6:$BC$53,INDEX(T_Equipos[Grupo],MATCH(BD22,T_Equipos[NombreEquipo],0)))&amp;")")</f>
        <v>P.1 (4)</v>
      </c>
      <c r="BR22" s="757">
        <f t="shared" ca="1" si="29"/>
        <v>3</v>
      </c>
      <c r="BS22" s="757">
        <f ca="1">BP22+COUNTIFS($BQ$6:$BQ$53,BQ22,$BR$6:BR$53,"&gt;"&amp;BR22,$BC$6:$BC$53,INDEX(T_Equipos[Grupo],MATCH(BD22,T_Equipos[NombreEquipo],0)))</f>
        <v>1</v>
      </c>
      <c r="BT22" s="757" t="str">
        <f ca="1">IF(COUNTIFS($BS$6:$BS$53,BS22,$BC$6:$BC$53,INDEX(T_Equipos[Grupo],MATCH(BD22,T_Equipos[NombreEquipo],0)))=1,"-","P."&amp;BS22&amp;" ("&amp;COUNTIFS($BS$6:$BS$53,BS22,$BC$6:$BC$53,INDEX(T_Equipos[Grupo],MATCH(BD22,T_Equipos[NombreEquipo],0)))&amp;")")</f>
        <v>P.1 (2)</v>
      </c>
      <c r="BU22" s="758">
        <f t="shared" ca="1" si="36"/>
        <v>0</v>
      </c>
      <c r="BV22" s="758">
        <f t="shared" ca="1" si="37"/>
        <v>0</v>
      </c>
      <c r="BW22" s="758">
        <f t="shared" ca="1" si="38"/>
        <v>0</v>
      </c>
      <c r="BX22" s="758">
        <f t="shared" ca="1" si="39"/>
        <v>0</v>
      </c>
      <c r="BY22" s="758">
        <f ca="1">BS22+COUNTIFS($BT$6:$BT$53,BT22,$BX$6:BX$53,"&gt;"&amp;BX22,$BC$6:$BC$53,INDEX(T_Equipos[Grupo],MATCH(BD22,T_Equipos[NombreEquipo],0)))</f>
        <v>1</v>
      </c>
      <c r="BZ22" s="757" t="str">
        <f ca="1">IF(COUNTIFS($BY$6:$BY$53,BY22,$BC$6:$BC$53,INDEX(T_Equipos[Grupo],MATCH(BD22,T_Equipos[NombreEquipo],0)))=1,"-","P."&amp;BY22&amp;" ("&amp;COUNTIFS($BY$6:$BY$53,BY22,$BC$6:$BC$53,INDEX(T_Equipos[Grupo],MATCH(BD22,T_Equipos[NombreEquipo],0)))&amp;")")</f>
        <v>P.1 (2)</v>
      </c>
      <c r="CA22" s="758">
        <f t="shared" ca="1" si="40"/>
        <v>0</v>
      </c>
      <c r="CB22" s="758">
        <f t="shared" ca="1" si="41"/>
        <v>0</v>
      </c>
      <c r="CC22" s="758">
        <f t="shared" ca="1" si="42"/>
        <v>0</v>
      </c>
      <c r="CD22" s="758">
        <f ca="1">BY22+COUNTIFS($BZ$6:$BZ$53,BZ22,$CC$6:CC$53,"&gt;"&amp;CC22,$BC$6:$BC$53,INDEX(T_Equipos[Grupo],MATCH(BD22,T_Equipos[NombreEquipo],0)))</f>
        <v>1</v>
      </c>
      <c r="CE22" s="757" t="str">
        <f ca="1">IF(COUNTIFS($CD$6:$CD$53,CD22,$BC$6:$BC$53,INDEX(T_Equipos[Grupo],MATCH(BD22,T_Equipos[NombreEquipo],0)))=1,"-","P."&amp;CD22&amp;" ("&amp;COUNTIFS($CD$6:$CD$53,CD22,$BC$6:$BC$53,INDEX(T_Equipos[Grupo],MATCH(BD22,T_Equipos[NombreEquipo],0)))&amp;")")</f>
        <v>P.1 (2)</v>
      </c>
      <c r="CF22" s="758">
        <f t="shared" ca="1" si="43"/>
        <v>0</v>
      </c>
      <c r="CG22" s="758">
        <f ca="1">CD22+COUNTIFS($CE$6:$CE$53,CE22,$CF$6:CF$53,"&gt;"&amp;CF22,$BC$6:$BC$53,INDEX(T_Equipos[Grupo],MATCH(BD22,T_Equipos[NombreEquipo],0)))</f>
        <v>1</v>
      </c>
      <c r="CH22" s="757" t="str">
        <f ca="1">IF(COUNTIFS($CG$6:$CG$53,CG22,$BC$6:$BC$53,INDEX(T_Equipos[Grupo],MATCH(BD22,T_Equipos[NombreEquipo],0)))=1,"-","P."&amp;CG22&amp;" ("&amp;COUNTIFS($CG$6:$CG$53,CG22,$BC$6:$BC$53,INDEX(T_Equipos[Grupo],MATCH(BD22,T_Equipos[NombreEquipo],0)))&amp;")")</f>
        <v>P.1 (2)</v>
      </c>
      <c r="CI22" s="758">
        <f t="shared" ca="1" si="44"/>
        <v>0</v>
      </c>
      <c r="CJ22" s="758">
        <f t="shared" ca="1" si="45"/>
        <v>0</v>
      </c>
      <c r="CK22" s="758">
        <f t="shared" ca="1" si="46"/>
        <v>0</v>
      </c>
      <c r="CL22" s="758">
        <f t="shared" ca="1" si="47"/>
        <v>0</v>
      </c>
      <c r="CM22" s="758">
        <f ca="1">CG22+COUNTIFS($CH$6:$CH$53,CH22,$CL$6:CL$53,"&gt;"&amp;CL22,$BC$6:$BC$53,INDEX(T_Equipos[Grupo],MATCH(BD22,T_Equipos[NombreEquipo],0)))</f>
        <v>1</v>
      </c>
      <c r="CN22" s="757" t="str">
        <f ca="1">IF(COUNTIFS($CM$6:$CM$53,CM22,$BC$6:$BC$53,INDEX(T_Equipos[Grupo],MATCH(BD22,T_Equipos[NombreEquipo],0)))=1,"-","P."&amp;CM22&amp;" ("&amp;COUNTIFS($CM$6:$CM$53,CM22,$BC$6:$BC$53,INDEX(T_Equipos[Grupo],MATCH(BD22,T_Equipos[NombreEquipo],0)))&amp;")")</f>
        <v>P.1 (2)</v>
      </c>
      <c r="CO22" s="758">
        <f t="shared" ca="1" si="48"/>
        <v>0</v>
      </c>
      <c r="CP22" s="758">
        <f t="shared" ca="1" si="49"/>
        <v>0</v>
      </c>
      <c r="CQ22" s="758">
        <f t="shared" ca="1" si="50"/>
        <v>0</v>
      </c>
      <c r="CR22" s="758">
        <f ca="1">CM22+COUNTIFS($CN$6:$CN$53,CN22,$CQ$6:CQ$53,"&gt;"&amp;CQ22,$BC$6:$BC$53,INDEX(T_Equipos[Grupo],MATCH(BD22,T_Equipos[NombreEquipo],0)))</f>
        <v>1</v>
      </c>
      <c r="CS22" s="757" t="str">
        <f ca="1">IF(COUNTIFS($CR$6:$CR$53,CR22,$BC$6:$BC$53,INDEX(T_Equipos[Grupo],MATCH(BD22,T_Equipos[NombreEquipo],0)))=1,"-","P."&amp;CR22&amp;" ("&amp;COUNTIFS($CR$6:$CR$53,CR22,$BC$6:$BC$53,INDEX(T_Equipos[Grupo],MATCH(BD22,T_Equipos[NombreEquipo],0)))&amp;")")</f>
        <v>P.1 (2)</v>
      </c>
      <c r="CT22" s="758">
        <f t="shared" ca="1" si="51"/>
        <v>0</v>
      </c>
      <c r="CU22" s="758">
        <f ca="1">CR22+COUNTIFS($CS$6:$CS$53,CS22,$CT$6:CT$53,"&gt;"&amp;CT22,$BC$6:$BC$53,INDEX(T_Equipos[Grupo],MATCH(BD22,T_Equipos[NombreEquipo],0)))</f>
        <v>1</v>
      </c>
      <c r="CV22" s="757" t="str">
        <f ca="1">IF(COUNTIFS($CU$6:$CU$53,CU22,$BC$6:$BC$53,INDEX(T_Equipos[Grupo],MATCH(BD22,T_Equipos[NombreEquipo],0)))=1,"-","P."&amp;CU22&amp;" ("&amp;COUNTIFS($CU$6:$CU$53,CU22,$BC$6:$BC$53,INDEX(T_Equipos[Grupo],MATCH(BD22,T_Equipos[NombreEquipo],0)))&amp;")")</f>
        <v>P.1 (2)</v>
      </c>
      <c r="CW22" s="757">
        <f t="shared" ca="1" si="30"/>
        <v>6</v>
      </c>
      <c r="CX22" s="757">
        <f ca="1">CU22+COUNTIFS($CV$6:$CV$53,CV22,$CW$6:CW$53,"&gt;"&amp;CW22,$BC$6:$BC$53,INDEX(T_Equipos[Grupo],MATCH(BD22,T_Equipos[NombreEquipo],0)))</f>
        <v>1</v>
      </c>
      <c r="CY22" s="757" t="str">
        <f ca="1">IF(COUNTIFS($CX$6:$CX$53,CX22,$BC$6:$BC$53,INDEX(T_Equipos[Grupo],MATCH(BD22,T_Equipos[NombreEquipo],0)))=1,"-","P."&amp;CX22&amp;" ("&amp;COUNTIFS($CX$6:$CX$53,CX22,$BC$6:$BC$53,INDEX(T_Equipos[Grupo],MATCH(BD22,T_Equipos[NombreEquipo],0)))&amp;")")</f>
        <v>-</v>
      </c>
      <c r="CZ22" s="757" t="str">
        <f t="shared" ca="1" si="31"/>
        <v>-</v>
      </c>
      <c r="DA22" s="758">
        <f ca="1">CX22+COUNTIFS($CY$6:$CY$53,CY22,$CZ$6:CZ$53,"&gt;"&amp;CZ22,$BC$6:$BC$53,INDEX(T_Equipos[Grupo],MATCH(BD22,T_Equipos[NombreEquipo],0)))</f>
        <v>1</v>
      </c>
      <c r="DB22" s="757" t="str">
        <f ca="1">IF(COUNTIFS($DA$6:$DA$53,DA22,$BC$6:$BC$53,INDEX(T_Equipos[Grupo],MATCH(BD22,T_Equipos[NombreEquipo],0)))=1,"-","P."&amp;DA22&amp;" ("&amp;COUNTIFS($DA$6:$DA$53,DA22,$BC$6:$BC$53,INDEX(T_Equipos[Grupo],MATCH(BD22,T_Equipos[NombreEquipo],0)))&amp;")")</f>
        <v>-</v>
      </c>
      <c r="DC22" s="756" t="str">
        <f ca="1">IF(DB22="-","-",COUNTIFS(T_Equipos[Rank],"&lt;"&amp;INDEX(T_Equipos[Rank],MATCH(BD22,T_Equipos[NombreEquipo],0)),$BC$6:$BC$53,INDEX(T_Equipos[Grupo],MATCH(BD22,T_Equipos[NombreEquipo],0)))+1)</f>
        <v>-</v>
      </c>
      <c r="DD22" s="756">
        <f ca="1">DA22+COUNTIFS($DB$6:$DB$53,DB22,$DC$6:DC$53,"&lt;"&amp;DC22,$BC$6:$BC$53,INDEX(T_Equipos[Grupo],MATCH(BD22,T_Equipos[NombreEquipo],0)))</f>
        <v>1</v>
      </c>
      <c r="DE22" s="756"/>
      <c r="DF22" s="756">
        <f t="shared" ca="1" si="52"/>
        <v>1</v>
      </c>
      <c r="DG22" s="756" t="str">
        <f ca="1">IF(DB22="-","-",COUNTIFS(DF$6:DF$53,"&lt;"&amp;DF22,$BC$6:$BC$53,INDEX(T_Equipos[Grupo],MATCH(BD22,T_Equipos[NombreEquipo],0))))</f>
        <v>-</v>
      </c>
      <c r="DH22" s="756">
        <f ca="1">DA22+COUNTIFS(DB$6:DB$53,DB22,DG$6:DG$53,"&lt;"&amp;DG22,$BC$6:$BC$53,INDEX(T_Equipos[Grupo],MATCH(BD22,T_Equipos[NombreEquipo],0)))</f>
        <v>1</v>
      </c>
      <c r="DI22" s="744"/>
      <c r="DJ22" s="744">
        <f t="shared" ca="1" si="53"/>
        <v>1</v>
      </c>
      <c r="DK22" s="744">
        <f t="shared" ca="1" si="24"/>
        <v>4</v>
      </c>
      <c r="DL22" s="744">
        <f t="shared" ca="1" si="33"/>
        <v>1</v>
      </c>
      <c r="DM22" s="738" t="str">
        <f t="shared" ca="1" si="34"/>
        <v>1.1</v>
      </c>
      <c r="DN22" s="744" cm="1">
        <f t="array" aca="1" ref="DN22" ca="1">OFFSET(Horarios!$P$3,DJ22-1,0,DL22,1)</f>
        <v>1</v>
      </c>
      <c r="DO22" s="744"/>
      <c r="DP22" s="744" t="s">
        <v>661</v>
      </c>
      <c r="DQ22" s="744" t="str">
        <f t="shared" ca="1" si="35"/>
        <v>Alemania</v>
      </c>
      <c r="DR22" s="744"/>
      <c r="DS22" s="744"/>
      <c r="DT22" s="744" t="str">
        <f t="shared" ca="1" si="15"/>
        <v>Escocia-Marruecos</v>
      </c>
      <c r="DU22" s="744"/>
      <c r="DV22" s="744"/>
      <c r="DW22" s="8"/>
    </row>
    <row r="23" spans="1:127" ht="16.05" customHeight="1">
      <c r="A23" s="745" t="str">
        <f ca="1">+Equipos!B12</f>
        <v>Haití</v>
      </c>
      <c r="B23" s="742"/>
      <c r="C23" s="744"/>
      <c r="D23" s="744" t="str">
        <f t="shared" si="73"/>
        <v>Local</v>
      </c>
      <c r="E23" s="744" t="str">
        <f t="shared" ca="1" si="74"/>
        <v>P.1 (2)</v>
      </c>
      <c r="F23" s="744" t="str">
        <f t="shared" ca="1" si="75"/>
        <v>-</v>
      </c>
      <c r="G23" s="744"/>
      <c r="H23" s="744" t="str">
        <f t="shared" ca="1" si="76"/>
        <v>P.1 (2)</v>
      </c>
      <c r="I23" s="744" t="str">
        <f t="shared" ca="1" si="77"/>
        <v>-</v>
      </c>
      <c r="J23" s="744"/>
      <c r="K23" s="744" t="str">
        <f t="shared" ca="1" si="78"/>
        <v>P.1 (2)</v>
      </c>
      <c r="L23" s="744" t="str">
        <f t="shared" ca="1" si="79"/>
        <v>-</v>
      </c>
      <c r="M23" s="744"/>
      <c r="N23" s="744" t="str">
        <f t="shared" ca="1" si="80"/>
        <v>P.1 (2)</v>
      </c>
      <c r="O23" s="744" t="str">
        <f t="shared" ca="1" si="81"/>
        <v>-</v>
      </c>
      <c r="P23" s="744"/>
      <c r="Q23" s="744" t="str">
        <f t="shared" ca="1" si="82"/>
        <v>P.1 (2)</v>
      </c>
      <c r="R23" s="744" t="str">
        <f t="shared" ca="1" si="83"/>
        <v>-</v>
      </c>
      <c r="S23" s="744"/>
      <c r="T23" s="744" t="str">
        <f t="shared" ca="1" si="84"/>
        <v>P.1 (2)</v>
      </c>
      <c r="U23" s="744" t="str">
        <f t="shared" ca="1" si="85"/>
        <v>-</v>
      </c>
      <c r="V23" s="172"/>
      <c r="W23" s="809"/>
      <c r="X23" s="189">
        <f ca="1">Horarios!C23</f>
        <v>46193.104166666664</v>
      </c>
      <c r="Y23" s="190">
        <f ca="1">Horarios!C23</f>
        <v>46193.104166666664</v>
      </c>
      <c r="Z23" s="191" t="str">
        <f>$Z$6</f>
        <v>J2</v>
      </c>
      <c r="AA23" s="192" t="str">
        <f ca="1">A21</f>
        <v>Brasil</v>
      </c>
      <c r="AB23" s="478" t="e" cm="1" vm="9">
        <f t="array" aca="1" ref="AB23" ca="1">Ver_flag_local</f>
        <v>#VALUE!</v>
      </c>
      <c r="AC23" s="193">
        <v>3</v>
      </c>
      <c r="AD23" s="194">
        <v>0</v>
      </c>
      <c r="AE23" s="483" t="e" cm="1" vm="11">
        <f t="array" aca="1" ref="AE23" ca="1">Ver_flag_visit</f>
        <v>#VALUE!</v>
      </c>
      <c r="AF23" s="195" t="str">
        <f ca="1">A23</f>
        <v>Haití</v>
      </c>
      <c r="AG23" s="413">
        <f t="shared" si="86"/>
        <v>1</v>
      </c>
      <c r="AH23" s="196">
        <v>29</v>
      </c>
      <c r="AI23" s="19" t="str">
        <f t="shared" ref="AI23:AI25" si="91">AJ23&amp;$B$20</f>
        <v>2C</v>
      </c>
      <c r="AJ23" s="221">
        <v>2</v>
      </c>
      <c r="AK23" s="486" t="e" cm="1" vm="10">
        <f t="array" aca="1" ref="AK23" ca="1">Ver_flag_visit</f>
        <v>#VALUE!</v>
      </c>
      <c r="AL23" s="222" t="str">
        <f ca="1">IFERROR(INDEX($BD$6:$BD$53,MATCH(AI23,$BN$6:$BN$53,0)),"")</f>
        <v>Marruecos</v>
      </c>
      <c r="AM23" s="223">
        <f t="shared" ca="1" si="90"/>
        <v>4</v>
      </c>
      <c r="AN23" s="224">
        <f t="shared" ca="1" si="90"/>
        <v>2</v>
      </c>
      <c r="AO23" s="224">
        <f t="shared" ca="1" si="90"/>
        <v>1</v>
      </c>
      <c r="AP23" s="224">
        <f t="shared" ca="1" si="90"/>
        <v>1</v>
      </c>
      <c r="AQ23" s="224">
        <f t="shared" ca="1" si="90"/>
        <v>0</v>
      </c>
      <c r="AR23" s="224">
        <f t="shared" ca="1" si="90"/>
        <v>2</v>
      </c>
      <c r="AS23" s="224">
        <f t="shared" ca="1" si="90"/>
        <v>1</v>
      </c>
      <c r="AT23" s="225">
        <f t="shared" ca="1" si="90"/>
        <v>1</v>
      </c>
      <c r="AU23" s="420">
        <f ca="1">INDEX($DL$6:$DL$53,MATCH(AI23,$DP$6:$DP$53,0))</f>
        <v>1</v>
      </c>
      <c r="AV23" s="217" t="str">
        <f ca="1">INDEX($BD$6:$BD$53,MATCH(AI23,$BM$6:$BM$53,0))</f>
        <v>Marruecos</v>
      </c>
      <c r="AW23" s="427"/>
      <c r="AX23" s="218"/>
      <c r="AY23" s="226" t="str">
        <f ca="1">+A22</f>
        <v>Marruecos</v>
      </c>
      <c r="AZ23" s="227"/>
      <c r="BA23" s="175"/>
      <c r="BB23" s="744"/>
      <c r="BC23" s="756" t="str">
        <f ca="1">+INDEX(T_Equipos[Grupo],MATCH(WORLDCUP!BD23,T_Equipos[NombreEquipo],0))</f>
        <v>E</v>
      </c>
      <c r="BD23" s="744" t="str">
        <f ca="1">+Equipos!B19</f>
        <v>Curazao</v>
      </c>
      <c r="BE23" s="748">
        <f t="shared" ca="1" si="25"/>
        <v>0</v>
      </c>
      <c r="BF23" s="748">
        <f t="shared" ca="1" si="26"/>
        <v>1</v>
      </c>
      <c r="BG23" s="748">
        <f t="shared" ca="1" si="17"/>
        <v>0</v>
      </c>
      <c r="BH23" s="748">
        <f t="shared" ca="1" si="18"/>
        <v>0</v>
      </c>
      <c r="BI23" s="748">
        <f t="shared" ca="1" si="19"/>
        <v>1</v>
      </c>
      <c r="BJ23" s="748">
        <f t="shared" ca="1" si="20"/>
        <v>1</v>
      </c>
      <c r="BK23" s="748">
        <f t="shared" ca="1" si="21"/>
        <v>7</v>
      </c>
      <c r="BL23" s="748">
        <f t="shared" ca="1" si="27"/>
        <v>-6</v>
      </c>
      <c r="BM23" s="748" t="str">
        <f t="shared" ca="1" si="22"/>
        <v>4E</v>
      </c>
      <c r="BN23" s="748" t="str">
        <f t="shared" ca="1" si="23"/>
        <v>4E</v>
      </c>
      <c r="BO23" s="757">
        <f t="shared" ca="1" si="28"/>
        <v>0</v>
      </c>
      <c r="BP23" s="757">
        <f ca="1">COUNTIFS($BO$6:$BO$53,"&gt;"&amp;BO23,$BC$6:$BC$53,INDEX(T_Equipos[Grupo],MATCH(BD23,T_Equipos[NombreEquipo],0)))+1</f>
        <v>1</v>
      </c>
      <c r="BQ23" s="757" t="str">
        <f ca="1">IF(COUNTIFS($BP$6:$BP$53,BP23,$BC$6:$BC$53,INDEX(T_Equipos[Grupo],MATCH(BD23,T_Equipos[NombreEquipo],0)))=1,"-","P."&amp;BP23&amp;" ("&amp;COUNTIFS($BP$6:$BP$53,BP23,$BC$6:$BC$53,INDEX(T_Equipos[Grupo],MATCH(BD23,T_Equipos[NombreEquipo],0)))&amp;")")</f>
        <v>P.1 (4)</v>
      </c>
      <c r="BR23" s="757">
        <f t="shared" ca="1" si="29"/>
        <v>0</v>
      </c>
      <c r="BS23" s="757">
        <f ca="1">BP23+COUNTIFS($BQ$6:$BQ$53,BQ23,$BR$6:BR$53,"&gt;"&amp;BR23,$BC$6:$BC$53,INDEX(T_Equipos[Grupo],MATCH(BD23,T_Equipos[NombreEquipo],0)))</f>
        <v>3</v>
      </c>
      <c r="BT23" s="757" t="str">
        <f ca="1">IF(COUNTIFS($BS$6:$BS$53,BS23,$BC$6:$BC$53,INDEX(T_Equipos[Grupo],MATCH(BD23,T_Equipos[NombreEquipo],0)))=1,"-","P."&amp;BS23&amp;" ("&amp;COUNTIFS($BS$6:$BS$53,BS23,$BC$6:$BC$53,INDEX(T_Equipos[Grupo],MATCH(BD23,T_Equipos[NombreEquipo],0)))&amp;")")</f>
        <v>P.3 (2)</v>
      </c>
      <c r="BU23" s="758">
        <f t="shared" ca="1" si="36"/>
        <v>0</v>
      </c>
      <c r="BV23" s="758">
        <f t="shared" ca="1" si="37"/>
        <v>0</v>
      </c>
      <c r="BW23" s="758">
        <f t="shared" ca="1" si="38"/>
        <v>0</v>
      </c>
      <c r="BX23" s="758">
        <f t="shared" ca="1" si="39"/>
        <v>0</v>
      </c>
      <c r="BY23" s="758">
        <f ca="1">BS23+COUNTIFS($BT$6:$BT$53,BT23,$BX$6:BX$53,"&gt;"&amp;BX23,$BC$6:$BC$53,INDEX(T_Equipos[Grupo],MATCH(BD23,T_Equipos[NombreEquipo],0)))</f>
        <v>3</v>
      </c>
      <c r="BZ23" s="757" t="str">
        <f ca="1">IF(COUNTIFS($BY$6:$BY$53,BY23,$BC$6:$BC$53,INDEX(T_Equipos[Grupo],MATCH(BD23,T_Equipos[NombreEquipo],0)))=1,"-","P."&amp;BY23&amp;" ("&amp;COUNTIFS($BY$6:$BY$53,BY23,$BC$6:$BC$53,INDEX(T_Equipos[Grupo],MATCH(BD23,T_Equipos[NombreEquipo],0)))&amp;")")</f>
        <v>P.3 (2)</v>
      </c>
      <c r="CA23" s="758">
        <f t="shared" ca="1" si="40"/>
        <v>0</v>
      </c>
      <c r="CB23" s="758">
        <f t="shared" ca="1" si="41"/>
        <v>0</v>
      </c>
      <c r="CC23" s="758">
        <f t="shared" ca="1" si="42"/>
        <v>0</v>
      </c>
      <c r="CD23" s="758">
        <f ca="1">BY23+COUNTIFS($BZ$6:$BZ$53,BZ23,$CC$6:CC$53,"&gt;"&amp;CC23,$BC$6:$BC$53,INDEX(T_Equipos[Grupo],MATCH(BD23,T_Equipos[NombreEquipo],0)))</f>
        <v>3</v>
      </c>
      <c r="CE23" s="757" t="str">
        <f ca="1">IF(COUNTIFS($CD$6:$CD$53,CD23,$BC$6:$BC$53,INDEX(T_Equipos[Grupo],MATCH(BD23,T_Equipos[NombreEquipo],0)))=1,"-","P."&amp;CD23&amp;" ("&amp;COUNTIFS($CD$6:$CD$53,CD23,$BC$6:$BC$53,INDEX(T_Equipos[Grupo],MATCH(BD23,T_Equipos[NombreEquipo],0)))&amp;")")</f>
        <v>P.3 (2)</v>
      </c>
      <c r="CF23" s="758">
        <f t="shared" ca="1" si="43"/>
        <v>0</v>
      </c>
      <c r="CG23" s="758">
        <f ca="1">CD23+COUNTIFS($CE$6:$CE$53,CE23,$CF$6:CF$53,"&gt;"&amp;CF23,$BC$6:$BC$53,INDEX(T_Equipos[Grupo],MATCH(BD23,T_Equipos[NombreEquipo],0)))</f>
        <v>3</v>
      </c>
      <c r="CH23" s="757" t="str">
        <f ca="1">IF(COUNTIFS($CG$6:$CG$53,CG23,$BC$6:$BC$53,INDEX(T_Equipos[Grupo],MATCH(BD23,T_Equipos[NombreEquipo],0)))=1,"-","P."&amp;CG23&amp;" ("&amp;COUNTIFS($CG$6:$CG$53,CG23,$BC$6:$BC$53,INDEX(T_Equipos[Grupo],MATCH(BD23,T_Equipos[NombreEquipo],0)))&amp;")")</f>
        <v>P.3 (2)</v>
      </c>
      <c r="CI23" s="758">
        <f t="shared" ca="1" si="44"/>
        <v>0</v>
      </c>
      <c r="CJ23" s="758">
        <f t="shared" ca="1" si="45"/>
        <v>0</v>
      </c>
      <c r="CK23" s="758">
        <f t="shared" ca="1" si="46"/>
        <v>0</v>
      </c>
      <c r="CL23" s="758">
        <f t="shared" ca="1" si="47"/>
        <v>0</v>
      </c>
      <c r="CM23" s="758">
        <f ca="1">CG23+COUNTIFS($CH$6:$CH$53,CH23,$CL$6:CL$53,"&gt;"&amp;CL23,$BC$6:$BC$53,INDEX(T_Equipos[Grupo],MATCH(BD23,T_Equipos[NombreEquipo],0)))</f>
        <v>3</v>
      </c>
      <c r="CN23" s="757" t="str">
        <f ca="1">IF(COUNTIFS($CM$6:$CM$53,CM23,$BC$6:$BC$53,INDEX(T_Equipos[Grupo],MATCH(BD23,T_Equipos[NombreEquipo],0)))=1,"-","P."&amp;CM23&amp;" ("&amp;COUNTIFS($CM$6:$CM$53,CM23,$BC$6:$BC$53,INDEX(T_Equipos[Grupo],MATCH(BD23,T_Equipos[NombreEquipo],0)))&amp;")")</f>
        <v>P.3 (2)</v>
      </c>
      <c r="CO23" s="758">
        <f t="shared" ca="1" si="48"/>
        <v>0</v>
      </c>
      <c r="CP23" s="758">
        <f t="shared" ca="1" si="49"/>
        <v>0</v>
      </c>
      <c r="CQ23" s="758">
        <f t="shared" ca="1" si="50"/>
        <v>0</v>
      </c>
      <c r="CR23" s="758">
        <f ca="1">CM23+COUNTIFS($CN$6:$CN$53,CN23,$CQ$6:CQ$53,"&gt;"&amp;CQ23,$BC$6:$BC$53,INDEX(T_Equipos[Grupo],MATCH(BD23,T_Equipos[NombreEquipo],0)))</f>
        <v>3</v>
      </c>
      <c r="CS23" s="757" t="str">
        <f ca="1">IF(COUNTIFS($CR$6:$CR$53,CR23,$BC$6:$BC$53,INDEX(T_Equipos[Grupo],MATCH(BD23,T_Equipos[NombreEquipo],0)))=1,"-","P."&amp;CR23&amp;" ("&amp;COUNTIFS($CR$6:$CR$53,CR23,$BC$6:$BC$53,INDEX(T_Equipos[Grupo],MATCH(BD23,T_Equipos[NombreEquipo],0)))&amp;")")</f>
        <v>P.3 (2)</v>
      </c>
      <c r="CT23" s="758">
        <f t="shared" ca="1" si="51"/>
        <v>0</v>
      </c>
      <c r="CU23" s="758">
        <f ca="1">CR23+COUNTIFS($CS$6:$CS$53,CS23,$CT$6:CT$53,"&gt;"&amp;CT23,$BC$6:$BC$53,INDEX(T_Equipos[Grupo],MATCH(BD23,T_Equipos[NombreEquipo],0)))</f>
        <v>3</v>
      </c>
      <c r="CV23" s="757" t="str">
        <f ca="1">IF(COUNTIFS($CU$6:$CU$53,CU23,$BC$6:$BC$53,INDEX(T_Equipos[Grupo],MATCH(BD23,T_Equipos[NombreEquipo],0)))=1,"-","P."&amp;CU23&amp;" ("&amp;COUNTIFS($CU$6:$CU$53,CU23,$BC$6:$BC$53,INDEX(T_Equipos[Grupo],MATCH(BD23,T_Equipos[NombreEquipo],0)))&amp;")")</f>
        <v>P.3 (2)</v>
      </c>
      <c r="CW23" s="757">
        <f t="shared" ca="1" si="30"/>
        <v>-6</v>
      </c>
      <c r="CX23" s="757">
        <f ca="1">CU23+COUNTIFS($CV$6:$CV$53,CV23,$CW$6:CW$53,"&gt;"&amp;CW23,$BC$6:$BC$53,INDEX(T_Equipos[Grupo],MATCH(BD23,T_Equipos[NombreEquipo],0)))</f>
        <v>4</v>
      </c>
      <c r="CY23" s="757" t="str">
        <f ca="1">IF(COUNTIFS($CX$6:$CX$53,CX23,$BC$6:$BC$53,INDEX(T_Equipos[Grupo],MATCH(BD23,T_Equipos[NombreEquipo],0)))=1,"-","P."&amp;CX23&amp;" ("&amp;COUNTIFS($CX$6:$CX$53,CX23,$BC$6:$BC$53,INDEX(T_Equipos[Grupo],MATCH(BD23,T_Equipos[NombreEquipo],0)))&amp;")")</f>
        <v>-</v>
      </c>
      <c r="CZ23" s="757" t="str">
        <f t="shared" ca="1" si="31"/>
        <v>-</v>
      </c>
      <c r="DA23" s="758">
        <f ca="1">CX23+COUNTIFS($CY$6:$CY$53,CY23,$CZ$6:CZ$53,"&gt;"&amp;CZ23,$BC$6:$BC$53,INDEX(T_Equipos[Grupo],MATCH(BD23,T_Equipos[NombreEquipo],0)))</f>
        <v>4</v>
      </c>
      <c r="DB23" s="757" t="str">
        <f ca="1">IF(COUNTIFS($DA$6:$DA$53,DA23,$BC$6:$BC$53,INDEX(T_Equipos[Grupo],MATCH(BD23,T_Equipos[NombreEquipo],0)))=1,"-","P."&amp;DA23&amp;" ("&amp;COUNTIFS($DA$6:$DA$53,DA23,$BC$6:$BC$53,INDEX(T_Equipos[Grupo],MATCH(BD23,T_Equipos[NombreEquipo],0)))&amp;")")</f>
        <v>-</v>
      </c>
      <c r="DC23" s="756" t="str">
        <f ca="1">IF(DB23="-","-",COUNTIFS(T_Equipos[Rank],"&lt;"&amp;INDEX(T_Equipos[Rank],MATCH(BD23,T_Equipos[NombreEquipo],0)),$BC$6:$BC$53,INDEX(T_Equipos[Grupo],MATCH(BD23,T_Equipos[NombreEquipo],0)))+1)</f>
        <v>-</v>
      </c>
      <c r="DD23" s="756">
        <f ca="1">DA23+COUNTIFS($DB$6:$DB$53,DB23,$DC$6:DC$53,"&lt;"&amp;DC23,$BC$6:$BC$53,INDEX(T_Equipos[Grupo],MATCH(BD23,T_Equipos[NombreEquipo],0)))</f>
        <v>4</v>
      </c>
      <c r="DE23" s="756"/>
      <c r="DF23" s="756">
        <f t="shared" ca="1" si="52"/>
        <v>4</v>
      </c>
      <c r="DG23" s="756" t="str">
        <f ca="1">IF(DB23="-","-",COUNTIFS(DF$6:DF$53,"&lt;"&amp;DF23,$BC$6:$BC$53,INDEX(T_Equipos[Grupo],MATCH(BD23,T_Equipos[NombreEquipo],0))))</f>
        <v>-</v>
      </c>
      <c r="DH23" s="756">
        <f ca="1">DA23+COUNTIFS(DB$6:DB$53,DB23,DG$6:DG$53,"&lt;"&amp;DG23,$BC$6:$BC$53,INDEX(T_Equipos[Grupo],MATCH(BD23,T_Equipos[NombreEquipo],0)))</f>
        <v>4</v>
      </c>
      <c r="DI23" s="744"/>
      <c r="DJ23" s="744">
        <f t="shared" ca="1" si="53"/>
        <v>2</v>
      </c>
      <c r="DK23" s="744">
        <f t="shared" ca="1" si="24"/>
        <v>4</v>
      </c>
      <c r="DL23" s="744">
        <f t="shared" ca="1" si="33"/>
        <v>1</v>
      </c>
      <c r="DM23" s="738" t="str">
        <f t="shared" ca="1" si="34"/>
        <v>2.1</v>
      </c>
      <c r="DN23" s="744" cm="1">
        <f t="array" aca="1" ref="DN23" ca="1">OFFSET(Horarios!$P$3,DJ23-1,0,DL23,1)</f>
        <v>2</v>
      </c>
      <c r="DO23" s="744"/>
      <c r="DP23" s="744" t="s">
        <v>662</v>
      </c>
      <c r="DQ23" s="744" t="str">
        <f t="shared" ca="1" si="35"/>
        <v>Costa de Marfil</v>
      </c>
      <c r="DR23" s="744"/>
      <c r="DS23" s="744"/>
      <c r="DT23" s="744" t="str">
        <f t="shared" ca="1" si="15"/>
        <v>Brasil-Haití</v>
      </c>
      <c r="DU23" s="744"/>
      <c r="DV23" s="744"/>
      <c r="DW23" s="8"/>
    </row>
    <row r="24" spans="1:127" ht="16.05" customHeight="1">
      <c r="A24" s="745" t="str">
        <f ca="1">+Equipos!B13</f>
        <v>Escocia</v>
      </c>
      <c r="B24" s="742"/>
      <c r="C24" s="744"/>
      <c r="D24" s="744" t="str">
        <f t="shared" si="73"/>
        <v>Pendiente</v>
      </c>
      <c r="E24" s="744" t="str">
        <f t="shared" si="74"/>
        <v>-</v>
      </c>
      <c r="F24" s="744" t="str">
        <f t="shared" si="75"/>
        <v>-</v>
      </c>
      <c r="G24" s="744"/>
      <c r="H24" s="744" t="str">
        <f t="shared" si="76"/>
        <v>-</v>
      </c>
      <c r="I24" s="744" t="str">
        <f t="shared" si="77"/>
        <v>-</v>
      </c>
      <c r="J24" s="744"/>
      <c r="K24" s="744" t="str">
        <f t="shared" si="78"/>
        <v>-</v>
      </c>
      <c r="L24" s="744" t="str">
        <f t="shared" si="79"/>
        <v>-</v>
      </c>
      <c r="M24" s="744"/>
      <c r="N24" s="744" t="str">
        <f t="shared" si="80"/>
        <v>-</v>
      </c>
      <c r="O24" s="744" t="str">
        <f t="shared" si="81"/>
        <v>-</v>
      </c>
      <c r="P24" s="744"/>
      <c r="Q24" s="744" t="str">
        <f t="shared" si="82"/>
        <v>-</v>
      </c>
      <c r="R24" s="744" t="str">
        <f t="shared" si="83"/>
        <v>-</v>
      </c>
      <c r="S24" s="744"/>
      <c r="T24" s="744" t="str">
        <f t="shared" si="84"/>
        <v>-</v>
      </c>
      <c r="U24" s="744" t="str">
        <f t="shared" si="85"/>
        <v>-</v>
      </c>
      <c r="V24" s="172"/>
      <c r="W24" s="809"/>
      <c r="X24" s="189">
        <f ca="1">Horarios!C24</f>
        <v>46198</v>
      </c>
      <c r="Y24" s="190">
        <f ca="1">Horarios!C24</f>
        <v>46198</v>
      </c>
      <c r="Z24" s="191" t="str">
        <f>$Z$8</f>
        <v>J3</v>
      </c>
      <c r="AA24" s="192" t="str">
        <f ca="1">A24</f>
        <v>Escocia</v>
      </c>
      <c r="AB24" s="478" t="e" cm="1" vm="12">
        <f t="array" aca="1" ref="AB24" ca="1">Ver_flag_local</f>
        <v>#VALUE!</v>
      </c>
      <c r="AC24" s="193"/>
      <c r="AD24" s="194"/>
      <c r="AE24" s="483" t="e" cm="1" vm="9">
        <f t="array" aca="1" ref="AE24" ca="1">Ver_flag_visit</f>
        <v>#VALUE!</v>
      </c>
      <c r="AF24" s="195" t="str">
        <f ca="1">A21</f>
        <v>Brasil</v>
      </c>
      <c r="AG24" s="413">
        <f t="shared" si="86"/>
        <v>0</v>
      </c>
      <c r="AH24" s="196">
        <v>49</v>
      </c>
      <c r="AI24" s="19" t="str">
        <f t="shared" si="91"/>
        <v>3C</v>
      </c>
      <c r="AJ24" s="221">
        <v>3</v>
      </c>
      <c r="AK24" s="486" t="e" cm="1" vm="12">
        <f t="array" aca="1" ref="AK24" ca="1">Ver_flag_visit</f>
        <v>#VALUE!</v>
      </c>
      <c r="AL24" s="222" t="str">
        <f ca="1">IFERROR(INDEX($BD$6:$BD$53,MATCH(AI24,$BN$6:$BN$53,0)),"")</f>
        <v>Escocia</v>
      </c>
      <c r="AM24" s="223">
        <f t="shared" ca="1" si="90"/>
        <v>3</v>
      </c>
      <c r="AN24" s="224">
        <f t="shared" ca="1" si="90"/>
        <v>2</v>
      </c>
      <c r="AO24" s="224">
        <f t="shared" ca="1" si="90"/>
        <v>1</v>
      </c>
      <c r="AP24" s="224">
        <f t="shared" ca="1" si="90"/>
        <v>0</v>
      </c>
      <c r="AQ24" s="224">
        <f t="shared" ca="1" si="90"/>
        <v>1</v>
      </c>
      <c r="AR24" s="224">
        <f t="shared" ca="1" si="90"/>
        <v>1</v>
      </c>
      <c r="AS24" s="224">
        <f t="shared" ca="1" si="90"/>
        <v>1</v>
      </c>
      <c r="AT24" s="225">
        <f t="shared" ca="1" si="90"/>
        <v>0</v>
      </c>
      <c r="AU24" s="420">
        <f ca="1">INDEX($DL$6:$DL$53,MATCH(AI24,$DP$6:$DP$53,0))</f>
        <v>1</v>
      </c>
      <c r="AV24" s="217" t="str">
        <f ca="1">INDEX($BD$6:$BD$53,MATCH(AI24,$BM$6:$BM$53,0))</f>
        <v>Escocia</v>
      </c>
      <c r="AW24" s="427"/>
      <c r="AX24" s="218"/>
      <c r="AY24" s="219" t="str">
        <f ca="1">+A23</f>
        <v>Haití</v>
      </c>
      <c r="AZ24" s="220"/>
      <c r="BA24" s="175"/>
      <c r="BB24" s="744"/>
      <c r="BC24" s="756" t="str">
        <f ca="1">+INDEX(T_Equipos[Grupo],MATCH(WORLDCUP!BD24,T_Equipos[NombreEquipo],0))</f>
        <v>E</v>
      </c>
      <c r="BD24" s="744" t="str">
        <f ca="1">+Equipos!B20</f>
        <v>Costa de Marfil</v>
      </c>
      <c r="BE24" s="748">
        <f t="shared" ca="1" si="25"/>
        <v>3</v>
      </c>
      <c r="BF24" s="748">
        <f t="shared" ca="1" si="26"/>
        <v>1</v>
      </c>
      <c r="BG24" s="748">
        <f t="shared" ca="1" si="17"/>
        <v>1</v>
      </c>
      <c r="BH24" s="748">
        <f t="shared" ca="1" si="18"/>
        <v>0</v>
      </c>
      <c r="BI24" s="748">
        <f t="shared" ca="1" si="19"/>
        <v>0</v>
      </c>
      <c r="BJ24" s="748">
        <f t="shared" ca="1" si="20"/>
        <v>1</v>
      </c>
      <c r="BK24" s="748">
        <f t="shared" ca="1" si="21"/>
        <v>0</v>
      </c>
      <c r="BL24" s="748">
        <f t="shared" ca="1" si="27"/>
        <v>1</v>
      </c>
      <c r="BM24" s="748" t="str">
        <f t="shared" ca="1" si="22"/>
        <v>2E</v>
      </c>
      <c r="BN24" s="748" t="str">
        <f t="shared" ca="1" si="23"/>
        <v>2E</v>
      </c>
      <c r="BO24" s="757">
        <f t="shared" ca="1" si="28"/>
        <v>0</v>
      </c>
      <c r="BP24" s="757">
        <f ca="1">COUNTIFS($BO$6:$BO$53,"&gt;"&amp;BO24,$BC$6:$BC$53,INDEX(T_Equipos[Grupo],MATCH(BD24,T_Equipos[NombreEquipo],0)))+1</f>
        <v>1</v>
      </c>
      <c r="BQ24" s="757" t="str">
        <f ca="1">IF(COUNTIFS($BP$6:$BP$53,BP24,$BC$6:$BC$53,INDEX(T_Equipos[Grupo],MATCH(BD24,T_Equipos[NombreEquipo],0)))=1,"-","P."&amp;BP24&amp;" ("&amp;COUNTIFS($BP$6:$BP$53,BP24,$BC$6:$BC$53,INDEX(T_Equipos[Grupo],MATCH(BD24,T_Equipos[NombreEquipo],0)))&amp;")")</f>
        <v>P.1 (4)</v>
      </c>
      <c r="BR24" s="757">
        <f t="shared" ca="1" si="29"/>
        <v>3</v>
      </c>
      <c r="BS24" s="757">
        <f ca="1">BP24+COUNTIFS($BQ$6:$BQ$53,BQ24,$BR$6:BR$53,"&gt;"&amp;BR24,$BC$6:$BC$53,INDEX(T_Equipos[Grupo],MATCH(BD24,T_Equipos[NombreEquipo],0)))</f>
        <v>1</v>
      </c>
      <c r="BT24" s="757" t="str">
        <f ca="1">IF(COUNTIFS($BS$6:$BS$53,BS24,$BC$6:$BC$53,INDEX(T_Equipos[Grupo],MATCH(BD24,T_Equipos[NombreEquipo],0)))=1,"-","P."&amp;BS24&amp;" ("&amp;COUNTIFS($BS$6:$BS$53,BS24,$BC$6:$BC$53,INDEX(T_Equipos[Grupo],MATCH(BD24,T_Equipos[NombreEquipo],0)))&amp;")")</f>
        <v>P.1 (2)</v>
      </c>
      <c r="BU24" s="758">
        <f t="shared" ca="1" si="36"/>
        <v>0</v>
      </c>
      <c r="BV24" s="758">
        <f t="shared" ca="1" si="37"/>
        <v>0</v>
      </c>
      <c r="BW24" s="758">
        <f t="shared" ca="1" si="38"/>
        <v>0</v>
      </c>
      <c r="BX24" s="758">
        <f t="shared" ca="1" si="39"/>
        <v>0</v>
      </c>
      <c r="BY24" s="758">
        <f ca="1">BS24+COUNTIFS($BT$6:$BT$53,BT24,$BX$6:BX$53,"&gt;"&amp;BX24,$BC$6:$BC$53,INDEX(T_Equipos[Grupo],MATCH(BD24,T_Equipos[NombreEquipo],0)))</f>
        <v>1</v>
      </c>
      <c r="BZ24" s="757" t="str">
        <f ca="1">IF(COUNTIFS($BY$6:$BY$53,BY24,$BC$6:$BC$53,INDEX(T_Equipos[Grupo],MATCH(BD24,T_Equipos[NombreEquipo],0)))=1,"-","P."&amp;BY24&amp;" ("&amp;COUNTIFS($BY$6:$BY$53,BY24,$BC$6:$BC$53,INDEX(T_Equipos[Grupo],MATCH(BD24,T_Equipos[NombreEquipo],0)))&amp;")")</f>
        <v>P.1 (2)</v>
      </c>
      <c r="CA24" s="758">
        <f t="shared" ca="1" si="40"/>
        <v>0</v>
      </c>
      <c r="CB24" s="758">
        <f t="shared" ca="1" si="41"/>
        <v>0</v>
      </c>
      <c r="CC24" s="758">
        <f t="shared" ca="1" si="42"/>
        <v>0</v>
      </c>
      <c r="CD24" s="758">
        <f ca="1">BY24+COUNTIFS($BZ$6:$BZ$53,BZ24,$CC$6:CC$53,"&gt;"&amp;CC24,$BC$6:$BC$53,INDEX(T_Equipos[Grupo],MATCH(BD24,T_Equipos[NombreEquipo],0)))</f>
        <v>1</v>
      </c>
      <c r="CE24" s="757" t="str">
        <f ca="1">IF(COUNTIFS($CD$6:$CD$53,CD24,$BC$6:$BC$53,INDEX(T_Equipos[Grupo],MATCH(BD24,T_Equipos[NombreEquipo],0)))=1,"-","P."&amp;CD24&amp;" ("&amp;COUNTIFS($CD$6:$CD$53,CD24,$BC$6:$BC$53,INDEX(T_Equipos[Grupo],MATCH(BD24,T_Equipos[NombreEquipo],0)))&amp;")")</f>
        <v>P.1 (2)</v>
      </c>
      <c r="CF24" s="758">
        <f t="shared" ca="1" si="43"/>
        <v>0</v>
      </c>
      <c r="CG24" s="758">
        <f ca="1">CD24+COUNTIFS($CE$6:$CE$53,CE24,$CF$6:CF$53,"&gt;"&amp;CF24,$BC$6:$BC$53,INDEX(T_Equipos[Grupo],MATCH(BD24,T_Equipos[NombreEquipo],0)))</f>
        <v>1</v>
      </c>
      <c r="CH24" s="757" t="str">
        <f ca="1">IF(COUNTIFS($CG$6:$CG$53,CG24,$BC$6:$BC$53,INDEX(T_Equipos[Grupo],MATCH(BD24,T_Equipos[NombreEquipo],0)))=1,"-","P."&amp;CG24&amp;" ("&amp;COUNTIFS($CG$6:$CG$53,CG24,$BC$6:$BC$53,INDEX(T_Equipos[Grupo],MATCH(BD24,T_Equipos[NombreEquipo],0)))&amp;")")</f>
        <v>P.1 (2)</v>
      </c>
      <c r="CI24" s="758">
        <f t="shared" ca="1" si="44"/>
        <v>0</v>
      </c>
      <c r="CJ24" s="758">
        <f t="shared" ca="1" si="45"/>
        <v>0</v>
      </c>
      <c r="CK24" s="758">
        <f t="shared" ca="1" si="46"/>
        <v>0</v>
      </c>
      <c r="CL24" s="758">
        <f t="shared" ca="1" si="47"/>
        <v>0</v>
      </c>
      <c r="CM24" s="758">
        <f ca="1">CG24+COUNTIFS($CH$6:$CH$53,CH24,$CL$6:CL$53,"&gt;"&amp;CL24,$BC$6:$BC$53,INDEX(T_Equipos[Grupo],MATCH(BD24,T_Equipos[NombreEquipo],0)))</f>
        <v>1</v>
      </c>
      <c r="CN24" s="757" t="str">
        <f ca="1">IF(COUNTIFS($CM$6:$CM$53,CM24,$BC$6:$BC$53,INDEX(T_Equipos[Grupo],MATCH(BD24,T_Equipos[NombreEquipo],0)))=1,"-","P."&amp;CM24&amp;" ("&amp;COUNTIFS($CM$6:$CM$53,CM24,$BC$6:$BC$53,INDEX(T_Equipos[Grupo],MATCH(BD24,T_Equipos[NombreEquipo],0)))&amp;")")</f>
        <v>P.1 (2)</v>
      </c>
      <c r="CO24" s="758">
        <f t="shared" ca="1" si="48"/>
        <v>0</v>
      </c>
      <c r="CP24" s="758">
        <f t="shared" ca="1" si="49"/>
        <v>0</v>
      </c>
      <c r="CQ24" s="758">
        <f t="shared" ca="1" si="50"/>
        <v>0</v>
      </c>
      <c r="CR24" s="758">
        <f ca="1">CM24+COUNTIFS($CN$6:$CN$53,CN24,$CQ$6:CQ$53,"&gt;"&amp;CQ24,$BC$6:$BC$53,INDEX(T_Equipos[Grupo],MATCH(BD24,T_Equipos[NombreEquipo],0)))</f>
        <v>1</v>
      </c>
      <c r="CS24" s="757" t="str">
        <f ca="1">IF(COUNTIFS($CR$6:$CR$53,CR24,$BC$6:$BC$53,INDEX(T_Equipos[Grupo],MATCH(BD24,T_Equipos[NombreEquipo],0)))=1,"-","P."&amp;CR24&amp;" ("&amp;COUNTIFS($CR$6:$CR$53,CR24,$BC$6:$BC$53,INDEX(T_Equipos[Grupo],MATCH(BD24,T_Equipos[NombreEquipo],0)))&amp;")")</f>
        <v>P.1 (2)</v>
      </c>
      <c r="CT24" s="758">
        <f t="shared" ca="1" si="51"/>
        <v>0</v>
      </c>
      <c r="CU24" s="758">
        <f ca="1">CR24+COUNTIFS($CS$6:$CS$53,CS24,$CT$6:CT$53,"&gt;"&amp;CT24,$BC$6:$BC$53,INDEX(T_Equipos[Grupo],MATCH(BD24,T_Equipos[NombreEquipo],0)))</f>
        <v>1</v>
      </c>
      <c r="CV24" s="757" t="str">
        <f ca="1">IF(COUNTIFS($CU$6:$CU$53,CU24,$BC$6:$BC$53,INDEX(T_Equipos[Grupo],MATCH(BD24,T_Equipos[NombreEquipo],0)))=1,"-","P."&amp;CU24&amp;" ("&amp;COUNTIFS($CU$6:$CU$53,CU24,$BC$6:$BC$53,INDEX(T_Equipos[Grupo],MATCH(BD24,T_Equipos[NombreEquipo],0)))&amp;")")</f>
        <v>P.1 (2)</v>
      </c>
      <c r="CW24" s="757">
        <f t="shared" ca="1" si="30"/>
        <v>1</v>
      </c>
      <c r="CX24" s="757">
        <f ca="1">CU24+COUNTIFS($CV$6:$CV$53,CV24,$CW$6:CW$53,"&gt;"&amp;CW24,$BC$6:$BC$53,INDEX(T_Equipos[Grupo],MATCH(BD24,T_Equipos[NombreEquipo],0)))</f>
        <v>2</v>
      </c>
      <c r="CY24" s="757" t="str">
        <f ca="1">IF(COUNTIFS($CX$6:$CX$53,CX24,$BC$6:$BC$53,INDEX(T_Equipos[Grupo],MATCH(BD24,T_Equipos[NombreEquipo],0)))=1,"-","P."&amp;CX24&amp;" ("&amp;COUNTIFS($CX$6:$CX$53,CX24,$BC$6:$BC$53,INDEX(T_Equipos[Grupo],MATCH(BD24,T_Equipos[NombreEquipo],0)))&amp;")")</f>
        <v>-</v>
      </c>
      <c r="CZ24" s="757" t="str">
        <f t="shared" ca="1" si="31"/>
        <v>-</v>
      </c>
      <c r="DA24" s="758">
        <f ca="1">CX24+COUNTIFS($CY$6:$CY$53,CY24,$CZ$6:CZ$53,"&gt;"&amp;CZ24,$BC$6:$BC$53,INDEX(T_Equipos[Grupo],MATCH(BD24,T_Equipos[NombreEquipo],0)))</f>
        <v>2</v>
      </c>
      <c r="DB24" s="757" t="str">
        <f ca="1">IF(COUNTIFS($DA$6:$DA$53,DA24,$BC$6:$BC$53,INDEX(T_Equipos[Grupo],MATCH(BD24,T_Equipos[NombreEquipo],0)))=1,"-","P."&amp;DA24&amp;" ("&amp;COUNTIFS($DA$6:$DA$53,DA24,$BC$6:$BC$53,INDEX(T_Equipos[Grupo],MATCH(BD24,T_Equipos[NombreEquipo],0)))&amp;")")</f>
        <v>-</v>
      </c>
      <c r="DC24" s="756" t="str">
        <f ca="1">IF(DB24="-","-",COUNTIFS(T_Equipos[Rank],"&lt;"&amp;INDEX(T_Equipos[Rank],MATCH(BD24,T_Equipos[NombreEquipo],0)),$BC$6:$BC$53,INDEX(T_Equipos[Grupo],MATCH(BD24,T_Equipos[NombreEquipo],0)))+1)</f>
        <v>-</v>
      </c>
      <c r="DD24" s="756">
        <f ca="1">DA24+COUNTIFS($DB$6:$DB$53,DB24,$DC$6:DC$53,"&lt;"&amp;DC24,$BC$6:$BC$53,INDEX(T_Equipos[Grupo],MATCH(BD24,T_Equipos[NombreEquipo],0)))</f>
        <v>2</v>
      </c>
      <c r="DE24" s="756"/>
      <c r="DF24" s="756">
        <f t="shared" ca="1" si="52"/>
        <v>2</v>
      </c>
      <c r="DG24" s="756" t="str">
        <f ca="1">IF(DB24="-","-",COUNTIFS(DF$6:DF$53,"&lt;"&amp;DF24,$BC$6:$BC$53,INDEX(T_Equipos[Grupo],MATCH(BD24,T_Equipos[NombreEquipo],0))))</f>
        <v>-</v>
      </c>
      <c r="DH24" s="756">
        <f ca="1">DA24+COUNTIFS(DB$6:DB$53,DB24,DG$6:DG$53,"&lt;"&amp;DG24,$BC$6:$BC$53,INDEX(T_Equipos[Grupo],MATCH(BD24,T_Equipos[NombreEquipo],0)))</f>
        <v>2</v>
      </c>
      <c r="DI24" s="744"/>
      <c r="DJ24" s="744">
        <f t="shared" ca="1" si="53"/>
        <v>3</v>
      </c>
      <c r="DK24" s="744">
        <f t="shared" ca="1" si="24"/>
        <v>4</v>
      </c>
      <c r="DL24" s="744">
        <f t="shared" ca="1" si="33"/>
        <v>1</v>
      </c>
      <c r="DM24" s="738" t="str">
        <f t="shared" ca="1" si="34"/>
        <v>3.1</v>
      </c>
      <c r="DN24" s="744" cm="1">
        <f t="array" aca="1" ref="DN24" ca="1">OFFSET(Horarios!$P$3,DJ24-1,0,DL24,1)</f>
        <v>3</v>
      </c>
      <c r="DO24" s="744"/>
      <c r="DP24" s="744" t="s">
        <v>93</v>
      </c>
      <c r="DQ24" s="744" t="str">
        <f t="shared" ca="1" si="35"/>
        <v>Ecuador</v>
      </c>
      <c r="DR24" s="744"/>
      <c r="DS24" s="744"/>
      <c r="DT24" s="744" t="str">
        <f t="shared" ca="1" si="15"/>
        <v>Escocia-Brasil</v>
      </c>
      <c r="DU24" s="744"/>
      <c r="DV24" s="744"/>
      <c r="DW24" s="8"/>
    </row>
    <row r="25" spans="1:127" ht="16.95" customHeight="1" thickBot="1">
      <c r="A25" s="739"/>
      <c r="B25" s="739"/>
      <c r="C25" s="739"/>
      <c r="D25" s="744" t="str">
        <f t="shared" si="73"/>
        <v>Pendiente</v>
      </c>
      <c r="E25" s="744" t="str">
        <f t="shared" si="74"/>
        <v>-</v>
      </c>
      <c r="F25" s="744" t="str">
        <f t="shared" si="75"/>
        <v>-</v>
      </c>
      <c r="G25" s="744"/>
      <c r="H25" s="744" t="str">
        <f t="shared" si="76"/>
        <v>-</v>
      </c>
      <c r="I25" s="744" t="str">
        <f t="shared" si="77"/>
        <v>-</v>
      </c>
      <c r="J25" s="744"/>
      <c r="K25" s="744" t="str">
        <f t="shared" si="78"/>
        <v>-</v>
      </c>
      <c r="L25" s="744" t="str">
        <f t="shared" si="79"/>
        <v>-</v>
      </c>
      <c r="M25" s="744"/>
      <c r="N25" s="744" t="str">
        <f t="shared" si="80"/>
        <v>-</v>
      </c>
      <c r="O25" s="744" t="str">
        <f t="shared" si="81"/>
        <v>-</v>
      </c>
      <c r="P25" s="744"/>
      <c r="Q25" s="744" t="str">
        <f t="shared" si="82"/>
        <v>-</v>
      </c>
      <c r="R25" s="744" t="str">
        <f t="shared" si="83"/>
        <v>-</v>
      </c>
      <c r="S25" s="744"/>
      <c r="T25" s="744" t="str">
        <f t="shared" si="84"/>
        <v>-</v>
      </c>
      <c r="U25" s="744" t="str">
        <f t="shared" si="85"/>
        <v>-</v>
      </c>
      <c r="V25" s="172"/>
      <c r="W25" s="810"/>
      <c r="X25" s="228">
        <f ca="1">Horarios!C25</f>
        <v>46198</v>
      </c>
      <c r="Y25" s="229">
        <f ca="1">Horarios!C25</f>
        <v>46198</v>
      </c>
      <c r="Z25" s="230" t="str">
        <f>$Z$8</f>
        <v>J3</v>
      </c>
      <c r="AA25" s="231" t="str">
        <f ca="1">A22</f>
        <v>Marruecos</v>
      </c>
      <c r="AB25" s="479" t="e" cm="1" vm="10">
        <f t="array" aca="1" ref="AB25" ca="1">Ver_flag_local</f>
        <v>#VALUE!</v>
      </c>
      <c r="AC25" s="232"/>
      <c r="AD25" s="233"/>
      <c r="AE25" s="484" t="e" cm="1" vm="11">
        <f t="array" aca="1" ref="AE25" ca="1">Ver_flag_visit</f>
        <v>#VALUE!</v>
      </c>
      <c r="AF25" s="234" t="str">
        <f ca="1">A23</f>
        <v>Haití</v>
      </c>
      <c r="AG25" s="413">
        <f t="shared" si="86"/>
        <v>0</v>
      </c>
      <c r="AH25" s="196">
        <v>50</v>
      </c>
      <c r="AI25" s="19" t="str">
        <f t="shared" si="91"/>
        <v>4C</v>
      </c>
      <c r="AJ25" s="235">
        <v>4</v>
      </c>
      <c r="AK25" s="487" t="e" cm="1" vm="11">
        <f t="array" aca="1" ref="AK25" ca="1">Ver_flag_visit</f>
        <v>#VALUE!</v>
      </c>
      <c r="AL25" s="236" t="str">
        <f ca="1">IFERROR(INDEX($BD$6:$BD$53,MATCH(AI25,$BN$6:$BN$53,0)),"")</f>
        <v>Haití</v>
      </c>
      <c r="AM25" s="237">
        <f t="shared" ca="1" si="90"/>
        <v>0</v>
      </c>
      <c r="AN25" s="238">
        <f t="shared" ca="1" si="90"/>
        <v>2</v>
      </c>
      <c r="AO25" s="238">
        <f t="shared" ca="1" si="90"/>
        <v>0</v>
      </c>
      <c r="AP25" s="238">
        <f t="shared" ca="1" si="90"/>
        <v>0</v>
      </c>
      <c r="AQ25" s="238">
        <f t="shared" ca="1" si="90"/>
        <v>2</v>
      </c>
      <c r="AR25" s="238">
        <f t="shared" ca="1" si="90"/>
        <v>0</v>
      </c>
      <c r="AS25" s="238">
        <f t="shared" ca="1" si="90"/>
        <v>4</v>
      </c>
      <c r="AT25" s="239">
        <f t="shared" ca="1" si="90"/>
        <v>-4</v>
      </c>
      <c r="AU25" s="420">
        <f ca="1">INDEX($DL$6:$DL$53,MATCH(AI25,$DP$6:$DP$53,0))</f>
        <v>1</v>
      </c>
      <c r="AV25" s="217" t="str">
        <f ca="1">INDEX($BD$6:$BD$53,MATCH(AI25,$BM$6:$BM$53,0))</f>
        <v>Haití</v>
      </c>
      <c r="AW25" s="427"/>
      <c r="AX25" s="218"/>
      <c r="AY25" s="240" t="str">
        <f ca="1">+A24</f>
        <v>Escocia</v>
      </c>
      <c r="AZ25" s="241"/>
      <c r="BA25" s="175"/>
      <c r="BB25" s="744"/>
      <c r="BC25" s="756" t="str">
        <f ca="1">+INDEX(T_Equipos[Grupo],MATCH(WORLDCUP!BD25,T_Equipos[NombreEquipo],0))</f>
        <v>E</v>
      </c>
      <c r="BD25" s="744" t="str">
        <f ca="1">+Equipos!B21</f>
        <v>Ecuador</v>
      </c>
      <c r="BE25" s="748">
        <f t="shared" ca="1" si="25"/>
        <v>0</v>
      </c>
      <c r="BF25" s="748">
        <f t="shared" ca="1" si="26"/>
        <v>1</v>
      </c>
      <c r="BG25" s="748">
        <f t="shared" ca="1" si="17"/>
        <v>0</v>
      </c>
      <c r="BH25" s="748">
        <f t="shared" ca="1" si="18"/>
        <v>0</v>
      </c>
      <c r="BI25" s="748">
        <f t="shared" ca="1" si="19"/>
        <v>1</v>
      </c>
      <c r="BJ25" s="748">
        <f t="shared" ca="1" si="20"/>
        <v>0</v>
      </c>
      <c r="BK25" s="748">
        <f t="shared" ca="1" si="21"/>
        <v>1</v>
      </c>
      <c r="BL25" s="748">
        <f t="shared" ca="1" si="27"/>
        <v>-1</v>
      </c>
      <c r="BM25" s="748" t="str">
        <f t="shared" ca="1" si="22"/>
        <v>3E</v>
      </c>
      <c r="BN25" s="748" t="str">
        <f t="shared" ca="1" si="23"/>
        <v>3E</v>
      </c>
      <c r="BO25" s="757">
        <f t="shared" ca="1" si="28"/>
        <v>0</v>
      </c>
      <c r="BP25" s="757">
        <f ca="1">COUNTIFS($BO$6:$BO$53,"&gt;"&amp;BO25,$BC$6:$BC$53,INDEX(T_Equipos[Grupo],MATCH(BD25,T_Equipos[NombreEquipo],0)))+1</f>
        <v>1</v>
      </c>
      <c r="BQ25" s="757" t="str">
        <f ca="1">IF(COUNTIFS($BP$6:$BP$53,BP25,$BC$6:$BC$53,INDEX(T_Equipos[Grupo],MATCH(BD25,T_Equipos[NombreEquipo],0)))=1,"-","P."&amp;BP25&amp;" ("&amp;COUNTIFS($BP$6:$BP$53,BP25,$BC$6:$BC$53,INDEX(T_Equipos[Grupo],MATCH(BD25,T_Equipos[NombreEquipo],0)))&amp;")")</f>
        <v>P.1 (4)</v>
      </c>
      <c r="BR25" s="757">
        <f t="shared" ca="1" si="29"/>
        <v>0</v>
      </c>
      <c r="BS25" s="757">
        <f ca="1">BP25+COUNTIFS($BQ$6:$BQ$53,BQ25,$BR$6:BR$53,"&gt;"&amp;BR25,$BC$6:$BC$53,INDEX(T_Equipos[Grupo],MATCH(BD25,T_Equipos[NombreEquipo],0)))</f>
        <v>3</v>
      </c>
      <c r="BT25" s="757" t="str">
        <f ca="1">IF(COUNTIFS($BS$6:$BS$53,BS25,$BC$6:$BC$53,INDEX(T_Equipos[Grupo],MATCH(BD25,T_Equipos[NombreEquipo],0)))=1,"-","P."&amp;BS25&amp;" ("&amp;COUNTIFS($BS$6:$BS$53,BS25,$BC$6:$BC$53,INDEX(T_Equipos[Grupo],MATCH(BD25,T_Equipos[NombreEquipo],0)))&amp;")")</f>
        <v>P.3 (2)</v>
      </c>
      <c r="BU25" s="758">
        <f t="shared" ca="1" si="36"/>
        <v>0</v>
      </c>
      <c r="BV25" s="758">
        <f t="shared" ca="1" si="37"/>
        <v>0</v>
      </c>
      <c r="BW25" s="758">
        <f t="shared" ca="1" si="38"/>
        <v>0</v>
      </c>
      <c r="BX25" s="758">
        <f t="shared" ca="1" si="39"/>
        <v>0</v>
      </c>
      <c r="BY25" s="758">
        <f ca="1">BS25+COUNTIFS($BT$6:$BT$53,BT25,$BX$6:BX$53,"&gt;"&amp;BX25,$BC$6:$BC$53,INDEX(T_Equipos[Grupo],MATCH(BD25,T_Equipos[NombreEquipo],0)))</f>
        <v>3</v>
      </c>
      <c r="BZ25" s="757" t="str">
        <f ca="1">IF(COUNTIFS($BY$6:$BY$53,BY25,$BC$6:$BC$53,INDEX(T_Equipos[Grupo],MATCH(BD25,T_Equipos[NombreEquipo],0)))=1,"-","P."&amp;BY25&amp;" ("&amp;COUNTIFS($BY$6:$BY$53,BY25,$BC$6:$BC$53,INDEX(T_Equipos[Grupo],MATCH(BD25,T_Equipos[NombreEquipo],0)))&amp;")")</f>
        <v>P.3 (2)</v>
      </c>
      <c r="CA25" s="758">
        <f t="shared" ca="1" si="40"/>
        <v>0</v>
      </c>
      <c r="CB25" s="758">
        <f t="shared" ca="1" si="41"/>
        <v>0</v>
      </c>
      <c r="CC25" s="758">
        <f t="shared" ca="1" si="42"/>
        <v>0</v>
      </c>
      <c r="CD25" s="758">
        <f ca="1">BY25+COUNTIFS($BZ$6:$BZ$53,BZ25,$CC$6:CC$53,"&gt;"&amp;CC25,$BC$6:$BC$53,INDEX(T_Equipos[Grupo],MATCH(BD25,T_Equipos[NombreEquipo],0)))</f>
        <v>3</v>
      </c>
      <c r="CE25" s="757" t="str">
        <f ca="1">IF(COUNTIFS($CD$6:$CD$53,CD25,$BC$6:$BC$53,INDEX(T_Equipos[Grupo],MATCH(BD25,T_Equipos[NombreEquipo],0)))=1,"-","P."&amp;CD25&amp;" ("&amp;COUNTIFS($CD$6:$CD$53,CD25,$BC$6:$BC$53,INDEX(T_Equipos[Grupo],MATCH(BD25,T_Equipos[NombreEquipo],0)))&amp;")")</f>
        <v>P.3 (2)</v>
      </c>
      <c r="CF25" s="758">
        <f t="shared" ca="1" si="43"/>
        <v>0</v>
      </c>
      <c r="CG25" s="758">
        <f ca="1">CD25+COUNTIFS($CE$6:$CE$53,CE25,$CF$6:CF$53,"&gt;"&amp;CF25,$BC$6:$BC$53,INDEX(T_Equipos[Grupo],MATCH(BD25,T_Equipos[NombreEquipo],0)))</f>
        <v>3</v>
      </c>
      <c r="CH25" s="757" t="str">
        <f ca="1">IF(COUNTIFS($CG$6:$CG$53,CG25,$BC$6:$BC$53,INDEX(T_Equipos[Grupo],MATCH(BD25,T_Equipos[NombreEquipo],0)))=1,"-","P."&amp;CG25&amp;" ("&amp;COUNTIFS($CG$6:$CG$53,CG25,$BC$6:$BC$53,INDEX(T_Equipos[Grupo],MATCH(BD25,T_Equipos[NombreEquipo],0)))&amp;")")</f>
        <v>P.3 (2)</v>
      </c>
      <c r="CI25" s="758">
        <f t="shared" ca="1" si="44"/>
        <v>0</v>
      </c>
      <c r="CJ25" s="758">
        <f t="shared" ca="1" si="45"/>
        <v>0</v>
      </c>
      <c r="CK25" s="758">
        <f t="shared" ca="1" si="46"/>
        <v>0</v>
      </c>
      <c r="CL25" s="758">
        <f t="shared" ca="1" si="47"/>
        <v>0</v>
      </c>
      <c r="CM25" s="758">
        <f ca="1">CG25+COUNTIFS($CH$6:$CH$53,CH25,$CL$6:CL$53,"&gt;"&amp;CL25,$BC$6:$BC$53,INDEX(T_Equipos[Grupo],MATCH(BD25,T_Equipos[NombreEquipo],0)))</f>
        <v>3</v>
      </c>
      <c r="CN25" s="757" t="str">
        <f ca="1">IF(COUNTIFS($CM$6:$CM$53,CM25,$BC$6:$BC$53,INDEX(T_Equipos[Grupo],MATCH(BD25,T_Equipos[NombreEquipo],0)))=1,"-","P."&amp;CM25&amp;" ("&amp;COUNTIFS($CM$6:$CM$53,CM25,$BC$6:$BC$53,INDEX(T_Equipos[Grupo],MATCH(BD25,T_Equipos[NombreEquipo],0)))&amp;")")</f>
        <v>P.3 (2)</v>
      </c>
      <c r="CO25" s="758">
        <f t="shared" ca="1" si="48"/>
        <v>0</v>
      </c>
      <c r="CP25" s="758">
        <f t="shared" ca="1" si="49"/>
        <v>0</v>
      </c>
      <c r="CQ25" s="758">
        <f t="shared" ca="1" si="50"/>
        <v>0</v>
      </c>
      <c r="CR25" s="758">
        <f ca="1">CM25+COUNTIFS($CN$6:$CN$53,CN25,$CQ$6:CQ$53,"&gt;"&amp;CQ25,$BC$6:$BC$53,INDEX(T_Equipos[Grupo],MATCH(BD25,T_Equipos[NombreEquipo],0)))</f>
        <v>3</v>
      </c>
      <c r="CS25" s="757" t="str">
        <f ca="1">IF(COUNTIFS($CR$6:$CR$53,CR25,$BC$6:$BC$53,INDEX(T_Equipos[Grupo],MATCH(BD25,T_Equipos[NombreEquipo],0)))=1,"-","P."&amp;CR25&amp;" ("&amp;COUNTIFS($CR$6:$CR$53,CR25,$BC$6:$BC$53,INDEX(T_Equipos[Grupo],MATCH(BD25,T_Equipos[NombreEquipo],0)))&amp;")")</f>
        <v>P.3 (2)</v>
      </c>
      <c r="CT25" s="758">
        <f t="shared" ca="1" si="51"/>
        <v>0</v>
      </c>
      <c r="CU25" s="758">
        <f ca="1">CR25+COUNTIFS($CS$6:$CS$53,CS25,$CT$6:CT$53,"&gt;"&amp;CT25,$BC$6:$BC$53,INDEX(T_Equipos[Grupo],MATCH(BD25,T_Equipos[NombreEquipo],0)))</f>
        <v>3</v>
      </c>
      <c r="CV25" s="757" t="str">
        <f ca="1">IF(COUNTIFS($CU$6:$CU$53,CU25,$BC$6:$BC$53,INDEX(T_Equipos[Grupo],MATCH(BD25,T_Equipos[NombreEquipo],0)))=1,"-","P."&amp;CU25&amp;" ("&amp;COUNTIFS($CU$6:$CU$53,CU25,$BC$6:$BC$53,INDEX(T_Equipos[Grupo],MATCH(BD25,T_Equipos[NombreEquipo],0)))&amp;")")</f>
        <v>P.3 (2)</v>
      </c>
      <c r="CW25" s="757">
        <f t="shared" ca="1" si="30"/>
        <v>-1</v>
      </c>
      <c r="CX25" s="757">
        <f ca="1">CU25+COUNTIFS($CV$6:$CV$53,CV25,$CW$6:CW$53,"&gt;"&amp;CW25,$BC$6:$BC$53,INDEX(T_Equipos[Grupo],MATCH(BD25,T_Equipos[NombreEquipo],0)))</f>
        <v>3</v>
      </c>
      <c r="CY25" s="757" t="str">
        <f ca="1">IF(COUNTIFS($CX$6:$CX$53,CX25,$BC$6:$BC$53,INDEX(T_Equipos[Grupo],MATCH(BD25,T_Equipos[NombreEquipo],0)))=1,"-","P."&amp;CX25&amp;" ("&amp;COUNTIFS($CX$6:$CX$53,CX25,$BC$6:$BC$53,INDEX(T_Equipos[Grupo],MATCH(BD25,T_Equipos[NombreEquipo],0)))&amp;")")</f>
        <v>-</v>
      </c>
      <c r="CZ25" s="757" t="str">
        <f t="shared" ca="1" si="31"/>
        <v>-</v>
      </c>
      <c r="DA25" s="758">
        <f ca="1">CX25+COUNTIFS($CY$6:$CY$53,CY25,$CZ$6:CZ$53,"&gt;"&amp;CZ25,$BC$6:$BC$53,INDEX(T_Equipos[Grupo],MATCH(BD25,T_Equipos[NombreEquipo],0)))</f>
        <v>3</v>
      </c>
      <c r="DB25" s="757" t="str">
        <f ca="1">IF(COUNTIFS($DA$6:$DA$53,DA25,$BC$6:$BC$53,INDEX(T_Equipos[Grupo],MATCH(BD25,T_Equipos[NombreEquipo],0)))=1,"-","P."&amp;DA25&amp;" ("&amp;COUNTIFS($DA$6:$DA$53,DA25,$BC$6:$BC$53,INDEX(T_Equipos[Grupo],MATCH(BD25,T_Equipos[NombreEquipo],0)))&amp;")")</f>
        <v>-</v>
      </c>
      <c r="DC25" s="756" t="str">
        <f ca="1">IF(DB25="-","-",COUNTIFS(T_Equipos[Rank],"&lt;"&amp;INDEX(T_Equipos[Rank],MATCH(BD25,T_Equipos[NombreEquipo],0)),$BC$6:$BC$53,INDEX(T_Equipos[Grupo],MATCH(BD25,T_Equipos[NombreEquipo],0)))+1)</f>
        <v>-</v>
      </c>
      <c r="DD25" s="756">
        <f ca="1">DA25+COUNTIFS($DB$6:$DB$53,DB25,$DC$6:DC$53,"&lt;"&amp;DC25,$BC$6:$BC$53,INDEX(T_Equipos[Grupo],MATCH(BD25,T_Equipos[NombreEquipo],0)))</f>
        <v>3</v>
      </c>
      <c r="DE25" s="756"/>
      <c r="DF25" s="756">
        <f t="shared" ca="1" si="52"/>
        <v>3</v>
      </c>
      <c r="DG25" s="756" t="str">
        <f ca="1">IF(DB25="-","-",COUNTIFS(DF$6:DF$53,"&lt;"&amp;DF25,$BC$6:$BC$53,INDEX(T_Equipos[Grupo],MATCH(BD25,T_Equipos[NombreEquipo],0))))</f>
        <v>-</v>
      </c>
      <c r="DH25" s="756">
        <f ca="1">DA25+COUNTIFS(DB$6:DB$53,DB25,DG$6:DG$53,"&lt;"&amp;DG25,$BC$6:$BC$53,INDEX(T_Equipos[Grupo],MATCH(BD25,T_Equipos[NombreEquipo],0)))</f>
        <v>3</v>
      </c>
      <c r="DI25" s="744"/>
      <c r="DJ25" s="744">
        <f t="shared" ca="1" si="53"/>
        <v>4</v>
      </c>
      <c r="DK25" s="744">
        <f t="shared" ca="1" si="24"/>
        <v>4</v>
      </c>
      <c r="DL25" s="744">
        <f t="shared" ca="1" si="33"/>
        <v>1</v>
      </c>
      <c r="DM25" s="738" t="str">
        <f t="shared" ca="1" si="34"/>
        <v>4.1</v>
      </c>
      <c r="DN25" s="744" cm="1">
        <f t="array" aca="1" ref="DN25" ca="1">OFFSET(Horarios!$P$3,DJ25-1,0,DL25,1)</f>
        <v>4</v>
      </c>
      <c r="DO25" s="744"/>
      <c r="DP25" s="744" t="s">
        <v>663</v>
      </c>
      <c r="DQ25" s="744" t="str">
        <f t="shared" ca="1" si="35"/>
        <v>Curazao</v>
      </c>
      <c r="DR25" s="744"/>
      <c r="DS25" s="744"/>
      <c r="DT25" s="744" t="str">
        <f t="shared" ca="1" si="15"/>
        <v>Marruecos-Haití</v>
      </c>
      <c r="DU25" s="744"/>
      <c r="DV25" s="744"/>
      <c r="DW25" s="8"/>
    </row>
    <row r="26" spans="1:127" ht="15" thickBot="1">
      <c r="A26" s="739"/>
      <c r="B26" s="739"/>
      <c r="C26" s="739"/>
      <c r="D26" s="744"/>
      <c r="E26" s="744"/>
      <c r="F26" s="744"/>
      <c r="G26" s="744"/>
      <c r="H26" s="744"/>
      <c r="I26" s="744"/>
      <c r="J26" s="744"/>
      <c r="K26" s="744"/>
      <c r="L26" s="744"/>
      <c r="M26" s="744"/>
      <c r="N26" s="744"/>
      <c r="O26" s="744"/>
      <c r="P26" s="744"/>
      <c r="Q26" s="744"/>
      <c r="R26" s="744"/>
      <c r="S26" s="744"/>
      <c r="T26" s="744"/>
      <c r="U26" s="744"/>
      <c r="V26" s="172"/>
      <c r="W26" s="242"/>
      <c r="X26" s="243"/>
      <c r="Y26" s="242"/>
      <c r="Z26" s="244"/>
      <c r="AA26" s="245"/>
      <c r="AB26" s="482"/>
      <c r="AC26" s="247"/>
      <c r="AD26" s="247"/>
      <c r="AE26" s="482"/>
      <c r="AF26" s="248"/>
      <c r="AG26" s="415"/>
      <c r="AH26" s="196"/>
      <c r="AI26" s="171"/>
      <c r="AJ26" s="249"/>
      <c r="AK26" s="250"/>
      <c r="AL26" s="186"/>
      <c r="AM26" s="251"/>
      <c r="AN26" s="249"/>
      <c r="AO26" s="249"/>
      <c r="AP26" s="249"/>
      <c r="AQ26" s="249"/>
      <c r="AR26" s="249"/>
      <c r="AS26" s="249"/>
      <c r="AT26" s="249"/>
      <c r="AU26" s="420"/>
      <c r="AV26" s="216"/>
      <c r="AW26" s="428"/>
      <c r="AX26" s="218"/>
      <c r="AY26" s="242"/>
      <c r="AZ26" s="243"/>
      <c r="BA26" s="175"/>
      <c r="BB26" s="744"/>
      <c r="BC26" s="756" t="str">
        <f ca="1">+INDEX(T_Equipos[Grupo],MATCH(WORLDCUP!BD26,T_Equipos[NombreEquipo],0))</f>
        <v>F</v>
      </c>
      <c r="BD26" s="744" t="str">
        <f ca="1">+Equipos!B22</f>
        <v>Países Bajos</v>
      </c>
      <c r="BE26" s="748">
        <f t="shared" ca="1" si="25"/>
        <v>1</v>
      </c>
      <c r="BF26" s="748">
        <f t="shared" ca="1" si="26"/>
        <v>1</v>
      </c>
      <c r="BG26" s="748">
        <f t="shared" ca="1" si="17"/>
        <v>0</v>
      </c>
      <c r="BH26" s="748">
        <f t="shared" ca="1" si="18"/>
        <v>1</v>
      </c>
      <c r="BI26" s="748">
        <f t="shared" ca="1" si="19"/>
        <v>0</v>
      </c>
      <c r="BJ26" s="748">
        <f t="shared" ca="1" si="20"/>
        <v>2</v>
      </c>
      <c r="BK26" s="748">
        <f t="shared" ca="1" si="21"/>
        <v>2</v>
      </c>
      <c r="BL26" s="748">
        <f t="shared" ca="1" si="27"/>
        <v>0</v>
      </c>
      <c r="BM26" s="748" t="str">
        <f t="shared" ca="1" si="22"/>
        <v>2F</v>
      </c>
      <c r="BN26" s="748" t="str">
        <f t="shared" ca="1" si="23"/>
        <v>2F</v>
      </c>
      <c r="BO26" s="758">
        <f t="shared" ca="1" si="28"/>
        <v>0</v>
      </c>
      <c r="BP26" s="757">
        <f ca="1">COUNTIFS($BO$6:$BO$53,"&gt;"&amp;BO26,$BC$6:$BC$53,INDEX(T_Equipos[Grupo],MATCH(BD26,T_Equipos[NombreEquipo],0)))+1</f>
        <v>1</v>
      </c>
      <c r="BQ26" s="757" t="str">
        <f ca="1">IF(COUNTIFS($BP$6:$BP$53,BP26,$BC$6:$BC$53,INDEX(T_Equipos[Grupo],MATCH(BD26,T_Equipos[NombreEquipo],0)))=1,"-","P."&amp;BP26&amp;" ("&amp;COUNTIFS($BP$6:$BP$53,BP26,$BC$6:$BC$53,INDEX(T_Equipos[Grupo],MATCH(BD26,T_Equipos[NombreEquipo],0)))&amp;")")</f>
        <v>P.1 (4)</v>
      </c>
      <c r="BR26" s="758">
        <f t="shared" ca="1" si="29"/>
        <v>1</v>
      </c>
      <c r="BS26" s="757">
        <f ca="1">BP26+COUNTIFS($BQ$6:$BQ$53,BQ26,$BR$6:BR$53,"&gt;"&amp;BR26,$BC$6:$BC$53,INDEX(T_Equipos[Grupo],MATCH(BD26,T_Equipos[NombreEquipo],0)))</f>
        <v>2</v>
      </c>
      <c r="BT26" s="757" t="str">
        <f ca="1">IF(COUNTIFS($BS$6:$BS$53,BS26,$BC$6:$BC$53,INDEX(T_Equipos[Grupo],MATCH(BD26,T_Equipos[NombreEquipo],0)))=1,"-","P."&amp;BS26&amp;" ("&amp;COUNTIFS($BS$6:$BS$53,BS26,$BC$6:$BC$53,INDEX(T_Equipos[Grupo],MATCH(BD26,T_Equipos[NombreEquipo],0)))&amp;")")</f>
        <v>P.2 (2)</v>
      </c>
      <c r="BU26" s="758">
        <f t="shared" ca="1" si="36"/>
        <v>0</v>
      </c>
      <c r="BV26" s="758">
        <f t="shared" ca="1" si="37"/>
        <v>1</v>
      </c>
      <c r="BW26" s="758">
        <f t="shared" ca="1" si="38"/>
        <v>0</v>
      </c>
      <c r="BX26" s="758">
        <f t="shared" ca="1" si="39"/>
        <v>1</v>
      </c>
      <c r="BY26" s="758">
        <f ca="1">BS26+COUNTIFS($BT$6:$BT$53,BT26,$BX$6:BX$53,"&gt;"&amp;BX26,$BC$6:$BC$53,INDEX(T_Equipos[Grupo],MATCH(BD26,T_Equipos[NombreEquipo],0)))</f>
        <v>2</v>
      </c>
      <c r="BZ26" s="757" t="str">
        <f ca="1">IF(COUNTIFS($BY$6:$BY$53,BY26,$BC$6:$BC$53,INDEX(T_Equipos[Grupo],MATCH(BD26,T_Equipos[NombreEquipo],0)))=1,"-","P."&amp;BY26&amp;" ("&amp;COUNTIFS($BY$6:$BY$53,BY26,$BC$6:$BC$53,INDEX(T_Equipos[Grupo],MATCH(BD26,T_Equipos[NombreEquipo],0)))&amp;")")</f>
        <v>P.2 (2)</v>
      </c>
      <c r="CA26" s="758">
        <f t="shared" ca="1" si="40"/>
        <v>2</v>
      </c>
      <c r="CB26" s="758">
        <f t="shared" ca="1" si="41"/>
        <v>2</v>
      </c>
      <c r="CC26" s="758">
        <f t="shared" ca="1" si="42"/>
        <v>0</v>
      </c>
      <c r="CD26" s="758">
        <f ca="1">BY26+COUNTIFS($BZ$6:$BZ$53,BZ26,$CC$6:CC$53,"&gt;"&amp;CC26,$BC$6:$BC$53,INDEX(T_Equipos[Grupo],MATCH(BD26,T_Equipos[NombreEquipo],0)))</f>
        <v>2</v>
      </c>
      <c r="CE26" s="757" t="str">
        <f ca="1">IF(COUNTIFS($CD$6:$CD$53,CD26,$BC$6:$BC$53,INDEX(T_Equipos[Grupo],MATCH(BD26,T_Equipos[NombreEquipo],0)))=1,"-","P."&amp;CD26&amp;" ("&amp;COUNTIFS($CD$6:$CD$53,CD26,$BC$6:$BC$53,INDEX(T_Equipos[Grupo],MATCH(BD26,T_Equipos[NombreEquipo],0)))&amp;")")</f>
        <v>P.2 (2)</v>
      </c>
      <c r="CF26" s="758">
        <f t="shared" ca="1" si="43"/>
        <v>2</v>
      </c>
      <c r="CG26" s="758">
        <f ca="1">CD26+COUNTIFS($CE$6:$CE$53,CE26,$CF$6:CF$53,"&gt;"&amp;CF26,$BC$6:$BC$53,INDEX(T_Equipos[Grupo],MATCH(BD26,T_Equipos[NombreEquipo],0)))</f>
        <v>2</v>
      </c>
      <c r="CH26" s="757" t="str">
        <f ca="1">IF(COUNTIFS($CG$6:$CG$53,CG26,$BC$6:$BC$53,INDEX(T_Equipos[Grupo],MATCH(BD26,T_Equipos[NombreEquipo],0)))=1,"-","P."&amp;CG26&amp;" ("&amp;COUNTIFS($CG$6:$CG$53,CG26,$BC$6:$BC$53,INDEX(T_Equipos[Grupo],MATCH(BD26,T_Equipos[NombreEquipo],0)))&amp;")")</f>
        <v>P.2 (2)</v>
      </c>
      <c r="CI26" s="758">
        <f t="shared" ca="1" si="44"/>
        <v>0</v>
      </c>
      <c r="CJ26" s="758">
        <f t="shared" ca="1" si="45"/>
        <v>1</v>
      </c>
      <c r="CK26" s="758">
        <f t="shared" ca="1" si="46"/>
        <v>0</v>
      </c>
      <c r="CL26" s="758">
        <f t="shared" ca="1" si="47"/>
        <v>1</v>
      </c>
      <c r="CM26" s="758">
        <f ca="1">CG26+COUNTIFS($CH$6:$CH$53,CH26,$CL$6:CL$53,"&gt;"&amp;CL26,$BC$6:$BC$53,INDEX(T_Equipos[Grupo],MATCH(BD26,T_Equipos[NombreEquipo],0)))</f>
        <v>2</v>
      </c>
      <c r="CN26" s="757" t="str">
        <f ca="1">IF(COUNTIFS($CM$6:$CM$53,CM26,$BC$6:$BC$53,INDEX(T_Equipos[Grupo],MATCH(BD26,T_Equipos[NombreEquipo],0)))=1,"-","P."&amp;CM26&amp;" ("&amp;COUNTIFS($CM$6:$CM$53,CM26,$BC$6:$BC$53,INDEX(T_Equipos[Grupo],MATCH(BD26,T_Equipos[NombreEquipo],0)))&amp;")")</f>
        <v>P.2 (2)</v>
      </c>
      <c r="CO26" s="758">
        <f t="shared" ca="1" si="48"/>
        <v>2</v>
      </c>
      <c r="CP26" s="758">
        <f t="shared" ca="1" si="49"/>
        <v>2</v>
      </c>
      <c r="CQ26" s="758">
        <f t="shared" ca="1" si="50"/>
        <v>0</v>
      </c>
      <c r="CR26" s="758">
        <f ca="1">CM26+COUNTIFS($CN$6:$CN$53,CN26,$CQ$6:CQ$53,"&gt;"&amp;CQ26,$BC$6:$BC$53,INDEX(T_Equipos[Grupo],MATCH(BD26,T_Equipos[NombreEquipo],0)))</f>
        <v>2</v>
      </c>
      <c r="CS26" s="757" t="str">
        <f ca="1">IF(COUNTIFS($CR$6:$CR$53,CR26,$BC$6:$BC$53,INDEX(T_Equipos[Grupo],MATCH(BD26,T_Equipos[NombreEquipo],0)))=1,"-","P."&amp;CR26&amp;" ("&amp;COUNTIFS($CR$6:$CR$53,CR26,$BC$6:$BC$53,INDEX(T_Equipos[Grupo],MATCH(BD26,T_Equipos[NombreEquipo],0)))&amp;")")</f>
        <v>P.2 (2)</v>
      </c>
      <c r="CT26" s="758">
        <f t="shared" ca="1" si="51"/>
        <v>2</v>
      </c>
      <c r="CU26" s="758">
        <f ca="1">CR26+COUNTIFS($CS$6:$CS$53,CS26,$CT$6:CT$53,"&gt;"&amp;CT26,$BC$6:$BC$53,INDEX(T_Equipos[Grupo],MATCH(BD26,T_Equipos[NombreEquipo],0)))</f>
        <v>2</v>
      </c>
      <c r="CV26" s="757" t="str">
        <f ca="1">IF(COUNTIFS($CU$6:$CU$53,CU26,$BC$6:$BC$53,INDEX(T_Equipos[Grupo],MATCH(BD26,T_Equipos[NombreEquipo],0)))=1,"-","P."&amp;CU26&amp;" ("&amp;COUNTIFS($CU$6:$CU$53,CU26,$BC$6:$BC$53,INDEX(T_Equipos[Grupo],MATCH(BD26,T_Equipos[NombreEquipo],0)))&amp;")")</f>
        <v>P.2 (2)</v>
      </c>
      <c r="CW26" s="757">
        <f t="shared" ca="1" si="30"/>
        <v>0</v>
      </c>
      <c r="CX26" s="757">
        <f ca="1">CU26+COUNTIFS($CV$6:$CV$53,CV26,$CW$6:CW$53,"&gt;"&amp;CW26,$BC$6:$BC$53,INDEX(T_Equipos[Grupo],MATCH(BD26,T_Equipos[NombreEquipo],0)))</f>
        <v>2</v>
      </c>
      <c r="CY26" s="757" t="str">
        <f ca="1">IF(COUNTIFS($CX$6:$CX$53,CX26,$BC$6:$BC$53,INDEX(T_Equipos[Grupo],MATCH(BD26,T_Equipos[NombreEquipo],0)))=1,"-","P."&amp;CX26&amp;" ("&amp;COUNTIFS($CX$6:$CX$53,CX26,$BC$6:$BC$53,INDEX(T_Equipos[Grupo],MATCH(BD26,T_Equipos[NombreEquipo],0)))&amp;")")</f>
        <v>P.2 (2)</v>
      </c>
      <c r="CZ26" s="757">
        <f t="shared" ca="1" si="31"/>
        <v>2</v>
      </c>
      <c r="DA26" s="758">
        <f ca="1">CX26+COUNTIFS($CY$6:$CY$53,CY26,$CZ$6:CZ$53,"&gt;"&amp;CZ26,$BC$6:$BC$53,INDEX(T_Equipos[Grupo],MATCH(BD26,T_Equipos[NombreEquipo],0)))</f>
        <v>2</v>
      </c>
      <c r="DB26" s="757" t="str">
        <f ca="1">IF(COUNTIFS($DA$6:$DA$53,DA26,$BC$6:$BC$53,INDEX(T_Equipos[Grupo],MATCH(BD26,T_Equipos[NombreEquipo],0)))=1,"-","P."&amp;DA26&amp;" ("&amp;COUNTIFS($DA$6:$DA$53,DA26,$BC$6:$BC$53,INDEX(T_Equipos[Grupo],MATCH(BD26,T_Equipos[NombreEquipo],0)))&amp;")")</f>
        <v>P.2 (2)</v>
      </c>
      <c r="DC26" s="756">
        <f ca="1">IF(DB26="-","-",COUNTIFS(T_Equipos[Rank],"&lt;"&amp;INDEX(T_Equipos[Rank],MATCH(BD26,T_Equipos[NombreEquipo],0)),$BC$6:$BC$53,INDEX(T_Equipos[Grupo],MATCH(BD26,T_Equipos[NombreEquipo],0)))+1)</f>
        <v>1</v>
      </c>
      <c r="DD26" s="756">
        <f ca="1">DA26+COUNTIFS($DB$6:$DB$53,DB26,$DC$6:DC$53,"&lt;"&amp;DC26,$BC$6:$BC$53,INDEX(T_Equipos[Grupo],MATCH(BD26,T_Equipos[NombreEquipo],0)))</f>
        <v>2</v>
      </c>
      <c r="DE26" s="756"/>
      <c r="DF26" s="756">
        <f t="shared" ca="1" si="52"/>
        <v>2</v>
      </c>
      <c r="DG26" s="756">
        <f ca="1">IF(DB26="-","-",COUNTIFS(DF$6:DF$53,"&lt;"&amp;DF26,$BC$6:$BC$53,INDEX(T_Equipos[Grupo],MATCH(BD26,T_Equipos[NombreEquipo],0))))</f>
        <v>1</v>
      </c>
      <c r="DH26" s="756">
        <f ca="1">DA26+COUNTIFS(DB$6:DB$53,DB26,DG$6:DG$53,"&lt;"&amp;DG26,$BC$6:$BC$53,INDEX(T_Equipos[Grupo],MATCH(BD26,T_Equipos[NombreEquipo],0)))</f>
        <v>2</v>
      </c>
      <c r="DI26" s="744"/>
      <c r="DJ26" s="744">
        <f t="shared" ca="1" si="53"/>
        <v>1</v>
      </c>
      <c r="DK26" s="744">
        <f t="shared" ca="1" si="24"/>
        <v>4</v>
      </c>
      <c r="DL26" s="744">
        <f t="shared" ca="1" si="33"/>
        <v>1</v>
      </c>
      <c r="DM26" s="738" t="str">
        <f t="shared" ca="1" si="34"/>
        <v>1.1</v>
      </c>
      <c r="DN26" s="744" cm="1">
        <f t="array" aca="1" ref="DN26" ca="1">OFFSET(Horarios!$P$3,DJ26-1,0,DL26,1)</f>
        <v>1</v>
      </c>
      <c r="DO26" s="744"/>
      <c r="DP26" s="744" t="s">
        <v>664</v>
      </c>
      <c r="DQ26" s="744" t="str">
        <f t="shared" ca="1" si="35"/>
        <v>Suecia</v>
      </c>
      <c r="DR26" s="744"/>
      <c r="DS26" s="744"/>
      <c r="DT26" s="744" t="str">
        <f t="shared" si="15"/>
        <v>-</v>
      </c>
      <c r="DU26" s="744"/>
      <c r="DV26" s="744"/>
      <c r="DW26" s="8"/>
    </row>
    <row r="27" spans="1:127" ht="15" thickBot="1">
      <c r="A27" s="739"/>
      <c r="B27" s="742"/>
      <c r="C27" s="739"/>
      <c r="D27" s="739"/>
      <c r="E27" s="739"/>
      <c r="F27" s="739"/>
      <c r="G27" s="739"/>
      <c r="H27" s="739"/>
      <c r="I27" s="739"/>
      <c r="J27" s="739"/>
      <c r="K27" s="739"/>
      <c r="L27" s="739"/>
      <c r="M27" s="739"/>
      <c r="N27" s="744"/>
      <c r="O27" s="744"/>
      <c r="P27" s="744"/>
      <c r="Q27" s="744"/>
      <c r="R27" s="744"/>
      <c r="S27" s="744"/>
      <c r="T27" s="744"/>
      <c r="U27" s="744"/>
      <c r="V27" s="172"/>
      <c r="W27" s="179"/>
      <c r="X27" s="180" t="str">
        <f>X11</f>
        <v>Fecha</v>
      </c>
      <c r="Y27" s="180" t="str">
        <f>Y11</f>
        <v>Hora</v>
      </c>
      <c r="Z27" s="181" t="str">
        <f t="shared" ref="Z27:AA27" si="92">Z11</f>
        <v>Jor.</v>
      </c>
      <c r="AA27" s="182" t="str">
        <f t="shared" si="92"/>
        <v>Casa</v>
      </c>
      <c r="AB27" s="181"/>
      <c r="AC27" s="181" t="str">
        <f>AC3</f>
        <v>Gol</v>
      </c>
      <c r="AD27" s="181" t="str">
        <f>AD3</f>
        <v>Gol</v>
      </c>
      <c r="AE27" s="181"/>
      <c r="AF27" s="184" t="str">
        <f t="shared" ref="AF27" si="93">AF11</f>
        <v>Fuera</v>
      </c>
      <c r="AG27" s="414"/>
      <c r="AH27" s="196"/>
      <c r="AI27" s="18"/>
      <c r="AJ27" s="186"/>
      <c r="AK27" s="252"/>
      <c r="AL27" s="186"/>
      <c r="AM27" s="186"/>
      <c r="AN27" s="186"/>
      <c r="AO27" s="186"/>
      <c r="AP27" s="186"/>
      <c r="AQ27" s="186"/>
      <c r="AR27" s="186"/>
      <c r="AS27" s="186"/>
      <c r="AT27" s="186"/>
      <c r="AU27" s="421"/>
      <c r="AV27" s="22"/>
      <c r="AW27" s="429"/>
      <c r="AX27" s="253"/>
      <c r="AY27" s="242"/>
      <c r="AZ27" s="243"/>
      <c r="BA27" s="175"/>
      <c r="BB27" s="744"/>
      <c r="BC27" s="756" t="str">
        <f ca="1">+INDEX(T_Equipos[Grupo],MATCH(WORLDCUP!BD27,T_Equipos[NombreEquipo],0))</f>
        <v>F</v>
      </c>
      <c r="BD27" s="744" t="str">
        <f ca="1">+Equipos!B23</f>
        <v>Japón</v>
      </c>
      <c r="BE27" s="748">
        <f t="shared" ca="1" si="25"/>
        <v>1</v>
      </c>
      <c r="BF27" s="748">
        <f t="shared" ca="1" si="26"/>
        <v>1</v>
      </c>
      <c r="BG27" s="748">
        <f t="shared" ca="1" si="17"/>
        <v>0</v>
      </c>
      <c r="BH27" s="748">
        <f t="shared" ca="1" si="18"/>
        <v>1</v>
      </c>
      <c r="BI27" s="748">
        <f t="shared" ca="1" si="19"/>
        <v>0</v>
      </c>
      <c r="BJ27" s="748">
        <f t="shared" ca="1" si="20"/>
        <v>2</v>
      </c>
      <c r="BK27" s="748">
        <f t="shared" ca="1" si="21"/>
        <v>2</v>
      </c>
      <c r="BL27" s="748">
        <f t="shared" ca="1" si="27"/>
        <v>0</v>
      </c>
      <c r="BM27" s="748" t="str">
        <f t="shared" ca="1" si="22"/>
        <v>3F</v>
      </c>
      <c r="BN27" s="748" t="str">
        <f t="shared" ca="1" si="23"/>
        <v>3F</v>
      </c>
      <c r="BO27" s="758">
        <f t="shared" ca="1" si="28"/>
        <v>0</v>
      </c>
      <c r="BP27" s="757">
        <f ca="1">COUNTIFS($BO$6:$BO$53,"&gt;"&amp;BO27,$BC$6:$BC$53,INDEX(T_Equipos[Grupo],MATCH(BD27,T_Equipos[NombreEquipo],0)))+1</f>
        <v>1</v>
      </c>
      <c r="BQ27" s="757" t="str">
        <f ca="1">IF(COUNTIFS($BP$6:$BP$53,BP27,$BC$6:$BC$53,INDEX(T_Equipos[Grupo],MATCH(BD27,T_Equipos[NombreEquipo],0)))=1,"-","P."&amp;BP27&amp;" ("&amp;COUNTIFS($BP$6:$BP$53,BP27,$BC$6:$BC$53,INDEX(T_Equipos[Grupo],MATCH(BD27,T_Equipos[NombreEquipo],0)))&amp;")")</f>
        <v>P.1 (4)</v>
      </c>
      <c r="BR27" s="758">
        <f t="shared" ca="1" si="29"/>
        <v>1</v>
      </c>
      <c r="BS27" s="757">
        <f ca="1">BP27+COUNTIFS($BQ$6:$BQ$53,BQ27,$BR$6:BR$53,"&gt;"&amp;BR27,$BC$6:$BC$53,INDEX(T_Equipos[Grupo],MATCH(BD27,T_Equipos[NombreEquipo],0)))</f>
        <v>2</v>
      </c>
      <c r="BT27" s="757" t="str">
        <f ca="1">IF(COUNTIFS($BS$6:$BS$53,BS27,$BC$6:$BC$53,INDEX(T_Equipos[Grupo],MATCH(BD27,T_Equipos[NombreEquipo],0)))=1,"-","P."&amp;BS27&amp;" ("&amp;COUNTIFS($BS$6:$BS$53,BS27,$BC$6:$BC$53,INDEX(T_Equipos[Grupo],MATCH(BD27,T_Equipos[NombreEquipo],0)))&amp;")")</f>
        <v>P.2 (2)</v>
      </c>
      <c r="BU27" s="758">
        <f t="shared" ca="1" si="36"/>
        <v>0</v>
      </c>
      <c r="BV27" s="758">
        <f t="shared" ca="1" si="37"/>
        <v>1</v>
      </c>
      <c r="BW27" s="758">
        <f t="shared" ca="1" si="38"/>
        <v>0</v>
      </c>
      <c r="BX27" s="758">
        <f t="shared" ca="1" si="39"/>
        <v>1</v>
      </c>
      <c r="BY27" s="758">
        <f ca="1">BS27+COUNTIFS($BT$6:$BT$53,BT27,$BX$6:BX$53,"&gt;"&amp;BX27,$BC$6:$BC$53,INDEX(T_Equipos[Grupo],MATCH(BD27,T_Equipos[NombreEquipo],0)))</f>
        <v>2</v>
      </c>
      <c r="BZ27" s="757" t="str">
        <f ca="1">IF(COUNTIFS($BY$6:$BY$53,BY27,$BC$6:$BC$53,INDEX(T_Equipos[Grupo],MATCH(BD27,T_Equipos[NombreEquipo],0)))=1,"-","P."&amp;BY27&amp;" ("&amp;COUNTIFS($BY$6:$BY$53,BY27,$BC$6:$BC$53,INDEX(T_Equipos[Grupo],MATCH(BD27,T_Equipos[NombreEquipo],0)))&amp;")")</f>
        <v>P.2 (2)</v>
      </c>
      <c r="CA27" s="758">
        <f t="shared" ca="1" si="40"/>
        <v>2</v>
      </c>
      <c r="CB27" s="758">
        <f t="shared" ca="1" si="41"/>
        <v>2</v>
      </c>
      <c r="CC27" s="758">
        <f t="shared" ca="1" si="42"/>
        <v>0</v>
      </c>
      <c r="CD27" s="758">
        <f ca="1">BY27+COUNTIFS($BZ$6:$BZ$53,BZ27,$CC$6:CC$53,"&gt;"&amp;CC27,$BC$6:$BC$53,INDEX(T_Equipos[Grupo],MATCH(BD27,T_Equipos[NombreEquipo],0)))</f>
        <v>2</v>
      </c>
      <c r="CE27" s="757" t="str">
        <f ca="1">IF(COUNTIFS($CD$6:$CD$53,CD27,$BC$6:$BC$53,INDEX(T_Equipos[Grupo],MATCH(BD27,T_Equipos[NombreEquipo],0)))=1,"-","P."&amp;CD27&amp;" ("&amp;COUNTIFS($CD$6:$CD$53,CD27,$BC$6:$BC$53,INDEX(T_Equipos[Grupo],MATCH(BD27,T_Equipos[NombreEquipo],0)))&amp;")")</f>
        <v>P.2 (2)</v>
      </c>
      <c r="CF27" s="758">
        <f t="shared" ca="1" si="43"/>
        <v>2</v>
      </c>
      <c r="CG27" s="758">
        <f ca="1">CD27+COUNTIFS($CE$6:$CE$53,CE27,$CF$6:CF$53,"&gt;"&amp;CF27,$BC$6:$BC$53,INDEX(T_Equipos[Grupo],MATCH(BD27,T_Equipos[NombreEquipo],0)))</f>
        <v>2</v>
      </c>
      <c r="CH27" s="757" t="str">
        <f ca="1">IF(COUNTIFS($CG$6:$CG$53,CG27,$BC$6:$BC$53,INDEX(T_Equipos[Grupo],MATCH(BD27,T_Equipos[NombreEquipo],0)))=1,"-","P."&amp;CG27&amp;" ("&amp;COUNTIFS($CG$6:$CG$53,CG27,$BC$6:$BC$53,INDEX(T_Equipos[Grupo],MATCH(BD27,T_Equipos[NombreEquipo],0)))&amp;")")</f>
        <v>P.2 (2)</v>
      </c>
      <c r="CI27" s="758">
        <f t="shared" ca="1" si="44"/>
        <v>0</v>
      </c>
      <c r="CJ27" s="758">
        <f t="shared" ca="1" si="45"/>
        <v>1</v>
      </c>
      <c r="CK27" s="758">
        <f t="shared" ca="1" si="46"/>
        <v>0</v>
      </c>
      <c r="CL27" s="758">
        <f t="shared" ca="1" si="47"/>
        <v>1</v>
      </c>
      <c r="CM27" s="758">
        <f ca="1">CG27+COUNTIFS($CH$6:$CH$53,CH27,$CL$6:CL$53,"&gt;"&amp;CL27,$BC$6:$BC$53,INDEX(T_Equipos[Grupo],MATCH(BD27,T_Equipos[NombreEquipo],0)))</f>
        <v>2</v>
      </c>
      <c r="CN27" s="757" t="str">
        <f ca="1">IF(COUNTIFS($CM$6:$CM$53,CM27,$BC$6:$BC$53,INDEX(T_Equipos[Grupo],MATCH(BD27,T_Equipos[NombreEquipo],0)))=1,"-","P."&amp;CM27&amp;" ("&amp;COUNTIFS($CM$6:$CM$53,CM27,$BC$6:$BC$53,INDEX(T_Equipos[Grupo],MATCH(BD27,T_Equipos[NombreEquipo],0)))&amp;")")</f>
        <v>P.2 (2)</v>
      </c>
      <c r="CO27" s="758">
        <f t="shared" ca="1" si="48"/>
        <v>2</v>
      </c>
      <c r="CP27" s="758">
        <f t="shared" ca="1" si="49"/>
        <v>2</v>
      </c>
      <c r="CQ27" s="758">
        <f t="shared" ca="1" si="50"/>
        <v>0</v>
      </c>
      <c r="CR27" s="758">
        <f ca="1">CM27+COUNTIFS($CN$6:$CN$53,CN27,$CQ$6:CQ$53,"&gt;"&amp;CQ27,$BC$6:$BC$53,INDEX(T_Equipos[Grupo],MATCH(BD27,T_Equipos[NombreEquipo],0)))</f>
        <v>2</v>
      </c>
      <c r="CS27" s="757" t="str">
        <f ca="1">IF(COUNTIFS($CR$6:$CR$53,CR27,$BC$6:$BC$53,INDEX(T_Equipos[Grupo],MATCH(BD27,T_Equipos[NombreEquipo],0)))=1,"-","P."&amp;CR27&amp;" ("&amp;COUNTIFS($CR$6:$CR$53,CR27,$BC$6:$BC$53,INDEX(T_Equipos[Grupo],MATCH(BD27,T_Equipos[NombreEquipo],0)))&amp;")")</f>
        <v>P.2 (2)</v>
      </c>
      <c r="CT27" s="758">
        <f t="shared" ca="1" si="51"/>
        <v>2</v>
      </c>
      <c r="CU27" s="758">
        <f ca="1">CR27+COUNTIFS($CS$6:$CS$53,CS27,$CT$6:CT$53,"&gt;"&amp;CT27,$BC$6:$BC$53,INDEX(T_Equipos[Grupo],MATCH(BD27,T_Equipos[NombreEquipo],0)))</f>
        <v>2</v>
      </c>
      <c r="CV27" s="757" t="str">
        <f ca="1">IF(COUNTIFS($CU$6:$CU$53,CU27,$BC$6:$BC$53,INDEX(T_Equipos[Grupo],MATCH(BD27,T_Equipos[NombreEquipo],0)))=1,"-","P."&amp;CU27&amp;" ("&amp;COUNTIFS($CU$6:$CU$53,CU27,$BC$6:$BC$53,INDEX(T_Equipos[Grupo],MATCH(BD27,T_Equipos[NombreEquipo],0)))&amp;")")</f>
        <v>P.2 (2)</v>
      </c>
      <c r="CW27" s="757">
        <f t="shared" ca="1" si="30"/>
        <v>0</v>
      </c>
      <c r="CX27" s="757">
        <f ca="1">CU27+COUNTIFS($CV$6:$CV$53,CV27,$CW$6:CW$53,"&gt;"&amp;CW27,$BC$6:$BC$53,INDEX(T_Equipos[Grupo],MATCH(BD27,T_Equipos[NombreEquipo],0)))</f>
        <v>2</v>
      </c>
      <c r="CY27" s="757" t="str">
        <f ca="1">IF(COUNTIFS($CX$6:$CX$53,CX27,$BC$6:$BC$53,INDEX(T_Equipos[Grupo],MATCH(BD27,T_Equipos[NombreEquipo],0)))=1,"-","P."&amp;CX27&amp;" ("&amp;COUNTIFS($CX$6:$CX$53,CX27,$BC$6:$BC$53,INDEX(T_Equipos[Grupo],MATCH(BD27,T_Equipos[NombreEquipo],0)))&amp;")")</f>
        <v>P.2 (2)</v>
      </c>
      <c r="CZ27" s="757">
        <f t="shared" ca="1" si="31"/>
        <v>2</v>
      </c>
      <c r="DA27" s="758">
        <f ca="1">CX27+COUNTIFS($CY$6:$CY$53,CY27,$CZ$6:CZ$53,"&gt;"&amp;CZ27,$BC$6:$BC$53,INDEX(T_Equipos[Grupo],MATCH(BD27,T_Equipos[NombreEquipo],0)))</f>
        <v>2</v>
      </c>
      <c r="DB27" s="757" t="str">
        <f ca="1">IF(COUNTIFS($DA$6:$DA$53,DA27,$BC$6:$BC$53,INDEX(T_Equipos[Grupo],MATCH(BD27,T_Equipos[NombreEquipo],0)))=1,"-","P."&amp;DA27&amp;" ("&amp;COUNTIFS($DA$6:$DA$53,DA27,$BC$6:$BC$53,INDEX(T_Equipos[Grupo],MATCH(BD27,T_Equipos[NombreEquipo],0)))&amp;")")</f>
        <v>P.2 (2)</v>
      </c>
      <c r="DC27" s="756">
        <f ca="1">IF(DB27="-","-",COUNTIFS(T_Equipos[Rank],"&lt;"&amp;INDEX(T_Equipos[Rank],MATCH(BD27,T_Equipos[NombreEquipo],0)),$BC$6:$BC$53,INDEX(T_Equipos[Grupo],MATCH(BD27,T_Equipos[NombreEquipo],0)))+1)</f>
        <v>2</v>
      </c>
      <c r="DD27" s="756">
        <f ca="1">DA27+COUNTIFS($DB$6:$DB$53,DB27,$DC$6:DC$53,"&lt;"&amp;DC27,$BC$6:$BC$53,INDEX(T_Equipos[Grupo],MATCH(BD27,T_Equipos[NombreEquipo],0)))</f>
        <v>3</v>
      </c>
      <c r="DE27" s="756"/>
      <c r="DF27" s="756">
        <f t="shared" ca="1" si="52"/>
        <v>3</v>
      </c>
      <c r="DG27" s="756">
        <f ca="1">IF(DB27="-","-",COUNTIFS(DF$6:DF$53,"&lt;"&amp;DF27,$BC$6:$BC$53,INDEX(T_Equipos[Grupo],MATCH(BD27,T_Equipos[NombreEquipo],0))))</f>
        <v>2</v>
      </c>
      <c r="DH27" s="756">
        <f ca="1">DA27+COUNTIFS(DB$6:DB$53,DB27,DG$6:DG$53,"&lt;"&amp;DG27,$BC$6:$BC$53,INDEX(T_Equipos[Grupo],MATCH(BD27,T_Equipos[NombreEquipo],0)))</f>
        <v>3</v>
      </c>
      <c r="DI27" s="744"/>
      <c r="DJ27" s="744">
        <f t="shared" ca="1" si="53"/>
        <v>2</v>
      </c>
      <c r="DK27" s="744">
        <f t="shared" ca="1" si="24"/>
        <v>4</v>
      </c>
      <c r="DL27" s="744">
        <f t="shared" ca="1" si="33"/>
        <v>1</v>
      </c>
      <c r="DM27" s="738" t="str">
        <f t="shared" ca="1" si="34"/>
        <v>2.1</v>
      </c>
      <c r="DN27" s="744" cm="1">
        <f t="array" aca="1" ref="DN27" ca="1">OFFSET(Horarios!$P$3,DJ27-1,0,DL27,1)</f>
        <v>2</v>
      </c>
      <c r="DO27" s="744"/>
      <c r="DP27" s="744" t="s">
        <v>665</v>
      </c>
      <c r="DQ27" s="744" t="str">
        <f t="shared" ca="1" si="35"/>
        <v>Países Bajos</v>
      </c>
      <c r="DR27" s="744"/>
      <c r="DS27" s="744"/>
      <c r="DT27" s="744" t="str">
        <f t="shared" si="15"/>
        <v>Casa-Fuera</v>
      </c>
      <c r="DU27" s="744"/>
      <c r="DV27" s="744"/>
      <c r="DW27" s="8"/>
    </row>
    <row r="28" spans="1:127" ht="15" customHeight="1" thickBot="1">
      <c r="A28" s="741" t="s">
        <v>30</v>
      </c>
      <c r="B28" s="742" t="s">
        <v>73</v>
      </c>
      <c r="C28" s="743">
        <f>COUNTIF(Equipos!$C$2:$C$49,WORLDCUP!B28)</f>
        <v>4</v>
      </c>
      <c r="D28" s="744" t="str">
        <f t="shared" ref="D28:D33" si="94">IF(OR(AC28="",AD28=""),"Pendiente",IF(AC28&gt;AD28,"Local",IF(AC28&lt;AD28,"Visitante","Empate")))</f>
        <v>Local</v>
      </c>
      <c r="E28" s="744" t="str">
        <f t="shared" ref="E28:E33" ca="1" si="95">IF(D28="Pendiente","-",INDEX($BT$6:$BT$53,MATCH($AA28,$BD$6:$BD$53,0)))</f>
        <v>-</v>
      </c>
      <c r="F28" s="744" t="str">
        <f t="shared" ref="F28:F33" ca="1" si="96">IF(D28="Pendiente","-",INDEX($BT$6:$BT$53,MATCH($AF28,$BD$6:$BD$53,0)))</f>
        <v>P.2 (2)</v>
      </c>
      <c r="G28" s="744"/>
      <c r="H28" s="744" t="str">
        <f t="shared" ref="H28:H33" ca="1" si="97">IF(D28="Pendiente","-",INDEX($BZ$6:$BZ$53,MATCH($AA28,$BD$6:$BD$53,0)))</f>
        <v>-</v>
      </c>
      <c r="I28" s="744" t="str">
        <f t="shared" ref="I28:I33" ca="1" si="98">IF(D28="Pendiente","-",INDEX($BZ$6:$BZ$53,MATCH($AF28,$BD$6:$BD$53,0)))</f>
        <v>P.2 (2)</v>
      </c>
      <c r="J28" s="744"/>
      <c r="K28" s="744" t="str">
        <f t="shared" ref="K28:K33" ca="1" si="99">IF(D28="Pendiente","-",INDEX($CE$6:$CE$53,MATCH($AA28,$BD$6:$BD$53,0)))</f>
        <v>-</v>
      </c>
      <c r="L28" s="744" t="str">
        <f t="shared" ref="L28:L33" ca="1" si="100">IF(D28="Pendiente","-",INDEX($CE$6:$CE$53,MATCH($AF28,$BD$6:$BD$53,0)))</f>
        <v>P.2 (2)</v>
      </c>
      <c r="M28" s="744"/>
      <c r="N28" s="744" t="str">
        <f t="shared" ref="N28:N33" ca="1" si="101">IF(D28="Pendiente","-",INDEX($CH$6:$CH$53,MATCH($AA28,$BD$6:$BD$53,0)))</f>
        <v>-</v>
      </c>
      <c r="O28" s="744" t="str">
        <f t="shared" ref="O28:O33" ca="1" si="102">IF(D28="Pendiente","-",INDEX($CH$6:$CH$53,MATCH($AF28,$BD$6:$BD$53,0)))</f>
        <v>P.2 (2)</v>
      </c>
      <c r="P28" s="744"/>
      <c r="Q28" s="744" t="str">
        <f t="shared" ref="Q28:Q33" ca="1" si="103">IF(D28="Pendiente","-",INDEX($CN$6:$CN$53,MATCH($AA28,$BD$6:$BD$53,0)))</f>
        <v>-</v>
      </c>
      <c r="R28" s="744" t="str">
        <f t="shared" ref="R28:R33" ca="1" si="104">IF(D28="Pendiente","-",INDEX($CN$6:$CN$53,MATCH($AF28,$BD$6:$BD$53,0)))</f>
        <v>P.2 (2)</v>
      </c>
      <c r="S28" s="744"/>
      <c r="T28" s="744" t="str">
        <f t="shared" ref="T28:T33" ca="1" si="105">IF(D28="Pendiente","-",INDEX($CS$6:$CS$53,MATCH($AA28,$BD$6:$BD$53,0)))</f>
        <v>-</v>
      </c>
      <c r="U28" s="744" t="str">
        <f t="shared" ref="U28:U33" ca="1" si="106">IF(D28="Pendiente","-",INDEX($CS$6:$CS$53,MATCH($AF28,$BD$6:$BD$53,0)))</f>
        <v>P.2 (2)</v>
      </c>
      <c r="V28" s="172"/>
      <c r="W28" s="811" t="s">
        <v>73</v>
      </c>
      <c r="X28" s="189">
        <f ca="1">Horarios!C28</f>
        <v>46186.125</v>
      </c>
      <c r="Y28" s="190">
        <f ca="1">Horarios!C28</f>
        <v>46186.125</v>
      </c>
      <c r="Z28" s="191" t="str">
        <f>$Z$4</f>
        <v>J1</v>
      </c>
      <c r="AA28" s="192" t="str">
        <f ca="1">A29</f>
        <v>Estados Unidos</v>
      </c>
      <c r="AB28" s="478" t="e" cm="1" vm="13">
        <f t="array" aca="1" ref="AB28" ca="1">Ver_flag_local</f>
        <v>#VALUE!</v>
      </c>
      <c r="AC28" s="193">
        <v>4</v>
      </c>
      <c r="AD28" s="194">
        <v>1</v>
      </c>
      <c r="AE28" s="483" t="e" cm="1" vm="14">
        <f t="array" aca="1" ref="AE28" ca="1">Ver_flag_visit</f>
        <v>#VALUE!</v>
      </c>
      <c r="AF28" s="195" t="str">
        <f ca="1">A30</f>
        <v>Paraguay</v>
      </c>
      <c r="AG28" s="413">
        <f t="shared" ref="AG28:AG33" si="107">IF(NOT(OR(ISBLANK(AC28),ISBLANK(AD28))),1,0)</f>
        <v>1</v>
      </c>
      <c r="AH28" s="196">
        <v>4</v>
      </c>
      <c r="AI28" s="19"/>
      <c r="AJ28" s="197" t="str">
        <f>CONCATENATE(AJ3," ",B28)</f>
        <v>Grupo D</v>
      </c>
      <c r="AK28" s="198"/>
      <c r="AL28" s="198"/>
      <c r="AM28" s="198"/>
      <c r="AN28" s="198"/>
      <c r="AO28" s="198"/>
      <c r="AP28" s="198"/>
      <c r="AQ28" s="198"/>
      <c r="AR28" s="198"/>
      <c r="AS28" s="198"/>
      <c r="AT28" s="199"/>
      <c r="AU28" s="421"/>
      <c r="AV28" s="200" t="str">
        <f t="shared" ref="AV28" ca="1" si="108">IF(AU29&gt;0,$AV$3,"")</f>
        <v/>
      </c>
      <c r="AW28" s="208"/>
      <c r="AX28" s="255"/>
      <c r="AY28" s="242"/>
      <c r="AZ28" s="243"/>
      <c r="BA28" s="175"/>
      <c r="BB28" s="744"/>
      <c r="BC28" s="756" t="str">
        <f ca="1">+INDEX(T_Equipos[Grupo],MATCH(WORLDCUP!BD28,T_Equipos[NombreEquipo],0))</f>
        <v>F</v>
      </c>
      <c r="BD28" s="744" t="str">
        <f ca="1">+Equipos!B24</f>
        <v>Suecia</v>
      </c>
      <c r="BE28" s="748">
        <f t="shared" ca="1" si="25"/>
        <v>3</v>
      </c>
      <c r="BF28" s="748">
        <f t="shared" ca="1" si="26"/>
        <v>1</v>
      </c>
      <c r="BG28" s="748">
        <f t="shared" ca="1" si="17"/>
        <v>1</v>
      </c>
      <c r="BH28" s="748">
        <f t="shared" ca="1" si="18"/>
        <v>0</v>
      </c>
      <c r="BI28" s="748">
        <f t="shared" ca="1" si="19"/>
        <v>0</v>
      </c>
      <c r="BJ28" s="748">
        <f t="shared" ca="1" si="20"/>
        <v>5</v>
      </c>
      <c r="BK28" s="748">
        <f t="shared" ca="1" si="21"/>
        <v>1</v>
      </c>
      <c r="BL28" s="748">
        <f t="shared" ca="1" si="27"/>
        <v>4</v>
      </c>
      <c r="BM28" s="748" t="str">
        <f t="shared" ca="1" si="22"/>
        <v>1F</v>
      </c>
      <c r="BN28" s="748" t="str">
        <f t="shared" ca="1" si="23"/>
        <v>1F</v>
      </c>
      <c r="BO28" s="758">
        <f t="shared" ca="1" si="28"/>
        <v>0</v>
      </c>
      <c r="BP28" s="757">
        <f ca="1">COUNTIFS($BO$6:$BO$53,"&gt;"&amp;BO28,$BC$6:$BC$53,INDEX(T_Equipos[Grupo],MATCH(BD28,T_Equipos[NombreEquipo],0)))+1</f>
        <v>1</v>
      </c>
      <c r="BQ28" s="757" t="str">
        <f ca="1">IF(COUNTIFS($BP$6:$BP$53,BP28,$BC$6:$BC$53,INDEX(T_Equipos[Grupo],MATCH(BD28,T_Equipos[NombreEquipo],0)))=1,"-","P."&amp;BP28&amp;" ("&amp;COUNTIFS($BP$6:$BP$53,BP28,$BC$6:$BC$53,INDEX(T_Equipos[Grupo],MATCH(BD28,T_Equipos[NombreEquipo],0)))&amp;")")</f>
        <v>P.1 (4)</v>
      </c>
      <c r="BR28" s="758">
        <f t="shared" ca="1" si="29"/>
        <v>3</v>
      </c>
      <c r="BS28" s="757">
        <f ca="1">BP28+COUNTIFS($BQ$6:$BQ$53,BQ28,$BR$6:BR$53,"&gt;"&amp;BR28,$BC$6:$BC$53,INDEX(T_Equipos[Grupo],MATCH(BD28,T_Equipos[NombreEquipo],0)))</f>
        <v>1</v>
      </c>
      <c r="BT28" s="757" t="str">
        <f ca="1">IF(COUNTIFS($BS$6:$BS$53,BS28,$BC$6:$BC$53,INDEX(T_Equipos[Grupo],MATCH(BD28,T_Equipos[NombreEquipo],0)))=1,"-","P."&amp;BS28&amp;" ("&amp;COUNTIFS($BS$6:$BS$53,BS28,$BC$6:$BC$53,INDEX(T_Equipos[Grupo],MATCH(BD28,T_Equipos[NombreEquipo],0)))&amp;")")</f>
        <v>-</v>
      </c>
      <c r="BU28" s="758" t="str">
        <f t="shared" ca="1" si="36"/>
        <v>-</v>
      </c>
      <c r="BV28" s="758" t="str">
        <f t="shared" ca="1" si="37"/>
        <v>-</v>
      </c>
      <c r="BW28" s="758" t="str">
        <f t="shared" ca="1" si="38"/>
        <v>-</v>
      </c>
      <c r="BX28" s="758" t="str">
        <f t="shared" ca="1" si="39"/>
        <v>-</v>
      </c>
      <c r="BY28" s="758">
        <f ca="1">BS28+COUNTIFS($BT$6:$BT$53,BT28,$BX$6:BX$53,"&gt;"&amp;BX28,$BC$6:$BC$53,INDEX(T_Equipos[Grupo],MATCH(BD28,T_Equipos[NombreEquipo],0)))</f>
        <v>1</v>
      </c>
      <c r="BZ28" s="757" t="str">
        <f ca="1">IF(COUNTIFS($BY$6:$BY$53,BY28,$BC$6:$BC$53,INDEX(T_Equipos[Grupo],MATCH(BD28,T_Equipos[NombreEquipo],0)))=1,"-","P."&amp;BY28&amp;" ("&amp;COUNTIFS($BY$6:$BY$53,BY28,$BC$6:$BC$53,INDEX(T_Equipos[Grupo],MATCH(BD28,T_Equipos[NombreEquipo],0)))&amp;")")</f>
        <v>-</v>
      </c>
      <c r="CA28" s="758" t="str">
        <f t="shared" ca="1" si="40"/>
        <v>-</v>
      </c>
      <c r="CB28" s="758" t="str">
        <f t="shared" ca="1" si="41"/>
        <v>-</v>
      </c>
      <c r="CC28" s="758" t="str">
        <f t="shared" ca="1" si="42"/>
        <v>-</v>
      </c>
      <c r="CD28" s="758">
        <f ca="1">BY28+COUNTIFS($BZ$6:$BZ$53,BZ28,$CC$6:CC$53,"&gt;"&amp;CC28,$BC$6:$BC$53,INDEX(T_Equipos[Grupo],MATCH(BD28,T_Equipos[NombreEquipo],0)))</f>
        <v>1</v>
      </c>
      <c r="CE28" s="757" t="str">
        <f ca="1">IF(COUNTIFS($CD$6:$CD$53,CD28,$BC$6:$BC$53,INDEX(T_Equipos[Grupo],MATCH(BD28,T_Equipos[NombreEquipo],0)))=1,"-","P."&amp;CD28&amp;" ("&amp;COUNTIFS($CD$6:$CD$53,CD28,$BC$6:$BC$53,INDEX(T_Equipos[Grupo],MATCH(BD28,T_Equipos[NombreEquipo],0)))&amp;")")</f>
        <v>-</v>
      </c>
      <c r="CF28" s="758" t="str">
        <f t="shared" ca="1" si="43"/>
        <v>-</v>
      </c>
      <c r="CG28" s="758">
        <f ca="1">CD28+COUNTIFS($CE$6:$CE$53,CE28,$CF$6:CF$53,"&gt;"&amp;CF28,$BC$6:$BC$53,INDEX(T_Equipos[Grupo],MATCH(BD28,T_Equipos[NombreEquipo],0)))</f>
        <v>1</v>
      </c>
      <c r="CH28" s="757" t="str">
        <f ca="1">IF(COUNTIFS($CG$6:$CG$53,CG28,$BC$6:$BC$53,INDEX(T_Equipos[Grupo],MATCH(BD28,T_Equipos[NombreEquipo],0)))=1,"-","P."&amp;CG28&amp;" ("&amp;COUNTIFS($CG$6:$CG$53,CG28,$BC$6:$BC$53,INDEX(T_Equipos[Grupo],MATCH(BD28,T_Equipos[NombreEquipo],0)))&amp;")")</f>
        <v>-</v>
      </c>
      <c r="CI28" s="758" t="str">
        <f t="shared" ca="1" si="44"/>
        <v>-</v>
      </c>
      <c r="CJ28" s="758" t="str">
        <f t="shared" ca="1" si="45"/>
        <v>-</v>
      </c>
      <c r="CK28" s="758" t="str">
        <f t="shared" ca="1" si="46"/>
        <v>-</v>
      </c>
      <c r="CL28" s="758" t="str">
        <f t="shared" ca="1" si="47"/>
        <v>-</v>
      </c>
      <c r="CM28" s="758">
        <f ca="1">CG28+COUNTIFS($CH$6:$CH$53,CH28,$CL$6:CL$53,"&gt;"&amp;CL28,$BC$6:$BC$53,INDEX(T_Equipos[Grupo],MATCH(BD28,T_Equipos[NombreEquipo],0)))</f>
        <v>1</v>
      </c>
      <c r="CN28" s="757" t="str">
        <f ca="1">IF(COUNTIFS($CM$6:$CM$53,CM28,$BC$6:$BC$53,INDEX(T_Equipos[Grupo],MATCH(BD28,T_Equipos[NombreEquipo],0)))=1,"-","P."&amp;CM28&amp;" ("&amp;COUNTIFS($CM$6:$CM$53,CM28,$BC$6:$BC$53,INDEX(T_Equipos[Grupo],MATCH(BD28,T_Equipos[NombreEquipo],0)))&amp;")")</f>
        <v>-</v>
      </c>
      <c r="CO28" s="758" t="str">
        <f t="shared" ca="1" si="48"/>
        <v>-</v>
      </c>
      <c r="CP28" s="758" t="str">
        <f t="shared" ca="1" si="49"/>
        <v>-</v>
      </c>
      <c r="CQ28" s="758" t="str">
        <f t="shared" ca="1" si="50"/>
        <v>-</v>
      </c>
      <c r="CR28" s="758">
        <f ca="1">CM28+COUNTIFS($CN$6:$CN$53,CN28,$CQ$6:CQ$53,"&gt;"&amp;CQ28,$BC$6:$BC$53,INDEX(T_Equipos[Grupo],MATCH(BD28,T_Equipos[NombreEquipo],0)))</f>
        <v>1</v>
      </c>
      <c r="CS28" s="757" t="str">
        <f ca="1">IF(COUNTIFS($CR$6:$CR$53,CR28,$BC$6:$BC$53,INDEX(T_Equipos[Grupo],MATCH(BD28,T_Equipos[NombreEquipo],0)))=1,"-","P."&amp;CR28&amp;" ("&amp;COUNTIFS($CR$6:$CR$53,CR28,$BC$6:$BC$53,INDEX(T_Equipos[Grupo],MATCH(BD28,T_Equipos[NombreEquipo],0)))&amp;")")</f>
        <v>-</v>
      </c>
      <c r="CT28" s="758" t="str">
        <f t="shared" ca="1" si="51"/>
        <v>-</v>
      </c>
      <c r="CU28" s="758">
        <f ca="1">CR28+COUNTIFS($CS$6:$CS$53,CS28,$CT$6:CT$53,"&gt;"&amp;CT28,$BC$6:$BC$53,INDEX(T_Equipos[Grupo],MATCH(BD28,T_Equipos[NombreEquipo],0)))</f>
        <v>1</v>
      </c>
      <c r="CV28" s="757" t="str">
        <f ca="1">IF(COUNTIFS($CU$6:$CU$53,CU28,$BC$6:$BC$53,INDEX(T_Equipos[Grupo],MATCH(BD28,T_Equipos[NombreEquipo],0)))=1,"-","P."&amp;CU28&amp;" ("&amp;COUNTIFS($CU$6:$CU$53,CU28,$BC$6:$BC$53,INDEX(T_Equipos[Grupo],MATCH(BD28,T_Equipos[NombreEquipo],0)))&amp;")")</f>
        <v>-</v>
      </c>
      <c r="CW28" s="757" t="str">
        <f t="shared" ca="1" si="30"/>
        <v>-</v>
      </c>
      <c r="CX28" s="757">
        <f ca="1">CU28+COUNTIFS($CV$6:$CV$53,CV28,$CW$6:CW$53,"&gt;"&amp;CW28,$BC$6:$BC$53,INDEX(T_Equipos[Grupo],MATCH(BD28,T_Equipos[NombreEquipo],0)))</f>
        <v>1</v>
      </c>
      <c r="CY28" s="757" t="str">
        <f ca="1">IF(COUNTIFS($CX$6:$CX$53,CX28,$BC$6:$BC$53,INDEX(T_Equipos[Grupo],MATCH(BD28,T_Equipos[NombreEquipo],0)))=1,"-","P."&amp;CX28&amp;" ("&amp;COUNTIFS($CX$6:$CX$53,CX28,$BC$6:$BC$53,INDEX(T_Equipos[Grupo],MATCH(BD28,T_Equipos[NombreEquipo],0)))&amp;")")</f>
        <v>-</v>
      </c>
      <c r="CZ28" s="757" t="str">
        <f t="shared" ca="1" si="31"/>
        <v>-</v>
      </c>
      <c r="DA28" s="758">
        <f ca="1">CX28+COUNTIFS($CY$6:$CY$53,CY28,$CZ$6:CZ$53,"&gt;"&amp;CZ28,$BC$6:$BC$53,INDEX(T_Equipos[Grupo],MATCH(BD28,T_Equipos[NombreEquipo],0)))</f>
        <v>1</v>
      </c>
      <c r="DB28" s="757" t="str">
        <f ca="1">IF(COUNTIFS($DA$6:$DA$53,DA28,$BC$6:$BC$53,INDEX(T_Equipos[Grupo],MATCH(BD28,T_Equipos[NombreEquipo],0)))=1,"-","P."&amp;DA28&amp;" ("&amp;COUNTIFS($DA$6:$DA$53,DA28,$BC$6:$BC$53,INDEX(T_Equipos[Grupo],MATCH(BD28,T_Equipos[NombreEquipo],0)))&amp;")")</f>
        <v>-</v>
      </c>
      <c r="DC28" s="756" t="str">
        <f ca="1">IF(DB28="-","-",COUNTIFS(T_Equipos[Rank],"&lt;"&amp;INDEX(T_Equipos[Rank],MATCH(BD28,T_Equipos[NombreEquipo],0)),$BC$6:$BC$53,INDEX(T_Equipos[Grupo],MATCH(BD28,T_Equipos[NombreEquipo],0)))+1)</f>
        <v>-</v>
      </c>
      <c r="DD28" s="756">
        <f ca="1">DA28+COUNTIFS($DB$6:$DB$53,DB28,$DC$6:DC$53,"&lt;"&amp;DC28,$BC$6:$BC$53,INDEX(T_Equipos[Grupo],MATCH(BD28,T_Equipos[NombreEquipo],0)))</f>
        <v>1</v>
      </c>
      <c r="DE28" s="756"/>
      <c r="DF28" s="756">
        <f t="shared" ca="1" si="52"/>
        <v>1</v>
      </c>
      <c r="DG28" s="756" t="str">
        <f ca="1">IF(DB28="-","-",COUNTIFS(DF$6:DF$53,"&lt;"&amp;DF28,$BC$6:$BC$53,INDEX(T_Equipos[Grupo],MATCH(BD28,T_Equipos[NombreEquipo],0))))</f>
        <v>-</v>
      </c>
      <c r="DH28" s="756">
        <f ca="1">DA28+COUNTIFS(DB$6:DB$53,DB28,DG$6:DG$53,"&lt;"&amp;DG28,$BC$6:$BC$53,INDEX(T_Equipos[Grupo],MATCH(BD28,T_Equipos[NombreEquipo],0)))</f>
        <v>1</v>
      </c>
      <c r="DI28" s="744"/>
      <c r="DJ28" s="744">
        <f t="shared" ca="1" si="53"/>
        <v>2</v>
      </c>
      <c r="DK28" s="744">
        <f t="shared" ca="1" si="24"/>
        <v>4</v>
      </c>
      <c r="DL28" s="744">
        <f t="shared" ca="1" si="33"/>
        <v>1</v>
      </c>
      <c r="DM28" s="738" t="str">
        <f t="shared" ca="1" si="34"/>
        <v>2.1</v>
      </c>
      <c r="DN28" s="744" cm="1">
        <f t="array" aca="1" ref="DN28" ca="1">OFFSET(Horarios!$P$3,DJ28-1,0,DL28,1)</f>
        <v>2</v>
      </c>
      <c r="DO28" s="744"/>
      <c r="DP28" s="744" t="s">
        <v>94</v>
      </c>
      <c r="DQ28" s="744" t="str">
        <f t="shared" ca="1" si="35"/>
        <v>Japón</v>
      </c>
      <c r="DR28" s="744"/>
      <c r="DS28" s="744"/>
      <c r="DT28" s="744" t="str">
        <f t="shared" ca="1" si="15"/>
        <v>Estados Unidos-Paraguay</v>
      </c>
      <c r="DU28" s="744"/>
      <c r="DV28" s="744"/>
      <c r="DW28" s="8"/>
    </row>
    <row r="29" spans="1:127" ht="16.05" customHeight="1">
      <c r="A29" s="745" t="str">
        <f ca="1">+Equipos!B14</f>
        <v>Estados Unidos</v>
      </c>
      <c r="B29" s="742"/>
      <c r="C29" s="742"/>
      <c r="D29" s="744" t="str">
        <f t="shared" si="94"/>
        <v>Local</v>
      </c>
      <c r="E29" s="744" t="str">
        <f t="shared" ca="1" si="95"/>
        <v>P.2 (2)</v>
      </c>
      <c r="F29" s="744" t="str">
        <f t="shared" ca="1" si="96"/>
        <v>-</v>
      </c>
      <c r="G29" s="744"/>
      <c r="H29" s="744" t="str">
        <f t="shared" ca="1" si="97"/>
        <v>P.2 (2)</v>
      </c>
      <c r="I29" s="744" t="str">
        <f t="shared" ca="1" si="98"/>
        <v>-</v>
      </c>
      <c r="J29" s="744"/>
      <c r="K29" s="744" t="str">
        <f t="shared" ca="1" si="99"/>
        <v>P.2 (2)</v>
      </c>
      <c r="L29" s="744" t="str">
        <f t="shared" ca="1" si="100"/>
        <v>-</v>
      </c>
      <c r="M29" s="744"/>
      <c r="N29" s="744" t="str">
        <f t="shared" ca="1" si="101"/>
        <v>P.2 (2)</v>
      </c>
      <c r="O29" s="744" t="str">
        <f t="shared" ca="1" si="102"/>
        <v>-</v>
      </c>
      <c r="P29" s="744"/>
      <c r="Q29" s="744" t="str">
        <f t="shared" ca="1" si="103"/>
        <v>P.2 (2)</v>
      </c>
      <c r="R29" s="744" t="str">
        <f t="shared" ca="1" si="104"/>
        <v>-</v>
      </c>
      <c r="S29" s="744"/>
      <c r="T29" s="744" t="str">
        <f t="shared" ca="1" si="105"/>
        <v>P.2 (2)</v>
      </c>
      <c r="U29" s="744" t="str">
        <f t="shared" ca="1" si="106"/>
        <v>-</v>
      </c>
      <c r="V29" s="172"/>
      <c r="W29" s="811"/>
      <c r="X29" s="189">
        <f ca="1">Horarios!C29</f>
        <v>46187.25</v>
      </c>
      <c r="Y29" s="190">
        <f ca="1">Horarios!C29</f>
        <v>46187.25</v>
      </c>
      <c r="Z29" s="191" t="str">
        <f>$Z$4</f>
        <v>J1</v>
      </c>
      <c r="AA29" s="192" t="str">
        <f ca="1">A31</f>
        <v>Australia</v>
      </c>
      <c r="AB29" s="478" t="e" cm="1" vm="15">
        <f t="array" aca="1" ref="AB29" ca="1">Ver_flag_local</f>
        <v>#VALUE!</v>
      </c>
      <c r="AC29" s="193">
        <v>2</v>
      </c>
      <c r="AD29" s="194">
        <v>0</v>
      </c>
      <c r="AE29" s="483" t="e" cm="1" vm="16">
        <f t="array" aca="1" ref="AE29" ca="1">Ver_flag_visit</f>
        <v>#VALUE!</v>
      </c>
      <c r="AF29" s="195" t="str">
        <f ca="1">A32</f>
        <v>Turquía</v>
      </c>
      <c r="AG29" s="413">
        <f t="shared" si="107"/>
        <v>1</v>
      </c>
      <c r="AH29" s="196">
        <v>6</v>
      </c>
      <c r="AI29" s="19"/>
      <c r="AJ29" s="204" t="str">
        <f>AJ5</f>
        <v>Pos</v>
      </c>
      <c r="AK29" s="205"/>
      <c r="AL29" s="206" t="str">
        <f t="shared" ref="AL29:AT29" si="109">AL5</f>
        <v>Selección</v>
      </c>
      <c r="AM29" s="205" t="str">
        <f t="shared" si="109"/>
        <v>Pts</v>
      </c>
      <c r="AN29" s="205" t="str">
        <f t="shared" si="109"/>
        <v>J</v>
      </c>
      <c r="AO29" s="205" t="str">
        <f t="shared" si="109"/>
        <v>G</v>
      </c>
      <c r="AP29" s="205" t="str">
        <f t="shared" si="109"/>
        <v>E</v>
      </c>
      <c r="AQ29" s="205" t="str">
        <f t="shared" si="109"/>
        <v>P</v>
      </c>
      <c r="AR29" s="205" t="str">
        <f t="shared" si="109"/>
        <v>GF</v>
      </c>
      <c r="AS29" s="205" t="str">
        <f t="shared" si="109"/>
        <v>GC</v>
      </c>
      <c r="AT29" s="207" t="str">
        <f t="shared" si="109"/>
        <v>DG</v>
      </c>
      <c r="AU29" s="421">
        <f t="shared" ref="AU29" ca="1" si="110">COUNTIF(AU30:AU33,"&gt;1")</f>
        <v>0</v>
      </c>
      <c r="AV29" s="208"/>
      <c r="AW29" s="208"/>
      <c r="AX29" s="255"/>
      <c r="AY29" s="209" t="str">
        <f>AL29</f>
        <v>Selección</v>
      </c>
      <c r="AZ29" s="210" t="str">
        <f>+Idiomas!$D$69</f>
        <v>Puntos penalizados</v>
      </c>
      <c r="BA29" s="175"/>
      <c r="BB29" s="744"/>
      <c r="BC29" s="756" t="str">
        <f ca="1">+INDEX(T_Equipos[Grupo],MATCH(WORLDCUP!BD29,T_Equipos[NombreEquipo],0))</f>
        <v>F</v>
      </c>
      <c r="BD29" s="744" t="str">
        <f ca="1">+Equipos!B25</f>
        <v>Túnez</v>
      </c>
      <c r="BE29" s="748">
        <f t="shared" ca="1" si="25"/>
        <v>0</v>
      </c>
      <c r="BF29" s="748">
        <f t="shared" ca="1" si="26"/>
        <v>1</v>
      </c>
      <c r="BG29" s="748">
        <f t="shared" ca="1" si="17"/>
        <v>0</v>
      </c>
      <c r="BH29" s="748">
        <f t="shared" ca="1" si="18"/>
        <v>0</v>
      </c>
      <c r="BI29" s="748">
        <f t="shared" ca="1" si="19"/>
        <v>1</v>
      </c>
      <c r="BJ29" s="748">
        <f t="shared" ca="1" si="20"/>
        <v>1</v>
      </c>
      <c r="BK29" s="748">
        <f t="shared" ca="1" si="21"/>
        <v>5</v>
      </c>
      <c r="BL29" s="748">
        <f t="shared" ca="1" si="27"/>
        <v>-4</v>
      </c>
      <c r="BM29" s="748" t="str">
        <f t="shared" ca="1" si="22"/>
        <v>4F</v>
      </c>
      <c r="BN29" s="748" t="str">
        <f t="shared" ca="1" si="23"/>
        <v>4F</v>
      </c>
      <c r="BO29" s="758">
        <f t="shared" ca="1" si="28"/>
        <v>0</v>
      </c>
      <c r="BP29" s="757">
        <f ca="1">COUNTIFS($BO$6:$BO$53,"&gt;"&amp;BO29,$BC$6:$BC$53,INDEX(T_Equipos[Grupo],MATCH(BD29,T_Equipos[NombreEquipo],0)))+1</f>
        <v>1</v>
      </c>
      <c r="BQ29" s="757" t="str">
        <f ca="1">IF(COUNTIFS($BP$6:$BP$53,BP29,$BC$6:$BC$53,INDEX(T_Equipos[Grupo],MATCH(BD29,T_Equipos[NombreEquipo],0)))=1,"-","P."&amp;BP29&amp;" ("&amp;COUNTIFS($BP$6:$BP$53,BP29,$BC$6:$BC$53,INDEX(T_Equipos[Grupo],MATCH(BD29,T_Equipos[NombreEquipo],0)))&amp;")")</f>
        <v>P.1 (4)</v>
      </c>
      <c r="BR29" s="758">
        <f t="shared" ca="1" si="29"/>
        <v>0</v>
      </c>
      <c r="BS29" s="757">
        <f ca="1">BP29+COUNTIFS($BQ$6:$BQ$53,BQ29,$BR$6:BR$53,"&gt;"&amp;BR29,$BC$6:$BC$53,INDEX(T_Equipos[Grupo],MATCH(BD29,T_Equipos[NombreEquipo],0)))</f>
        <v>4</v>
      </c>
      <c r="BT29" s="757" t="str">
        <f ca="1">IF(COUNTIFS($BS$6:$BS$53,BS29,$BC$6:$BC$53,INDEX(T_Equipos[Grupo],MATCH(BD29,T_Equipos[NombreEquipo],0)))=1,"-","P."&amp;BS29&amp;" ("&amp;COUNTIFS($BS$6:$BS$53,BS29,$BC$6:$BC$53,INDEX(T_Equipos[Grupo],MATCH(BD29,T_Equipos[NombreEquipo],0)))&amp;")")</f>
        <v>-</v>
      </c>
      <c r="BU29" s="758" t="str">
        <f t="shared" ca="1" si="36"/>
        <v>-</v>
      </c>
      <c r="BV29" s="758" t="str">
        <f t="shared" ca="1" si="37"/>
        <v>-</v>
      </c>
      <c r="BW29" s="758" t="str">
        <f t="shared" ca="1" si="38"/>
        <v>-</v>
      </c>
      <c r="BX29" s="758" t="str">
        <f t="shared" ca="1" si="39"/>
        <v>-</v>
      </c>
      <c r="BY29" s="758">
        <f ca="1">BS29+COUNTIFS($BT$6:$BT$53,BT29,$BX$6:BX$53,"&gt;"&amp;BX29,$BC$6:$BC$53,INDEX(T_Equipos[Grupo],MATCH(BD29,T_Equipos[NombreEquipo],0)))</f>
        <v>4</v>
      </c>
      <c r="BZ29" s="757" t="str">
        <f ca="1">IF(COUNTIFS($BY$6:$BY$53,BY29,$BC$6:$BC$53,INDEX(T_Equipos[Grupo],MATCH(BD29,T_Equipos[NombreEquipo],0)))=1,"-","P."&amp;BY29&amp;" ("&amp;COUNTIFS($BY$6:$BY$53,BY29,$BC$6:$BC$53,INDEX(T_Equipos[Grupo],MATCH(BD29,T_Equipos[NombreEquipo],0)))&amp;")")</f>
        <v>-</v>
      </c>
      <c r="CA29" s="758" t="str">
        <f t="shared" ca="1" si="40"/>
        <v>-</v>
      </c>
      <c r="CB29" s="758" t="str">
        <f t="shared" ca="1" si="41"/>
        <v>-</v>
      </c>
      <c r="CC29" s="758" t="str">
        <f t="shared" ca="1" si="42"/>
        <v>-</v>
      </c>
      <c r="CD29" s="758">
        <f ca="1">BY29+COUNTIFS($BZ$6:$BZ$53,BZ29,$CC$6:CC$53,"&gt;"&amp;CC29,$BC$6:$BC$53,INDEX(T_Equipos[Grupo],MATCH(BD29,T_Equipos[NombreEquipo],0)))</f>
        <v>4</v>
      </c>
      <c r="CE29" s="757" t="str">
        <f ca="1">IF(COUNTIFS($CD$6:$CD$53,CD29,$BC$6:$BC$53,INDEX(T_Equipos[Grupo],MATCH(BD29,T_Equipos[NombreEquipo],0)))=1,"-","P."&amp;CD29&amp;" ("&amp;COUNTIFS($CD$6:$CD$53,CD29,$BC$6:$BC$53,INDEX(T_Equipos[Grupo],MATCH(BD29,T_Equipos[NombreEquipo],0)))&amp;")")</f>
        <v>-</v>
      </c>
      <c r="CF29" s="758" t="str">
        <f t="shared" ca="1" si="43"/>
        <v>-</v>
      </c>
      <c r="CG29" s="758">
        <f ca="1">CD29+COUNTIFS($CE$6:$CE$53,CE29,$CF$6:CF$53,"&gt;"&amp;CF29,$BC$6:$BC$53,INDEX(T_Equipos[Grupo],MATCH(BD29,T_Equipos[NombreEquipo],0)))</f>
        <v>4</v>
      </c>
      <c r="CH29" s="757" t="str">
        <f ca="1">IF(COUNTIFS($CG$6:$CG$53,CG29,$BC$6:$BC$53,INDEX(T_Equipos[Grupo],MATCH(BD29,T_Equipos[NombreEquipo],0)))=1,"-","P."&amp;CG29&amp;" ("&amp;COUNTIFS($CG$6:$CG$53,CG29,$BC$6:$BC$53,INDEX(T_Equipos[Grupo],MATCH(BD29,T_Equipos[NombreEquipo],0)))&amp;")")</f>
        <v>-</v>
      </c>
      <c r="CI29" s="758" t="str">
        <f t="shared" ca="1" si="44"/>
        <v>-</v>
      </c>
      <c r="CJ29" s="758" t="str">
        <f t="shared" ca="1" si="45"/>
        <v>-</v>
      </c>
      <c r="CK29" s="758" t="str">
        <f t="shared" ca="1" si="46"/>
        <v>-</v>
      </c>
      <c r="CL29" s="758" t="str">
        <f t="shared" ca="1" si="47"/>
        <v>-</v>
      </c>
      <c r="CM29" s="758">
        <f ca="1">CG29+COUNTIFS($CH$6:$CH$53,CH29,$CL$6:CL$53,"&gt;"&amp;CL29,$BC$6:$BC$53,INDEX(T_Equipos[Grupo],MATCH(BD29,T_Equipos[NombreEquipo],0)))</f>
        <v>4</v>
      </c>
      <c r="CN29" s="757" t="str">
        <f ca="1">IF(COUNTIFS($CM$6:$CM$53,CM29,$BC$6:$BC$53,INDEX(T_Equipos[Grupo],MATCH(BD29,T_Equipos[NombreEquipo],0)))=1,"-","P."&amp;CM29&amp;" ("&amp;COUNTIFS($CM$6:$CM$53,CM29,$BC$6:$BC$53,INDEX(T_Equipos[Grupo],MATCH(BD29,T_Equipos[NombreEquipo],0)))&amp;")")</f>
        <v>-</v>
      </c>
      <c r="CO29" s="758" t="str">
        <f t="shared" ca="1" si="48"/>
        <v>-</v>
      </c>
      <c r="CP29" s="758" t="str">
        <f t="shared" ca="1" si="49"/>
        <v>-</v>
      </c>
      <c r="CQ29" s="758" t="str">
        <f t="shared" ca="1" si="50"/>
        <v>-</v>
      </c>
      <c r="CR29" s="758">
        <f ca="1">CM29+COUNTIFS($CN$6:$CN$53,CN29,$CQ$6:CQ$53,"&gt;"&amp;CQ29,$BC$6:$BC$53,INDEX(T_Equipos[Grupo],MATCH(BD29,T_Equipos[NombreEquipo],0)))</f>
        <v>4</v>
      </c>
      <c r="CS29" s="757" t="str">
        <f ca="1">IF(COUNTIFS($CR$6:$CR$53,CR29,$BC$6:$BC$53,INDEX(T_Equipos[Grupo],MATCH(BD29,T_Equipos[NombreEquipo],0)))=1,"-","P."&amp;CR29&amp;" ("&amp;COUNTIFS($CR$6:$CR$53,CR29,$BC$6:$BC$53,INDEX(T_Equipos[Grupo],MATCH(BD29,T_Equipos[NombreEquipo],0)))&amp;")")</f>
        <v>-</v>
      </c>
      <c r="CT29" s="758" t="str">
        <f t="shared" ca="1" si="51"/>
        <v>-</v>
      </c>
      <c r="CU29" s="758">
        <f ca="1">CR29+COUNTIFS($CS$6:$CS$53,CS29,$CT$6:CT$53,"&gt;"&amp;CT29,$BC$6:$BC$53,INDEX(T_Equipos[Grupo],MATCH(BD29,T_Equipos[NombreEquipo],0)))</f>
        <v>4</v>
      </c>
      <c r="CV29" s="757" t="str">
        <f ca="1">IF(COUNTIFS($CU$6:$CU$53,CU29,$BC$6:$BC$53,INDEX(T_Equipos[Grupo],MATCH(BD29,T_Equipos[NombreEquipo],0)))=1,"-","P."&amp;CU29&amp;" ("&amp;COUNTIFS($CU$6:$CU$53,CU29,$BC$6:$BC$53,INDEX(T_Equipos[Grupo],MATCH(BD29,T_Equipos[NombreEquipo],0)))&amp;")")</f>
        <v>-</v>
      </c>
      <c r="CW29" s="757" t="str">
        <f t="shared" ca="1" si="30"/>
        <v>-</v>
      </c>
      <c r="CX29" s="757">
        <f ca="1">CU29+COUNTIFS($CV$6:$CV$53,CV29,$CW$6:CW$53,"&gt;"&amp;CW29,$BC$6:$BC$53,INDEX(T_Equipos[Grupo],MATCH(BD29,T_Equipos[NombreEquipo],0)))</f>
        <v>4</v>
      </c>
      <c r="CY29" s="757" t="str">
        <f ca="1">IF(COUNTIFS($CX$6:$CX$53,CX29,$BC$6:$BC$53,INDEX(T_Equipos[Grupo],MATCH(BD29,T_Equipos[NombreEquipo],0)))=1,"-","P."&amp;CX29&amp;" ("&amp;COUNTIFS($CX$6:$CX$53,CX29,$BC$6:$BC$53,INDEX(T_Equipos[Grupo],MATCH(BD29,T_Equipos[NombreEquipo],0)))&amp;")")</f>
        <v>-</v>
      </c>
      <c r="CZ29" s="757" t="str">
        <f t="shared" ca="1" si="31"/>
        <v>-</v>
      </c>
      <c r="DA29" s="758">
        <f ca="1">CX29+COUNTIFS($CY$6:$CY$53,CY29,$CZ$6:CZ$53,"&gt;"&amp;CZ29,$BC$6:$BC$53,INDEX(T_Equipos[Grupo],MATCH(BD29,T_Equipos[NombreEquipo],0)))</f>
        <v>4</v>
      </c>
      <c r="DB29" s="757" t="str">
        <f ca="1">IF(COUNTIFS($DA$6:$DA$53,DA29,$BC$6:$BC$53,INDEX(T_Equipos[Grupo],MATCH(BD29,T_Equipos[NombreEquipo],0)))=1,"-","P."&amp;DA29&amp;" ("&amp;COUNTIFS($DA$6:$DA$53,DA29,$BC$6:$BC$53,INDEX(T_Equipos[Grupo],MATCH(BD29,T_Equipos[NombreEquipo],0)))&amp;")")</f>
        <v>-</v>
      </c>
      <c r="DC29" s="756" t="str">
        <f ca="1">IF(DB29="-","-",COUNTIFS(T_Equipos[Rank],"&lt;"&amp;INDEX(T_Equipos[Rank],MATCH(BD29,T_Equipos[NombreEquipo],0)),$BC$6:$BC$53,INDEX(T_Equipos[Grupo],MATCH(BD29,T_Equipos[NombreEquipo],0)))+1)</f>
        <v>-</v>
      </c>
      <c r="DD29" s="756">
        <f ca="1">DA29+COUNTIFS($DB$6:$DB$53,DB29,$DC$6:DC$53,"&lt;"&amp;DC29,$BC$6:$BC$53,INDEX(T_Equipos[Grupo],MATCH(BD29,T_Equipos[NombreEquipo],0)))</f>
        <v>4</v>
      </c>
      <c r="DE29" s="756"/>
      <c r="DF29" s="756">
        <f t="shared" ca="1" si="52"/>
        <v>4</v>
      </c>
      <c r="DG29" s="756" t="str">
        <f ca="1">IF(DB29="-","-",COUNTIFS(DF$6:DF$53,"&lt;"&amp;DF29,$BC$6:$BC$53,INDEX(T_Equipos[Grupo],MATCH(BD29,T_Equipos[NombreEquipo],0))))</f>
        <v>-</v>
      </c>
      <c r="DH29" s="756">
        <f ca="1">DA29+COUNTIFS(DB$6:DB$53,DB29,DG$6:DG$53,"&lt;"&amp;DG29,$BC$6:$BC$53,INDEX(T_Equipos[Grupo],MATCH(BD29,T_Equipos[NombreEquipo],0)))</f>
        <v>4</v>
      </c>
      <c r="DI29" s="744"/>
      <c r="DJ29" s="744">
        <f t="shared" ca="1" si="53"/>
        <v>4</v>
      </c>
      <c r="DK29" s="744">
        <f t="shared" ca="1" si="24"/>
        <v>4</v>
      </c>
      <c r="DL29" s="744">
        <f t="shared" ca="1" si="33"/>
        <v>1</v>
      </c>
      <c r="DM29" s="738" t="str">
        <f t="shared" ca="1" si="34"/>
        <v>4.1</v>
      </c>
      <c r="DN29" s="744" cm="1">
        <f t="array" aca="1" ref="DN29" ca="1">OFFSET(Horarios!$P$3,DJ29-1,0,DL29,1)</f>
        <v>4</v>
      </c>
      <c r="DO29" s="744"/>
      <c r="DP29" s="744" t="s">
        <v>666</v>
      </c>
      <c r="DQ29" s="744" t="str">
        <f t="shared" ca="1" si="35"/>
        <v>Túnez</v>
      </c>
      <c r="DR29" s="744"/>
      <c r="DS29" s="744"/>
      <c r="DT29" s="744" t="str">
        <f t="shared" ca="1" si="15"/>
        <v>Australia-Turquía</v>
      </c>
      <c r="DU29" s="744"/>
      <c r="DV29" s="744"/>
      <c r="DW29" s="8"/>
    </row>
    <row r="30" spans="1:127" ht="16.05" customHeight="1">
      <c r="A30" s="745" t="str">
        <f ca="1">+Equipos!B15</f>
        <v>Paraguay</v>
      </c>
      <c r="B30" s="742"/>
      <c r="C30" s="746"/>
      <c r="D30" s="744" t="str">
        <f t="shared" si="94"/>
        <v>Local</v>
      </c>
      <c r="E30" s="744" t="str">
        <f t="shared" ca="1" si="95"/>
        <v>-</v>
      </c>
      <c r="F30" s="744" t="str">
        <f t="shared" ca="1" si="96"/>
        <v>P.2 (2)</v>
      </c>
      <c r="G30" s="744"/>
      <c r="H30" s="744" t="str">
        <f t="shared" ca="1" si="97"/>
        <v>-</v>
      </c>
      <c r="I30" s="744" t="str">
        <f t="shared" ca="1" si="98"/>
        <v>P.2 (2)</v>
      </c>
      <c r="J30" s="744"/>
      <c r="K30" s="744" t="str">
        <f t="shared" ca="1" si="99"/>
        <v>-</v>
      </c>
      <c r="L30" s="744" t="str">
        <f t="shared" ca="1" si="100"/>
        <v>P.2 (2)</v>
      </c>
      <c r="M30" s="744"/>
      <c r="N30" s="744" t="str">
        <f t="shared" ca="1" si="101"/>
        <v>-</v>
      </c>
      <c r="O30" s="744" t="str">
        <f t="shared" ca="1" si="102"/>
        <v>P.2 (2)</v>
      </c>
      <c r="P30" s="744"/>
      <c r="Q30" s="744" t="str">
        <f t="shared" ca="1" si="103"/>
        <v>-</v>
      </c>
      <c r="R30" s="744" t="str">
        <f t="shared" ca="1" si="104"/>
        <v>P.2 (2)</v>
      </c>
      <c r="S30" s="744"/>
      <c r="T30" s="744" t="str">
        <f t="shared" ca="1" si="105"/>
        <v>-</v>
      </c>
      <c r="U30" s="744" t="str">
        <f t="shared" ca="1" si="106"/>
        <v>P.2 (2)</v>
      </c>
      <c r="V30" s="172"/>
      <c r="W30" s="811"/>
      <c r="X30" s="189">
        <f ca="1">Horarios!C30</f>
        <v>46192.875</v>
      </c>
      <c r="Y30" s="190">
        <f ca="1">Horarios!C30</f>
        <v>46192.875</v>
      </c>
      <c r="Z30" s="191" t="str">
        <f>$Z$6</f>
        <v>J2</v>
      </c>
      <c r="AA30" s="192" t="str">
        <f ca="1">A29</f>
        <v>Estados Unidos</v>
      </c>
      <c r="AB30" s="478" t="e" cm="1" vm="13">
        <f t="array" aca="1" ref="AB30" ca="1">Ver_flag_local</f>
        <v>#VALUE!</v>
      </c>
      <c r="AC30" s="193">
        <v>2</v>
      </c>
      <c r="AD30" s="194">
        <v>0</v>
      </c>
      <c r="AE30" s="483" t="e" cm="1" vm="15">
        <f t="array" aca="1" ref="AE30" ca="1">Ver_flag_visit</f>
        <v>#VALUE!</v>
      </c>
      <c r="AF30" s="195" t="str">
        <f ca="1">A31</f>
        <v>Australia</v>
      </c>
      <c r="AG30" s="413">
        <f t="shared" si="107"/>
        <v>1</v>
      </c>
      <c r="AH30" s="196">
        <v>32</v>
      </c>
      <c r="AI30" s="19" t="str">
        <f>AJ30&amp;$B$28</f>
        <v>1D</v>
      </c>
      <c r="AJ30" s="211">
        <v>1</v>
      </c>
      <c r="AK30" s="488" t="e" cm="1" vm="13">
        <f t="array" aca="1" ref="AK30" ca="1">Ver_flag_visit</f>
        <v>#VALUE!</v>
      </c>
      <c r="AL30" s="212" t="str">
        <f ca="1">IFERROR(INDEX($BD$6:$BD$53,MATCH(AI30,$BN$6:$BN$53,0)),"")</f>
        <v>Estados Unidos</v>
      </c>
      <c r="AM30" s="213">
        <f t="shared" ref="AM30:AT33" ca="1" si="111">INDEX($BE$6:$BN$53,MATCH($AL30,$BD$6:$BD$53,0),MATCH(AM$5,$BE$5:$BN$5,0))</f>
        <v>6</v>
      </c>
      <c r="AN30" s="214">
        <f t="shared" ca="1" si="111"/>
        <v>2</v>
      </c>
      <c r="AO30" s="214">
        <f t="shared" ca="1" si="111"/>
        <v>2</v>
      </c>
      <c r="AP30" s="214">
        <f t="shared" ca="1" si="111"/>
        <v>0</v>
      </c>
      <c r="AQ30" s="214">
        <f t="shared" ca="1" si="111"/>
        <v>0</v>
      </c>
      <c r="AR30" s="214">
        <f t="shared" ca="1" si="111"/>
        <v>6</v>
      </c>
      <c r="AS30" s="214">
        <f t="shared" ca="1" si="111"/>
        <v>1</v>
      </c>
      <c r="AT30" s="215">
        <f t="shared" ca="1" si="111"/>
        <v>5</v>
      </c>
      <c r="AU30" s="420">
        <f ca="1">INDEX($DL$6:$DL$53,MATCH(AI30,$DP$6:$DP$53,0))</f>
        <v>1</v>
      </c>
      <c r="AV30" s="217" t="str">
        <f ca="1">INDEX($BD$6:$BD$53,MATCH(AI30,$BM$6:$BM$53,0))</f>
        <v>Estados Unidos</v>
      </c>
      <c r="AW30" s="427"/>
      <c r="AX30" s="218"/>
      <c r="AY30" s="219" t="str">
        <f ca="1">+A29</f>
        <v>Estados Unidos</v>
      </c>
      <c r="AZ30" s="220"/>
      <c r="BA30" s="175"/>
      <c r="BB30" s="744"/>
      <c r="BC30" s="756" t="str">
        <f ca="1">+INDEX(T_Equipos[Grupo],MATCH(WORLDCUP!BD30,T_Equipos[NombreEquipo],0))</f>
        <v>G</v>
      </c>
      <c r="BD30" s="744" t="str">
        <f ca="1">+Equipos!B26</f>
        <v>Bélgica</v>
      </c>
      <c r="BE30" s="748">
        <f t="shared" ca="1" si="25"/>
        <v>1</v>
      </c>
      <c r="BF30" s="748">
        <f t="shared" ca="1" si="26"/>
        <v>1</v>
      </c>
      <c r="BG30" s="748">
        <f t="shared" ca="1" si="17"/>
        <v>0</v>
      </c>
      <c r="BH30" s="748">
        <f t="shared" ca="1" si="18"/>
        <v>1</v>
      </c>
      <c r="BI30" s="748">
        <f t="shared" ca="1" si="19"/>
        <v>0</v>
      </c>
      <c r="BJ30" s="748">
        <f t="shared" ca="1" si="20"/>
        <v>1</v>
      </c>
      <c r="BK30" s="748">
        <f t="shared" ca="1" si="21"/>
        <v>1</v>
      </c>
      <c r="BL30" s="748">
        <f t="shared" ca="1" si="27"/>
        <v>0</v>
      </c>
      <c r="BM30" s="748" t="str">
        <f t="shared" ca="1" si="22"/>
        <v>3G</v>
      </c>
      <c r="BN30" s="748" t="str">
        <f t="shared" ca="1" si="23"/>
        <v>3G</v>
      </c>
      <c r="BO30" s="757">
        <f t="shared" ca="1" si="28"/>
        <v>0</v>
      </c>
      <c r="BP30" s="757">
        <f ca="1">COUNTIFS($BO$6:$BO$53,"&gt;"&amp;BO30,$BC$6:$BC$53,INDEX(T_Equipos[Grupo],MATCH(BD30,T_Equipos[NombreEquipo],0)))+1</f>
        <v>1</v>
      </c>
      <c r="BQ30" s="757" t="str">
        <f ca="1">IF(COUNTIFS($BP$6:$BP$53,BP30,$BC$6:$BC$53,INDEX(T_Equipos[Grupo],MATCH(BD30,T_Equipos[NombreEquipo],0)))=1,"-","P."&amp;BP30&amp;" ("&amp;COUNTIFS($BP$6:$BP$53,BP30,$BC$6:$BC$53,INDEX(T_Equipos[Grupo],MATCH(BD30,T_Equipos[NombreEquipo],0)))&amp;")")</f>
        <v>P.1 (4)</v>
      </c>
      <c r="BR30" s="757">
        <f t="shared" ca="1" si="29"/>
        <v>1</v>
      </c>
      <c r="BS30" s="757">
        <f ca="1">BP30+COUNTIFS($BQ$6:$BQ$53,BQ30,$BR$6:BR$53,"&gt;"&amp;BR30,$BC$6:$BC$53,INDEX(T_Equipos[Grupo],MATCH(BD30,T_Equipos[NombreEquipo],0)))</f>
        <v>1</v>
      </c>
      <c r="BT30" s="757" t="str">
        <f ca="1">IF(COUNTIFS($BS$6:$BS$53,BS30,$BC$6:$BC$53,INDEX(T_Equipos[Grupo],MATCH(BD30,T_Equipos[NombreEquipo],0)))=1,"-","P."&amp;BS30&amp;" ("&amp;COUNTIFS($BS$6:$BS$53,BS30,$BC$6:$BC$53,INDEX(T_Equipos[Grupo],MATCH(BD30,T_Equipos[NombreEquipo],0)))&amp;")")</f>
        <v>P.1 (4)</v>
      </c>
      <c r="BU30" s="758">
        <f t="shared" ca="1" si="36"/>
        <v>0</v>
      </c>
      <c r="BV30" s="758">
        <f t="shared" ca="1" si="37"/>
        <v>1</v>
      </c>
      <c r="BW30" s="758">
        <f t="shared" ca="1" si="38"/>
        <v>0</v>
      </c>
      <c r="BX30" s="758">
        <f t="shared" ca="1" si="39"/>
        <v>1</v>
      </c>
      <c r="BY30" s="758">
        <f ca="1">BS30+COUNTIFS($BT$6:$BT$53,BT30,$BX$6:BX$53,"&gt;"&amp;BX30,$BC$6:$BC$53,INDEX(T_Equipos[Grupo],MATCH(BD30,T_Equipos[NombreEquipo],0)))</f>
        <v>1</v>
      </c>
      <c r="BZ30" s="757" t="str">
        <f ca="1">IF(COUNTIFS($BY$6:$BY$53,BY30,$BC$6:$BC$53,INDEX(T_Equipos[Grupo],MATCH(BD30,T_Equipos[NombreEquipo],0)))=1,"-","P."&amp;BY30&amp;" ("&amp;COUNTIFS($BY$6:$BY$53,BY30,$BC$6:$BC$53,INDEX(T_Equipos[Grupo],MATCH(BD30,T_Equipos[NombreEquipo],0)))&amp;")")</f>
        <v>P.1 (4)</v>
      </c>
      <c r="CA30" s="758">
        <f t="shared" ca="1" si="40"/>
        <v>1</v>
      </c>
      <c r="CB30" s="758">
        <f t="shared" ca="1" si="41"/>
        <v>1</v>
      </c>
      <c r="CC30" s="758">
        <f t="shared" ca="1" si="42"/>
        <v>0</v>
      </c>
      <c r="CD30" s="758">
        <f ca="1">BY30+COUNTIFS($BZ$6:$BZ$53,BZ30,$CC$6:CC$53,"&gt;"&amp;CC30,$BC$6:$BC$53,INDEX(T_Equipos[Grupo],MATCH(BD30,T_Equipos[NombreEquipo],0)))</f>
        <v>1</v>
      </c>
      <c r="CE30" s="757" t="str">
        <f ca="1">IF(COUNTIFS($CD$6:$CD$53,CD30,$BC$6:$BC$53,INDEX(T_Equipos[Grupo],MATCH(BD30,T_Equipos[NombreEquipo],0)))=1,"-","P."&amp;CD30&amp;" ("&amp;COUNTIFS($CD$6:$CD$53,CD30,$BC$6:$BC$53,INDEX(T_Equipos[Grupo],MATCH(BD30,T_Equipos[NombreEquipo],0)))&amp;")")</f>
        <v>P.1 (4)</v>
      </c>
      <c r="CF30" s="758">
        <f t="shared" ca="1" si="43"/>
        <v>1</v>
      </c>
      <c r="CG30" s="758">
        <f ca="1">CD30+COUNTIFS($CE$6:$CE$53,CE30,$CF$6:CF$53,"&gt;"&amp;CF30,$BC$6:$BC$53,INDEX(T_Equipos[Grupo],MATCH(BD30,T_Equipos[NombreEquipo],0)))</f>
        <v>3</v>
      </c>
      <c r="CH30" s="757" t="str">
        <f ca="1">IF(COUNTIFS($CG$6:$CG$53,CG30,$BC$6:$BC$53,INDEX(T_Equipos[Grupo],MATCH(BD30,T_Equipos[NombreEquipo],0)))=1,"-","P."&amp;CG30&amp;" ("&amp;COUNTIFS($CG$6:$CG$53,CG30,$BC$6:$BC$53,INDEX(T_Equipos[Grupo],MATCH(BD30,T_Equipos[NombreEquipo],0)))&amp;")")</f>
        <v>P.3 (2)</v>
      </c>
      <c r="CI30" s="758">
        <f t="shared" ca="1" si="44"/>
        <v>0</v>
      </c>
      <c r="CJ30" s="758">
        <f t="shared" ca="1" si="45"/>
        <v>1</v>
      </c>
      <c r="CK30" s="758">
        <f t="shared" ca="1" si="46"/>
        <v>0</v>
      </c>
      <c r="CL30" s="758">
        <f t="shared" ca="1" si="47"/>
        <v>1</v>
      </c>
      <c r="CM30" s="758">
        <f ca="1">CG30+COUNTIFS($CH$6:$CH$53,CH30,$CL$6:CL$53,"&gt;"&amp;CL30,$BC$6:$BC$53,INDEX(T_Equipos[Grupo],MATCH(BD30,T_Equipos[NombreEquipo],0)))</f>
        <v>3</v>
      </c>
      <c r="CN30" s="757" t="str">
        <f ca="1">IF(COUNTIFS($CM$6:$CM$53,CM30,$BC$6:$BC$53,INDEX(T_Equipos[Grupo],MATCH(BD30,T_Equipos[NombreEquipo],0)))=1,"-","P."&amp;CM30&amp;" ("&amp;COUNTIFS($CM$6:$CM$53,CM30,$BC$6:$BC$53,INDEX(T_Equipos[Grupo],MATCH(BD30,T_Equipos[NombreEquipo],0)))&amp;")")</f>
        <v>P.3 (2)</v>
      </c>
      <c r="CO30" s="758">
        <f t="shared" ca="1" si="48"/>
        <v>1</v>
      </c>
      <c r="CP30" s="758">
        <f t="shared" ca="1" si="49"/>
        <v>1</v>
      </c>
      <c r="CQ30" s="758">
        <f t="shared" ca="1" si="50"/>
        <v>0</v>
      </c>
      <c r="CR30" s="758">
        <f ca="1">CM30+COUNTIFS($CN$6:$CN$53,CN30,$CQ$6:CQ$53,"&gt;"&amp;CQ30,$BC$6:$BC$53,INDEX(T_Equipos[Grupo],MATCH(BD30,T_Equipos[NombreEquipo],0)))</f>
        <v>3</v>
      </c>
      <c r="CS30" s="757" t="str">
        <f ca="1">IF(COUNTIFS($CR$6:$CR$53,CR30,$BC$6:$BC$53,INDEX(T_Equipos[Grupo],MATCH(BD30,T_Equipos[NombreEquipo],0)))=1,"-","P."&amp;CR30&amp;" ("&amp;COUNTIFS($CR$6:$CR$53,CR30,$BC$6:$BC$53,INDEX(T_Equipos[Grupo],MATCH(BD30,T_Equipos[NombreEquipo],0)))&amp;")")</f>
        <v>P.3 (2)</v>
      </c>
      <c r="CT30" s="758">
        <f t="shared" ca="1" si="51"/>
        <v>1</v>
      </c>
      <c r="CU30" s="758">
        <f ca="1">CR30+COUNTIFS($CS$6:$CS$53,CS30,$CT$6:CT$53,"&gt;"&amp;CT30,$BC$6:$BC$53,INDEX(T_Equipos[Grupo],MATCH(BD30,T_Equipos[NombreEquipo],0)))</f>
        <v>3</v>
      </c>
      <c r="CV30" s="757" t="str">
        <f ca="1">IF(COUNTIFS($CU$6:$CU$53,CU30,$BC$6:$BC$53,INDEX(T_Equipos[Grupo],MATCH(BD30,T_Equipos[NombreEquipo],0)))=1,"-","P."&amp;CU30&amp;" ("&amp;COUNTIFS($CU$6:$CU$53,CU30,$BC$6:$BC$53,INDEX(T_Equipos[Grupo],MATCH(BD30,T_Equipos[NombreEquipo],0)))&amp;")")</f>
        <v>P.3 (2)</v>
      </c>
      <c r="CW30" s="757">
        <f t="shared" ca="1" si="30"/>
        <v>0</v>
      </c>
      <c r="CX30" s="757">
        <f ca="1">CU30+COUNTIFS($CV$6:$CV$53,CV30,$CW$6:CW$53,"&gt;"&amp;CW30,$BC$6:$BC$53,INDEX(T_Equipos[Grupo],MATCH(BD30,T_Equipos[NombreEquipo],0)))</f>
        <v>3</v>
      </c>
      <c r="CY30" s="757" t="str">
        <f ca="1">IF(COUNTIFS($CX$6:$CX$53,CX30,$BC$6:$BC$53,INDEX(T_Equipos[Grupo],MATCH(BD30,T_Equipos[NombreEquipo],0)))=1,"-","P."&amp;CX30&amp;" ("&amp;COUNTIFS($CX$6:$CX$53,CX30,$BC$6:$BC$53,INDEX(T_Equipos[Grupo],MATCH(BD30,T_Equipos[NombreEquipo],0)))&amp;")")</f>
        <v>P.3 (2)</v>
      </c>
      <c r="CZ30" s="757">
        <f t="shared" ca="1" si="31"/>
        <v>1</v>
      </c>
      <c r="DA30" s="758">
        <f ca="1">CX30+COUNTIFS($CY$6:$CY$53,CY30,$CZ$6:CZ$53,"&gt;"&amp;CZ30,$BC$6:$BC$53,INDEX(T_Equipos[Grupo],MATCH(BD30,T_Equipos[NombreEquipo],0)))</f>
        <v>3</v>
      </c>
      <c r="DB30" s="757" t="str">
        <f ca="1">IF(COUNTIFS($DA$6:$DA$53,DA30,$BC$6:$BC$53,INDEX(T_Equipos[Grupo],MATCH(BD30,T_Equipos[NombreEquipo],0)))=1,"-","P."&amp;DA30&amp;" ("&amp;COUNTIFS($DA$6:$DA$53,DA30,$BC$6:$BC$53,INDEX(T_Equipos[Grupo],MATCH(BD30,T_Equipos[NombreEquipo],0)))&amp;")")</f>
        <v>P.3 (2)</v>
      </c>
      <c r="DC30" s="756">
        <f ca="1">IF(DB30="-","-",COUNTIFS(T_Equipos[Rank],"&lt;"&amp;INDEX(T_Equipos[Rank],MATCH(BD30,T_Equipos[NombreEquipo],0)),$BC$6:$BC$53,INDEX(T_Equipos[Grupo],MATCH(BD30,T_Equipos[NombreEquipo],0)))+1)</f>
        <v>1</v>
      </c>
      <c r="DD30" s="756">
        <f ca="1">DA30+COUNTIFS($DB$6:$DB$53,DB30,$DC$6:DC$53,"&lt;"&amp;DC30,$BC$6:$BC$53,INDEX(T_Equipos[Grupo],MATCH(BD30,T_Equipos[NombreEquipo],0)))</f>
        <v>3</v>
      </c>
      <c r="DE30" s="756"/>
      <c r="DF30" s="756">
        <f t="shared" ca="1" si="52"/>
        <v>3</v>
      </c>
      <c r="DG30" s="756">
        <f ca="1">IF(DB30="-","-",COUNTIFS(DF$6:DF$53,"&lt;"&amp;DF30,$BC$6:$BC$53,INDEX(T_Equipos[Grupo],MATCH(BD30,T_Equipos[NombreEquipo],0))))</f>
        <v>2</v>
      </c>
      <c r="DH30" s="756">
        <f ca="1">DA30+COUNTIFS(DB$6:DB$53,DB30,DG$6:DG$53,"&lt;"&amp;DG30,$BC$6:$BC$53,INDEX(T_Equipos[Grupo],MATCH(BD30,T_Equipos[NombreEquipo],0)))</f>
        <v>3</v>
      </c>
      <c r="DI30" s="744"/>
      <c r="DJ30" s="744">
        <f t="shared" ca="1" si="53"/>
        <v>1</v>
      </c>
      <c r="DK30" s="744">
        <f t="shared" ca="1" si="24"/>
        <v>4</v>
      </c>
      <c r="DL30" s="744">
        <f t="shared" ca="1" si="33"/>
        <v>1</v>
      </c>
      <c r="DM30" s="738" t="str">
        <f t="shared" ca="1" si="34"/>
        <v>1.1</v>
      </c>
      <c r="DN30" s="744" cm="1">
        <f t="array" aca="1" ref="DN30" ca="1">OFFSET(Horarios!$P$3,DJ30-1,0,DL30,1)</f>
        <v>1</v>
      </c>
      <c r="DO30" s="744"/>
      <c r="DP30" s="744" t="s">
        <v>667</v>
      </c>
      <c r="DQ30" s="744" t="str">
        <f t="shared" ca="1" si="35"/>
        <v>Irán</v>
      </c>
      <c r="DR30" s="744"/>
      <c r="DS30" s="744"/>
      <c r="DT30" s="744" t="str">
        <f t="shared" ca="1" si="15"/>
        <v>Estados Unidos-Australia</v>
      </c>
      <c r="DU30" s="744"/>
      <c r="DV30" s="744"/>
      <c r="DW30" s="8"/>
    </row>
    <row r="31" spans="1:127" ht="16.05" customHeight="1">
      <c r="A31" s="745" t="str">
        <f ca="1">+Equipos!B16</f>
        <v>Australia</v>
      </c>
      <c r="B31" s="742"/>
      <c r="C31" s="744"/>
      <c r="D31" s="744" t="str">
        <f t="shared" si="94"/>
        <v>Visitante</v>
      </c>
      <c r="E31" s="744" t="str">
        <f t="shared" ca="1" si="95"/>
        <v>-</v>
      </c>
      <c r="F31" s="744" t="str">
        <f t="shared" ca="1" si="96"/>
        <v>P.2 (2)</v>
      </c>
      <c r="G31" s="744"/>
      <c r="H31" s="744" t="str">
        <f t="shared" ca="1" si="97"/>
        <v>-</v>
      </c>
      <c r="I31" s="744" t="str">
        <f t="shared" ca="1" si="98"/>
        <v>P.2 (2)</v>
      </c>
      <c r="J31" s="744"/>
      <c r="K31" s="744" t="str">
        <f t="shared" ca="1" si="99"/>
        <v>-</v>
      </c>
      <c r="L31" s="744" t="str">
        <f t="shared" ca="1" si="100"/>
        <v>P.2 (2)</v>
      </c>
      <c r="M31" s="744"/>
      <c r="N31" s="744" t="str">
        <f t="shared" ca="1" si="101"/>
        <v>-</v>
      </c>
      <c r="O31" s="744" t="str">
        <f t="shared" ca="1" si="102"/>
        <v>P.2 (2)</v>
      </c>
      <c r="P31" s="744"/>
      <c r="Q31" s="744" t="str">
        <f t="shared" ca="1" si="103"/>
        <v>-</v>
      </c>
      <c r="R31" s="744" t="str">
        <f t="shared" ca="1" si="104"/>
        <v>P.2 (2)</v>
      </c>
      <c r="S31" s="744"/>
      <c r="T31" s="744" t="str">
        <f t="shared" ca="1" si="105"/>
        <v>-</v>
      </c>
      <c r="U31" s="744" t="str">
        <f t="shared" ca="1" si="106"/>
        <v>P.2 (2)</v>
      </c>
      <c r="V31" s="172"/>
      <c r="W31" s="811"/>
      <c r="X31" s="189">
        <f ca="1">Horarios!C31</f>
        <v>46193.208333333336</v>
      </c>
      <c r="Y31" s="190">
        <f ca="1">Horarios!C31</f>
        <v>46193.208333333336</v>
      </c>
      <c r="Z31" s="191" t="str">
        <f>$Z$6</f>
        <v>J2</v>
      </c>
      <c r="AA31" s="192" t="str">
        <f ca="1">A32</f>
        <v>Turquía</v>
      </c>
      <c r="AB31" s="478" t="e" cm="1" vm="16">
        <f t="array" aca="1" ref="AB31" ca="1">Ver_flag_local</f>
        <v>#VALUE!</v>
      </c>
      <c r="AC31" s="193">
        <v>0</v>
      </c>
      <c r="AD31" s="194">
        <v>1</v>
      </c>
      <c r="AE31" s="483" t="e" cm="1" vm="14">
        <f t="array" aca="1" ref="AE31" ca="1">Ver_flag_visit</f>
        <v>#VALUE!</v>
      </c>
      <c r="AF31" s="195" t="str">
        <f ca="1">A30</f>
        <v>Paraguay</v>
      </c>
      <c r="AG31" s="413">
        <f t="shared" si="107"/>
        <v>1</v>
      </c>
      <c r="AH31" s="196">
        <v>31</v>
      </c>
      <c r="AI31" s="19" t="str">
        <f t="shared" ref="AI31:AI33" si="112">AJ31&amp;$B$28</f>
        <v>2D</v>
      </c>
      <c r="AJ31" s="221">
        <v>2</v>
      </c>
      <c r="AK31" s="486" t="e" cm="1" vm="15">
        <f t="array" aca="1" ref="AK31" ca="1">Ver_flag_visit</f>
        <v>#VALUE!</v>
      </c>
      <c r="AL31" s="222" t="str">
        <f ca="1">IFERROR(INDEX($BD$6:$BD$53,MATCH(AI31,$BN$6:$BN$53,0)),"")</f>
        <v>Australia</v>
      </c>
      <c r="AM31" s="223">
        <f t="shared" ca="1" si="111"/>
        <v>3</v>
      </c>
      <c r="AN31" s="224">
        <f t="shared" ca="1" si="111"/>
        <v>2</v>
      </c>
      <c r="AO31" s="224">
        <f t="shared" ca="1" si="111"/>
        <v>1</v>
      </c>
      <c r="AP31" s="224">
        <f t="shared" ca="1" si="111"/>
        <v>0</v>
      </c>
      <c r="AQ31" s="224">
        <f t="shared" ca="1" si="111"/>
        <v>1</v>
      </c>
      <c r="AR31" s="224">
        <f t="shared" ca="1" si="111"/>
        <v>2</v>
      </c>
      <c r="AS31" s="224">
        <f t="shared" ca="1" si="111"/>
        <v>2</v>
      </c>
      <c r="AT31" s="225">
        <f t="shared" ca="1" si="111"/>
        <v>0</v>
      </c>
      <c r="AU31" s="420">
        <f ca="1">INDEX($DL$6:$DL$53,MATCH(AI31,$DP$6:$DP$53,0))</f>
        <v>1</v>
      </c>
      <c r="AV31" s="217" t="str">
        <f ca="1">INDEX($BD$6:$BD$53,MATCH(AI31,$BM$6:$BM$53,0))</f>
        <v>Australia</v>
      </c>
      <c r="AW31" s="427"/>
      <c r="AX31" s="218"/>
      <c r="AY31" s="226" t="str">
        <f ca="1">+A30</f>
        <v>Paraguay</v>
      </c>
      <c r="AZ31" s="227"/>
      <c r="BA31" s="175"/>
      <c r="BB31" s="744"/>
      <c r="BC31" s="756" t="str">
        <f ca="1">+INDEX(T_Equipos[Grupo],MATCH(WORLDCUP!BD31,T_Equipos[NombreEquipo],0))</f>
        <v>G</v>
      </c>
      <c r="BD31" s="744" t="str">
        <f ca="1">+Equipos!B27</f>
        <v>Egipto</v>
      </c>
      <c r="BE31" s="748">
        <f t="shared" ca="1" si="25"/>
        <v>1</v>
      </c>
      <c r="BF31" s="748">
        <f t="shared" ca="1" si="26"/>
        <v>1</v>
      </c>
      <c r="BG31" s="748">
        <f t="shared" ca="1" si="17"/>
        <v>0</v>
      </c>
      <c r="BH31" s="748">
        <f t="shared" ca="1" si="18"/>
        <v>1</v>
      </c>
      <c r="BI31" s="748">
        <f t="shared" ca="1" si="19"/>
        <v>0</v>
      </c>
      <c r="BJ31" s="748">
        <f t="shared" ca="1" si="20"/>
        <v>1</v>
      </c>
      <c r="BK31" s="748">
        <f t="shared" ca="1" si="21"/>
        <v>1</v>
      </c>
      <c r="BL31" s="748">
        <f t="shared" ca="1" si="27"/>
        <v>0</v>
      </c>
      <c r="BM31" s="748" t="str">
        <f t="shared" ca="1" si="22"/>
        <v>4G</v>
      </c>
      <c r="BN31" s="748" t="str">
        <f t="shared" ca="1" si="23"/>
        <v>4G</v>
      </c>
      <c r="BO31" s="757">
        <f t="shared" ca="1" si="28"/>
        <v>0</v>
      </c>
      <c r="BP31" s="757">
        <f ca="1">COUNTIFS($BO$6:$BO$53,"&gt;"&amp;BO31,$BC$6:$BC$53,INDEX(T_Equipos[Grupo],MATCH(BD31,T_Equipos[NombreEquipo],0)))+1</f>
        <v>1</v>
      </c>
      <c r="BQ31" s="757" t="str">
        <f ca="1">IF(COUNTIFS($BP$6:$BP$53,BP31,$BC$6:$BC$53,INDEX(T_Equipos[Grupo],MATCH(BD31,T_Equipos[NombreEquipo],0)))=1,"-","P."&amp;BP31&amp;" ("&amp;COUNTIFS($BP$6:$BP$53,BP31,$BC$6:$BC$53,INDEX(T_Equipos[Grupo],MATCH(BD31,T_Equipos[NombreEquipo],0)))&amp;")")</f>
        <v>P.1 (4)</v>
      </c>
      <c r="BR31" s="757">
        <f t="shared" ca="1" si="29"/>
        <v>1</v>
      </c>
      <c r="BS31" s="757">
        <f ca="1">BP31+COUNTIFS($BQ$6:$BQ$53,BQ31,$BR$6:BR$53,"&gt;"&amp;BR31,$BC$6:$BC$53,INDEX(T_Equipos[Grupo],MATCH(BD31,T_Equipos[NombreEquipo],0)))</f>
        <v>1</v>
      </c>
      <c r="BT31" s="757" t="str">
        <f ca="1">IF(COUNTIFS($BS$6:$BS$53,BS31,$BC$6:$BC$53,INDEX(T_Equipos[Grupo],MATCH(BD31,T_Equipos[NombreEquipo],0)))=1,"-","P."&amp;BS31&amp;" ("&amp;COUNTIFS($BS$6:$BS$53,BS31,$BC$6:$BC$53,INDEX(T_Equipos[Grupo],MATCH(BD31,T_Equipos[NombreEquipo],0)))&amp;")")</f>
        <v>P.1 (4)</v>
      </c>
      <c r="BU31" s="758">
        <f t="shared" ca="1" si="36"/>
        <v>0</v>
      </c>
      <c r="BV31" s="758">
        <f t="shared" ca="1" si="37"/>
        <v>1</v>
      </c>
      <c r="BW31" s="758">
        <f t="shared" ca="1" si="38"/>
        <v>0</v>
      </c>
      <c r="BX31" s="758">
        <f t="shared" ca="1" si="39"/>
        <v>1</v>
      </c>
      <c r="BY31" s="758">
        <f ca="1">BS31+COUNTIFS($BT$6:$BT$53,BT31,$BX$6:BX$53,"&gt;"&amp;BX31,$BC$6:$BC$53,INDEX(T_Equipos[Grupo],MATCH(BD31,T_Equipos[NombreEquipo],0)))</f>
        <v>1</v>
      </c>
      <c r="BZ31" s="757" t="str">
        <f ca="1">IF(COUNTIFS($BY$6:$BY$53,BY31,$BC$6:$BC$53,INDEX(T_Equipos[Grupo],MATCH(BD31,T_Equipos[NombreEquipo],0)))=1,"-","P."&amp;BY31&amp;" ("&amp;COUNTIFS($BY$6:$BY$53,BY31,$BC$6:$BC$53,INDEX(T_Equipos[Grupo],MATCH(BD31,T_Equipos[NombreEquipo],0)))&amp;")")</f>
        <v>P.1 (4)</v>
      </c>
      <c r="CA31" s="758">
        <f t="shared" ca="1" si="40"/>
        <v>1</v>
      </c>
      <c r="CB31" s="758">
        <f t="shared" ca="1" si="41"/>
        <v>1</v>
      </c>
      <c r="CC31" s="758">
        <f t="shared" ca="1" si="42"/>
        <v>0</v>
      </c>
      <c r="CD31" s="758">
        <f ca="1">BY31+COUNTIFS($BZ$6:$BZ$53,BZ31,$CC$6:CC$53,"&gt;"&amp;CC31,$BC$6:$BC$53,INDEX(T_Equipos[Grupo],MATCH(BD31,T_Equipos[NombreEquipo],0)))</f>
        <v>1</v>
      </c>
      <c r="CE31" s="757" t="str">
        <f ca="1">IF(COUNTIFS($CD$6:$CD$53,CD31,$BC$6:$BC$53,INDEX(T_Equipos[Grupo],MATCH(BD31,T_Equipos[NombreEquipo],0)))=1,"-","P."&amp;CD31&amp;" ("&amp;COUNTIFS($CD$6:$CD$53,CD31,$BC$6:$BC$53,INDEX(T_Equipos[Grupo],MATCH(BD31,T_Equipos[NombreEquipo],0)))&amp;")")</f>
        <v>P.1 (4)</v>
      </c>
      <c r="CF31" s="758">
        <f t="shared" ca="1" si="43"/>
        <v>1</v>
      </c>
      <c r="CG31" s="758">
        <f ca="1">CD31+COUNTIFS($CE$6:$CE$53,CE31,$CF$6:CF$53,"&gt;"&amp;CF31,$BC$6:$BC$53,INDEX(T_Equipos[Grupo],MATCH(BD31,T_Equipos[NombreEquipo],0)))</f>
        <v>3</v>
      </c>
      <c r="CH31" s="757" t="str">
        <f ca="1">IF(COUNTIFS($CG$6:$CG$53,CG31,$BC$6:$BC$53,INDEX(T_Equipos[Grupo],MATCH(BD31,T_Equipos[NombreEquipo],0)))=1,"-","P."&amp;CG31&amp;" ("&amp;COUNTIFS($CG$6:$CG$53,CG31,$BC$6:$BC$53,INDEX(T_Equipos[Grupo],MATCH(BD31,T_Equipos[NombreEquipo],0)))&amp;")")</f>
        <v>P.3 (2)</v>
      </c>
      <c r="CI31" s="758">
        <f t="shared" ca="1" si="44"/>
        <v>0</v>
      </c>
      <c r="CJ31" s="758">
        <f t="shared" ca="1" si="45"/>
        <v>1</v>
      </c>
      <c r="CK31" s="758">
        <f t="shared" ca="1" si="46"/>
        <v>0</v>
      </c>
      <c r="CL31" s="758">
        <f t="shared" ca="1" si="47"/>
        <v>1</v>
      </c>
      <c r="CM31" s="758">
        <f ca="1">CG31+COUNTIFS($CH$6:$CH$53,CH31,$CL$6:CL$53,"&gt;"&amp;CL31,$BC$6:$BC$53,INDEX(T_Equipos[Grupo],MATCH(BD31,T_Equipos[NombreEquipo],0)))</f>
        <v>3</v>
      </c>
      <c r="CN31" s="757" t="str">
        <f ca="1">IF(COUNTIFS($CM$6:$CM$53,CM31,$BC$6:$BC$53,INDEX(T_Equipos[Grupo],MATCH(BD31,T_Equipos[NombreEquipo],0)))=1,"-","P."&amp;CM31&amp;" ("&amp;COUNTIFS($CM$6:$CM$53,CM31,$BC$6:$BC$53,INDEX(T_Equipos[Grupo],MATCH(BD31,T_Equipos[NombreEquipo],0)))&amp;")")</f>
        <v>P.3 (2)</v>
      </c>
      <c r="CO31" s="758">
        <f t="shared" ca="1" si="48"/>
        <v>1</v>
      </c>
      <c r="CP31" s="758">
        <f t="shared" ca="1" si="49"/>
        <v>1</v>
      </c>
      <c r="CQ31" s="758">
        <f t="shared" ca="1" si="50"/>
        <v>0</v>
      </c>
      <c r="CR31" s="758">
        <f ca="1">CM31+COUNTIFS($CN$6:$CN$53,CN31,$CQ$6:CQ$53,"&gt;"&amp;CQ31,$BC$6:$BC$53,INDEX(T_Equipos[Grupo],MATCH(BD31,T_Equipos[NombreEquipo],0)))</f>
        <v>3</v>
      </c>
      <c r="CS31" s="757" t="str">
        <f ca="1">IF(COUNTIFS($CR$6:$CR$53,CR31,$BC$6:$BC$53,INDEX(T_Equipos[Grupo],MATCH(BD31,T_Equipos[NombreEquipo],0)))=1,"-","P."&amp;CR31&amp;" ("&amp;COUNTIFS($CR$6:$CR$53,CR31,$BC$6:$BC$53,INDEX(T_Equipos[Grupo],MATCH(BD31,T_Equipos[NombreEquipo],0)))&amp;")")</f>
        <v>P.3 (2)</v>
      </c>
      <c r="CT31" s="758">
        <f t="shared" ca="1" si="51"/>
        <v>1</v>
      </c>
      <c r="CU31" s="758">
        <f ca="1">CR31+COUNTIFS($CS$6:$CS$53,CS31,$CT$6:CT$53,"&gt;"&amp;CT31,$BC$6:$BC$53,INDEX(T_Equipos[Grupo],MATCH(BD31,T_Equipos[NombreEquipo],0)))</f>
        <v>3</v>
      </c>
      <c r="CV31" s="757" t="str">
        <f ca="1">IF(COUNTIFS($CU$6:$CU$53,CU31,$BC$6:$BC$53,INDEX(T_Equipos[Grupo],MATCH(BD31,T_Equipos[NombreEquipo],0)))=1,"-","P."&amp;CU31&amp;" ("&amp;COUNTIFS($CU$6:$CU$53,CU31,$BC$6:$BC$53,INDEX(T_Equipos[Grupo],MATCH(BD31,T_Equipos[NombreEquipo],0)))&amp;")")</f>
        <v>P.3 (2)</v>
      </c>
      <c r="CW31" s="757">
        <f t="shared" ca="1" si="30"/>
        <v>0</v>
      </c>
      <c r="CX31" s="757">
        <f ca="1">CU31+COUNTIFS($CV$6:$CV$53,CV31,$CW$6:CW$53,"&gt;"&amp;CW31,$BC$6:$BC$53,INDEX(T_Equipos[Grupo],MATCH(BD31,T_Equipos[NombreEquipo],0)))</f>
        <v>3</v>
      </c>
      <c r="CY31" s="757" t="str">
        <f ca="1">IF(COUNTIFS($CX$6:$CX$53,CX31,$BC$6:$BC$53,INDEX(T_Equipos[Grupo],MATCH(BD31,T_Equipos[NombreEquipo],0)))=1,"-","P."&amp;CX31&amp;" ("&amp;COUNTIFS($CX$6:$CX$53,CX31,$BC$6:$BC$53,INDEX(T_Equipos[Grupo],MATCH(BD31,T_Equipos[NombreEquipo],0)))&amp;")")</f>
        <v>P.3 (2)</v>
      </c>
      <c r="CZ31" s="757">
        <f t="shared" ca="1" si="31"/>
        <v>1</v>
      </c>
      <c r="DA31" s="758">
        <f ca="1">CX31+COUNTIFS($CY$6:$CY$53,CY31,$CZ$6:CZ$53,"&gt;"&amp;CZ31,$BC$6:$BC$53,INDEX(T_Equipos[Grupo],MATCH(BD31,T_Equipos[NombreEquipo],0)))</f>
        <v>3</v>
      </c>
      <c r="DB31" s="757" t="str">
        <f ca="1">IF(COUNTIFS($DA$6:$DA$53,DA31,$BC$6:$BC$53,INDEX(T_Equipos[Grupo],MATCH(BD31,T_Equipos[NombreEquipo],0)))=1,"-","P."&amp;DA31&amp;" ("&amp;COUNTIFS($DA$6:$DA$53,DA31,$BC$6:$BC$53,INDEX(T_Equipos[Grupo],MATCH(BD31,T_Equipos[NombreEquipo],0)))&amp;")")</f>
        <v>P.3 (2)</v>
      </c>
      <c r="DC31" s="756">
        <f ca="1">IF(DB31="-","-",COUNTIFS(T_Equipos[Rank],"&lt;"&amp;INDEX(T_Equipos[Rank],MATCH(BD31,T_Equipos[NombreEquipo],0)),$BC$6:$BC$53,INDEX(T_Equipos[Grupo],MATCH(BD31,T_Equipos[NombreEquipo],0)))+1)</f>
        <v>2</v>
      </c>
      <c r="DD31" s="756">
        <f ca="1">DA31+COUNTIFS($DB$6:$DB$53,DB31,$DC$6:DC$53,"&lt;"&amp;DC31,$BC$6:$BC$53,INDEX(T_Equipos[Grupo],MATCH(BD31,T_Equipos[NombreEquipo],0)))</f>
        <v>4</v>
      </c>
      <c r="DE31" s="756"/>
      <c r="DF31" s="756">
        <f t="shared" ca="1" si="52"/>
        <v>4</v>
      </c>
      <c r="DG31" s="756">
        <f ca="1">IF(DB31="-","-",COUNTIFS(DF$6:DF$53,"&lt;"&amp;DF31,$BC$6:$BC$53,INDEX(T_Equipos[Grupo],MATCH(BD31,T_Equipos[NombreEquipo],0))))</f>
        <v>3</v>
      </c>
      <c r="DH31" s="756">
        <f ca="1">DA31+COUNTIFS(DB$6:DB$53,DB31,DG$6:DG$53,"&lt;"&amp;DG31,$BC$6:$BC$53,INDEX(T_Equipos[Grupo],MATCH(BD31,T_Equipos[NombreEquipo],0)))</f>
        <v>4</v>
      </c>
      <c r="DI31" s="744"/>
      <c r="DJ31" s="744">
        <f t="shared" ca="1" si="53"/>
        <v>1</v>
      </c>
      <c r="DK31" s="744">
        <f t="shared" ca="1" si="24"/>
        <v>4</v>
      </c>
      <c r="DL31" s="744">
        <f t="shared" ca="1" si="33"/>
        <v>1</v>
      </c>
      <c r="DM31" s="738" t="str">
        <f t="shared" ca="1" si="34"/>
        <v>1.1</v>
      </c>
      <c r="DN31" s="744" cm="1">
        <f t="array" aca="1" ref="DN31" ca="1">OFFSET(Horarios!$P$3,DJ31-1,0,DL31,1)</f>
        <v>1</v>
      </c>
      <c r="DO31" s="744"/>
      <c r="DP31" s="744" t="s">
        <v>668</v>
      </c>
      <c r="DQ31" s="744" t="str">
        <f t="shared" ca="1" si="35"/>
        <v>Nueva Zelanda</v>
      </c>
      <c r="DR31" s="744"/>
      <c r="DS31" s="744"/>
      <c r="DT31" s="744" t="str">
        <f t="shared" ca="1" si="15"/>
        <v>Turquía-Paraguay</v>
      </c>
      <c r="DU31" s="744"/>
      <c r="DV31" s="744"/>
      <c r="DW31" s="8"/>
    </row>
    <row r="32" spans="1:127" ht="16.05" customHeight="1">
      <c r="A32" s="745" t="str">
        <f ca="1">+Equipos!B17</f>
        <v>Turquía</v>
      </c>
      <c r="B32" s="742"/>
      <c r="C32" s="744"/>
      <c r="D32" s="744" t="str">
        <f t="shared" si="94"/>
        <v>Pendiente</v>
      </c>
      <c r="E32" s="744" t="str">
        <f t="shared" si="95"/>
        <v>-</v>
      </c>
      <c r="F32" s="744" t="str">
        <f t="shared" si="96"/>
        <v>-</v>
      </c>
      <c r="G32" s="744"/>
      <c r="H32" s="744" t="str">
        <f t="shared" si="97"/>
        <v>-</v>
      </c>
      <c r="I32" s="744" t="str">
        <f t="shared" si="98"/>
        <v>-</v>
      </c>
      <c r="J32" s="744"/>
      <c r="K32" s="744" t="str">
        <f t="shared" si="99"/>
        <v>-</v>
      </c>
      <c r="L32" s="744" t="str">
        <f t="shared" si="100"/>
        <v>-</v>
      </c>
      <c r="M32" s="744"/>
      <c r="N32" s="744" t="str">
        <f t="shared" si="101"/>
        <v>-</v>
      </c>
      <c r="O32" s="744" t="str">
        <f t="shared" si="102"/>
        <v>-</v>
      </c>
      <c r="P32" s="744"/>
      <c r="Q32" s="744" t="str">
        <f t="shared" si="103"/>
        <v>-</v>
      </c>
      <c r="R32" s="744" t="str">
        <f t="shared" si="104"/>
        <v>-</v>
      </c>
      <c r="S32" s="744"/>
      <c r="T32" s="744" t="str">
        <f t="shared" si="105"/>
        <v>-</v>
      </c>
      <c r="U32" s="744" t="str">
        <f t="shared" si="106"/>
        <v>-</v>
      </c>
      <c r="V32" s="172"/>
      <c r="W32" s="811"/>
      <c r="X32" s="189">
        <f ca="1">Horarios!C32</f>
        <v>46199.166666666664</v>
      </c>
      <c r="Y32" s="190">
        <f ca="1">Horarios!C32</f>
        <v>46199.166666666664</v>
      </c>
      <c r="Z32" s="191" t="str">
        <f>$Z$8</f>
        <v>J3</v>
      </c>
      <c r="AA32" s="192" t="str">
        <f ca="1">A32</f>
        <v>Turquía</v>
      </c>
      <c r="AB32" s="478" t="e" cm="1" vm="16">
        <f t="array" aca="1" ref="AB32" ca="1">Ver_flag_local</f>
        <v>#VALUE!</v>
      </c>
      <c r="AC32" s="193"/>
      <c r="AD32" s="194"/>
      <c r="AE32" s="483" t="e" cm="1" vm="13">
        <f t="array" aca="1" ref="AE32" ca="1">Ver_flag_visit</f>
        <v>#VALUE!</v>
      </c>
      <c r="AF32" s="195" t="str">
        <f ca="1">A29</f>
        <v>Estados Unidos</v>
      </c>
      <c r="AG32" s="413">
        <f t="shared" si="107"/>
        <v>0</v>
      </c>
      <c r="AH32" s="196">
        <v>59</v>
      </c>
      <c r="AI32" s="19" t="str">
        <f t="shared" si="112"/>
        <v>3D</v>
      </c>
      <c r="AJ32" s="221">
        <v>3</v>
      </c>
      <c r="AK32" s="486" t="e" cm="1" vm="14">
        <f t="array" aca="1" ref="AK32" ca="1">Ver_flag_visit</f>
        <v>#VALUE!</v>
      </c>
      <c r="AL32" s="222" t="str">
        <f ca="1">IFERROR(INDEX($BD$6:$BD$53,MATCH(AI32,$BN$6:$BN$53,0)),"")</f>
        <v>Paraguay</v>
      </c>
      <c r="AM32" s="223">
        <f t="shared" ca="1" si="111"/>
        <v>3</v>
      </c>
      <c r="AN32" s="224">
        <f t="shared" ca="1" si="111"/>
        <v>2</v>
      </c>
      <c r="AO32" s="224">
        <f t="shared" ca="1" si="111"/>
        <v>1</v>
      </c>
      <c r="AP32" s="224">
        <f t="shared" ca="1" si="111"/>
        <v>0</v>
      </c>
      <c r="AQ32" s="224">
        <f t="shared" ca="1" si="111"/>
        <v>1</v>
      </c>
      <c r="AR32" s="224">
        <f t="shared" ca="1" si="111"/>
        <v>2</v>
      </c>
      <c r="AS32" s="224">
        <f t="shared" ca="1" si="111"/>
        <v>4</v>
      </c>
      <c r="AT32" s="225">
        <f t="shared" ca="1" si="111"/>
        <v>-2</v>
      </c>
      <c r="AU32" s="420">
        <f ca="1">INDEX($DL$6:$DL$53,MATCH(AI32,$DP$6:$DP$53,0))</f>
        <v>1</v>
      </c>
      <c r="AV32" s="217" t="str">
        <f ca="1">INDEX($BD$6:$BD$53,MATCH(AI32,$BM$6:$BM$53,0))</f>
        <v>Paraguay</v>
      </c>
      <c r="AW32" s="427"/>
      <c r="AX32" s="218"/>
      <c r="AY32" s="219" t="str">
        <f ca="1">+A31</f>
        <v>Australia</v>
      </c>
      <c r="AZ32" s="220"/>
      <c r="BA32" s="175"/>
      <c r="BB32" s="744"/>
      <c r="BC32" s="756" t="str">
        <f ca="1">+INDEX(T_Equipos[Grupo],MATCH(WORLDCUP!BD32,T_Equipos[NombreEquipo],0))</f>
        <v>G</v>
      </c>
      <c r="BD32" s="744" t="str">
        <f ca="1">+Equipos!B28</f>
        <v>Irán</v>
      </c>
      <c r="BE32" s="748">
        <f t="shared" ca="1" si="25"/>
        <v>1</v>
      </c>
      <c r="BF32" s="748">
        <f t="shared" ca="1" si="26"/>
        <v>1</v>
      </c>
      <c r="BG32" s="748">
        <f t="shared" ca="1" si="17"/>
        <v>0</v>
      </c>
      <c r="BH32" s="748">
        <f t="shared" ca="1" si="18"/>
        <v>1</v>
      </c>
      <c r="BI32" s="748">
        <f t="shared" ca="1" si="19"/>
        <v>0</v>
      </c>
      <c r="BJ32" s="748">
        <f t="shared" ca="1" si="20"/>
        <v>2</v>
      </c>
      <c r="BK32" s="748">
        <f t="shared" ca="1" si="21"/>
        <v>2</v>
      </c>
      <c r="BL32" s="748">
        <f t="shared" ca="1" si="27"/>
        <v>0</v>
      </c>
      <c r="BM32" s="748" t="str">
        <f t="shared" ca="1" si="22"/>
        <v>1G</v>
      </c>
      <c r="BN32" s="748" t="str">
        <f t="shared" ca="1" si="23"/>
        <v>1G</v>
      </c>
      <c r="BO32" s="757">
        <f t="shared" ca="1" si="28"/>
        <v>0</v>
      </c>
      <c r="BP32" s="757">
        <f ca="1">COUNTIFS($BO$6:$BO$53,"&gt;"&amp;BO32,$BC$6:$BC$53,INDEX(T_Equipos[Grupo],MATCH(BD32,T_Equipos[NombreEquipo],0)))+1</f>
        <v>1</v>
      </c>
      <c r="BQ32" s="757" t="str">
        <f ca="1">IF(COUNTIFS($BP$6:$BP$53,BP32,$BC$6:$BC$53,INDEX(T_Equipos[Grupo],MATCH(BD32,T_Equipos[NombreEquipo],0)))=1,"-","P."&amp;BP32&amp;" ("&amp;COUNTIFS($BP$6:$BP$53,BP32,$BC$6:$BC$53,INDEX(T_Equipos[Grupo],MATCH(BD32,T_Equipos[NombreEquipo],0)))&amp;")")</f>
        <v>P.1 (4)</v>
      </c>
      <c r="BR32" s="757">
        <f t="shared" ca="1" si="29"/>
        <v>1</v>
      </c>
      <c r="BS32" s="757">
        <f ca="1">BP32+COUNTIFS($BQ$6:$BQ$53,BQ32,$BR$6:BR$53,"&gt;"&amp;BR32,$BC$6:$BC$53,INDEX(T_Equipos[Grupo],MATCH(BD32,T_Equipos[NombreEquipo],0)))</f>
        <v>1</v>
      </c>
      <c r="BT32" s="757" t="str">
        <f ca="1">IF(COUNTIFS($BS$6:$BS$53,BS32,$BC$6:$BC$53,INDEX(T_Equipos[Grupo],MATCH(BD32,T_Equipos[NombreEquipo],0)))=1,"-","P."&amp;BS32&amp;" ("&amp;COUNTIFS($BS$6:$BS$53,BS32,$BC$6:$BC$53,INDEX(T_Equipos[Grupo],MATCH(BD32,T_Equipos[NombreEquipo],0)))&amp;")")</f>
        <v>P.1 (4)</v>
      </c>
      <c r="BU32" s="758">
        <f t="shared" ca="1" si="36"/>
        <v>0</v>
      </c>
      <c r="BV32" s="758">
        <f t="shared" ca="1" si="37"/>
        <v>1</v>
      </c>
      <c r="BW32" s="758">
        <f t="shared" ca="1" si="38"/>
        <v>0</v>
      </c>
      <c r="BX32" s="758">
        <f t="shared" ca="1" si="39"/>
        <v>1</v>
      </c>
      <c r="BY32" s="758">
        <f ca="1">BS32+COUNTIFS($BT$6:$BT$53,BT32,$BX$6:BX$53,"&gt;"&amp;BX32,$BC$6:$BC$53,INDEX(T_Equipos[Grupo],MATCH(BD32,T_Equipos[NombreEquipo],0)))</f>
        <v>1</v>
      </c>
      <c r="BZ32" s="757" t="str">
        <f ca="1">IF(COUNTIFS($BY$6:$BY$53,BY32,$BC$6:$BC$53,INDEX(T_Equipos[Grupo],MATCH(BD32,T_Equipos[NombreEquipo],0)))=1,"-","P."&amp;BY32&amp;" ("&amp;COUNTIFS($BY$6:$BY$53,BY32,$BC$6:$BC$53,INDEX(T_Equipos[Grupo],MATCH(BD32,T_Equipos[NombreEquipo],0)))&amp;")")</f>
        <v>P.1 (4)</v>
      </c>
      <c r="CA32" s="758">
        <f t="shared" ca="1" si="40"/>
        <v>2</v>
      </c>
      <c r="CB32" s="758">
        <f t="shared" ca="1" si="41"/>
        <v>2</v>
      </c>
      <c r="CC32" s="758">
        <f t="shared" ca="1" si="42"/>
        <v>0</v>
      </c>
      <c r="CD32" s="758">
        <f ca="1">BY32+COUNTIFS($BZ$6:$BZ$53,BZ32,$CC$6:CC$53,"&gt;"&amp;CC32,$BC$6:$BC$53,INDEX(T_Equipos[Grupo],MATCH(BD32,T_Equipos[NombreEquipo],0)))</f>
        <v>1</v>
      </c>
      <c r="CE32" s="757" t="str">
        <f ca="1">IF(COUNTIFS($CD$6:$CD$53,CD32,$BC$6:$BC$53,INDEX(T_Equipos[Grupo],MATCH(BD32,T_Equipos[NombreEquipo],0)))=1,"-","P."&amp;CD32&amp;" ("&amp;COUNTIFS($CD$6:$CD$53,CD32,$BC$6:$BC$53,INDEX(T_Equipos[Grupo],MATCH(BD32,T_Equipos[NombreEquipo],0)))&amp;")")</f>
        <v>P.1 (4)</v>
      </c>
      <c r="CF32" s="758">
        <f t="shared" ca="1" si="43"/>
        <v>2</v>
      </c>
      <c r="CG32" s="758">
        <f ca="1">CD32+COUNTIFS($CE$6:$CE$53,CE32,$CF$6:CF$53,"&gt;"&amp;CF32,$BC$6:$BC$53,INDEX(T_Equipos[Grupo],MATCH(BD32,T_Equipos[NombreEquipo],0)))</f>
        <v>1</v>
      </c>
      <c r="CH32" s="757" t="str">
        <f ca="1">IF(COUNTIFS($CG$6:$CG$53,CG32,$BC$6:$BC$53,INDEX(T_Equipos[Grupo],MATCH(BD32,T_Equipos[NombreEquipo],0)))=1,"-","P."&amp;CG32&amp;" ("&amp;COUNTIFS($CG$6:$CG$53,CG32,$BC$6:$BC$53,INDEX(T_Equipos[Grupo],MATCH(BD32,T_Equipos[NombreEquipo],0)))&amp;")")</f>
        <v>P.1 (2)</v>
      </c>
      <c r="CI32" s="758">
        <f t="shared" ca="1" si="44"/>
        <v>0</v>
      </c>
      <c r="CJ32" s="758">
        <f t="shared" ca="1" si="45"/>
        <v>1</v>
      </c>
      <c r="CK32" s="758">
        <f t="shared" ca="1" si="46"/>
        <v>0</v>
      </c>
      <c r="CL32" s="758">
        <f t="shared" ca="1" si="47"/>
        <v>1</v>
      </c>
      <c r="CM32" s="758">
        <f ca="1">CG32+COUNTIFS($CH$6:$CH$53,CH32,$CL$6:CL$53,"&gt;"&amp;CL32,$BC$6:$BC$53,INDEX(T_Equipos[Grupo],MATCH(BD32,T_Equipos[NombreEquipo],0)))</f>
        <v>1</v>
      </c>
      <c r="CN32" s="757" t="str">
        <f ca="1">IF(COUNTIFS($CM$6:$CM$53,CM32,$BC$6:$BC$53,INDEX(T_Equipos[Grupo],MATCH(BD32,T_Equipos[NombreEquipo],0)))=1,"-","P."&amp;CM32&amp;" ("&amp;COUNTIFS($CM$6:$CM$53,CM32,$BC$6:$BC$53,INDEX(T_Equipos[Grupo],MATCH(BD32,T_Equipos[NombreEquipo],0)))&amp;")")</f>
        <v>P.1 (2)</v>
      </c>
      <c r="CO32" s="758">
        <f t="shared" ca="1" si="48"/>
        <v>2</v>
      </c>
      <c r="CP32" s="758">
        <f t="shared" ca="1" si="49"/>
        <v>2</v>
      </c>
      <c r="CQ32" s="758">
        <f t="shared" ca="1" si="50"/>
        <v>0</v>
      </c>
      <c r="CR32" s="758">
        <f ca="1">CM32+COUNTIFS($CN$6:$CN$53,CN32,$CQ$6:CQ$53,"&gt;"&amp;CQ32,$BC$6:$BC$53,INDEX(T_Equipos[Grupo],MATCH(BD32,T_Equipos[NombreEquipo],0)))</f>
        <v>1</v>
      </c>
      <c r="CS32" s="757" t="str">
        <f ca="1">IF(COUNTIFS($CR$6:$CR$53,CR32,$BC$6:$BC$53,INDEX(T_Equipos[Grupo],MATCH(BD32,T_Equipos[NombreEquipo],0)))=1,"-","P."&amp;CR32&amp;" ("&amp;COUNTIFS($CR$6:$CR$53,CR32,$BC$6:$BC$53,INDEX(T_Equipos[Grupo],MATCH(BD32,T_Equipos[NombreEquipo],0)))&amp;")")</f>
        <v>P.1 (2)</v>
      </c>
      <c r="CT32" s="758">
        <f t="shared" ca="1" si="51"/>
        <v>2</v>
      </c>
      <c r="CU32" s="758">
        <f ca="1">CR32+COUNTIFS($CS$6:$CS$53,CS32,$CT$6:CT$53,"&gt;"&amp;CT32,$BC$6:$BC$53,INDEX(T_Equipos[Grupo],MATCH(BD32,T_Equipos[NombreEquipo],0)))</f>
        <v>1</v>
      </c>
      <c r="CV32" s="757" t="str">
        <f ca="1">IF(COUNTIFS($CU$6:$CU$53,CU32,$BC$6:$BC$53,INDEX(T_Equipos[Grupo],MATCH(BD32,T_Equipos[NombreEquipo],0)))=1,"-","P."&amp;CU32&amp;" ("&amp;COUNTIFS($CU$6:$CU$53,CU32,$BC$6:$BC$53,INDEX(T_Equipos[Grupo],MATCH(BD32,T_Equipos[NombreEquipo],0)))&amp;")")</f>
        <v>P.1 (2)</v>
      </c>
      <c r="CW32" s="757">
        <f t="shared" ca="1" si="30"/>
        <v>0</v>
      </c>
      <c r="CX32" s="757">
        <f ca="1">CU32+COUNTIFS($CV$6:$CV$53,CV32,$CW$6:CW$53,"&gt;"&amp;CW32,$BC$6:$BC$53,INDEX(T_Equipos[Grupo],MATCH(BD32,T_Equipos[NombreEquipo],0)))</f>
        <v>1</v>
      </c>
      <c r="CY32" s="757" t="str">
        <f ca="1">IF(COUNTIFS($CX$6:$CX$53,CX32,$BC$6:$BC$53,INDEX(T_Equipos[Grupo],MATCH(BD32,T_Equipos[NombreEquipo],0)))=1,"-","P."&amp;CX32&amp;" ("&amp;COUNTIFS($CX$6:$CX$53,CX32,$BC$6:$BC$53,INDEX(T_Equipos[Grupo],MATCH(BD32,T_Equipos[NombreEquipo],0)))&amp;")")</f>
        <v>P.1 (2)</v>
      </c>
      <c r="CZ32" s="757">
        <f t="shared" ca="1" si="31"/>
        <v>2</v>
      </c>
      <c r="DA32" s="758">
        <f ca="1">CX32+COUNTIFS($CY$6:$CY$53,CY32,$CZ$6:CZ$53,"&gt;"&amp;CZ32,$BC$6:$BC$53,INDEX(T_Equipos[Grupo],MATCH(BD32,T_Equipos[NombreEquipo],0)))</f>
        <v>1</v>
      </c>
      <c r="DB32" s="757" t="str">
        <f ca="1">IF(COUNTIFS($DA$6:$DA$53,DA32,$BC$6:$BC$53,INDEX(T_Equipos[Grupo],MATCH(BD32,T_Equipos[NombreEquipo],0)))=1,"-","P."&amp;DA32&amp;" ("&amp;COUNTIFS($DA$6:$DA$53,DA32,$BC$6:$BC$53,INDEX(T_Equipos[Grupo],MATCH(BD32,T_Equipos[NombreEquipo],0)))&amp;")")</f>
        <v>P.1 (2)</v>
      </c>
      <c r="DC32" s="756">
        <f ca="1">IF(DB32="-","-",COUNTIFS(T_Equipos[Rank],"&lt;"&amp;INDEX(T_Equipos[Rank],MATCH(BD32,T_Equipos[NombreEquipo],0)),$BC$6:$BC$53,INDEX(T_Equipos[Grupo],MATCH(BD32,T_Equipos[NombreEquipo],0)))+1)</f>
        <v>3</v>
      </c>
      <c r="DD32" s="756">
        <f ca="1">DA32+COUNTIFS($DB$6:$DB$53,DB32,$DC$6:DC$53,"&lt;"&amp;DC32,$BC$6:$BC$53,INDEX(T_Equipos[Grupo],MATCH(BD32,T_Equipos[NombreEquipo],0)))</f>
        <v>1</v>
      </c>
      <c r="DE32" s="756"/>
      <c r="DF32" s="756">
        <f t="shared" ca="1" si="52"/>
        <v>1</v>
      </c>
      <c r="DG32" s="756">
        <f ca="1">IF(DB32="-","-",COUNTIFS(DF$6:DF$53,"&lt;"&amp;DF32,$BC$6:$BC$53,INDEX(T_Equipos[Grupo],MATCH(BD32,T_Equipos[NombreEquipo],0))))</f>
        <v>0</v>
      </c>
      <c r="DH32" s="756">
        <f ca="1">DA32+COUNTIFS(DB$6:DB$53,DB32,DG$6:DG$53,"&lt;"&amp;DG32,$BC$6:$BC$53,INDEX(T_Equipos[Grupo],MATCH(BD32,T_Equipos[NombreEquipo],0)))</f>
        <v>1</v>
      </c>
      <c r="DI32" s="744"/>
      <c r="DJ32" s="744">
        <f t="shared" ca="1" si="53"/>
        <v>3</v>
      </c>
      <c r="DK32" s="744">
        <f t="shared" ca="1" si="24"/>
        <v>4</v>
      </c>
      <c r="DL32" s="744">
        <f t="shared" ca="1" si="33"/>
        <v>1</v>
      </c>
      <c r="DM32" s="738" t="str">
        <f t="shared" ca="1" si="34"/>
        <v>3.1</v>
      </c>
      <c r="DN32" s="744" cm="1">
        <f t="array" aca="1" ref="DN32" ca="1">OFFSET(Horarios!$P$3,DJ32-1,0,DL32,1)</f>
        <v>3</v>
      </c>
      <c r="DO32" s="744"/>
      <c r="DP32" s="744" t="s">
        <v>435</v>
      </c>
      <c r="DQ32" s="744" t="str">
        <f t="shared" ca="1" si="35"/>
        <v>Bélgica</v>
      </c>
      <c r="DR32" s="744"/>
      <c r="DS32" s="744"/>
      <c r="DT32" s="744" t="str">
        <f t="shared" ca="1" si="15"/>
        <v>Turquía-Estados Unidos</v>
      </c>
      <c r="DU32" s="744"/>
      <c r="DV32" s="744"/>
      <c r="DW32" s="8"/>
    </row>
    <row r="33" spans="1:127" ht="16.95" customHeight="1" thickBot="1">
      <c r="A33" s="739"/>
      <c r="B33" s="739"/>
      <c r="C33" s="739"/>
      <c r="D33" s="744" t="str">
        <f t="shared" si="94"/>
        <v>Pendiente</v>
      </c>
      <c r="E33" s="744" t="str">
        <f t="shared" si="95"/>
        <v>-</v>
      </c>
      <c r="F33" s="744" t="str">
        <f t="shared" si="96"/>
        <v>-</v>
      </c>
      <c r="G33" s="744"/>
      <c r="H33" s="744" t="str">
        <f t="shared" si="97"/>
        <v>-</v>
      </c>
      <c r="I33" s="744" t="str">
        <f t="shared" si="98"/>
        <v>-</v>
      </c>
      <c r="J33" s="744"/>
      <c r="K33" s="744" t="str">
        <f t="shared" si="99"/>
        <v>-</v>
      </c>
      <c r="L33" s="744" t="str">
        <f t="shared" si="100"/>
        <v>-</v>
      </c>
      <c r="M33" s="744"/>
      <c r="N33" s="744" t="str">
        <f t="shared" si="101"/>
        <v>-</v>
      </c>
      <c r="O33" s="744" t="str">
        <f t="shared" si="102"/>
        <v>-</v>
      </c>
      <c r="P33" s="744"/>
      <c r="Q33" s="744" t="str">
        <f t="shared" si="103"/>
        <v>-</v>
      </c>
      <c r="R33" s="744" t="str">
        <f t="shared" si="104"/>
        <v>-</v>
      </c>
      <c r="S33" s="744"/>
      <c r="T33" s="744" t="str">
        <f t="shared" si="105"/>
        <v>-</v>
      </c>
      <c r="U33" s="744" t="str">
        <f t="shared" si="106"/>
        <v>-</v>
      </c>
      <c r="V33" s="172"/>
      <c r="W33" s="812"/>
      <c r="X33" s="228">
        <f ca="1">Horarios!C33</f>
        <v>46199.166666666664</v>
      </c>
      <c r="Y33" s="229">
        <f ca="1">Horarios!C33</f>
        <v>46199.166666666664</v>
      </c>
      <c r="Z33" s="230" t="str">
        <f>$Z$8</f>
        <v>J3</v>
      </c>
      <c r="AA33" s="231" t="str">
        <f ca="1">A30</f>
        <v>Paraguay</v>
      </c>
      <c r="AB33" s="479" t="e" cm="1" vm="14">
        <f t="array" aca="1" ref="AB33" ca="1">Ver_flag_local</f>
        <v>#VALUE!</v>
      </c>
      <c r="AC33" s="232"/>
      <c r="AD33" s="233"/>
      <c r="AE33" s="484" t="e" cm="1" vm="15">
        <f t="array" aca="1" ref="AE33" ca="1">Ver_flag_visit</f>
        <v>#VALUE!</v>
      </c>
      <c r="AF33" s="234" t="str">
        <f ca="1">A31</f>
        <v>Australia</v>
      </c>
      <c r="AG33" s="413">
        <f t="shared" si="107"/>
        <v>0</v>
      </c>
      <c r="AH33" s="196">
        <v>60</v>
      </c>
      <c r="AI33" s="19" t="str">
        <f t="shared" si="112"/>
        <v>4D</v>
      </c>
      <c r="AJ33" s="235">
        <v>4</v>
      </c>
      <c r="AK33" s="487" t="e" cm="1" vm="16">
        <f t="array" aca="1" ref="AK33" ca="1">Ver_flag_visit</f>
        <v>#VALUE!</v>
      </c>
      <c r="AL33" s="236" t="str">
        <f ca="1">IFERROR(INDEX($BD$6:$BD$53,MATCH(AI33,$BN$6:$BN$53,0)),"")</f>
        <v>Turquía</v>
      </c>
      <c r="AM33" s="237">
        <f t="shared" ca="1" si="111"/>
        <v>0</v>
      </c>
      <c r="AN33" s="238">
        <f t="shared" ca="1" si="111"/>
        <v>2</v>
      </c>
      <c r="AO33" s="238">
        <f t="shared" ca="1" si="111"/>
        <v>0</v>
      </c>
      <c r="AP33" s="238">
        <f t="shared" ca="1" si="111"/>
        <v>0</v>
      </c>
      <c r="AQ33" s="238">
        <f t="shared" ca="1" si="111"/>
        <v>2</v>
      </c>
      <c r="AR33" s="238">
        <f t="shared" ca="1" si="111"/>
        <v>0</v>
      </c>
      <c r="AS33" s="238">
        <f t="shared" ca="1" si="111"/>
        <v>3</v>
      </c>
      <c r="AT33" s="239">
        <f t="shared" ca="1" si="111"/>
        <v>-3</v>
      </c>
      <c r="AU33" s="420">
        <f ca="1">INDEX($DL$6:$DL$53,MATCH(AI33,$DP$6:$DP$53,0))</f>
        <v>1</v>
      </c>
      <c r="AV33" s="217" t="str">
        <f ca="1">INDEX($BD$6:$BD$53,MATCH(AI33,$BM$6:$BM$53,0))</f>
        <v>Turquía</v>
      </c>
      <c r="AW33" s="427"/>
      <c r="AX33" s="218"/>
      <c r="AY33" s="240" t="str">
        <f ca="1">+A32</f>
        <v>Turquía</v>
      </c>
      <c r="AZ33" s="241"/>
      <c r="BA33" s="175"/>
      <c r="BB33" s="744"/>
      <c r="BC33" s="756" t="str">
        <f ca="1">+INDEX(T_Equipos[Grupo],MATCH(WORLDCUP!BD33,T_Equipos[NombreEquipo],0))</f>
        <v>G</v>
      </c>
      <c r="BD33" s="744" t="str">
        <f ca="1">+Equipos!B29</f>
        <v>Nueva Zelanda</v>
      </c>
      <c r="BE33" s="748">
        <f t="shared" ca="1" si="25"/>
        <v>1</v>
      </c>
      <c r="BF33" s="748">
        <f t="shared" ca="1" si="26"/>
        <v>1</v>
      </c>
      <c r="BG33" s="748">
        <f t="shared" ca="1" si="17"/>
        <v>0</v>
      </c>
      <c r="BH33" s="748">
        <f t="shared" ca="1" si="18"/>
        <v>1</v>
      </c>
      <c r="BI33" s="748">
        <f t="shared" ca="1" si="19"/>
        <v>0</v>
      </c>
      <c r="BJ33" s="748">
        <f t="shared" ca="1" si="20"/>
        <v>2</v>
      </c>
      <c r="BK33" s="748">
        <f t="shared" ca="1" si="21"/>
        <v>2</v>
      </c>
      <c r="BL33" s="748">
        <f t="shared" ca="1" si="27"/>
        <v>0</v>
      </c>
      <c r="BM33" s="748" t="str">
        <f t="shared" ca="1" si="22"/>
        <v>2G</v>
      </c>
      <c r="BN33" s="748" t="str">
        <f t="shared" ca="1" si="23"/>
        <v>2G</v>
      </c>
      <c r="BO33" s="757">
        <f t="shared" ca="1" si="28"/>
        <v>0</v>
      </c>
      <c r="BP33" s="757">
        <f ca="1">COUNTIFS($BO$6:$BO$53,"&gt;"&amp;BO33,$BC$6:$BC$53,INDEX(T_Equipos[Grupo],MATCH(BD33,T_Equipos[NombreEquipo],0)))+1</f>
        <v>1</v>
      </c>
      <c r="BQ33" s="757" t="str">
        <f ca="1">IF(COUNTIFS($BP$6:$BP$53,BP33,$BC$6:$BC$53,INDEX(T_Equipos[Grupo],MATCH(BD33,T_Equipos[NombreEquipo],0)))=1,"-","P."&amp;BP33&amp;" ("&amp;COUNTIFS($BP$6:$BP$53,BP33,$BC$6:$BC$53,INDEX(T_Equipos[Grupo],MATCH(BD33,T_Equipos[NombreEquipo],0)))&amp;")")</f>
        <v>P.1 (4)</v>
      </c>
      <c r="BR33" s="757">
        <f t="shared" ca="1" si="29"/>
        <v>1</v>
      </c>
      <c r="BS33" s="757">
        <f ca="1">BP33+COUNTIFS($BQ$6:$BQ$53,BQ33,$BR$6:BR$53,"&gt;"&amp;BR33,$BC$6:$BC$53,INDEX(T_Equipos[Grupo],MATCH(BD33,T_Equipos[NombreEquipo],0)))</f>
        <v>1</v>
      </c>
      <c r="BT33" s="757" t="str">
        <f ca="1">IF(COUNTIFS($BS$6:$BS$53,BS33,$BC$6:$BC$53,INDEX(T_Equipos[Grupo],MATCH(BD33,T_Equipos[NombreEquipo],0)))=1,"-","P."&amp;BS33&amp;" ("&amp;COUNTIFS($BS$6:$BS$53,BS33,$BC$6:$BC$53,INDEX(T_Equipos[Grupo],MATCH(BD33,T_Equipos[NombreEquipo],0)))&amp;")")</f>
        <v>P.1 (4)</v>
      </c>
      <c r="BU33" s="758">
        <f t="shared" ca="1" si="36"/>
        <v>0</v>
      </c>
      <c r="BV33" s="758">
        <f t="shared" ca="1" si="37"/>
        <v>1</v>
      </c>
      <c r="BW33" s="758">
        <f t="shared" ca="1" si="38"/>
        <v>0</v>
      </c>
      <c r="BX33" s="758">
        <f t="shared" ca="1" si="39"/>
        <v>1</v>
      </c>
      <c r="BY33" s="758">
        <f ca="1">BS33+COUNTIFS($BT$6:$BT$53,BT33,$BX$6:BX$53,"&gt;"&amp;BX33,$BC$6:$BC$53,INDEX(T_Equipos[Grupo],MATCH(BD33,T_Equipos[NombreEquipo],0)))</f>
        <v>1</v>
      </c>
      <c r="BZ33" s="757" t="str">
        <f ca="1">IF(COUNTIFS($BY$6:$BY$53,BY33,$BC$6:$BC$53,INDEX(T_Equipos[Grupo],MATCH(BD33,T_Equipos[NombreEquipo],0)))=1,"-","P."&amp;BY33&amp;" ("&amp;COUNTIFS($BY$6:$BY$53,BY33,$BC$6:$BC$53,INDEX(T_Equipos[Grupo],MATCH(BD33,T_Equipos[NombreEquipo],0)))&amp;")")</f>
        <v>P.1 (4)</v>
      </c>
      <c r="CA33" s="758">
        <f t="shared" ca="1" si="40"/>
        <v>2</v>
      </c>
      <c r="CB33" s="758">
        <f t="shared" ca="1" si="41"/>
        <v>2</v>
      </c>
      <c r="CC33" s="758">
        <f t="shared" ca="1" si="42"/>
        <v>0</v>
      </c>
      <c r="CD33" s="758">
        <f ca="1">BY33+COUNTIFS($BZ$6:$BZ$53,BZ33,$CC$6:CC$53,"&gt;"&amp;CC33,$BC$6:$BC$53,INDEX(T_Equipos[Grupo],MATCH(BD33,T_Equipos[NombreEquipo],0)))</f>
        <v>1</v>
      </c>
      <c r="CE33" s="757" t="str">
        <f ca="1">IF(COUNTIFS($CD$6:$CD$53,CD33,$BC$6:$BC$53,INDEX(T_Equipos[Grupo],MATCH(BD33,T_Equipos[NombreEquipo],0)))=1,"-","P."&amp;CD33&amp;" ("&amp;COUNTIFS($CD$6:$CD$53,CD33,$BC$6:$BC$53,INDEX(T_Equipos[Grupo],MATCH(BD33,T_Equipos[NombreEquipo],0)))&amp;")")</f>
        <v>P.1 (4)</v>
      </c>
      <c r="CF33" s="758">
        <f t="shared" ca="1" si="43"/>
        <v>2</v>
      </c>
      <c r="CG33" s="758">
        <f ca="1">CD33+COUNTIFS($CE$6:$CE$53,CE33,$CF$6:CF$53,"&gt;"&amp;CF33,$BC$6:$BC$53,INDEX(T_Equipos[Grupo],MATCH(BD33,T_Equipos[NombreEquipo],0)))</f>
        <v>1</v>
      </c>
      <c r="CH33" s="757" t="str">
        <f ca="1">IF(COUNTIFS($CG$6:$CG$53,CG33,$BC$6:$BC$53,INDEX(T_Equipos[Grupo],MATCH(BD33,T_Equipos[NombreEquipo],0)))=1,"-","P."&amp;CG33&amp;" ("&amp;COUNTIFS($CG$6:$CG$53,CG33,$BC$6:$BC$53,INDEX(T_Equipos[Grupo],MATCH(BD33,T_Equipos[NombreEquipo],0)))&amp;")")</f>
        <v>P.1 (2)</v>
      </c>
      <c r="CI33" s="758">
        <f t="shared" ca="1" si="44"/>
        <v>0</v>
      </c>
      <c r="CJ33" s="758">
        <f t="shared" ca="1" si="45"/>
        <v>1</v>
      </c>
      <c r="CK33" s="758">
        <f t="shared" ca="1" si="46"/>
        <v>0</v>
      </c>
      <c r="CL33" s="758">
        <f t="shared" ca="1" si="47"/>
        <v>1</v>
      </c>
      <c r="CM33" s="758">
        <f ca="1">CG33+COUNTIFS($CH$6:$CH$53,CH33,$CL$6:CL$53,"&gt;"&amp;CL33,$BC$6:$BC$53,INDEX(T_Equipos[Grupo],MATCH(BD33,T_Equipos[NombreEquipo],0)))</f>
        <v>1</v>
      </c>
      <c r="CN33" s="757" t="str">
        <f ca="1">IF(COUNTIFS($CM$6:$CM$53,CM33,$BC$6:$BC$53,INDEX(T_Equipos[Grupo],MATCH(BD33,T_Equipos[NombreEquipo],0)))=1,"-","P."&amp;CM33&amp;" ("&amp;COUNTIFS($CM$6:$CM$53,CM33,$BC$6:$BC$53,INDEX(T_Equipos[Grupo],MATCH(BD33,T_Equipos[NombreEquipo],0)))&amp;")")</f>
        <v>P.1 (2)</v>
      </c>
      <c r="CO33" s="758">
        <f t="shared" ca="1" si="48"/>
        <v>2</v>
      </c>
      <c r="CP33" s="758">
        <f t="shared" ca="1" si="49"/>
        <v>2</v>
      </c>
      <c r="CQ33" s="758">
        <f t="shared" ca="1" si="50"/>
        <v>0</v>
      </c>
      <c r="CR33" s="758">
        <f ca="1">CM33+COUNTIFS($CN$6:$CN$53,CN33,$CQ$6:CQ$53,"&gt;"&amp;CQ33,$BC$6:$BC$53,INDEX(T_Equipos[Grupo],MATCH(BD33,T_Equipos[NombreEquipo],0)))</f>
        <v>1</v>
      </c>
      <c r="CS33" s="757" t="str">
        <f ca="1">IF(COUNTIFS($CR$6:$CR$53,CR33,$BC$6:$BC$53,INDEX(T_Equipos[Grupo],MATCH(BD33,T_Equipos[NombreEquipo],0)))=1,"-","P."&amp;CR33&amp;" ("&amp;COUNTIFS($CR$6:$CR$53,CR33,$BC$6:$BC$53,INDEX(T_Equipos[Grupo],MATCH(BD33,T_Equipos[NombreEquipo],0)))&amp;")")</f>
        <v>P.1 (2)</v>
      </c>
      <c r="CT33" s="758">
        <f t="shared" ca="1" si="51"/>
        <v>2</v>
      </c>
      <c r="CU33" s="758">
        <f ca="1">CR33+COUNTIFS($CS$6:$CS$53,CS33,$CT$6:CT$53,"&gt;"&amp;CT33,$BC$6:$BC$53,INDEX(T_Equipos[Grupo],MATCH(BD33,T_Equipos[NombreEquipo],0)))</f>
        <v>1</v>
      </c>
      <c r="CV33" s="757" t="str">
        <f ca="1">IF(COUNTIFS($CU$6:$CU$53,CU33,$BC$6:$BC$53,INDEX(T_Equipos[Grupo],MATCH(BD33,T_Equipos[NombreEquipo],0)))=1,"-","P."&amp;CU33&amp;" ("&amp;COUNTIFS($CU$6:$CU$53,CU33,$BC$6:$BC$53,INDEX(T_Equipos[Grupo],MATCH(BD33,T_Equipos[NombreEquipo],0)))&amp;")")</f>
        <v>P.1 (2)</v>
      </c>
      <c r="CW33" s="757">
        <f t="shared" ca="1" si="30"/>
        <v>0</v>
      </c>
      <c r="CX33" s="757">
        <f ca="1">CU33+COUNTIFS($CV$6:$CV$53,CV33,$CW$6:CW$53,"&gt;"&amp;CW33,$BC$6:$BC$53,INDEX(T_Equipos[Grupo],MATCH(BD33,T_Equipos[NombreEquipo],0)))</f>
        <v>1</v>
      </c>
      <c r="CY33" s="757" t="str">
        <f ca="1">IF(COUNTIFS($CX$6:$CX$53,CX33,$BC$6:$BC$53,INDEX(T_Equipos[Grupo],MATCH(BD33,T_Equipos[NombreEquipo],0)))=1,"-","P."&amp;CX33&amp;" ("&amp;COUNTIFS($CX$6:$CX$53,CX33,$BC$6:$BC$53,INDEX(T_Equipos[Grupo],MATCH(BD33,T_Equipos[NombreEquipo],0)))&amp;")")</f>
        <v>P.1 (2)</v>
      </c>
      <c r="CZ33" s="757">
        <f t="shared" ca="1" si="31"/>
        <v>2</v>
      </c>
      <c r="DA33" s="758">
        <f ca="1">CX33+COUNTIFS($CY$6:$CY$53,CY33,$CZ$6:CZ$53,"&gt;"&amp;CZ33,$BC$6:$BC$53,INDEX(T_Equipos[Grupo],MATCH(BD33,T_Equipos[NombreEquipo],0)))</f>
        <v>1</v>
      </c>
      <c r="DB33" s="757" t="str">
        <f ca="1">IF(COUNTIFS($DA$6:$DA$53,DA33,$BC$6:$BC$53,INDEX(T_Equipos[Grupo],MATCH(BD33,T_Equipos[NombreEquipo],0)))=1,"-","P."&amp;DA33&amp;" ("&amp;COUNTIFS($DA$6:$DA$53,DA33,$BC$6:$BC$53,INDEX(T_Equipos[Grupo],MATCH(BD33,T_Equipos[NombreEquipo],0)))&amp;")")</f>
        <v>P.1 (2)</v>
      </c>
      <c r="DC33" s="756">
        <f ca="1">IF(DB33="-","-",COUNTIFS(T_Equipos[Rank],"&lt;"&amp;INDEX(T_Equipos[Rank],MATCH(BD33,T_Equipos[NombreEquipo],0)),$BC$6:$BC$53,INDEX(T_Equipos[Grupo],MATCH(BD33,T_Equipos[NombreEquipo],0)))+1)</f>
        <v>4</v>
      </c>
      <c r="DD33" s="756">
        <f ca="1">DA33+COUNTIFS($DB$6:$DB$53,DB33,$DC$6:DC$53,"&lt;"&amp;DC33,$BC$6:$BC$53,INDEX(T_Equipos[Grupo],MATCH(BD33,T_Equipos[NombreEquipo],0)))</f>
        <v>2</v>
      </c>
      <c r="DE33" s="756"/>
      <c r="DF33" s="756">
        <f t="shared" ca="1" si="52"/>
        <v>2</v>
      </c>
      <c r="DG33" s="756">
        <f ca="1">IF(DB33="-","-",COUNTIFS(DF$6:DF$53,"&lt;"&amp;DF33,$BC$6:$BC$53,INDEX(T_Equipos[Grupo],MATCH(BD33,T_Equipos[NombreEquipo],0))))</f>
        <v>1</v>
      </c>
      <c r="DH33" s="756">
        <f ca="1">DA33+COUNTIFS(DB$6:DB$53,DB33,DG$6:DG$53,"&lt;"&amp;DG33,$BC$6:$BC$53,INDEX(T_Equipos[Grupo],MATCH(BD33,T_Equipos[NombreEquipo],0)))</f>
        <v>2</v>
      </c>
      <c r="DI33" s="744"/>
      <c r="DJ33" s="744">
        <f t="shared" ca="1" si="53"/>
        <v>3</v>
      </c>
      <c r="DK33" s="744">
        <f t="shared" ca="1" si="24"/>
        <v>4</v>
      </c>
      <c r="DL33" s="744">
        <f t="shared" ca="1" si="33"/>
        <v>1</v>
      </c>
      <c r="DM33" s="738" t="str">
        <f t="shared" ca="1" si="34"/>
        <v>3.1</v>
      </c>
      <c r="DN33" s="744" cm="1">
        <f t="array" aca="1" ref="DN33" ca="1">OFFSET(Horarios!$P$3,DJ33-1,0,DL33,1)</f>
        <v>3</v>
      </c>
      <c r="DO33" s="744"/>
      <c r="DP33" s="744" t="s">
        <v>669</v>
      </c>
      <c r="DQ33" s="744" t="str">
        <f t="shared" ca="1" si="35"/>
        <v>Egipto</v>
      </c>
      <c r="DR33" s="744"/>
      <c r="DS33" s="744"/>
      <c r="DT33" s="744" t="str">
        <f t="shared" ca="1" si="15"/>
        <v>Paraguay-Australia</v>
      </c>
      <c r="DU33" s="744"/>
      <c r="DV33" s="744"/>
      <c r="DW33" s="8"/>
    </row>
    <row r="34" spans="1:127" ht="15" thickBot="1">
      <c r="A34" s="739"/>
      <c r="B34" s="739"/>
      <c r="C34" s="739"/>
      <c r="D34" s="744"/>
      <c r="E34" s="744"/>
      <c r="F34" s="744"/>
      <c r="G34" s="744"/>
      <c r="H34" s="744"/>
      <c r="I34" s="744"/>
      <c r="J34" s="744"/>
      <c r="K34" s="744"/>
      <c r="L34" s="744"/>
      <c r="M34" s="744"/>
      <c r="N34" s="744"/>
      <c r="O34" s="744"/>
      <c r="P34" s="744"/>
      <c r="Q34" s="744"/>
      <c r="R34" s="744"/>
      <c r="S34" s="744"/>
      <c r="T34" s="744"/>
      <c r="U34" s="744"/>
      <c r="V34" s="172"/>
      <c r="W34" s="242"/>
      <c r="X34" s="243"/>
      <c r="Y34" s="242"/>
      <c r="Z34" s="244"/>
      <c r="AA34" s="245"/>
      <c r="AB34" s="482"/>
      <c r="AC34" s="247"/>
      <c r="AD34" s="247"/>
      <c r="AE34" s="482"/>
      <c r="AF34" s="248"/>
      <c r="AG34" s="415"/>
      <c r="AH34" s="196"/>
      <c r="AI34" s="171"/>
      <c r="AJ34" s="249"/>
      <c r="AK34" s="250"/>
      <c r="AL34" s="186"/>
      <c r="AM34" s="251"/>
      <c r="AN34" s="249"/>
      <c r="AO34" s="249"/>
      <c r="AP34" s="249"/>
      <c r="AQ34" s="249"/>
      <c r="AR34" s="249"/>
      <c r="AS34" s="249"/>
      <c r="AT34" s="249"/>
      <c r="AU34" s="420"/>
      <c r="AV34" s="216"/>
      <c r="AW34" s="428"/>
      <c r="AX34" s="218"/>
      <c r="AY34" s="242"/>
      <c r="AZ34" s="243"/>
      <c r="BA34" s="175"/>
      <c r="BB34" s="744"/>
      <c r="BC34" s="756" t="str">
        <f ca="1">+INDEX(T_Equipos[Grupo],MATCH(WORLDCUP!BD34,T_Equipos[NombreEquipo],0))</f>
        <v>H</v>
      </c>
      <c r="BD34" s="744" t="str">
        <f ca="1">+Equipos!B30</f>
        <v>España</v>
      </c>
      <c r="BE34" s="748">
        <f t="shared" ca="1" si="25"/>
        <v>1</v>
      </c>
      <c r="BF34" s="748">
        <f t="shared" ca="1" si="26"/>
        <v>1</v>
      </c>
      <c r="BG34" s="748">
        <f t="shared" ca="1" si="17"/>
        <v>0</v>
      </c>
      <c r="BH34" s="748">
        <f t="shared" ca="1" si="18"/>
        <v>1</v>
      </c>
      <c r="BI34" s="748">
        <f t="shared" ca="1" si="19"/>
        <v>0</v>
      </c>
      <c r="BJ34" s="748">
        <f t="shared" ca="1" si="20"/>
        <v>0</v>
      </c>
      <c r="BK34" s="748">
        <f t="shared" ca="1" si="21"/>
        <v>0</v>
      </c>
      <c r="BL34" s="748">
        <f t="shared" ca="1" si="27"/>
        <v>0</v>
      </c>
      <c r="BM34" s="748" t="str">
        <f t="shared" ca="1" si="22"/>
        <v>3H</v>
      </c>
      <c r="BN34" s="748" t="str">
        <f t="shared" ca="1" si="23"/>
        <v>3H</v>
      </c>
      <c r="BO34" s="758">
        <f t="shared" ca="1" si="28"/>
        <v>0</v>
      </c>
      <c r="BP34" s="757">
        <f ca="1">COUNTIFS($BO$6:$BO$53,"&gt;"&amp;BO34,$BC$6:$BC$53,INDEX(T_Equipos[Grupo],MATCH(BD34,T_Equipos[NombreEquipo],0)))+1</f>
        <v>1</v>
      </c>
      <c r="BQ34" s="757" t="str">
        <f ca="1">IF(COUNTIFS($BP$6:$BP$53,BP34,$BC$6:$BC$53,INDEX(T_Equipos[Grupo],MATCH(BD34,T_Equipos[NombreEquipo],0)))=1,"-","P."&amp;BP34&amp;" ("&amp;COUNTIFS($BP$6:$BP$53,BP34,$BC$6:$BC$53,INDEX(T_Equipos[Grupo],MATCH(BD34,T_Equipos[NombreEquipo],0)))&amp;")")</f>
        <v>P.1 (4)</v>
      </c>
      <c r="BR34" s="758">
        <f t="shared" ca="1" si="29"/>
        <v>1</v>
      </c>
      <c r="BS34" s="757">
        <f ca="1">BP34+COUNTIFS($BQ$6:$BQ$53,BQ34,$BR$6:BR$53,"&gt;"&amp;BR34,$BC$6:$BC$53,INDEX(T_Equipos[Grupo],MATCH(BD34,T_Equipos[NombreEquipo],0)))</f>
        <v>1</v>
      </c>
      <c r="BT34" s="757" t="str">
        <f ca="1">IF(COUNTIFS($BS$6:$BS$53,BS34,$BC$6:$BC$53,INDEX(T_Equipos[Grupo],MATCH(BD34,T_Equipos[NombreEquipo],0)))=1,"-","P."&amp;BS34&amp;" ("&amp;COUNTIFS($BS$6:$BS$53,BS34,$BC$6:$BC$53,INDEX(T_Equipos[Grupo],MATCH(BD34,T_Equipos[NombreEquipo],0)))&amp;")")</f>
        <v>P.1 (4)</v>
      </c>
      <c r="BU34" s="758">
        <f t="shared" ca="1" si="36"/>
        <v>0</v>
      </c>
      <c r="BV34" s="758">
        <f t="shared" ca="1" si="37"/>
        <v>1</v>
      </c>
      <c r="BW34" s="758">
        <f t="shared" ca="1" si="38"/>
        <v>0</v>
      </c>
      <c r="BX34" s="758">
        <f t="shared" ca="1" si="39"/>
        <v>1</v>
      </c>
      <c r="BY34" s="758">
        <f ca="1">BS34+COUNTIFS($BT$6:$BT$53,BT34,$BX$6:BX$53,"&gt;"&amp;BX34,$BC$6:$BC$53,INDEX(T_Equipos[Grupo],MATCH(BD34,T_Equipos[NombreEquipo],0)))</f>
        <v>1</v>
      </c>
      <c r="BZ34" s="757" t="str">
        <f ca="1">IF(COUNTIFS($BY$6:$BY$53,BY34,$BC$6:$BC$53,INDEX(T_Equipos[Grupo],MATCH(BD34,T_Equipos[NombreEquipo],0)))=1,"-","P."&amp;BY34&amp;" ("&amp;COUNTIFS($BY$6:$BY$53,BY34,$BC$6:$BC$53,INDEX(T_Equipos[Grupo],MATCH(BD34,T_Equipos[NombreEquipo],0)))&amp;")")</f>
        <v>P.1 (4)</v>
      </c>
      <c r="CA34" s="758">
        <f t="shared" ca="1" si="40"/>
        <v>0</v>
      </c>
      <c r="CB34" s="758">
        <f t="shared" ca="1" si="41"/>
        <v>0</v>
      </c>
      <c r="CC34" s="758">
        <f t="shared" ca="1" si="42"/>
        <v>0</v>
      </c>
      <c r="CD34" s="758">
        <f ca="1">BY34+COUNTIFS($BZ$6:$BZ$53,BZ34,$CC$6:CC$53,"&gt;"&amp;CC34,$BC$6:$BC$53,INDEX(T_Equipos[Grupo],MATCH(BD34,T_Equipos[NombreEquipo],0)))</f>
        <v>1</v>
      </c>
      <c r="CE34" s="757" t="str">
        <f ca="1">IF(COUNTIFS($CD$6:$CD$53,CD34,$BC$6:$BC$53,INDEX(T_Equipos[Grupo],MATCH(BD34,T_Equipos[NombreEquipo],0)))=1,"-","P."&amp;CD34&amp;" ("&amp;COUNTIFS($CD$6:$CD$53,CD34,$BC$6:$BC$53,INDEX(T_Equipos[Grupo],MATCH(BD34,T_Equipos[NombreEquipo],0)))&amp;")")</f>
        <v>P.1 (4)</v>
      </c>
      <c r="CF34" s="758">
        <f t="shared" ca="1" si="43"/>
        <v>0</v>
      </c>
      <c r="CG34" s="758">
        <f ca="1">CD34+COUNTIFS($CE$6:$CE$53,CE34,$CF$6:CF$53,"&gt;"&amp;CF34,$BC$6:$BC$53,INDEX(T_Equipos[Grupo],MATCH(BD34,T_Equipos[NombreEquipo],0)))</f>
        <v>3</v>
      </c>
      <c r="CH34" s="757" t="str">
        <f ca="1">IF(COUNTIFS($CG$6:$CG$53,CG34,$BC$6:$BC$53,INDEX(T_Equipos[Grupo],MATCH(BD34,T_Equipos[NombreEquipo],0)))=1,"-","P."&amp;CG34&amp;" ("&amp;COUNTIFS($CG$6:$CG$53,CG34,$BC$6:$BC$53,INDEX(T_Equipos[Grupo],MATCH(BD34,T_Equipos[NombreEquipo],0)))&amp;")")</f>
        <v>P.3 (2)</v>
      </c>
      <c r="CI34" s="758">
        <f t="shared" ca="1" si="44"/>
        <v>0</v>
      </c>
      <c r="CJ34" s="758">
        <f t="shared" ca="1" si="45"/>
        <v>1</v>
      </c>
      <c r="CK34" s="758">
        <f t="shared" ca="1" si="46"/>
        <v>0</v>
      </c>
      <c r="CL34" s="758">
        <f t="shared" ca="1" si="47"/>
        <v>1</v>
      </c>
      <c r="CM34" s="758">
        <f ca="1">CG34+COUNTIFS($CH$6:$CH$53,CH34,$CL$6:CL$53,"&gt;"&amp;CL34,$BC$6:$BC$53,INDEX(T_Equipos[Grupo],MATCH(BD34,T_Equipos[NombreEquipo],0)))</f>
        <v>3</v>
      </c>
      <c r="CN34" s="757" t="str">
        <f ca="1">IF(COUNTIFS($CM$6:$CM$53,CM34,$BC$6:$BC$53,INDEX(T_Equipos[Grupo],MATCH(BD34,T_Equipos[NombreEquipo],0)))=1,"-","P."&amp;CM34&amp;" ("&amp;COUNTIFS($CM$6:$CM$53,CM34,$BC$6:$BC$53,INDEX(T_Equipos[Grupo],MATCH(BD34,T_Equipos[NombreEquipo],0)))&amp;")")</f>
        <v>P.3 (2)</v>
      </c>
      <c r="CO34" s="758">
        <f t="shared" ca="1" si="48"/>
        <v>0</v>
      </c>
      <c r="CP34" s="758">
        <f t="shared" ca="1" si="49"/>
        <v>0</v>
      </c>
      <c r="CQ34" s="758">
        <f t="shared" ca="1" si="50"/>
        <v>0</v>
      </c>
      <c r="CR34" s="758">
        <f ca="1">CM34+COUNTIFS($CN$6:$CN$53,CN34,$CQ$6:CQ$53,"&gt;"&amp;CQ34,$BC$6:$BC$53,INDEX(T_Equipos[Grupo],MATCH(BD34,T_Equipos[NombreEquipo],0)))</f>
        <v>3</v>
      </c>
      <c r="CS34" s="757" t="str">
        <f ca="1">IF(COUNTIFS($CR$6:$CR$53,CR34,$BC$6:$BC$53,INDEX(T_Equipos[Grupo],MATCH(BD34,T_Equipos[NombreEquipo],0)))=1,"-","P."&amp;CR34&amp;" ("&amp;COUNTIFS($CR$6:$CR$53,CR34,$BC$6:$BC$53,INDEX(T_Equipos[Grupo],MATCH(BD34,T_Equipos[NombreEquipo],0)))&amp;")")</f>
        <v>P.3 (2)</v>
      </c>
      <c r="CT34" s="758">
        <f t="shared" ca="1" si="51"/>
        <v>0</v>
      </c>
      <c r="CU34" s="758">
        <f ca="1">CR34+COUNTIFS($CS$6:$CS$53,CS34,$CT$6:CT$53,"&gt;"&amp;CT34,$BC$6:$BC$53,INDEX(T_Equipos[Grupo],MATCH(BD34,T_Equipos[NombreEquipo],0)))</f>
        <v>3</v>
      </c>
      <c r="CV34" s="757" t="str">
        <f ca="1">IF(COUNTIFS($CU$6:$CU$53,CU34,$BC$6:$BC$53,INDEX(T_Equipos[Grupo],MATCH(BD34,T_Equipos[NombreEquipo],0)))=1,"-","P."&amp;CU34&amp;" ("&amp;COUNTIFS($CU$6:$CU$53,CU34,$BC$6:$BC$53,INDEX(T_Equipos[Grupo],MATCH(BD34,T_Equipos[NombreEquipo],0)))&amp;")")</f>
        <v>P.3 (2)</v>
      </c>
      <c r="CW34" s="757">
        <f t="shared" ca="1" si="30"/>
        <v>0</v>
      </c>
      <c r="CX34" s="757">
        <f ca="1">CU34+COUNTIFS($CV$6:$CV$53,CV34,$CW$6:CW$53,"&gt;"&amp;CW34,$BC$6:$BC$53,INDEX(T_Equipos[Grupo],MATCH(BD34,T_Equipos[NombreEquipo],0)))</f>
        <v>3</v>
      </c>
      <c r="CY34" s="757" t="str">
        <f ca="1">IF(COUNTIFS($CX$6:$CX$53,CX34,$BC$6:$BC$53,INDEX(T_Equipos[Grupo],MATCH(BD34,T_Equipos[NombreEquipo],0)))=1,"-","P."&amp;CX34&amp;" ("&amp;COUNTIFS($CX$6:$CX$53,CX34,$BC$6:$BC$53,INDEX(T_Equipos[Grupo],MATCH(BD34,T_Equipos[NombreEquipo],0)))&amp;")")</f>
        <v>P.3 (2)</v>
      </c>
      <c r="CZ34" s="757">
        <f t="shared" ca="1" si="31"/>
        <v>0</v>
      </c>
      <c r="DA34" s="758">
        <f ca="1">CX34+COUNTIFS($CY$6:$CY$53,CY34,$CZ$6:CZ$53,"&gt;"&amp;CZ34,$BC$6:$BC$53,INDEX(T_Equipos[Grupo],MATCH(BD34,T_Equipos[NombreEquipo],0)))</f>
        <v>3</v>
      </c>
      <c r="DB34" s="757" t="str">
        <f ca="1">IF(COUNTIFS($DA$6:$DA$53,DA34,$BC$6:$BC$53,INDEX(T_Equipos[Grupo],MATCH(BD34,T_Equipos[NombreEquipo],0)))=1,"-","P."&amp;DA34&amp;" ("&amp;COUNTIFS($DA$6:$DA$53,DA34,$BC$6:$BC$53,INDEX(T_Equipos[Grupo],MATCH(BD34,T_Equipos[NombreEquipo],0)))&amp;")")</f>
        <v>P.3 (2)</v>
      </c>
      <c r="DC34" s="756">
        <f ca="1">IF(DB34="-","-",COUNTIFS(T_Equipos[Rank],"&lt;"&amp;INDEX(T_Equipos[Rank],MATCH(BD34,T_Equipos[NombreEquipo],0)),$BC$6:$BC$53,INDEX(T_Equipos[Grupo],MATCH(BD34,T_Equipos[NombreEquipo],0)))+1)</f>
        <v>1</v>
      </c>
      <c r="DD34" s="756">
        <f ca="1">DA34+COUNTIFS($DB$6:$DB$53,DB34,$DC$6:DC$53,"&lt;"&amp;DC34,$BC$6:$BC$53,INDEX(T_Equipos[Grupo],MATCH(BD34,T_Equipos[NombreEquipo],0)))</f>
        <v>3</v>
      </c>
      <c r="DE34" s="756"/>
      <c r="DF34" s="756">
        <f t="shared" ca="1" si="52"/>
        <v>3</v>
      </c>
      <c r="DG34" s="756">
        <f ca="1">IF(DB34="-","-",COUNTIFS(DF$6:DF$53,"&lt;"&amp;DF34,$BC$6:$BC$53,INDEX(T_Equipos[Grupo],MATCH(BD34,T_Equipos[NombreEquipo],0))))</f>
        <v>2</v>
      </c>
      <c r="DH34" s="756">
        <f ca="1">DA34+COUNTIFS(DB$6:DB$53,DB34,DG$6:DG$53,"&lt;"&amp;DG34,$BC$6:$BC$53,INDEX(T_Equipos[Grupo],MATCH(BD34,T_Equipos[NombreEquipo],0)))</f>
        <v>3</v>
      </c>
      <c r="DI34" s="744"/>
      <c r="DJ34" s="744">
        <f t="shared" ca="1" si="53"/>
        <v>1</v>
      </c>
      <c r="DK34" s="744">
        <f t="shared" ca="1" si="24"/>
        <v>4</v>
      </c>
      <c r="DL34" s="744">
        <f t="shared" ca="1" si="33"/>
        <v>1</v>
      </c>
      <c r="DM34" s="738" t="str">
        <f t="shared" ca="1" si="34"/>
        <v>1.1</v>
      </c>
      <c r="DN34" s="744" cm="1">
        <f t="array" aca="1" ref="DN34" ca="1">OFFSET(Horarios!$P$3,DJ34-1,0,DL34,1)</f>
        <v>1</v>
      </c>
      <c r="DO34" s="744"/>
      <c r="DP34" s="744" t="s">
        <v>670</v>
      </c>
      <c r="DQ34" s="744" t="str">
        <f t="shared" ca="1" si="35"/>
        <v>Arabia Saudita</v>
      </c>
      <c r="DR34" s="744"/>
      <c r="DS34" s="744"/>
      <c r="DT34" s="744" t="str">
        <f t="shared" si="15"/>
        <v>-</v>
      </c>
      <c r="DU34" s="744"/>
      <c r="DV34" s="744"/>
      <c r="DW34" s="8"/>
    </row>
    <row r="35" spans="1:127" ht="15" thickBot="1">
      <c r="A35" s="739"/>
      <c r="B35" s="742"/>
      <c r="C35" s="739"/>
      <c r="D35" s="739"/>
      <c r="E35" s="739"/>
      <c r="F35" s="739"/>
      <c r="G35" s="739"/>
      <c r="H35" s="739"/>
      <c r="I35" s="739"/>
      <c r="J35" s="739"/>
      <c r="K35" s="739"/>
      <c r="L35" s="739"/>
      <c r="M35" s="739"/>
      <c r="N35" s="744"/>
      <c r="O35" s="744"/>
      <c r="P35" s="744"/>
      <c r="Q35" s="744"/>
      <c r="R35" s="744"/>
      <c r="S35" s="744"/>
      <c r="T35" s="744"/>
      <c r="U35" s="744"/>
      <c r="V35" s="172"/>
      <c r="W35" s="179"/>
      <c r="X35" s="180" t="str">
        <f>X19</f>
        <v>Fecha</v>
      </c>
      <c r="Y35" s="180" t="str">
        <f>Y19</f>
        <v>Hora</v>
      </c>
      <c r="Z35" s="181" t="str">
        <f t="shared" ref="Z35:AA35" si="113">Z19</f>
        <v>Jor.</v>
      </c>
      <c r="AA35" s="182" t="str">
        <f t="shared" si="113"/>
        <v>Casa</v>
      </c>
      <c r="AB35" s="181"/>
      <c r="AC35" s="181" t="str">
        <f>AC3</f>
        <v>Gol</v>
      </c>
      <c r="AD35" s="181" t="str">
        <f>AD3</f>
        <v>Gol</v>
      </c>
      <c r="AE35" s="181"/>
      <c r="AF35" s="184" t="str">
        <f t="shared" ref="AF35" si="114">AF19</f>
        <v>Fuera</v>
      </c>
      <c r="AG35" s="414"/>
      <c r="AH35" s="196"/>
      <c r="AI35" s="18"/>
      <c r="AJ35" s="186"/>
      <c r="AK35" s="252"/>
      <c r="AL35" s="186"/>
      <c r="AM35" s="186"/>
      <c r="AN35" s="186"/>
      <c r="AO35" s="186"/>
      <c r="AP35" s="186"/>
      <c r="AQ35" s="186"/>
      <c r="AR35" s="186"/>
      <c r="AS35" s="186"/>
      <c r="AT35" s="186"/>
      <c r="AU35" s="421"/>
      <c r="AV35" s="22"/>
      <c r="AW35" s="429"/>
      <c r="AX35" s="253"/>
      <c r="AY35" s="242"/>
      <c r="AZ35" s="243"/>
      <c r="BA35" s="175"/>
      <c r="BB35" s="744"/>
      <c r="BC35" s="756" t="str">
        <f ca="1">+INDEX(T_Equipos[Grupo],MATCH(WORLDCUP!BD35,T_Equipos[NombreEquipo],0))</f>
        <v>H</v>
      </c>
      <c r="BD35" s="744" t="str">
        <f ca="1">+Equipos!B31</f>
        <v>Cabo Verde</v>
      </c>
      <c r="BE35" s="748">
        <f t="shared" ca="1" si="25"/>
        <v>1</v>
      </c>
      <c r="BF35" s="748">
        <f t="shared" ca="1" si="26"/>
        <v>1</v>
      </c>
      <c r="BG35" s="748">
        <f t="shared" ca="1" si="17"/>
        <v>0</v>
      </c>
      <c r="BH35" s="748">
        <f t="shared" ca="1" si="18"/>
        <v>1</v>
      </c>
      <c r="BI35" s="748">
        <f t="shared" ca="1" si="19"/>
        <v>0</v>
      </c>
      <c r="BJ35" s="748">
        <f t="shared" ca="1" si="20"/>
        <v>0</v>
      </c>
      <c r="BK35" s="748">
        <f t="shared" ca="1" si="21"/>
        <v>0</v>
      </c>
      <c r="BL35" s="748">
        <f t="shared" ca="1" si="27"/>
        <v>0</v>
      </c>
      <c r="BM35" s="748" t="str">
        <f t="shared" ca="1" si="22"/>
        <v>4H</v>
      </c>
      <c r="BN35" s="748" t="str">
        <f t="shared" ca="1" si="23"/>
        <v>4H</v>
      </c>
      <c r="BO35" s="758">
        <f t="shared" ca="1" si="28"/>
        <v>0</v>
      </c>
      <c r="BP35" s="757">
        <f ca="1">COUNTIFS($BO$6:$BO$53,"&gt;"&amp;BO35,$BC$6:$BC$53,INDEX(T_Equipos[Grupo],MATCH(BD35,T_Equipos[NombreEquipo],0)))+1</f>
        <v>1</v>
      </c>
      <c r="BQ35" s="757" t="str">
        <f ca="1">IF(COUNTIFS($BP$6:$BP$53,BP35,$BC$6:$BC$53,INDEX(T_Equipos[Grupo],MATCH(BD35,T_Equipos[NombreEquipo],0)))=1,"-","P."&amp;BP35&amp;" ("&amp;COUNTIFS($BP$6:$BP$53,BP35,$BC$6:$BC$53,INDEX(T_Equipos[Grupo],MATCH(BD35,T_Equipos[NombreEquipo],0)))&amp;")")</f>
        <v>P.1 (4)</v>
      </c>
      <c r="BR35" s="758">
        <f t="shared" ca="1" si="29"/>
        <v>1</v>
      </c>
      <c r="BS35" s="757">
        <f ca="1">BP35+COUNTIFS($BQ$6:$BQ$53,BQ35,$BR$6:BR$53,"&gt;"&amp;BR35,$BC$6:$BC$53,INDEX(T_Equipos[Grupo],MATCH(BD35,T_Equipos[NombreEquipo],0)))</f>
        <v>1</v>
      </c>
      <c r="BT35" s="757" t="str">
        <f ca="1">IF(COUNTIFS($BS$6:$BS$53,BS35,$BC$6:$BC$53,INDEX(T_Equipos[Grupo],MATCH(BD35,T_Equipos[NombreEquipo],0)))=1,"-","P."&amp;BS35&amp;" ("&amp;COUNTIFS($BS$6:$BS$53,BS35,$BC$6:$BC$53,INDEX(T_Equipos[Grupo],MATCH(BD35,T_Equipos[NombreEquipo],0)))&amp;")")</f>
        <v>P.1 (4)</v>
      </c>
      <c r="BU35" s="758">
        <f t="shared" ca="1" si="36"/>
        <v>0</v>
      </c>
      <c r="BV35" s="758">
        <f t="shared" ca="1" si="37"/>
        <v>1</v>
      </c>
      <c r="BW35" s="758">
        <f t="shared" ca="1" si="38"/>
        <v>0</v>
      </c>
      <c r="BX35" s="758">
        <f t="shared" ca="1" si="39"/>
        <v>1</v>
      </c>
      <c r="BY35" s="758">
        <f ca="1">BS35+COUNTIFS($BT$6:$BT$53,BT35,$BX$6:BX$53,"&gt;"&amp;BX35,$BC$6:$BC$53,INDEX(T_Equipos[Grupo],MATCH(BD35,T_Equipos[NombreEquipo],0)))</f>
        <v>1</v>
      </c>
      <c r="BZ35" s="757" t="str">
        <f ca="1">IF(COUNTIFS($BY$6:$BY$53,BY35,$BC$6:$BC$53,INDEX(T_Equipos[Grupo],MATCH(BD35,T_Equipos[NombreEquipo],0)))=1,"-","P."&amp;BY35&amp;" ("&amp;COUNTIFS($BY$6:$BY$53,BY35,$BC$6:$BC$53,INDEX(T_Equipos[Grupo],MATCH(BD35,T_Equipos[NombreEquipo],0)))&amp;")")</f>
        <v>P.1 (4)</v>
      </c>
      <c r="CA35" s="758">
        <f t="shared" ca="1" si="40"/>
        <v>0</v>
      </c>
      <c r="CB35" s="758">
        <f t="shared" ca="1" si="41"/>
        <v>0</v>
      </c>
      <c r="CC35" s="758">
        <f t="shared" ca="1" si="42"/>
        <v>0</v>
      </c>
      <c r="CD35" s="758">
        <f ca="1">BY35+COUNTIFS($BZ$6:$BZ$53,BZ35,$CC$6:CC$53,"&gt;"&amp;CC35,$BC$6:$BC$53,INDEX(T_Equipos[Grupo],MATCH(BD35,T_Equipos[NombreEquipo],0)))</f>
        <v>1</v>
      </c>
      <c r="CE35" s="757" t="str">
        <f ca="1">IF(COUNTIFS($CD$6:$CD$53,CD35,$BC$6:$BC$53,INDEX(T_Equipos[Grupo],MATCH(BD35,T_Equipos[NombreEquipo],0)))=1,"-","P."&amp;CD35&amp;" ("&amp;COUNTIFS($CD$6:$CD$53,CD35,$BC$6:$BC$53,INDEX(T_Equipos[Grupo],MATCH(BD35,T_Equipos[NombreEquipo],0)))&amp;")")</f>
        <v>P.1 (4)</v>
      </c>
      <c r="CF35" s="758">
        <f t="shared" ca="1" si="43"/>
        <v>0</v>
      </c>
      <c r="CG35" s="758">
        <f ca="1">CD35+COUNTIFS($CE$6:$CE$53,CE35,$CF$6:CF$53,"&gt;"&amp;CF35,$BC$6:$BC$53,INDEX(T_Equipos[Grupo],MATCH(BD35,T_Equipos[NombreEquipo],0)))</f>
        <v>3</v>
      </c>
      <c r="CH35" s="757" t="str">
        <f ca="1">IF(COUNTIFS($CG$6:$CG$53,CG35,$BC$6:$BC$53,INDEX(T_Equipos[Grupo],MATCH(BD35,T_Equipos[NombreEquipo],0)))=1,"-","P."&amp;CG35&amp;" ("&amp;COUNTIFS($CG$6:$CG$53,CG35,$BC$6:$BC$53,INDEX(T_Equipos[Grupo],MATCH(BD35,T_Equipos[NombreEquipo],0)))&amp;")")</f>
        <v>P.3 (2)</v>
      </c>
      <c r="CI35" s="758">
        <f t="shared" ca="1" si="44"/>
        <v>0</v>
      </c>
      <c r="CJ35" s="758">
        <f t="shared" ca="1" si="45"/>
        <v>1</v>
      </c>
      <c r="CK35" s="758">
        <f t="shared" ca="1" si="46"/>
        <v>0</v>
      </c>
      <c r="CL35" s="758">
        <f t="shared" ca="1" si="47"/>
        <v>1</v>
      </c>
      <c r="CM35" s="758">
        <f ca="1">CG35+COUNTIFS($CH$6:$CH$53,CH35,$CL$6:CL$53,"&gt;"&amp;CL35,$BC$6:$BC$53,INDEX(T_Equipos[Grupo],MATCH(BD35,T_Equipos[NombreEquipo],0)))</f>
        <v>3</v>
      </c>
      <c r="CN35" s="757" t="str">
        <f ca="1">IF(COUNTIFS($CM$6:$CM$53,CM35,$BC$6:$BC$53,INDEX(T_Equipos[Grupo],MATCH(BD35,T_Equipos[NombreEquipo],0)))=1,"-","P."&amp;CM35&amp;" ("&amp;COUNTIFS($CM$6:$CM$53,CM35,$BC$6:$BC$53,INDEX(T_Equipos[Grupo],MATCH(BD35,T_Equipos[NombreEquipo],0)))&amp;")")</f>
        <v>P.3 (2)</v>
      </c>
      <c r="CO35" s="758">
        <f t="shared" ca="1" si="48"/>
        <v>0</v>
      </c>
      <c r="CP35" s="758">
        <f t="shared" ca="1" si="49"/>
        <v>0</v>
      </c>
      <c r="CQ35" s="758">
        <f t="shared" ca="1" si="50"/>
        <v>0</v>
      </c>
      <c r="CR35" s="758">
        <f ca="1">CM35+COUNTIFS($CN$6:$CN$53,CN35,$CQ$6:CQ$53,"&gt;"&amp;CQ35,$BC$6:$BC$53,INDEX(T_Equipos[Grupo],MATCH(BD35,T_Equipos[NombreEquipo],0)))</f>
        <v>3</v>
      </c>
      <c r="CS35" s="757" t="str">
        <f ca="1">IF(COUNTIFS($CR$6:$CR$53,CR35,$BC$6:$BC$53,INDEX(T_Equipos[Grupo],MATCH(BD35,T_Equipos[NombreEquipo],0)))=1,"-","P."&amp;CR35&amp;" ("&amp;COUNTIFS($CR$6:$CR$53,CR35,$BC$6:$BC$53,INDEX(T_Equipos[Grupo],MATCH(BD35,T_Equipos[NombreEquipo],0)))&amp;")")</f>
        <v>P.3 (2)</v>
      </c>
      <c r="CT35" s="758">
        <f t="shared" ca="1" si="51"/>
        <v>0</v>
      </c>
      <c r="CU35" s="758">
        <f ca="1">CR35+COUNTIFS($CS$6:$CS$53,CS35,$CT$6:CT$53,"&gt;"&amp;CT35,$BC$6:$BC$53,INDEX(T_Equipos[Grupo],MATCH(BD35,T_Equipos[NombreEquipo],0)))</f>
        <v>3</v>
      </c>
      <c r="CV35" s="757" t="str">
        <f ca="1">IF(COUNTIFS($CU$6:$CU$53,CU35,$BC$6:$BC$53,INDEX(T_Equipos[Grupo],MATCH(BD35,T_Equipos[NombreEquipo],0)))=1,"-","P."&amp;CU35&amp;" ("&amp;COUNTIFS($CU$6:$CU$53,CU35,$BC$6:$BC$53,INDEX(T_Equipos[Grupo],MATCH(BD35,T_Equipos[NombreEquipo],0)))&amp;")")</f>
        <v>P.3 (2)</v>
      </c>
      <c r="CW35" s="757">
        <f t="shared" ca="1" si="30"/>
        <v>0</v>
      </c>
      <c r="CX35" s="757">
        <f ca="1">CU35+COUNTIFS($CV$6:$CV$53,CV35,$CW$6:CW$53,"&gt;"&amp;CW35,$BC$6:$BC$53,INDEX(T_Equipos[Grupo],MATCH(BD35,T_Equipos[NombreEquipo],0)))</f>
        <v>3</v>
      </c>
      <c r="CY35" s="757" t="str">
        <f ca="1">IF(COUNTIFS($CX$6:$CX$53,CX35,$BC$6:$BC$53,INDEX(T_Equipos[Grupo],MATCH(BD35,T_Equipos[NombreEquipo],0)))=1,"-","P."&amp;CX35&amp;" ("&amp;COUNTIFS($CX$6:$CX$53,CX35,$BC$6:$BC$53,INDEX(T_Equipos[Grupo],MATCH(BD35,T_Equipos[NombreEquipo],0)))&amp;")")</f>
        <v>P.3 (2)</v>
      </c>
      <c r="CZ35" s="757">
        <f t="shared" ca="1" si="31"/>
        <v>0</v>
      </c>
      <c r="DA35" s="758">
        <f ca="1">CX35+COUNTIFS($CY$6:$CY$53,CY35,$CZ$6:CZ$53,"&gt;"&amp;CZ35,$BC$6:$BC$53,INDEX(T_Equipos[Grupo],MATCH(BD35,T_Equipos[NombreEquipo],0)))</f>
        <v>3</v>
      </c>
      <c r="DB35" s="757" t="str">
        <f ca="1">IF(COUNTIFS($DA$6:$DA$53,DA35,$BC$6:$BC$53,INDEX(T_Equipos[Grupo],MATCH(BD35,T_Equipos[NombreEquipo],0)))=1,"-","P."&amp;DA35&amp;" ("&amp;COUNTIFS($DA$6:$DA$53,DA35,$BC$6:$BC$53,INDEX(T_Equipos[Grupo],MATCH(BD35,T_Equipos[NombreEquipo],0)))&amp;")")</f>
        <v>P.3 (2)</v>
      </c>
      <c r="DC35" s="756">
        <f ca="1">IF(DB35="-","-",COUNTIFS(T_Equipos[Rank],"&lt;"&amp;INDEX(T_Equipos[Rank],MATCH(BD35,T_Equipos[NombreEquipo],0)),$BC$6:$BC$53,INDEX(T_Equipos[Grupo],MATCH(BD35,T_Equipos[NombreEquipo],0)))+1)</f>
        <v>2</v>
      </c>
      <c r="DD35" s="756">
        <f ca="1">DA35+COUNTIFS($DB$6:$DB$53,DB35,$DC$6:DC$53,"&lt;"&amp;DC35,$BC$6:$BC$53,INDEX(T_Equipos[Grupo],MATCH(BD35,T_Equipos[NombreEquipo],0)))</f>
        <v>4</v>
      </c>
      <c r="DE35" s="756"/>
      <c r="DF35" s="756">
        <f t="shared" ca="1" si="52"/>
        <v>4</v>
      </c>
      <c r="DG35" s="756">
        <f ca="1">IF(DB35="-","-",COUNTIFS(DF$6:DF$53,"&lt;"&amp;DF35,$BC$6:$BC$53,INDEX(T_Equipos[Grupo],MATCH(BD35,T_Equipos[NombreEquipo],0))))</f>
        <v>3</v>
      </c>
      <c r="DH35" s="756">
        <f ca="1">DA35+COUNTIFS(DB$6:DB$53,DB35,DG$6:DG$53,"&lt;"&amp;DG35,$BC$6:$BC$53,INDEX(T_Equipos[Grupo],MATCH(BD35,T_Equipos[NombreEquipo],0)))</f>
        <v>4</v>
      </c>
      <c r="DI35" s="744"/>
      <c r="DJ35" s="744">
        <f t="shared" ca="1" si="53"/>
        <v>1</v>
      </c>
      <c r="DK35" s="744">
        <f t="shared" ca="1" si="24"/>
        <v>4</v>
      </c>
      <c r="DL35" s="744">
        <f t="shared" ca="1" si="33"/>
        <v>1</v>
      </c>
      <c r="DM35" s="738" t="str">
        <f t="shared" ca="1" si="34"/>
        <v>1.1</v>
      </c>
      <c r="DN35" s="744" cm="1">
        <f t="array" aca="1" ref="DN35" ca="1">OFFSET(Horarios!$P$3,DJ35-1,0,DL35,1)</f>
        <v>1</v>
      </c>
      <c r="DO35" s="744"/>
      <c r="DP35" s="744" t="s">
        <v>671</v>
      </c>
      <c r="DQ35" s="744" t="str">
        <f t="shared" ca="1" si="35"/>
        <v>Uruguay</v>
      </c>
      <c r="DR35" s="744"/>
      <c r="DS35" s="744"/>
      <c r="DT35" s="744" t="str">
        <f t="shared" si="15"/>
        <v>Casa-Fuera</v>
      </c>
      <c r="DU35" s="744"/>
      <c r="DV35" s="744"/>
      <c r="DW35" s="8"/>
    </row>
    <row r="36" spans="1:127" ht="15" customHeight="1" thickBot="1">
      <c r="A36" s="741" t="s">
        <v>30</v>
      </c>
      <c r="B36" s="742" t="s">
        <v>3</v>
      </c>
      <c r="C36" s="743">
        <f>COUNTIF(Equipos!$C$2:$C$49,WORLDCUP!B36)</f>
        <v>4</v>
      </c>
      <c r="D36" s="744" t="str">
        <f t="shared" ref="D36:D41" si="115">IF(OR(AC36="",AD36=""),"Pendiente",IF(AC36&gt;AD36,"Local",IF(AC36&lt;AD36,"Visitante","Empate")))</f>
        <v>Local</v>
      </c>
      <c r="E36" s="744" t="str">
        <f t="shared" ref="E36:E41" ca="1" si="116">IF(D36="Pendiente","-",INDEX($BT$6:$BT$53,MATCH($AA36,$BD$6:$BD$53,0)))</f>
        <v>P.1 (2)</v>
      </c>
      <c r="F36" s="744" t="str">
        <f t="shared" ref="F36:F41" ca="1" si="117">IF(D36="Pendiente","-",INDEX($BT$6:$BT$53,MATCH($AF36,$BD$6:$BD$53,0)))</f>
        <v>P.3 (2)</v>
      </c>
      <c r="G36" s="744"/>
      <c r="H36" s="744" t="str">
        <f t="shared" ref="H36:H41" ca="1" si="118">IF(D36="Pendiente","-",INDEX($BZ$6:$BZ$53,MATCH($AA36,$BD$6:$BD$53,0)))</f>
        <v>P.1 (2)</v>
      </c>
      <c r="I36" s="744" t="str">
        <f t="shared" ref="I36:I41" ca="1" si="119">IF(D36="Pendiente","-",INDEX($BZ$6:$BZ$53,MATCH($AF36,$BD$6:$BD$53,0)))</f>
        <v>P.3 (2)</v>
      </c>
      <c r="J36" s="744"/>
      <c r="K36" s="744" t="str">
        <f t="shared" ref="K36:K41" ca="1" si="120">IF(D36="Pendiente","-",INDEX($CE$6:$CE$53,MATCH($AA36,$BD$6:$BD$53,0)))</f>
        <v>P.1 (2)</v>
      </c>
      <c r="L36" s="744" t="str">
        <f t="shared" ref="L36:L41" ca="1" si="121">IF(D36="Pendiente","-",INDEX($CE$6:$CE$53,MATCH($AF36,$BD$6:$BD$53,0)))</f>
        <v>P.3 (2)</v>
      </c>
      <c r="M36" s="744"/>
      <c r="N36" s="744" t="str">
        <f t="shared" ref="N36:N41" ca="1" si="122">IF(D36="Pendiente","-",INDEX($CH$6:$CH$53,MATCH($AA36,$BD$6:$BD$53,0)))</f>
        <v>P.1 (2)</v>
      </c>
      <c r="O36" s="744" t="str">
        <f t="shared" ref="O36:O41" ca="1" si="123">IF(D36="Pendiente","-",INDEX($CH$6:$CH$53,MATCH($AF36,$BD$6:$BD$53,0)))</f>
        <v>P.3 (2)</v>
      </c>
      <c r="P36" s="744"/>
      <c r="Q36" s="744" t="str">
        <f t="shared" ref="Q36:Q41" ca="1" si="124">IF(D36="Pendiente","-",INDEX($CN$6:$CN$53,MATCH($AA36,$BD$6:$BD$53,0)))</f>
        <v>P.1 (2)</v>
      </c>
      <c r="R36" s="744" t="str">
        <f t="shared" ref="R36:R41" ca="1" si="125">IF(D36="Pendiente","-",INDEX($CN$6:$CN$53,MATCH($AF36,$BD$6:$BD$53,0)))</f>
        <v>P.3 (2)</v>
      </c>
      <c r="S36" s="744"/>
      <c r="T36" s="744" t="str">
        <f t="shared" ref="T36:T41" ca="1" si="126">IF(D36="Pendiente","-",INDEX($CS$6:$CS$53,MATCH($AA36,$BD$6:$BD$53,0)))</f>
        <v>P.1 (2)</v>
      </c>
      <c r="U36" s="744" t="str">
        <f t="shared" ref="U36:U41" ca="1" si="127">IF(D36="Pendiente","-",INDEX($CS$6:$CS$53,MATCH($AF36,$BD$6:$BD$53,0)))</f>
        <v>P.3 (2)</v>
      </c>
      <c r="V36" s="172"/>
      <c r="W36" s="813" t="s">
        <v>3</v>
      </c>
      <c r="X36" s="189">
        <f ca="1">Horarios!C36</f>
        <v>46187.791666666664</v>
      </c>
      <c r="Y36" s="190">
        <f ca="1">Horarios!C36</f>
        <v>46187.791666666664</v>
      </c>
      <c r="Z36" s="191" t="str">
        <f>$Z$4</f>
        <v>J1</v>
      </c>
      <c r="AA36" s="192" t="str">
        <f ca="1">A37</f>
        <v>Alemania</v>
      </c>
      <c r="AB36" s="478" t="e" cm="1" vm="17">
        <f t="array" aca="1" ref="AB36" ca="1">Ver_flag_local</f>
        <v>#VALUE!</v>
      </c>
      <c r="AC36" s="193">
        <v>7</v>
      </c>
      <c r="AD36" s="194">
        <v>1</v>
      </c>
      <c r="AE36" s="483" t="e" cm="1" vm="18">
        <f t="array" aca="1" ref="AE36" ca="1">Ver_flag_visit</f>
        <v>#VALUE!</v>
      </c>
      <c r="AF36" s="195" t="str">
        <f ca="1">A38</f>
        <v>Curazao</v>
      </c>
      <c r="AG36" s="413">
        <f t="shared" ref="AG36:AG41" si="128">IF(NOT(OR(ISBLANK(AC36),ISBLANK(AD36))),1,0)</f>
        <v>1</v>
      </c>
      <c r="AH36" s="196">
        <v>10</v>
      </c>
      <c r="AI36" s="19"/>
      <c r="AJ36" s="197" t="str">
        <f>CONCATENATE(AJ3," ",B36)</f>
        <v>Grupo E</v>
      </c>
      <c r="AK36" s="198"/>
      <c r="AL36" s="198"/>
      <c r="AM36" s="198"/>
      <c r="AN36" s="198"/>
      <c r="AO36" s="198"/>
      <c r="AP36" s="198"/>
      <c r="AQ36" s="198"/>
      <c r="AR36" s="198"/>
      <c r="AS36" s="198"/>
      <c r="AT36" s="199"/>
      <c r="AU36" s="421"/>
      <c r="AV36" s="200" t="str">
        <f t="shared" ref="AV36" ca="1" si="129">IF(AU37&gt;0,$AV$3,"")</f>
        <v/>
      </c>
      <c r="AW36" s="208"/>
      <c r="AX36" s="255"/>
      <c r="AY36" s="242"/>
      <c r="AZ36" s="243"/>
      <c r="BA36" s="175"/>
      <c r="BB36" s="744"/>
      <c r="BC36" s="756" t="str">
        <f ca="1">+INDEX(T_Equipos[Grupo],MATCH(WORLDCUP!BD36,T_Equipos[NombreEquipo],0))</f>
        <v>H</v>
      </c>
      <c r="BD36" s="744" t="str">
        <f ca="1">+Equipos!B32</f>
        <v>Arabia Saudita</v>
      </c>
      <c r="BE36" s="748">
        <f t="shared" ca="1" si="25"/>
        <v>1</v>
      </c>
      <c r="BF36" s="748">
        <f t="shared" ca="1" si="26"/>
        <v>1</v>
      </c>
      <c r="BG36" s="748">
        <f t="shared" ca="1" si="17"/>
        <v>0</v>
      </c>
      <c r="BH36" s="748">
        <f t="shared" ca="1" si="18"/>
        <v>1</v>
      </c>
      <c r="BI36" s="748">
        <f t="shared" ca="1" si="19"/>
        <v>0</v>
      </c>
      <c r="BJ36" s="748">
        <f t="shared" ca="1" si="20"/>
        <v>1</v>
      </c>
      <c r="BK36" s="748">
        <f t="shared" ca="1" si="21"/>
        <v>1</v>
      </c>
      <c r="BL36" s="748">
        <f t="shared" ca="1" si="27"/>
        <v>0</v>
      </c>
      <c r="BM36" s="748" t="str">
        <f t="shared" ca="1" si="22"/>
        <v>1H</v>
      </c>
      <c r="BN36" s="748" t="str">
        <f t="shared" ca="1" si="23"/>
        <v>1H</v>
      </c>
      <c r="BO36" s="758">
        <f t="shared" ca="1" si="28"/>
        <v>0</v>
      </c>
      <c r="BP36" s="757">
        <f ca="1">COUNTIFS($BO$6:$BO$53,"&gt;"&amp;BO36,$BC$6:$BC$53,INDEX(T_Equipos[Grupo],MATCH(BD36,T_Equipos[NombreEquipo],0)))+1</f>
        <v>1</v>
      </c>
      <c r="BQ36" s="757" t="str">
        <f ca="1">IF(COUNTIFS($BP$6:$BP$53,BP36,$BC$6:$BC$53,INDEX(T_Equipos[Grupo],MATCH(BD36,T_Equipos[NombreEquipo],0)))=1,"-","P."&amp;BP36&amp;" ("&amp;COUNTIFS($BP$6:$BP$53,BP36,$BC$6:$BC$53,INDEX(T_Equipos[Grupo],MATCH(BD36,T_Equipos[NombreEquipo],0)))&amp;")")</f>
        <v>P.1 (4)</v>
      </c>
      <c r="BR36" s="758">
        <f t="shared" ca="1" si="29"/>
        <v>1</v>
      </c>
      <c r="BS36" s="757">
        <f ca="1">BP36+COUNTIFS($BQ$6:$BQ$53,BQ36,$BR$6:BR$53,"&gt;"&amp;BR36,$BC$6:$BC$53,INDEX(T_Equipos[Grupo],MATCH(BD36,T_Equipos[NombreEquipo],0)))</f>
        <v>1</v>
      </c>
      <c r="BT36" s="757" t="str">
        <f ca="1">IF(COUNTIFS($BS$6:$BS$53,BS36,$BC$6:$BC$53,INDEX(T_Equipos[Grupo],MATCH(BD36,T_Equipos[NombreEquipo],0)))=1,"-","P."&amp;BS36&amp;" ("&amp;COUNTIFS($BS$6:$BS$53,BS36,$BC$6:$BC$53,INDEX(T_Equipos[Grupo],MATCH(BD36,T_Equipos[NombreEquipo],0)))&amp;")")</f>
        <v>P.1 (4)</v>
      </c>
      <c r="BU36" s="758">
        <f t="shared" ca="1" si="36"/>
        <v>0</v>
      </c>
      <c r="BV36" s="758">
        <f t="shared" ca="1" si="37"/>
        <v>1</v>
      </c>
      <c r="BW36" s="758">
        <f t="shared" ca="1" si="38"/>
        <v>0</v>
      </c>
      <c r="BX36" s="758">
        <f t="shared" ca="1" si="39"/>
        <v>1</v>
      </c>
      <c r="BY36" s="758">
        <f ca="1">BS36+COUNTIFS($BT$6:$BT$53,BT36,$BX$6:BX$53,"&gt;"&amp;BX36,$BC$6:$BC$53,INDEX(T_Equipos[Grupo],MATCH(BD36,T_Equipos[NombreEquipo],0)))</f>
        <v>1</v>
      </c>
      <c r="BZ36" s="757" t="str">
        <f ca="1">IF(COUNTIFS($BY$6:$BY$53,BY36,$BC$6:$BC$53,INDEX(T_Equipos[Grupo],MATCH(BD36,T_Equipos[NombreEquipo],0)))=1,"-","P."&amp;BY36&amp;" ("&amp;COUNTIFS($BY$6:$BY$53,BY36,$BC$6:$BC$53,INDEX(T_Equipos[Grupo],MATCH(BD36,T_Equipos[NombreEquipo],0)))&amp;")")</f>
        <v>P.1 (4)</v>
      </c>
      <c r="CA36" s="758">
        <f t="shared" ca="1" si="40"/>
        <v>1</v>
      </c>
      <c r="CB36" s="758">
        <f t="shared" ca="1" si="41"/>
        <v>1</v>
      </c>
      <c r="CC36" s="758">
        <f t="shared" ca="1" si="42"/>
        <v>0</v>
      </c>
      <c r="CD36" s="758">
        <f ca="1">BY36+COUNTIFS($BZ$6:$BZ$53,BZ36,$CC$6:CC$53,"&gt;"&amp;CC36,$BC$6:$BC$53,INDEX(T_Equipos[Grupo],MATCH(BD36,T_Equipos[NombreEquipo],0)))</f>
        <v>1</v>
      </c>
      <c r="CE36" s="757" t="str">
        <f ca="1">IF(COUNTIFS($CD$6:$CD$53,CD36,$BC$6:$BC$53,INDEX(T_Equipos[Grupo],MATCH(BD36,T_Equipos[NombreEquipo],0)))=1,"-","P."&amp;CD36&amp;" ("&amp;COUNTIFS($CD$6:$CD$53,CD36,$BC$6:$BC$53,INDEX(T_Equipos[Grupo],MATCH(BD36,T_Equipos[NombreEquipo],0)))&amp;")")</f>
        <v>P.1 (4)</v>
      </c>
      <c r="CF36" s="758">
        <f t="shared" ca="1" si="43"/>
        <v>1</v>
      </c>
      <c r="CG36" s="758">
        <f ca="1">CD36+COUNTIFS($CE$6:$CE$53,CE36,$CF$6:CF$53,"&gt;"&amp;CF36,$BC$6:$BC$53,INDEX(T_Equipos[Grupo],MATCH(BD36,T_Equipos[NombreEquipo],0)))</f>
        <v>1</v>
      </c>
      <c r="CH36" s="757" t="str">
        <f ca="1">IF(COUNTIFS($CG$6:$CG$53,CG36,$BC$6:$BC$53,INDEX(T_Equipos[Grupo],MATCH(BD36,T_Equipos[NombreEquipo],0)))=1,"-","P."&amp;CG36&amp;" ("&amp;COUNTIFS($CG$6:$CG$53,CG36,$BC$6:$BC$53,INDEX(T_Equipos[Grupo],MATCH(BD36,T_Equipos[NombreEquipo],0)))&amp;")")</f>
        <v>P.1 (2)</v>
      </c>
      <c r="CI36" s="758">
        <f t="shared" ca="1" si="44"/>
        <v>0</v>
      </c>
      <c r="CJ36" s="758">
        <f t="shared" ca="1" si="45"/>
        <v>1</v>
      </c>
      <c r="CK36" s="758">
        <f t="shared" ca="1" si="46"/>
        <v>0</v>
      </c>
      <c r="CL36" s="758">
        <f t="shared" ca="1" si="47"/>
        <v>1</v>
      </c>
      <c r="CM36" s="758">
        <f ca="1">CG36+COUNTIFS($CH$6:$CH$53,CH36,$CL$6:CL$53,"&gt;"&amp;CL36,$BC$6:$BC$53,INDEX(T_Equipos[Grupo],MATCH(BD36,T_Equipos[NombreEquipo],0)))</f>
        <v>1</v>
      </c>
      <c r="CN36" s="757" t="str">
        <f ca="1">IF(COUNTIFS($CM$6:$CM$53,CM36,$BC$6:$BC$53,INDEX(T_Equipos[Grupo],MATCH(BD36,T_Equipos[NombreEquipo],0)))=1,"-","P."&amp;CM36&amp;" ("&amp;COUNTIFS($CM$6:$CM$53,CM36,$BC$6:$BC$53,INDEX(T_Equipos[Grupo],MATCH(BD36,T_Equipos[NombreEquipo],0)))&amp;")")</f>
        <v>P.1 (2)</v>
      </c>
      <c r="CO36" s="758">
        <f t="shared" ca="1" si="48"/>
        <v>1</v>
      </c>
      <c r="CP36" s="758">
        <f t="shared" ca="1" si="49"/>
        <v>1</v>
      </c>
      <c r="CQ36" s="758">
        <f t="shared" ca="1" si="50"/>
        <v>0</v>
      </c>
      <c r="CR36" s="758">
        <f ca="1">CM36+COUNTIFS($CN$6:$CN$53,CN36,$CQ$6:CQ$53,"&gt;"&amp;CQ36,$BC$6:$BC$53,INDEX(T_Equipos[Grupo],MATCH(BD36,T_Equipos[NombreEquipo],0)))</f>
        <v>1</v>
      </c>
      <c r="CS36" s="757" t="str">
        <f ca="1">IF(COUNTIFS($CR$6:$CR$53,CR36,$BC$6:$BC$53,INDEX(T_Equipos[Grupo],MATCH(BD36,T_Equipos[NombreEquipo],0)))=1,"-","P."&amp;CR36&amp;" ("&amp;COUNTIFS($CR$6:$CR$53,CR36,$BC$6:$BC$53,INDEX(T_Equipos[Grupo],MATCH(BD36,T_Equipos[NombreEquipo],0)))&amp;")")</f>
        <v>P.1 (2)</v>
      </c>
      <c r="CT36" s="758">
        <f t="shared" ca="1" si="51"/>
        <v>1</v>
      </c>
      <c r="CU36" s="758">
        <f ca="1">CR36+COUNTIFS($CS$6:$CS$53,CS36,$CT$6:CT$53,"&gt;"&amp;CT36,$BC$6:$BC$53,INDEX(T_Equipos[Grupo],MATCH(BD36,T_Equipos[NombreEquipo],0)))</f>
        <v>1</v>
      </c>
      <c r="CV36" s="757" t="str">
        <f ca="1">IF(COUNTIFS($CU$6:$CU$53,CU36,$BC$6:$BC$53,INDEX(T_Equipos[Grupo],MATCH(BD36,T_Equipos[NombreEquipo],0)))=1,"-","P."&amp;CU36&amp;" ("&amp;COUNTIFS($CU$6:$CU$53,CU36,$BC$6:$BC$53,INDEX(T_Equipos[Grupo],MATCH(BD36,T_Equipos[NombreEquipo],0)))&amp;")")</f>
        <v>P.1 (2)</v>
      </c>
      <c r="CW36" s="757">
        <f t="shared" ca="1" si="30"/>
        <v>0</v>
      </c>
      <c r="CX36" s="757">
        <f ca="1">CU36+COUNTIFS($CV$6:$CV$53,CV36,$CW$6:CW$53,"&gt;"&amp;CW36,$BC$6:$BC$53,INDEX(T_Equipos[Grupo],MATCH(BD36,T_Equipos[NombreEquipo],0)))</f>
        <v>1</v>
      </c>
      <c r="CY36" s="757" t="str">
        <f ca="1">IF(COUNTIFS($CX$6:$CX$53,CX36,$BC$6:$BC$53,INDEX(T_Equipos[Grupo],MATCH(BD36,T_Equipos[NombreEquipo],0)))=1,"-","P."&amp;CX36&amp;" ("&amp;COUNTIFS($CX$6:$CX$53,CX36,$BC$6:$BC$53,INDEX(T_Equipos[Grupo],MATCH(BD36,T_Equipos[NombreEquipo],0)))&amp;")")</f>
        <v>P.1 (2)</v>
      </c>
      <c r="CZ36" s="757">
        <f t="shared" ca="1" si="31"/>
        <v>1</v>
      </c>
      <c r="DA36" s="758">
        <f ca="1">CX36+COUNTIFS($CY$6:$CY$53,CY36,$CZ$6:CZ$53,"&gt;"&amp;CZ36,$BC$6:$BC$53,INDEX(T_Equipos[Grupo],MATCH(BD36,T_Equipos[NombreEquipo],0)))</f>
        <v>1</v>
      </c>
      <c r="DB36" s="757" t="str">
        <f ca="1">IF(COUNTIFS($DA$6:$DA$53,DA36,$BC$6:$BC$53,INDEX(T_Equipos[Grupo],MATCH(BD36,T_Equipos[NombreEquipo],0)))=1,"-","P."&amp;DA36&amp;" ("&amp;COUNTIFS($DA$6:$DA$53,DA36,$BC$6:$BC$53,INDEX(T_Equipos[Grupo],MATCH(BD36,T_Equipos[NombreEquipo],0)))&amp;")")</f>
        <v>P.1 (2)</v>
      </c>
      <c r="DC36" s="756">
        <f ca="1">IF(DB36="-","-",COUNTIFS(T_Equipos[Rank],"&lt;"&amp;INDEX(T_Equipos[Rank],MATCH(BD36,T_Equipos[NombreEquipo],0)),$BC$6:$BC$53,INDEX(T_Equipos[Grupo],MATCH(BD36,T_Equipos[NombreEquipo],0)))+1)</f>
        <v>3</v>
      </c>
      <c r="DD36" s="756">
        <f ca="1">DA36+COUNTIFS($DB$6:$DB$53,DB36,$DC$6:DC$53,"&lt;"&amp;DC36,$BC$6:$BC$53,INDEX(T_Equipos[Grupo],MATCH(BD36,T_Equipos[NombreEquipo],0)))</f>
        <v>1</v>
      </c>
      <c r="DE36" s="756"/>
      <c r="DF36" s="756">
        <f t="shared" ca="1" si="52"/>
        <v>1</v>
      </c>
      <c r="DG36" s="756">
        <f ca="1">IF(DB36="-","-",COUNTIFS(DF$6:DF$53,"&lt;"&amp;DF36,$BC$6:$BC$53,INDEX(T_Equipos[Grupo],MATCH(BD36,T_Equipos[NombreEquipo],0))))</f>
        <v>0</v>
      </c>
      <c r="DH36" s="756">
        <f ca="1">DA36+COUNTIFS(DB$6:DB$53,DB36,DG$6:DG$53,"&lt;"&amp;DG36,$BC$6:$BC$53,INDEX(T_Equipos[Grupo],MATCH(BD36,T_Equipos[NombreEquipo],0)))</f>
        <v>1</v>
      </c>
      <c r="DI36" s="744"/>
      <c r="DJ36" s="744">
        <f t="shared" ca="1" si="53"/>
        <v>3</v>
      </c>
      <c r="DK36" s="744">
        <f t="shared" ca="1" si="24"/>
        <v>4</v>
      </c>
      <c r="DL36" s="744">
        <f t="shared" ca="1" si="33"/>
        <v>1</v>
      </c>
      <c r="DM36" s="738" t="str">
        <f t="shared" ca="1" si="34"/>
        <v>3.1</v>
      </c>
      <c r="DN36" s="744" cm="1">
        <f t="array" aca="1" ref="DN36" ca="1">OFFSET(Horarios!$P$3,DJ36-1,0,DL36,1)</f>
        <v>3</v>
      </c>
      <c r="DO36" s="744"/>
      <c r="DP36" s="744" t="s">
        <v>436</v>
      </c>
      <c r="DQ36" s="744" t="str">
        <f t="shared" ca="1" si="35"/>
        <v>España</v>
      </c>
      <c r="DR36" s="744"/>
      <c r="DS36" s="744"/>
      <c r="DT36" s="744" t="str">
        <f t="shared" ca="1" si="15"/>
        <v>Alemania-Curazao</v>
      </c>
      <c r="DU36" s="744"/>
      <c r="DV36" s="744"/>
      <c r="DW36" s="8"/>
    </row>
    <row r="37" spans="1:127" ht="16.05" customHeight="1">
      <c r="A37" s="745" t="str">
        <f ca="1">+Equipos!B18</f>
        <v>Alemania</v>
      </c>
      <c r="B37" s="742"/>
      <c r="C37" s="742"/>
      <c r="D37" s="744" t="str">
        <f t="shared" si="115"/>
        <v>Local</v>
      </c>
      <c r="E37" s="744" t="str">
        <f t="shared" ca="1" si="116"/>
        <v>P.1 (2)</v>
      </c>
      <c r="F37" s="744" t="str">
        <f t="shared" ca="1" si="117"/>
        <v>P.3 (2)</v>
      </c>
      <c r="G37" s="744"/>
      <c r="H37" s="744" t="str">
        <f t="shared" ca="1" si="118"/>
        <v>P.1 (2)</v>
      </c>
      <c r="I37" s="744" t="str">
        <f t="shared" ca="1" si="119"/>
        <v>P.3 (2)</v>
      </c>
      <c r="J37" s="744"/>
      <c r="K37" s="744" t="str">
        <f t="shared" ca="1" si="120"/>
        <v>P.1 (2)</v>
      </c>
      <c r="L37" s="744" t="str">
        <f t="shared" ca="1" si="121"/>
        <v>P.3 (2)</v>
      </c>
      <c r="M37" s="744"/>
      <c r="N37" s="744" t="str">
        <f t="shared" ca="1" si="122"/>
        <v>P.1 (2)</v>
      </c>
      <c r="O37" s="744" t="str">
        <f t="shared" ca="1" si="123"/>
        <v>P.3 (2)</v>
      </c>
      <c r="P37" s="744"/>
      <c r="Q37" s="744" t="str">
        <f t="shared" ca="1" si="124"/>
        <v>P.1 (2)</v>
      </c>
      <c r="R37" s="744" t="str">
        <f t="shared" ca="1" si="125"/>
        <v>P.3 (2)</v>
      </c>
      <c r="S37" s="744"/>
      <c r="T37" s="744" t="str">
        <f t="shared" ca="1" si="126"/>
        <v>P.1 (2)</v>
      </c>
      <c r="U37" s="744" t="str">
        <f t="shared" ca="1" si="127"/>
        <v>P.3 (2)</v>
      </c>
      <c r="V37" s="172"/>
      <c r="W37" s="813"/>
      <c r="X37" s="189">
        <f ca="1">Horarios!C37</f>
        <v>46188.041666666664</v>
      </c>
      <c r="Y37" s="190">
        <f ca="1">Horarios!C37</f>
        <v>46188.041666666664</v>
      </c>
      <c r="Z37" s="191" t="str">
        <f>$Z$4</f>
        <v>J1</v>
      </c>
      <c r="AA37" s="192" t="str">
        <f ca="1">A39</f>
        <v>Costa de Marfil</v>
      </c>
      <c r="AB37" s="478" t="e" cm="1" vm="19">
        <f t="array" aca="1" ref="AB37" ca="1">Ver_flag_local</f>
        <v>#VALUE!</v>
      </c>
      <c r="AC37" s="193">
        <v>1</v>
      </c>
      <c r="AD37" s="194">
        <v>0</v>
      </c>
      <c r="AE37" s="483" t="e" cm="1" vm="20">
        <f t="array" aca="1" ref="AE37" ca="1">Ver_flag_visit</f>
        <v>#VALUE!</v>
      </c>
      <c r="AF37" s="195" t="str">
        <f ca="1">A40</f>
        <v>Ecuador</v>
      </c>
      <c r="AG37" s="413">
        <f t="shared" si="128"/>
        <v>1</v>
      </c>
      <c r="AH37" s="196">
        <v>9</v>
      </c>
      <c r="AI37" s="19"/>
      <c r="AJ37" s="204" t="str">
        <f>AJ5</f>
        <v>Pos</v>
      </c>
      <c r="AK37" s="205"/>
      <c r="AL37" s="206" t="str">
        <f t="shared" ref="AL37:AT37" si="130">AL5</f>
        <v>Selección</v>
      </c>
      <c r="AM37" s="205" t="str">
        <f t="shared" si="130"/>
        <v>Pts</v>
      </c>
      <c r="AN37" s="205" t="str">
        <f t="shared" si="130"/>
        <v>J</v>
      </c>
      <c r="AO37" s="205" t="str">
        <f t="shared" si="130"/>
        <v>G</v>
      </c>
      <c r="AP37" s="205" t="str">
        <f t="shared" si="130"/>
        <v>E</v>
      </c>
      <c r="AQ37" s="205" t="str">
        <f t="shared" si="130"/>
        <v>P</v>
      </c>
      <c r="AR37" s="205" t="str">
        <f t="shared" si="130"/>
        <v>GF</v>
      </c>
      <c r="AS37" s="205" t="str">
        <f t="shared" si="130"/>
        <v>GC</v>
      </c>
      <c r="AT37" s="207" t="str">
        <f t="shared" si="130"/>
        <v>DG</v>
      </c>
      <c r="AU37" s="421">
        <f t="shared" ref="AU37" ca="1" si="131">COUNTIF(AU38:AU41,"&gt;1")</f>
        <v>0</v>
      </c>
      <c r="AV37" s="208"/>
      <c r="AW37" s="208"/>
      <c r="AX37" s="255"/>
      <c r="AY37" s="209" t="str">
        <f>AL37</f>
        <v>Selección</v>
      </c>
      <c r="AZ37" s="210" t="str">
        <f>+Idiomas!$D$69</f>
        <v>Puntos penalizados</v>
      </c>
      <c r="BA37" s="175"/>
      <c r="BB37" s="744"/>
      <c r="BC37" s="756" t="str">
        <f ca="1">+INDEX(T_Equipos[Grupo],MATCH(WORLDCUP!BD37,T_Equipos[NombreEquipo],0))</f>
        <v>H</v>
      </c>
      <c r="BD37" s="744" t="str">
        <f ca="1">+Equipos!B33</f>
        <v>Uruguay</v>
      </c>
      <c r="BE37" s="748">
        <f t="shared" ca="1" si="25"/>
        <v>1</v>
      </c>
      <c r="BF37" s="748">
        <f t="shared" ca="1" si="26"/>
        <v>1</v>
      </c>
      <c r="BG37" s="748">
        <f t="shared" ca="1" si="17"/>
        <v>0</v>
      </c>
      <c r="BH37" s="748">
        <f t="shared" ca="1" si="18"/>
        <v>1</v>
      </c>
      <c r="BI37" s="748">
        <f t="shared" ca="1" si="19"/>
        <v>0</v>
      </c>
      <c r="BJ37" s="748">
        <f t="shared" ca="1" si="20"/>
        <v>1</v>
      </c>
      <c r="BK37" s="748">
        <f t="shared" ca="1" si="21"/>
        <v>1</v>
      </c>
      <c r="BL37" s="748">
        <f t="shared" ca="1" si="27"/>
        <v>0</v>
      </c>
      <c r="BM37" s="748" t="str">
        <f t="shared" ca="1" si="22"/>
        <v>2H</v>
      </c>
      <c r="BN37" s="748" t="str">
        <f t="shared" ca="1" si="23"/>
        <v>2H</v>
      </c>
      <c r="BO37" s="758">
        <f t="shared" ca="1" si="28"/>
        <v>0</v>
      </c>
      <c r="BP37" s="757">
        <f ca="1">COUNTIFS($BO$6:$BO$53,"&gt;"&amp;BO37,$BC$6:$BC$53,INDEX(T_Equipos[Grupo],MATCH(BD37,T_Equipos[NombreEquipo],0)))+1</f>
        <v>1</v>
      </c>
      <c r="BQ37" s="757" t="str">
        <f ca="1">IF(COUNTIFS($BP$6:$BP$53,BP37,$BC$6:$BC$53,INDEX(T_Equipos[Grupo],MATCH(BD37,T_Equipos[NombreEquipo],0)))=1,"-","P."&amp;BP37&amp;" ("&amp;COUNTIFS($BP$6:$BP$53,BP37,$BC$6:$BC$53,INDEX(T_Equipos[Grupo],MATCH(BD37,T_Equipos[NombreEquipo],0)))&amp;")")</f>
        <v>P.1 (4)</v>
      </c>
      <c r="BR37" s="758">
        <f t="shared" ca="1" si="29"/>
        <v>1</v>
      </c>
      <c r="BS37" s="757">
        <f ca="1">BP37+COUNTIFS($BQ$6:$BQ$53,BQ37,$BR$6:BR$53,"&gt;"&amp;BR37,$BC$6:$BC$53,INDEX(T_Equipos[Grupo],MATCH(BD37,T_Equipos[NombreEquipo],0)))</f>
        <v>1</v>
      </c>
      <c r="BT37" s="757" t="str">
        <f ca="1">IF(COUNTIFS($BS$6:$BS$53,BS37,$BC$6:$BC$53,INDEX(T_Equipos[Grupo],MATCH(BD37,T_Equipos[NombreEquipo],0)))=1,"-","P."&amp;BS37&amp;" ("&amp;COUNTIFS($BS$6:$BS$53,BS37,$BC$6:$BC$53,INDEX(T_Equipos[Grupo],MATCH(BD37,T_Equipos[NombreEquipo],0)))&amp;")")</f>
        <v>P.1 (4)</v>
      </c>
      <c r="BU37" s="758">
        <f t="shared" ca="1" si="36"/>
        <v>0</v>
      </c>
      <c r="BV37" s="758">
        <f t="shared" ca="1" si="37"/>
        <v>1</v>
      </c>
      <c r="BW37" s="758">
        <f t="shared" ca="1" si="38"/>
        <v>0</v>
      </c>
      <c r="BX37" s="758">
        <f t="shared" ca="1" si="39"/>
        <v>1</v>
      </c>
      <c r="BY37" s="758">
        <f ca="1">BS37+COUNTIFS($BT$6:$BT$53,BT37,$BX$6:BX$53,"&gt;"&amp;BX37,$BC$6:$BC$53,INDEX(T_Equipos[Grupo],MATCH(BD37,T_Equipos[NombreEquipo],0)))</f>
        <v>1</v>
      </c>
      <c r="BZ37" s="757" t="str">
        <f ca="1">IF(COUNTIFS($BY$6:$BY$53,BY37,$BC$6:$BC$53,INDEX(T_Equipos[Grupo],MATCH(BD37,T_Equipos[NombreEquipo],0)))=1,"-","P."&amp;BY37&amp;" ("&amp;COUNTIFS($BY$6:$BY$53,BY37,$BC$6:$BC$53,INDEX(T_Equipos[Grupo],MATCH(BD37,T_Equipos[NombreEquipo],0)))&amp;")")</f>
        <v>P.1 (4)</v>
      </c>
      <c r="CA37" s="758">
        <f t="shared" ca="1" si="40"/>
        <v>1</v>
      </c>
      <c r="CB37" s="758">
        <f t="shared" ca="1" si="41"/>
        <v>1</v>
      </c>
      <c r="CC37" s="758">
        <f t="shared" ca="1" si="42"/>
        <v>0</v>
      </c>
      <c r="CD37" s="758">
        <f ca="1">BY37+COUNTIFS($BZ$6:$BZ$53,BZ37,$CC$6:CC$53,"&gt;"&amp;CC37,$BC$6:$BC$53,INDEX(T_Equipos[Grupo],MATCH(BD37,T_Equipos[NombreEquipo],0)))</f>
        <v>1</v>
      </c>
      <c r="CE37" s="757" t="str">
        <f ca="1">IF(COUNTIFS($CD$6:$CD$53,CD37,$BC$6:$BC$53,INDEX(T_Equipos[Grupo],MATCH(BD37,T_Equipos[NombreEquipo],0)))=1,"-","P."&amp;CD37&amp;" ("&amp;COUNTIFS($CD$6:$CD$53,CD37,$BC$6:$BC$53,INDEX(T_Equipos[Grupo],MATCH(BD37,T_Equipos[NombreEquipo],0)))&amp;")")</f>
        <v>P.1 (4)</v>
      </c>
      <c r="CF37" s="758">
        <f t="shared" ca="1" si="43"/>
        <v>1</v>
      </c>
      <c r="CG37" s="758">
        <f ca="1">CD37+COUNTIFS($CE$6:$CE$53,CE37,$CF$6:CF$53,"&gt;"&amp;CF37,$BC$6:$BC$53,INDEX(T_Equipos[Grupo],MATCH(BD37,T_Equipos[NombreEquipo],0)))</f>
        <v>1</v>
      </c>
      <c r="CH37" s="757" t="str">
        <f ca="1">IF(COUNTIFS($CG$6:$CG$53,CG37,$BC$6:$BC$53,INDEX(T_Equipos[Grupo],MATCH(BD37,T_Equipos[NombreEquipo],0)))=1,"-","P."&amp;CG37&amp;" ("&amp;COUNTIFS($CG$6:$CG$53,CG37,$BC$6:$BC$53,INDEX(T_Equipos[Grupo],MATCH(BD37,T_Equipos[NombreEquipo],0)))&amp;")")</f>
        <v>P.1 (2)</v>
      </c>
      <c r="CI37" s="758">
        <f t="shared" ca="1" si="44"/>
        <v>0</v>
      </c>
      <c r="CJ37" s="758">
        <f t="shared" ca="1" si="45"/>
        <v>1</v>
      </c>
      <c r="CK37" s="758">
        <f t="shared" ca="1" si="46"/>
        <v>0</v>
      </c>
      <c r="CL37" s="758">
        <f t="shared" ca="1" si="47"/>
        <v>1</v>
      </c>
      <c r="CM37" s="758">
        <f ca="1">CG37+COUNTIFS($CH$6:$CH$53,CH37,$CL$6:CL$53,"&gt;"&amp;CL37,$BC$6:$BC$53,INDEX(T_Equipos[Grupo],MATCH(BD37,T_Equipos[NombreEquipo],0)))</f>
        <v>1</v>
      </c>
      <c r="CN37" s="757" t="str">
        <f ca="1">IF(COUNTIFS($CM$6:$CM$53,CM37,$BC$6:$BC$53,INDEX(T_Equipos[Grupo],MATCH(BD37,T_Equipos[NombreEquipo],0)))=1,"-","P."&amp;CM37&amp;" ("&amp;COUNTIFS($CM$6:$CM$53,CM37,$BC$6:$BC$53,INDEX(T_Equipos[Grupo],MATCH(BD37,T_Equipos[NombreEquipo],0)))&amp;")")</f>
        <v>P.1 (2)</v>
      </c>
      <c r="CO37" s="758">
        <f t="shared" ca="1" si="48"/>
        <v>1</v>
      </c>
      <c r="CP37" s="758">
        <f t="shared" ca="1" si="49"/>
        <v>1</v>
      </c>
      <c r="CQ37" s="758">
        <f t="shared" ca="1" si="50"/>
        <v>0</v>
      </c>
      <c r="CR37" s="758">
        <f ca="1">CM37+COUNTIFS($CN$6:$CN$53,CN37,$CQ$6:CQ$53,"&gt;"&amp;CQ37,$BC$6:$BC$53,INDEX(T_Equipos[Grupo],MATCH(BD37,T_Equipos[NombreEquipo],0)))</f>
        <v>1</v>
      </c>
      <c r="CS37" s="757" t="str">
        <f ca="1">IF(COUNTIFS($CR$6:$CR$53,CR37,$BC$6:$BC$53,INDEX(T_Equipos[Grupo],MATCH(BD37,T_Equipos[NombreEquipo],0)))=1,"-","P."&amp;CR37&amp;" ("&amp;COUNTIFS($CR$6:$CR$53,CR37,$BC$6:$BC$53,INDEX(T_Equipos[Grupo],MATCH(BD37,T_Equipos[NombreEquipo],0)))&amp;")")</f>
        <v>P.1 (2)</v>
      </c>
      <c r="CT37" s="758">
        <f t="shared" ca="1" si="51"/>
        <v>1</v>
      </c>
      <c r="CU37" s="758">
        <f ca="1">CR37+COUNTIFS($CS$6:$CS$53,CS37,$CT$6:CT$53,"&gt;"&amp;CT37,$BC$6:$BC$53,INDEX(T_Equipos[Grupo],MATCH(BD37,T_Equipos[NombreEquipo],0)))</f>
        <v>1</v>
      </c>
      <c r="CV37" s="757" t="str">
        <f ca="1">IF(COUNTIFS($CU$6:$CU$53,CU37,$BC$6:$BC$53,INDEX(T_Equipos[Grupo],MATCH(BD37,T_Equipos[NombreEquipo],0)))=1,"-","P."&amp;CU37&amp;" ("&amp;COUNTIFS($CU$6:$CU$53,CU37,$BC$6:$BC$53,INDEX(T_Equipos[Grupo],MATCH(BD37,T_Equipos[NombreEquipo],0)))&amp;")")</f>
        <v>P.1 (2)</v>
      </c>
      <c r="CW37" s="757">
        <f t="shared" ca="1" si="30"/>
        <v>0</v>
      </c>
      <c r="CX37" s="757">
        <f ca="1">CU37+COUNTIFS($CV$6:$CV$53,CV37,$CW$6:CW$53,"&gt;"&amp;CW37,$BC$6:$BC$53,INDEX(T_Equipos[Grupo],MATCH(BD37,T_Equipos[NombreEquipo],0)))</f>
        <v>1</v>
      </c>
      <c r="CY37" s="757" t="str">
        <f ca="1">IF(COUNTIFS($CX$6:$CX$53,CX37,$BC$6:$BC$53,INDEX(T_Equipos[Grupo],MATCH(BD37,T_Equipos[NombreEquipo],0)))=1,"-","P."&amp;CX37&amp;" ("&amp;COUNTIFS($CX$6:$CX$53,CX37,$BC$6:$BC$53,INDEX(T_Equipos[Grupo],MATCH(BD37,T_Equipos[NombreEquipo],0)))&amp;")")</f>
        <v>P.1 (2)</v>
      </c>
      <c r="CZ37" s="757">
        <f t="shared" ca="1" si="31"/>
        <v>1</v>
      </c>
      <c r="DA37" s="758">
        <f ca="1">CX37+COUNTIFS($CY$6:$CY$53,CY37,$CZ$6:CZ$53,"&gt;"&amp;CZ37,$BC$6:$BC$53,INDEX(T_Equipos[Grupo],MATCH(BD37,T_Equipos[NombreEquipo],0)))</f>
        <v>1</v>
      </c>
      <c r="DB37" s="757" t="str">
        <f ca="1">IF(COUNTIFS($DA$6:$DA$53,DA37,$BC$6:$BC$53,INDEX(T_Equipos[Grupo],MATCH(BD37,T_Equipos[NombreEquipo],0)))=1,"-","P."&amp;DA37&amp;" ("&amp;COUNTIFS($DA$6:$DA$53,DA37,$BC$6:$BC$53,INDEX(T_Equipos[Grupo],MATCH(BD37,T_Equipos[NombreEquipo],0)))&amp;")")</f>
        <v>P.1 (2)</v>
      </c>
      <c r="DC37" s="756">
        <f ca="1">IF(DB37="-","-",COUNTIFS(T_Equipos[Rank],"&lt;"&amp;INDEX(T_Equipos[Rank],MATCH(BD37,T_Equipos[NombreEquipo],0)),$BC$6:$BC$53,INDEX(T_Equipos[Grupo],MATCH(BD37,T_Equipos[NombreEquipo],0)))+1)</f>
        <v>4</v>
      </c>
      <c r="DD37" s="756">
        <f ca="1">DA37+COUNTIFS($DB$6:$DB$53,DB37,$DC$6:DC$53,"&lt;"&amp;DC37,$BC$6:$BC$53,INDEX(T_Equipos[Grupo],MATCH(BD37,T_Equipos[NombreEquipo],0)))</f>
        <v>2</v>
      </c>
      <c r="DE37" s="756"/>
      <c r="DF37" s="756">
        <f t="shared" ca="1" si="52"/>
        <v>2</v>
      </c>
      <c r="DG37" s="756">
        <f ca="1">IF(DB37="-","-",COUNTIFS(DF$6:DF$53,"&lt;"&amp;DF37,$BC$6:$BC$53,INDEX(T_Equipos[Grupo],MATCH(BD37,T_Equipos[NombreEquipo],0))))</f>
        <v>1</v>
      </c>
      <c r="DH37" s="756">
        <f ca="1">DA37+COUNTIFS(DB$6:DB$53,DB37,DG$6:DG$53,"&lt;"&amp;DG37,$BC$6:$BC$53,INDEX(T_Equipos[Grupo],MATCH(BD37,T_Equipos[NombreEquipo],0)))</f>
        <v>2</v>
      </c>
      <c r="DI37" s="744"/>
      <c r="DJ37" s="744">
        <f t="shared" ca="1" si="53"/>
        <v>3</v>
      </c>
      <c r="DK37" s="744">
        <f t="shared" ca="1" si="24"/>
        <v>4</v>
      </c>
      <c r="DL37" s="744">
        <f t="shared" ca="1" si="33"/>
        <v>1</v>
      </c>
      <c r="DM37" s="738" t="str">
        <f t="shared" ca="1" si="34"/>
        <v>3.1</v>
      </c>
      <c r="DN37" s="744" cm="1">
        <f t="array" aca="1" ref="DN37" ca="1">OFFSET(Horarios!$P$3,DJ37-1,0,DL37,1)</f>
        <v>3</v>
      </c>
      <c r="DO37" s="744"/>
      <c r="DP37" s="744" t="s">
        <v>672</v>
      </c>
      <c r="DQ37" s="744" t="str">
        <f t="shared" ca="1" si="35"/>
        <v>Cabo Verde</v>
      </c>
      <c r="DR37" s="744"/>
      <c r="DS37" s="744"/>
      <c r="DT37" s="744" t="str">
        <f t="shared" ca="1" si="15"/>
        <v>Costa de Marfil-Ecuador</v>
      </c>
      <c r="DU37" s="744"/>
      <c r="DV37" s="744"/>
      <c r="DW37" s="8"/>
    </row>
    <row r="38" spans="1:127" ht="16.05" customHeight="1">
      <c r="A38" s="745" t="str">
        <f ca="1">+Equipos!B19</f>
        <v>Curazao</v>
      </c>
      <c r="B38" s="742"/>
      <c r="C38" s="746"/>
      <c r="D38" s="744" t="str">
        <f t="shared" si="115"/>
        <v>Pendiente</v>
      </c>
      <c r="E38" s="744" t="str">
        <f t="shared" si="116"/>
        <v>-</v>
      </c>
      <c r="F38" s="744" t="str">
        <f t="shared" si="117"/>
        <v>-</v>
      </c>
      <c r="G38" s="744"/>
      <c r="H38" s="744" t="str">
        <f t="shared" si="118"/>
        <v>-</v>
      </c>
      <c r="I38" s="744" t="str">
        <f t="shared" si="119"/>
        <v>-</v>
      </c>
      <c r="J38" s="744"/>
      <c r="K38" s="744" t="str">
        <f t="shared" si="120"/>
        <v>-</v>
      </c>
      <c r="L38" s="744" t="str">
        <f t="shared" si="121"/>
        <v>-</v>
      </c>
      <c r="M38" s="744"/>
      <c r="N38" s="744" t="str">
        <f t="shared" si="122"/>
        <v>-</v>
      </c>
      <c r="O38" s="744" t="str">
        <f t="shared" si="123"/>
        <v>-</v>
      </c>
      <c r="P38" s="744"/>
      <c r="Q38" s="744" t="str">
        <f t="shared" si="124"/>
        <v>-</v>
      </c>
      <c r="R38" s="744" t="str">
        <f t="shared" si="125"/>
        <v>-</v>
      </c>
      <c r="S38" s="744"/>
      <c r="T38" s="744" t="str">
        <f t="shared" si="126"/>
        <v>-</v>
      </c>
      <c r="U38" s="744" t="str">
        <f t="shared" si="127"/>
        <v>-</v>
      </c>
      <c r="V38" s="172"/>
      <c r="W38" s="813"/>
      <c r="X38" s="189">
        <f ca="1">Horarios!C38</f>
        <v>46193.916666666664</v>
      </c>
      <c r="Y38" s="190">
        <f ca="1">Horarios!C38</f>
        <v>46193.916666666664</v>
      </c>
      <c r="Z38" s="191" t="str">
        <f>$Z$6</f>
        <v>J2</v>
      </c>
      <c r="AA38" s="192" t="str">
        <f ca="1">A37</f>
        <v>Alemania</v>
      </c>
      <c r="AB38" s="478" t="e" cm="1" vm="17">
        <f t="array" aca="1" ref="AB38" ca="1">Ver_flag_local</f>
        <v>#VALUE!</v>
      </c>
      <c r="AC38" s="193"/>
      <c r="AD38" s="194"/>
      <c r="AE38" s="483" t="e" cm="1" vm="19">
        <f t="array" aca="1" ref="AE38" ca="1">Ver_flag_visit</f>
        <v>#VALUE!</v>
      </c>
      <c r="AF38" s="195" t="str">
        <f ca="1">A39</f>
        <v>Costa de Marfil</v>
      </c>
      <c r="AG38" s="413">
        <f t="shared" si="128"/>
        <v>0</v>
      </c>
      <c r="AH38" s="196">
        <v>33</v>
      </c>
      <c r="AI38" s="19" t="str">
        <f>AJ38&amp;$B$36</f>
        <v>1E</v>
      </c>
      <c r="AJ38" s="211">
        <v>1</v>
      </c>
      <c r="AK38" s="488" t="e" cm="1" vm="17">
        <f t="array" aca="1" ref="AK38" ca="1">Ver_flag_visit</f>
        <v>#VALUE!</v>
      </c>
      <c r="AL38" s="212" t="str">
        <f ca="1">IFERROR(INDEX($BD$6:$BD$53,MATCH(AI38,$BN$6:$BN$53,0)),"")</f>
        <v>Alemania</v>
      </c>
      <c r="AM38" s="213">
        <f t="shared" ref="AM38:AT41" ca="1" si="132">INDEX($BE$6:$BN$53,MATCH($AL38,$BD$6:$BD$53,0),MATCH(AM$5,$BE$5:$BN$5,0))</f>
        <v>3</v>
      </c>
      <c r="AN38" s="214">
        <f t="shared" ca="1" si="132"/>
        <v>1</v>
      </c>
      <c r="AO38" s="214">
        <f t="shared" ca="1" si="132"/>
        <v>1</v>
      </c>
      <c r="AP38" s="214">
        <f t="shared" ca="1" si="132"/>
        <v>0</v>
      </c>
      <c r="AQ38" s="214">
        <f t="shared" ca="1" si="132"/>
        <v>0</v>
      </c>
      <c r="AR38" s="214">
        <f t="shared" ca="1" si="132"/>
        <v>7</v>
      </c>
      <c r="AS38" s="214">
        <f t="shared" ca="1" si="132"/>
        <v>1</v>
      </c>
      <c r="AT38" s="215">
        <f t="shared" ca="1" si="132"/>
        <v>6</v>
      </c>
      <c r="AU38" s="420">
        <f ca="1">INDEX($DL$6:$DL$53,MATCH(AI38,$DP$6:$DP$53,0))</f>
        <v>1</v>
      </c>
      <c r="AV38" s="217" t="str">
        <f ca="1">INDEX($BD$6:$BD$53,MATCH(AI38,$BM$6:$BM$53,0))</f>
        <v>Alemania</v>
      </c>
      <c r="AW38" s="427"/>
      <c r="AX38" s="218"/>
      <c r="AY38" s="219" t="str">
        <f ca="1">+A37</f>
        <v>Alemania</v>
      </c>
      <c r="AZ38" s="220"/>
      <c r="BA38" s="175"/>
      <c r="BB38" s="744"/>
      <c r="BC38" s="756" t="str">
        <f ca="1">+INDEX(T_Equipos[Grupo],MATCH(WORLDCUP!BD38,T_Equipos[NombreEquipo],0))</f>
        <v>I</v>
      </c>
      <c r="BD38" s="744" t="str">
        <f ca="1">+Equipos!B34</f>
        <v>Francia</v>
      </c>
      <c r="BE38" s="748">
        <f t="shared" ca="1" si="25"/>
        <v>3</v>
      </c>
      <c r="BF38" s="748">
        <f t="shared" ca="1" si="26"/>
        <v>1</v>
      </c>
      <c r="BG38" s="748">
        <f t="shared" ca="1" si="17"/>
        <v>1</v>
      </c>
      <c r="BH38" s="748">
        <f t="shared" ca="1" si="18"/>
        <v>0</v>
      </c>
      <c r="BI38" s="748">
        <f t="shared" ca="1" si="19"/>
        <v>0</v>
      </c>
      <c r="BJ38" s="748">
        <f t="shared" ca="1" si="20"/>
        <v>3</v>
      </c>
      <c r="BK38" s="748">
        <f t="shared" ca="1" si="21"/>
        <v>1</v>
      </c>
      <c r="BL38" s="748">
        <f t="shared" ca="1" si="27"/>
        <v>2</v>
      </c>
      <c r="BM38" s="748" t="str">
        <f t="shared" ca="1" si="22"/>
        <v>2I</v>
      </c>
      <c r="BN38" s="748" t="str">
        <f t="shared" ca="1" si="23"/>
        <v>2I</v>
      </c>
      <c r="BO38" s="757">
        <f t="shared" ca="1" si="28"/>
        <v>0</v>
      </c>
      <c r="BP38" s="757">
        <f ca="1">COUNTIFS($BO$6:$BO$53,"&gt;"&amp;BO38,$BC$6:$BC$53,INDEX(T_Equipos[Grupo],MATCH(BD38,T_Equipos[NombreEquipo],0)))+1</f>
        <v>1</v>
      </c>
      <c r="BQ38" s="757" t="str">
        <f ca="1">IF(COUNTIFS($BP$6:$BP$53,BP38,$BC$6:$BC$53,INDEX(T_Equipos[Grupo],MATCH(BD38,T_Equipos[NombreEquipo],0)))=1,"-","P."&amp;BP38&amp;" ("&amp;COUNTIFS($BP$6:$BP$53,BP38,$BC$6:$BC$53,INDEX(T_Equipos[Grupo],MATCH(BD38,T_Equipos[NombreEquipo],0)))&amp;")")</f>
        <v>P.1 (4)</v>
      </c>
      <c r="BR38" s="757">
        <f t="shared" ca="1" si="29"/>
        <v>3</v>
      </c>
      <c r="BS38" s="757">
        <f ca="1">BP38+COUNTIFS($BQ$6:$BQ$53,BQ38,$BR$6:BR$53,"&gt;"&amp;BR38,$BC$6:$BC$53,INDEX(T_Equipos[Grupo],MATCH(BD38,T_Equipos[NombreEquipo],0)))</f>
        <v>1</v>
      </c>
      <c r="BT38" s="757" t="str">
        <f ca="1">IF(COUNTIFS($BS$6:$BS$53,BS38,$BC$6:$BC$53,INDEX(T_Equipos[Grupo],MATCH(BD38,T_Equipos[NombreEquipo],0)))=1,"-","P."&amp;BS38&amp;" ("&amp;COUNTIFS($BS$6:$BS$53,BS38,$BC$6:$BC$53,INDEX(T_Equipos[Grupo],MATCH(BD38,T_Equipos[NombreEquipo],0)))&amp;")")</f>
        <v>P.1 (2)</v>
      </c>
      <c r="BU38" s="758">
        <f t="shared" ca="1" si="36"/>
        <v>0</v>
      </c>
      <c r="BV38" s="758">
        <f t="shared" ca="1" si="37"/>
        <v>0</v>
      </c>
      <c r="BW38" s="758">
        <f t="shared" ca="1" si="38"/>
        <v>0</v>
      </c>
      <c r="BX38" s="758">
        <f t="shared" ca="1" si="39"/>
        <v>0</v>
      </c>
      <c r="BY38" s="758">
        <f ca="1">BS38+COUNTIFS($BT$6:$BT$53,BT38,$BX$6:BX$53,"&gt;"&amp;BX38,$BC$6:$BC$53,INDEX(T_Equipos[Grupo],MATCH(BD38,T_Equipos[NombreEquipo],0)))</f>
        <v>1</v>
      </c>
      <c r="BZ38" s="757" t="str">
        <f ca="1">IF(COUNTIFS($BY$6:$BY$53,BY38,$BC$6:$BC$53,INDEX(T_Equipos[Grupo],MATCH(BD38,T_Equipos[NombreEquipo],0)))=1,"-","P."&amp;BY38&amp;" ("&amp;COUNTIFS($BY$6:$BY$53,BY38,$BC$6:$BC$53,INDEX(T_Equipos[Grupo],MATCH(BD38,T_Equipos[NombreEquipo],0)))&amp;")")</f>
        <v>P.1 (2)</v>
      </c>
      <c r="CA38" s="758">
        <f t="shared" ca="1" si="40"/>
        <v>0</v>
      </c>
      <c r="CB38" s="758">
        <f t="shared" ca="1" si="41"/>
        <v>0</v>
      </c>
      <c r="CC38" s="758">
        <f t="shared" ca="1" si="42"/>
        <v>0</v>
      </c>
      <c r="CD38" s="758">
        <f ca="1">BY38+COUNTIFS($BZ$6:$BZ$53,BZ38,$CC$6:CC$53,"&gt;"&amp;CC38,$BC$6:$BC$53,INDEX(T_Equipos[Grupo],MATCH(BD38,T_Equipos[NombreEquipo],0)))</f>
        <v>1</v>
      </c>
      <c r="CE38" s="757" t="str">
        <f ca="1">IF(COUNTIFS($CD$6:$CD$53,CD38,$BC$6:$BC$53,INDEX(T_Equipos[Grupo],MATCH(BD38,T_Equipos[NombreEquipo],0)))=1,"-","P."&amp;CD38&amp;" ("&amp;COUNTIFS($CD$6:$CD$53,CD38,$BC$6:$BC$53,INDEX(T_Equipos[Grupo],MATCH(BD38,T_Equipos[NombreEquipo],0)))&amp;")")</f>
        <v>P.1 (2)</v>
      </c>
      <c r="CF38" s="758">
        <f t="shared" ca="1" si="43"/>
        <v>0</v>
      </c>
      <c r="CG38" s="758">
        <f ca="1">CD38+COUNTIFS($CE$6:$CE$53,CE38,$CF$6:CF$53,"&gt;"&amp;CF38,$BC$6:$BC$53,INDEX(T_Equipos[Grupo],MATCH(BD38,T_Equipos[NombreEquipo],0)))</f>
        <v>1</v>
      </c>
      <c r="CH38" s="757" t="str">
        <f ca="1">IF(COUNTIFS($CG$6:$CG$53,CG38,$BC$6:$BC$53,INDEX(T_Equipos[Grupo],MATCH(BD38,T_Equipos[NombreEquipo],0)))=1,"-","P."&amp;CG38&amp;" ("&amp;COUNTIFS($CG$6:$CG$53,CG38,$BC$6:$BC$53,INDEX(T_Equipos[Grupo],MATCH(BD38,T_Equipos[NombreEquipo],0)))&amp;")")</f>
        <v>P.1 (2)</v>
      </c>
      <c r="CI38" s="758">
        <f t="shared" ca="1" si="44"/>
        <v>0</v>
      </c>
      <c r="CJ38" s="758">
        <f t="shared" ca="1" si="45"/>
        <v>0</v>
      </c>
      <c r="CK38" s="758">
        <f t="shared" ca="1" si="46"/>
        <v>0</v>
      </c>
      <c r="CL38" s="758">
        <f t="shared" ca="1" si="47"/>
        <v>0</v>
      </c>
      <c r="CM38" s="758">
        <f ca="1">CG38+COUNTIFS($CH$6:$CH$53,CH38,$CL$6:CL$53,"&gt;"&amp;CL38,$BC$6:$BC$53,INDEX(T_Equipos[Grupo],MATCH(BD38,T_Equipos[NombreEquipo],0)))</f>
        <v>1</v>
      </c>
      <c r="CN38" s="757" t="str">
        <f ca="1">IF(COUNTIFS($CM$6:$CM$53,CM38,$BC$6:$BC$53,INDEX(T_Equipos[Grupo],MATCH(BD38,T_Equipos[NombreEquipo],0)))=1,"-","P."&amp;CM38&amp;" ("&amp;COUNTIFS($CM$6:$CM$53,CM38,$BC$6:$BC$53,INDEX(T_Equipos[Grupo],MATCH(BD38,T_Equipos[NombreEquipo],0)))&amp;")")</f>
        <v>P.1 (2)</v>
      </c>
      <c r="CO38" s="758">
        <f t="shared" ca="1" si="48"/>
        <v>0</v>
      </c>
      <c r="CP38" s="758">
        <f t="shared" ca="1" si="49"/>
        <v>0</v>
      </c>
      <c r="CQ38" s="758">
        <f t="shared" ca="1" si="50"/>
        <v>0</v>
      </c>
      <c r="CR38" s="758">
        <f ca="1">CM38+COUNTIFS($CN$6:$CN$53,CN38,$CQ$6:CQ$53,"&gt;"&amp;CQ38,$BC$6:$BC$53,INDEX(T_Equipos[Grupo],MATCH(BD38,T_Equipos[NombreEquipo],0)))</f>
        <v>1</v>
      </c>
      <c r="CS38" s="757" t="str">
        <f ca="1">IF(COUNTIFS($CR$6:$CR$53,CR38,$BC$6:$BC$53,INDEX(T_Equipos[Grupo],MATCH(BD38,T_Equipos[NombreEquipo],0)))=1,"-","P."&amp;CR38&amp;" ("&amp;COUNTIFS($CR$6:$CR$53,CR38,$BC$6:$BC$53,INDEX(T_Equipos[Grupo],MATCH(BD38,T_Equipos[NombreEquipo],0)))&amp;")")</f>
        <v>P.1 (2)</v>
      </c>
      <c r="CT38" s="758">
        <f t="shared" ca="1" si="51"/>
        <v>0</v>
      </c>
      <c r="CU38" s="758">
        <f ca="1">CR38+COUNTIFS($CS$6:$CS$53,CS38,$CT$6:CT$53,"&gt;"&amp;CT38,$BC$6:$BC$53,INDEX(T_Equipos[Grupo],MATCH(BD38,T_Equipos[NombreEquipo],0)))</f>
        <v>1</v>
      </c>
      <c r="CV38" s="757" t="str">
        <f ca="1">IF(COUNTIFS($CU$6:$CU$53,CU38,$BC$6:$BC$53,INDEX(T_Equipos[Grupo],MATCH(BD38,T_Equipos[NombreEquipo],0)))=1,"-","P."&amp;CU38&amp;" ("&amp;COUNTIFS($CU$6:$CU$53,CU38,$BC$6:$BC$53,INDEX(T_Equipos[Grupo],MATCH(BD38,T_Equipos[NombreEquipo],0)))&amp;")")</f>
        <v>P.1 (2)</v>
      </c>
      <c r="CW38" s="757">
        <f t="shared" ca="1" si="30"/>
        <v>2</v>
      </c>
      <c r="CX38" s="757">
        <f ca="1">CU38+COUNTIFS($CV$6:$CV$53,CV38,$CW$6:CW$53,"&gt;"&amp;CW38,$BC$6:$BC$53,INDEX(T_Equipos[Grupo],MATCH(BD38,T_Equipos[NombreEquipo],0)))</f>
        <v>2</v>
      </c>
      <c r="CY38" s="757" t="str">
        <f ca="1">IF(COUNTIFS($CX$6:$CX$53,CX38,$BC$6:$BC$53,INDEX(T_Equipos[Grupo],MATCH(BD38,T_Equipos[NombreEquipo],0)))=1,"-","P."&amp;CX38&amp;" ("&amp;COUNTIFS($CX$6:$CX$53,CX38,$BC$6:$BC$53,INDEX(T_Equipos[Grupo],MATCH(BD38,T_Equipos[NombreEquipo],0)))&amp;")")</f>
        <v>-</v>
      </c>
      <c r="CZ38" s="757" t="str">
        <f t="shared" ca="1" si="31"/>
        <v>-</v>
      </c>
      <c r="DA38" s="758">
        <f ca="1">CX38+COUNTIFS($CY$6:$CY$53,CY38,$CZ$6:CZ$53,"&gt;"&amp;CZ38,$BC$6:$BC$53,INDEX(T_Equipos[Grupo],MATCH(BD38,T_Equipos[NombreEquipo],0)))</f>
        <v>2</v>
      </c>
      <c r="DB38" s="757" t="str">
        <f ca="1">IF(COUNTIFS($DA$6:$DA$53,DA38,$BC$6:$BC$53,INDEX(T_Equipos[Grupo],MATCH(BD38,T_Equipos[NombreEquipo],0)))=1,"-","P."&amp;DA38&amp;" ("&amp;COUNTIFS($DA$6:$DA$53,DA38,$BC$6:$BC$53,INDEX(T_Equipos[Grupo],MATCH(BD38,T_Equipos[NombreEquipo],0)))&amp;")")</f>
        <v>-</v>
      </c>
      <c r="DC38" s="756" t="str">
        <f ca="1">IF(DB38="-","-",COUNTIFS(T_Equipos[Rank],"&lt;"&amp;INDEX(T_Equipos[Rank],MATCH(BD38,T_Equipos[NombreEquipo],0)),$BC$6:$BC$53,INDEX(T_Equipos[Grupo],MATCH(BD38,T_Equipos[NombreEquipo],0)))+1)</f>
        <v>-</v>
      </c>
      <c r="DD38" s="756">
        <f ca="1">DA38+COUNTIFS($DB$6:$DB$53,DB38,$DC$6:DC$53,"&lt;"&amp;DC38,$BC$6:$BC$53,INDEX(T_Equipos[Grupo],MATCH(BD38,T_Equipos[NombreEquipo],0)))</f>
        <v>2</v>
      </c>
      <c r="DE38" s="756"/>
      <c r="DF38" s="756">
        <f t="shared" ca="1" si="52"/>
        <v>2</v>
      </c>
      <c r="DG38" s="756" t="str">
        <f ca="1">IF(DB38="-","-",COUNTIFS(DF$6:DF$53,"&lt;"&amp;DF38,$BC$6:$BC$53,INDEX(T_Equipos[Grupo],MATCH(BD38,T_Equipos[NombreEquipo],0))))</f>
        <v>-</v>
      </c>
      <c r="DH38" s="756">
        <f ca="1">DA38+COUNTIFS(DB$6:DB$53,DB38,DG$6:DG$53,"&lt;"&amp;DG38,$BC$6:$BC$53,INDEX(T_Equipos[Grupo],MATCH(BD38,T_Equipos[NombreEquipo],0)))</f>
        <v>2</v>
      </c>
      <c r="DI38" s="744"/>
      <c r="DJ38" s="744">
        <f t="shared" ca="1" si="53"/>
        <v>1</v>
      </c>
      <c r="DK38" s="744">
        <f t="shared" ca="1" si="24"/>
        <v>4</v>
      </c>
      <c r="DL38" s="744">
        <f t="shared" ca="1" si="33"/>
        <v>1</v>
      </c>
      <c r="DM38" s="738" t="str">
        <f t="shared" ca="1" si="34"/>
        <v>1.1</v>
      </c>
      <c r="DN38" s="744" cm="1">
        <f t="array" aca="1" ref="DN38" ca="1">OFFSET(Horarios!$P$3,DJ38-1,0,DL38,1)</f>
        <v>1</v>
      </c>
      <c r="DO38" s="744"/>
      <c r="DP38" s="744" t="s">
        <v>673</v>
      </c>
      <c r="DQ38" s="744" t="str">
        <f t="shared" ca="1" si="35"/>
        <v>Noruega</v>
      </c>
      <c r="DR38" s="744"/>
      <c r="DS38" s="744"/>
      <c r="DT38" s="744" t="str">
        <f t="shared" ca="1" si="15"/>
        <v>Alemania-Costa de Marfil</v>
      </c>
      <c r="DU38" s="744"/>
      <c r="DV38" s="744"/>
      <c r="DW38" s="8"/>
    </row>
    <row r="39" spans="1:127" ht="16.05" customHeight="1">
      <c r="A39" s="745" t="str">
        <f ca="1">+Equipos!B20</f>
        <v>Costa de Marfil</v>
      </c>
      <c r="B39" s="742"/>
      <c r="C39" s="744"/>
      <c r="D39" s="744" t="str">
        <f t="shared" si="115"/>
        <v>Pendiente</v>
      </c>
      <c r="E39" s="744" t="str">
        <f t="shared" si="116"/>
        <v>-</v>
      </c>
      <c r="F39" s="744" t="str">
        <f t="shared" si="117"/>
        <v>-</v>
      </c>
      <c r="G39" s="744"/>
      <c r="H39" s="744" t="str">
        <f t="shared" si="118"/>
        <v>-</v>
      </c>
      <c r="I39" s="744" t="str">
        <f t="shared" si="119"/>
        <v>-</v>
      </c>
      <c r="J39" s="744"/>
      <c r="K39" s="744" t="str">
        <f t="shared" si="120"/>
        <v>-</v>
      </c>
      <c r="L39" s="744" t="str">
        <f t="shared" si="121"/>
        <v>-</v>
      </c>
      <c r="M39" s="744"/>
      <c r="N39" s="744" t="str">
        <f t="shared" si="122"/>
        <v>-</v>
      </c>
      <c r="O39" s="744" t="str">
        <f t="shared" si="123"/>
        <v>-</v>
      </c>
      <c r="P39" s="744"/>
      <c r="Q39" s="744" t="str">
        <f t="shared" si="124"/>
        <v>-</v>
      </c>
      <c r="R39" s="744" t="str">
        <f t="shared" si="125"/>
        <v>-</v>
      </c>
      <c r="S39" s="744"/>
      <c r="T39" s="744" t="str">
        <f t="shared" si="126"/>
        <v>-</v>
      </c>
      <c r="U39" s="744" t="str">
        <f t="shared" si="127"/>
        <v>-</v>
      </c>
      <c r="V39" s="172"/>
      <c r="W39" s="813"/>
      <c r="X39" s="189">
        <f ca="1">Horarios!C39</f>
        <v>46194.083333333336</v>
      </c>
      <c r="Y39" s="190">
        <f ca="1">Horarios!C39</f>
        <v>46194.083333333336</v>
      </c>
      <c r="Z39" s="191" t="str">
        <f>$Z$6</f>
        <v>J2</v>
      </c>
      <c r="AA39" s="192" t="str">
        <f ca="1">A40</f>
        <v>Ecuador</v>
      </c>
      <c r="AB39" s="478" t="e" cm="1" vm="20">
        <f t="array" aca="1" ref="AB39" ca="1">Ver_flag_local</f>
        <v>#VALUE!</v>
      </c>
      <c r="AC39" s="193"/>
      <c r="AD39" s="194"/>
      <c r="AE39" s="483" t="e" cm="1" vm="18">
        <f t="array" aca="1" ref="AE39" ca="1">Ver_flag_visit</f>
        <v>#VALUE!</v>
      </c>
      <c r="AF39" s="195" t="str">
        <f ca="1">A38</f>
        <v>Curazao</v>
      </c>
      <c r="AG39" s="413">
        <f t="shared" si="128"/>
        <v>0</v>
      </c>
      <c r="AH39" s="196">
        <v>34</v>
      </c>
      <c r="AI39" s="19" t="str">
        <f t="shared" ref="AI39:AI41" si="133">AJ39&amp;$B$36</f>
        <v>2E</v>
      </c>
      <c r="AJ39" s="221">
        <v>2</v>
      </c>
      <c r="AK39" s="486" t="e" cm="1" vm="19">
        <f t="array" aca="1" ref="AK39" ca="1">Ver_flag_visit</f>
        <v>#VALUE!</v>
      </c>
      <c r="AL39" s="222" t="str">
        <f ca="1">IFERROR(INDEX($BD$6:$BD$53,MATCH(AI39,$BN$6:$BN$53,0)),"")</f>
        <v>Costa de Marfil</v>
      </c>
      <c r="AM39" s="223">
        <f t="shared" ca="1" si="132"/>
        <v>3</v>
      </c>
      <c r="AN39" s="224">
        <f t="shared" ca="1" si="132"/>
        <v>1</v>
      </c>
      <c r="AO39" s="224">
        <f t="shared" ca="1" si="132"/>
        <v>1</v>
      </c>
      <c r="AP39" s="224">
        <f t="shared" ca="1" si="132"/>
        <v>0</v>
      </c>
      <c r="AQ39" s="224">
        <f t="shared" ca="1" si="132"/>
        <v>0</v>
      </c>
      <c r="AR39" s="224">
        <f t="shared" ca="1" si="132"/>
        <v>1</v>
      </c>
      <c r="AS39" s="224">
        <f t="shared" ca="1" si="132"/>
        <v>0</v>
      </c>
      <c r="AT39" s="225">
        <f t="shared" ca="1" si="132"/>
        <v>1</v>
      </c>
      <c r="AU39" s="420">
        <f ca="1">INDEX($DL$6:$DL$53,MATCH(AI39,$DP$6:$DP$53,0))</f>
        <v>1</v>
      </c>
      <c r="AV39" s="217" t="str">
        <f ca="1">INDEX($BD$6:$BD$53,MATCH(AI39,$BM$6:$BM$53,0))</f>
        <v>Costa de Marfil</v>
      </c>
      <c r="AW39" s="427"/>
      <c r="AX39" s="218"/>
      <c r="AY39" s="226" t="str">
        <f ca="1">+A38</f>
        <v>Curazao</v>
      </c>
      <c r="AZ39" s="227"/>
      <c r="BA39" s="175"/>
      <c r="BB39" s="744"/>
      <c r="BC39" s="756" t="str">
        <f ca="1">+INDEX(T_Equipos[Grupo],MATCH(WORLDCUP!BD39,T_Equipos[NombreEquipo],0))</f>
        <v>I</v>
      </c>
      <c r="BD39" s="744" t="str">
        <f ca="1">+Equipos!B35</f>
        <v>Senegal</v>
      </c>
      <c r="BE39" s="748">
        <f t="shared" ca="1" si="25"/>
        <v>0</v>
      </c>
      <c r="BF39" s="748">
        <f t="shared" ca="1" si="26"/>
        <v>1</v>
      </c>
      <c r="BG39" s="748">
        <f t="shared" ca="1" si="17"/>
        <v>0</v>
      </c>
      <c r="BH39" s="748">
        <f t="shared" ca="1" si="18"/>
        <v>0</v>
      </c>
      <c r="BI39" s="748">
        <f t="shared" ca="1" si="19"/>
        <v>1</v>
      </c>
      <c r="BJ39" s="748">
        <f t="shared" ca="1" si="20"/>
        <v>1</v>
      </c>
      <c r="BK39" s="748">
        <f t="shared" ca="1" si="21"/>
        <v>3</v>
      </c>
      <c r="BL39" s="748">
        <f t="shared" ca="1" si="27"/>
        <v>-2</v>
      </c>
      <c r="BM39" s="748" t="str">
        <f t="shared" ca="1" si="22"/>
        <v>3I</v>
      </c>
      <c r="BN39" s="748" t="str">
        <f t="shared" ca="1" si="23"/>
        <v>3I</v>
      </c>
      <c r="BO39" s="757">
        <f t="shared" ca="1" si="28"/>
        <v>0</v>
      </c>
      <c r="BP39" s="757">
        <f ca="1">COUNTIFS($BO$6:$BO$53,"&gt;"&amp;BO39,$BC$6:$BC$53,INDEX(T_Equipos[Grupo],MATCH(BD39,T_Equipos[NombreEquipo],0)))+1</f>
        <v>1</v>
      </c>
      <c r="BQ39" s="757" t="str">
        <f ca="1">IF(COUNTIFS($BP$6:$BP$53,BP39,$BC$6:$BC$53,INDEX(T_Equipos[Grupo],MATCH(BD39,T_Equipos[NombreEquipo],0)))=1,"-","P."&amp;BP39&amp;" ("&amp;COUNTIFS($BP$6:$BP$53,BP39,$BC$6:$BC$53,INDEX(T_Equipos[Grupo],MATCH(BD39,T_Equipos[NombreEquipo],0)))&amp;")")</f>
        <v>P.1 (4)</v>
      </c>
      <c r="BR39" s="757">
        <f t="shared" ca="1" si="29"/>
        <v>0</v>
      </c>
      <c r="BS39" s="757">
        <f ca="1">BP39+COUNTIFS($BQ$6:$BQ$53,BQ39,$BR$6:BR$53,"&gt;"&amp;BR39,$BC$6:$BC$53,INDEX(T_Equipos[Grupo],MATCH(BD39,T_Equipos[NombreEquipo],0)))</f>
        <v>3</v>
      </c>
      <c r="BT39" s="757" t="str">
        <f ca="1">IF(COUNTIFS($BS$6:$BS$53,BS39,$BC$6:$BC$53,INDEX(T_Equipos[Grupo],MATCH(BD39,T_Equipos[NombreEquipo],0)))=1,"-","P."&amp;BS39&amp;" ("&amp;COUNTIFS($BS$6:$BS$53,BS39,$BC$6:$BC$53,INDEX(T_Equipos[Grupo],MATCH(BD39,T_Equipos[NombreEquipo],0)))&amp;")")</f>
        <v>P.3 (2)</v>
      </c>
      <c r="BU39" s="758">
        <f t="shared" ca="1" si="36"/>
        <v>0</v>
      </c>
      <c r="BV39" s="758">
        <f t="shared" ca="1" si="37"/>
        <v>0</v>
      </c>
      <c r="BW39" s="758">
        <f t="shared" ca="1" si="38"/>
        <v>0</v>
      </c>
      <c r="BX39" s="758">
        <f t="shared" ca="1" si="39"/>
        <v>0</v>
      </c>
      <c r="BY39" s="758">
        <f ca="1">BS39+COUNTIFS($BT$6:$BT$53,BT39,$BX$6:BX$53,"&gt;"&amp;BX39,$BC$6:$BC$53,INDEX(T_Equipos[Grupo],MATCH(BD39,T_Equipos[NombreEquipo],0)))</f>
        <v>3</v>
      </c>
      <c r="BZ39" s="757" t="str">
        <f ca="1">IF(COUNTIFS($BY$6:$BY$53,BY39,$BC$6:$BC$53,INDEX(T_Equipos[Grupo],MATCH(BD39,T_Equipos[NombreEquipo],0)))=1,"-","P."&amp;BY39&amp;" ("&amp;COUNTIFS($BY$6:$BY$53,BY39,$BC$6:$BC$53,INDEX(T_Equipos[Grupo],MATCH(BD39,T_Equipos[NombreEquipo],0)))&amp;")")</f>
        <v>P.3 (2)</v>
      </c>
      <c r="CA39" s="758">
        <f t="shared" ca="1" si="40"/>
        <v>0</v>
      </c>
      <c r="CB39" s="758">
        <f t="shared" ca="1" si="41"/>
        <v>0</v>
      </c>
      <c r="CC39" s="758">
        <f t="shared" ca="1" si="42"/>
        <v>0</v>
      </c>
      <c r="CD39" s="758">
        <f ca="1">BY39+COUNTIFS($BZ$6:$BZ$53,BZ39,$CC$6:CC$53,"&gt;"&amp;CC39,$BC$6:$BC$53,INDEX(T_Equipos[Grupo],MATCH(BD39,T_Equipos[NombreEquipo],0)))</f>
        <v>3</v>
      </c>
      <c r="CE39" s="757" t="str">
        <f ca="1">IF(COUNTIFS($CD$6:$CD$53,CD39,$BC$6:$BC$53,INDEX(T_Equipos[Grupo],MATCH(BD39,T_Equipos[NombreEquipo],0)))=1,"-","P."&amp;CD39&amp;" ("&amp;COUNTIFS($CD$6:$CD$53,CD39,$BC$6:$BC$53,INDEX(T_Equipos[Grupo],MATCH(BD39,T_Equipos[NombreEquipo],0)))&amp;")")</f>
        <v>P.3 (2)</v>
      </c>
      <c r="CF39" s="758">
        <f t="shared" ca="1" si="43"/>
        <v>0</v>
      </c>
      <c r="CG39" s="758">
        <f ca="1">CD39+COUNTIFS($CE$6:$CE$53,CE39,$CF$6:CF$53,"&gt;"&amp;CF39,$BC$6:$BC$53,INDEX(T_Equipos[Grupo],MATCH(BD39,T_Equipos[NombreEquipo],0)))</f>
        <v>3</v>
      </c>
      <c r="CH39" s="757" t="str">
        <f ca="1">IF(COUNTIFS($CG$6:$CG$53,CG39,$BC$6:$BC$53,INDEX(T_Equipos[Grupo],MATCH(BD39,T_Equipos[NombreEquipo],0)))=1,"-","P."&amp;CG39&amp;" ("&amp;COUNTIFS($CG$6:$CG$53,CG39,$BC$6:$BC$53,INDEX(T_Equipos[Grupo],MATCH(BD39,T_Equipos[NombreEquipo],0)))&amp;")")</f>
        <v>P.3 (2)</v>
      </c>
      <c r="CI39" s="758">
        <f t="shared" ca="1" si="44"/>
        <v>0</v>
      </c>
      <c r="CJ39" s="758">
        <f t="shared" ca="1" si="45"/>
        <v>0</v>
      </c>
      <c r="CK39" s="758">
        <f t="shared" ca="1" si="46"/>
        <v>0</v>
      </c>
      <c r="CL39" s="758">
        <f t="shared" ca="1" si="47"/>
        <v>0</v>
      </c>
      <c r="CM39" s="758">
        <f ca="1">CG39+COUNTIFS($CH$6:$CH$53,CH39,$CL$6:CL$53,"&gt;"&amp;CL39,$BC$6:$BC$53,INDEX(T_Equipos[Grupo],MATCH(BD39,T_Equipos[NombreEquipo],0)))</f>
        <v>3</v>
      </c>
      <c r="CN39" s="757" t="str">
        <f ca="1">IF(COUNTIFS($CM$6:$CM$53,CM39,$BC$6:$BC$53,INDEX(T_Equipos[Grupo],MATCH(BD39,T_Equipos[NombreEquipo],0)))=1,"-","P."&amp;CM39&amp;" ("&amp;COUNTIFS($CM$6:$CM$53,CM39,$BC$6:$BC$53,INDEX(T_Equipos[Grupo],MATCH(BD39,T_Equipos[NombreEquipo],0)))&amp;")")</f>
        <v>P.3 (2)</v>
      </c>
      <c r="CO39" s="758">
        <f t="shared" ca="1" si="48"/>
        <v>0</v>
      </c>
      <c r="CP39" s="758">
        <f t="shared" ca="1" si="49"/>
        <v>0</v>
      </c>
      <c r="CQ39" s="758">
        <f t="shared" ca="1" si="50"/>
        <v>0</v>
      </c>
      <c r="CR39" s="758">
        <f ca="1">CM39+COUNTIFS($CN$6:$CN$53,CN39,$CQ$6:CQ$53,"&gt;"&amp;CQ39,$BC$6:$BC$53,INDEX(T_Equipos[Grupo],MATCH(BD39,T_Equipos[NombreEquipo],0)))</f>
        <v>3</v>
      </c>
      <c r="CS39" s="757" t="str">
        <f ca="1">IF(COUNTIFS($CR$6:$CR$53,CR39,$BC$6:$BC$53,INDEX(T_Equipos[Grupo],MATCH(BD39,T_Equipos[NombreEquipo],0)))=1,"-","P."&amp;CR39&amp;" ("&amp;COUNTIFS($CR$6:$CR$53,CR39,$BC$6:$BC$53,INDEX(T_Equipos[Grupo],MATCH(BD39,T_Equipos[NombreEquipo],0)))&amp;")")</f>
        <v>P.3 (2)</v>
      </c>
      <c r="CT39" s="758">
        <f t="shared" ca="1" si="51"/>
        <v>0</v>
      </c>
      <c r="CU39" s="758">
        <f ca="1">CR39+COUNTIFS($CS$6:$CS$53,CS39,$CT$6:CT$53,"&gt;"&amp;CT39,$BC$6:$BC$53,INDEX(T_Equipos[Grupo],MATCH(BD39,T_Equipos[NombreEquipo],0)))</f>
        <v>3</v>
      </c>
      <c r="CV39" s="757" t="str">
        <f ca="1">IF(COUNTIFS($CU$6:$CU$53,CU39,$BC$6:$BC$53,INDEX(T_Equipos[Grupo],MATCH(BD39,T_Equipos[NombreEquipo],0)))=1,"-","P."&amp;CU39&amp;" ("&amp;COUNTIFS($CU$6:$CU$53,CU39,$BC$6:$BC$53,INDEX(T_Equipos[Grupo],MATCH(BD39,T_Equipos[NombreEquipo],0)))&amp;")")</f>
        <v>P.3 (2)</v>
      </c>
      <c r="CW39" s="757">
        <f t="shared" ca="1" si="30"/>
        <v>-2</v>
      </c>
      <c r="CX39" s="757">
        <f ca="1">CU39+COUNTIFS($CV$6:$CV$53,CV39,$CW$6:CW$53,"&gt;"&amp;CW39,$BC$6:$BC$53,INDEX(T_Equipos[Grupo],MATCH(BD39,T_Equipos[NombreEquipo],0)))</f>
        <v>3</v>
      </c>
      <c r="CY39" s="757" t="str">
        <f ca="1">IF(COUNTIFS($CX$6:$CX$53,CX39,$BC$6:$BC$53,INDEX(T_Equipos[Grupo],MATCH(BD39,T_Equipos[NombreEquipo],0)))=1,"-","P."&amp;CX39&amp;" ("&amp;COUNTIFS($CX$6:$CX$53,CX39,$BC$6:$BC$53,INDEX(T_Equipos[Grupo],MATCH(BD39,T_Equipos[NombreEquipo],0)))&amp;")")</f>
        <v>-</v>
      </c>
      <c r="CZ39" s="757" t="str">
        <f t="shared" ca="1" si="31"/>
        <v>-</v>
      </c>
      <c r="DA39" s="758">
        <f ca="1">CX39+COUNTIFS($CY$6:$CY$53,CY39,$CZ$6:CZ$53,"&gt;"&amp;CZ39,$BC$6:$BC$53,INDEX(T_Equipos[Grupo],MATCH(BD39,T_Equipos[NombreEquipo],0)))</f>
        <v>3</v>
      </c>
      <c r="DB39" s="757" t="str">
        <f ca="1">IF(COUNTIFS($DA$6:$DA$53,DA39,$BC$6:$BC$53,INDEX(T_Equipos[Grupo],MATCH(BD39,T_Equipos[NombreEquipo],0)))=1,"-","P."&amp;DA39&amp;" ("&amp;COUNTIFS($DA$6:$DA$53,DA39,$BC$6:$BC$53,INDEX(T_Equipos[Grupo],MATCH(BD39,T_Equipos[NombreEquipo],0)))&amp;")")</f>
        <v>-</v>
      </c>
      <c r="DC39" s="756" t="str">
        <f ca="1">IF(DB39="-","-",COUNTIFS(T_Equipos[Rank],"&lt;"&amp;INDEX(T_Equipos[Rank],MATCH(BD39,T_Equipos[NombreEquipo],0)),$BC$6:$BC$53,INDEX(T_Equipos[Grupo],MATCH(BD39,T_Equipos[NombreEquipo],0)))+1)</f>
        <v>-</v>
      </c>
      <c r="DD39" s="756">
        <f ca="1">DA39+COUNTIFS($DB$6:$DB$53,DB39,$DC$6:DC$53,"&lt;"&amp;DC39,$BC$6:$BC$53,INDEX(T_Equipos[Grupo],MATCH(BD39,T_Equipos[NombreEquipo],0)))</f>
        <v>3</v>
      </c>
      <c r="DE39" s="756"/>
      <c r="DF39" s="756">
        <f t="shared" ca="1" si="52"/>
        <v>3</v>
      </c>
      <c r="DG39" s="756" t="str">
        <f ca="1">IF(DB39="-","-",COUNTIFS(DF$6:DF$53,"&lt;"&amp;DF39,$BC$6:$BC$53,INDEX(T_Equipos[Grupo],MATCH(BD39,T_Equipos[NombreEquipo],0))))</f>
        <v>-</v>
      </c>
      <c r="DH39" s="756">
        <f ca="1">DA39+COUNTIFS(DB$6:DB$53,DB39,DG$6:DG$53,"&lt;"&amp;DG39,$BC$6:$BC$53,INDEX(T_Equipos[Grupo],MATCH(BD39,T_Equipos[NombreEquipo],0)))</f>
        <v>3</v>
      </c>
      <c r="DI39" s="744"/>
      <c r="DJ39" s="744">
        <f t="shared" ca="1" si="53"/>
        <v>2</v>
      </c>
      <c r="DK39" s="744">
        <f t="shared" ca="1" si="24"/>
        <v>4</v>
      </c>
      <c r="DL39" s="744">
        <f t="shared" ca="1" si="33"/>
        <v>1</v>
      </c>
      <c r="DM39" s="738" t="str">
        <f t="shared" ca="1" si="34"/>
        <v>2.1</v>
      </c>
      <c r="DN39" s="744" cm="1">
        <f t="array" aca="1" ref="DN39" ca="1">OFFSET(Horarios!$P$3,DJ39-1,0,DL39,1)</f>
        <v>2</v>
      </c>
      <c r="DO39" s="744"/>
      <c r="DP39" s="744" t="s">
        <v>674</v>
      </c>
      <c r="DQ39" s="744" t="str">
        <f t="shared" ca="1" si="35"/>
        <v>Francia</v>
      </c>
      <c r="DR39" s="744"/>
      <c r="DS39" s="744"/>
      <c r="DT39" s="744" t="str">
        <f t="shared" ca="1" si="15"/>
        <v>Ecuador-Curazao</v>
      </c>
      <c r="DU39" s="744"/>
      <c r="DV39" s="744"/>
      <c r="DW39" s="8"/>
    </row>
    <row r="40" spans="1:127" ht="16.05" customHeight="1">
      <c r="A40" s="745" t="str">
        <f ca="1">+Equipos!B21</f>
        <v>Ecuador</v>
      </c>
      <c r="B40" s="742"/>
      <c r="C40" s="744"/>
      <c r="D40" s="744" t="str">
        <f t="shared" si="115"/>
        <v>Pendiente</v>
      </c>
      <c r="E40" s="744" t="str">
        <f t="shared" si="116"/>
        <v>-</v>
      </c>
      <c r="F40" s="744" t="str">
        <f t="shared" si="117"/>
        <v>-</v>
      </c>
      <c r="G40" s="744"/>
      <c r="H40" s="744" t="str">
        <f t="shared" si="118"/>
        <v>-</v>
      </c>
      <c r="I40" s="744" t="str">
        <f t="shared" si="119"/>
        <v>-</v>
      </c>
      <c r="J40" s="744"/>
      <c r="K40" s="744" t="str">
        <f t="shared" si="120"/>
        <v>-</v>
      </c>
      <c r="L40" s="744" t="str">
        <f t="shared" si="121"/>
        <v>-</v>
      </c>
      <c r="M40" s="744"/>
      <c r="N40" s="744" t="str">
        <f t="shared" si="122"/>
        <v>-</v>
      </c>
      <c r="O40" s="744" t="str">
        <f t="shared" si="123"/>
        <v>-</v>
      </c>
      <c r="P40" s="744"/>
      <c r="Q40" s="744" t="str">
        <f t="shared" si="124"/>
        <v>-</v>
      </c>
      <c r="R40" s="744" t="str">
        <f t="shared" si="125"/>
        <v>-</v>
      </c>
      <c r="S40" s="744"/>
      <c r="T40" s="744" t="str">
        <f t="shared" si="126"/>
        <v>-</v>
      </c>
      <c r="U40" s="744" t="str">
        <f t="shared" si="127"/>
        <v>-</v>
      </c>
      <c r="V40" s="172"/>
      <c r="W40" s="813"/>
      <c r="X40" s="189">
        <f ca="1">Horarios!C40</f>
        <v>46198.916666666664</v>
      </c>
      <c r="Y40" s="190">
        <f ca="1">Horarios!C40</f>
        <v>46198.916666666664</v>
      </c>
      <c r="Z40" s="191" t="str">
        <f>$Z$8</f>
        <v>J3</v>
      </c>
      <c r="AA40" s="192" t="str">
        <f ca="1">A38</f>
        <v>Curazao</v>
      </c>
      <c r="AB40" s="478" t="e" cm="1" vm="18">
        <f t="array" aca="1" ref="AB40" ca="1">Ver_flag_local</f>
        <v>#VALUE!</v>
      </c>
      <c r="AC40" s="193"/>
      <c r="AD40" s="194"/>
      <c r="AE40" s="483" t="e" cm="1" vm="19">
        <f t="array" aca="1" ref="AE40" ca="1">Ver_flag_visit</f>
        <v>#VALUE!</v>
      </c>
      <c r="AF40" s="195" t="str">
        <f ca="1">A39</f>
        <v>Costa de Marfil</v>
      </c>
      <c r="AG40" s="413">
        <f t="shared" si="128"/>
        <v>0</v>
      </c>
      <c r="AH40" s="196">
        <v>55</v>
      </c>
      <c r="AI40" s="19" t="str">
        <f t="shared" si="133"/>
        <v>3E</v>
      </c>
      <c r="AJ40" s="221">
        <v>3</v>
      </c>
      <c r="AK40" s="486" t="e" cm="1" vm="20">
        <f t="array" aca="1" ref="AK40" ca="1">Ver_flag_visit</f>
        <v>#VALUE!</v>
      </c>
      <c r="AL40" s="222" t="str">
        <f ca="1">IFERROR(INDEX($BD$6:$BD$53,MATCH(AI40,$BN$6:$BN$53,0)),"")</f>
        <v>Ecuador</v>
      </c>
      <c r="AM40" s="223">
        <f t="shared" ca="1" si="132"/>
        <v>0</v>
      </c>
      <c r="AN40" s="224">
        <f t="shared" ca="1" si="132"/>
        <v>1</v>
      </c>
      <c r="AO40" s="224">
        <f t="shared" ca="1" si="132"/>
        <v>0</v>
      </c>
      <c r="AP40" s="224">
        <f t="shared" ca="1" si="132"/>
        <v>0</v>
      </c>
      <c r="AQ40" s="224">
        <f t="shared" ca="1" si="132"/>
        <v>1</v>
      </c>
      <c r="AR40" s="224">
        <f t="shared" ca="1" si="132"/>
        <v>0</v>
      </c>
      <c r="AS40" s="224">
        <f t="shared" ca="1" si="132"/>
        <v>1</v>
      </c>
      <c r="AT40" s="225">
        <f t="shared" ca="1" si="132"/>
        <v>-1</v>
      </c>
      <c r="AU40" s="420">
        <f ca="1">INDEX($DL$6:$DL$53,MATCH(AI40,$DP$6:$DP$53,0))</f>
        <v>1</v>
      </c>
      <c r="AV40" s="217" t="str">
        <f ca="1">INDEX($BD$6:$BD$53,MATCH(AI40,$BM$6:$BM$53,0))</f>
        <v>Ecuador</v>
      </c>
      <c r="AW40" s="427"/>
      <c r="AX40" s="218"/>
      <c r="AY40" s="219" t="str">
        <f ca="1">+A39</f>
        <v>Costa de Marfil</v>
      </c>
      <c r="AZ40" s="220"/>
      <c r="BA40" s="175"/>
      <c r="BB40" s="744"/>
      <c r="BC40" s="756" t="str">
        <f ca="1">+INDEX(T_Equipos[Grupo],MATCH(WORLDCUP!BD40,T_Equipos[NombreEquipo],0))</f>
        <v>I</v>
      </c>
      <c r="BD40" s="744" t="str">
        <f ca="1">+Equipos!B36</f>
        <v>Irak</v>
      </c>
      <c r="BE40" s="748">
        <f t="shared" ca="1" si="25"/>
        <v>0</v>
      </c>
      <c r="BF40" s="748">
        <f t="shared" ca="1" si="26"/>
        <v>1</v>
      </c>
      <c r="BG40" s="748">
        <f t="shared" ca="1" si="17"/>
        <v>0</v>
      </c>
      <c r="BH40" s="748">
        <f t="shared" ca="1" si="18"/>
        <v>0</v>
      </c>
      <c r="BI40" s="748">
        <f t="shared" ca="1" si="19"/>
        <v>1</v>
      </c>
      <c r="BJ40" s="748">
        <f t="shared" ca="1" si="20"/>
        <v>1</v>
      </c>
      <c r="BK40" s="748">
        <f t="shared" ca="1" si="21"/>
        <v>4</v>
      </c>
      <c r="BL40" s="748">
        <f t="shared" ca="1" si="27"/>
        <v>-3</v>
      </c>
      <c r="BM40" s="748" t="str">
        <f t="shared" ca="1" si="22"/>
        <v>4I</v>
      </c>
      <c r="BN40" s="748" t="str">
        <f t="shared" ca="1" si="23"/>
        <v>4I</v>
      </c>
      <c r="BO40" s="757">
        <f t="shared" ca="1" si="28"/>
        <v>0</v>
      </c>
      <c r="BP40" s="757">
        <f ca="1">COUNTIFS($BO$6:$BO$53,"&gt;"&amp;BO40,$BC$6:$BC$53,INDEX(T_Equipos[Grupo],MATCH(BD40,T_Equipos[NombreEquipo],0)))+1</f>
        <v>1</v>
      </c>
      <c r="BQ40" s="757" t="str">
        <f ca="1">IF(COUNTIFS($BP$6:$BP$53,BP40,$BC$6:$BC$53,INDEX(T_Equipos[Grupo],MATCH(BD40,T_Equipos[NombreEquipo],0)))=1,"-","P."&amp;BP40&amp;" ("&amp;COUNTIFS($BP$6:$BP$53,BP40,$BC$6:$BC$53,INDEX(T_Equipos[Grupo],MATCH(BD40,T_Equipos[NombreEquipo],0)))&amp;")")</f>
        <v>P.1 (4)</v>
      </c>
      <c r="BR40" s="757">
        <f t="shared" ca="1" si="29"/>
        <v>0</v>
      </c>
      <c r="BS40" s="757">
        <f ca="1">BP40+COUNTIFS($BQ$6:$BQ$53,BQ40,$BR$6:BR$53,"&gt;"&amp;BR40,$BC$6:$BC$53,INDEX(T_Equipos[Grupo],MATCH(BD40,T_Equipos[NombreEquipo],0)))</f>
        <v>3</v>
      </c>
      <c r="BT40" s="757" t="str">
        <f ca="1">IF(COUNTIFS($BS$6:$BS$53,BS40,$BC$6:$BC$53,INDEX(T_Equipos[Grupo],MATCH(BD40,T_Equipos[NombreEquipo],0)))=1,"-","P."&amp;BS40&amp;" ("&amp;COUNTIFS($BS$6:$BS$53,BS40,$BC$6:$BC$53,INDEX(T_Equipos[Grupo],MATCH(BD40,T_Equipos[NombreEquipo],0)))&amp;")")</f>
        <v>P.3 (2)</v>
      </c>
      <c r="BU40" s="758">
        <f t="shared" ca="1" si="36"/>
        <v>0</v>
      </c>
      <c r="BV40" s="758">
        <f t="shared" ca="1" si="37"/>
        <v>0</v>
      </c>
      <c r="BW40" s="758">
        <f t="shared" ca="1" si="38"/>
        <v>0</v>
      </c>
      <c r="BX40" s="758">
        <f t="shared" ca="1" si="39"/>
        <v>0</v>
      </c>
      <c r="BY40" s="758">
        <f ca="1">BS40+COUNTIFS($BT$6:$BT$53,BT40,$BX$6:BX$53,"&gt;"&amp;BX40,$BC$6:$BC$53,INDEX(T_Equipos[Grupo],MATCH(BD40,T_Equipos[NombreEquipo],0)))</f>
        <v>3</v>
      </c>
      <c r="BZ40" s="757" t="str">
        <f ca="1">IF(COUNTIFS($BY$6:$BY$53,BY40,$BC$6:$BC$53,INDEX(T_Equipos[Grupo],MATCH(BD40,T_Equipos[NombreEquipo],0)))=1,"-","P."&amp;BY40&amp;" ("&amp;COUNTIFS($BY$6:$BY$53,BY40,$BC$6:$BC$53,INDEX(T_Equipos[Grupo],MATCH(BD40,T_Equipos[NombreEquipo],0)))&amp;")")</f>
        <v>P.3 (2)</v>
      </c>
      <c r="CA40" s="758">
        <f t="shared" ca="1" si="40"/>
        <v>0</v>
      </c>
      <c r="CB40" s="758">
        <f t="shared" ca="1" si="41"/>
        <v>0</v>
      </c>
      <c r="CC40" s="758">
        <f t="shared" ca="1" si="42"/>
        <v>0</v>
      </c>
      <c r="CD40" s="758">
        <f ca="1">BY40+COUNTIFS($BZ$6:$BZ$53,BZ40,$CC$6:CC$53,"&gt;"&amp;CC40,$BC$6:$BC$53,INDEX(T_Equipos[Grupo],MATCH(BD40,T_Equipos[NombreEquipo],0)))</f>
        <v>3</v>
      </c>
      <c r="CE40" s="757" t="str">
        <f ca="1">IF(COUNTIFS($CD$6:$CD$53,CD40,$BC$6:$BC$53,INDEX(T_Equipos[Grupo],MATCH(BD40,T_Equipos[NombreEquipo],0)))=1,"-","P."&amp;CD40&amp;" ("&amp;COUNTIFS($CD$6:$CD$53,CD40,$BC$6:$BC$53,INDEX(T_Equipos[Grupo],MATCH(BD40,T_Equipos[NombreEquipo],0)))&amp;")")</f>
        <v>P.3 (2)</v>
      </c>
      <c r="CF40" s="758">
        <f t="shared" ca="1" si="43"/>
        <v>0</v>
      </c>
      <c r="CG40" s="758">
        <f ca="1">CD40+COUNTIFS($CE$6:$CE$53,CE40,$CF$6:CF$53,"&gt;"&amp;CF40,$BC$6:$BC$53,INDEX(T_Equipos[Grupo],MATCH(BD40,T_Equipos[NombreEquipo],0)))</f>
        <v>3</v>
      </c>
      <c r="CH40" s="757" t="str">
        <f ca="1">IF(COUNTIFS($CG$6:$CG$53,CG40,$BC$6:$BC$53,INDEX(T_Equipos[Grupo],MATCH(BD40,T_Equipos[NombreEquipo],0)))=1,"-","P."&amp;CG40&amp;" ("&amp;COUNTIFS($CG$6:$CG$53,CG40,$BC$6:$BC$53,INDEX(T_Equipos[Grupo],MATCH(BD40,T_Equipos[NombreEquipo],0)))&amp;")")</f>
        <v>P.3 (2)</v>
      </c>
      <c r="CI40" s="758">
        <f t="shared" ca="1" si="44"/>
        <v>0</v>
      </c>
      <c r="CJ40" s="758">
        <f t="shared" ca="1" si="45"/>
        <v>0</v>
      </c>
      <c r="CK40" s="758">
        <f t="shared" ca="1" si="46"/>
        <v>0</v>
      </c>
      <c r="CL40" s="758">
        <f t="shared" ca="1" si="47"/>
        <v>0</v>
      </c>
      <c r="CM40" s="758">
        <f ca="1">CG40+COUNTIFS($CH$6:$CH$53,CH40,$CL$6:CL$53,"&gt;"&amp;CL40,$BC$6:$BC$53,INDEX(T_Equipos[Grupo],MATCH(BD40,T_Equipos[NombreEquipo],0)))</f>
        <v>3</v>
      </c>
      <c r="CN40" s="757" t="str">
        <f ca="1">IF(COUNTIFS($CM$6:$CM$53,CM40,$BC$6:$BC$53,INDEX(T_Equipos[Grupo],MATCH(BD40,T_Equipos[NombreEquipo],0)))=1,"-","P."&amp;CM40&amp;" ("&amp;COUNTIFS($CM$6:$CM$53,CM40,$BC$6:$BC$53,INDEX(T_Equipos[Grupo],MATCH(BD40,T_Equipos[NombreEquipo],0)))&amp;")")</f>
        <v>P.3 (2)</v>
      </c>
      <c r="CO40" s="758">
        <f t="shared" ca="1" si="48"/>
        <v>0</v>
      </c>
      <c r="CP40" s="758">
        <f t="shared" ca="1" si="49"/>
        <v>0</v>
      </c>
      <c r="CQ40" s="758">
        <f t="shared" ca="1" si="50"/>
        <v>0</v>
      </c>
      <c r="CR40" s="758">
        <f ca="1">CM40+COUNTIFS($CN$6:$CN$53,CN40,$CQ$6:CQ$53,"&gt;"&amp;CQ40,$BC$6:$BC$53,INDEX(T_Equipos[Grupo],MATCH(BD40,T_Equipos[NombreEquipo],0)))</f>
        <v>3</v>
      </c>
      <c r="CS40" s="757" t="str">
        <f ca="1">IF(COUNTIFS($CR$6:$CR$53,CR40,$BC$6:$BC$53,INDEX(T_Equipos[Grupo],MATCH(BD40,T_Equipos[NombreEquipo],0)))=1,"-","P."&amp;CR40&amp;" ("&amp;COUNTIFS($CR$6:$CR$53,CR40,$BC$6:$BC$53,INDEX(T_Equipos[Grupo],MATCH(BD40,T_Equipos[NombreEquipo],0)))&amp;")")</f>
        <v>P.3 (2)</v>
      </c>
      <c r="CT40" s="758">
        <f t="shared" ca="1" si="51"/>
        <v>0</v>
      </c>
      <c r="CU40" s="758">
        <f ca="1">CR40+COUNTIFS($CS$6:$CS$53,CS40,$CT$6:CT$53,"&gt;"&amp;CT40,$BC$6:$BC$53,INDEX(T_Equipos[Grupo],MATCH(BD40,T_Equipos[NombreEquipo],0)))</f>
        <v>3</v>
      </c>
      <c r="CV40" s="757" t="str">
        <f ca="1">IF(COUNTIFS($CU$6:$CU$53,CU40,$BC$6:$BC$53,INDEX(T_Equipos[Grupo],MATCH(BD40,T_Equipos[NombreEquipo],0)))=1,"-","P."&amp;CU40&amp;" ("&amp;COUNTIFS($CU$6:$CU$53,CU40,$BC$6:$BC$53,INDEX(T_Equipos[Grupo],MATCH(BD40,T_Equipos[NombreEquipo],0)))&amp;")")</f>
        <v>P.3 (2)</v>
      </c>
      <c r="CW40" s="757">
        <f t="shared" ca="1" si="30"/>
        <v>-3</v>
      </c>
      <c r="CX40" s="757">
        <f ca="1">CU40+COUNTIFS($CV$6:$CV$53,CV40,$CW$6:CW$53,"&gt;"&amp;CW40,$BC$6:$BC$53,INDEX(T_Equipos[Grupo],MATCH(BD40,T_Equipos[NombreEquipo],0)))</f>
        <v>4</v>
      </c>
      <c r="CY40" s="757" t="str">
        <f ca="1">IF(COUNTIFS($CX$6:$CX$53,CX40,$BC$6:$BC$53,INDEX(T_Equipos[Grupo],MATCH(BD40,T_Equipos[NombreEquipo],0)))=1,"-","P."&amp;CX40&amp;" ("&amp;COUNTIFS($CX$6:$CX$53,CX40,$BC$6:$BC$53,INDEX(T_Equipos[Grupo],MATCH(BD40,T_Equipos[NombreEquipo],0)))&amp;")")</f>
        <v>-</v>
      </c>
      <c r="CZ40" s="757" t="str">
        <f t="shared" ca="1" si="31"/>
        <v>-</v>
      </c>
      <c r="DA40" s="758">
        <f ca="1">CX40+COUNTIFS($CY$6:$CY$53,CY40,$CZ$6:CZ$53,"&gt;"&amp;CZ40,$BC$6:$BC$53,INDEX(T_Equipos[Grupo],MATCH(BD40,T_Equipos[NombreEquipo],0)))</f>
        <v>4</v>
      </c>
      <c r="DB40" s="757" t="str">
        <f ca="1">IF(COUNTIFS($DA$6:$DA$53,DA40,$BC$6:$BC$53,INDEX(T_Equipos[Grupo],MATCH(BD40,T_Equipos[NombreEquipo],0)))=1,"-","P."&amp;DA40&amp;" ("&amp;COUNTIFS($DA$6:$DA$53,DA40,$BC$6:$BC$53,INDEX(T_Equipos[Grupo],MATCH(BD40,T_Equipos[NombreEquipo],0)))&amp;")")</f>
        <v>-</v>
      </c>
      <c r="DC40" s="756" t="str">
        <f ca="1">IF(DB40="-","-",COUNTIFS(T_Equipos[Rank],"&lt;"&amp;INDEX(T_Equipos[Rank],MATCH(BD40,T_Equipos[NombreEquipo],0)),$BC$6:$BC$53,INDEX(T_Equipos[Grupo],MATCH(BD40,T_Equipos[NombreEquipo],0)))+1)</f>
        <v>-</v>
      </c>
      <c r="DD40" s="756">
        <f ca="1">DA40+COUNTIFS($DB$6:$DB$53,DB40,$DC$6:DC$53,"&lt;"&amp;DC40,$BC$6:$BC$53,INDEX(T_Equipos[Grupo],MATCH(BD40,T_Equipos[NombreEquipo],0)))</f>
        <v>4</v>
      </c>
      <c r="DE40" s="756"/>
      <c r="DF40" s="756">
        <f t="shared" ca="1" si="52"/>
        <v>4</v>
      </c>
      <c r="DG40" s="756" t="str">
        <f ca="1">IF(DB40="-","-",COUNTIFS(DF$6:DF$53,"&lt;"&amp;DF40,$BC$6:$BC$53,INDEX(T_Equipos[Grupo],MATCH(BD40,T_Equipos[NombreEquipo],0))))</f>
        <v>-</v>
      </c>
      <c r="DH40" s="756">
        <f ca="1">DA40+COUNTIFS(DB$6:DB$53,DB40,DG$6:DG$53,"&lt;"&amp;DG40,$BC$6:$BC$53,INDEX(T_Equipos[Grupo],MATCH(BD40,T_Equipos[NombreEquipo],0)))</f>
        <v>4</v>
      </c>
      <c r="DI40" s="744"/>
      <c r="DJ40" s="744">
        <f t="shared" ca="1" si="53"/>
        <v>3</v>
      </c>
      <c r="DK40" s="744">
        <f t="shared" ca="1" si="24"/>
        <v>4</v>
      </c>
      <c r="DL40" s="744">
        <f t="shared" ca="1" si="33"/>
        <v>1</v>
      </c>
      <c r="DM40" s="738" t="str">
        <f t="shared" ca="1" si="34"/>
        <v>3.1</v>
      </c>
      <c r="DN40" s="744" cm="1">
        <f t="array" aca="1" ref="DN40" ca="1">OFFSET(Horarios!$P$3,DJ40-1,0,DL40,1)</f>
        <v>3</v>
      </c>
      <c r="DO40" s="744"/>
      <c r="DP40" s="744" t="s">
        <v>440</v>
      </c>
      <c r="DQ40" s="744" t="str">
        <f t="shared" ca="1" si="35"/>
        <v>Senegal</v>
      </c>
      <c r="DR40" s="744"/>
      <c r="DS40" s="744"/>
      <c r="DT40" s="744" t="str">
        <f t="shared" ca="1" si="15"/>
        <v>Curazao-Costa de Marfil</v>
      </c>
      <c r="DU40" s="744"/>
      <c r="DV40" s="744"/>
      <c r="DW40" s="8"/>
    </row>
    <row r="41" spans="1:127" ht="16.95" customHeight="1" thickBot="1">
      <c r="A41" s="739"/>
      <c r="B41" s="739"/>
      <c r="C41" s="739"/>
      <c r="D41" s="744" t="str">
        <f t="shared" si="115"/>
        <v>Pendiente</v>
      </c>
      <c r="E41" s="744" t="str">
        <f t="shared" si="116"/>
        <v>-</v>
      </c>
      <c r="F41" s="744" t="str">
        <f t="shared" si="117"/>
        <v>-</v>
      </c>
      <c r="G41" s="744"/>
      <c r="H41" s="744" t="str">
        <f t="shared" si="118"/>
        <v>-</v>
      </c>
      <c r="I41" s="744" t="str">
        <f t="shared" si="119"/>
        <v>-</v>
      </c>
      <c r="J41" s="744"/>
      <c r="K41" s="744" t="str">
        <f t="shared" si="120"/>
        <v>-</v>
      </c>
      <c r="L41" s="744" t="str">
        <f t="shared" si="121"/>
        <v>-</v>
      </c>
      <c r="M41" s="744"/>
      <c r="N41" s="744" t="str">
        <f t="shared" si="122"/>
        <v>-</v>
      </c>
      <c r="O41" s="744" t="str">
        <f t="shared" si="123"/>
        <v>-</v>
      </c>
      <c r="P41" s="744"/>
      <c r="Q41" s="744" t="str">
        <f t="shared" si="124"/>
        <v>-</v>
      </c>
      <c r="R41" s="744" t="str">
        <f t="shared" si="125"/>
        <v>-</v>
      </c>
      <c r="S41" s="744"/>
      <c r="T41" s="744" t="str">
        <f t="shared" si="126"/>
        <v>-</v>
      </c>
      <c r="U41" s="744" t="str">
        <f t="shared" si="127"/>
        <v>-</v>
      </c>
      <c r="V41" s="172"/>
      <c r="W41" s="814"/>
      <c r="X41" s="228">
        <f ca="1">Horarios!C41</f>
        <v>46198.916666666664</v>
      </c>
      <c r="Y41" s="229">
        <f ca="1">Horarios!C41</f>
        <v>46198.916666666664</v>
      </c>
      <c r="Z41" s="230" t="str">
        <f>$Z$8</f>
        <v>J3</v>
      </c>
      <c r="AA41" s="231" t="str">
        <f ca="1">A40</f>
        <v>Ecuador</v>
      </c>
      <c r="AB41" s="479" t="e" cm="1" vm="20">
        <f t="array" aca="1" ref="AB41" ca="1">Ver_flag_local</f>
        <v>#VALUE!</v>
      </c>
      <c r="AC41" s="232"/>
      <c r="AD41" s="233"/>
      <c r="AE41" s="484" t="e" cm="1" vm="17">
        <f t="array" aca="1" ref="AE41" ca="1">Ver_flag_visit</f>
        <v>#VALUE!</v>
      </c>
      <c r="AF41" s="234" t="str">
        <f ca="1">A37</f>
        <v>Alemania</v>
      </c>
      <c r="AG41" s="413">
        <f t="shared" si="128"/>
        <v>0</v>
      </c>
      <c r="AH41" s="196">
        <v>56</v>
      </c>
      <c r="AI41" s="19" t="str">
        <f t="shared" si="133"/>
        <v>4E</v>
      </c>
      <c r="AJ41" s="235">
        <v>4</v>
      </c>
      <c r="AK41" s="487" t="e" cm="1" vm="18">
        <f t="array" aca="1" ref="AK41" ca="1">Ver_flag_visit</f>
        <v>#VALUE!</v>
      </c>
      <c r="AL41" s="236" t="str">
        <f ca="1">IFERROR(INDEX($BD$6:$BD$53,MATCH(AI41,$BN$6:$BN$53,0)),"")</f>
        <v>Curazao</v>
      </c>
      <c r="AM41" s="237">
        <f t="shared" ca="1" si="132"/>
        <v>0</v>
      </c>
      <c r="AN41" s="238">
        <f t="shared" ca="1" si="132"/>
        <v>1</v>
      </c>
      <c r="AO41" s="238">
        <f t="shared" ca="1" si="132"/>
        <v>0</v>
      </c>
      <c r="AP41" s="238">
        <f t="shared" ca="1" si="132"/>
        <v>0</v>
      </c>
      <c r="AQ41" s="238">
        <f t="shared" ca="1" si="132"/>
        <v>1</v>
      </c>
      <c r="AR41" s="238">
        <f t="shared" ca="1" si="132"/>
        <v>1</v>
      </c>
      <c r="AS41" s="238">
        <f t="shared" ca="1" si="132"/>
        <v>7</v>
      </c>
      <c r="AT41" s="239">
        <f t="shared" ca="1" si="132"/>
        <v>-6</v>
      </c>
      <c r="AU41" s="420">
        <f ca="1">INDEX($DL$6:$DL$53,MATCH(AI41,$DP$6:$DP$53,0))</f>
        <v>1</v>
      </c>
      <c r="AV41" s="217" t="str">
        <f ca="1">INDEX($BD$6:$BD$53,MATCH(AI41,$BM$6:$BM$53,0))</f>
        <v>Curazao</v>
      </c>
      <c r="AW41" s="427"/>
      <c r="AX41" s="218"/>
      <c r="AY41" s="240" t="str">
        <f ca="1">+A40</f>
        <v>Ecuador</v>
      </c>
      <c r="AZ41" s="241"/>
      <c r="BA41" s="175"/>
      <c r="BB41" s="744"/>
      <c r="BC41" s="756" t="str">
        <f ca="1">+INDEX(T_Equipos[Grupo],MATCH(WORLDCUP!BD41,T_Equipos[NombreEquipo],0))</f>
        <v>I</v>
      </c>
      <c r="BD41" s="744" t="str">
        <f ca="1">+Equipos!B37</f>
        <v>Noruega</v>
      </c>
      <c r="BE41" s="748">
        <f t="shared" ca="1" si="25"/>
        <v>3</v>
      </c>
      <c r="BF41" s="748">
        <f t="shared" ca="1" si="26"/>
        <v>1</v>
      </c>
      <c r="BG41" s="748">
        <f t="shared" ca="1" si="17"/>
        <v>1</v>
      </c>
      <c r="BH41" s="748">
        <f t="shared" ca="1" si="18"/>
        <v>0</v>
      </c>
      <c r="BI41" s="748">
        <f t="shared" ca="1" si="19"/>
        <v>0</v>
      </c>
      <c r="BJ41" s="748">
        <f t="shared" ca="1" si="20"/>
        <v>4</v>
      </c>
      <c r="BK41" s="748">
        <f t="shared" ca="1" si="21"/>
        <v>1</v>
      </c>
      <c r="BL41" s="748">
        <f t="shared" ca="1" si="27"/>
        <v>3</v>
      </c>
      <c r="BM41" s="748" t="str">
        <f t="shared" ca="1" si="22"/>
        <v>1I</v>
      </c>
      <c r="BN41" s="748" t="str">
        <f t="shared" ca="1" si="23"/>
        <v>1I</v>
      </c>
      <c r="BO41" s="757">
        <f t="shared" ca="1" si="28"/>
        <v>0</v>
      </c>
      <c r="BP41" s="757">
        <f ca="1">COUNTIFS($BO$6:$BO$53,"&gt;"&amp;BO41,$BC$6:$BC$53,INDEX(T_Equipos[Grupo],MATCH(BD41,T_Equipos[NombreEquipo],0)))+1</f>
        <v>1</v>
      </c>
      <c r="BQ41" s="757" t="str">
        <f ca="1">IF(COUNTIFS($BP$6:$BP$53,BP41,$BC$6:$BC$53,INDEX(T_Equipos[Grupo],MATCH(BD41,T_Equipos[NombreEquipo],0)))=1,"-","P."&amp;BP41&amp;" ("&amp;COUNTIFS($BP$6:$BP$53,BP41,$BC$6:$BC$53,INDEX(T_Equipos[Grupo],MATCH(BD41,T_Equipos[NombreEquipo],0)))&amp;")")</f>
        <v>P.1 (4)</v>
      </c>
      <c r="BR41" s="757">
        <f t="shared" ca="1" si="29"/>
        <v>3</v>
      </c>
      <c r="BS41" s="757">
        <f ca="1">BP41+COUNTIFS($BQ$6:$BQ$53,BQ41,$BR$6:BR$53,"&gt;"&amp;BR41,$BC$6:$BC$53,INDEX(T_Equipos[Grupo],MATCH(BD41,T_Equipos[NombreEquipo],0)))</f>
        <v>1</v>
      </c>
      <c r="BT41" s="757" t="str">
        <f ca="1">IF(COUNTIFS($BS$6:$BS$53,BS41,$BC$6:$BC$53,INDEX(T_Equipos[Grupo],MATCH(BD41,T_Equipos[NombreEquipo],0)))=1,"-","P."&amp;BS41&amp;" ("&amp;COUNTIFS($BS$6:$BS$53,BS41,$BC$6:$BC$53,INDEX(T_Equipos[Grupo],MATCH(BD41,T_Equipos[NombreEquipo],0)))&amp;")")</f>
        <v>P.1 (2)</v>
      </c>
      <c r="BU41" s="758">
        <f t="shared" ca="1" si="36"/>
        <v>0</v>
      </c>
      <c r="BV41" s="758">
        <f t="shared" ca="1" si="37"/>
        <v>0</v>
      </c>
      <c r="BW41" s="758">
        <f t="shared" ca="1" si="38"/>
        <v>0</v>
      </c>
      <c r="BX41" s="758">
        <f t="shared" ca="1" si="39"/>
        <v>0</v>
      </c>
      <c r="BY41" s="758">
        <f ca="1">BS41+COUNTIFS($BT$6:$BT$53,BT41,$BX$6:BX$53,"&gt;"&amp;BX41,$BC$6:$BC$53,INDEX(T_Equipos[Grupo],MATCH(BD41,T_Equipos[NombreEquipo],0)))</f>
        <v>1</v>
      </c>
      <c r="BZ41" s="757" t="str">
        <f ca="1">IF(COUNTIFS($BY$6:$BY$53,BY41,$BC$6:$BC$53,INDEX(T_Equipos[Grupo],MATCH(BD41,T_Equipos[NombreEquipo],0)))=1,"-","P."&amp;BY41&amp;" ("&amp;COUNTIFS($BY$6:$BY$53,BY41,$BC$6:$BC$53,INDEX(T_Equipos[Grupo],MATCH(BD41,T_Equipos[NombreEquipo],0)))&amp;")")</f>
        <v>P.1 (2)</v>
      </c>
      <c r="CA41" s="758">
        <f t="shared" ca="1" si="40"/>
        <v>0</v>
      </c>
      <c r="CB41" s="758">
        <f t="shared" ca="1" si="41"/>
        <v>0</v>
      </c>
      <c r="CC41" s="758">
        <f t="shared" ca="1" si="42"/>
        <v>0</v>
      </c>
      <c r="CD41" s="758">
        <f ca="1">BY41+COUNTIFS($BZ$6:$BZ$53,BZ41,$CC$6:CC$53,"&gt;"&amp;CC41,$BC$6:$BC$53,INDEX(T_Equipos[Grupo],MATCH(BD41,T_Equipos[NombreEquipo],0)))</f>
        <v>1</v>
      </c>
      <c r="CE41" s="757" t="str">
        <f ca="1">IF(COUNTIFS($CD$6:$CD$53,CD41,$BC$6:$BC$53,INDEX(T_Equipos[Grupo],MATCH(BD41,T_Equipos[NombreEquipo],0)))=1,"-","P."&amp;CD41&amp;" ("&amp;COUNTIFS($CD$6:$CD$53,CD41,$BC$6:$BC$53,INDEX(T_Equipos[Grupo],MATCH(BD41,T_Equipos[NombreEquipo],0)))&amp;")")</f>
        <v>P.1 (2)</v>
      </c>
      <c r="CF41" s="758">
        <f t="shared" ca="1" si="43"/>
        <v>0</v>
      </c>
      <c r="CG41" s="758">
        <f ca="1">CD41+COUNTIFS($CE$6:$CE$53,CE41,$CF$6:CF$53,"&gt;"&amp;CF41,$BC$6:$BC$53,INDEX(T_Equipos[Grupo],MATCH(BD41,T_Equipos[NombreEquipo],0)))</f>
        <v>1</v>
      </c>
      <c r="CH41" s="757" t="str">
        <f ca="1">IF(COUNTIFS($CG$6:$CG$53,CG41,$BC$6:$BC$53,INDEX(T_Equipos[Grupo],MATCH(BD41,T_Equipos[NombreEquipo],0)))=1,"-","P."&amp;CG41&amp;" ("&amp;COUNTIFS($CG$6:$CG$53,CG41,$BC$6:$BC$53,INDEX(T_Equipos[Grupo],MATCH(BD41,T_Equipos[NombreEquipo],0)))&amp;")")</f>
        <v>P.1 (2)</v>
      </c>
      <c r="CI41" s="758">
        <f t="shared" ca="1" si="44"/>
        <v>0</v>
      </c>
      <c r="CJ41" s="758">
        <f t="shared" ca="1" si="45"/>
        <v>0</v>
      </c>
      <c r="CK41" s="758">
        <f t="shared" ca="1" si="46"/>
        <v>0</v>
      </c>
      <c r="CL41" s="758">
        <f t="shared" ca="1" si="47"/>
        <v>0</v>
      </c>
      <c r="CM41" s="758">
        <f ca="1">CG41+COUNTIFS($CH$6:$CH$53,CH41,$CL$6:CL$53,"&gt;"&amp;CL41,$BC$6:$BC$53,INDEX(T_Equipos[Grupo],MATCH(BD41,T_Equipos[NombreEquipo],0)))</f>
        <v>1</v>
      </c>
      <c r="CN41" s="757" t="str">
        <f ca="1">IF(COUNTIFS($CM$6:$CM$53,CM41,$BC$6:$BC$53,INDEX(T_Equipos[Grupo],MATCH(BD41,T_Equipos[NombreEquipo],0)))=1,"-","P."&amp;CM41&amp;" ("&amp;COUNTIFS($CM$6:$CM$53,CM41,$BC$6:$BC$53,INDEX(T_Equipos[Grupo],MATCH(BD41,T_Equipos[NombreEquipo],0)))&amp;")")</f>
        <v>P.1 (2)</v>
      </c>
      <c r="CO41" s="758">
        <f t="shared" ca="1" si="48"/>
        <v>0</v>
      </c>
      <c r="CP41" s="758">
        <f t="shared" ca="1" si="49"/>
        <v>0</v>
      </c>
      <c r="CQ41" s="758">
        <f t="shared" ca="1" si="50"/>
        <v>0</v>
      </c>
      <c r="CR41" s="758">
        <f ca="1">CM41+COUNTIFS($CN$6:$CN$53,CN41,$CQ$6:CQ$53,"&gt;"&amp;CQ41,$BC$6:$BC$53,INDEX(T_Equipos[Grupo],MATCH(BD41,T_Equipos[NombreEquipo],0)))</f>
        <v>1</v>
      </c>
      <c r="CS41" s="757" t="str">
        <f ca="1">IF(COUNTIFS($CR$6:$CR$53,CR41,$BC$6:$BC$53,INDEX(T_Equipos[Grupo],MATCH(BD41,T_Equipos[NombreEquipo],0)))=1,"-","P."&amp;CR41&amp;" ("&amp;COUNTIFS($CR$6:$CR$53,CR41,$BC$6:$BC$53,INDEX(T_Equipos[Grupo],MATCH(BD41,T_Equipos[NombreEquipo],0)))&amp;")")</f>
        <v>P.1 (2)</v>
      </c>
      <c r="CT41" s="758">
        <f t="shared" ca="1" si="51"/>
        <v>0</v>
      </c>
      <c r="CU41" s="758">
        <f ca="1">CR41+COUNTIFS($CS$6:$CS$53,CS41,$CT$6:CT$53,"&gt;"&amp;CT41,$BC$6:$BC$53,INDEX(T_Equipos[Grupo],MATCH(BD41,T_Equipos[NombreEquipo],0)))</f>
        <v>1</v>
      </c>
      <c r="CV41" s="757" t="str">
        <f ca="1">IF(COUNTIFS($CU$6:$CU$53,CU41,$BC$6:$BC$53,INDEX(T_Equipos[Grupo],MATCH(BD41,T_Equipos[NombreEquipo],0)))=1,"-","P."&amp;CU41&amp;" ("&amp;COUNTIFS($CU$6:$CU$53,CU41,$BC$6:$BC$53,INDEX(T_Equipos[Grupo],MATCH(BD41,T_Equipos[NombreEquipo],0)))&amp;")")</f>
        <v>P.1 (2)</v>
      </c>
      <c r="CW41" s="757">
        <f t="shared" ca="1" si="30"/>
        <v>3</v>
      </c>
      <c r="CX41" s="757">
        <f ca="1">CU41+COUNTIFS($CV$6:$CV$53,CV41,$CW$6:CW$53,"&gt;"&amp;CW41,$BC$6:$BC$53,INDEX(T_Equipos[Grupo],MATCH(BD41,T_Equipos[NombreEquipo],0)))</f>
        <v>1</v>
      </c>
      <c r="CY41" s="757" t="str">
        <f ca="1">IF(COUNTIFS($CX$6:$CX$53,CX41,$BC$6:$BC$53,INDEX(T_Equipos[Grupo],MATCH(BD41,T_Equipos[NombreEquipo],0)))=1,"-","P."&amp;CX41&amp;" ("&amp;COUNTIFS($CX$6:$CX$53,CX41,$BC$6:$BC$53,INDEX(T_Equipos[Grupo],MATCH(BD41,T_Equipos[NombreEquipo],0)))&amp;")")</f>
        <v>-</v>
      </c>
      <c r="CZ41" s="757" t="str">
        <f t="shared" ca="1" si="31"/>
        <v>-</v>
      </c>
      <c r="DA41" s="758">
        <f ca="1">CX41+COUNTIFS($CY$6:$CY$53,CY41,$CZ$6:CZ$53,"&gt;"&amp;CZ41,$BC$6:$BC$53,INDEX(T_Equipos[Grupo],MATCH(BD41,T_Equipos[NombreEquipo],0)))</f>
        <v>1</v>
      </c>
      <c r="DB41" s="757" t="str">
        <f ca="1">IF(COUNTIFS($DA$6:$DA$53,DA41,$BC$6:$BC$53,INDEX(T_Equipos[Grupo],MATCH(BD41,T_Equipos[NombreEquipo],0)))=1,"-","P."&amp;DA41&amp;" ("&amp;COUNTIFS($DA$6:$DA$53,DA41,$BC$6:$BC$53,INDEX(T_Equipos[Grupo],MATCH(BD41,T_Equipos[NombreEquipo],0)))&amp;")")</f>
        <v>-</v>
      </c>
      <c r="DC41" s="756" t="str">
        <f ca="1">IF(DB41="-","-",COUNTIFS(T_Equipos[Rank],"&lt;"&amp;INDEX(T_Equipos[Rank],MATCH(BD41,T_Equipos[NombreEquipo],0)),$BC$6:$BC$53,INDEX(T_Equipos[Grupo],MATCH(BD41,T_Equipos[NombreEquipo],0)))+1)</f>
        <v>-</v>
      </c>
      <c r="DD41" s="756">
        <f ca="1">DA41+COUNTIFS($DB$6:$DB$53,DB41,$DC$6:DC$53,"&lt;"&amp;DC41,$BC$6:$BC$53,INDEX(T_Equipos[Grupo],MATCH(BD41,T_Equipos[NombreEquipo],0)))</f>
        <v>1</v>
      </c>
      <c r="DE41" s="756"/>
      <c r="DF41" s="756">
        <f t="shared" ca="1" si="52"/>
        <v>1</v>
      </c>
      <c r="DG41" s="756" t="str">
        <f ca="1">IF(DB41="-","-",COUNTIFS(DF$6:DF$53,"&lt;"&amp;DF41,$BC$6:$BC$53,INDEX(T_Equipos[Grupo],MATCH(BD41,T_Equipos[NombreEquipo],0))))</f>
        <v>-</v>
      </c>
      <c r="DH41" s="756">
        <f ca="1">DA41+COUNTIFS(DB$6:DB$53,DB41,DG$6:DG$53,"&lt;"&amp;DG41,$BC$6:$BC$53,INDEX(T_Equipos[Grupo],MATCH(BD41,T_Equipos[NombreEquipo],0)))</f>
        <v>1</v>
      </c>
      <c r="DI41" s="744"/>
      <c r="DJ41" s="744">
        <f t="shared" ca="1" si="53"/>
        <v>4</v>
      </c>
      <c r="DK41" s="744">
        <f t="shared" ca="1" si="24"/>
        <v>4</v>
      </c>
      <c r="DL41" s="744">
        <f t="shared" ca="1" si="33"/>
        <v>1</v>
      </c>
      <c r="DM41" s="738" t="str">
        <f t="shared" ca="1" si="34"/>
        <v>4.1</v>
      </c>
      <c r="DN41" s="744" cm="1">
        <f t="array" aca="1" ref="DN41" ca="1">OFFSET(Horarios!$P$3,DJ41-1,0,DL41,1)</f>
        <v>4</v>
      </c>
      <c r="DO41" s="744"/>
      <c r="DP41" s="744" t="s">
        <v>675</v>
      </c>
      <c r="DQ41" s="744" t="str">
        <f t="shared" ca="1" si="35"/>
        <v>Irak</v>
      </c>
      <c r="DR41" s="744"/>
      <c r="DS41" s="744"/>
      <c r="DT41" s="744" t="str">
        <f t="shared" ca="1" si="15"/>
        <v>Ecuador-Alemania</v>
      </c>
      <c r="DU41" s="744"/>
      <c r="DV41" s="744"/>
      <c r="DW41" s="8"/>
    </row>
    <row r="42" spans="1:127" ht="15" thickBot="1">
      <c r="A42" s="739"/>
      <c r="B42" s="739"/>
      <c r="C42" s="739"/>
      <c r="D42" s="744"/>
      <c r="E42" s="744"/>
      <c r="F42" s="744"/>
      <c r="G42" s="744"/>
      <c r="H42" s="744"/>
      <c r="I42" s="744"/>
      <c r="J42" s="744"/>
      <c r="K42" s="744"/>
      <c r="L42" s="744"/>
      <c r="M42" s="744"/>
      <c r="N42" s="744"/>
      <c r="O42" s="744"/>
      <c r="P42" s="744"/>
      <c r="Q42" s="744"/>
      <c r="R42" s="744"/>
      <c r="S42" s="744"/>
      <c r="T42" s="744"/>
      <c r="U42" s="744"/>
      <c r="V42" s="172"/>
      <c r="W42" s="242"/>
      <c r="X42" s="243"/>
      <c r="Y42" s="242"/>
      <c r="Z42" s="244"/>
      <c r="AA42" s="245"/>
      <c r="AB42" s="482"/>
      <c r="AC42" s="247"/>
      <c r="AD42" s="247"/>
      <c r="AE42" s="482"/>
      <c r="AF42" s="248"/>
      <c r="AG42" s="415"/>
      <c r="AH42" s="196"/>
      <c r="AI42" s="171"/>
      <c r="AJ42" s="249"/>
      <c r="AK42" s="250"/>
      <c r="AL42" s="186"/>
      <c r="AM42" s="251"/>
      <c r="AN42" s="249"/>
      <c r="AO42" s="249"/>
      <c r="AP42" s="249"/>
      <c r="AQ42" s="249"/>
      <c r="AR42" s="249"/>
      <c r="AS42" s="249"/>
      <c r="AT42" s="249"/>
      <c r="AU42" s="420"/>
      <c r="AV42" s="216"/>
      <c r="AW42" s="428"/>
      <c r="AX42" s="218"/>
      <c r="AY42" s="242"/>
      <c r="AZ42" s="243"/>
      <c r="BA42" s="175"/>
      <c r="BB42" s="744"/>
      <c r="BC42" s="756" t="str">
        <f ca="1">+INDEX(T_Equipos[Grupo],MATCH(WORLDCUP!BD42,T_Equipos[NombreEquipo],0))</f>
        <v>J</v>
      </c>
      <c r="BD42" s="744" t="str">
        <f ca="1">+Equipos!B38</f>
        <v>Argentina</v>
      </c>
      <c r="BE42" s="748">
        <f t="shared" ca="1" si="25"/>
        <v>3</v>
      </c>
      <c r="BF42" s="748">
        <f t="shared" ca="1" si="26"/>
        <v>1</v>
      </c>
      <c r="BG42" s="748">
        <f t="shared" ca="1" si="17"/>
        <v>1</v>
      </c>
      <c r="BH42" s="748">
        <f t="shared" ca="1" si="18"/>
        <v>0</v>
      </c>
      <c r="BI42" s="748">
        <f t="shared" ca="1" si="19"/>
        <v>0</v>
      </c>
      <c r="BJ42" s="748">
        <f t="shared" ca="1" si="20"/>
        <v>3</v>
      </c>
      <c r="BK42" s="748">
        <f t="shared" ca="1" si="21"/>
        <v>0</v>
      </c>
      <c r="BL42" s="748">
        <f t="shared" ca="1" si="27"/>
        <v>3</v>
      </c>
      <c r="BM42" s="748" t="str">
        <f t="shared" ca="1" si="22"/>
        <v>1J</v>
      </c>
      <c r="BN42" s="748" t="str">
        <f t="shared" ca="1" si="23"/>
        <v>1J</v>
      </c>
      <c r="BO42" s="758">
        <f t="shared" ca="1" si="28"/>
        <v>0</v>
      </c>
      <c r="BP42" s="757">
        <f ca="1">COUNTIFS($BO$6:$BO$53,"&gt;"&amp;BO42,$BC$6:$BC$53,INDEX(T_Equipos[Grupo],MATCH(BD42,T_Equipos[NombreEquipo],0)))+1</f>
        <v>1</v>
      </c>
      <c r="BQ42" s="757" t="str">
        <f ca="1">IF(COUNTIFS($BP$6:$BP$53,BP42,$BC$6:$BC$53,INDEX(T_Equipos[Grupo],MATCH(BD42,T_Equipos[NombreEquipo],0)))=1,"-","P."&amp;BP42&amp;" ("&amp;COUNTIFS($BP$6:$BP$53,BP42,$BC$6:$BC$53,INDEX(T_Equipos[Grupo],MATCH(BD42,T_Equipos[NombreEquipo],0)))&amp;")")</f>
        <v>P.1 (4)</v>
      </c>
      <c r="BR42" s="758">
        <f t="shared" ca="1" si="29"/>
        <v>3</v>
      </c>
      <c r="BS42" s="757">
        <f ca="1">BP42+COUNTIFS($BQ$6:$BQ$53,BQ42,$BR$6:BR$53,"&gt;"&amp;BR42,$BC$6:$BC$53,INDEX(T_Equipos[Grupo],MATCH(BD42,T_Equipos[NombreEquipo],0)))</f>
        <v>1</v>
      </c>
      <c r="BT42" s="757" t="str">
        <f ca="1">IF(COUNTIFS($BS$6:$BS$53,BS42,$BC$6:$BC$53,INDEX(T_Equipos[Grupo],MATCH(BD42,T_Equipos[NombreEquipo],0)))=1,"-","P."&amp;BS42&amp;" ("&amp;COUNTIFS($BS$6:$BS$53,BS42,$BC$6:$BC$53,INDEX(T_Equipos[Grupo],MATCH(BD42,T_Equipos[NombreEquipo],0)))&amp;")")</f>
        <v>P.1 (2)</v>
      </c>
      <c r="BU42" s="758">
        <f t="shared" ca="1" si="36"/>
        <v>0</v>
      </c>
      <c r="BV42" s="758">
        <f t="shared" ca="1" si="37"/>
        <v>0</v>
      </c>
      <c r="BW42" s="758">
        <f t="shared" ca="1" si="38"/>
        <v>0</v>
      </c>
      <c r="BX42" s="758">
        <f t="shared" ca="1" si="39"/>
        <v>0</v>
      </c>
      <c r="BY42" s="758">
        <f ca="1">BS42+COUNTIFS($BT$6:$BT$53,BT42,$BX$6:BX$53,"&gt;"&amp;BX42,$BC$6:$BC$53,INDEX(T_Equipos[Grupo],MATCH(BD42,T_Equipos[NombreEquipo],0)))</f>
        <v>1</v>
      </c>
      <c r="BZ42" s="757" t="str">
        <f ca="1">IF(COUNTIFS($BY$6:$BY$53,BY42,$BC$6:$BC$53,INDEX(T_Equipos[Grupo],MATCH(BD42,T_Equipos[NombreEquipo],0)))=1,"-","P."&amp;BY42&amp;" ("&amp;COUNTIFS($BY$6:$BY$53,BY42,$BC$6:$BC$53,INDEX(T_Equipos[Grupo],MATCH(BD42,T_Equipos[NombreEquipo],0)))&amp;")")</f>
        <v>P.1 (2)</v>
      </c>
      <c r="CA42" s="758">
        <f t="shared" ca="1" si="40"/>
        <v>0</v>
      </c>
      <c r="CB42" s="758">
        <f t="shared" ca="1" si="41"/>
        <v>0</v>
      </c>
      <c r="CC42" s="758">
        <f t="shared" ca="1" si="42"/>
        <v>0</v>
      </c>
      <c r="CD42" s="758">
        <f ca="1">BY42+COUNTIFS($BZ$6:$BZ$53,BZ42,$CC$6:CC$53,"&gt;"&amp;CC42,$BC$6:$BC$53,INDEX(T_Equipos[Grupo],MATCH(BD42,T_Equipos[NombreEquipo],0)))</f>
        <v>1</v>
      </c>
      <c r="CE42" s="757" t="str">
        <f ca="1">IF(COUNTIFS($CD$6:$CD$53,CD42,$BC$6:$BC$53,INDEX(T_Equipos[Grupo],MATCH(BD42,T_Equipos[NombreEquipo],0)))=1,"-","P."&amp;CD42&amp;" ("&amp;COUNTIFS($CD$6:$CD$53,CD42,$BC$6:$BC$53,INDEX(T_Equipos[Grupo],MATCH(BD42,T_Equipos[NombreEquipo],0)))&amp;")")</f>
        <v>P.1 (2)</v>
      </c>
      <c r="CF42" s="758">
        <f t="shared" ca="1" si="43"/>
        <v>0</v>
      </c>
      <c r="CG42" s="758">
        <f ca="1">CD42+COUNTIFS($CE$6:$CE$53,CE42,$CF$6:CF$53,"&gt;"&amp;CF42,$BC$6:$BC$53,INDEX(T_Equipos[Grupo],MATCH(BD42,T_Equipos[NombreEquipo],0)))</f>
        <v>1</v>
      </c>
      <c r="CH42" s="757" t="str">
        <f ca="1">IF(COUNTIFS($CG$6:$CG$53,CG42,$BC$6:$BC$53,INDEX(T_Equipos[Grupo],MATCH(BD42,T_Equipos[NombreEquipo],0)))=1,"-","P."&amp;CG42&amp;" ("&amp;COUNTIFS($CG$6:$CG$53,CG42,$BC$6:$BC$53,INDEX(T_Equipos[Grupo],MATCH(BD42,T_Equipos[NombreEquipo],0)))&amp;")")</f>
        <v>P.1 (2)</v>
      </c>
      <c r="CI42" s="758">
        <f t="shared" ca="1" si="44"/>
        <v>0</v>
      </c>
      <c r="CJ42" s="758">
        <f t="shared" ca="1" si="45"/>
        <v>0</v>
      </c>
      <c r="CK42" s="758">
        <f t="shared" ca="1" si="46"/>
        <v>0</v>
      </c>
      <c r="CL42" s="758">
        <f t="shared" ca="1" si="47"/>
        <v>0</v>
      </c>
      <c r="CM42" s="758">
        <f ca="1">CG42+COUNTIFS($CH$6:$CH$53,CH42,$CL$6:CL$53,"&gt;"&amp;CL42,$BC$6:$BC$53,INDEX(T_Equipos[Grupo],MATCH(BD42,T_Equipos[NombreEquipo],0)))</f>
        <v>1</v>
      </c>
      <c r="CN42" s="757" t="str">
        <f ca="1">IF(COUNTIFS($CM$6:$CM$53,CM42,$BC$6:$BC$53,INDEX(T_Equipos[Grupo],MATCH(BD42,T_Equipos[NombreEquipo],0)))=1,"-","P."&amp;CM42&amp;" ("&amp;COUNTIFS($CM$6:$CM$53,CM42,$BC$6:$BC$53,INDEX(T_Equipos[Grupo],MATCH(BD42,T_Equipos[NombreEquipo],0)))&amp;")")</f>
        <v>P.1 (2)</v>
      </c>
      <c r="CO42" s="758">
        <f t="shared" ca="1" si="48"/>
        <v>0</v>
      </c>
      <c r="CP42" s="758">
        <f t="shared" ca="1" si="49"/>
        <v>0</v>
      </c>
      <c r="CQ42" s="758">
        <f t="shared" ca="1" si="50"/>
        <v>0</v>
      </c>
      <c r="CR42" s="758">
        <f ca="1">CM42+COUNTIFS($CN$6:$CN$53,CN42,$CQ$6:CQ$53,"&gt;"&amp;CQ42,$BC$6:$BC$53,INDEX(T_Equipos[Grupo],MATCH(BD42,T_Equipos[NombreEquipo],0)))</f>
        <v>1</v>
      </c>
      <c r="CS42" s="757" t="str">
        <f ca="1">IF(COUNTIFS($CR$6:$CR$53,CR42,$BC$6:$BC$53,INDEX(T_Equipos[Grupo],MATCH(BD42,T_Equipos[NombreEquipo],0)))=1,"-","P."&amp;CR42&amp;" ("&amp;COUNTIFS($CR$6:$CR$53,CR42,$BC$6:$BC$53,INDEX(T_Equipos[Grupo],MATCH(BD42,T_Equipos[NombreEquipo],0)))&amp;")")</f>
        <v>P.1 (2)</v>
      </c>
      <c r="CT42" s="758">
        <f t="shared" ca="1" si="51"/>
        <v>0</v>
      </c>
      <c r="CU42" s="758">
        <f ca="1">CR42+COUNTIFS($CS$6:$CS$53,CS42,$CT$6:CT$53,"&gt;"&amp;CT42,$BC$6:$BC$53,INDEX(T_Equipos[Grupo],MATCH(BD42,T_Equipos[NombreEquipo],0)))</f>
        <v>1</v>
      </c>
      <c r="CV42" s="757" t="str">
        <f ca="1">IF(COUNTIFS($CU$6:$CU$53,CU42,$BC$6:$BC$53,INDEX(T_Equipos[Grupo],MATCH(BD42,T_Equipos[NombreEquipo],0)))=1,"-","P."&amp;CU42&amp;" ("&amp;COUNTIFS($CU$6:$CU$53,CU42,$BC$6:$BC$53,INDEX(T_Equipos[Grupo],MATCH(BD42,T_Equipos[NombreEquipo],0)))&amp;")")</f>
        <v>P.1 (2)</v>
      </c>
      <c r="CW42" s="757">
        <f t="shared" ca="1" si="30"/>
        <v>3</v>
      </c>
      <c r="CX42" s="757">
        <f ca="1">CU42+COUNTIFS($CV$6:$CV$53,CV42,$CW$6:CW$53,"&gt;"&amp;CW42,$BC$6:$BC$53,INDEX(T_Equipos[Grupo],MATCH(BD42,T_Equipos[NombreEquipo],0)))</f>
        <v>1</v>
      </c>
      <c r="CY42" s="757" t="str">
        <f ca="1">IF(COUNTIFS($CX$6:$CX$53,CX42,$BC$6:$BC$53,INDEX(T_Equipos[Grupo],MATCH(BD42,T_Equipos[NombreEquipo],0)))=1,"-","P."&amp;CX42&amp;" ("&amp;COUNTIFS($CX$6:$CX$53,CX42,$BC$6:$BC$53,INDEX(T_Equipos[Grupo],MATCH(BD42,T_Equipos[NombreEquipo],0)))&amp;")")</f>
        <v>-</v>
      </c>
      <c r="CZ42" s="757" t="str">
        <f t="shared" ca="1" si="31"/>
        <v>-</v>
      </c>
      <c r="DA42" s="758">
        <f ca="1">CX42+COUNTIFS($CY$6:$CY$53,CY42,$CZ$6:CZ$53,"&gt;"&amp;CZ42,$BC$6:$BC$53,INDEX(T_Equipos[Grupo],MATCH(BD42,T_Equipos[NombreEquipo],0)))</f>
        <v>1</v>
      </c>
      <c r="DB42" s="757" t="str">
        <f ca="1">IF(COUNTIFS($DA$6:$DA$53,DA42,$BC$6:$BC$53,INDEX(T_Equipos[Grupo],MATCH(BD42,T_Equipos[NombreEquipo],0)))=1,"-","P."&amp;DA42&amp;" ("&amp;COUNTIFS($DA$6:$DA$53,DA42,$BC$6:$BC$53,INDEX(T_Equipos[Grupo],MATCH(BD42,T_Equipos[NombreEquipo],0)))&amp;")")</f>
        <v>-</v>
      </c>
      <c r="DC42" s="756" t="str">
        <f ca="1">IF(DB42="-","-",COUNTIFS(T_Equipos[Rank],"&lt;"&amp;INDEX(T_Equipos[Rank],MATCH(BD42,T_Equipos[NombreEquipo],0)),$BC$6:$BC$53,INDEX(T_Equipos[Grupo],MATCH(BD42,T_Equipos[NombreEquipo],0)))+1)</f>
        <v>-</v>
      </c>
      <c r="DD42" s="756">
        <f ca="1">DA42+COUNTIFS($DB$6:$DB$53,DB42,$DC$6:DC$53,"&lt;"&amp;DC42,$BC$6:$BC$53,INDEX(T_Equipos[Grupo],MATCH(BD42,T_Equipos[NombreEquipo],0)))</f>
        <v>1</v>
      </c>
      <c r="DE42" s="756"/>
      <c r="DF42" s="756">
        <f t="shared" ca="1" si="52"/>
        <v>1</v>
      </c>
      <c r="DG42" s="756" t="str">
        <f ca="1">IF(DB42="-","-",COUNTIFS(DF$6:DF$53,"&lt;"&amp;DF42,$BC$6:$BC$53,INDEX(T_Equipos[Grupo],MATCH(BD42,T_Equipos[NombreEquipo],0))))</f>
        <v>-</v>
      </c>
      <c r="DH42" s="756">
        <f ca="1">DA42+COUNTIFS(DB$6:DB$53,DB42,DG$6:DG$53,"&lt;"&amp;DG42,$BC$6:$BC$53,INDEX(T_Equipos[Grupo],MATCH(BD42,T_Equipos[NombreEquipo],0)))</f>
        <v>1</v>
      </c>
      <c r="DI42" s="744"/>
      <c r="DJ42" s="744">
        <f t="shared" ca="1" si="53"/>
        <v>1</v>
      </c>
      <c r="DK42" s="744">
        <f t="shared" ca="1" si="24"/>
        <v>4</v>
      </c>
      <c r="DL42" s="744">
        <f t="shared" ca="1" si="33"/>
        <v>1</v>
      </c>
      <c r="DM42" s="738" t="str">
        <f t="shared" ca="1" si="34"/>
        <v>1.1</v>
      </c>
      <c r="DN42" s="744" cm="1">
        <f t="array" aca="1" ref="DN42" ca="1">OFFSET(Horarios!$P$3,DJ42-1,0,DL42,1)</f>
        <v>1</v>
      </c>
      <c r="DO42" s="744"/>
      <c r="DP42" s="744" t="s">
        <v>676</v>
      </c>
      <c r="DQ42" s="744" t="str">
        <f t="shared" ca="1" si="35"/>
        <v>Argentina</v>
      </c>
      <c r="DR42" s="744"/>
      <c r="DS42" s="744"/>
      <c r="DT42" s="744" t="str">
        <f t="shared" si="15"/>
        <v>-</v>
      </c>
      <c r="DU42" s="744"/>
      <c r="DV42" s="744"/>
      <c r="DW42" s="8"/>
    </row>
    <row r="43" spans="1:127" ht="15" thickBot="1">
      <c r="A43" s="739"/>
      <c r="B43" s="742"/>
      <c r="C43" s="739"/>
      <c r="D43" s="739"/>
      <c r="E43" s="739"/>
      <c r="F43" s="739"/>
      <c r="G43" s="739"/>
      <c r="H43" s="739"/>
      <c r="I43" s="739"/>
      <c r="J43" s="739"/>
      <c r="K43" s="739"/>
      <c r="L43" s="739"/>
      <c r="M43" s="739"/>
      <c r="N43" s="744"/>
      <c r="O43" s="744"/>
      <c r="P43" s="744"/>
      <c r="Q43" s="744"/>
      <c r="R43" s="744"/>
      <c r="S43" s="744"/>
      <c r="T43" s="744"/>
      <c r="U43" s="744"/>
      <c r="V43" s="172"/>
      <c r="W43" s="179"/>
      <c r="X43" s="180" t="str">
        <f>X27</f>
        <v>Fecha</v>
      </c>
      <c r="Y43" s="180" t="str">
        <f>Y27</f>
        <v>Hora</v>
      </c>
      <c r="Z43" s="181" t="str">
        <f t="shared" ref="Z43:AA43" si="134">Z27</f>
        <v>Jor.</v>
      </c>
      <c r="AA43" s="182" t="str">
        <f t="shared" si="134"/>
        <v>Casa</v>
      </c>
      <c r="AB43" s="181"/>
      <c r="AC43" s="181" t="str">
        <f>AC3</f>
        <v>Gol</v>
      </c>
      <c r="AD43" s="181" t="str">
        <f>AD3</f>
        <v>Gol</v>
      </c>
      <c r="AE43" s="181"/>
      <c r="AF43" s="184" t="str">
        <f t="shared" ref="AF43" si="135">AF27</f>
        <v>Fuera</v>
      </c>
      <c r="AG43" s="414"/>
      <c r="AH43" s="196"/>
      <c r="AI43" s="18"/>
      <c r="AJ43" s="186"/>
      <c r="AK43" s="252"/>
      <c r="AL43" s="186"/>
      <c r="AM43" s="186"/>
      <c r="AN43" s="186"/>
      <c r="AO43" s="186"/>
      <c r="AP43" s="186"/>
      <c r="AQ43" s="186"/>
      <c r="AR43" s="186"/>
      <c r="AS43" s="186"/>
      <c r="AT43" s="186"/>
      <c r="AU43" s="421"/>
      <c r="AV43" s="22"/>
      <c r="AW43" s="429"/>
      <c r="AX43" s="253"/>
      <c r="AY43" s="242"/>
      <c r="AZ43" s="243"/>
      <c r="BA43" s="175"/>
      <c r="BB43" s="744"/>
      <c r="BC43" s="756" t="str">
        <f ca="1">+INDEX(T_Equipos[Grupo],MATCH(WORLDCUP!BD43,T_Equipos[NombreEquipo],0))</f>
        <v>J</v>
      </c>
      <c r="BD43" s="744" t="str">
        <f ca="1">+Equipos!B39</f>
        <v>Argelia</v>
      </c>
      <c r="BE43" s="748">
        <f t="shared" ca="1" si="25"/>
        <v>0</v>
      </c>
      <c r="BF43" s="748">
        <f t="shared" ca="1" si="26"/>
        <v>1</v>
      </c>
      <c r="BG43" s="748">
        <f t="shared" ca="1" si="17"/>
        <v>0</v>
      </c>
      <c r="BH43" s="748">
        <f t="shared" ca="1" si="18"/>
        <v>0</v>
      </c>
      <c r="BI43" s="748">
        <f t="shared" ca="1" si="19"/>
        <v>1</v>
      </c>
      <c r="BJ43" s="748">
        <f t="shared" ca="1" si="20"/>
        <v>0</v>
      </c>
      <c r="BK43" s="748">
        <f t="shared" ca="1" si="21"/>
        <v>3</v>
      </c>
      <c r="BL43" s="748">
        <f t="shared" ca="1" si="27"/>
        <v>-3</v>
      </c>
      <c r="BM43" s="748" t="str">
        <f t="shared" ca="1" si="22"/>
        <v>4J</v>
      </c>
      <c r="BN43" s="748" t="str">
        <f t="shared" ca="1" si="23"/>
        <v>4J</v>
      </c>
      <c r="BO43" s="758">
        <f t="shared" ca="1" si="28"/>
        <v>0</v>
      </c>
      <c r="BP43" s="757">
        <f ca="1">COUNTIFS($BO$6:$BO$53,"&gt;"&amp;BO43,$BC$6:$BC$53,INDEX(T_Equipos[Grupo],MATCH(BD43,T_Equipos[NombreEquipo],0)))+1</f>
        <v>1</v>
      </c>
      <c r="BQ43" s="757" t="str">
        <f ca="1">IF(COUNTIFS($BP$6:$BP$53,BP43,$BC$6:$BC$53,INDEX(T_Equipos[Grupo],MATCH(BD43,T_Equipos[NombreEquipo],0)))=1,"-","P."&amp;BP43&amp;" ("&amp;COUNTIFS($BP$6:$BP$53,BP43,$BC$6:$BC$53,INDEX(T_Equipos[Grupo],MATCH(BD43,T_Equipos[NombreEquipo],0)))&amp;")")</f>
        <v>P.1 (4)</v>
      </c>
      <c r="BR43" s="758">
        <f t="shared" ca="1" si="29"/>
        <v>0</v>
      </c>
      <c r="BS43" s="757">
        <f ca="1">BP43+COUNTIFS($BQ$6:$BQ$53,BQ43,$BR$6:BR$53,"&gt;"&amp;BR43,$BC$6:$BC$53,INDEX(T_Equipos[Grupo],MATCH(BD43,T_Equipos[NombreEquipo],0)))</f>
        <v>3</v>
      </c>
      <c r="BT43" s="757" t="str">
        <f ca="1">IF(COUNTIFS($BS$6:$BS$53,BS43,$BC$6:$BC$53,INDEX(T_Equipos[Grupo],MATCH(BD43,T_Equipos[NombreEquipo],0)))=1,"-","P."&amp;BS43&amp;" ("&amp;COUNTIFS($BS$6:$BS$53,BS43,$BC$6:$BC$53,INDEX(T_Equipos[Grupo],MATCH(BD43,T_Equipos[NombreEquipo],0)))&amp;")")</f>
        <v>P.3 (2)</v>
      </c>
      <c r="BU43" s="758">
        <f t="shared" ca="1" si="36"/>
        <v>0</v>
      </c>
      <c r="BV43" s="758">
        <f t="shared" ca="1" si="37"/>
        <v>0</v>
      </c>
      <c r="BW43" s="758">
        <f t="shared" ca="1" si="38"/>
        <v>0</v>
      </c>
      <c r="BX43" s="758">
        <f t="shared" ca="1" si="39"/>
        <v>0</v>
      </c>
      <c r="BY43" s="758">
        <f ca="1">BS43+COUNTIFS($BT$6:$BT$53,BT43,$BX$6:BX$53,"&gt;"&amp;BX43,$BC$6:$BC$53,INDEX(T_Equipos[Grupo],MATCH(BD43,T_Equipos[NombreEquipo],0)))</f>
        <v>3</v>
      </c>
      <c r="BZ43" s="757" t="str">
        <f ca="1">IF(COUNTIFS($BY$6:$BY$53,BY43,$BC$6:$BC$53,INDEX(T_Equipos[Grupo],MATCH(BD43,T_Equipos[NombreEquipo],0)))=1,"-","P."&amp;BY43&amp;" ("&amp;COUNTIFS($BY$6:$BY$53,BY43,$BC$6:$BC$53,INDEX(T_Equipos[Grupo],MATCH(BD43,T_Equipos[NombreEquipo],0)))&amp;")")</f>
        <v>P.3 (2)</v>
      </c>
      <c r="CA43" s="758">
        <f t="shared" ca="1" si="40"/>
        <v>0</v>
      </c>
      <c r="CB43" s="758">
        <f t="shared" ca="1" si="41"/>
        <v>0</v>
      </c>
      <c r="CC43" s="758">
        <f t="shared" ca="1" si="42"/>
        <v>0</v>
      </c>
      <c r="CD43" s="758">
        <f ca="1">BY43+COUNTIFS($BZ$6:$BZ$53,BZ43,$CC$6:CC$53,"&gt;"&amp;CC43,$BC$6:$BC$53,INDEX(T_Equipos[Grupo],MATCH(BD43,T_Equipos[NombreEquipo],0)))</f>
        <v>3</v>
      </c>
      <c r="CE43" s="757" t="str">
        <f ca="1">IF(COUNTIFS($CD$6:$CD$53,CD43,$BC$6:$BC$53,INDEX(T_Equipos[Grupo],MATCH(BD43,T_Equipos[NombreEquipo],0)))=1,"-","P."&amp;CD43&amp;" ("&amp;COUNTIFS($CD$6:$CD$53,CD43,$BC$6:$BC$53,INDEX(T_Equipos[Grupo],MATCH(BD43,T_Equipos[NombreEquipo],0)))&amp;")")</f>
        <v>P.3 (2)</v>
      </c>
      <c r="CF43" s="758">
        <f t="shared" ca="1" si="43"/>
        <v>0</v>
      </c>
      <c r="CG43" s="758">
        <f ca="1">CD43+COUNTIFS($CE$6:$CE$53,CE43,$CF$6:CF$53,"&gt;"&amp;CF43,$BC$6:$BC$53,INDEX(T_Equipos[Grupo],MATCH(BD43,T_Equipos[NombreEquipo],0)))</f>
        <v>3</v>
      </c>
      <c r="CH43" s="757" t="str">
        <f ca="1">IF(COUNTIFS($CG$6:$CG$53,CG43,$BC$6:$BC$53,INDEX(T_Equipos[Grupo],MATCH(BD43,T_Equipos[NombreEquipo],0)))=1,"-","P."&amp;CG43&amp;" ("&amp;COUNTIFS($CG$6:$CG$53,CG43,$BC$6:$BC$53,INDEX(T_Equipos[Grupo],MATCH(BD43,T_Equipos[NombreEquipo],0)))&amp;")")</f>
        <v>P.3 (2)</v>
      </c>
      <c r="CI43" s="758">
        <f t="shared" ca="1" si="44"/>
        <v>0</v>
      </c>
      <c r="CJ43" s="758">
        <f t="shared" ca="1" si="45"/>
        <v>0</v>
      </c>
      <c r="CK43" s="758">
        <f t="shared" ca="1" si="46"/>
        <v>0</v>
      </c>
      <c r="CL43" s="758">
        <f t="shared" ca="1" si="47"/>
        <v>0</v>
      </c>
      <c r="CM43" s="758">
        <f ca="1">CG43+COUNTIFS($CH$6:$CH$53,CH43,$CL$6:CL$53,"&gt;"&amp;CL43,$BC$6:$BC$53,INDEX(T_Equipos[Grupo],MATCH(BD43,T_Equipos[NombreEquipo],0)))</f>
        <v>3</v>
      </c>
      <c r="CN43" s="757" t="str">
        <f ca="1">IF(COUNTIFS($CM$6:$CM$53,CM43,$BC$6:$BC$53,INDEX(T_Equipos[Grupo],MATCH(BD43,T_Equipos[NombreEquipo],0)))=1,"-","P."&amp;CM43&amp;" ("&amp;COUNTIFS($CM$6:$CM$53,CM43,$BC$6:$BC$53,INDEX(T_Equipos[Grupo],MATCH(BD43,T_Equipos[NombreEquipo],0)))&amp;")")</f>
        <v>P.3 (2)</v>
      </c>
      <c r="CO43" s="758">
        <f t="shared" ca="1" si="48"/>
        <v>0</v>
      </c>
      <c r="CP43" s="758">
        <f t="shared" ca="1" si="49"/>
        <v>0</v>
      </c>
      <c r="CQ43" s="758">
        <f t="shared" ca="1" si="50"/>
        <v>0</v>
      </c>
      <c r="CR43" s="758">
        <f ca="1">CM43+COUNTIFS($CN$6:$CN$53,CN43,$CQ$6:CQ$53,"&gt;"&amp;CQ43,$BC$6:$BC$53,INDEX(T_Equipos[Grupo],MATCH(BD43,T_Equipos[NombreEquipo],0)))</f>
        <v>3</v>
      </c>
      <c r="CS43" s="757" t="str">
        <f ca="1">IF(COUNTIFS($CR$6:$CR$53,CR43,$BC$6:$BC$53,INDEX(T_Equipos[Grupo],MATCH(BD43,T_Equipos[NombreEquipo],0)))=1,"-","P."&amp;CR43&amp;" ("&amp;COUNTIFS($CR$6:$CR$53,CR43,$BC$6:$BC$53,INDEX(T_Equipos[Grupo],MATCH(BD43,T_Equipos[NombreEquipo],0)))&amp;")")</f>
        <v>P.3 (2)</v>
      </c>
      <c r="CT43" s="758">
        <f t="shared" ca="1" si="51"/>
        <v>0</v>
      </c>
      <c r="CU43" s="758">
        <f ca="1">CR43+COUNTIFS($CS$6:$CS$53,CS43,$CT$6:CT$53,"&gt;"&amp;CT43,$BC$6:$BC$53,INDEX(T_Equipos[Grupo],MATCH(BD43,T_Equipos[NombreEquipo],0)))</f>
        <v>3</v>
      </c>
      <c r="CV43" s="757" t="str">
        <f ca="1">IF(COUNTIFS($CU$6:$CU$53,CU43,$BC$6:$BC$53,INDEX(T_Equipos[Grupo],MATCH(BD43,T_Equipos[NombreEquipo],0)))=1,"-","P."&amp;CU43&amp;" ("&amp;COUNTIFS($CU$6:$CU$53,CU43,$BC$6:$BC$53,INDEX(T_Equipos[Grupo],MATCH(BD43,T_Equipos[NombreEquipo],0)))&amp;")")</f>
        <v>P.3 (2)</v>
      </c>
      <c r="CW43" s="757">
        <f t="shared" ca="1" si="30"/>
        <v>-3</v>
      </c>
      <c r="CX43" s="757">
        <f ca="1">CU43+COUNTIFS($CV$6:$CV$53,CV43,$CW$6:CW$53,"&gt;"&amp;CW43,$BC$6:$BC$53,INDEX(T_Equipos[Grupo],MATCH(BD43,T_Equipos[NombreEquipo],0)))</f>
        <v>4</v>
      </c>
      <c r="CY43" s="757" t="str">
        <f ca="1">IF(COUNTIFS($CX$6:$CX$53,CX43,$BC$6:$BC$53,INDEX(T_Equipos[Grupo],MATCH(BD43,T_Equipos[NombreEquipo],0)))=1,"-","P."&amp;CX43&amp;" ("&amp;COUNTIFS($CX$6:$CX$53,CX43,$BC$6:$BC$53,INDEX(T_Equipos[Grupo],MATCH(BD43,T_Equipos[NombreEquipo],0)))&amp;")")</f>
        <v>-</v>
      </c>
      <c r="CZ43" s="757" t="str">
        <f t="shared" ca="1" si="31"/>
        <v>-</v>
      </c>
      <c r="DA43" s="758">
        <f ca="1">CX43+COUNTIFS($CY$6:$CY$53,CY43,$CZ$6:CZ$53,"&gt;"&amp;CZ43,$BC$6:$BC$53,INDEX(T_Equipos[Grupo],MATCH(BD43,T_Equipos[NombreEquipo],0)))</f>
        <v>4</v>
      </c>
      <c r="DB43" s="757" t="str">
        <f ca="1">IF(COUNTIFS($DA$6:$DA$53,DA43,$BC$6:$BC$53,INDEX(T_Equipos[Grupo],MATCH(BD43,T_Equipos[NombreEquipo],0)))=1,"-","P."&amp;DA43&amp;" ("&amp;COUNTIFS($DA$6:$DA$53,DA43,$BC$6:$BC$53,INDEX(T_Equipos[Grupo],MATCH(BD43,T_Equipos[NombreEquipo],0)))&amp;")")</f>
        <v>-</v>
      </c>
      <c r="DC43" s="756" t="str">
        <f ca="1">IF(DB43="-","-",COUNTIFS(T_Equipos[Rank],"&lt;"&amp;INDEX(T_Equipos[Rank],MATCH(BD43,T_Equipos[NombreEquipo],0)),$BC$6:$BC$53,INDEX(T_Equipos[Grupo],MATCH(BD43,T_Equipos[NombreEquipo],0)))+1)</f>
        <v>-</v>
      </c>
      <c r="DD43" s="756">
        <f ca="1">DA43+COUNTIFS($DB$6:$DB$53,DB43,$DC$6:DC$53,"&lt;"&amp;DC43,$BC$6:$BC$53,INDEX(T_Equipos[Grupo],MATCH(BD43,T_Equipos[NombreEquipo],0)))</f>
        <v>4</v>
      </c>
      <c r="DE43" s="756"/>
      <c r="DF43" s="756">
        <f t="shared" ca="1" si="52"/>
        <v>4</v>
      </c>
      <c r="DG43" s="756" t="str">
        <f ca="1">IF(DB43="-","-",COUNTIFS(DF$6:DF$53,"&lt;"&amp;DF43,$BC$6:$BC$53,INDEX(T_Equipos[Grupo],MATCH(BD43,T_Equipos[NombreEquipo],0))))</f>
        <v>-</v>
      </c>
      <c r="DH43" s="756">
        <f ca="1">DA43+COUNTIFS(DB$6:DB$53,DB43,DG$6:DG$53,"&lt;"&amp;DG43,$BC$6:$BC$53,INDEX(T_Equipos[Grupo],MATCH(BD43,T_Equipos[NombreEquipo],0)))</f>
        <v>4</v>
      </c>
      <c r="DI43" s="744"/>
      <c r="DJ43" s="744">
        <f t="shared" ca="1" si="53"/>
        <v>2</v>
      </c>
      <c r="DK43" s="744">
        <f t="shared" ca="1" si="24"/>
        <v>4</v>
      </c>
      <c r="DL43" s="744">
        <f t="shared" ca="1" si="33"/>
        <v>1</v>
      </c>
      <c r="DM43" s="738" t="str">
        <f t="shared" ca="1" si="34"/>
        <v>2.1</v>
      </c>
      <c r="DN43" s="744" cm="1">
        <f t="array" aca="1" ref="DN43" ca="1">OFFSET(Horarios!$P$3,DJ43-1,0,DL43,1)</f>
        <v>2</v>
      </c>
      <c r="DO43" s="744"/>
      <c r="DP43" s="744" t="s">
        <v>677</v>
      </c>
      <c r="DQ43" s="744" t="str">
        <f t="shared" ca="1" si="35"/>
        <v>Austria</v>
      </c>
      <c r="DR43" s="744"/>
      <c r="DS43" s="744"/>
      <c r="DT43" s="744" t="str">
        <f t="shared" si="15"/>
        <v>Casa-Fuera</v>
      </c>
      <c r="DU43" s="744"/>
      <c r="DV43" s="744"/>
      <c r="DW43" s="8"/>
    </row>
    <row r="44" spans="1:127" ht="16.05" customHeight="1" thickBot="1">
      <c r="A44" s="741" t="s">
        <v>30</v>
      </c>
      <c r="B44" s="742" t="s">
        <v>4</v>
      </c>
      <c r="C44" s="743">
        <f>COUNTIF(Equipos!$C$2:$C$49,WORLDCUP!B44)</f>
        <v>4</v>
      </c>
      <c r="D44" s="744" t="str">
        <f t="shared" ref="D44:D50" si="136">IF(OR(AC44="",AD44=""),"Pendiente",IF(AC44&gt;AD44,"Local",IF(AC44&lt;AD44,"Visitante","Empate")))</f>
        <v>Empate</v>
      </c>
      <c r="E44" s="744" t="str">
        <f t="shared" ref="E44:E49" ca="1" si="137">IF(D44="Pendiente","-",INDEX($BT$6:$BT$53,MATCH($AA44,$BD$6:$BD$53,0)))</f>
        <v>P.2 (2)</v>
      </c>
      <c r="F44" s="744" t="str">
        <f t="shared" ref="F44:F49" ca="1" si="138">IF(D44="Pendiente","-",INDEX($BT$6:$BT$53,MATCH($AF44,$BD$6:$BD$53,0)))</f>
        <v>P.2 (2)</v>
      </c>
      <c r="G44" s="744"/>
      <c r="H44" s="744" t="str">
        <f t="shared" ref="H44:H49" ca="1" si="139">IF(D44="Pendiente","-",INDEX($BZ$6:$BZ$53,MATCH($AA44,$BD$6:$BD$53,0)))</f>
        <v>P.2 (2)</v>
      </c>
      <c r="I44" s="744" t="str">
        <f t="shared" ref="I44:I49" ca="1" si="140">IF(D44="Pendiente","-",INDEX($BZ$6:$BZ$53,MATCH($AF44,$BD$6:$BD$53,0)))</f>
        <v>P.2 (2)</v>
      </c>
      <c r="J44" s="744"/>
      <c r="K44" s="744" t="str">
        <f t="shared" ref="K44:K49" ca="1" si="141">IF(D44="Pendiente","-",INDEX($CE$6:$CE$53,MATCH($AA44,$BD$6:$BD$53,0)))</f>
        <v>P.2 (2)</v>
      </c>
      <c r="L44" s="744" t="str">
        <f t="shared" ref="L44:L49" ca="1" si="142">IF(D44="Pendiente","-",INDEX($CE$6:$CE$53,MATCH($AF44,$BD$6:$BD$53,0)))</f>
        <v>P.2 (2)</v>
      </c>
      <c r="M44" s="744"/>
      <c r="N44" s="744" t="str">
        <f t="shared" ref="N44:N49" ca="1" si="143">IF(D44="Pendiente","-",INDEX($CH$6:$CH$53,MATCH($AA44,$BD$6:$BD$53,0)))</f>
        <v>P.2 (2)</v>
      </c>
      <c r="O44" s="744" t="str">
        <f t="shared" ref="O44:O49" ca="1" si="144">IF(D44="Pendiente","-",INDEX($CH$6:$CH$53,MATCH($AF44,$BD$6:$BD$53,0)))</f>
        <v>P.2 (2)</v>
      </c>
      <c r="P44" s="744"/>
      <c r="Q44" s="744" t="str">
        <f t="shared" ref="Q44:Q49" ca="1" si="145">IF(D44="Pendiente","-",INDEX($CN$6:$CN$53,MATCH($AA44,$BD$6:$BD$53,0)))</f>
        <v>P.2 (2)</v>
      </c>
      <c r="R44" s="744" t="str">
        <f t="shared" ref="R44:R49" ca="1" si="146">IF(D44="Pendiente","-",INDEX($CN$6:$CN$53,MATCH($AF44,$BD$6:$BD$53,0)))</f>
        <v>P.2 (2)</v>
      </c>
      <c r="S44" s="744"/>
      <c r="T44" s="744" t="str">
        <f t="shared" ref="T44:T49" ca="1" si="147">IF(D44="Pendiente","-",INDEX($CS$6:$CS$53,MATCH($AA44,$BD$6:$BD$53,0)))</f>
        <v>P.2 (2)</v>
      </c>
      <c r="U44" s="744" t="str">
        <f t="shared" ref="U44:U49" ca="1" si="148">IF(D44="Pendiente","-",INDEX($CS$6:$CS$53,MATCH($AF44,$BD$6:$BD$53,0)))</f>
        <v>P.2 (2)</v>
      </c>
      <c r="V44" s="172"/>
      <c r="W44" s="821" t="s">
        <v>4</v>
      </c>
      <c r="X44" s="189">
        <f ca="1">Horarios!C44</f>
        <v>46187.916666666664</v>
      </c>
      <c r="Y44" s="190">
        <f ca="1">Horarios!C44</f>
        <v>46187.916666666664</v>
      </c>
      <c r="Z44" s="191" t="str">
        <f>$Z$4</f>
        <v>J1</v>
      </c>
      <c r="AA44" s="192" t="str">
        <f ca="1">A45</f>
        <v>Países Bajos</v>
      </c>
      <c r="AB44" s="478" t="e" cm="1" vm="21">
        <f t="array" aca="1" ref="AB44" ca="1">Ver_flag_local</f>
        <v>#VALUE!</v>
      </c>
      <c r="AC44" s="193">
        <v>2</v>
      </c>
      <c r="AD44" s="194">
        <v>2</v>
      </c>
      <c r="AE44" s="483" t="e" cm="1" vm="22">
        <f t="array" aca="1" ref="AE44" ca="1">Ver_flag_visit</f>
        <v>#VALUE!</v>
      </c>
      <c r="AF44" s="195" t="str">
        <f ca="1">A46</f>
        <v>Japón</v>
      </c>
      <c r="AG44" s="413">
        <f t="shared" ref="AG44:AG49" si="149">IF(NOT(OR(ISBLANK(AC44),ISBLANK(AD44))),1,0)</f>
        <v>1</v>
      </c>
      <c r="AH44" s="196">
        <v>11</v>
      </c>
      <c r="AI44" s="19"/>
      <c r="AJ44" s="197" t="str">
        <f>CONCATENATE(AJ3," ",B44)</f>
        <v>Grupo F</v>
      </c>
      <c r="AK44" s="198"/>
      <c r="AL44" s="198"/>
      <c r="AM44" s="198"/>
      <c r="AN44" s="198"/>
      <c r="AO44" s="198"/>
      <c r="AP44" s="198"/>
      <c r="AQ44" s="198"/>
      <c r="AR44" s="198"/>
      <c r="AS44" s="198"/>
      <c r="AT44" s="199"/>
      <c r="AU44" s="421"/>
      <c r="AV44" s="200" t="str">
        <f t="shared" ref="AV44" ca="1" si="150">IF(AU45&gt;0,$AV$3,"")</f>
        <v/>
      </c>
      <c r="AW44" s="208"/>
      <c r="AX44" s="255"/>
      <c r="AY44" s="242"/>
      <c r="AZ44" s="243"/>
      <c r="BA44" s="175"/>
      <c r="BB44" s="744"/>
      <c r="BC44" s="756" t="str">
        <f ca="1">+INDEX(T_Equipos[Grupo],MATCH(WORLDCUP!BD44,T_Equipos[NombreEquipo],0))</f>
        <v>J</v>
      </c>
      <c r="BD44" s="744" t="str">
        <f ca="1">+Equipos!B40</f>
        <v>Austria</v>
      </c>
      <c r="BE44" s="748">
        <f t="shared" ca="1" si="25"/>
        <v>3</v>
      </c>
      <c r="BF44" s="748">
        <f t="shared" ca="1" si="26"/>
        <v>1</v>
      </c>
      <c r="BG44" s="748">
        <f t="shared" ca="1" si="17"/>
        <v>1</v>
      </c>
      <c r="BH44" s="748">
        <f t="shared" ca="1" si="18"/>
        <v>0</v>
      </c>
      <c r="BI44" s="748">
        <f t="shared" ca="1" si="19"/>
        <v>0</v>
      </c>
      <c r="BJ44" s="748">
        <f t="shared" ca="1" si="20"/>
        <v>3</v>
      </c>
      <c r="BK44" s="748">
        <f t="shared" ca="1" si="21"/>
        <v>1</v>
      </c>
      <c r="BL44" s="748">
        <f t="shared" ca="1" si="27"/>
        <v>2</v>
      </c>
      <c r="BM44" s="748" t="str">
        <f t="shared" ca="1" si="22"/>
        <v>2J</v>
      </c>
      <c r="BN44" s="748" t="str">
        <f t="shared" ca="1" si="23"/>
        <v>2J</v>
      </c>
      <c r="BO44" s="758">
        <f t="shared" ca="1" si="28"/>
        <v>0</v>
      </c>
      <c r="BP44" s="757">
        <f ca="1">COUNTIFS($BO$6:$BO$53,"&gt;"&amp;BO44,$BC$6:$BC$53,INDEX(T_Equipos[Grupo],MATCH(BD44,T_Equipos[NombreEquipo],0)))+1</f>
        <v>1</v>
      </c>
      <c r="BQ44" s="757" t="str">
        <f ca="1">IF(COUNTIFS($BP$6:$BP$53,BP44,$BC$6:$BC$53,INDEX(T_Equipos[Grupo],MATCH(BD44,T_Equipos[NombreEquipo],0)))=1,"-","P."&amp;BP44&amp;" ("&amp;COUNTIFS($BP$6:$BP$53,BP44,$BC$6:$BC$53,INDEX(T_Equipos[Grupo],MATCH(BD44,T_Equipos[NombreEquipo],0)))&amp;")")</f>
        <v>P.1 (4)</v>
      </c>
      <c r="BR44" s="758">
        <f t="shared" ca="1" si="29"/>
        <v>3</v>
      </c>
      <c r="BS44" s="757">
        <f ca="1">BP44+COUNTIFS($BQ$6:$BQ$53,BQ44,$BR$6:BR$53,"&gt;"&amp;BR44,$BC$6:$BC$53,INDEX(T_Equipos[Grupo],MATCH(BD44,T_Equipos[NombreEquipo],0)))</f>
        <v>1</v>
      </c>
      <c r="BT44" s="757" t="str">
        <f ca="1">IF(COUNTIFS($BS$6:$BS$53,BS44,$BC$6:$BC$53,INDEX(T_Equipos[Grupo],MATCH(BD44,T_Equipos[NombreEquipo],0)))=1,"-","P."&amp;BS44&amp;" ("&amp;COUNTIFS($BS$6:$BS$53,BS44,$BC$6:$BC$53,INDEX(T_Equipos[Grupo],MATCH(BD44,T_Equipos[NombreEquipo],0)))&amp;")")</f>
        <v>P.1 (2)</v>
      </c>
      <c r="BU44" s="758">
        <f t="shared" ca="1" si="36"/>
        <v>0</v>
      </c>
      <c r="BV44" s="758">
        <f t="shared" ca="1" si="37"/>
        <v>0</v>
      </c>
      <c r="BW44" s="758">
        <f t="shared" ca="1" si="38"/>
        <v>0</v>
      </c>
      <c r="BX44" s="758">
        <f t="shared" ca="1" si="39"/>
        <v>0</v>
      </c>
      <c r="BY44" s="758">
        <f ca="1">BS44+COUNTIFS($BT$6:$BT$53,BT44,$BX$6:BX$53,"&gt;"&amp;BX44,$BC$6:$BC$53,INDEX(T_Equipos[Grupo],MATCH(BD44,T_Equipos[NombreEquipo],0)))</f>
        <v>1</v>
      </c>
      <c r="BZ44" s="757" t="str">
        <f ca="1">IF(COUNTIFS($BY$6:$BY$53,BY44,$BC$6:$BC$53,INDEX(T_Equipos[Grupo],MATCH(BD44,T_Equipos[NombreEquipo],0)))=1,"-","P."&amp;BY44&amp;" ("&amp;COUNTIFS($BY$6:$BY$53,BY44,$BC$6:$BC$53,INDEX(T_Equipos[Grupo],MATCH(BD44,T_Equipos[NombreEquipo],0)))&amp;")")</f>
        <v>P.1 (2)</v>
      </c>
      <c r="CA44" s="758">
        <f t="shared" ca="1" si="40"/>
        <v>0</v>
      </c>
      <c r="CB44" s="758">
        <f t="shared" ca="1" si="41"/>
        <v>0</v>
      </c>
      <c r="CC44" s="758">
        <f t="shared" ca="1" si="42"/>
        <v>0</v>
      </c>
      <c r="CD44" s="758">
        <f ca="1">BY44+COUNTIFS($BZ$6:$BZ$53,BZ44,$CC$6:CC$53,"&gt;"&amp;CC44,$BC$6:$BC$53,INDEX(T_Equipos[Grupo],MATCH(BD44,T_Equipos[NombreEquipo],0)))</f>
        <v>1</v>
      </c>
      <c r="CE44" s="757" t="str">
        <f ca="1">IF(COUNTIFS($CD$6:$CD$53,CD44,$BC$6:$BC$53,INDEX(T_Equipos[Grupo],MATCH(BD44,T_Equipos[NombreEquipo],0)))=1,"-","P."&amp;CD44&amp;" ("&amp;COUNTIFS($CD$6:$CD$53,CD44,$BC$6:$BC$53,INDEX(T_Equipos[Grupo],MATCH(BD44,T_Equipos[NombreEquipo],0)))&amp;")")</f>
        <v>P.1 (2)</v>
      </c>
      <c r="CF44" s="758">
        <f t="shared" ca="1" si="43"/>
        <v>0</v>
      </c>
      <c r="CG44" s="758">
        <f ca="1">CD44+COUNTIFS($CE$6:$CE$53,CE44,$CF$6:CF$53,"&gt;"&amp;CF44,$BC$6:$BC$53,INDEX(T_Equipos[Grupo],MATCH(BD44,T_Equipos[NombreEquipo],0)))</f>
        <v>1</v>
      </c>
      <c r="CH44" s="757" t="str">
        <f ca="1">IF(COUNTIFS($CG$6:$CG$53,CG44,$BC$6:$BC$53,INDEX(T_Equipos[Grupo],MATCH(BD44,T_Equipos[NombreEquipo],0)))=1,"-","P."&amp;CG44&amp;" ("&amp;COUNTIFS($CG$6:$CG$53,CG44,$BC$6:$BC$53,INDEX(T_Equipos[Grupo],MATCH(BD44,T_Equipos[NombreEquipo],0)))&amp;")")</f>
        <v>P.1 (2)</v>
      </c>
      <c r="CI44" s="758">
        <f t="shared" ca="1" si="44"/>
        <v>0</v>
      </c>
      <c r="CJ44" s="758">
        <f t="shared" ca="1" si="45"/>
        <v>0</v>
      </c>
      <c r="CK44" s="758">
        <f t="shared" ca="1" si="46"/>
        <v>0</v>
      </c>
      <c r="CL44" s="758">
        <f t="shared" ca="1" si="47"/>
        <v>0</v>
      </c>
      <c r="CM44" s="758">
        <f ca="1">CG44+COUNTIFS($CH$6:$CH$53,CH44,$CL$6:CL$53,"&gt;"&amp;CL44,$BC$6:$BC$53,INDEX(T_Equipos[Grupo],MATCH(BD44,T_Equipos[NombreEquipo],0)))</f>
        <v>1</v>
      </c>
      <c r="CN44" s="757" t="str">
        <f ca="1">IF(COUNTIFS($CM$6:$CM$53,CM44,$BC$6:$BC$53,INDEX(T_Equipos[Grupo],MATCH(BD44,T_Equipos[NombreEquipo],0)))=1,"-","P."&amp;CM44&amp;" ("&amp;COUNTIFS($CM$6:$CM$53,CM44,$BC$6:$BC$53,INDEX(T_Equipos[Grupo],MATCH(BD44,T_Equipos[NombreEquipo],0)))&amp;")")</f>
        <v>P.1 (2)</v>
      </c>
      <c r="CO44" s="758">
        <f t="shared" ca="1" si="48"/>
        <v>0</v>
      </c>
      <c r="CP44" s="758">
        <f t="shared" ca="1" si="49"/>
        <v>0</v>
      </c>
      <c r="CQ44" s="758">
        <f t="shared" ca="1" si="50"/>
        <v>0</v>
      </c>
      <c r="CR44" s="758">
        <f ca="1">CM44+COUNTIFS($CN$6:$CN$53,CN44,$CQ$6:CQ$53,"&gt;"&amp;CQ44,$BC$6:$BC$53,INDEX(T_Equipos[Grupo],MATCH(BD44,T_Equipos[NombreEquipo],0)))</f>
        <v>1</v>
      </c>
      <c r="CS44" s="757" t="str">
        <f ca="1">IF(COUNTIFS($CR$6:$CR$53,CR44,$BC$6:$BC$53,INDEX(T_Equipos[Grupo],MATCH(BD44,T_Equipos[NombreEquipo],0)))=1,"-","P."&amp;CR44&amp;" ("&amp;COUNTIFS($CR$6:$CR$53,CR44,$BC$6:$BC$53,INDEX(T_Equipos[Grupo],MATCH(BD44,T_Equipos[NombreEquipo],0)))&amp;")")</f>
        <v>P.1 (2)</v>
      </c>
      <c r="CT44" s="758">
        <f t="shared" ca="1" si="51"/>
        <v>0</v>
      </c>
      <c r="CU44" s="758">
        <f ca="1">CR44+COUNTIFS($CS$6:$CS$53,CS44,$CT$6:CT$53,"&gt;"&amp;CT44,$BC$6:$BC$53,INDEX(T_Equipos[Grupo],MATCH(BD44,T_Equipos[NombreEquipo],0)))</f>
        <v>1</v>
      </c>
      <c r="CV44" s="757" t="str">
        <f ca="1">IF(COUNTIFS($CU$6:$CU$53,CU44,$BC$6:$BC$53,INDEX(T_Equipos[Grupo],MATCH(BD44,T_Equipos[NombreEquipo],0)))=1,"-","P."&amp;CU44&amp;" ("&amp;COUNTIFS($CU$6:$CU$53,CU44,$BC$6:$BC$53,INDEX(T_Equipos[Grupo],MATCH(BD44,T_Equipos[NombreEquipo],0)))&amp;")")</f>
        <v>P.1 (2)</v>
      </c>
      <c r="CW44" s="757">
        <f t="shared" ca="1" si="30"/>
        <v>2</v>
      </c>
      <c r="CX44" s="757">
        <f ca="1">CU44+COUNTIFS($CV$6:$CV$53,CV44,$CW$6:CW$53,"&gt;"&amp;CW44,$BC$6:$BC$53,INDEX(T_Equipos[Grupo],MATCH(BD44,T_Equipos[NombreEquipo],0)))</f>
        <v>2</v>
      </c>
      <c r="CY44" s="757" t="str">
        <f ca="1">IF(COUNTIFS($CX$6:$CX$53,CX44,$BC$6:$BC$53,INDEX(T_Equipos[Grupo],MATCH(BD44,T_Equipos[NombreEquipo],0)))=1,"-","P."&amp;CX44&amp;" ("&amp;COUNTIFS($CX$6:$CX$53,CX44,$BC$6:$BC$53,INDEX(T_Equipos[Grupo],MATCH(BD44,T_Equipos[NombreEquipo],0)))&amp;")")</f>
        <v>-</v>
      </c>
      <c r="CZ44" s="757" t="str">
        <f t="shared" ca="1" si="31"/>
        <v>-</v>
      </c>
      <c r="DA44" s="758">
        <f ca="1">CX44+COUNTIFS($CY$6:$CY$53,CY44,$CZ$6:CZ$53,"&gt;"&amp;CZ44,$BC$6:$BC$53,INDEX(T_Equipos[Grupo],MATCH(BD44,T_Equipos[NombreEquipo],0)))</f>
        <v>2</v>
      </c>
      <c r="DB44" s="757" t="str">
        <f ca="1">IF(COUNTIFS($DA$6:$DA$53,DA44,$BC$6:$BC$53,INDEX(T_Equipos[Grupo],MATCH(BD44,T_Equipos[NombreEquipo],0)))=1,"-","P."&amp;DA44&amp;" ("&amp;COUNTIFS($DA$6:$DA$53,DA44,$BC$6:$BC$53,INDEX(T_Equipos[Grupo],MATCH(BD44,T_Equipos[NombreEquipo],0)))&amp;")")</f>
        <v>-</v>
      </c>
      <c r="DC44" s="756" t="str">
        <f ca="1">IF(DB44="-","-",COUNTIFS(T_Equipos[Rank],"&lt;"&amp;INDEX(T_Equipos[Rank],MATCH(BD44,T_Equipos[NombreEquipo],0)),$BC$6:$BC$53,INDEX(T_Equipos[Grupo],MATCH(BD44,T_Equipos[NombreEquipo],0)))+1)</f>
        <v>-</v>
      </c>
      <c r="DD44" s="756">
        <f ca="1">DA44+COUNTIFS($DB$6:$DB$53,DB44,$DC$6:DC$53,"&lt;"&amp;DC44,$BC$6:$BC$53,INDEX(T_Equipos[Grupo],MATCH(BD44,T_Equipos[NombreEquipo],0)))</f>
        <v>2</v>
      </c>
      <c r="DE44" s="756"/>
      <c r="DF44" s="756">
        <f t="shared" ca="1" si="52"/>
        <v>2</v>
      </c>
      <c r="DG44" s="756" t="str">
        <f ca="1">IF(DB44="-","-",COUNTIFS(DF$6:DF$53,"&lt;"&amp;DF44,$BC$6:$BC$53,INDEX(T_Equipos[Grupo],MATCH(BD44,T_Equipos[NombreEquipo],0))))</f>
        <v>-</v>
      </c>
      <c r="DH44" s="756">
        <f ca="1">DA44+COUNTIFS(DB$6:DB$53,DB44,DG$6:DG$53,"&lt;"&amp;DG44,$BC$6:$BC$53,INDEX(T_Equipos[Grupo],MATCH(BD44,T_Equipos[NombreEquipo],0)))</f>
        <v>2</v>
      </c>
      <c r="DI44" s="744"/>
      <c r="DJ44" s="744">
        <f t="shared" ca="1" si="53"/>
        <v>3</v>
      </c>
      <c r="DK44" s="744">
        <f t="shared" ca="1" si="24"/>
        <v>4</v>
      </c>
      <c r="DL44" s="744">
        <f t="shared" ca="1" si="33"/>
        <v>1</v>
      </c>
      <c r="DM44" s="738" t="str">
        <f t="shared" ca="1" si="34"/>
        <v>3.1</v>
      </c>
      <c r="DN44" s="744" cm="1">
        <f t="array" aca="1" ref="DN44" ca="1">OFFSET(Horarios!$P$3,DJ44-1,0,DL44,1)</f>
        <v>3</v>
      </c>
      <c r="DO44" s="744"/>
      <c r="DP44" s="744" t="s">
        <v>441</v>
      </c>
      <c r="DQ44" s="744" t="str">
        <f t="shared" ca="1" si="35"/>
        <v>Jordania</v>
      </c>
      <c r="DR44" s="744"/>
      <c r="DS44" s="744"/>
      <c r="DT44" s="744" t="str">
        <f t="shared" ca="1" si="15"/>
        <v>Países Bajos-Japón</v>
      </c>
      <c r="DU44" s="744"/>
      <c r="DV44" s="744"/>
      <c r="DW44" s="8"/>
    </row>
    <row r="45" spans="1:127" ht="16.05" customHeight="1">
      <c r="A45" s="745" t="str">
        <f ca="1">+Equipos!B22</f>
        <v>Países Bajos</v>
      </c>
      <c r="B45" s="742"/>
      <c r="C45" s="742"/>
      <c r="D45" s="744" t="str">
        <f t="shared" si="136"/>
        <v>Local</v>
      </c>
      <c r="E45" s="744" t="str">
        <f t="shared" ca="1" si="137"/>
        <v>-</v>
      </c>
      <c r="F45" s="744" t="str">
        <f t="shared" ca="1" si="138"/>
        <v>-</v>
      </c>
      <c r="G45" s="744"/>
      <c r="H45" s="744" t="str">
        <f t="shared" ca="1" si="139"/>
        <v>-</v>
      </c>
      <c r="I45" s="744" t="str">
        <f t="shared" ca="1" si="140"/>
        <v>-</v>
      </c>
      <c r="J45" s="744"/>
      <c r="K45" s="744" t="str">
        <f t="shared" ca="1" si="141"/>
        <v>-</v>
      </c>
      <c r="L45" s="744" t="str">
        <f t="shared" ca="1" si="142"/>
        <v>-</v>
      </c>
      <c r="M45" s="744"/>
      <c r="N45" s="744" t="str">
        <f t="shared" ca="1" si="143"/>
        <v>-</v>
      </c>
      <c r="O45" s="744" t="str">
        <f t="shared" ca="1" si="144"/>
        <v>-</v>
      </c>
      <c r="P45" s="744"/>
      <c r="Q45" s="744" t="str">
        <f t="shared" ca="1" si="145"/>
        <v>-</v>
      </c>
      <c r="R45" s="744" t="str">
        <f t="shared" ca="1" si="146"/>
        <v>-</v>
      </c>
      <c r="S45" s="744"/>
      <c r="T45" s="744" t="str">
        <f t="shared" ca="1" si="147"/>
        <v>-</v>
      </c>
      <c r="U45" s="744" t="str">
        <f t="shared" ca="1" si="148"/>
        <v>-</v>
      </c>
      <c r="V45" s="172"/>
      <c r="W45" s="821"/>
      <c r="X45" s="189">
        <f ca="1">Horarios!C45</f>
        <v>46188.166666666664</v>
      </c>
      <c r="Y45" s="190">
        <f ca="1">Horarios!C45</f>
        <v>46188.166666666664</v>
      </c>
      <c r="Z45" s="191" t="str">
        <f>$Z$4</f>
        <v>J1</v>
      </c>
      <c r="AA45" s="192" t="str">
        <f ca="1">A47</f>
        <v>Suecia</v>
      </c>
      <c r="AB45" s="478" t="e" cm="1" vm="23">
        <f t="array" aca="1" ref="AB45" ca="1">Ver_flag_local</f>
        <v>#VALUE!</v>
      </c>
      <c r="AC45" s="193">
        <v>5</v>
      </c>
      <c r="AD45" s="194">
        <v>1</v>
      </c>
      <c r="AE45" s="483" t="e" cm="1" vm="24">
        <f t="array" aca="1" ref="AE45" ca="1">Ver_flag_visit</f>
        <v>#VALUE!</v>
      </c>
      <c r="AF45" s="195" t="str">
        <f ca="1">A48</f>
        <v>Túnez</v>
      </c>
      <c r="AG45" s="413">
        <f t="shared" si="149"/>
        <v>1</v>
      </c>
      <c r="AH45" s="196">
        <v>12</v>
      </c>
      <c r="AI45" s="19"/>
      <c r="AJ45" s="204" t="str">
        <f>AJ5</f>
        <v>Pos</v>
      </c>
      <c r="AK45" s="205"/>
      <c r="AL45" s="206" t="str">
        <f t="shared" ref="AL45:AT45" si="151">AL5</f>
        <v>Selección</v>
      </c>
      <c r="AM45" s="205" t="str">
        <f t="shared" si="151"/>
        <v>Pts</v>
      </c>
      <c r="AN45" s="205" t="str">
        <f t="shared" si="151"/>
        <v>J</v>
      </c>
      <c r="AO45" s="205" t="str">
        <f t="shared" si="151"/>
        <v>G</v>
      </c>
      <c r="AP45" s="205" t="str">
        <f t="shared" si="151"/>
        <v>E</v>
      </c>
      <c r="AQ45" s="205" t="str">
        <f t="shared" si="151"/>
        <v>P</v>
      </c>
      <c r="AR45" s="205" t="str">
        <f t="shared" si="151"/>
        <v>GF</v>
      </c>
      <c r="AS45" s="205" t="str">
        <f t="shared" si="151"/>
        <v>GC</v>
      </c>
      <c r="AT45" s="207" t="str">
        <f t="shared" si="151"/>
        <v>DG</v>
      </c>
      <c r="AU45" s="421">
        <f t="shared" ref="AU45" ca="1" si="152">COUNTIF(AU46:AU49,"&gt;1")</f>
        <v>0</v>
      </c>
      <c r="AV45" s="208"/>
      <c r="AW45" s="208"/>
      <c r="AX45" s="255"/>
      <c r="AY45" s="209" t="str">
        <f>AL45</f>
        <v>Selección</v>
      </c>
      <c r="AZ45" s="210" t="str">
        <f>+Idiomas!$D$69</f>
        <v>Puntos penalizados</v>
      </c>
      <c r="BA45" s="175"/>
      <c r="BB45" s="744"/>
      <c r="BC45" s="756" t="str">
        <f ca="1">+INDEX(T_Equipos[Grupo],MATCH(WORLDCUP!BD45,T_Equipos[NombreEquipo],0))</f>
        <v>J</v>
      </c>
      <c r="BD45" s="744" t="str">
        <f ca="1">+Equipos!B41</f>
        <v>Jordania</v>
      </c>
      <c r="BE45" s="748">
        <f t="shared" ca="1" si="25"/>
        <v>0</v>
      </c>
      <c r="BF45" s="748">
        <f t="shared" ca="1" si="26"/>
        <v>1</v>
      </c>
      <c r="BG45" s="748">
        <f t="shared" ca="1" si="17"/>
        <v>0</v>
      </c>
      <c r="BH45" s="748">
        <f t="shared" ca="1" si="18"/>
        <v>0</v>
      </c>
      <c r="BI45" s="748">
        <f t="shared" ca="1" si="19"/>
        <v>1</v>
      </c>
      <c r="BJ45" s="748">
        <f t="shared" ca="1" si="20"/>
        <v>1</v>
      </c>
      <c r="BK45" s="748">
        <f t="shared" ca="1" si="21"/>
        <v>3</v>
      </c>
      <c r="BL45" s="748">
        <f t="shared" ca="1" si="27"/>
        <v>-2</v>
      </c>
      <c r="BM45" s="748" t="str">
        <f t="shared" ca="1" si="22"/>
        <v>3J</v>
      </c>
      <c r="BN45" s="748" t="str">
        <f t="shared" ca="1" si="23"/>
        <v>3J</v>
      </c>
      <c r="BO45" s="758">
        <f t="shared" ca="1" si="28"/>
        <v>0</v>
      </c>
      <c r="BP45" s="757">
        <f ca="1">COUNTIFS($BO$6:$BO$53,"&gt;"&amp;BO45,$BC$6:$BC$53,INDEX(T_Equipos[Grupo],MATCH(BD45,T_Equipos[NombreEquipo],0)))+1</f>
        <v>1</v>
      </c>
      <c r="BQ45" s="757" t="str">
        <f ca="1">IF(COUNTIFS($BP$6:$BP$53,BP45,$BC$6:$BC$53,INDEX(T_Equipos[Grupo],MATCH(BD45,T_Equipos[NombreEquipo],0)))=1,"-","P."&amp;BP45&amp;" ("&amp;COUNTIFS($BP$6:$BP$53,BP45,$BC$6:$BC$53,INDEX(T_Equipos[Grupo],MATCH(BD45,T_Equipos[NombreEquipo],0)))&amp;")")</f>
        <v>P.1 (4)</v>
      </c>
      <c r="BR45" s="758">
        <f t="shared" ca="1" si="29"/>
        <v>0</v>
      </c>
      <c r="BS45" s="757">
        <f ca="1">BP45+COUNTIFS($BQ$6:$BQ$53,BQ45,$BR$6:BR$53,"&gt;"&amp;BR45,$BC$6:$BC$53,INDEX(T_Equipos[Grupo],MATCH(BD45,T_Equipos[NombreEquipo],0)))</f>
        <v>3</v>
      </c>
      <c r="BT45" s="757" t="str">
        <f ca="1">IF(COUNTIFS($BS$6:$BS$53,BS45,$BC$6:$BC$53,INDEX(T_Equipos[Grupo],MATCH(BD45,T_Equipos[NombreEquipo],0)))=1,"-","P."&amp;BS45&amp;" ("&amp;COUNTIFS($BS$6:$BS$53,BS45,$BC$6:$BC$53,INDEX(T_Equipos[Grupo],MATCH(BD45,T_Equipos[NombreEquipo],0)))&amp;")")</f>
        <v>P.3 (2)</v>
      </c>
      <c r="BU45" s="758">
        <f t="shared" ca="1" si="36"/>
        <v>0</v>
      </c>
      <c r="BV45" s="758">
        <f t="shared" ca="1" si="37"/>
        <v>0</v>
      </c>
      <c r="BW45" s="758">
        <f t="shared" ca="1" si="38"/>
        <v>0</v>
      </c>
      <c r="BX45" s="758">
        <f t="shared" ca="1" si="39"/>
        <v>0</v>
      </c>
      <c r="BY45" s="758">
        <f ca="1">BS45+COUNTIFS($BT$6:$BT$53,BT45,$BX$6:BX$53,"&gt;"&amp;BX45,$BC$6:$BC$53,INDEX(T_Equipos[Grupo],MATCH(BD45,T_Equipos[NombreEquipo],0)))</f>
        <v>3</v>
      </c>
      <c r="BZ45" s="757" t="str">
        <f ca="1">IF(COUNTIFS($BY$6:$BY$53,BY45,$BC$6:$BC$53,INDEX(T_Equipos[Grupo],MATCH(BD45,T_Equipos[NombreEquipo],0)))=1,"-","P."&amp;BY45&amp;" ("&amp;COUNTIFS($BY$6:$BY$53,BY45,$BC$6:$BC$53,INDEX(T_Equipos[Grupo],MATCH(BD45,T_Equipos[NombreEquipo],0)))&amp;")")</f>
        <v>P.3 (2)</v>
      </c>
      <c r="CA45" s="758">
        <f t="shared" ca="1" si="40"/>
        <v>0</v>
      </c>
      <c r="CB45" s="758">
        <f t="shared" ca="1" si="41"/>
        <v>0</v>
      </c>
      <c r="CC45" s="758">
        <f t="shared" ca="1" si="42"/>
        <v>0</v>
      </c>
      <c r="CD45" s="758">
        <f ca="1">BY45+COUNTIFS($BZ$6:$BZ$53,BZ45,$CC$6:CC$53,"&gt;"&amp;CC45,$BC$6:$BC$53,INDEX(T_Equipos[Grupo],MATCH(BD45,T_Equipos[NombreEquipo],0)))</f>
        <v>3</v>
      </c>
      <c r="CE45" s="757" t="str">
        <f ca="1">IF(COUNTIFS($CD$6:$CD$53,CD45,$BC$6:$BC$53,INDEX(T_Equipos[Grupo],MATCH(BD45,T_Equipos[NombreEquipo],0)))=1,"-","P."&amp;CD45&amp;" ("&amp;COUNTIFS($CD$6:$CD$53,CD45,$BC$6:$BC$53,INDEX(T_Equipos[Grupo],MATCH(BD45,T_Equipos[NombreEquipo],0)))&amp;")")</f>
        <v>P.3 (2)</v>
      </c>
      <c r="CF45" s="758">
        <f t="shared" ca="1" si="43"/>
        <v>0</v>
      </c>
      <c r="CG45" s="758">
        <f ca="1">CD45+COUNTIFS($CE$6:$CE$53,CE45,$CF$6:CF$53,"&gt;"&amp;CF45,$BC$6:$BC$53,INDEX(T_Equipos[Grupo],MATCH(BD45,T_Equipos[NombreEquipo],0)))</f>
        <v>3</v>
      </c>
      <c r="CH45" s="757" t="str">
        <f ca="1">IF(COUNTIFS($CG$6:$CG$53,CG45,$BC$6:$BC$53,INDEX(T_Equipos[Grupo],MATCH(BD45,T_Equipos[NombreEquipo],0)))=1,"-","P."&amp;CG45&amp;" ("&amp;COUNTIFS($CG$6:$CG$53,CG45,$BC$6:$BC$53,INDEX(T_Equipos[Grupo],MATCH(BD45,T_Equipos[NombreEquipo],0)))&amp;")")</f>
        <v>P.3 (2)</v>
      </c>
      <c r="CI45" s="758">
        <f t="shared" ca="1" si="44"/>
        <v>0</v>
      </c>
      <c r="CJ45" s="758">
        <f t="shared" ca="1" si="45"/>
        <v>0</v>
      </c>
      <c r="CK45" s="758">
        <f t="shared" ca="1" si="46"/>
        <v>0</v>
      </c>
      <c r="CL45" s="758">
        <f t="shared" ca="1" si="47"/>
        <v>0</v>
      </c>
      <c r="CM45" s="758">
        <f ca="1">CG45+COUNTIFS($CH$6:$CH$53,CH45,$CL$6:CL$53,"&gt;"&amp;CL45,$BC$6:$BC$53,INDEX(T_Equipos[Grupo],MATCH(BD45,T_Equipos[NombreEquipo],0)))</f>
        <v>3</v>
      </c>
      <c r="CN45" s="757" t="str">
        <f ca="1">IF(COUNTIFS($CM$6:$CM$53,CM45,$BC$6:$BC$53,INDEX(T_Equipos[Grupo],MATCH(BD45,T_Equipos[NombreEquipo],0)))=1,"-","P."&amp;CM45&amp;" ("&amp;COUNTIFS($CM$6:$CM$53,CM45,$BC$6:$BC$53,INDEX(T_Equipos[Grupo],MATCH(BD45,T_Equipos[NombreEquipo],0)))&amp;")")</f>
        <v>P.3 (2)</v>
      </c>
      <c r="CO45" s="758">
        <f t="shared" ca="1" si="48"/>
        <v>0</v>
      </c>
      <c r="CP45" s="758">
        <f t="shared" ca="1" si="49"/>
        <v>0</v>
      </c>
      <c r="CQ45" s="758">
        <f t="shared" ca="1" si="50"/>
        <v>0</v>
      </c>
      <c r="CR45" s="758">
        <f ca="1">CM45+COUNTIFS($CN$6:$CN$53,CN45,$CQ$6:CQ$53,"&gt;"&amp;CQ45,$BC$6:$BC$53,INDEX(T_Equipos[Grupo],MATCH(BD45,T_Equipos[NombreEquipo],0)))</f>
        <v>3</v>
      </c>
      <c r="CS45" s="757" t="str">
        <f ca="1">IF(COUNTIFS($CR$6:$CR$53,CR45,$BC$6:$BC$53,INDEX(T_Equipos[Grupo],MATCH(BD45,T_Equipos[NombreEquipo],0)))=1,"-","P."&amp;CR45&amp;" ("&amp;COUNTIFS($CR$6:$CR$53,CR45,$BC$6:$BC$53,INDEX(T_Equipos[Grupo],MATCH(BD45,T_Equipos[NombreEquipo],0)))&amp;")")</f>
        <v>P.3 (2)</v>
      </c>
      <c r="CT45" s="758">
        <f t="shared" ca="1" si="51"/>
        <v>0</v>
      </c>
      <c r="CU45" s="758">
        <f ca="1">CR45+COUNTIFS($CS$6:$CS$53,CS45,$CT$6:CT$53,"&gt;"&amp;CT45,$BC$6:$BC$53,INDEX(T_Equipos[Grupo],MATCH(BD45,T_Equipos[NombreEquipo],0)))</f>
        <v>3</v>
      </c>
      <c r="CV45" s="757" t="str">
        <f ca="1">IF(COUNTIFS($CU$6:$CU$53,CU45,$BC$6:$BC$53,INDEX(T_Equipos[Grupo],MATCH(BD45,T_Equipos[NombreEquipo],0)))=1,"-","P."&amp;CU45&amp;" ("&amp;COUNTIFS($CU$6:$CU$53,CU45,$BC$6:$BC$53,INDEX(T_Equipos[Grupo],MATCH(BD45,T_Equipos[NombreEquipo],0)))&amp;")")</f>
        <v>P.3 (2)</v>
      </c>
      <c r="CW45" s="757">
        <f t="shared" ca="1" si="30"/>
        <v>-2</v>
      </c>
      <c r="CX45" s="757">
        <f ca="1">CU45+COUNTIFS($CV$6:$CV$53,CV45,$CW$6:CW$53,"&gt;"&amp;CW45,$BC$6:$BC$53,INDEX(T_Equipos[Grupo],MATCH(BD45,T_Equipos[NombreEquipo],0)))</f>
        <v>3</v>
      </c>
      <c r="CY45" s="757" t="str">
        <f ca="1">IF(COUNTIFS($CX$6:$CX$53,CX45,$BC$6:$BC$53,INDEX(T_Equipos[Grupo],MATCH(BD45,T_Equipos[NombreEquipo],0)))=1,"-","P."&amp;CX45&amp;" ("&amp;COUNTIFS($CX$6:$CX$53,CX45,$BC$6:$BC$53,INDEX(T_Equipos[Grupo],MATCH(BD45,T_Equipos[NombreEquipo],0)))&amp;")")</f>
        <v>-</v>
      </c>
      <c r="CZ45" s="757" t="str">
        <f t="shared" ca="1" si="31"/>
        <v>-</v>
      </c>
      <c r="DA45" s="758">
        <f ca="1">CX45+COUNTIFS($CY$6:$CY$53,CY45,$CZ$6:CZ$53,"&gt;"&amp;CZ45,$BC$6:$BC$53,INDEX(T_Equipos[Grupo],MATCH(BD45,T_Equipos[NombreEquipo],0)))</f>
        <v>3</v>
      </c>
      <c r="DB45" s="757" t="str">
        <f ca="1">IF(COUNTIFS($DA$6:$DA$53,DA45,$BC$6:$BC$53,INDEX(T_Equipos[Grupo],MATCH(BD45,T_Equipos[NombreEquipo],0)))=1,"-","P."&amp;DA45&amp;" ("&amp;COUNTIFS($DA$6:$DA$53,DA45,$BC$6:$BC$53,INDEX(T_Equipos[Grupo],MATCH(BD45,T_Equipos[NombreEquipo],0)))&amp;")")</f>
        <v>-</v>
      </c>
      <c r="DC45" s="756" t="str">
        <f ca="1">IF(DB45="-","-",COUNTIFS(T_Equipos[Rank],"&lt;"&amp;INDEX(T_Equipos[Rank],MATCH(BD45,T_Equipos[NombreEquipo],0)),$BC$6:$BC$53,INDEX(T_Equipos[Grupo],MATCH(BD45,T_Equipos[NombreEquipo],0)))+1)</f>
        <v>-</v>
      </c>
      <c r="DD45" s="756">
        <f ca="1">DA45+COUNTIFS($DB$6:$DB$53,DB45,$DC$6:DC$53,"&lt;"&amp;DC45,$BC$6:$BC$53,INDEX(T_Equipos[Grupo],MATCH(BD45,T_Equipos[NombreEquipo],0)))</f>
        <v>3</v>
      </c>
      <c r="DE45" s="756"/>
      <c r="DF45" s="756">
        <f t="shared" ca="1" si="52"/>
        <v>3</v>
      </c>
      <c r="DG45" s="756" t="str">
        <f ca="1">IF(DB45="-","-",COUNTIFS(DF$6:DF$53,"&lt;"&amp;DF45,$BC$6:$BC$53,INDEX(T_Equipos[Grupo],MATCH(BD45,T_Equipos[NombreEquipo],0))))</f>
        <v>-</v>
      </c>
      <c r="DH45" s="756">
        <f ca="1">DA45+COUNTIFS(DB$6:DB$53,DB45,DG$6:DG$53,"&lt;"&amp;DG45,$BC$6:$BC$53,INDEX(T_Equipos[Grupo],MATCH(BD45,T_Equipos[NombreEquipo],0)))</f>
        <v>3</v>
      </c>
      <c r="DI45" s="744"/>
      <c r="DJ45" s="744">
        <f t="shared" ca="1" si="53"/>
        <v>4</v>
      </c>
      <c r="DK45" s="744">
        <f t="shared" ca="1" si="24"/>
        <v>4</v>
      </c>
      <c r="DL45" s="744">
        <f t="shared" ca="1" si="33"/>
        <v>1</v>
      </c>
      <c r="DM45" s="738" t="str">
        <f t="shared" ca="1" si="34"/>
        <v>4.1</v>
      </c>
      <c r="DN45" s="744" cm="1">
        <f t="array" aca="1" ref="DN45" ca="1">OFFSET(Horarios!$P$3,DJ45-1,0,DL45,1)</f>
        <v>4</v>
      </c>
      <c r="DO45" s="744"/>
      <c r="DP45" s="744" t="s">
        <v>678</v>
      </c>
      <c r="DQ45" s="744" t="str">
        <f t="shared" ca="1" si="35"/>
        <v>Argelia</v>
      </c>
      <c r="DR45" s="744"/>
      <c r="DS45" s="744"/>
      <c r="DT45" s="744" t="str">
        <f t="shared" ca="1" si="15"/>
        <v>Suecia-Túnez</v>
      </c>
      <c r="DU45" s="744"/>
      <c r="DV45" s="744"/>
      <c r="DW45" s="8"/>
    </row>
    <row r="46" spans="1:127" ht="16.05" customHeight="1">
      <c r="A46" s="745" t="str">
        <f ca="1">+Equipos!B23</f>
        <v>Japón</v>
      </c>
      <c r="B46" s="742"/>
      <c r="C46" s="746"/>
      <c r="D46" s="744" t="str">
        <f t="shared" si="136"/>
        <v>Pendiente</v>
      </c>
      <c r="E46" s="744" t="str">
        <f t="shared" si="137"/>
        <v>-</v>
      </c>
      <c r="F46" s="744" t="str">
        <f t="shared" si="138"/>
        <v>-</v>
      </c>
      <c r="G46" s="744"/>
      <c r="H46" s="744" t="str">
        <f t="shared" si="139"/>
        <v>-</v>
      </c>
      <c r="I46" s="744" t="str">
        <f t="shared" si="140"/>
        <v>-</v>
      </c>
      <c r="J46" s="744"/>
      <c r="K46" s="744" t="str">
        <f t="shared" si="141"/>
        <v>-</v>
      </c>
      <c r="L46" s="744" t="str">
        <f t="shared" si="142"/>
        <v>-</v>
      </c>
      <c r="M46" s="744"/>
      <c r="N46" s="744" t="str">
        <f t="shared" si="143"/>
        <v>-</v>
      </c>
      <c r="O46" s="744" t="str">
        <f t="shared" si="144"/>
        <v>-</v>
      </c>
      <c r="P46" s="744"/>
      <c r="Q46" s="744" t="str">
        <f t="shared" si="145"/>
        <v>-</v>
      </c>
      <c r="R46" s="744" t="str">
        <f t="shared" si="146"/>
        <v>-</v>
      </c>
      <c r="S46" s="744"/>
      <c r="T46" s="744" t="str">
        <f t="shared" si="147"/>
        <v>-</v>
      </c>
      <c r="U46" s="744" t="str">
        <f t="shared" si="148"/>
        <v>-</v>
      </c>
      <c r="V46" s="172"/>
      <c r="W46" s="821"/>
      <c r="X46" s="189">
        <f ca="1">Horarios!C46</f>
        <v>46193.791666666664</v>
      </c>
      <c r="Y46" s="190">
        <f ca="1">Horarios!C46</f>
        <v>46193.791666666664</v>
      </c>
      <c r="Z46" s="191" t="str">
        <f>$Z$6</f>
        <v>J2</v>
      </c>
      <c r="AA46" s="192" t="str">
        <f ca="1">A45</f>
        <v>Países Bajos</v>
      </c>
      <c r="AB46" s="478" t="e" cm="1" vm="21">
        <f t="array" aca="1" ref="AB46" ca="1">Ver_flag_local</f>
        <v>#VALUE!</v>
      </c>
      <c r="AC46" s="193"/>
      <c r="AD46" s="194"/>
      <c r="AE46" s="483" t="e" cm="1" vm="23">
        <f t="array" aca="1" ref="AE46" ca="1">Ver_flag_visit</f>
        <v>#VALUE!</v>
      </c>
      <c r="AF46" s="195" t="str">
        <f ca="1">A47</f>
        <v>Suecia</v>
      </c>
      <c r="AG46" s="413">
        <f t="shared" si="149"/>
        <v>0</v>
      </c>
      <c r="AH46" s="196">
        <v>35</v>
      </c>
      <c r="AI46" s="19" t="str">
        <f>AJ46&amp;$B$44</f>
        <v>1F</v>
      </c>
      <c r="AJ46" s="211">
        <v>1</v>
      </c>
      <c r="AK46" s="488" t="e" cm="1" vm="23">
        <f t="array" aca="1" ref="AK46" ca="1">Ver_flag_visit</f>
        <v>#VALUE!</v>
      </c>
      <c r="AL46" s="212" t="str">
        <f ca="1">IFERROR(INDEX($BD$6:$BD$53,MATCH(AI46,$BN$6:$BN$53,0)),"")</f>
        <v>Suecia</v>
      </c>
      <c r="AM46" s="213">
        <f t="shared" ref="AM46:AT49" ca="1" si="153">INDEX($BE$6:$BN$53,MATCH($AL46,$BD$6:$BD$53,0),MATCH(AM$5,$BE$5:$BN$5,0))</f>
        <v>3</v>
      </c>
      <c r="AN46" s="214">
        <f t="shared" ca="1" si="153"/>
        <v>1</v>
      </c>
      <c r="AO46" s="214">
        <f t="shared" ca="1" si="153"/>
        <v>1</v>
      </c>
      <c r="AP46" s="214">
        <f t="shared" ca="1" si="153"/>
        <v>0</v>
      </c>
      <c r="AQ46" s="214">
        <f t="shared" ca="1" si="153"/>
        <v>0</v>
      </c>
      <c r="AR46" s="214">
        <f t="shared" ca="1" si="153"/>
        <v>5</v>
      </c>
      <c r="AS46" s="214">
        <f t="shared" ca="1" si="153"/>
        <v>1</v>
      </c>
      <c r="AT46" s="215">
        <f t="shared" ca="1" si="153"/>
        <v>4</v>
      </c>
      <c r="AU46" s="420">
        <f ca="1">INDEX($DL$6:$DL$53,MATCH(AI46,$DP$6:$DP$53,0))</f>
        <v>1</v>
      </c>
      <c r="AV46" s="217" t="str">
        <f ca="1">INDEX($BD$6:$BD$53,MATCH(AI46,$BM$6:$BM$53,0))</f>
        <v>Suecia</v>
      </c>
      <c r="AW46" s="427"/>
      <c r="AX46" s="218"/>
      <c r="AY46" s="219" t="str">
        <f ca="1">+A45</f>
        <v>Países Bajos</v>
      </c>
      <c r="AZ46" s="220"/>
      <c r="BA46" s="175"/>
      <c r="BB46" s="744"/>
      <c r="BC46" s="756" t="str">
        <f ca="1">+INDEX(T_Equipos[Grupo],MATCH(WORLDCUP!BD46,T_Equipos[NombreEquipo],0))</f>
        <v>K</v>
      </c>
      <c r="BD46" s="744" t="str">
        <f ca="1">+Equipos!B42</f>
        <v>Portugal</v>
      </c>
      <c r="BE46" s="748">
        <f t="shared" ca="1" si="25"/>
        <v>1</v>
      </c>
      <c r="BF46" s="748">
        <f t="shared" ca="1" si="26"/>
        <v>1</v>
      </c>
      <c r="BG46" s="748">
        <f t="shared" ca="1" si="17"/>
        <v>0</v>
      </c>
      <c r="BH46" s="748">
        <f t="shared" ca="1" si="18"/>
        <v>1</v>
      </c>
      <c r="BI46" s="748">
        <f t="shared" ca="1" si="19"/>
        <v>0</v>
      </c>
      <c r="BJ46" s="748">
        <f t="shared" ca="1" si="20"/>
        <v>1</v>
      </c>
      <c r="BK46" s="748">
        <f t="shared" ca="1" si="21"/>
        <v>1</v>
      </c>
      <c r="BL46" s="748">
        <f t="shared" ca="1" si="27"/>
        <v>0</v>
      </c>
      <c r="BM46" s="748" t="str">
        <f t="shared" ca="1" si="22"/>
        <v>2K</v>
      </c>
      <c r="BN46" s="748" t="str">
        <f t="shared" ca="1" si="23"/>
        <v>2K</v>
      </c>
      <c r="BO46" s="757">
        <f t="shared" ca="1" si="28"/>
        <v>0</v>
      </c>
      <c r="BP46" s="757">
        <f ca="1">COUNTIFS($BO$6:$BO$53,"&gt;"&amp;BO46,$BC$6:$BC$53,INDEX(T_Equipos[Grupo],MATCH(BD46,T_Equipos[NombreEquipo],0)))+1</f>
        <v>1</v>
      </c>
      <c r="BQ46" s="757" t="str">
        <f ca="1">IF(COUNTIFS($BP$6:$BP$53,BP46,$BC$6:$BC$53,INDEX(T_Equipos[Grupo],MATCH(BD46,T_Equipos[NombreEquipo],0)))=1,"-","P."&amp;BP46&amp;" ("&amp;COUNTIFS($BP$6:$BP$53,BP46,$BC$6:$BC$53,INDEX(T_Equipos[Grupo],MATCH(BD46,T_Equipos[NombreEquipo],0)))&amp;")")</f>
        <v>P.1 (4)</v>
      </c>
      <c r="BR46" s="757">
        <f t="shared" ca="1" si="29"/>
        <v>1</v>
      </c>
      <c r="BS46" s="757">
        <f ca="1">BP46+COUNTIFS($BQ$6:$BQ$53,BQ46,$BR$6:BR$53,"&gt;"&amp;BR46,$BC$6:$BC$53,INDEX(T_Equipos[Grupo],MATCH(BD46,T_Equipos[NombreEquipo],0)))</f>
        <v>2</v>
      </c>
      <c r="BT46" s="757" t="str">
        <f ca="1">IF(COUNTIFS($BS$6:$BS$53,BS46,$BC$6:$BC$53,INDEX(T_Equipos[Grupo],MATCH(BD46,T_Equipos[NombreEquipo],0)))=1,"-","P."&amp;BS46&amp;" ("&amp;COUNTIFS($BS$6:$BS$53,BS46,$BC$6:$BC$53,INDEX(T_Equipos[Grupo],MATCH(BD46,T_Equipos[NombreEquipo],0)))&amp;")")</f>
        <v>P.2 (2)</v>
      </c>
      <c r="BU46" s="758">
        <f t="shared" ca="1" si="36"/>
        <v>0</v>
      </c>
      <c r="BV46" s="758">
        <f t="shared" ca="1" si="37"/>
        <v>1</v>
      </c>
      <c r="BW46" s="758">
        <f t="shared" ca="1" si="38"/>
        <v>0</v>
      </c>
      <c r="BX46" s="758">
        <f t="shared" ca="1" si="39"/>
        <v>1</v>
      </c>
      <c r="BY46" s="758">
        <f ca="1">BS46+COUNTIFS($BT$6:$BT$53,BT46,$BX$6:BX$53,"&gt;"&amp;BX46,$BC$6:$BC$53,INDEX(T_Equipos[Grupo],MATCH(BD46,T_Equipos[NombreEquipo],0)))</f>
        <v>2</v>
      </c>
      <c r="BZ46" s="757" t="str">
        <f ca="1">IF(COUNTIFS($BY$6:$BY$53,BY46,$BC$6:$BC$53,INDEX(T_Equipos[Grupo],MATCH(BD46,T_Equipos[NombreEquipo],0)))=1,"-","P."&amp;BY46&amp;" ("&amp;COUNTIFS($BY$6:$BY$53,BY46,$BC$6:$BC$53,INDEX(T_Equipos[Grupo],MATCH(BD46,T_Equipos[NombreEquipo],0)))&amp;")")</f>
        <v>P.2 (2)</v>
      </c>
      <c r="CA46" s="758">
        <f t="shared" ca="1" si="40"/>
        <v>1</v>
      </c>
      <c r="CB46" s="758">
        <f t="shared" ca="1" si="41"/>
        <v>1</v>
      </c>
      <c r="CC46" s="758">
        <f t="shared" ca="1" si="42"/>
        <v>0</v>
      </c>
      <c r="CD46" s="758">
        <f ca="1">BY46+COUNTIFS($BZ$6:$BZ$53,BZ46,$CC$6:CC$53,"&gt;"&amp;CC46,$BC$6:$BC$53,INDEX(T_Equipos[Grupo],MATCH(BD46,T_Equipos[NombreEquipo],0)))</f>
        <v>2</v>
      </c>
      <c r="CE46" s="757" t="str">
        <f ca="1">IF(COUNTIFS($CD$6:$CD$53,CD46,$BC$6:$BC$53,INDEX(T_Equipos[Grupo],MATCH(BD46,T_Equipos[NombreEquipo],0)))=1,"-","P."&amp;CD46&amp;" ("&amp;COUNTIFS($CD$6:$CD$53,CD46,$BC$6:$BC$53,INDEX(T_Equipos[Grupo],MATCH(BD46,T_Equipos[NombreEquipo],0)))&amp;")")</f>
        <v>P.2 (2)</v>
      </c>
      <c r="CF46" s="758">
        <f t="shared" ca="1" si="43"/>
        <v>1</v>
      </c>
      <c r="CG46" s="758">
        <f ca="1">CD46+COUNTIFS($CE$6:$CE$53,CE46,$CF$6:CF$53,"&gt;"&amp;CF46,$BC$6:$BC$53,INDEX(T_Equipos[Grupo],MATCH(BD46,T_Equipos[NombreEquipo],0)))</f>
        <v>2</v>
      </c>
      <c r="CH46" s="757" t="str">
        <f ca="1">IF(COUNTIFS($CG$6:$CG$53,CG46,$BC$6:$BC$53,INDEX(T_Equipos[Grupo],MATCH(BD46,T_Equipos[NombreEquipo],0)))=1,"-","P."&amp;CG46&amp;" ("&amp;COUNTIFS($CG$6:$CG$53,CG46,$BC$6:$BC$53,INDEX(T_Equipos[Grupo],MATCH(BD46,T_Equipos[NombreEquipo],0)))&amp;")")</f>
        <v>P.2 (2)</v>
      </c>
      <c r="CI46" s="758">
        <f t="shared" ca="1" si="44"/>
        <v>0</v>
      </c>
      <c r="CJ46" s="758">
        <f t="shared" ca="1" si="45"/>
        <v>1</v>
      </c>
      <c r="CK46" s="758">
        <f t="shared" ca="1" si="46"/>
        <v>0</v>
      </c>
      <c r="CL46" s="758">
        <f t="shared" ca="1" si="47"/>
        <v>1</v>
      </c>
      <c r="CM46" s="758">
        <f ca="1">CG46+COUNTIFS($CH$6:$CH$53,CH46,$CL$6:CL$53,"&gt;"&amp;CL46,$BC$6:$BC$53,INDEX(T_Equipos[Grupo],MATCH(BD46,T_Equipos[NombreEquipo],0)))</f>
        <v>2</v>
      </c>
      <c r="CN46" s="757" t="str">
        <f ca="1">IF(COUNTIFS($CM$6:$CM$53,CM46,$BC$6:$BC$53,INDEX(T_Equipos[Grupo],MATCH(BD46,T_Equipos[NombreEquipo],0)))=1,"-","P."&amp;CM46&amp;" ("&amp;COUNTIFS($CM$6:$CM$53,CM46,$BC$6:$BC$53,INDEX(T_Equipos[Grupo],MATCH(BD46,T_Equipos[NombreEquipo],0)))&amp;")")</f>
        <v>P.2 (2)</v>
      </c>
      <c r="CO46" s="758">
        <f t="shared" ca="1" si="48"/>
        <v>1</v>
      </c>
      <c r="CP46" s="758">
        <f t="shared" ca="1" si="49"/>
        <v>1</v>
      </c>
      <c r="CQ46" s="758">
        <f t="shared" ca="1" si="50"/>
        <v>0</v>
      </c>
      <c r="CR46" s="758">
        <f ca="1">CM46+COUNTIFS($CN$6:$CN$53,CN46,$CQ$6:CQ$53,"&gt;"&amp;CQ46,$BC$6:$BC$53,INDEX(T_Equipos[Grupo],MATCH(BD46,T_Equipos[NombreEquipo],0)))</f>
        <v>2</v>
      </c>
      <c r="CS46" s="757" t="str">
        <f ca="1">IF(COUNTIFS($CR$6:$CR$53,CR46,$BC$6:$BC$53,INDEX(T_Equipos[Grupo],MATCH(BD46,T_Equipos[NombreEquipo],0)))=1,"-","P."&amp;CR46&amp;" ("&amp;COUNTIFS($CR$6:$CR$53,CR46,$BC$6:$BC$53,INDEX(T_Equipos[Grupo],MATCH(BD46,T_Equipos[NombreEquipo],0)))&amp;")")</f>
        <v>P.2 (2)</v>
      </c>
      <c r="CT46" s="758">
        <f t="shared" ca="1" si="51"/>
        <v>1</v>
      </c>
      <c r="CU46" s="758">
        <f ca="1">CR46+COUNTIFS($CS$6:$CS$53,CS46,$CT$6:CT$53,"&gt;"&amp;CT46,$BC$6:$BC$53,INDEX(T_Equipos[Grupo],MATCH(BD46,T_Equipos[NombreEquipo],0)))</f>
        <v>2</v>
      </c>
      <c r="CV46" s="757" t="str">
        <f ca="1">IF(COUNTIFS($CU$6:$CU$53,CU46,$BC$6:$BC$53,INDEX(T_Equipos[Grupo],MATCH(BD46,T_Equipos[NombreEquipo],0)))=1,"-","P."&amp;CU46&amp;" ("&amp;COUNTIFS($CU$6:$CU$53,CU46,$BC$6:$BC$53,INDEX(T_Equipos[Grupo],MATCH(BD46,T_Equipos[NombreEquipo],0)))&amp;")")</f>
        <v>P.2 (2)</v>
      </c>
      <c r="CW46" s="757">
        <f t="shared" ca="1" si="30"/>
        <v>0</v>
      </c>
      <c r="CX46" s="757">
        <f ca="1">CU46+COUNTIFS($CV$6:$CV$53,CV46,$CW$6:CW$53,"&gt;"&amp;CW46,$BC$6:$BC$53,INDEX(T_Equipos[Grupo],MATCH(BD46,T_Equipos[NombreEquipo],0)))</f>
        <v>2</v>
      </c>
      <c r="CY46" s="757" t="str">
        <f ca="1">IF(COUNTIFS($CX$6:$CX$53,CX46,$BC$6:$BC$53,INDEX(T_Equipos[Grupo],MATCH(BD46,T_Equipos[NombreEquipo],0)))=1,"-","P."&amp;CX46&amp;" ("&amp;COUNTIFS($CX$6:$CX$53,CX46,$BC$6:$BC$53,INDEX(T_Equipos[Grupo],MATCH(BD46,T_Equipos[NombreEquipo],0)))&amp;")")</f>
        <v>P.2 (2)</v>
      </c>
      <c r="CZ46" s="757">
        <f t="shared" ca="1" si="31"/>
        <v>1</v>
      </c>
      <c r="DA46" s="758">
        <f ca="1">CX46+COUNTIFS($CY$6:$CY$53,CY46,$CZ$6:CZ$53,"&gt;"&amp;CZ46,$BC$6:$BC$53,INDEX(T_Equipos[Grupo],MATCH(BD46,T_Equipos[NombreEquipo],0)))</f>
        <v>2</v>
      </c>
      <c r="DB46" s="757" t="str">
        <f ca="1">IF(COUNTIFS($DA$6:$DA$53,DA46,$BC$6:$BC$53,INDEX(T_Equipos[Grupo],MATCH(BD46,T_Equipos[NombreEquipo],0)))=1,"-","P."&amp;DA46&amp;" ("&amp;COUNTIFS($DA$6:$DA$53,DA46,$BC$6:$BC$53,INDEX(T_Equipos[Grupo],MATCH(BD46,T_Equipos[NombreEquipo],0)))&amp;")")</f>
        <v>P.2 (2)</v>
      </c>
      <c r="DC46" s="756">
        <f ca="1">IF(DB46="-","-",COUNTIFS(T_Equipos[Rank],"&lt;"&amp;INDEX(T_Equipos[Rank],MATCH(BD46,T_Equipos[NombreEquipo],0)),$BC$6:$BC$53,INDEX(T_Equipos[Grupo],MATCH(BD46,T_Equipos[NombreEquipo],0)))+1)</f>
        <v>1</v>
      </c>
      <c r="DD46" s="756">
        <f ca="1">DA46+COUNTIFS($DB$6:$DB$53,DB46,$DC$6:DC$53,"&lt;"&amp;DC46,$BC$6:$BC$53,INDEX(T_Equipos[Grupo],MATCH(BD46,T_Equipos[NombreEquipo],0)))</f>
        <v>2</v>
      </c>
      <c r="DE46" s="756"/>
      <c r="DF46" s="756">
        <f t="shared" ca="1" si="52"/>
        <v>2</v>
      </c>
      <c r="DG46" s="756">
        <f ca="1">IF(DB46="-","-",COUNTIFS(DF$6:DF$53,"&lt;"&amp;DF46,$BC$6:$BC$53,INDEX(T_Equipos[Grupo],MATCH(BD46,T_Equipos[NombreEquipo],0))))</f>
        <v>1</v>
      </c>
      <c r="DH46" s="756">
        <f ca="1">DA46+COUNTIFS(DB$6:DB$53,DB46,DG$6:DG$53,"&lt;"&amp;DG46,$BC$6:$BC$53,INDEX(T_Equipos[Grupo],MATCH(BD46,T_Equipos[NombreEquipo],0)))</f>
        <v>2</v>
      </c>
      <c r="DI46" s="744"/>
      <c r="DJ46" s="744">
        <f t="shared" ca="1" si="53"/>
        <v>1</v>
      </c>
      <c r="DK46" s="744">
        <f t="shared" ca="1" si="24"/>
        <v>4</v>
      </c>
      <c r="DL46" s="744">
        <f t="shared" ca="1" si="33"/>
        <v>1</v>
      </c>
      <c r="DM46" s="738" t="str">
        <f t="shared" ca="1" si="34"/>
        <v>1.1</v>
      </c>
      <c r="DN46" s="744" cm="1">
        <f t="array" aca="1" ref="DN46" ca="1">OFFSET(Horarios!$P$3,DJ46-1,0,DL46,1)</f>
        <v>1</v>
      </c>
      <c r="DO46" s="744"/>
      <c r="DP46" s="744" t="s">
        <v>679</v>
      </c>
      <c r="DQ46" s="744" t="str">
        <f t="shared" ca="1" si="35"/>
        <v>Colombia</v>
      </c>
      <c r="DR46" s="744"/>
      <c r="DS46" s="744"/>
      <c r="DT46" s="744" t="str">
        <f t="shared" ca="1" si="15"/>
        <v>Países Bajos-Suecia</v>
      </c>
      <c r="DU46" s="744"/>
      <c r="DV46" s="744"/>
      <c r="DW46" s="8"/>
    </row>
    <row r="47" spans="1:127" ht="16.05" customHeight="1">
      <c r="A47" s="745" t="str">
        <f ca="1">+Equipos!B24</f>
        <v>Suecia</v>
      </c>
      <c r="B47" s="742"/>
      <c r="C47" s="744"/>
      <c r="D47" s="744" t="str">
        <f t="shared" si="136"/>
        <v>Pendiente</v>
      </c>
      <c r="E47" s="744" t="str">
        <f t="shared" si="137"/>
        <v>-</v>
      </c>
      <c r="F47" s="744" t="str">
        <f t="shared" si="138"/>
        <v>-</v>
      </c>
      <c r="G47" s="744"/>
      <c r="H47" s="744" t="str">
        <f t="shared" si="139"/>
        <v>-</v>
      </c>
      <c r="I47" s="744" t="str">
        <f t="shared" si="140"/>
        <v>-</v>
      </c>
      <c r="J47" s="744"/>
      <c r="K47" s="744" t="str">
        <f t="shared" si="141"/>
        <v>-</v>
      </c>
      <c r="L47" s="744" t="str">
        <f t="shared" si="142"/>
        <v>-</v>
      </c>
      <c r="M47" s="744"/>
      <c r="N47" s="744" t="str">
        <f t="shared" si="143"/>
        <v>-</v>
      </c>
      <c r="O47" s="744" t="str">
        <f t="shared" si="144"/>
        <v>-</v>
      </c>
      <c r="P47" s="744"/>
      <c r="Q47" s="744" t="str">
        <f t="shared" si="145"/>
        <v>-</v>
      </c>
      <c r="R47" s="744" t="str">
        <f t="shared" si="146"/>
        <v>-</v>
      </c>
      <c r="S47" s="744"/>
      <c r="T47" s="744" t="str">
        <f t="shared" si="147"/>
        <v>-</v>
      </c>
      <c r="U47" s="744" t="str">
        <f t="shared" si="148"/>
        <v>-</v>
      </c>
      <c r="V47" s="172"/>
      <c r="W47" s="821"/>
      <c r="X47" s="189">
        <f ca="1">Horarios!C47</f>
        <v>46194.25</v>
      </c>
      <c r="Y47" s="190">
        <f ca="1">Horarios!C47</f>
        <v>46194.25</v>
      </c>
      <c r="Z47" s="191" t="str">
        <f>$Z$6</f>
        <v>J2</v>
      </c>
      <c r="AA47" s="192" t="str">
        <f ca="1">A48</f>
        <v>Túnez</v>
      </c>
      <c r="AB47" s="478" t="e" cm="1" vm="24">
        <f t="array" aca="1" ref="AB47" ca="1">Ver_flag_local</f>
        <v>#VALUE!</v>
      </c>
      <c r="AC47" s="193"/>
      <c r="AD47" s="194"/>
      <c r="AE47" s="483" t="e" cm="1" vm="22">
        <f t="array" aca="1" ref="AE47" ca="1">Ver_flag_visit</f>
        <v>#VALUE!</v>
      </c>
      <c r="AF47" s="195" t="str">
        <f ca="1">A46</f>
        <v>Japón</v>
      </c>
      <c r="AG47" s="413">
        <f t="shared" si="149"/>
        <v>0</v>
      </c>
      <c r="AH47" s="196">
        <v>36</v>
      </c>
      <c r="AI47" s="19" t="str">
        <f t="shared" ref="AI47:AI49" si="154">AJ47&amp;$B$44</f>
        <v>2F</v>
      </c>
      <c r="AJ47" s="221">
        <v>2</v>
      </c>
      <c r="AK47" s="486" t="e" cm="1" vm="21">
        <f t="array" aca="1" ref="AK47" ca="1">Ver_flag_visit</f>
        <v>#VALUE!</v>
      </c>
      <c r="AL47" s="222" t="str">
        <f ca="1">IFERROR(INDEX($BD$6:$BD$53,MATCH(AI47,$BN$6:$BN$53,0)),"")</f>
        <v>Países Bajos</v>
      </c>
      <c r="AM47" s="223">
        <f t="shared" ca="1" si="153"/>
        <v>1</v>
      </c>
      <c r="AN47" s="224">
        <f t="shared" ca="1" si="153"/>
        <v>1</v>
      </c>
      <c r="AO47" s="224">
        <f t="shared" ca="1" si="153"/>
        <v>0</v>
      </c>
      <c r="AP47" s="224">
        <f t="shared" ca="1" si="153"/>
        <v>1</v>
      </c>
      <c r="AQ47" s="224">
        <f t="shared" ca="1" si="153"/>
        <v>0</v>
      </c>
      <c r="AR47" s="224">
        <f t="shared" ca="1" si="153"/>
        <v>2</v>
      </c>
      <c r="AS47" s="224">
        <f t="shared" ca="1" si="153"/>
        <v>2</v>
      </c>
      <c r="AT47" s="225">
        <f t="shared" ca="1" si="153"/>
        <v>0</v>
      </c>
      <c r="AU47" s="420">
        <f ca="1">INDEX($DL$6:$DL$53,MATCH(AI47,$DP$6:$DP$53,0))</f>
        <v>1</v>
      </c>
      <c r="AV47" s="217" t="str">
        <f ca="1">INDEX($BD$6:$BD$53,MATCH(AI47,$BM$6:$BM$53,0))</f>
        <v>Países Bajos</v>
      </c>
      <c r="AW47" s="427"/>
      <c r="AX47" s="218"/>
      <c r="AY47" s="226" t="str">
        <f ca="1">+A46</f>
        <v>Japón</v>
      </c>
      <c r="AZ47" s="227"/>
      <c r="BA47" s="175"/>
      <c r="BB47" s="744"/>
      <c r="BC47" s="756" t="str">
        <f ca="1">+INDEX(T_Equipos[Grupo],MATCH(WORLDCUP!BD47,T_Equipos[NombreEquipo],0))</f>
        <v>K</v>
      </c>
      <c r="BD47" s="744" t="str">
        <f ca="1">+Equipos!B43</f>
        <v>RD Congo</v>
      </c>
      <c r="BE47" s="748">
        <f t="shared" ca="1" si="25"/>
        <v>1</v>
      </c>
      <c r="BF47" s="748">
        <f t="shared" ca="1" si="26"/>
        <v>1</v>
      </c>
      <c r="BG47" s="748">
        <f t="shared" ca="1" si="17"/>
        <v>0</v>
      </c>
      <c r="BH47" s="748">
        <f t="shared" ca="1" si="18"/>
        <v>1</v>
      </c>
      <c r="BI47" s="748">
        <f t="shared" ca="1" si="19"/>
        <v>0</v>
      </c>
      <c r="BJ47" s="748">
        <f t="shared" ca="1" si="20"/>
        <v>1</v>
      </c>
      <c r="BK47" s="748">
        <f t="shared" ca="1" si="21"/>
        <v>1</v>
      </c>
      <c r="BL47" s="748">
        <f t="shared" ca="1" si="27"/>
        <v>0</v>
      </c>
      <c r="BM47" s="748" t="str">
        <f t="shared" ca="1" si="22"/>
        <v>3K</v>
      </c>
      <c r="BN47" s="748" t="str">
        <f t="shared" ca="1" si="23"/>
        <v>3K</v>
      </c>
      <c r="BO47" s="757">
        <f t="shared" ca="1" si="28"/>
        <v>0</v>
      </c>
      <c r="BP47" s="757">
        <f ca="1">COUNTIFS($BO$6:$BO$53,"&gt;"&amp;BO47,$BC$6:$BC$53,INDEX(T_Equipos[Grupo],MATCH(BD47,T_Equipos[NombreEquipo],0)))+1</f>
        <v>1</v>
      </c>
      <c r="BQ47" s="757" t="str">
        <f ca="1">IF(COUNTIFS($BP$6:$BP$53,BP47,$BC$6:$BC$53,INDEX(T_Equipos[Grupo],MATCH(BD47,T_Equipos[NombreEquipo],0)))=1,"-","P."&amp;BP47&amp;" ("&amp;COUNTIFS($BP$6:$BP$53,BP47,$BC$6:$BC$53,INDEX(T_Equipos[Grupo],MATCH(BD47,T_Equipos[NombreEquipo],0)))&amp;")")</f>
        <v>P.1 (4)</v>
      </c>
      <c r="BR47" s="757">
        <f t="shared" ca="1" si="29"/>
        <v>1</v>
      </c>
      <c r="BS47" s="757">
        <f ca="1">BP47+COUNTIFS($BQ$6:$BQ$53,BQ47,$BR$6:BR$53,"&gt;"&amp;BR47,$BC$6:$BC$53,INDEX(T_Equipos[Grupo],MATCH(BD47,T_Equipos[NombreEquipo],0)))</f>
        <v>2</v>
      </c>
      <c r="BT47" s="757" t="str">
        <f ca="1">IF(COUNTIFS($BS$6:$BS$53,BS47,$BC$6:$BC$53,INDEX(T_Equipos[Grupo],MATCH(BD47,T_Equipos[NombreEquipo],0)))=1,"-","P."&amp;BS47&amp;" ("&amp;COUNTIFS($BS$6:$BS$53,BS47,$BC$6:$BC$53,INDEX(T_Equipos[Grupo],MATCH(BD47,T_Equipos[NombreEquipo],0)))&amp;")")</f>
        <v>P.2 (2)</v>
      </c>
      <c r="BU47" s="758">
        <f t="shared" ca="1" si="36"/>
        <v>0</v>
      </c>
      <c r="BV47" s="758">
        <f t="shared" ca="1" si="37"/>
        <v>1</v>
      </c>
      <c r="BW47" s="758">
        <f t="shared" ca="1" si="38"/>
        <v>0</v>
      </c>
      <c r="BX47" s="758">
        <f t="shared" ca="1" si="39"/>
        <v>1</v>
      </c>
      <c r="BY47" s="758">
        <f ca="1">BS47+COUNTIFS($BT$6:$BT$53,BT47,$BX$6:BX$53,"&gt;"&amp;BX47,$BC$6:$BC$53,INDEX(T_Equipos[Grupo],MATCH(BD47,T_Equipos[NombreEquipo],0)))</f>
        <v>2</v>
      </c>
      <c r="BZ47" s="757" t="str">
        <f ca="1">IF(COUNTIFS($BY$6:$BY$53,BY47,$BC$6:$BC$53,INDEX(T_Equipos[Grupo],MATCH(BD47,T_Equipos[NombreEquipo],0)))=1,"-","P."&amp;BY47&amp;" ("&amp;COUNTIFS($BY$6:$BY$53,BY47,$BC$6:$BC$53,INDEX(T_Equipos[Grupo],MATCH(BD47,T_Equipos[NombreEquipo],0)))&amp;")")</f>
        <v>P.2 (2)</v>
      </c>
      <c r="CA47" s="758">
        <f t="shared" ca="1" si="40"/>
        <v>1</v>
      </c>
      <c r="CB47" s="758">
        <f t="shared" ca="1" si="41"/>
        <v>1</v>
      </c>
      <c r="CC47" s="758">
        <f t="shared" ca="1" si="42"/>
        <v>0</v>
      </c>
      <c r="CD47" s="758">
        <f ca="1">BY47+COUNTIFS($BZ$6:$BZ$53,BZ47,$CC$6:CC$53,"&gt;"&amp;CC47,$BC$6:$BC$53,INDEX(T_Equipos[Grupo],MATCH(BD47,T_Equipos[NombreEquipo],0)))</f>
        <v>2</v>
      </c>
      <c r="CE47" s="757" t="str">
        <f ca="1">IF(COUNTIFS($CD$6:$CD$53,CD47,$BC$6:$BC$53,INDEX(T_Equipos[Grupo],MATCH(BD47,T_Equipos[NombreEquipo],0)))=1,"-","P."&amp;CD47&amp;" ("&amp;COUNTIFS($CD$6:$CD$53,CD47,$BC$6:$BC$53,INDEX(T_Equipos[Grupo],MATCH(BD47,T_Equipos[NombreEquipo],0)))&amp;")")</f>
        <v>P.2 (2)</v>
      </c>
      <c r="CF47" s="758">
        <f t="shared" ca="1" si="43"/>
        <v>1</v>
      </c>
      <c r="CG47" s="758">
        <f ca="1">CD47+COUNTIFS($CE$6:$CE$53,CE47,$CF$6:CF$53,"&gt;"&amp;CF47,$BC$6:$BC$53,INDEX(T_Equipos[Grupo],MATCH(BD47,T_Equipos[NombreEquipo],0)))</f>
        <v>2</v>
      </c>
      <c r="CH47" s="757" t="str">
        <f ca="1">IF(COUNTIFS($CG$6:$CG$53,CG47,$BC$6:$BC$53,INDEX(T_Equipos[Grupo],MATCH(BD47,T_Equipos[NombreEquipo],0)))=1,"-","P."&amp;CG47&amp;" ("&amp;COUNTIFS($CG$6:$CG$53,CG47,$BC$6:$BC$53,INDEX(T_Equipos[Grupo],MATCH(BD47,T_Equipos[NombreEquipo],0)))&amp;")")</f>
        <v>P.2 (2)</v>
      </c>
      <c r="CI47" s="758">
        <f t="shared" ca="1" si="44"/>
        <v>0</v>
      </c>
      <c r="CJ47" s="758">
        <f t="shared" ca="1" si="45"/>
        <v>1</v>
      </c>
      <c r="CK47" s="758">
        <f t="shared" ca="1" si="46"/>
        <v>0</v>
      </c>
      <c r="CL47" s="758">
        <f t="shared" ca="1" si="47"/>
        <v>1</v>
      </c>
      <c r="CM47" s="758">
        <f ca="1">CG47+COUNTIFS($CH$6:$CH$53,CH47,$CL$6:CL$53,"&gt;"&amp;CL47,$BC$6:$BC$53,INDEX(T_Equipos[Grupo],MATCH(BD47,T_Equipos[NombreEquipo],0)))</f>
        <v>2</v>
      </c>
      <c r="CN47" s="757" t="str">
        <f ca="1">IF(COUNTIFS($CM$6:$CM$53,CM47,$BC$6:$BC$53,INDEX(T_Equipos[Grupo],MATCH(BD47,T_Equipos[NombreEquipo],0)))=1,"-","P."&amp;CM47&amp;" ("&amp;COUNTIFS($CM$6:$CM$53,CM47,$BC$6:$BC$53,INDEX(T_Equipos[Grupo],MATCH(BD47,T_Equipos[NombreEquipo],0)))&amp;")")</f>
        <v>P.2 (2)</v>
      </c>
      <c r="CO47" s="758">
        <f t="shared" ca="1" si="48"/>
        <v>1</v>
      </c>
      <c r="CP47" s="758">
        <f t="shared" ca="1" si="49"/>
        <v>1</v>
      </c>
      <c r="CQ47" s="758">
        <f t="shared" ca="1" si="50"/>
        <v>0</v>
      </c>
      <c r="CR47" s="758">
        <f ca="1">CM47+COUNTIFS($CN$6:$CN$53,CN47,$CQ$6:CQ$53,"&gt;"&amp;CQ47,$BC$6:$BC$53,INDEX(T_Equipos[Grupo],MATCH(BD47,T_Equipos[NombreEquipo],0)))</f>
        <v>2</v>
      </c>
      <c r="CS47" s="757" t="str">
        <f ca="1">IF(COUNTIFS($CR$6:$CR$53,CR47,$BC$6:$BC$53,INDEX(T_Equipos[Grupo],MATCH(BD47,T_Equipos[NombreEquipo],0)))=1,"-","P."&amp;CR47&amp;" ("&amp;COUNTIFS($CR$6:$CR$53,CR47,$BC$6:$BC$53,INDEX(T_Equipos[Grupo],MATCH(BD47,T_Equipos[NombreEquipo],0)))&amp;")")</f>
        <v>P.2 (2)</v>
      </c>
      <c r="CT47" s="758">
        <f t="shared" ca="1" si="51"/>
        <v>1</v>
      </c>
      <c r="CU47" s="758">
        <f ca="1">CR47+COUNTIFS($CS$6:$CS$53,CS47,$CT$6:CT$53,"&gt;"&amp;CT47,$BC$6:$BC$53,INDEX(T_Equipos[Grupo],MATCH(BD47,T_Equipos[NombreEquipo],0)))</f>
        <v>2</v>
      </c>
      <c r="CV47" s="757" t="str">
        <f ca="1">IF(COUNTIFS($CU$6:$CU$53,CU47,$BC$6:$BC$53,INDEX(T_Equipos[Grupo],MATCH(BD47,T_Equipos[NombreEquipo],0)))=1,"-","P."&amp;CU47&amp;" ("&amp;COUNTIFS($CU$6:$CU$53,CU47,$BC$6:$BC$53,INDEX(T_Equipos[Grupo],MATCH(BD47,T_Equipos[NombreEquipo],0)))&amp;")")</f>
        <v>P.2 (2)</v>
      </c>
      <c r="CW47" s="757">
        <f t="shared" ca="1" si="30"/>
        <v>0</v>
      </c>
      <c r="CX47" s="757">
        <f ca="1">CU47+COUNTIFS($CV$6:$CV$53,CV47,$CW$6:CW$53,"&gt;"&amp;CW47,$BC$6:$BC$53,INDEX(T_Equipos[Grupo],MATCH(BD47,T_Equipos[NombreEquipo],0)))</f>
        <v>2</v>
      </c>
      <c r="CY47" s="757" t="str">
        <f ca="1">IF(COUNTIFS($CX$6:$CX$53,CX47,$BC$6:$BC$53,INDEX(T_Equipos[Grupo],MATCH(BD47,T_Equipos[NombreEquipo],0)))=1,"-","P."&amp;CX47&amp;" ("&amp;COUNTIFS($CX$6:$CX$53,CX47,$BC$6:$BC$53,INDEX(T_Equipos[Grupo],MATCH(BD47,T_Equipos[NombreEquipo],0)))&amp;")")</f>
        <v>P.2 (2)</v>
      </c>
      <c r="CZ47" s="757">
        <f t="shared" ca="1" si="31"/>
        <v>1</v>
      </c>
      <c r="DA47" s="758">
        <f ca="1">CX47+COUNTIFS($CY$6:$CY$53,CY47,$CZ$6:CZ$53,"&gt;"&amp;CZ47,$BC$6:$BC$53,INDEX(T_Equipos[Grupo],MATCH(BD47,T_Equipos[NombreEquipo],0)))</f>
        <v>2</v>
      </c>
      <c r="DB47" s="757" t="str">
        <f ca="1">IF(COUNTIFS($DA$6:$DA$53,DA47,$BC$6:$BC$53,INDEX(T_Equipos[Grupo],MATCH(BD47,T_Equipos[NombreEquipo],0)))=1,"-","P."&amp;DA47&amp;" ("&amp;COUNTIFS($DA$6:$DA$53,DA47,$BC$6:$BC$53,INDEX(T_Equipos[Grupo],MATCH(BD47,T_Equipos[NombreEquipo],0)))&amp;")")</f>
        <v>P.2 (2)</v>
      </c>
      <c r="DC47" s="756">
        <f ca="1">IF(DB47="-","-",COUNTIFS(T_Equipos[Rank],"&lt;"&amp;INDEX(T_Equipos[Rank],MATCH(BD47,T_Equipos[NombreEquipo],0)),$BC$6:$BC$53,INDEX(T_Equipos[Grupo],MATCH(BD47,T_Equipos[NombreEquipo],0)))+1)</f>
        <v>2</v>
      </c>
      <c r="DD47" s="756">
        <f ca="1">DA47+COUNTIFS($DB$6:$DB$53,DB47,$DC$6:DC$53,"&lt;"&amp;DC47,$BC$6:$BC$53,INDEX(T_Equipos[Grupo],MATCH(BD47,T_Equipos[NombreEquipo],0)))</f>
        <v>3</v>
      </c>
      <c r="DE47" s="756"/>
      <c r="DF47" s="756">
        <f t="shared" ca="1" si="52"/>
        <v>3</v>
      </c>
      <c r="DG47" s="756">
        <f ca="1">IF(DB47="-","-",COUNTIFS(DF$6:DF$53,"&lt;"&amp;DF47,$BC$6:$BC$53,INDEX(T_Equipos[Grupo],MATCH(BD47,T_Equipos[NombreEquipo],0))))</f>
        <v>2</v>
      </c>
      <c r="DH47" s="756">
        <f ca="1">DA47+COUNTIFS(DB$6:DB$53,DB47,DG$6:DG$53,"&lt;"&amp;DG47,$BC$6:$BC$53,INDEX(T_Equipos[Grupo],MATCH(BD47,T_Equipos[NombreEquipo],0)))</f>
        <v>3</v>
      </c>
      <c r="DI47" s="744"/>
      <c r="DJ47" s="744">
        <f t="shared" ca="1" si="53"/>
        <v>2</v>
      </c>
      <c r="DK47" s="744">
        <f t="shared" ca="1" si="24"/>
        <v>4</v>
      </c>
      <c r="DL47" s="744">
        <f t="shared" ca="1" si="33"/>
        <v>1</v>
      </c>
      <c r="DM47" s="738" t="str">
        <f t="shared" ca="1" si="34"/>
        <v>2.1</v>
      </c>
      <c r="DN47" s="744" cm="1">
        <f t="array" aca="1" ref="DN47" ca="1">OFFSET(Horarios!$P$3,DJ47-1,0,DL47,1)</f>
        <v>2</v>
      </c>
      <c r="DO47" s="744"/>
      <c r="DP47" s="744" t="s">
        <v>680</v>
      </c>
      <c r="DQ47" s="744" t="str">
        <f t="shared" ca="1" si="35"/>
        <v>Portugal</v>
      </c>
      <c r="DR47" s="744"/>
      <c r="DS47" s="744"/>
      <c r="DT47" s="744" t="str">
        <f t="shared" ca="1" si="15"/>
        <v>Túnez-Japón</v>
      </c>
      <c r="DU47" s="744"/>
      <c r="DV47" s="744"/>
      <c r="DW47" s="8"/>
    </row>
    <row r="48" spans="1:127" ht="16.05" customHeight="1">
      <c r="A48" s="745" t="str">
        <f ca="1">+Equipos!B25</f>
        <v>Túnez</v>
      </c>
      <c r="B48" s="742"/>
      <c r="C48" s="744"/>
      <c r="D48" s="744" t="str">
        <f t="shared" si="136"/>
        <v>Pendiente</v>
      </c>
      <c r="E48" s="744" t="str">
        <f t="shared" si="137"/>
        <v>-</v>
      </c>
      <c r="F48" s="744" t="str">
        <f t="shared" si="138"/>
        <v>-</v>
      </c>
      <c r="G48" s="744"/>
      <c r="H48" s="744" t="str">
        <f t="shared" si="139"/>
        <v>-</v>
      </c>
      <c r="I48" s="744" t="str">
        <f t="shared" si="140"/>
        <v>-</v>
      </c>
      <c r="J48" s="744"/>
      <c r="K48" s="744" t="str">
        <f t="shared" si="141"/>
        <v>-</v>
      </c>
      <c r="L48" s="744" t="str">
        <f t="shared" si="142"/>
        <v>-</v>
      </c>
      <c r="M48" s="744"/>
      <c r="N48" s="744" t="str">
        <f t="shared" si="143"/>
        <v>-</v>
      </c>
      <c r="O48" s="744" t="str">
        <f t="shared" si="144"/>
        <v>-</v>
      </c>
      <c r="P48" s="744"/>
      <c r="Q48" s="744" t="str">
        <f t="shared" si="145"/>
        <v>-</v>
      </c>
      <c r="R48" s="744" t="str">
        <f t="shared" si="146"/>
        <v>-</v>
      </c>
      <c r="S48" s="744"/>
      <c r="T48" s="744" t="str">
        <f t="shared" si="147"/>
        <v>-</v>
      </c>
      <c r="U48" s="744" t="str">
        <f t="shared" si="148"/>
        <v>-</v>
      </c>
      <c r="V48" s="172"/>
      <c r="W48" s="821"/>
      <c r="X48" s="189">
        <f ca="1">Horarios!C48</f>
        <v>46199.041666666664</v>
      </c>
      <c r="Y48" s="190">
        <f ca="1">Horarios!C48</f>
        <v>46199.041666666664</v>
      </c>
      <c r="Z48" s="191" t="str">
        <f>$Z$8</f>
        <v>J3</v>
      </c>
      <c r="AA48" s="192" t="str">
        <f ca="1">A46</f>
        <v>Japón</v>
      </c>
      <c r="AB48" s="478" t="e" cm="1" vm="22">
        <f t="array" aca="1" ref="AB48" ca="1">Ver_flag_local</f>
        <v>#VALUE!</v>
      </c>
      <c r="AC48" s="193"/>
      <c r="AD48" s="194"/>
      <c r="AE48" s="483" t="e" cm="1" vm="23">
        <f t="array" aca="1" ref="AE48" ca="1">Ver_flag_visit</f>
        <v>#VALUE!</v>
      </c>
      <c r="AF48" s="195" t="str">
        <f ca="1">A47</f>
        <v>Suecia</v>
      </c>
      <c r="AG48" s="413">
        <f t="shared" si="149"/>
        <v>0</v>
      </c>
      <c r="AH48" s="196">
        <v>57</v>
      </c>
      <c r="AI48" s="19" t="str">
        <f t="shared" si="154"/>
        <v>3F</v>
      </c>
      <c r="AJ48" s="221">
        <v>3</v>
      </c>
      <c r="AK48" s="486" t="e" cm="1" vm="22">
        <f t="array" aca="1" ref="AK48" ca="1">Ver_flag_visit</f>
        <v>#VALUE!</v>
      </c>
      <c r="AL48" s="222" t="str">
        <f ca="1">IFERROR(INDEX($BD$6:$BD$53,MATCH(AI48,$BN$6:$BN$53,0)),"")</f>
        <v>Japón</v>
      </c>
      <c r="AM48" s="223">
        <f t="shared" ca="1" si="153"/>
        <v>1</v>
      </c>
      <c r="AN48" s="224">
        <f t="shared" ca="1" si="153"/>
        <v>1</v>
      </c>
      <c r="AO48" s="224">
        <f t="shared" ca="1" si="153"/>
        <v>0</v>
      </c>
      <c r="AP48" s="224">
        <f t="shared" ca="1" si="153"/>
        <v>1</v>
      </c>
      <c r="AQ48" s="224">
        <f t="shared" ca="1" si="153"/>
        <v>0</v>
      </c>
      <c r="AR48" s="224">
        <f t="shared" ca="1" si="153"/>
        <v>2</v>
      </c>
      <c r="AS48" s="224">
        <f t="shared" ca="1" si="153"/>
        <v>2</v>
      </c>
      <c r="AT48" s="225">
        <f t="shared" ca="1" si="153"/>
        <v>0</v>
      </c>
      <c r="AU48" s="420">
        <f ca="1">INDEX($DL$6:$DL$53,MATCH(AI48,$DP$6:$DP$53,0))</f>
        <v>1</v>
      </c>
      <c r="AV48" s="217" t="str">
        <f ca="1">INDEX($BD$6:$BD$53,MATCH(AI48,$BM$6:$BM$53,0))</f>
        <v>Japón</v>
      </c>
      <c r="AW48" s="427"/>
      <c r="AX48" s="218"/>
      <c r="AY48" s="219" t="str">
        <f ca="1">+A47</f>
        <v>Suecia</v>
      </c>
      <c r="AZ48" s="220"/>
      <c r="BA48" s="175"/>
      <c r="BB48" s="744"/>
      <c r="BC48" s="756" t="str">
        <f ca="1">+INDEX(T_Equipos[Grupo],MATCH(WORLDCUP!BD48,T_Equipos[NombreEquipo],0))</f>
        <v>K</v>
      </c>
      <c r="BD48" s="744" t="str">
        <f ca="1">+Equipos!B44</f>
        <v>Uzbekistán</v>
      </c>
      <c r="BE48" s="748">
        <f t="shared" ca="1" si="25"/>
        <v>0</v>
      </c>
      <c r="BF48" s="748">
        <f t="shared" ca="1" si="26"/>
        <v>1</v>
      </c>
      <c r="BG48" s="748">
        <f t="shared" ca="1" si="17"/>
        <v>0</v>
      </c>
      <c r="BH48" s="748">
        <f t="shared" ca="1" si="18"/>
        <v>0</v>
      </c>
      <c r="BI48" s="748">
        <f t="shared" ca="1" si="19"/>
        <v>1</v>
      </c>
      <c r="BJ48" s="748">
        <f t="shared" ca="1" si="20"/>
        <v>1</v>
      </c>
      <c r="BK48" s="748">
        <f t="shared" ca="1" si="21"/>
        <v>3</v>
      </c>
      <c r="BL48" s="748">
        <f t="shared" ca="1" si="27"/>
        <v>-2</v>
      </c>
      <c r="BM48" s="748" t="str">
        <f t="shared" ca="1" si="22"/>
        <v>4K</v>
      </c>
      <c r="BN48" s="748" t="str">
        <f t="shared" ca="1" si="23"/>
        <v>4K</v>
      </c>
      <c r="BO48" s="757">
        <f t="shared" ca="1" si="28"/>
        <v>0</v>
      </c>
      <c r="BP48" s="757">
        <f ca="1">COUNTIFS($BO$6:$BO$53,"&gt;"&amp;BO48,$BC$6:$BC$53,INDEX(T_Equipos[Grupo],MATCH(BD48,T_Equipos[NombreEquipo],0)))+1</f>
        <v>1</v>
      </c>
      <c r="BQ48" s="757" t="str">
        <f ca="1">IF(COUNTIFS($BP$6:$BP$53,BP48,$BC$6:$BC$53,INDEX(T_Equipos[Grupo],MATCH(BD48,T_Equipos[NombreEquipo],0)))=1,"-","P."&amp;BP48&amp;" ("&amp;COUNTIFS($BP$6:$BP$53,BP48,$BC$6:$BC$53,INDEX(T_Equipos[Grupo],MATCH(BD48,T_Equipos[NombreEquipo],0)))&amp;")")</f>
        <v>P.1 (4)</v>
      </c>
      <c r="BR48" s="757">
        <f t="shared" ca="1" si="29"/>
        <v>0</v>
      </c>
      <c r="BS48" s="757">
        <f ca="1">BP48+COUNTIFS($BQ$6:$BQ$53,BQ48,$BR$6:BR$53,"&gt;"&amp;BR48,$BC$6:$BC$53,INDEX(T_Equipos[Grupo],MATCH(BD48,T_Equipos[NombreEquipo],0)))</f>
        <v>4</v>
      </c>
      <c r="BT48" s="757" t="str">
        <f ca="1">IF(COUNTIFS($BS$6:$BS$53,BS48,$BC$6:$BC$53,INDEX(T_Equipos[Grupo],MATCH(BD48,T_Equipos[NombreEquipo],0)))=1,"-","P."&amp;BS48&amp;" ("&amp;COUNTIFS($BS$6:$BS$53,BS48,$BC$6:$BC$53,INDEX(T_Equipos[Grupo],MATCH(BD48,T_Equipos[NombreEquipo],0)))&amp;")")</f>
        <v>-</v>
      </c>
      <c r="BU48" s="758" t="str">
        <f t="shared" ca="1" si="36"/>
        <v>-</v>
      </c>
      <c r="BV48" s="758" t="str">
        <f t="shared" ca="1" si="37"/>
        <v>-</v>
      </c>
      <c r="BW48" s="758" t="str">
        <f t="shared" ca="1" si="38"/>
        <v>-</v>
      </c>
      <c r="BX48" s="758" t="str">
        <f t="shared" ca="1" si="39"/>
        <v>-</v>
      </c>
      <c r="BY48" s="758">
        <f ca="1">BS48+COUNTIFS($BT$6:$BT$53,BT48,$BX$6:BX$53,"&gt;"&amp;BX48,$BC$6:$BC$53,INDEX(T_Equipos[Grupo],MATCH(BD48,T_Equipos[NombreEquipo],0)))</f>
        <v>4</v>
      </c>
      <c r="BZ48" s="757" t="str">
        <f ca="1">IF(COUNTIFS($BY$6:$BY$53,BY48,$BC$6:$BC$53,INDEX(T_Equipos[Grupo],MATCH(BD48,T_Equipos[NombreEquipo],0)))=1,"-","P."&amp;BY48&amp;" ("&amp;COUNTIFS($BY$6:$BY$53,BY48,$BC$6:$BC$53,INDEX(T_Equipos[Grupo],MATCH(BD48,T_Equipos[NombreEquipo],0)))&amp;")")</f>
        <v>-</v>
      </c>
      <c r="CA48" s="758" t="str">
        <f t="shared" ca="1" si="40"/>
        <v>-</v>
      </c>
      <c r="CB48" s="758" t="str">
        <f t="shared" ca="1" si="41"/>
        <v>-</v>
      </c>
      <c r="CC48" s="758" t="str">
        <f t="shared" ca="1" si="42"/>
        <v>-</v>
      </c>
      <c r="CD48" s="758">
        <f ca="1">BY48+COUNTIFS($BZ$6:$BZ$53,BZ48,$CC$6:CC$53,"&gt;"&amp;CC48,$BC$6:$BC$53,INDEX(T_Equipos[Grupo],MATCH(BD48,T_Equipos[NombreEquipo],0)))</f>
        <v>4</v>
      </c>
      <c r="CE48" s="757" t="str">
        <f ca="1">IF(COUNTIFS($CD$6:$CD$53,CD48,$BC$6:$BC$53,INDEX(T_Equipos[Grupo],MATCH(BD48,T_Equipos[NombreEquipo],0)))=1,"-","P."&amp;CD48&amp;" ("&amp;COUNTIFS($CD$6:$CD$53,CD48,$BC$6:$BC$53,INDEX(T_Equipos[Grupo],MATCH(BD48,T_Equipos[NombreEquipo],0)))&amp;")")</f>
        <v>-</v>
      </c>
      <c r="CF48" s="758" t="str">
        <f t="shared" ca="1" si="43"/>
        <v>-</v>
      </c>
      <c r="CG48" s="758">
        <f ca="1">CD48+COUNTIFS($CE$6:$CE$53,CE48,$CF$6:CF$53,"&gt;"&amp;CF48,$BC$6:$BC$53,INDEX(T_Equipos[Grupo],MATCH(BD48,T_Equipos[NombreEquipo],0)))</f>
        <v>4</v>
      </c>
      <c r="CH48" s="757" t="str">
        <f ca="1">IF(COUNTIFS($CG$6:$CG$53,CG48,$BC$6:$BC$53,INDEX(T_Equipos[Grupo],MATCH(BD48,T_Equipos[NombreEquipo],0)))=1,"-","P."&amp;CG48&amp;" ("&amp;COUNTIFS($CG$6:$CG$53,CG48,$BC$6:$BC$53,INDEX(T_Equipos[Grupo],MATCH(BD48,T_Equipos[NombreEquipo],0)))&amp;")")</f>
        <v>-</v>
      </c>
      <c r="CI48" s="758" t="str">
        <f t="shared" ca="1" si="44"/>
        <v>-</v>
      </c>
      <c r="CJ48" s="758" t="str">
        <f t="shared" ca="1" si="45"/>
        <v>-</v>
      </c>
      <c r="CK48" s="758" t="str">
        <f t="shared" ca="1" si="46"/>
        <v>-</v>
      </c>
      <c r="CL48" s="758" t="str">
        <f t="shared" ca="1" si="47"/>
        <v>-</v>
      </c>
      <c r="CM48" s="758">
        <f ca="1">CG48+COUNTIFS($CH$6:$CH$53,CH48,$CL$6:CL$53,"&gt;"&amp;CL48,$BC$6:$BC$53,INDEX(T_Equipos[Grupo],MATCH(BD48,T_Equipos[NombreEquipo],0)))</f>
        <v>4</v>
      </c>
      <c r="CN48" s="757" t="str">
        <f ca="1">IF(COUNTIFS($CM$6:$CM$53,CM48,$BC$6:$BC$53,INDEX(T_Equipos[Grupo],MATCH(BD48,T_Equipos[NombreEquipo],0)))=1,"-","P."&amp;CM48&amp;" ("&amp;COUNTIFS($CM$6:$CM$53,CM48,$BC$6:$BC$53,INDEX(T_Equipos[Grupo],MATCH(BD48,T_Equipos[NombreEquipo],0)))&amp;")")</f>
        <v>-</v>
      </c>
      <c r="CO48" s="758" t="str">
        <f t="shared" ca="1" si="48"/>
        <v>-</v>
      </c>
      <c r="CP48" s="758" t="str">
        <f t="shared" ca="1" si="49"/>
        <v>-</v>
      </c>
      <c r="CQ48" s="758" t="str">
        <f t="shared" ca="1" si="50"/>
        <v>-</v>
      </c>
      <c r="CR48" s="758">
        <f ca="1">CM48+COUNTIFS($CN$6:$CN$53,CN48,$CQ$6:CQ$53,"&gt;"&amp;CQ48,$BC$6:$BC$53,INDEX(T_Equipos[Grupo],MATCH(BD48,T_Equipos[NombreEquipo],0)))</f>
        <v>4</v>
      </c>
      <c r="CS48" s="757" t="str">
        <f ca="1">IF(COUNTIFS($CR$6:$CR$53,CR48,$BC$6:$BC$53,INDEX(T_Equipos[Grupo],MATCH(BD48,T_Equipos[NombreEquipo],0)))=1,"-","P."&amp;CR48&amp;" ("&amp;COUNTIFS($CR$6:$CR$53,CR48,$BC$6:$BC$53,INDEX(T_Equipos[Grupo],MATCH(BD48,T_Equipos[NombreEquipo],0)))&amp;")")</f>
        <v>-</v>
      </c>
      <c r="CT48" s="758" t="str">
        <f t="shared" ca="1" si="51"/>
        <v>-</v>
      </c>
      <c r="CU48" s="758">
        <f ca="1">CR48+COUNTIFS($CS$6:$CS$53,CS48,$CT$6:CT$53,"&gt;"&amp;CT48,$BC$6:$BC$53,INDEX(T_Equipos[Grupo],MATCH(BD48,T_Equipos[NombreEquipo],0)))</f>
        <v>4</v>
      </c>
      <c r="CV48" s="757" t="str">
        <f ca="1">IF(COUNTIFS($CU$6:$CU$53,CU48,$BC$6:$BC$53,INDEX(T_Equipos[Grupo],MATCH(BD48,T_Equipos[NombreEquipo],0)))=1,"-","P."&amp;CU48&amp;" ("&amp;COUNTIFS($CU$6:$CU$53,CU48,$BC$6:$BC$53,INDEX(T_Equipos[Grupo],MATCH(BD48,T_Equipos[NombreEquipo],0)))&amp;")")</f>
        <v>-</v>
      </c>
      <c r="CW48" s="757" t="str">
        <f t="shared" ca="1" si="30"/>
        <v>-</v>
      </c>
      <c r="CX48" s="757">
        <f ca="1">CU48+COUNTIFS($CV$6:$CV$53,CV48,$CW$6:CW$53,"&gt;"&amp;CW48,$BC$6:$BC$53,INDEX(T_Equipos[Grupo],MATCH(BD48,T_Equipos[NombreEquipo],0)))</f>
        <v>4</v>
      </c>
      <c r="CY48" s="757" t="str">
        <f ca="1">IF(COUNTIFS($CX$6:$CX$53,CX48,$BC$6:$BC$53,INDEX(T_Equipos[Grupo],MATCH(BD48,T_Equipos[NombreEquipo],0)))=1,"-","P."&amp;CX48&amp;" ("&amp;COUNTIFS($CX$6:$CX$53,CX48,$BC$6:$BC$53,INDEX(T_Equipos[Grupo],MATCH(BD48,T_Equipos[NombreEquipo],0)))&amp;")")</f>
        <v>-</v>
      </c>
      <c r="CZ48" s="757" t="str">
        <f t="shared" ca="1" si="31"/>
        <v>-</v>
      </c>
      <c r="DA48" s="758">
        <f ca="1">CX48+COUNTIFS($CY$6:$CY$53,CY48,$CZ$6:CZ$53,"&gt;"&amp;CZ48,$BC$6:$BC$53,INDEX(T_Equipos[Grupo],MATCH(BD48,T_Equipos[NombreEquipo],0)))</f>
        <v>4</v>
      </c>
      <c r="DB48" s="757" t="str">
        <f ca="1">IF(COUNTIFS($DA$6:$DA$53,DA48,$BC$6:$BC$53,INDEX(T_Equipos[Grupo],MATCH(BD48,T_Equipos[NombreEquipo],0)))=1,"-","P."&amp;DA48&amp;" ("&amp;COUNTIFS($DA$6:$DA$53,DA48,$BC$6:$BC$53,INDEX(T_Equipos[Grupo],MATCH(BD48,T_Equipos[NombreEquipo],0)))&amp;")")</f>
        <v>-</v>
      </c>
      <c r="DC48" s="756" t="str">
        <f ca="1">IF(DB48="-","-",COUNTIFS(T_Equipos[Rank],"&lt;"&amp;INDEX(T_Equipos[Rank],MATCH(BD48,T_Equipos[NombreEquipo],0)),$BC$6:$BC$53,INDEX(T_Equipos[Grupo],MATCH(BD48,T_Equipos[NombreEquipo],0)))+1)</f>
        <v>-</v>
      </c>
      <c r="DD48" s="756">
        <f ca="1">DA48+COUNTIFS($DB$6:$DB$53,DB48,$DC$6:DC$53,"&lt;"&amp;DC48,$BC$6:$BC$53,INDEX(T_Equipos[Grupo],MATCH(BD48,T_Equipos[NombreEquipo],0)))</f>
        <v>4</v>
      </c>
      <c r="DE48" s="756"/>
      <c r="DF48" s="756">
        <f t="shared" ca="1" si="52"/>
        <v>4</v>
      </c>
      <c r="DG48" s="756" t="str">
        <f ca="1">IF(DB48="-","-",COUNTIFS(DF$6:DF$53,"&lt;"&amp;DF48,$BC$6:$BC$53,INDEX(T_Equipos[Grupo],MATCH(BD48,T_Equipos[NombreEquipo],0))))</f>
        <v>-</v>
      </c>
      <c r="DH48" s="756">
        <f ca="1">DA48+COUNTIFS(DB$6:DB$53,DB48,DG$6:DG$53,"&lt;"&amp;DG48,$BC$6:$BC$53,INDEX(T_Equipos[Grupo],MATCH(BD48,T_Equipos[NombreEquipo],0)))</f>
        <v>4</v>
      </c>
      <c r="DI48" s="744"/>
      <c r="DJ48" s="744">
        <f t="shared" ca="1" si="53"/>
        <v>2</v>
      </c>
      <c r="DK48" s="744">
        <f t="shared" ca="1" si="24"/>
        <v>4</v>
      </c>
      <c r="DL48" s="744">
        <f t="shared" ca="1" si="33"/>
        <v>1</v>
      </c>
      <c r="DM48" s="738" t="str">
        <f t="shared" ca="1" si="34"/>
        <v>2.1</v>
      </c>
      <c r="DN48" s="744" cm="1">
        <f t="array" aca="1" ref="DN48" ca="1">OFFSET(Horarios!$P$3,DJ48-1,0,DL48,1)</f>
        <v>2</v>
      </c>
      <c r="DO48" s="744"/>
      <c r="DP48" s="744" t="s">
        <v>442</v>
      </c>
      <c r="DQ48" s="744" t="str">
        <f t="shared" ca="1" si="35"/>
        <v>RD Congo</v>
      </c>
      <c r="DR48" s="744"/>
      <c r="DS48" s="744"/>
      <c r="DT48" s="744" t="str">
        <f t="shared" ca="1" si="15"/>
        <v>Japón-Suecia</v>
      </c>
      <c r="DU48" s="744"/>
      <c r="DV48" s="744"/>
      <c r="DW48" s="8"/>
    </row>
    <row r="49" spans="1:127" ht="16.95" customHeight="1" thickBot="1">
      <c r="A49" s="739"/>
      <c r="B49" s="739"/>
      <c r="C49" s="739"/>
      <c r="D49" s="744" t="str">
        <f t="shared" si="136"/>
        <v>Pendiente</v>
      </c>
      <c r="E49" s="744" t="str">
        <f t="shared" si="137"/>
        <v>-</v>
      </c>
      <c r="F49" s="744" t="str">
        <f t="shared" si="138"/>
        <v>-</v>
      </c>
      <c r="G49" s="744"/>
      <c r="H49" s="744" t="str">
        <f t="shared" si="139"/>
        <v>-</v>
      </c>
      <c r="I49" s="744" t="str">
        <f t="shared" si="140"/>
        <v>-</v>
      </c>
      <c r="J49" s="744"/>
      <c r="K49" s="744" t="str">
        <f t="shared" si="141"/>
        <v>-</v>
      </c>
      <c r="L49" s="744" t="str">
        <f t="shared" si="142"/>
        <v>-</v>
      </c>
      <c r="M49" s="744"/>
      <c r="N49" s="744" t="str">
        <f t="shared" si="143"/>
        <v>-</v>
      </c>
      <c r="O49" s="744" t="str">
        <f t="shared" si="144"/>
        <v>-</v>
      </c>
      <c r="P49" s="744"/>
      <c r="Q49" s="744" t="str">
        <f t="shared" si="145"/>
        <v>-</v>
      </c>
      <c r="R49" s="744" t="str">
        <f t="shared" si="146"/>
        <v>-</v>
      </c>
      <c r="S49" s="744"/>
      <c r="T49" s="744" t="str">
        <f t="shared" si="147"/>
        <v>-</v>
      </c>
      <c r="U49" s="744" t="str">
        <f t="shared" si="148"/>
        <v>-</v>
      </c>
      <c r="V49" s="172"/>
      <c r="W49" s="822"/>
      <c r="X49" s="228">
        <f ca="1">Horarios!C49</f>
        <v>46199.041666666664</v>
      </c>
      <c r="Y49" s="229">
        <f ca="1">Horarios!C49</f>
        <v>46199.041666666664</v>
      </c>
      <c r="Z49" s="230" t="str">
        <f>$Z$8</f>
        <v>J3</v>
      </c>
      <c r="AA49" s="231" t="str">
        <f ca="1">A48</f>
        <v>Túnez</v>
      </c>
      <c r="AB49" s="479" t="e" cm="1" vm="24">
        <f t="array" aca="1" ref="AB49" ca="1">Ver_flag_local</f>
        <v>#VALUE!</v>
      </c>
      <c r="AC49" s="232"/>
      <c r="AD49" s="233"/>
      <c r="AE49" s="484" t="e" cm="1" vm="21">
        <f t="array" aca="1" ref="AE49" ca="1">Ver_flag_visit</f>
        <v>#VALUE!</v>
      </c>
      <c r="AF49" s="234" t="str">
        <f ca="1">A45</f>
        <v>Países Bajos</v>
      </c>
      <c r="AG49" s="413">
        <f t="shared" si="149"/>
        <v>0</v>
      </c>
      <c r="AH49" s="196">
        <v>58</v>
      </c>
      <c r="AI49" s="19" t="str">
        <f t="shared" si="154"/>
        <v>4F</v>
      </c>
      <c r="AJ49" s="235">
        <v>4</v>
      </c>
      <c r="AK49" s="487" t="e" cm="1" vm="24">
        <f t="array" aca="1" ref="AK49" ca="1">Ver_flag_visit</f>
        <v>#VALUE!</v>
      </c>
      <c r="AL49" s="236" t="str">
        <f ca="1">IFERROR(INDEX($BD$6:$BD$53,MATCH(AI49,$BN$6:$BN$53,0)),"")</f>
        <v>Túnez</v>
      </c>
      <c r="AM49" s="237">
        <f t="shared" ca="1" si="153"/>
        <v>0</v>
      </c>
      <c r="AN49" s="238">
        <f t="shared" ca="1" si="153"/>
        <v>1</v>
      </c>
      <c r="AO49" s="238">
        <f t="shared" ca="1" si="153"/>
        <v>0</v>
      </c>
      <c r="AP49" s="238">
        <f t="shared" ca="1" si="153"/>
        <v>0</v>
      </c>
      <c r="AQ49" s="238">
        <f t="shared" ca="1" si="153"/>
        <v>1</v>
      </c>
      <c r="AR49" s="238">
        <f t="shared" ca="1" si="153"/>
        <v>1</v>
      </c>
      <c r="AS49" s="238">
        <f t="shared" ca="1" si="153"/>
        <v>5</v>
      </c>
      <c r="AT49" s="239">
        <f t="shared" ca="1" si="153"/>
        <v>-4</v>
      </c>
      <c r="AU49" s="420">
        <f ca="1">INDEX($DL$6:$DL$53,MATCH(AI49,$DP$6:$DP$53,0))</f>
        <v>1</v>
      </c>
      <c r="AV49" s="217" t="str">
        <f ca="1">INDEX($BD$6:$BD$53,MATCH(AI49,$BM$6:$BM$53,0))</f>
        <v>Túnez</v>
      </c>
      <c r="AW49" s="427"/>
      <c r="AX49" s="218"/>
      <c r="AY49" s="240" t="str">
        <f ca="1">+A48</f>
        <v>Túnez</v>
      </c>
      <c r="AZ49" s="241"/>
      <c r="BA49" s="175"/>
      <c r="BB49" s="744"/>
      <c r="BC49" s="756" t="str">
        <f ca="1">+INDEX(T_Equipos[Grupo],MATCH(WORLDCUP!BD49,T_Equipos[NombreEquipo],0))</f>
        <v>K</v>
      </c>
      <c r="BD49" s="744" t="str">
        <f ca="1">+Equipos!B45</f>
        <v>Colombia</v>
      </c>
      <c r="BE49" s="748">
        <f t="shared" ca="1" si="25"/>
        <v>3</v>
      </c>
      <c r="BF49" s="748">
        <f t="shared" ca="1" si="26"/>
        <v>1</v>
      </c>
      <c r="BG49" s="748">
        <f t="shared" ca="1" si="17"/>
        <v>1</v>
      </c>
      <c r="BH49" s="748">
        <f t="shared" ca="1" si="18"/>
        <v>0</v>
      </c>
      <c r="BI49" s="748">
        <f t="shared" ca="1" si="19"/>
        <v>0</v>
      </c>
      <c r="BJ49" s="748">
        <f t="shared" ca="1" si="20"/>
        <v>3</v>
      </c>
      <c r="BK49" s="748">
        <f t="shared" ca="1" si="21"/>
        <v>1</v>
      </c>
      <c r="BL49" s="748">
        <f t="shared" ca="1" si="27"/>
        <v>2</v>
      </c>
      <c r="BM49" s="748" t="str">
        <f t="shared" ca="1" si="22"/>
        <v>1K</v>
      </c>
      <c r="BN49" s="748" t="str">
        <f t="shared" ca="1" si="23"/>
        <v>1K</v>
      </c>
      <c r="BO49" s="757">
        <f t="shared" ca="1" si="28"/>
        <v>0</v>
      </c>
      <c r="BP49" s="757">
        <f ca="1">COUNTIFS($BO$6:$BO$53,"&gt;"&amp;BO49,$BC$6:$BC$53,INDEX(T_Equipos[Grupo],MATCH(BD49,T_Equipos[NombreEquipo],0)))+1</f>
        <v>1</v>
      </c>
      <c r="BQ49" s="757" t="str">
        <f ca="1">IF(COUNTIFS($BP$6:$BP$53,BP49,$BC$6:$BC$53,INDEX(T_Equipos[Grupo],MATCH(BD49,T_Equipos[NombreEquipo],0)))=1,"-","P."&amp;BP49&amp;" ("&amp;COUNTIFS($BP$6:$BP$53,BP49,$BC$6:$BC$53,INDEX(T_Equipos[Grupo],MATCH(BD49,T_Equipos[NombreEquipo],0)))&amp;")")</f>
        <v>P.1 (4)</v>
      </c>
      <c r="BR49" s="757">
        <f t="shared" ca="1" si="29"/>
        <v>3</v>
      </c>
      <c r="BS49" s="757">
        <f ca="1">BP49+COUNTIFS($BQ$6:$BQ$53,BQ49,$BR$6:BR$53,"&gt;"&amp;BR49,$BC$6:$BC$53,INDEX(T_Equipos[Grupo],MATCH(BD49,T_Equipos[NombreEquipo],0)))</f>
        <v>1</v>
      </c>
      <c r="BT49" s="757" t="str">
        <f ca="1">IF(COUNTIFS($BS$6:$BS$53,BS49,$BC$6:$BC$53,INDEX(T_Equipos[Grupo],MATCH(BD49,T_Equipos[NombreEquipo],0)))=1,"-","P."&amp;BS49&amp;" ("&amp;COUNTIFS($BS$6:$BS$53,BS49,$BC$6:$BC$53,INDEX(T_Equipos[Grupo],MATCH(BD49,T_Equipos[NombreEquipo],0)))&amp;")")</f>
        <v>-</v>
      </c>
      <c r="BU49" s="758" t="str">
        <f t="shared" ca="1" si="36"/>
        <v>-</v>
      </c>
      <c r="BV49" s="758" t="str">
        <f t="shared" ca="1" si="37"/>
        <v>-</v>
      </c>
      <c r="BW49" s="758" t="str">
        <f t="shared" ca="1" si="38"/>
        <v>-</v>
      </c>
      <c r="BX49" s="758" t="str">
        <f t="shared" ca="1" si="39"/>
        <v>-</v>
      </c>
      <c r="BY49" s="758">
        <f ca="1">BS49+COUNTIFS($BT$6:$BT$53,BT49,$BX$6:BX$53,"&gt;"&amp;BX49,$BC$6:$BC$53,INDEX(T_Equipos[Grupo],MATCH(BD49,T_Equipos[NombreEquipo],0)))</f>
        <v>1</v>
      </c>
      <c r="BZ49" s="757" t="str">
        <f ca="1">IF(COUNTIFS($BY$6:$BY$53,BY49,$BC$6:$BC$53,INDEX(T_Equipos[Grupo],MATCH(BD49,T_Equipos[NombreEquipo],0)))=1,"-","P."&amp;BY49&amp;" ("&amp;COUNTIFS($BY$6:$BY$53,BY49,$BC$6:$BC$53,INDEX(T_Equipos[Grupo],MATCH(BD49,T_Equipos[NombreEquipo],0)))&amp;")")</f>
        <v>-</v>
      </c>
      <c r="CA49" s="758" t="str">
        <f t="shared" ca="1" si="40"/>
        <v>-</v>
      </c>
      <c r="CB49" s="758" t="str">
        <f t="shared" ca="1" si="41"/>
        <v>-</v>
      </c>
      <c r="CC49" s="758" t="str">
        <f t="shared" ca="1" si="42"/>
        <v>-</v>
      </c>
      <c r="CD49" s="758">
        <f ca="1">BY49+COUNTIFS($BZ$6:$BZ$53,BZ49,$CC$6:CC$53,"&gt;"&amp;CC49,$BC$6:$BC$53,INDEX(T_Equipos[Grupo],MATCH(BD49,T_Equipos[NombreEquipo],0)))</f>
        <v>1</v>
      </c>
      <c r="CE49" s="757" t="str">
        <f ca="1">IF(COUNTIFS($CD$6:$CD$53,CD49,$BC$6:$BC$53,INDEX(T_Equipos[Grupo],MATCH(BD49,T_Equipos[NombreEquipo],0)))=1,"-","P."&amp;CD49&amp;" ("&amp;COUNTIFS($CD$6:$CD$53,CD49,$BC$6:$BC$53,INDEX(T_Equipos[Grupo],MATCH(BD49,T_Equipos[NombreEquipo],0)))&amp;")")</f>
        <v>-</v>
      </c>
      <c r="CF49" s="758" t="str">
        <f t="shared" ca="1" si="43"/>
        <v>-</v>
      </c>
      <c r="CG49" s="758">
        <f ca="1">CD49+COUNTIFS($CE$6:$CE$53,CE49,$CF$6:CF$53,"&gt;"&amp;CF49,$BC$6:$BC$53,INDEX(T_Equipos[Grupo],MATCH(BD49,T_Equipos[NombreEquipo],0)))</f>
        <v>1</v>
      </c>
      <c r="CH49" s="757" t="str">
        <f ca="1">IF(COUNTIFS($CG$6:$CG$53,CG49,$BC$6:$BC$53,INDEX(T_Equipos[Grupo],MATCH(BD49,T_Equipos[NombreEquipo],0)))=1,"-","P."&amp;CG49&amp;" ("&amp;COUNTIFS($CG$6:$CG$53,CG49,$BC$6:$BC$53,INDEX(T_Equipos[Grupo],MATCH(BD49,T_Equipos[NombreEquipo],0)))&amp;")")</f>
        <v>-</v>
      </c>
      <c r="CI49" s="758" t="str">
        <f t="shared" ca="1" si="44"/>
        <v>-</v>
      </c>
      <c r="CJ49" s="758" t="str">
        <f t="shared" ca="1" si="45"/>
        <v>-</v>
      </c>
      <c r="CK49" s="758" t="str">
        <f t="shared" ca="1" si="46"/>
        <v>-</v>
      </c>
      <c r="CL49" s="758" t="str">
        <f t="shared" ca="1" si="47"/>
        <v>-</v>
      </c>
      <c r="CM49" s="758">
        <f ca="1">CG49+COUNTIFS($CH$6:$CH$53,CH49,$CL$6:CL$53,"&gt;"&amp;CL49,$BC$6:$BC$53,INDEX(T_Equipos[Grupo],MATCH(BD49,T_Equipos[NombreEquipo],0)))</f>
        <v>1</v>
      </c>
      <c r="CN49" s="757" t="str">
        <f ca="1">IF(COUNTIFS($CM$6:$CM$53,CM49,$BC$6:$BC$53,INDEX(T_Equipos[Grupo],MATCH(BD49,T_Equipos[NombreEquipo],0)))=1,"-","P."&amp;CM49&amp;" ("&amp;COUNTIFS($CM$6:$CM$53,CM49,$BC$6:$BC$53,INDEX(T_Equipos[Grupo],MATCH(BD49,T_Equipos[NombreEquipo],0)))&amp;")")</f>
        <v>-</v>
      </c>
      <c r="CO49" s="758" t="str">
        <f t="shared" ca="1" si="48"/>
        <v>-</v>
      </c>
      <c r="CP49" s="758" t="str">
        <f t="shared" ca="1" si="49"/>
        <v>-</v>
      </c>
      <c r="CQ49" s="758" t="str">
        <f t="shared" ca="1" si="50"/>
        <v>-</v>
      </c>
      <c r="CR49" s="758">
        <f ca="1">CM49+COUNTIFS($CN$6:$CN$53,CN49,$CQ$6:CQ$53,"&gt;"&amp;CQ49,$BC$6:$BC$53,INDEX(T_Equipos[Grupo],MATCH(BD49,T_Equipos[NombreEquipo],0)))</f>
        <v>1</v>
      </c>
      <c r="CS49" s="757" t="str">
        <f ca="1">IF(COUNTIFS($CR$6:$CR$53,CR49,$BC$6:$BC$53,INDEX(T_Equipos[Grupo],MATCH(BD49,T_Equipos[NombreEquipo],0)))=1,"-","P."&amp;CR49&amp;" ("&amp;COUNTIFS($CR$6:$CR$53,CR49,$BC$6:$BC$53,INDEX(T_Equipos[Grupo],MATCH(BD49,T_Equipos[NombreEquipo],0)))&amp;")")</f>
        <v>-</v>
      </c>
      <c r="CT49" s="758" t="str">
        <f t="shared" ca="1" si="51"/>
        <v>-</v>
      </c>
      <c r="CU49" s="758">
        <f ca="1">CR49+COUNTIFS($CS$6:$CS$53,CS49,$CT$6:CT$53,"&gt;"&amp;CT49,$BC$6:$BC$53,INDEX(T_Equipos[Grupo],MATCH(BD49,T_Equipos[NombreEquipo],0)))</f>
        <v>1</v>
      </c>
      <c r="CV49" s="757" t="str">
        <f ca="1">IF(COUNTIFS($CU$6:$CU$53,CU49,$BC$6:$BC$53,INDEX(T_Equipos[Grupo],MATCH(BD49,T_Equipos[NombreEquipo],0)))=1,"-","P."&amp;CU49&amp;" ("&amp;COUNTIFS($CU$6:$CU$53,CU49,$BC$6:$BC$53,INDEX(T_Equipos[Grupo],MATCH(BD49,T_Equipos[NombreEquipo],0)))&amp;")")</f>
        <v>-</v>
      </c>
      <c r="CW49" s="757" t="str">
        <f t="shared" ca="1" si="30"/>
        <v>-</v>
      </c>
      <c r="CX49" s="757">
        <f ca="1">CU49+COUNTIFS($CV$6:$CV$53,CV49,$CW$6:CW$53,"&gt;"&amp;CW49,$BC$6:$BC$53,INDEX(T_Equipos[Grupo],MATCH(BD49,T_Equipos[NombreEquipo],0)))</f>
        <v>1</v>
      </c>
      <c r="CY49" s="757" t="str">
        <f ca="1">IF(COUNTIFS($CX$6:$CX$53,CX49,$BC$6:$BC$53,INDEX(T_Equipos[Grupo],MATCH(BD49,T_Equipos[NombreEquipo],0)))=1,"-","P."&amp;CX49&amp;" ("&amp;COUNTIFS($CX$6:$CX$53,CX49,$BC$6:$BC$53,INDEX(T_Equipos[Grupo],MATCH(BD49,T_Equipos[NombreEquipo],0)))&amp;")")</f>
        <v>-</v>
      </c>
      <c r="CZ49" s="757" t="str">
        <f t="shared" ca="1" si="31"/>
        <v>-</v>
      </c>
      <c r="DA49" s="758">
        <f ca="1">CX49+COUNTIFS($CY$6:$CY$53,CY49,$CZ$6:CZ$53,"&gt;"&amp;CZ49,$BC$6:$BC$53,INDEX(T_Equipos[Grupo],MATCH(BD49,T_Equipos[NombreEquipo],0)))</f>
        <v>1</v>
      </c>
      <c r="DB49" s="757" t="str">
        <f ca="1">IF(COUNTIFS($DA$6:$DA$53,DA49,$BC$6:$BC$53,INDEX(T_Equipos[Grupo],MATCH(BD49,T_Equipos[NombreEquipo],0)))=1,"-","P."&amp;DA49&amp;" ("&amp;COUNTIFS($DA$6:$DA$53,DA49,$BC$6:$BC$53,INDEX(T_Equipos[Grupo],MATCH(BD49,T_Equipos[NombreEquipo],0)))&amp;")")</f>
        <v>-</v>
      </c>
      <c r="DC49" s="756" t="str">
        <f ca="1">IF(DB49="-","-",COUNTIFS(T_Equipos[Rank],"&lt;"&amp;INDEX(T_Equipos[Rank],MATCH(BD49,T_Equipos[NombreEquipo],0)),$BC$6:$BC$53,INDEX(T_Equipos[Grupo],MATCH(BD49,T_Equipos[NombreEquipo],0)))+1)</f>
        <v>-</v>
      </c>
      <c r="DD49" s="756">
        <f ca="1">DA49+COUNTIFS($DB$6:$DB$53,DB49,$DC$6:DC$53,"&lt;"&amp;DC49,$BC$6:$BC$53,INDEX(T_Equipos[Grupo],MATCH(BD49,T_Equipos[NombreEquipo],0)))</f>
        <v>1</v>
      </c>
      <c r="DE49" s="756"/>
      <c r="DF49" s="756">
        <f t="shared" ca="1" si="52"/>
        <v>1</v>
      </c>
      <c r="DG49" s="756" t="str">
        <f ca="1">IF(DB49="-","-",COUNTIFS(DF$6:DF$53,"&lt;"&amp;DF49,$BC$6:$BC$53,INDEX(T_Equipos[Grupo],MATCH(BD49,T_Equipos[NombreEquipo],0))))</f>
        <v>-</v>
      </c>
      <c r="DH49" s="756">
        <f ca="1">DA49+COUNTIFS(DB$6:DB$53,DB49,DG$6:DG$53,"&lt;"&amp;DG49,$BC$6:$BC$53,INDEX(T_Equipos[Grupo],MATCH(BD49,T_Equipos[NombreEquipo],0)))</f>
        <v>1</v>
      </c>
      <c r="DI49" s="744"/>
      <c r="DJ49" s="744">
        <f t="shared" ca="1" si="53"/>
        <v>4</v>
      </c>
      <c r="DK49" s="744">
        <f t="shared" ca="1" si="24"/>
        <v>4</v>
      </c>
      <c r="DL49" s="744">
        <f t="shared" ca="1" si="33"/>
        <v>1</v>
      </c>
      <c r="DM49" s="738" t="str">
        <f t="shared" ca="1" si="34"/>
        <v>4.1</v>
      </c>
      <c r="DN49" s="744" cm="1">
        <f t="array" aca="1" ref="DN49" ca="1">OFFSET(Horarios!$P$3,DJ49-1,0,DL49,1)</f>
        <v>4</v>
      </c>
      <c r="DO49" s="744"/>
      <c r="DP49" s="744" t="s">
        <v>681</v>
      </c>
      <c r="DQ49" s="744" t="str">
        <f t="shared" ca="1" si="35"/>
        <v>Uzbekistán</v>
      </c>
      <c r="DR49" s="744"/>
      <c r="DS49" s="744"/>
      <c r="DT49" s="744" t="str">
        <f t="shared" ca="1" si="15"/>
        <v>Túnez-Países Bajos</v>
      </c>
      <c r="DU49" s="744"/>
      <c r="DV49" s="744"/>
      <c r="DW49" s="8"/>
    </row>
    <row r="50" spans="1:127" ht="15" thickBot="1">
      <c r="A50" s="739"/>
      <c r="B50" s="739"/>
      <c r="C50" s="739"/>
      <c r="D50" s="744" t="str">
        <f t="shared" si="136"/>
        <v>Pendiente</v>
      </c>
      <c r="E50" s="744"/>
      <c r="F50" s="744"/>
      <c r="G50" s="744"/>
      <c r="H50" s="744"/>
      <c r="I50" s="744"/>
      <c r="J50" s="744"/>
      <c r="K50" s="744"/>
      <c r="L50" s="744"/>
      <c r="M50" s="744"/>
      <c r="N50" s="744"/>
      <c r="O50" s="744"/>
      <c r="P50" s="744"/>
      <c r="Q50" s="744"/>
      <c r="R50" s="744"/>
      <c r="S50" s="744"/>
      <c r="T50" s="744"/>
      <c r="U50" s="744"/>
      <c r="V50" s="172"/>
      <c r="W50" s="242"/>
      <c r="X50" s="243"/>
      <c r="Y50" s="242"/>
      <c r="Z50" s="244"/>
      <c r="AA50" s="245"/>
      <c r="AB50" s="482"/>
      <c r="AC50" s="247"/>
      <c r="AD50" s="247"/>
      <c r="AE50" s="482"/>
      <c r="AF50" s="248"/>
      <c r="AG50" s="415"/>
      <c r="AH50" s="196"/>
      <c r="AI50" s="171"/>
      <c r="AJ50" s="249"/>
      <c r="AK50" s="250"/>
      <c r="AL50" s="186"/>
      <c r="AM50" s="251"/>
      <c r="AN50" s="249"/>
      <c r="AO50" s="249"/>
      <c r="AP50" s="249"/>
      <c r="AQ50" s="249"/>
      <c r="AR50" s="249"/>
      <c r="AS50" s="249"/>
      <c r="AT50" s="249"/>
      <c r="AU50" s="420"/>
      <c r="AV50" s="216"/>
      <c r="AW50" s="428"/>
      <c r="AX50" s="218"/>
      <c r="AY50" s="242"/>
      <c r="AZ50" s="243"/>
      <c r="BA50" s="175"/>
      <c r="BB50" s="744"/>
      <c r="BC50" s="756" t="str">
        <f ca="1">+INDEX(T_Equipos[Grupo],MATCH(WORLDCUP!BD50,T_Equipos[NombreEquipo],0))</f>
        <v>L</v>
      </c>
      <c r="BD50" s="744" t="str">
        <f ca="1">+Equipos!B46</f>
        <v>Inglaterra</v>
      </c>
      <c r="BE50" s="748">
        <f t="shared" ca="1" si="25"/>
        <v>3</v>
      </c>
      <c r="BF50" s="748">
        <f t="shared" ca="1" si="26"/>
        <v>1</v>
      </c>
      <c r="BG50" s="748">
        <f t="shared" ca="1" si="17"/>
        <v>1</v>
      </c>
      <c r="BH50" s="748">
        <f t="shared" ca="1" si="18"/>
        <v>0</v>
      </c>
      <c r="BI50" s="748">
        <f t="shared" ca="1" si="19"/>
        <v>0</v>
      </c>
      <c r="BJ50" s="748">
        <f t="shared" ca="1" si="20"/>
        <v>4</v>
      </c>
      <c r="BK50" s="748">
        <f t="shared" ca="1" si="21"/>
        <v>2</v>
      </c>
      <c r="BL50" s="748">
        <f t="shared" ca="1" si="27"/>
        <v>2</v>
      </c>
      <c r="BM50" s="748" t="str">
        <f t="shared" ca="1" si="22"/>
        <v>1L</v>
      </c>
      <c r="BN50" s="748" t="str">
        <f t="shared" ca="1" si="23"/>
        <v>1L</v>
      </c>
      <c r="BO50" s="758">
        <f t="shared" ca="1" si="28"/>
        <v>0</v>
      </c>
      <c r="BP50" s="757">
        <f ca="1">COUNTIFS($BO$6:$BO$53,"&gt;"&amp;BO50,$BC$6:$BC$53,INDEX(T_Equipos[Grupo],MATCH(BD50,T_Equipos[NombreEquipo],0)))+1</f>
        <v>1</v>
      </c>
      <c r="BQ50" s="757" t="str">
        <f ca="1">IF(COUNTIFS($BP$6:$BP$53,BP50,$BC$6:$BC$53,INDEX(T_Equipos[Grupo],MATCH(BD50,T_Equipos[NombreEquipo],0)))=1,"-","P."&amp;BP50&amp;" ("&amp;COUNTIFS($BP$6:$BP$53,BP50,$BC$6:$BC$53,INDEX(T_Equipos[Grupo],MATCH(BD50,T_Equipos[NombreEquipo],0)))&amp;")")</f>
        <v>P.1 (4)</v>
      </c>
      <c r="BR50" s="758">
        <f t="shared" ca="1" si="29"/>
        <v>3</v>
      </c>
      <c r="BS50" s="757">
        <f ca="1">BP50+COUNTIFS($BQ$6:$BQ$53,BQ50,$BR$6:BR$53,"&gt;"&amp;BR50,$BC$6:$BC$53,INDEX(T_Equipos[Grupo],MATCH(BD50,T_Equipos[NombreEquipo],0)))</f>
        <v>1</v>
      </c>
      <c r="BT50" s="757" t="str">
        <f ca="1">IF(COUNTIFS($BS$6:$BS$53,BS50,$BC$6:$BC$53,INDEX(T_Equipos[Grupo],MATCH(BD50,T_Equipos[NombreEquipo],0)))=1,"-","P."&amp;BS50&amp;" ("&amp;COUNTIFS($BS$6:$BS$53,BS50,$BC$6:$BC$53,INDEX(T_Equipos[Grupo],MATCH(BD50,T_Equipos[NombreEquipo],0)))&amp;")")</f>
        <v>P.1 (2)</v>
      </c>
      <c r="BU50" s="758">
        <f t="shared" ca="1" si="36"/>
        <v>0</v>
      </c>
      <c r="BV50" s="758">
        <f t="shared" ca="1" si="37"/>
        <v>0</v>
      </c>
      <c r="BW50" s="758">
        <f t="shared" ca="1" si="38"/>
        <v>0</v>
      </c>
      <c r="BX50" s="758">
        <f t="shared" ca="1" si="39"/>
        <v>0</v>
      </c>
      <c r="BY50" s="758">
        <f ca="1">BS50+COUNTIFS($BT$6:$BT$53,BT50,$BX$6:BX$53,"&gt;"&amp;BX50,$BC$6:$BC$53,INDEX(T_Equipos[Grupo],MATCH(BD50,T_Equipos[NombreEquipo],0)))</f>
        <v>1</v>
      </c>
      <c r="BZ50" s="757" t="str">
        <f ca="1">IF(COUNTIFS($BY$6:$BY$53,BY50,$BC$6:$BC$53,INDEX(T_Equipos[Grupo],MATCH(BD50,T_Equipos[NombreEquipo],0)))=1,"-","P."&amp;BY50&amp;" ("&amp;COUNTIFS($BY$6:$BY$53,BY50,$BC$6:$BC$53,INDEX(T_Equipos[Grupo],MATCH(BD50,T_Equipos[NombreEquipo],0)))&amp;")")</f>
        <v>P.1 (2)</v>
      </c>
      <c r="CA50" s="758">
        <f t="shared" ca="1" si="40"/>
        <v>0</v>
      </c>
      <c r="CB50" s="758">
        <f t="shared" ca="1" si="41"/>
        <v>0</v>
      </c>
      <c r="CC50" s="758">
        <f t="shared" ca="1" si="42"/>
        <v>0</v>
      </c>
      <c r="CD50" s="758">
        <f ca="1">BY50+COUNTIFS($BZ$6:$BZ$53,BZ50,$CC$6:CC$53,"&gt;"&amp;CC50,$BC$6:$BC$53,INDEX(T_Equipos[Grupo],MATCH(BD50,T_Equipos[NombreEquipo],0)))</f>
        <v>1</v>
      </c>
      <c r="CE50" s="757" t="str">
        <f ca="1">IF(COUNTIFS($CD$6:$CD$53,CD50,$BC$6:$BC$53,INDEX(T_Equipos[Grupo],MATCH(BD50,T_Equipos[NombreEquipo],0)))=1,"-","P."&amp;CD50&amp;" ("&amp;COUNTIFS($CD$6:$CD$53,CD50,$BC$6:$BC$53,INDEX(T_Equipos[Grupo],MATCH(BD50,T_Equipos[NombreEquipo],0)))&amp;")")</f>
        <v>P.1 (2)</v>
      </c>
      <c r="CF50" s="758">
        <f t="shared" ca="1" si="43"/>
        <v>0</v>
      </c>
      <c r="CG50" s="758">
        <f ca="1">CD50+COUNTIFS($CE$6:$CE$53,CE50,$CF$6:CF$53,"&gt;"&amp;CF50,$BC$6:$BC$53,INDEX(T_Equipos[Grupo],MATCH(BD50,T_Equipos[NombreEquipo],0)))</f>
        <v>1</v>
      </c>
      <c r="CH50" s="757" t="str">
        <f ca="1">IF(COUNTIFS($CG$6:$CG$53,CG50,$BC$6:$BC$53,INDEX(T_Equipos[Grupo],MATCH(BD50,T_Equipos[NombreEquipo],0)))=1,"-","P."&amp;CG50&amp;" ("&amp;COUNTIFS($CG$6:$CG$53,CG50,$BC$6:$BC$53,INDEX(T_Equipos[Grupo],MATCH(BD50,T_Equipos[NombreEquipo],0)))&amp;")")</f>
        <v>P.1 (2)</v>
      </c>
      <c r="CI50" s="758">
        <f t="shared" ca="1" si="44"/>
        <v>0</v>
      </c>
      <c r="CJ50" s="758">
        <f t="shared" ca="1" si="45"/>
        <v>0</v>
      </c>
      <c r="CK50" s="758">
        <f t="shared" ca="1" si="46"/>
        <v>0</v>
      </c>
      <c r="CL50" s="758">
        <f t="shared" ca="1" si="47"/>
        <v>0</v>
      </c>
      <c r="CM50" s="758">
        <f ca="1">CG50+COUNTIFS($CH$6:$CH$53,CH50,$CL$6:CL$53,"&gt;"&amp;CL50,$BC$6:$BC$53,INDEX(T_Equipos[Grupo],MATCH(BD50,T_Equipos[NombreEquipo],0)))</f>
        <v>1</v>
      </c>
      <c r="CN50" s="757" t="str">
        <f ca="1">IF(COUNTIFS($CM$6:$CM$53,CM50,$BC$6:$BC$53,INDEX(T_Equipos[Grupo],MATCH(BD50,T_Equipos[NombreEquipo],0)))=1,"-","P."&amp;CM50&amp;" ("&amp;COUNTIFS($CM$6:$CM$53,CM50,$BC$6:$BC$53,INDEX(T_Equipos[Grupo],MATCH(BD50,T_Equipos[NombreEquipo],0)))&amp;")")</f>
        <v>P.1 (2)</v>
      </c>
      <c r="CO50" s="758">
        <f t="shared" ca="1" si="48"/>
        <v>0</v>
      </c>
      <c r="CP50" s="758">
        <f t="shared" ca="1" si="49"/>
        <v>0</v>
      </c>
      <c r="CQ50" s="758">
        <f t="shared" ca="1" si="50"/>
        <v>0</v>
      </c>
      <c r="CR50" s="758">
        <f ca="1">CM50+COUNTIFS($CN$6:$CN$53,CN50,$CQ$6:CQ$53,"&gt;"&amp;CQ50,$BC$6:$BC$53,INDEX(T_Equipos[Grupo],MATCH(BD50,T_Equipos[NombreEquipo],0)))</f>
        <v>1</v>
      </c>
      <c r="CS50" s="757" t="str">
        <f ca="1">IF(COUNTIFS($CR$6:$CR$53,CR50,$BC$6:$BC$53,INDEX(T_Equipos[Grupo],MATCH(BD50,T_Equipos[NombreEquipo],0)))=1,"-","P."&amp;CR50&amp;" ("&amp;COUNTIFS($CR$6:$CR$53,CR50,$BC$6:$BC$53,INDEX(T_Equipos[Grupo],MATCH(BD50,T_Equipos[NombreEquipo],0)))&amp;")")</f>
        <v>P.1 (2)</v>
      </c>
      <c r="CT50" s="758">
        <f t="shared" ca="1" si="51"/>
        <v>0</v>
      </c>
      <c r="CU50" s="758">
        <f ca="1">CR50+COUNTIFS($CS$6:$CS$53,CS50,$CT$6:CT$53,"&gt;"&amp;CT50,$BC$6:$BC$53,INDEX(T_Equipos[Grupo],MATCH(BD50,T_Equipos[NombreEquipo],0)))</f>
        <v>1</v>
      </c>
      <c r="CV50" s="757" t="str">
        <f ca="1">IF(COUNTIFS($CU$6:$CU$53,CU50,$BC$6:$BC$53,INDEX(T_Equipos[Grupo],MATCH(BD50,T_Equipos[NombreEquipo],0)))=1,"-","P."&amp;CU50&amp;" ("&amp;COUNTIFS($CU$6:$CU$53,CU50,$BC$6:$BC$53,INDEX(T_Equipos[Grupo],MATCH(BD50,T_Equipos[NombreEquipo],0)))&amp;")")</f>
        <v>P.1 (2)</v>
      </c>
      <c r="CW50" s="757">
        <f t="shared" ca="1" si="30"/>
        <v>2</v>
      </c>
      <c r="CX50" s="757">
        <f ca="1">CU50+COUNTIFS($CV$6:$CV$53,CV50,$CW$6:CW$53,"&gt;"&amp;CW50,$BC$6:$BC$53,INDEX(T_Equipos[Grupo],MATCH(BD50,T_Equipos[NombreEquipo],0)))</f>
        <v>1</v>
      </c>
      <c r="CY50" s="757" t="str">
        <f ca="1">IF(COUNTIFS($CX$6:$CX$53,CX50,$BC$6:$BC$53,INDEX(T_Equipos[Grupo],MATCH(BD50,T_Equipos[NombreEquipo],0)))=1,"-","P."&amp;CX50&amp;" ("&amp;COUNTIFS($CX$6:$CX$53,CX50,$BC$6:$BC$53,INDEX(T_Equipos[Grupo],MATCH(BD50,T_Equipos[NombreEquipo],0)))&amp;")")</f>
        <v>-</v>
      </c>
      <c r="CZ50" s="757" t="str">
        <f t="shared" ca="1" si="31"/>
        <v>-</v>
      </c>
      <c r="DA50" s="758">
        <f ca="1">CX50+COUNTIFS($CY$6:$CY$53,CY50,$CZ$6:CZ$53,"&gt;"&amp;CZ50,$BC$6:$BC$53,INDEX(T_Equipos[Grupo],MATCH(BD50,T_Equipos[NombreEquipo],0)))</f>
        <v>1</v>
      </c>
      <c r="DB50" s="757" t="str">
        <f ca="1">IF(COUNTIFS($DA$6:$DA$53,DA50,$BC$6:$BC$53,INDEX(T_Equipos[Grupo],MATCH(BD50,T_Equipos[NombreEquipo],0)))=1,"-","P."&amp;DA50&amp;" ("&amp;COUNTIFS($DA$6:$DA$53,DA50,$BC$6:$BC$53,INDEX(T_Equipos[Grupo],MATCH(BD50,T_Equipos[NombreEquipo],0)))&amp;")")</f>
        <v>-</v>
      </c>
      <c r="DC50" s="756" t="str">
        <f ca="1">IF(DB50="-","-",COUNTIFS(T_Equipos[Rank],"&lt;"&amp;INDEX(T_Equipos[Rank],MATCH(BD50,T_Equipos[NombreEquipo],0)),$BC$6:$BC$53,INDEX(T_Equipos[Grupo],MATCH(BD50,T_Equipos[NombreEquipo],0)))+1)</f>
        <v>-</v>
      </c>
      <c r="DD50" s="756">
        <f ca="1">DA50+COUNTIFS($DB$6:$DB$53,DB50,$DC$6:DC$53,"&lt;"&amp;DC50,$BC$6:$BC$53,INDEX(T_Equipos[Grupo],MATCH(BD50,T_Equipos[NombreEquipo],0)))</f>
        <v>1</v>
      </c>
      <c r="DE50" s="756"/>
      <c r="DF50" s="756">
        <f t="shared" ca="1" si="52"/>
        <v>1</v>
      </c>
      <c r="DG50" s="756" t="str">
        <f ca="1">IF(DB50="-","-",COUNTIFS(DF$6:DF$53,"&lt;"&amp;DF50,$BC$6:$BC$53,INDEX(T_Equipos[Grupo],MATCH(BD50,T_Equipos[NombreEquipo],0))))</f>
        <v>-</v>
      </c>
      <c r="DH50" s="756">
        <f ca="1">DA50+COUNTIFS(DB$6:DB$53,DB50,DG$6:DG$53,"&lt;"&amp;DG50,$BC$6:$BC$53,INDEX(T_Equipos[Grupo],MATCH(BD50,T_Equipos[NombreEquipo],0)))</f>
        <v>1</v>
      </c>
      <c r="DI50" s="744"/>
      <c r="DJ50" s="744">
        <f t="shared" ca="1" si="53"/>
        <v>1</v>
      </c>
      <c r="DK50" s="744">
        <f t="shared" ca="1" si="24"/>
        <v>4</v>
      </c>
      <c r="DL50" s="744">
        <f t="shared" ca="1" si="33"/>
        <v>1</v>
      </c>
      <c r="DM50" s="738" t="str">
        <f t="shared" ca="1" si="34"/>
        <v>1.1</v>
      </c>
      <c r="DN50" s="744" cm="1">
        <f t="array" aca="1" ref="DN50" ca="1">OFFSET(Horarios!$P$3,DJ50-1,0,DL50,1)</f>
        <v>1</v>
      </c>
      <c r="DO50" s="744"/>
      <c r="DP50" s="744" t="s">
        <v>682</v>
      </c>
      <c r="DQ50" s="744" t="str">
        <f t="shared" ca="1" si="35"/>
        <v>Inglaterra</v>
      </c>
      <c r="DR50" s="744"/>
      <c r="DS50" s="744"/>
      <c r="DT50" s="744" t="str">
        <f t="shared" si="15"/>
        <v>-</v>
      </c>
      <c r="DU50" s="744"/>
      <c r="DV50" s="744"/>
      <c r="DW50" s="8"/>
    </row>
    <row r="51" spans="1:127" ht="15" thickBot="1">
      <c r="A51" s="739"/>
      <c r="B51" s="739"/>
      <c r="C51" s="739"/>
      <c r="D51" s="739"/>
      <c r="E51" s="739"/>
      <c r="F51" s="739"/>
      <c r="G51" s="739"/>
      <c r="H51" s="739"/>
      <c r="I51" s="739"/>
      <c r="J51" s="739"/>
      <c r="K51" s="739"/>
      <c r="L51" s="739"/>
      <c r="M51" s="739"/>
      <c r="N51" s="744"/>
      <c r="O51" s="744"/>
      <c r="P51" s="744"/>
      <c r="Q51" s="744"/>
      <c r="R51" s="744"/>
      <c r="S51" s="744"/>
      <c r="T51" s="744"/>
      <c r="U51" s="744"/>
      <c r="V51" s="172"/>
      <c r="W51" s="179"/>
      <c r="X51" s="180" t="str">
        <f>X3</f>
        <v>Fecha</v>
      </c>
      <c r="Y51" s="180" t="str">
        <f>Y3</f>
        <v>Hora</v>
      </c>
      <c r="Z51" s="181" t="str">
        <f>Z3</f>
        <v>Jor.</v>
      </c>
      <c r="AA51" s="182" t="str">
        <f>AA3</f>
        <v>Casa</v>
      </c>
      <c r="AB51" s="181"/>
      <c r="AC51" s="181" t="str">
        <f>AC3</f>
        <v>Gol</v>
      </c>
      <c r="AD51" s="181" t="str">
        <f>AD3</f>
        <v>Gol</v>
      </c>
      <c r="AE51" s="181"/>
      <c r="AF51" s="184" t="str">
        <f>AF3</f>
        <v>Fuera</v>
      </c>
      <c r="AG51" s="414"/>
      <c r="AH51" s="196"/>
      <c r="AI51" s="18"/>
      <c r="AJ51" s="186"/>
      <c r="AK51" s="252"/>
      <c r="AL51" s="186"/>
      <c r="AM51" s="186"/>
      <c r="AN51" s="186"/>
      <c r="AO51" s="186"/>
      <c r="AP51" s="186"/>
      <c r="AQ51" s="186"/>
      <c r="AR51" s="186"/>
      <c r="AS51" s="186"/>
      <c r="AT51" s="186"/>
      <c r="AU51" s="421"/>
      <c r="AV51" s="22"/>
      <c r="AW51" s="429"/>
      <c r="AX51" s="253"/>
      <c r="AY51" s="242"/>
      <c r="AZ51" s="243"/>
      <c r="BA51" s="175"/>
      <c r="BB51" s="744"/>
      <c r="BC51" s="756" t="str">
        <f ca="1">+INDEX(T_Equipos[Grupo],MATCH(WORLDCUP!BD51,T_Equipos[NombreEquipo],0))</f>
        <v>L</v>
      </c>
      <c r="BD51" s="744" t="str">
        <f ca="1">+Equipos!B47</f>
        <v>Croacia</v>
      </c>
      <c r="BE51" s="748">
        <f t="shared" ca="1" si="25"/>
        <v>0</v>
      </c>
      <c r="BF51" s="748">
        <f t="shared" ca="1" si="26"/>
        <v>1</v>
      </c>
      <c r="BG51" s="748">
        <f t="shared" ca="1" si="17"/>
        <v>0</v>
      </c>
      <c r="BH51" s="748">
        <f t="shared" ca="1" si="18"/>
        <v>0</v>
      </c>
      <c r="BI51" s="748">
        <f t="shared" ca="1" si="19"/>
        <v>1</v>
      </c>
      <c r="BJ51" s="748">
        <f t="shared" ca="1" si="20"/>
        <v>2</v>
      </c>
      <c r="BK51" s="748">
        <f t="shared" ca="1" si="21"/>
        <v>4</v>
      </c>
      <c r="BL51" s="748">
        <f t="shared" ca="1" si="27"/>
        <v>-2</v>
      </c>
      <c r="BM51" s="748" t="str">
        <f t="shared" ca="1" si="22"/>
        <v>4L</v>
      </c>
      <c r="BN51" s="748" t="str">
        <f t="shared" ca="1" si="23"/>
        <v>4L</v>
      </c>
      <c r="BO51" s="758">
        <f t="shared" ca="1" si="28"/>
        <v>0</v>
      </c>
      <c r="BP51" s="757">
        <f ca="1">COUNTIFS($BO$6:$BO$53,"&gt;"&amp;BO51,$BC$6:$BC$53,INDEX(T_Equipos[Grupo],MATCH(BD51,T_Equipos[NombreEquipo],0)))+1</f>
        <v>1</v>
      </c>
      <c r="BQ51" s="757" t="str">
        <f ca="1">IF(COUNTIFS($BP$6:$BP$53,BP51,$BC$6:$BC$53,INDEX(T_Equipos[Grupo],MATCH(BD51,T_Equipos[NombreEquipo],0)))=1,"-","P."&amp;BP51&amp;" ("&amp;COUNTIFS($BP$6:$BP$53,BP51,$BC$6:$BC$53,INDEX(T_Equipos[Grupo],MATCH(BD51,T_Equipos[NombreEquipo],0)))&amp;")")</f>
        <v>P.1 (4)</v>
      </c>
      <c r="BR51" s="758">
        <f t="shared" ca="1" si="29"/>
        <v>0</v>
      </c>
      <c r="BS51" s="757">
        <f ca="1">BP51+COUNTIFS($BQ$6:$BQ$53,BQ51,$BR$6:BR$53,"&gt;"&amp;BR51,$BC$6:$BC$53,INDEX(T_Equipos[Grupo],MATCH(BD51,T_Equipos[NombreEquipo],0)))</f>
        <v>3</v>
      </c>
      <c r="BT51" s="757" t="str">
        <f ca="1">IF(COUNTIFS($BS$6:$BS$53,BS51,$BC$6:$BC$53,INDEX(T_Equipos[Grupo],MATCH(BD51,T_Equipos[NombreEquipo],0)))=1,"-","P."&amp;BS51&amp;" ("&amp;COUNTIFS($BS$6:$BS$53,BS51,$BC$6:$BC$53,INDEX(T_Equipos[Grupo],MATCH(BD51,T_Equipos[NombreEquipo],0)))&amp;")")</f>
        <v>P.3 (2)</v>
      </c>
      <c r="BU51" s="758">
        <f t="shared" ca="1" si="36"/>
        <v>0</v>
      </c>
      <c r="BV51" s="758">
        <f t="shared" ca="1" si="37"/>
        <v>0</v>
      </c>
      <c r="BW51" s="758">
        <f t="shared" ca="1" si="38"/>
        <v>0</v>
      </c>
      <c r="BX51" s="758">
        <f t="shared" ca="1" si="39"/>
        <v>0</v>
      </c>
      <c r="BY51" s="758">
        <f ca="1">BS51+COUNTIFS($BT$6:$BT$53,BT51,$BX$6:BX$53,"&gt;"&amp;BX51,$BC$6:$BC$53,INDEX(T_Equipos[Grupo],MATCH(BD51,T_Equipos[NombreEquipo],0)))</f>
        <v>3</v>
      </c>
      <c r="BZ51" s="757" t="str">
        <f ca="1">IF(COUNTIFS($BY$6:$BY$53,BY51,$BC$6:$BC$53,INDEX(T_Equipos[Grupo],MATCH(BD51,T_Equipos[NombreEquipo],0)))=1,"-","P."&amp;BY51&amp;" ("&amp;COUNTIFS($BY$6:$BY$53,BY51,$BC$6:$BC$53,INDEX(T_Equipos[Grupo],MATCH(BD51,T_Equipos[NombreEquipo],0)))&amp;")")</f>
        <v>P.3 (2)</v>
      </c>
      <c r="CA51" s="758">
        <f t="shared" ca="1" si="40"/>
        <v>0</v>
      </c>
      <c r="CB51" s="758">
        <f t="shared" ca="1" si="41"/>
        <v>0</v>
      </c>
      <c r="CC51" s="758">
        <f t="shared" ca="1" si="42"/>
        <v>0</v>
      </c>
      <c r="CD51" s="758">
        <f ca="1">BY51+COUNTIFS($BZ$6:$BZ$53,BZ51,$CC$6:CC$53,"&gt;"&amp;CC51,$BC$6:$BC$53,INDEX(T_Equipos[Grupo],MATCH(BD51,T_Equipos[NombreEquipo],0)))</f>
        <v>3</v>
      </c>
      <c r="CE51" s="757" t="str">
        <f ca="1">IF(COUNTIFS($CD$6:$CD$53,CD51,$BC$6:$BC$53,INDEX(T_Equipos[Grupo],MATCH(BD51,T_Equipos[NombreEquipo],0)))=1,"-","P."&amp;CD51&amp;" ("&amp;COUNTIFS($CD$6:$CD$53,CD51,$BC$6:$BC$53,INDEX(T_Equipos[Grupo],MATCH(BD51,T_Equipos[NombreEquipo],0)))&amp;")")</f>
        <v>P.3 (2)</v>
      </c>
      <c r="CF51" s="758">
        <f t="shared" ca="1" si="43"/>
        <v>0</v>
      </c>
      <c r="CG51" s="758">
        <f ca="1">CD51+COUNTIFS($CE$6:$CE$53,CE51,$CF$6:CF$53,"&gt;"&amp;CF51,$BC$6:$BC$53,INDEX(T_Equipos[Grupo],MATCH(BD51,T_Equipos[NombreEquipo],0)))</f>
        <v>3</v>
      </c>
      <c r="CH51" s="757" t="str">
        <f ca="1">IF(COUNTIFS($CG$6:$CG$53,CG51,$BC$6:$BC$53,INDEX(T_Equipos[Grupo],MATCH(BD51,T_Equipos[NombreEquipo],0)))=1,"-","P."&amp;CG51&amp;" ("&amp;COUNTIFS($CG$6:$CG$53,CG51,$BC$6:$BC$53,INDEX(T_Equipos[Grupo],MATCH(BD51,T_Equipos[NombreEquipo],0)))&amp;")")</f>
        <v>P.3 (2)</v>
      </c>
      <c r="CI51" s="758">
        <f t="shared" ca="1" si="44"/>
        <v>0</v>
      </c>
      <c r="CJ51" s="758">
        <f t="shared" ca="1" si="45"/>
        <v>0</v>
      </c>
      <c r="CK51" s="758">
        <f t="shared" ca="1" si="46"/>
        <v>0</v>
      </c>
      <c r="CL51" s="758">
        <f t="shared" ca="1" si="47"/>
        <v>0</v>
      </c>
      <c r="CM51" s="758">
        <f ca="1">CG51+COUNTIFS($CH$6:$CH$53,CH51,$CL$6:CL$53,"&gt;"&amp;CL51,$BC$6:$BC$53,INDEX(T_Equipos[Grupo],MATCH(BD51,T_Equipos[NombreEquipo],0)))</f>
        <v>3</v>
      </c>
      <c r="CN51" s="757" t="str">
        <f ca="1">IF(COUNTIFS($CM$6:$CM$53,CM51,$BC$6:$BC$53,INDEX(T_Equipos[Grupo],MATCH(BD51,T_Equipos[NombreEquipo],0)))=1,"-","P."&amp;CM51&amp;" ("&amp;COUNTIFS($CM$6:$CM$53,CM51,$BC$6:$BC$53,INDEX(T_Equipos[Grupo],MATCH(BD51,T_Equipos[NombreEquipo],0)))&amp;")")</f>
        <v>P.3 (2)</v>
      </c>
      <c r="CO51" s="758">
        <f t="shared" ca="1" si="48"/>
        <v>0</v>
      </c>
      <c r="CP51" s="758">
        <f t="shared" ca="1" si="49"/>
        <v>0</v>
      </c>
      <c r="CQ51" s="758">
        <f t="shared" ca="1" si="50"/>
        <v>0</v>
      </c>
      <c r="CR51" s="758">
        <f ca="1">CM51+COUNTIFS($CN$6:$CN$53,CN51,$CQ$6:CQ$53,"&gt;"&amp;CQ51,$BC$6:$BC$53,INDEX(T_Equipos[Grupo],MATCH(BD51,T_Equipos[NombreEquipo],0)))</f>
        <v>3</v>
      </c>
      <c r="CS51" s="757" t="str">
        <f ca="1">IF(COUNTIFS($CR$6:$CR$53,CR51,$BC$6:$BC$53,INDEX(T_Equipos[Grupo],MATCH(BD51,T_Equipos[NombreEquipo],0)))=1,"-","P."&amp;CR51&amp;" ("&amp;COUNTIFS($CR$6:$CR$53,CR51,$BC$6:$BC$53,INDEX(T_Equipos[Grupo],MATCH(BD51,T_Equipos[NombreEquipo],0)))&amp;")")</f>
        <v>P.3 (2)</v>
      </c>
      <c r="CT51" s="758">
        <f t="shared" ca="1" si="51"/>
        <v>0</v>
      </c>
      <c r="CU51" s="758">
        <f ca="1">CR51+COUNTIFS($CS$6:$CS$53,CS51,$CT$6:CT$53,"&gt;"&amp;CT51,$BC$6:$BC$53,INDEX(T_Equipos[Grupo],MATCH(BD51,T_Equipos[NombreEquipo],0)))</f>
        <v>3</v>
      </c>
      <c r="CV51" s="757" t="str">
        <f ca="1">IF(COUNTIFS($CU$6:$CU$53,CU51,$BC$6:$BC$53,INDEX(T_Equipos[Grupo],MATCH(BD51,T_Equipos[NombreEquipo],0)))=1,"-","P."&amp;CU51&amp;" ("&amp;COUNTIFS($CU$6:$CU$53,CU51,$BC$6:$BC$53,INDEX(T_Equipos[Grupo],MATCH(BD51,T_Equipos[NombreEquipo],0)))&amp;")")</f>
        <v>P.3 (2)</v>
      </c>
      <c r="CW51" s="757">
        <f t="shared" ca="1" si="30"/>
        <v>-2</v>
      </c>
      <c r="CX51" s="757">
        <f ca="1">CU51+COUNTIFS($CV$6:$CV$53,CV51,$CW$6:CW$53,"&gt;"&amp;CW51,$BC$6:$BC$53,INDEX(T_Equipos[Grupo],MATCH(BD51,T_Equipos[NombreEquipo],0)))</f>
        <v>4</v>
      </c>
      <c r="CY51" s="757" t="str">
        <f ca="1">IF(COUNTIFS($CX$6:$CX$53,CX51,$BC$6:$BC$53,INDEX(T_Equipos[Grupo],MATCH(BD51,T_Equipos[NombreEquipo],0)))=1,"-","P."&amp;CX51&amp;" ("&amp;COUNTIFS($CX$6:$CX$53,CX51,$BC$6:$BC$53,INDEX(T_Equipos[Grupo],MATCH(BD51,T_Equipos[NombreEquipo],0)))&amp;")")</f>
        <v>-</v>
      </c>
      <c r="CZ51" s="757" t="str">
        <f t="shared" ca="1" si="31"/>
        <v>-</v>
      </c>
      <c r="DA51" s="758">
        <f ca="1">CX51+COUNTIFS($CY$6:$CY$53,CY51,$CZ$6:CZ$53,"&gt;"&amp;CZ51,$BC$6:$BC$53,INDEX(T_Equipos[Grupo],MATCH(BD51,T_Equipos[NombreEquipo],0)))</f>
        <v>4</v>
      </c>
      <c r="DB51" s="757" t="str">
        <f ca="1">IF(COUNTIFS($DA$6:$DA$53,DA51,$BC$6:$BC$53,INDEX(T_Equipos[Grupo],MATCH(BD51,T_Equipos[NombreEquipo],0)))=1,"-","P."&amp;DA51&amp;" ("&amp;COUNTIFS($DA$6:$DA$53,DA51,$BC$6:$BC$53,INDEX(T_Equipos[Grupo],MATCH(BD51,T_Equipos[NombreEquipo],0)))&amp;")")</f>
        <v>-</v>
      </c>
      <c r="DC51" s="756" t="str">
        <f ca="1">IF(DB51="-","-",COUNTIFS(T_Equipos[Rank],"&lt;"&amp;INDEX(T_Equipos[Rank],MATCH(BD51,T_Equipos[NombreEquipo],0)),$BC$6:$BC$53,INDEX(T_Equipos[Grupo],MATCH(BD51,T_Equipos[NombreEquipo],0)))+1)</f>
        <v>-</v>
      </c>
      <c r="DD51" s="756">
        <f ca="1">DA51+COUNTIFS($DB$6:$DB$53,DB51,$DC$6:DC$53,"&lt;"&amp;DC51,$BC$6:$BC$53,INDEX(T_Equipos[Grupo],MATCH(BD51,T_Equipos[NombreEquipo],0)))</f>
        <v>4</v>
      </c>
      <c r="DE51" s="756"/>
      <c r="DF51" s="756">
        <f t="shared" ca="1" si="52"/>
        <v>4</v>
      </c>
      <c r="DG51" s="756" t="str">
        <f ca="1">IF(DB51="-","-",COUNTIFS(DF$6:DF$53,"&lt;"&amp;DF51,$BC$6:$BC$53,INDEX(T_Equipos[Grupo],MATCH(BD51,T_Equipos[NombreEquipo],0))))</f>
        <v>-</v>
      </c>
      <c r="DH51" s="756">
        <f ca="1">DA51+COUNTIFS(DB$6:DB$53,DB51,DG$6:DG$53,"&lt;"&amp;DG51,$BC$6:$BC$53,INDEX(T_Equipos[Grupo],MATCH(BD51,T_Equipos[NombreEquipo],0)))</f>
        <v>4</v>
      </c>
      <c r="DI51" s="744"/>
      <c r="DJ51" s="744">
        <f t="shared" ca="1" si="53"/>
        <v>2</v>
      </c>
      <c r="DK51" s="744">
        <f t="shared" ca="1" si="24"/>
        <v>4</v>
      </c>
      <c r="DL51" s="744">
        <f t="shared" ca="1" si="33"/>
        <v>1</v>
      </c>
      <c r="DM51" s="738" t="str">
        <f t="shared" ca="1" si="34"/>
        <v>2.1</v>
      </c>
      <c r="DN51" s="744" cm="1">
        <f t="array" aca="1" ref="DN51" ca="1">OFFSET(Horarios!$P$3,DJ51-1,0,DL51,1)</f>
        <v>2</v>
      </c>
      <c r="DO51" s="744"/>
      <c r="DP51" s="744" t="s">
        <v>683</v>
      </c>
      <c r="DQ51" s="744" t="str">
        <f t="shared" ca="1" si="35"/>
        <v>Ghana</v>
      </c>
      <c r="DR51" s="744"/>
      <c r="DS51" s="744"/>
      <c r="DT51" s="744" t="str">
        <f t="shared" si="15"/>
        <v>Casa-Fuera</v>
      </c>
      <c r="DU51" s="744"/>
      <c r="DV51" s="744"/>
      <c r="DW51" s="8"/>
    </row>
    <row r="52" spans="1:127" ht="15" customHeight="1" thickBot="1">
      <c r="A52" s="741" t="s">
        <v>30</v>
      </c>
      <c r="B52" s="742" t="s">
        <v>6</v>
      </c>
      <c r="C52" s="743">
        <f>COUNTIF(Equipos!$C$2:$C$49,WORLDCUP!B52)</f>
        <v>4</v>
      </c>
      <c r="D52" s="744" t="str">
        <f t="shared" ref="D52:D57" si="155">IF(OR(AC52="",AD52=""),"Pendiente",IF(AC52&gt;AD52,"Local",IF(AC52&lt;AD52,"Visitante","Empate")))</f>
        <v>Empate</v>
      </c>
      <c r="E52" s="744" t="str">
        <f t="shared" ref="E52:E57" ca="1" si="156">IF(D52="Pendiente","-",INDEX($BT$6:$BT$53,MATCH($AA52,$BD$6:$BD$53,0)))</f>
        <v>P.1 (4)</v>
      </c>
      <c r="F52" s="744" t="str">
        <f t="shared" ref="F52:F57" ca="1" si="157">IF(D52="Pendiente","-",INDEX($BT$6:$BT$53,MATCH($AF52,$BD$6:$BD$53,0)))</f>
        <v>P.1 (4)</v>
      </c>
      <c r="G52" s="744"/>
      <c r="H52" s="744" t="str">
        <f t="shared" ref="H52:H57" ca="1" si="158">IF(D52="Pendiente","-",INDEX($BZ$6:$BZ$53,MATCH($AA52,$BD$6:$BD$53,0)))</f>
        <v>P.1 (4)</v>
      </c>
      <c r="I52" s="744" t="str">
        <f t="shared" ref="I52:I57" ca="1" si="159">IF(D52="Pendiente","-",INDEX($BZ$6:$BZ$53,MATCH($AF52,$BD$6:$BD$53,0)))</f>
        <v>P.1 (4)</v>
      </c>
      <c r="J52" s="744"/>
      <c r="K52" s="744" t="str">
        <f t="shared" ref="K52:K57" ca="1" si="160">IF(D52="Pendiente","-",INDEX($CE$6:$CE$53,MATCH($AA52,$BD$6:$BD$53,0)))</f>
        <v>P.1 (4)</v>
      </c>
      <c r="L52" s="744" t="str">
        <f t="shared" ref="L52:L57" ca="1" si="161">IF(D52="Pendiente","-",INDEX($CE$6:$CE$53,MATCH($AF52,$BD$6:$BD$53,0)))</f>
        <v>P.1 (4)</v>
      </c>
      <c r="M52" s="744"/>
      <c r="N52" s="744" t="str">
        <f t="shared" ref="N52:N57" ca="1" si="162">IF(D52="Pendiente","-",INDEX($CH$6:$CH$53,MATCH($AA52,$BD$6:$BD$53,0)))</f>
        <v>P.3 (2)</v>
      </c>
      <c r="O52" s="744" t="str">
        <f t="shared" ref="O52:O57" ca="1" si="163">IF(D52="Pendiente","-",INDEX($CH$6:$CH$53,MATCH($AF52,$BD$6:$BD$53,0)))</f>
        <v>P.3 (2)</v>
      </c>
      <c r="P52" s="744"/>
      <c r="Q52" s="744" t="str">
        <f t="shared" ref="Q52:Q57" ca="1" si="164">IF(D52="Pendiente","-",INDEX($CN$6:$CN$53,MATCH($AA52,$BD$6:$BD$53,0)))</f>
        <v>P.3 (2)</v>
      </c>
      <c r="R52" s="744" t="str">
        <f t="shared" ref="R52:R57" ca="1" si="165">IF(D52="Pendiente","-",INDEX($CN$6:$CN$53,MATCH($AF52,$BD$6:$BD$53,0)))</f>
        <v>P.3 (2)</v>
      </c>
      <c r="S52" s="744"/>
      <c r="T52" s="744" t="str">
        <f t="shared" ref="T52:T57" ca="1" si="166">IF(D52="Pendiente","-",INDEX($CS$6:$CS$53,MATCH($AA52,$BD$6:$BD$53,0)))</f>
        <v>P.3 (2)</v>
      </c>
      <c r="U52" s="744" t="str">
        <f t="shared" ref="U52:U57" ca="1" si="167">IF(D52="Pendiente","-",INDEX($CS$6:$CS$53,MATCH($AF52,$BD$6:$BD$53,0)))</f>
        <v>P.3 (2)</v>
      </c>
      <c r="V52" s="172"/>
      <c r="W52" s="841" t="s">
        <v>6</v>
      </c>
      <c r="X52" s="189">
        <f ca="1">Horarios!C52</f>
        <v>46188.875</v>
      </c>
      <c r="Y52" s="190">
        <f ca="1">Horarios!C52</f>
        <v>46188.875</v>
      </c>
      <c r="Z52" s="191" t="str">
        <f>$Z$4</f>
        <v>J1</v>
      </c>
      <c r="AA52" s="192" t="str">
        <f ca="1">A53</f>
        <v>Bélgica</v>
      </c>
      <c r="AB52" s="478" t="e" cm="1" vm="25">
        <f t="array" aca="1" ref="AB52" ca="1">Ver_flag_local</f>
        <v>#VALUE!</v>
      </c>
      <c r="AC52" s="193">
        <v>1</v>
      </c>
      <c r="AD52" s="194">
        <v>1</v>
      </c>
      <c r="AE52" s="483" t="e" cm="1" vm="26">
        <f t="array" aca="1" ref="AE52" ca="1">Ver_flag_visit</f>
        <v>#VALUE!</v>
      </c>
      <c r="AF52" s="195" t="str">
        <f ca="1">A54</f>
        <v>Egipto</v>
      </c>
      <c r="AG52" s="413">
        <f t="shared" ref="AG52:AG57" si="168">IF(NOT(OR(ISBLANK(AC52),ISBLANK(AD52))),1,0)</f>
        <v>1</v>
      </c>
      <c r="AH52" s="196">
        <v>16</v>
      </c>
      <c r="AI52" s="19"/>
      <c r="AJ52" s="197" t="str">
        <f>CONCATENATE($AJ$3," ",B52)</f>
        <v>Grupo G</v>
      </c>
      <c r="AK52" s="198"/>
      <c r="AL52" s="198"/>
      <c r="AM52" s="198"/>
      <c r="AN52" s="198"/>
      <c r="AO52" s="198"/>
      <c r="AP52" s="198"/>
      <c r="AQ52" s="198"/>
      <c r="AR52" s="198"/>
      <c r="AS52" s="198"/>
      <c r="AT52" s="199"/>
      <c r="AU52" s="421"/>
      <c r="AV52" s="200" t="str">
        <f t="shared" ref="AV52" ca="1" si="169">IF(AU53&gt;0,$AV$3,"")</f>
        <v/>
      </c>
      <c r="AW52" s="208"/>
      <c r="AX52" s="255"/>
      <c r="AY52" s="242"/>
      <c r="AZ52" s="243"/>
      <c r="BA52" s="175"/>
      <c r="BB52" s="744"/>
      <c r="BC52" s="756" t="str">
        <f ca="1">+INDEX(T_Equipos[Grupo],MATCH(WORLDCUP!BD52,T_Equipos[NombreEquipo],0))</f>
        <v>L</v>
      </c>
      <c r="BD52" s="744" t="str">
        <f ca="1">+Equipos!B48</f>
        <v>Ghana</v>
      </c>
      <c r="BE52" s="748">
        <f t="shared" ca="1" si="25"/>
        <v>3</v>
      </c>
      <c r="BF52" s="748">
        <f t="shared" ca="1" si="26"/>
        <v>1</v>
      </c>
      <c r="BG52" s="748">
        <f t="shared" ca="1" si="17"/>
        <v>1</v>
      </c>
      <c r="BH52" s="748">
        <f t="shared" ca="1" si="18"/>
        <v>0</v>
      </c>
      <c r="BI52" s="748">
        <f t="shared" ca="1" si="19"/>
        <v>0</v>
      </c>
      <c r="BJ52" s="748">
        <f t="shared" ca="1" si="20"/>
        <v>1</v>
      </c>
      <c r="BK52" s="748">
        <f t="shared" ca="1" si="21"/>
        <v>0</v>
      </c>
      <c r="BL52" s="748">
        <f t="shared" ca="1" si="27"/>
        <v>1</v>
      </c>
      <c r="BM52" s="748" t="str">
        <f t="shared" ca="1" si="22"/>
        <v>2L</v>
      </c>
      <c r="BN52" s="748" t="str">
        <f t="shared" ca="1" si="23"/>
        <v>2L</v>
      </c>
      <c r="BO52" s="758">
        <f t="shared" ca="1" si="28"/>
        <v>0</v>
      </c>
      <c r="BP52" s="757">
        <f ca="1">COUNTIFS($BO$6:$BO$53,"&gt;"&amp;BO52,$BC$6:$BC$53,INDEX(T_Equipos[Grupo],MATCH(BD52,T_Equipos[NombreEquipo],0)))+1</f>
        <v>1</v>
      </c>
      <c r="BQ52" s="757" t="str">
        <f ca="1">IF(COUNTIFS($BP$6:$BP$53,BP52,$BC$6:$BC$53,INDEX(T_Equipos[Grupo],MATCH(BD52,T_Equipos[NombreEquipo],0)))=1,"-","P."&amp;BP52&amp;" ("&amp;COUNTIFS($BP$6:$BP$53,BP52,$BC$6:$BC$53,INDEX(T_Equipos[Grupo],MATCH(BD52,T_Equipos[NombreEquipo],0)))&amp;")")</f>
        <v>P.1 (4)</v>
      </c>
      <c r="BR52" s="758">
        <f t="shared" ca="1" si="29"/>
        <v>3</v>
      </c>
      <c r="BS52" s="757">
        <f ca="1">BP52+COUNTIFS($BQ$6:$BQ$53,BQ52,$BR$6:BR$53,"&gt;"&amp;BR52,$BC$6:$BC$53,INDEX(T_Equipos[Grupo],MATCH(BD52,T_Equipos[NombreEquipo],0)))</f>
        <v>1</v>
      </c>
      <c r="BT52" s="757" t="str">
        <f ca="1">IF(COUNTIFS($BS$6:$BS$53,BS52,$BC$6:$BC$53,INDEX(T_Equipos[Grupo],MATCH(BD52,T_Equipos[NombreEquipo],0)))=1,"-","P."&amp;BS52&amp;" ("&amp;COUNTIFS($BS$6:$BS$53,BS52,$BC$6:$BC$53,INDEX(T_Equipos[Grupo],MATCH(BD52,T_Equipos[NombreEquipo],0)))&amp;")")</f>
        <v>P.1 (2)</v>
      </c>
      <c r="BU52" s="758">
        <f t="shared" ca="1" si="36"/>
        <v>0</v>
      </c>
      <c r="BV52" s="758">
        <f t="shared" ca="1" si="37"/>
        <v>0</v>
      </c>
      <c r="BW52" s="758">
        <f t="shared" ca="1" si="38"/>
        <v>0</v>
      </c>
      <c r="BX52" s="758">
        <f t="shared" ca="1" si="39"/>
        <v>0</v>
      </c>
      <c r="BY52" s="758">
        <f ca="1">BS52+COUNTIFS($BT$6:$BT$53,BT52,$BX$6:BX$53,"&gt;"&amp;BX52,$BC$6:$BC$53,INDEX(T_Equipos[Grupo],MATCH(BD52,T_Equipos[NombreEquipo],0)))</f>
        <v>1</v>
      </c>
      <c r="BZ52" s="757" t="str">
        <f ca="1">IF(COUNTIFS($BY$6:$BY$53,BY52,$BC$6:$BC$53,INDEX(T_Equipos[Grupo],MATCH(BD52,T_Equipos[NombreEquipo],0)))=1,"-","P."&amp;BY52&amp;" ("&amp;COUNTIFS($BY$6:$BY$53,BY52,$BC$6:$BC$53,INDEX(T_Equipos[Grupo],MATCH(BD52,T_Equipos[NombreEquipo],0)))&amp;")")</f>
        <v>P.1 (2)</v>
      </c>
      <c r="CA52" s="758">
        <f t="shared" ca="1" si="40"/>
        <v>0</v>
      </c>
      <c r="CB52" s="758">
        <f t="shared" ca="1" si="41"/>
        <v>0</v>
      </c>
      <c r="CC52" s="758">
        <f t="shared" ca="1" si="42"/>
        <v>0</v>
      </c>
      <c r="CD52" s="758">
        <f ca="1">BY52+COUNTIFS($BZ$6:$BZ$53,BZ52,$CC$6:CC$53,"&gt;"&amp;CC52,$BC$6:$BC$53,INDEX(T_Equipos[Grupo],MATCH(BD52,T_Equipos[NombreEquipo],0)))</f>
        <v>1</v>
      </c>
      <c r="CE52" s="757" t="str">
        <f ca="1">IF(COUNTIFS($CD$6:$CD$53,CD52,$BC$6:$BC$53,INDEX(T_Equipos[Grupo],MATCH(BD52,T_Equipos[NombreEquipo],0)))=1,"-","P."&amp;CD52&amp;" ("&amp;COUNTIFS($CD$6:$CD$53,CD52,$BC$6:$BC$53,INDEX(T_Equipos[Grupo],MATCH(BD52,T_Equipos[NombreEquipo],0)))&amp;")")</f>
        <v>P.1 (2)</v>
      </c>
      <c r="CF52" s="758">
        <f t="shared" ca="1" si="43"/>
        <v>0</v>
      </c>
      <c r="CG52" s="758">
        <f ca="1">CD52+COUNTIFS($CE$6:$CE$53,CE52,$CF$6:CF$53,"&gt;"&amp;CF52,$BC$6:$BC$53,INDEX(T_Equipos[Grupo],MATCH(BD52,T_Equipos[NombreEquipo],0)))</f>
        <v>1</v>
      </c>
      <c r="CH52" s="757" t="str">
        <f ca="1">IF(COUNTIFS($CG$6:$CG$53,CG52,$BC$6:$BC$53,INDEX(T_Equipos[Grupo],MATCH(BD52,T_Equipos[NombreEquipo],0)))=1,"-","P."&amp;CG52&amp;" ("&amp;COUNTIFS($CG$6:$CG$53,CG52,$BC$6:$BC$53,INDEX(T_Equipos[Grupo],MATCH(BD52,T_Equipos[NombreEquipo],0)))&amp;")")</f>
        <v>P.1 (2)</v>
      </c>
      <c r="CI52" s="758">
        <f t="shared" ca="1" si="44"/>
        <v>0</v>
      </c>
      <c r="CJ52" s="758">
        <f t="shared" ca="1" si="45"/>
        <v>0</v>
      </c>
      <c r="CK52" s="758">
        <f t="shared" ca="1" si="46"/>
        <v>0</v>
      </c>
      <c r="CL52" s="758">
        <f t="shared" ca="1" si="47"/>
        <v>0</v>
      </c>
      <c r="CM52" s="758">
        <f ca="1">CG52+COUNTIFS($CH$6:$CH$53,CH52,$CL$6:CL$53,"&gt;"&amp;CL52,$BC$6:$BC$53,INDEX(T_Equipos[Grupo],MATCH(BD52,T_Equipos[NombreEquipo],0)))</f>
        <v>1</v>
      </c>
      <c r="CN52" s="757" t="str">
        <f ca="1">IF(COUNTIFS($CM$6:$CM$53,CM52,$BC$6:$BC$53,INDEX(T_Equipos[Grupo],MATCH(BD52,T_Equipos[NombreEquipo],0)))=1,"-","P."&amp;CM52&amp;" ("&amp;COUNTIFS($CM$6:$CM$53,CM52,$BC$6:$BC$53,INDEX(T_Equipos[Grupo],MATCH(BD52,T_Equipos[NombreEquipo],0)))&amp;")")</f>
        <v>P.1 (2)</v>
      </c>
      <c r="CO52" s="758">
        <f t="shared" ca="1" si="48"/>
        <v>0</v>
      </c>
      <c r="CP52" s="758">
        <f t="shared" ca="1" si="49"/>
        <v>0</v>
      </c>
      <c r="CQ52" s="758">
        <f t="shared" ca="1" si="50"/>
        <v>0</v>
      </c>
      <c r="CR52" s="758">
        <f ca="1">CM52+COUNTIFS($CN$6:$CN$53,CN52,$CQ$6:CQ$53,"&gt;"&amp;CQ52,$BC$6:$BC$53,INDEX(T_Equipos[Grupo],MATCH(BD52,T_Equipos[NombreEquipo],0)))</f>
        <v>1</v>
      </c>
      <c r="CS52" s="757" t="str">
        <f ca="1">IF(COUNTIFS($CR$6:$CR$53,CR52,$BC$6:$BC$53,INDEX(T_Equipos[Grupo],MATCH(BD52,T_Equipos[NombreEquipo],0)))=1,"-","P."&amp;CR52&amp;" ("&amp;COUNTIFS($CR$6:$CR$53,CR52,$BC$6:$BC$53,INDEX(T_Equipos[Grupo],MATCH(BD52,T_Equipos[NombreEquipo],0)))&amp;")")</f>
        <v>P.1 (2)</v>
      </c>
      <c r="CT52" s="758">
        <f t="shared" ca="1" si="51"/>
        <v>0</v>
      </c>
      <c r="CU52" s="758">
        <f ca="1">CR52+COUNTIFS($CS$6:$CS$53,CS52,$CT$6:CT$53,"&gt;"&amp;CT52,$BC$6:$BC$53,INDEX(T_Equipos[Grupo],MATCH(BD52,T_Equipos[NombreEquipo],0)))</f>
        <v>1</v>
      </c>
      <c r="CV52" s="757" t="str">
        <f ca="1">IF(COUNTIFS($CU$6:$CU$53,CU52,$BC$6:$BC$53,INDEX(T_Equipos[Grupo],MATCH(BD52,T_Equipos[NombreEquipo],0)))=1,"-","P."&amp;CU52&amp;" ("&amp;COUNTIFS($CU$6:$CU$53,CU52,$BC$6:$BC$53,INDEX(T_Equipos[Grupo],MATCH(BD52,T_Equipos[NombreEquipo],0)))&amp;")")</f>
        <v>P.1 (2)</v>
      </c>
      <c r="CW52" s="757">
        <f t="shared" ca="1" si="30"/>
        <v>1</v>
      </c>
      <c r="CX52" s="757">
        <f ca="1">CU52+COUNTIFS($CV$6:$CV$53,CV52,$CW$6:CW$53,"&gt;"&amp;CW52,$BC$6:$BC$53,INDEX(T_Equipos[Grupo],MATCH(BD52,T_Equipos[NombreEquipo],0)))</f>
        <v>2</v>
      </c>
      <c r="CY52" s="757" t="str">
        <f ca="1">IF(COUNTIFS($CX$6:$CX$53,CX52,$BC$6:$BC$53,INDEX(T_Equipos[Grupo],MATCH(BD52,T_Equipos[NombreEquipo],0)))=1,"-","P."&amp;CX52&amp;" ("&amp;COUNTIFS($CX$6:$CX$53,CX52,$BC$6:$BC$53,INDEX(T_Equipos[Grupo],MATCH(BD52,T_Equipos[NombreEquipo],0)))&amp;")")</f>
        <v>-</v>
      </c>
      <c r="CZ52" s="757" t="str">
        <f t="shared" ca="1" si="31"/>
        <v>-</v>
      </c>
      <c r="DA52" s="758">
        <f ca="1">CX52+COUNTIFS($CY$6:$CY$53,CY52,$CZ$6:CZ$53,"&gt;"&amp;CZ52,$BC$6:$BC$53,INDEX(T_Equipos[Grupo],MATCH(BD52,T_Equipos[NombreEquipo],0)))</f>
        <v>2</v>
      </c>
      <c r="DB52" s="757" t="str">
        <f ca="1">IF(COUNTIFS($DA$6:$DA$53,DA52,$BC$6:$BC$53,INDEX(T_Equipos[Grupo],MATCH(BD52,T_Equipos[NombreEquipo],0)))=1,"-","P."&amp;DA52&amp;" ("&amp;COUNTIFS($DA$6:$DA$53,DA52,$BC$6:$BC$53,INDEX(T_Equipos[Grupo],MATCH(BD52,T_Equipos[NombreEquipo],0)))&amp;")")</f>
        <v>-</v>
      </c>
      <c r="DC52" s="756" t="str">
        <f ca="1">IF(DB52="-","-",COUNTIFS(T_Equipos[Rank],"&lt;"&amp;INDEX(T_Equipos[Rank],MATCH(BD52,T_Equipos[NombreEquipo],0)),$BC$6:$BC$53,INDEX(T_Equipos[Grupo],MATCH(BD52,T_Equipos[NombreEquipo],0)))+1)</f>
        <v>-</v>
      </c>
      <c r="DD52" s="756">
        <f ca="1">DA52+COUNTIFS($DB$6:$DB$53,DB52,$DC$6:DC$53,"&lt;"&amp;DC52,$BC$6:$BC$53,INDEX(T_Equipos[Grupo],MATCH(BD52,T_Equipos[NombreEquipo],0)))</f>
        <v>2</v>
      </c>
      <c r="DE52" s="756"/>
      <c r="DF52" s="756">
        <f t="shared" ca="1" si="52"/>
        <v>2</v>
      </c>
      <c r="DG52" s="756" t="str">
        <f ca="1">IF(DB52="-","-",COUNTIFS(DF$6:DF$53,"&lt;"&amp;DF52,$BC$6:$BC$53,INDEX(T_Equipos[Grupo],MATCH(BD52,T_Equipos[NombreEquipo],0))))</f>
        <v>-</v>
      </c>
      <c r="DH52" s="756">
        <f ca="1">DA52+COUNTIFS(DB$6:DB$53,DB52,DG$6:DG$53,"&lt;"&amp;DG52,$BC$6:$BC$53,INDEX(T_Equipos[Grupo],MATCH(BD52,T_Equipos[NombreEquipo],0)))</f>
        <v>2</v>
      </c>
      <c r="DI52" s="744"/>
      <c r="DJ52" s="744">
        <f t="shared" ca="1" si="53"/>
        <v>3</v>
      </c>
      <c r="DK52" s="744">
        <f t="shared" ca="1" si="24"/>
        <v>4</v>
      </c>
      <c r="DL52" s="744">
        <f t="shared" ca="1" si="33"/>
        <v>1</v>
      </c>
      <c r="DM52" s="738" t="str">
        <f t="shared" ca="1" si="34"/>
        <v>3.1</v>
      </c>
      <c r="DN52" s="744" cm="1">
        <f t="array" aca="1" ref="DN52" ca="1">OFFSET(Horarios!$P$3,DJ52-1,0,DL52,1)</f>
        <v>3</v>
      </c>
      <c r="DO52" s="744"/>
      <c r="DP52" s="744" t="s">
        <v>443</v>
      </c>
      <c r="DQ52" s="744" t="str">
        <f t="shared" ca="1" si="35"/>
        <v>Panamá</v>
      </c>
      <c r="DR52" s="744"/>
      <c r="DS52" s="744"/>
      <c r="DT52" s="744" t="str">
        <f t="shared" ca="1" si="15"/>
        <v>Bélgica-Egipto</v>
      </c>
      <c r="DU52" s="744"/>
      <c r="DV52" s="744"/>
      <c r="DW52" s="8"/>
    </row>
    <row r="53" spans="1:127">
      <c r="A53" s="745" t="str">
        <f ca="1">+Equipos!B26</f>
        <v>Bélgica</v>
      </c>
      <c r="B53" s="742"/>
      <c r="C53" s="742"/>
      <c r="D53" s="744" t="str">
        <f t="shared" si="155"/>
        <v>Empate</v>
      </c>
      <c r="E53" s="744" t="str">
        <f t="shared" ca="1" si="156"/>
        <v>P.1 (4)</v>
      </c>
      <c r="F53" s="744" t="str">
        <f t="shared" ca="1" si="157"/>
        <v>P.1 (4)</v>
      </c>
      <c r="G53" s="744"/>
      <c r="H53" s="744" t="str">
        <f t="shared" ca="1" si="158"/>
        <v>P.1 (4)</v>
      </c>
      <c r="I53" s="744" t="str">
        <f t="shared" ca="1" si="159"/>
        <v>P.1 (4)</v>
      </c>
      <c r="J53" s="744"/>
      <c r="K53" s="744" t="str">
        <f t="shared" ca="1" si="160"/>
        <v>P.1 (4)</v>
      </c>
      <c r="L53" s="744" t="str">
        <f t="shared" ca="1" si="161"/>
        <v>P.1 (4)</v>
      </c>
      <c r="M53" s="744"/>
      <c r="N53" s="744" t="str">
        <f t="shared" ca="1" si="162"/>
        <v>P.1 (2)</v>
      </c>
      <c r="O53" s="744" t="str">
        <f t="shared" ca="1" si="163"/>
        <v>P.1 (2)</v>
      </c>
      <c r="P53" s="744"/>
      <c r="Q53" s="744" t="str">
        <f t="shared" ca="1" si="164"/>
        <v>P.1 (2)</v>
      </c>
      <c r="R53" s="744" t="str">
        <f t="shared" ca="1" si="165"/>
        <v>P.1 (2)</v>
      </c>
      <c r="S53" s="744"/>
      <c r="T53" s="744" t="str">
        <f t="shared" ca="1" si="166"/>
        <v>P.1 (2)</v>
      </c>
      <c r="U53" s="744" t="str">
        <f t="shared" ca="1" si="167"/>
        <v>P.1 (2)</v>
      </c>
      <c r="V53" s="172"/>
      <c r="W53" s="841"/>
      <c r="X53" s="189">
        <f ca="1">Horarios!C53</f>
        <v>46189.125</v>
      </c>
      <c r="Y53" s="190">
        <f ca="1">Horarios!C53</f>
        <v>46189.125</v>
      </c>
      <c r="Z53" s="191" t="str">
        <f>$Z$4</f>
        <v>J1</v>
      </c>
      <c r="AA53" s="192" t="str">
        <f ca="1">A55</f>
        <v>Irán</v>
      </c>
      <c r="AB53" s="478" t="e" cm="1" vm="27">
        <f t="array" aca="1" ref="AB53" ca="1">Ver_flag_local</f>
        <v>#VALUE!</v>
      </c>
      <c r="AC53" s="193">
        <v>2</v>
      </c>
      <c r="AD53" s="194">
        <v>2</v>
      </c>
      <c r="AE53" s="483" t="e" cm="1" vm="28">
        <f t="array" aca="1" ref="AE53" ca="1">Ver_flag_visit</f>
        <v>#VALUE!</v>
      </c>
      <c r="AF53" s="195" t="str">
        <f ca="1">A56</f>
        <v>Nueva Zelanda</v>
      </c>
      <c r="AG53" s="413">
        <f t="shared" si="168"/>
        <v>1</v>
      </c>
      <c r="AH53" s="196">
        <v>15</v>
      </c>
      <c r="AI53" s="19"/>
      <c r="AJ53" s="204" t="str">
        <f>AJ5</f>
        <v>Pos</v>
      </c>
      <c r="AK53" s="205"/>
      <c r="AL53" s="206" t="str">
        <f t="shared" ref="AL53:AT53" si="170">AL5</f>
        <v>Selección</v>
      </c>
      <c r="AM53" s="205" t="str">
        <f t="shared" si="170"/>
        <v>Pts</v>
      </c>
      <c r="AN53" s="205" t="str">
        <f t="shared" si="170"/>
        <v>J</v>
      </c>
      <c r="AO53" s="205" t="str">
        <f t="shared" si="170"/>
        <v>G</v>
      </c>
      <c r="AP53" s="205" t="str">
        <f t="shared" si="170"/>
        <v>E</v>
      </c>
      <c r="AQ53" s="205" t="str">
        <f t="shared" si="170"/>
        <v>P</v>
      </c>
      <c r="AR53" s="205" t="str">
        <f t="shared" si="170"/>
        <v>GF</v>
      </c>
      <c r="AS53" s="205" t="str">
        <f t="shared" si="170"/>
        <v>GC</v>
      </c>
      <c r="AT53" s="207" t="str">
        <f t="shared" si="170"/>
        <v>DG</v>
      </c>
      <c r="AU53" s="421">
        <f t="shared" ref="AU53" ca="1" si="171">COUNTIF(AU54:AU57,"&gt;1")</f>
        <v>0</v>
      </c>
      <c r="AV53" s="208"/>
      <c r="AW53" s="208"/>
      <c r="AX53" s="255"/>
      <c r="AY53" s="209" t="str">
        <f>AL53</f>
        <v>Selección</v>
      </c>
      <c r="AZ53" s="210" t="str">
        <f>+Idiomas!$D$69</f>
        <v>Puntos penalizados</v>
      </c>
      <c r="BA53" s="175"/>
      <c r="BB53" s="744"/>
      <c r="BC53" s="756" t="str">
        <f ca="1">+INDEX(T_Equipos[Grupo],MATCH(WORLDCUP!BD53,T_Equipos[NombreEquipo],0))</f>
        <v>L</v>
      </c>
      <c r="BD53" s="744" t="str">
        <f ca="1">+Equipos!B49</f>
        <v>Panamá</v>
      </c>
      <c r="BE53" s="748">
        <f t="shared" ca="1" si="25"/>
        <v>0</v>
      </c>
      <c r="BF53" s="748">
        <f t="shared" ca="1" si="26"/>
        <v>1</v>
      </c>
      <c r="BG53" s="748">
        <f t="shared" ca="1" si="17"/>
        <v>0</v>
      </c>
      <c r="BH53" s="748">
        <f t="shared" ca="1" si="18"/>
        <v>0</v>
      </c>
      <c r="BI53" s="748">
        <f t="shared" ca="1" si="19"/>
        <v>1</v>
      </c>
      <c r="BJ53" s="748">
        <f t="shared" ca="1" si="20"/>
        <v>0</v>
      </c>
      <c r="BK53" s="748">
        <f t="shared" ca="1" si="21"/>
        <v>1</v>
      </c>
      <c r="BL53" s="748">
        <f t="shared" ca="1" si="27"/>
        <v>-1</v>
      </c>
      <c r="BM53" s="748" t="str">
        <f t="shared" ca="1" si="22"/>
        <v>3L</v>
      </c>
      <c r="BN53" s="748" t="str">
        <f t="shared" ca="1" si="23"/>
        <v>3L</v>
      </c>
      <c r="BO53" s="758">
        <f t="shared" ca="1" si="28"/>
        <v>0</v>
      </c>
      <c r="BP53" s="757">
        <f ca="1">COUNTIFS($BO$6:$BO$53,"&gt;"&amp;BO53,$BC$6:$BC$53,INDEX(T_Equipos[Grupo],MATCH(BD53,T_Equipos[NombreEquipo],0)))+1</f>
        <v>1</v>
      </c>
      <c r="BQ53" s="757" t="str">
        <f ca="1">IF(COUNTIFS($BP$6:$BP$53,BP53,$BC$6:$BC$53,INDEX(T_Equipos[Grupo],MATCH(BD53,T_Equipos[NombreEquipo],0)))=1,"-","P."&amp;BP53&amp;" ("&amp;COUNTIFS($BP$6:$BP$53,BP53,$BC$6:$BC$53,INDEX(T_Equipos[Grupo],MATCH(BD53,T_Equipos[NombreEquipo],0)))&amp;")")</f>
        <v>P.1 (4)</v>
      </c>
      <c r="BR53" s="758">
        <f t="shared" ca="1" si="29"/>
        <v>0</v>
      </c>
      <c r="BS53" s="757">
        <f ca="1">BP53+COUNTIFS($BQ$6:$BQ$53,BQ53,$BR$6:BR$53,"&gt;"&amp;BR53,$BC$6:$BC$53,INDEX(T_Equipos[Grupo],MATCH(BD53,T_Equipos[NombreEquipo],0)))</f>
        <v>3</v>
      </c>
      <c r="BT53" s="757" t="str">
        <f ca="1">IF(COUNTIFS($BS$6:$BS$53,BS53,$BC$6:$BC$53,INDEX(T_Equipos[Grupo],MATCH(BD53,T_Equipos[NombreEquipo],0)))=1,"-","P."&amp;BS53&amp;" ("&amp;COUNTIFS($BS$6:$BS$53,BS53,$BC$6:$BC$53,INDEX(T_Equipos[Grupo],MATCH(BD53,T_Equipos[NombreEquipo],0)))&amp;")")</f>
        <v>P.3 (2)</v>
      </c>
      <c r="BU53" s="758">
        <f t="shared" ca="1" si="36"/>
        <v>0</v>
      </c>
      <c r="BV53" s="758">
        <f t="shared" ca="1" si="37"/>
        <v>0</v>
      </c>
      <c r="BW53" s="758">
        <f t="shared" ca="1" si="38"/>
        <v>0</v>
      </c>
      <c r="BX53" s="758">
        <f t="shared" ca="1" si="39"/>
        <v>0</v>
      </c>
      <c r="BY53" s="758">
        <f ca="1">BS53+COUNTIFS($BT$6:$BT$53,BT53,$BX$6:BX$53,"&gt;"&amp;BX53,$BC$6:$BC$53,INDEX(T_Equipos[Grupo],MATCH(BD53,T_Equipos[NombreEquipo],0)))</f>
        <v>3</v>
      </c>
      <c r="BZ53" s="757" t="str">
        <f ca="1">IF(COUNTIFS($BY$6:$BY$53,BY53,$BC$6:$BC$53,INDEX(T_Equipos[Grupo],MATCH(BD53,T_Equipos[NombreEquipo],0)))=1,"-","P."&amp;BY53&amp;" ("&amp;COUNTIFS($BY$6:$BY$53,BY53,$BC$6:$BC$53,INDEX(T_Equipos[Grupo],MATCH(BD53,T_Equipos[NombreEquipo],0)))&amp;")")</f>
        <v>P.3 (2)</v>
      </c>
      <c r="CA53" s="758">
        <f t="shared" ca="1" si="40"/>
        <v>0</v>
      </c>
      <c r="CB53" s="758">
        <f t="shared" ca="1" si="41"/>
        <v>0</v>
      </c>
      <c r="CC53" s="758">
        <f t="shared" ca="1" si="42"/>
        <v>0</v>
      </c>
      <c r="CD53" s="758">
        <f ca="1">BY53+COUNTIFS($BZ$6:$BZ$53,BZ53,$CC$6:CC$53,"&gt;"&amp;CC53,$BC$6:$BC$53,INDEX(T_Equipos[Grupo],MATCH(BD53,T_Equipos[NombreEquipo],0)))</f>
        <v>3</v>
      </c>
      <c r="CE53" s="757" t="str">
        <f ca="1">IF(COUNTIFS($CD$6:$CD$53,CD53,$BC$6:$BC$53,INDEX(T_Equipos[Grupo],MATCH(BD53,T_Equipos[NombreEquipo],0)))=1,"-","P."&amp;CD53&amp;" ("&amp;COUNTIFS($CD$6:$CD$53,CD53,$BC$6:$BC$53,INDEX(T_Equipos[Grupo],MATCH(BD53,T_Equipos[NombreEquipo],0)))&amp;")")</f>
        <v>P.3 (2)</v>
      </c>
      <c r="CF53" s="758">
        <f t="shared" ca="1" si="43"/>
        <v>0</v>
      </c>
      <c r="CG53" s="758">
        <f ca="1">CD53+COUNTIFS($CE$6:$CE$53,CE53,$CF$6:CF$53,"&gt;"&amp;CF53,$BC$6:$BC$53,INDEX(T_Equipos[Grupo],MATCH(BD53,T_Equipos[NombreEquipo],0)))</f>
        <v>3</v>
      </c>
      <c r="CH53" s="757" t="str">
        <f ca="1">IF(COUNTIFS($CG$6:$CG$53,CG53,$BC$6:$BC$53,INDEX(T_Equipos[Grupo],MATCH(BD53,T_Equipos[NombreEquipo],0)))=1,"-","P."&amp;CG53&amp;" ("&amp;COUNTIFS($CG$6:$CG$53,CG53,$BC$6:$BC$53,INDEX(T_Equipos[Grupo],MATCH(BD53,T_Equipos[NombreEquipo],0)))&amp;")")</f>
        <v>P.3 (2)</v>
      </c>
      <c r="CI53" s="758">
        <f t="shared" ca="1" si="44"/>
        <v>0</v>
      </c>
      <c r="CJ53" s="758">
        <f t="shared" ca="1" si="45"/>
        <v>0</v>
      </c>
      <c r="CK53" s="758">
        <f t="shared" ca="1" si="46"/>
        <v>0</v>
      </c>
      <c r="CL53" s="758">
        <f t="shared" ca="1" si="47"/>
        <v>0</v>
      </c>
      <c r="CM53" s="758">
        <f ca="1">CG53+COUNTIFS($CH$6:$CH$53,CH53,$CL$6:CL$53,"&gt;"&amp;CL53,$BC$6:$BC$53,INDEX(T_Equipos[Grupo],MATCH(BD53,T_Equipos[NombreEquipo],0)))</f>
        <v>3</v>
      </c>
      <c r="CN53" s="757" t="str">
        <f ca="1">IF(COUNTIFS($CM$6:$CM$53,CM53,$BC$6:$BC$53,INDEX(T_Equipos[Grupo],MATCH(BD53,T_Equipos[NombreEquipo],0)))=1,"-","P."&amp;CM53&amp;" ("&amp;COUNTIFS($CM$6:$CM$53,CM53,$BC$6:$BC$53,INDEX(T_Equipos[Grupo],MATCH(BD53,T_Equipos[NombreEquipo],0)))&amp;")")</f>
        <v>P.3 (2)</v>
      </c>
      <c r="CO53" s="758">
        <f t="shared" ca="1" si="48"/>
        <v>0</v>
      </c>
      <c r="CP53" s="758">
        <f t="shared" ca="1" si="49"/>
        <v>0</v>
      </c>
      <c r="CQ53" s="758">
        <f t="shared" ca="1" si="50"/>
        <v>0</v>
      </c>
      <c r="CR53" s="758">
        <f ca="1">CM53+COUNTIFS($CN$6:$CN$53,CN53,$CQ$6:CQ$53,"&gt;"&amp;CQ53,$BC$6:$BC$53,INDEX(T_Equipos[Grupo],MATCH(BD53,T_Equipos[NombreEquipo],0)))</f>
        <v>3</v>
      </c>
      <c r="CS53" s="757" t="str">
        <f ca="1">IF(COUNTIFS($CR$6:$CR$53,CR53,$BC$6:$BC$53,INDEX(T_Equipos[Grupo],MATCH(BD53,T_Equipos[NombreEquipo],0)))=1,"-","P."&amp;CR53&amp;" ("&amp;COUNTIFS($CR$6:$CR$53,CR53,$BC$6:$BC$53,INDEX(T_Equipos[Grupo],MATCH(BD53,T_Equipos[NombreEquipo],0)))&amp;")")</f>
        <v>P.3 (2)</v>
      </c>
      <c r="CT53" s="758">
        <f t="shared" ca="1" si="51"/>
        <v>0</v>
      </c>
      <c r="CU53" s="758">
        <f ca="1">CR53+COUNTIFS($CS$6:$CS$53,CS53,$CT$6:CT$53,"&gt;"&amp;CT53,$BC$6:$BC$53,INDEX(T_Equipos[Grupo],MATCH(BD53,T_Equipos[NombreEquipo],0)))</f>
        <v>3</v>
      </c>
      <c r="CV53" s="757" t="str">
        <f ca="1">IF(COUNTIFS($CU$6:$CU$53,CU53,$BC$6:$BC$53,INDEX(T_Equipos[Grupo],MATCH(BD53,T_Equipos[NombreEquipo],0)))=1,"-","P."&amp;CU53&amp;" ("&amp;COUNTIFS($CU$6:$CU$53,CU53,$BC$6:$BC$53,INDEX(T_Equipos[Grupo],MATCH(BD53,T_Equipos[NombreEquipo],0)))&amp;")")</f>
        <v>P.3 (2)</v>
      </c>
      <c r="CW53" s="757">
        <f t="shared" ca="1" si="30"/>
        <v>-1</v>
      </c>
      <c r="CX53" s="757">
        <f ca="1">CU53+COUNTIFS($CV$6:$CV$53,CV53,$CW$6:CW$53,"&gt;"&amp;CW53,$BC$6:$BC$53,INDEX(T_Equipos[Grupo],MATCH(BD53,T_Equipos[NombreEquipo],0)))</f>
        <v>3</v>
      </c>
      <c r="CY53" s="757" t="str">
        <f ca="1">IF(COUNTIFS($CX$6:$CX$53,CX53,$BC$6:$BC$53,INDEX(T_Equipos[Grupo],MATCH(BD53,T_Equipos[NombreEquipo],0)))=1,"-","P."&amp;CX53&amp;" ("&amp;COUNTIFS($CX$6:$CX$53,CX53,$BC$6:$BC$53,INDEX(T_Equipos[Grupo],MATCH(BD53,T_Equipos[NombreEquipo],0)))&amp;")")</f>
        <v>-</v>
      </c>
      <c r="CZ53" s="757" t="str">
        <f t="shared" ca="1" si="31"/>
        <v>-</v>
      </c>
      <c r="DA53" s="758">
        <f ca="1">CX53+COUNTIFS($CY$6:$CY$53,CY53,$CZ$6:CZ$53,"&gt;"&amp;CZ53,$BC$6:$BC$53,INDEX(T_Equipos[Grupo],MATCH(BD53,T_Equipos[NombreEquipo],0)))</f>
        <v>3</v>
      </c>
      <c r="DB53" s="757" t="str">
        <f ca="1">IF(COUNTIFS($DA$6:$DA$53,DA53,$BC$6:$BC$53,INDEX(T_Equipos[Grupo],MATCH(BD53,T_Equipos[NombreEquipo],0)))=1,"-","P."&amp;DA53&amp;" ("&amp;COUNTIFS($DA$6:$DA$53,DA53,$BC$6:$BC$53,INDEX(T_Equipos[Grupo],MATCH(BD53,T_Equipos[NombreEquipo],0)))&amp;")")</f>
        <v>-</v>
      </c>
      <c r="DC53" s="756" t="str">
        <f ca="1">IF(DB53="-","-",COUNTIFS(T_Equipos[Rank],"&lt;"&amp;INDEX(T_Equipos[Rank],MATCH(BD53,T_Equipos[NombreEquipo],0)),$BC$6:$BC$53,INDEX(T_Equipos[Grupo],MATCH(BD53,T_Equipos[NombreEquipo],0)))+1)</f>
        <v>-</v>
      </c>
      <c r="DD53" s="756">
        <f ca="1">DA53+COUNTIFS($DB$6:$DB$53,DB53,$DC$6:DC$53,"&lt;"&amp;DC53,$BC$6:$BC$53,INDEX(T_Equipos[Grupo],MATCH(BD53,T_Equipos[NombreEquipo],0)))</f>
        <v>3</v>
      </c>
      <c r="DE53" s="756"/>
      <c r="DF53" s="756">
        <f t="shared" ca="1" si="52"/>
        <v>3</v>
      </c>
      <c r="DG53" s="756" t="str">
        <f ca="1">IF(DB53="-","-",COUNTIFS(DF$6:DF$53,"&lt;"&amp;DF53,$BC$6:$BC$53,INDEX(T_Equipos[Grupo],MATCH(BD53,T_Equipos[NombreEquipo],0))))</f>
        <v>-</v>
      </c>
      <c r="DH53" s="756">
        <f ca="1">DA53+COUNTIFS(DB$6:DB$53,DB53,DG$6:DG$53,"&lt;"&amp;DG53,$BC$6:$BC$53,INDEX(T_Equipos[Grupo],MATCH(BD53,T_Equipos[NombreEquipo],0)))</f>
        <v>3</v>
      </c>
      <c r="DI53" s="744"/>
      <c r="DJ53" s="744">
        <f t="shared" ca="1" si="53"/>
        <v>4</v>
      </c>
      <c r="DK53" s="744">
        <f t="shared" ca="1" si="24"/>
        <v>4</v>
      </c>
      <c r="DL53" s="744">
        <f t="shared" ca="1" si="33"/>
        <v>1</v>
      </c>
      <c r="DM53" s="738" t="str">
        <f t="shared" ca="1" si="34"/>
        <v>4.1</v>
      </c>
      <c r="DN53" s="744" cm="1">
        <f t="array" aca="1" ref="DN53" ca="1">OFFSET(Horarios!$P$3,DJ53-1,0,DL53,1)</f>
        <v>4</v>
      </c>
      <c r="DO53" s="744"/>
      <c r="DP53" s="744" t="s">
        <v>684</v>
      </c>
      <c r="DQ53" s="744" t="str">
        <f t="shared" ca="1" si="35"/>
        <v>Croacia</v>
      </c>
      <c r="DR53" s="744"/>
      <c r="DS53" s="744"/>
      <c r="DT53" s="744" t="str">
        <f t="shared" ca="1" si="15"/>
        <v>Irán-Nueva Zelanda</v>
      </c>
      <c r="DU53" s="744"/>
      <c r="DV53" s="744"/>
      <c r="DW53" s="8"/>
    </row>
    <row r="54" spans="1:127">
      <c r="A54" s="745" t="str">
        <f ca="1">+Equipos!B27</f>
        <v>Egipto</v>
      </c>
      <c r="B54" s="742"/>
      <c r="C54" s="746"/>
      <c r="D54" s="744" t="str">
        <f t="shared" si="155"/>
        <v>Pendiente</v>
      </c>
      <c r="E54" s="744" t="str">
        <f t="shared" si="156"/>
        <v>-</v>
      </c>
      <c r="F54" s="744" t="str">
        <f t="shared" si="157"/>
        <v>-</v>
      </c>
      <c r="G54" s="744"/>
      <c r="H54" s="744" t="str">
        <f t="shared" si="158"/>
        <v>-</v>
      </c>
      <c r="I54" s="744" t="str">
        <f t="shared" si="159"/>
        <v>-</v>
      </c>
      <c r="J54" s="744"/>
      <c r="K54" s="744" t="str">
        <f t="shared" si="160"/>
        <v>-</v>
      </c>
      <c r="L54" s="744" t="str">
        <f t="shared" si="161"/>
        <v>-</v>
      </c>
      <c r="M54" s="744"/>
      <c r="N54" s="744" t="str">
        <f t="shared" si="162"/>
        <v>-</v>
      </c>
      <c r="O54" s="744" t="str">
        <f t="shared" si="163"/>
        <v>-</v>
      </c>
      <c r="P54" s="744"/>
      <c r="Q54" s="744" t="str">
        <f t="shared" si="164"/>
        <v>-</v>
      </c>
      <c r="R54" s="744" t="str">
        <f t="shared" si="165"/>
        <v>-</v>
      </c>
      <c r="S54" s="744"/>
      <c r="T54" s="744" t="str">
        <f t="shared" si="166"/>
        <v>-</v>
      </c>
      <c r="U54" s="744" t="str">
        <f t="shared" si="167"/>
        <v>-</v>
      </c>
      <c r="V54" s="172"/>
      <c r="W54" s="841"/>
      <c r="X54" s="189">
        <f ca="1">Horarios!C54</f>
        <v>46194.875</v>
      </c>
      <c r="Y54" s="190">
        <f ca="1">Horarios!C54</f>
        <v>46194.875</v>
      </c>
      <c r="Z54" s="191" t="str">
        <f>$Z$6</f>
        <v>J2</v>
      </c>
      <c r="AA54" s="192" t="str">
        <f ca="1">A53</f>
        <v>Bélgica</v>
      </c>
      <c r="AB54" s="478" t="e" cm="1" vm="25">
        <f t="array" aca="1" ref="AB54" ca="1">Ver_flag_local</f>
        <v>#VALUE!</v>
      </c>
      <c r="AC54" s="193"/>
      <c r="AD54" s="194"/>
      <c r="AE54" s="483" t="e" cm="1" vm="27">
        <f t="array" aca="1" ref="AE54" ca="1">Ver_flag_visit</f>
        <v>#VALUE!</v>
      </c>
      <c r="AF54" s="195" t="str">
        <f ca="1">A55</f>
        <v>Irán</v>
      </c>
      <c r="AG54" s="413">
        <f t="shared" si="168"/>
        <v>0</v>
      </c>
      <c r="AH54" s="196">
        <v>39</v>
      </c>
      <c r="AI54" s="19" t="str">
        <f>AJ54&amp;$B$52</f>
        <v>1G</v>
      </c>
      <c r="AJ54" s="211">
        <v>1</v>
      </c>
      <c r="AK54" s="488" t="e" cm="1" vm="27">
        <f t="array" aca="1" ref="AK54" ca="1">Ver_flag_visit</f>
        <v>#VALUE!</v>
      </c>
      <c r="AL54" s="212" t="str">
        <f ca="1">IFERROR(INDEX($BD$6:$BD$53,MATCH(AI54,$BN$6:$BN$53,0)),"")</f>
        <v>Irán</v>
      </c>
      <c r="AM54" s="213">
        <f t="shared" ref="AM54:AT57" ca="1" si="172">INDEX($BE$6:$BN$53,MATCH($AL54,$BD$6:$BD$53,0),MATCH(AM$5,$BE$5:$BN$5,0))</f>
        <v>1</v>
      </c>
      <c r="AN54" s="214">
        <f t="shared" ca="1" si="172"/>
        <v>1</v>
      </c>
      <c r="AO54" s="214">
        <f t="shared" ca="1" si="172"/>
        <v>0</v>
      </c>
      <c r="AP54" s="214">
        <f t="shared" ca="1" si="172"/>
        <v>1</v>
      </c>
      <c r="AQ54" s="214">
        <f t="shared" ca="1" si="172"/>
        <v>0</v>
      </c>
      <c r="AR54" s="214">
        <f t="shared" ca="1" si="172"/>
        <v>2</v>
      </c>
      <c r="AS54" s="214">
        <f t="shared" ca="1" si="172"/>
        <v>2</v>
      </c>
      <c r="AT54" s="215">
        <f t="shared" ca="1" si="172"/>
        <v>0</v>
      </c>
      <c r="AU54" s="420">
        <f ca="1">INDEX($DL$6:$DL$53,MATCH(AI54,$DP$6:$DP$53,0))</f>
        <v>1</v>
      </c>
      <c r="AV54" s="217" t="str">
        <f ca="1">INDEX($BD$6:$BD$53,MATCH(AI54,$BM$6:$BM$53,0))</f>
        <v>Irán</v>
      </c>
      <c r="AW54" s="427"/>
      <c r="AX54" s="218"/>
      <c r="AY54" s="219" t="str">
        <f ca="1">+A53</f>
        <v>Bélgica</v>
      </c>
      <c r="AZ54" s="220"/>
      <c r="BA54" s="175"/>
      <c r="BB54" s="744"/>
      <c r="BC54" s="744"/>
      <c r="BD54" s="744"/>
      <c r="BE54" s="744"/>
      <c r="BF54" s="744"/>
      <c r="BG54" s="744"/>
      <c r="BH54" s="744"/>
      <c r="BI54" s="744"/>
      <c r="BJ54" s="744"/>
      <c r="BK54" s="744"/>
      <c r="BL54" s="744"/>
      <c r="BM54" s="744"/>
      <c r="BN54" s="749"/>
      <c r="BO54" s="749"/>
      <c r="BP54" s="749"/>
      <c r="BQ54" s="749"/>
      <c r="BR54" s="744"/>
      <c r="BS54" s="744"/>
      <c r="BT54" s="749"/>
      <c r="BU54" s="749"/>
      <c r="BV54" s="749"/>
      <c r="BW54" s="749"/>
      <c r="BX54" s="749"/>
      <c r="BY54" s="749"/>
      <c r="BZ54" s="749"/>
      <c r="CA54" s="749"/>
      <c r="CB54" s="749"/>
      <c r="CC54" s="749"/>
      <c r="CD54" s="749"/>
      <c r="CE54" s="749"/>
      <c r="CF54" s="749"/>
      <c r="CG54" s="749"/>
      <c r="CH54" s="749"/>
      <c r="CI54" s="749"/>
      <c r="CJ54" s="749"/>
      <c r="CK54" s="749"/>
      <c r="CL54" s="749"/>
      <c r="CM54" s="749"/>
      <c r="CN54" s="749"/>
      <c r="CO54" s="749"/>
      <c r="CP54" s="749"/>
      <c r="CQ54" s="749"/>
      <c r="CR54" s="749"/>
      <c r="CS54" s="749"/>
      <c r="CT54" s="749"/>
      <c r="CU54" s="749"/>
      <c r="CV54" s="749"/>
      <c r="CW54" s="744"/>
      <c r="CX54" s="749"/>
      <c r="CY54" s="744"/>
      <c r="CZ54" s="744"/>
      <c r="DA54" s="744"/>
      <c r="DB54" s="744"/>
      <c r="DC54" s="744"/>
      <c r="DD54" s="744"/>
      <c r="DE54" s="744"/>
      <c r="DF54" s="744"/>
      <c r="DG54" s="744"/>
      <c r="DH54" s="744"/>
      <c r="DI54" s="744"/>
      <c r="DJ54" s="744"/>
      <c r="DK54" s="744"/>
      <c r="DL54" s="744"/>
      <c r="DM54" s="744"/>
      <c r="DN54" s="744"/>
      <c r="DO54" s="744"/>
      <c r="DP54" s="744"/>
      <c r="DQ54" s="744"/>
      <c r="DR54" s="744"/>
      <c r="DS54" s="744"/>
      <c r="DT54" s="744" t="str">
        <f t="shared" ca="1" si="15"/>
        <v>Bélgica-Irán</v>
      </c>
      <c r="DU54" s="744"/>
      <c r="DV54" s="744"/>
      <c r="DW54" s="8"/>
    </row>
    <row r="55" spans="1:127">
      <c r="A55" s="745" t="str">
        <f ca="1">+Equipos!B28</f>
        <v>Irán</v>
      </c>
      <c r="B55" s="742"/>
      <c r="C55" s="744"/>
      <c r="D55" s="744" t="str">
        <f t="shared" si="155"/>
        <v>Pendiente</v>
      </c>
      <c r="E55" s="744" t="str">
        <f t="shared" si="156"/>
        <v>-</v>
      </c>
      <c r="F55" s="744" t="str">
        <f t="shared" si="157"/>
        <v>-</v>
      </c>
      <c r="G55" s="744"/>
      <c r="H55" s="744" t="str">
        <f t="shared" si="158"/>
        <v>-</v>
      </c>
      <c r="I55" s="744" t="str">
        <f t="shared" si="159"/>
        <v>-</v>
      </c>
      <c r="J55" s="744"/>
      <c r="K55" s="744" t="str">
        <f t="shared" si="160"/>
        <v>-</v>
      </c>
      <c r="L55" s="744" t="str">
        <f t="shared" si="161"/>
        <v>-</v>
      </c>
      <c r="M55" s="744"/>
      <c r="N55" s="744" t="str">
        <f t="shared" si="162"/>
        <v>-</v>
      </c>
      <c r="O55" s="744" t="str">
        <f t="shared" si="163"/>
        <v>-</v>
      </c>
      <c r="P55" s="744"/>
      <c r="Q55" s="744" t="str">
        <f t="shared" si="164"/>
        <v>-</v>
      </c>
      <c r="R55" s="744" t="str">
        <f t="shared" si="165"/>
        <v>-</v>
      </c>
      <c r="S55" s="744"/>
      <c r="T55" s="744" t="str">
        <f t="shared" si="166"/>
        <v>-</v>
      </c>
      <c r="U55" s="744" t="str">
        <f t="shared" si="167"/>
        <v>-</v>
      </c>
      <c r="V55" s="172"/>
      <c r="W55" s="841"/>
      <c r="X55" s="189">
        <f ca="1">Horarios!C55</f>
        <v>46195.125</v>
      </c>
      <c r="Y55" s="190">
        <f ca="1">Horarios!C55</f>
        <v>46195.125</v>
      </c>
      <c r="Z55" s="191" t="str">
        <f>$Z$6</f>
        <v>J2</v>
      </c>
      <c r="AA55" s="192" t="str">
        <f ca="1">A56</f>
        <v>Nueva Zelanda</v>
      </c>
      <c r="AB55" s="478" t="e" cm="1" vm="28">
        <f t="array" aca="1" ref="AB55" ca="1">Ver_flag_local</f>
        <v>#VALUE!</v>
      </c>
      <c r="AC55" s="193"/>
      <c r="AD55" s="194"/>
      <c r="AE55" s="483" t="e" cm="1" vm="26">
        <f t="array" aca="1" ref="AE55" ca="1">Ver_flag_visit</f>
        <v>#VALUE!</v>
      </c>
      <c r="AF55" s="195" t="str">
        <f ca="1">A54</f>
        <v>Egipto</v>
      </c>
      <c r="AG55" s="413">
        <f t="shared" si="168"/>
        <v>0</v>
      </c>
      <c r="AH55" s="196">
        <v>40</v>
      </c>
      <c r="AI55" s="19" t="str">
        <f t="shared" ref="AI55:AI57" si="173">AJ55&amp;$B$52</f>
        <v>2G</v>
      </c>
      <c r="AJ55" s="221">
        <v>2</v>
      </c>
      <c r="AK55" s="486" t="e" cm="1" vm="28">
        <f t="array" aca="1" ref="AK55" ca="1">Ver_flag_visit</f>
        <v>#VALUE!</v>
      </c>
      <c r="AL55" s="222" t="str">
        <f ca="1">IFERROR(INDEX($BD$6:$BD$53,MATCH(AI55,$BN$6:$BN$53,0)),"")</f>
        <v>Nueva Zelanda</v>
      </c>
      <c r="AM55" s="223">
        <f t="shared" ca="1" si="172"/>
        <v>1</v>
      </c>
      <c r="AN55" s="224">
        <f t="shared" ca="1" si="172"/>
        <v>1</v>
      </c>
      <c r="AO55" s="224">
        <f t="shared" ca="1" si="172"/>
        <v>0</v>
      </c>
      <c r="AP55" s="224">
        <f t="shared" ca="1" si="172"/>
        <v>1</v>
      </c>
      <c r="AQ55" s="224">
        <f t="shared" ca="1" si="172"/>
        <v>0</v>
      </c>
      <c r="AR55" s="224">
        <f t="shared" ca="1" si="172"/>
        <v>2</v>
      </c>
      <c r="AS55" s="224">
        <f t="shared" ca="1" si="172"/>
        <v>2</v>
      </c>
      <c r="AT55" s="225">
        <f t="shared" ca="1" si="172"/>
        <v>0</v>
      </c>
      <c r="AU55" s="420">
        <f ca="1">INDEX($DL$6:$DL$53,MATCH(AI55,$DP$6:$DP$53,0))</f>
        <v>1</v>
      </c>
      <c r="AV55" s="217" t="str">
        <f ca="1">INDEX($BD$6:$BD$53,MATCH(AI55,$BM$6:$BM$53,0))</f>
        <v>Nueva Zelanda</v>
      </c>
      <c r="AW55" s="427"/>
      <c r="AX55" s="218"/>
      <c r="AY55" s="226" t="str">
        <f ca="1">+A54</f>
        <v>Egipto</v>
      </c>
      <c r="AZ55" s="227"/>
      <c r="BA55" s="175"/>
      <c r="BB55" s="744"/>
      <c r="BC55" s="744"/>
      <c r="BD55" s="744"/>
      <c r="BE55" s="744"/>
      <c r="BF55" s="744"/>
      <c r="BG55" s="744"/>
      <c r="BH55" s="744"/>
      <c r="BI55" s="744"/>
      <c r="BJ55" s="744"/>
      <c r="BK55" s="744"/>
      <c r="BL55" s="744"/>
      <c r="BM55" s="744"/>
      <c r="BN55" s="749"/>
      <c r="BO55" s="749"/>
      <c r="BP55" s="749"/>
      <c r="BQ55" s="749"/>
      <c r="BR55" s="744"/>
      <c r="BS55" s="744"/>
      <c r="BT55" s="749"/>
      <c r="BU55" s="749"/>
      <c r="BV55" s="749"/>
      <c r="BW55" s="749"/>
      <c r="BX55" s="749"/>
      <c r="BY55" s="749"/>
      <c r="BZ55" s="749"/>
      <c r="CA55" s="749"/>
      <c r="CB55" s="749"/>
      <c r="CC55" s="749"/>
      <c r="CD55" s="749"/>
      <c r="CE55" s="749"/>
      <c r="CF55" s="749"/>
      <c r="CG55" s="749"/>
      <c r="CH55" s="749"/>
      <c r="CI55" s="749"/>
      <c r="CJ55" s="749"/>
      <c r="CK55" s="749"/>
      <c r="CL55" s="749"/>
      <c r="CM55" s="749"/>
      <c r="CN55" s="749"/>
      <c r="CO55" s="749"/>
      <c r="CP55" s="749"/>
      <c r="CQ55" s="749"/>
      <c r="CR55" s="749"/>
      <c r="CS55" s="749"/>
      <c r="CT55" s="749"/>
      <c r="CU55" s="749"/>
      <c r="CV55" s="749"/>
      <c r="CW55" s="744"/>
      <c r="CX55" s="749"/>
      <c r="CY55" s="744"/>
      <c r="CZ55" s="744"/>
      <c r="DA55" s="744"/>
      <c r="DB55" s="744"/>
      <c r="DC55" s="744"/>
      <c r="DD55" s="744"/>
      <c r="DE55" s="744"/>
      <c r="DF55" s="744"/>
      <c r="DG55" s="744"/>
      <c r="DH55" s="744"/>
      <c r="DI55" s="744"/>
      <c r="DJ55" s="744"/>
      <c r="DK55" s="744"/>
      <c r="DL55" s="744"/>
      <c r="DM55" s="744"/>
      <c r="DN55" s="744"/>
      <c r="DO55" s="744"/>
      <c r="DP55" s="744"/>
      <c r="DQ55" s="744"/>
      <c r="DR55" s="744"/>
      <c r="DS55" s="744"/>
      <c r="DT55" s="744" t="str">
        <f t="shared" ca="1" si="15"/>
        <v>Nueva Zelanda-Egipto</v>
      </c>
      <c r="DU55" s="744"/>
      <c r="DV55" s="744"/>
      <c r="DW55" s="8"/>
    </row>
    <row r="56" spans="1:127">
      <c r="A56" s="745" t="str">
        <f ca="1">+Equipos!B29</f>
        <v>Nueva Zelanda</v>
      </c>
      <c r="B56" s="742"/>
      <c r="C56" s="744"/>
      <c r="D56" s="744" t="str">
        <f t="shared" si="155"/>
        <v>Pendiente</v>
      </c>
      <c r="E56" s="744" t="str">
        <f t="shared" si="156"/>
        <v>-</v>
      </c>
      <c r="F56" s="744" t="str">
        <f t="shared" si="157"/>
        <v>-</v>
      </c>
      <c r="G56" s="744"/>
      <c r="H56" s="744" t="str">
        <f t="shared" si="158"/>
        <v>-</v>
      </c>
      <c r="I56" s="744" t="str">
        <f t="shared" si="159"/>
        <v>-</v>
      </c>
      <c r="J56" s="744"/>
      <c r="K56" s="744" t="str">
        <f t="shared" si="160"/>
        <v>-</v>
      </c>
      <c r="L56" s="744" t="str">
        <f t="shared" si="161"/>
        <v>-</v>
      </c>
      <c r="M56" s="744"/>
      <c r="N56" s="744" t="str">
        <f t="shared" si="162"/>
        <v>-</v>
      </c>
      <c r="O56" s="744" t="str">
        <f t="shared" si="163"/>
        <v>-</v>
      </c>
      <c r="P56" s="744"/>
      <c r="Q56" s="744" t="str">
        <f t="shared" si="164"/>
        <v>-</v>
      </c>
      <c r="R56" s="744" t="str">
        <f t="shared" si="165"/>
        <v>-</v>
      </c>
      <c r="S56" s="744"/>
      <c r="T56" s="744" t="str">
        <f t="shared" si="166"/>
        <v>-</v>
      </c>
      <c r="U56" s="744" t="str">
        <f t="shared" si="167"/>
        <v>-</v>
      </c>
      <c r="V56" s="172"/>
      <c r="W56" s="841"/>
      <c r="X56" s="189">
        <f ca="1">Horarios!C56</f>
        <v>46200.208333333336</v>
      </c>
      <c r="Y56" s="190">
        <f ca="1">Horarios!C56</f>
        <v>46200.208333333336</v>
      </c>
      <c r="Z56" s="191" t="str">
        <f>$Z$8</f>
        <v>J3</v>
      </c>
      <c r="AA56" s="192" t="str">
        <f ca="1">A54</f>
        <v>Egipto</v>
      </c>
      <c r="AB56" s="478" t="e" cm="1" vm="26">
        <f t="array" aca="1" ref="AB56" ca="1">Ver_flag_local</f>
        <v>#VALUE!</v>
      </c>
      <c r="AC56" s="193"/>
      <c r="AD56" s="194"/>
      <c r="AE56" s="483" t="e" cm="1" vm="27">
        <f t="array" aca="1" ref="AE56" ca="1">Ver_flag_visit</f>
        <v>#VALUE!</v>
      </c>
      <c r="AF56" s="195" t="str">
        <f ca="1">A55</f>
        <v>Irán</v>
      </c>
      <c r="AG56" s="413">
        <f t="shared" si="168"/>
        <v>0</v>
      </c>
      <c r="AH56" s="196">
        <v>63</v>
      </c>
      <c r="AI56" s="19" t="str">
        <f t="shared" si="173"/>
        <v>3G</v>
      </c>
      <c r="AJ56" s="221">
        <v>3</v>
      </c>
      <c r="AK56" s="486" t="e" cm="1" vm="25">
        <f t="array" aca="1" ref="AK56" ca="1">Ver_flag_visit</f>
        <v>#VALUE!</v>
      </c>
      <c r="AL56" s="222" t="str">
        <f ca="1">IFERROR(INDEX($BD$6:$BD$53,MATCH(AI56,$BN$6:$BN$53,0)),"")</f>
        <v>Bélgica</v>
      </c>
      <c r="AM56" s="223">
        <f t="shared" ca="1" si="172"/>
        <v>1</v>
      </c>
      <c r="AN56" s="224">
        <f t="shared" ca="1" si="172"/>
        <v>1</v>
      </c>
      <c r="AO56" s="224">
        <f t="shared" ca="1" si="172"/>
        <v>0</v>
      </c>
      <c r="AP56" s="224">
        <f t="shared" ca="1" si="172"/>
        <v>1</v>
      </c>
      <c r="AQ56" s="224">
        <f t="shared" ca="1" si="172"/>
        <v>0</v>
      </c>
      <c r="AR56" s="224">
        <f t="shared" ca="1" si="172"/>
        <v>1</v>
      </c>
      <c r="AS56" s="224">
        <f t="shared" ca="1" si="172"/>
        <v>1</v>
      </c>
      <c r="AT56" s="225">
        <f t="shared" ca="1" si="172"/>
        <v>0</v>
      </c>
      <c r="AU56" s="420">
        <f ca="1">INDEX($DL$6:$DL$53,MATCH(AI56,$DP$6:$DP$53,0))</f>
        <v>1</v>
      </c>
      <c r="AV56" s="217" t="str">
        <f ca="1">INDEX($BD$6:$BD$53,MATCH(AI56,$BM$6:$BM$53,0))</f>
        <v>Bélgica</v>
      </c>
      <c r="AW56" s="427"/>
      <c r="AX56" s="218"/>
      <c r="AY56" s="219" t="str">
        <f ca="1">+A55</f>
        <v>Irán</v>
      </c>
      <c r="AZ56" s="220"/>
      <c r="BA56" s="175"/>
      <c r="BB56" s="744"/>
      <c r="BC56" s="744"/>
      <c r="BD56" s="744"/>
      <c r="BE56" s="744"/>
      <c r="BF56" s="744"/>
      <c r="BG56" s="744"/>
      <c r="BH56" s="744"/>
      <c r="BI56" s="744"/>
      <c r="BJ56" s="744"/>
      <c r="BK56" s="744"/>
      <c r="BL56" s="744"/>
      <c r="BM56" s="744"/>
      <c r="BN56" s="749"/>
      <c r="BO56" s="749"/>
      <c r="BP56" s="749"/>
      <c r="BQ56" s="749"/>
      <c r="BR56" s="744"/>
      <c r="BS56" s="744"/>
      <c r="BT56" s="749"/>
      <c r="BU56" s="749"/>
      <c r="BV56" s="749"/>
      <c r="BW56" s="749"/>
      <c r="BX56" s="749"/>
      <c r="BY56" s="749"/>
      <c r="BZ56" s="749"/>
      <c r="CA56" s="749"/>
      <c r="CB56" s="749"/>
      <c r="CC56" s="749"/>
      <c r="CD56" s="749"/>
      <c r="CE56" s="749"/>
      <c r="CF56" s="749"/>
      <c r="CG56" s="749"/>
      <c r="CH56" s="749"/>
      <c r="CI56" s="749"/>
      <c r="CJ56" s="749"/>
      <c r="CK56" s="749"/>
      <c r="CL56" s="749"/>
      <c r="CM56" s="749"/>
      <c r="CN56" s="749"/>
      <c r="CO56" s="749"/>
      <c r="CP56" s="749"/>
      <c r="CQ56" s="749"/>
      <c r="CR56" s="749"/>
      <c r="CS56" s="749"/>
      <c r="CT56" s="749"/>
      <c r="CU56" s="749"/>
      <c r="CV56" s="749"/>
      <c r="CW56" s="744"/>
      <c r="CX56" s="749"/>
      <c r="CY56" s="744"/>
      <c r="CZ56" s="744"/>
      <c r="DA56" s="744"/>
      <c r="DB56" s="744"/>
      <c r="DC56" s="744"/>
      <c r="DD56" s="744"/>
      <c r="DE56" s="744"/>
      <c r="DF56" s="744"/>
      <c r="DG56" s="744"/>
      <c r="DH56" s="744"/>
      <c r="DI56" s="744"/>
      <c r="DJ56" s="744"/>
      <c r="DK56" s="744"/>
      <c r="DL56" s="744"/>
      <c r="DM56" s="744"/>
      <c r="DN56" s="744"/>
      <c r="DO56" s="744"/>
      <c r="DP56" s="744"/>
      <c r="DQ56" s="744"/>
      <c r="DR56" s="744"/>
      <c r="DS56" s="744"/>
      <c r="DT56" s="744" t="str">
        <f t="shared" ca="1" si="15"/>
        <v>Egipto-Irán</v>
      </c>
      <c r="DU56" s="744"/>
      <c r="DV56" s="744"/>
      <c r="DW56" s="8"/>
    </row>
    <row r="57" spans="1:127" ht="15" thickBot="1">
      <c r="A57" s="739"/>
      <c r="B57" s="742"/>
      <c r="C57" s="739"/>
      <c r="D57" s="744" t="str">
        <f t="shared" si="155"/>
        <v>Pendiente</v>
      </c>
      <c r="E57" s="744" t="str">
        <f t="shared" si="156"/>
        <v>-</v>
      </c>
      <c r="F57" s="744" t="str">
        <f t="shared" si="157"/>
        <v>-</v>
      </c>
      <c r="G57" s="744"/>
      <c r="H57" s="744" t="str">
        <f t="shared" si="158"/>
        <v>-</v>
      </c>
      <c r="I57" s="744" t="str">
        <f t="shared" si="159"/>
        <v>-</v>
      </c>
      <c r="J57" s="744"/>
      <c r="K57" s="744" t="str">
        <f t="shared" si="160"/>
        <v>-</v>
      </c>
      <c r="L57" s="744" t="str">
        <f t="shared" si="161"/>
        <v>-</v>
      </c>
      <c r="M57" s="744"/>
      <c r="N57" s="744" t="str">
        <f t="shared" si="162"/>
        <v>-</v>
      </c>
      <c r="O57" s="744" t="str">
        <f t="shared" si="163"/>
        <v>-</v>
      </c>
      <c r="P57" s="744"/>
      <c r="Q57" s="744" t="str">
        <f t="shared" si="164"/>
        <v>-</v>
      </c>
      <c r="R57" s="744" t="str">
        <f t="shared" si="165"/>
        <v>-</v>
      </c>
      <c r="S57" s="744"/>
      <c r="T57" s="744" t="str">
        <f t="shared" si="166"/>
        <v>-</v>
      </c>
      <c r="U57" s="744" t="str">
        <f t="shared" si="167"/>
        <v>-</v>
      </c>
      <c r="V57" s="172"/>
      <c r="W57" s="842"/>
      <c r="X57" s="228">
        <f ca="1">Horarios!C57</f>
        <v>46200.208333333336</v>
      </c>
      <c r="Y57" s="229">
        <f ca="1">Horarios!C57</f>
        <v>46200.208333333336</v>
      </c>
      <c r="Z57" s="230" t="str">
        <f>$Z$8</f>
        <v>J3</v>
      </c>
      <c r="AA57" s="231" t="str">
        <f ca="1">A56</f>
        <v>Nueva Zelanda</v>
      </c>
      <c r="AB57" s="479" t="e" cm="1" vm="28">
        <f t="array" aca="1" ref="AB57" ca="1">Ver_flag_local</f>
        <v>#VALUE!</v>
      </c>
      <c r="AC57" s="232"/>
      <c r="AD57" s="233"/>
      <c r="AE57" s="484" t="e" cm="1" vm="25">
        <f t="array" aca="1" ref="AE57" ca="1">Ver_flag_visit</f>
        <v>#VALUE!</v>
      </c>
      <c r="AF57" s="234" t="str">
        <f ca="1">A53</f>
        <v>Bélgica</v>
      </c>
      <c r="AG57" s="413">
        <f t="shared" si="168"/>
        <v>0</v>
      </c>
      <c r="AH57" s="196">
        <v>64</v>
      </c>
      <c r="AI57" s="19" t="str">
        <f t="shared" si="173"/>
        <v>4G</v>
      </c>
      <c r="AJ57" s="235">
        <v>4</v>
      </c>
      <c r="AK57" s="487" t="e" cm="1" vm="26">
        <f t="array" aca="1" ref="AK57" ca="1">Ver_flag_visit</f>
        <v>#VALUE!</v>
      </c>
      <c r="AL57" s="236" t="str">
        <f ca="1">IFERROR(INDEX($BD$6:$BD$53,MATCH(AI57,$BN$6:$BN$53,0)),"")</f>
        <v>Egipto</v>
      </c>
      <c r="AM57" s="237">
        <f t="shared" ca="1" si="172"/>
        <v>1</v>
      </c>
      <c r="AN57" s="238">
        <f t="shared" ca="1" si="172"/>
        <v>1</v>
      </c>
      <c r="AO57" s="238">
        <f t="shared" ca="1" si="172"/>
        <v>0</v>
      </c>
      <c r="AP57" s="238">
        <f t="shared" ca="1" si="172"/>
        <v>1</v>
      </c>
      <c r="AQ57" s="238">
        <f t="shared" ca="1" si="172"/>
        <v>0</v>
      </c>
      <c r="AR57" s="238">
        <f t="shared" ca="1" si="172"/>
        <v>1</v>
      </c>
      <c r="AS57" s="238">
        <f t="shared" ca="1" si="172"/>
        <v>1</v>
      </c>
      <c r="AT57" s="239">
        <f t="shared" ca="1" si="172"/>
        <v>0</v>
      </c>
      <c r="AU57" s="420">
        <f ca="1">INDEX($DL$6:$DL$53,MATCH(AI57,$DP$6:$DP$53,0))</f>
        <v>1</v>
      </c>
      <c r="AV57" s="217" t="str">
        <f ca="1">INDEX($BD$6:$BD$53,MATCH(AI57,$BM$6:$BM$53,0))</f>
        <v>Egipto</v>
      </c>
      <c r="AW57" s="427"/>
      <c r="AX57" s="218"/>
      <c r="AY57" s="240" t="str">
        <f ca="1">+A56</f>
        <v>Nueva Zelanda</v>
      </c>
      <c r="AZ57" s="241"/>
      <c r="BA57" s="175"/>
      <c r="BB57" s="744">
        <f>IFERROR(IF($AJ$99=144,INDEX(Idiomas!$C$75:$C$77,MATCH(WORLDCUP!$AL$116,Idiomas!$D$75:$D$77,0)),1),1)</f>
        <v>1</v>
      </c>
      <c r="BC57" s="752" t="str">
        <f t="shared" ref="BC57:BN57" si="174">+BC5</f>
        <v>Grupo</v>
      </c>
      <c r="BD57" s="752" t="str">
        <f t="shared" si="174"/>
        <v>Selección</v>
      </c>
      <c r="BE57" s="752" t="str">
        <f t="shared" si="174"/>
        <v>Pts</v>
      </c>
      <c r="BF57" s="752" t="str">
        <f t="shared" si="174"/>
        <v>J</v>
      </c>
      <c r="BG57" s="752" t="str">
        <f t="shared" si="174"/>
        <v>G</v>
      </c>
      <c r="BH57" s="752" t="str">
        <f t="shared" si="174"/>
        <v>E</v>
      </c>
      <c r="BI57" s="752" t="str">
        <f t="shared" si="174"/>
        <v>P</v>
      </c>
      <c r="BJ57" s="752" t="str">
        <f t="shared" si="174"/>
        <v>GF</v>
      </c>
      <c r="BK57" s="752" t="str">
        <f t="shared" si="174"/>
        <v>GC</v>
      </c>
      <c r="BL57" s="752" t="str">
        <f t="shared" si="174"/>
        <v>DG</v>
      </c>
      <c r="BM57" s="752" t="str">
        <f t="shared" si="174"/>
        <v>PosF1</v>
      </c>
      <c r="BN57" s="752" t="str">
        <f t="shared" si="174"/>
        <v>PosF3</v>
      </c>
      <c r="BO57" s="749"/>
      <c r="BP57" s="749"/>
      <c r="BQ57" s="749"/>
      <c r="BR57" s="753" t="s">
        <v>614</v>
      </c>
      <c r="BS57" s="753" t="s">
        <v>617</v>
      </c>
      <c r="BT57" s="753" t="s">
        <v>615</v>
      </c>
      <c r="BU57" s="753" t="s">
        <v>66</v>
      </c>
      <c r="BV57" s="753" t="s">
        <v>618</v>
      </c>
      <c r="BW57" s="753" t="s">
        <v>616</v>
      </c>
      <c r="BX57" s="753" t="s">
        <v>8</v>
      </c>
      <c r="BY57" s="753" t="s">
        <v>619</v>
      </c>
      <c r="BZ57" s="753" t="s">
        <v>620</v>
      </c>
      <c r="CA57" s="754" t="s">
        <v>627</v>
      </c>
      <c r="CB57" s="754" t="s">
        <v>628</v>
      </c>
      <c r="CC57" s="755"/>
      <c r="CD57" s="754" t="s">
        <v>629</v>
      </c>
      <c r="CE57" s="754" t="s">
        <v>630</v>
      </c>
      <c r="CF57" s="754" t="s">
        <v>631</v>
      </c>
      <c r="CG57" s="744"/>
      <c r="CH57" s="744"/>
      <c r="CI57" s="744"/>
      <c r="CJ57" s="744"/>
      <c r="CK57" s="744"/>
      <c r="CL57" s="744"/>
      <c r="CM57" s="744"/>
      <c r="CN57" s="744"/>
      <c r="CO57" s="744"/>
      <c r="CP57" s="744"/>
      <c r="CQ57" s="744"/>
      <c r="CR57" s="744"/>
      <c r="CS57" s="744"/>
      <c r="CT57" s="744"/>
      <c r="CU57" s="744"/>
      <c r="CV57" s="744"/>
      <c r="CW57" s="744"/>
      <c r="CX57" s="744"/>
      <c r="CY57" s="744"/>
      <c r="CZ57" s="744"/>
      <c r="DA57" s="744"/>
      <c r="DB57" s="744"/>
      <c r="DC57" s="744"/>
      <c r="DD57" s="744"/>
      <c r="DE57" s="744"/>
      <c r="DF57" s="744"/>
      <c r="DG57" s="744"/>
      <c r="DH57" s="744"/>
      <c r="DI57" s="744"/>
      <c r="DJ57" s="746" t="s">
        <v>652</v>
      </c>
      <c r="DK57" s="746"/>
      <c r="DL57" s="746" t="s">
        <v>653</v>
      </c>
      <c r="DM57" s="746" t="s">
        <v>654</v>
      </c>
      <c r="DN57" s="746" t="s">
        <v>655</v>
      </c>
      <c r="DO57" s="746"/>
      <c r="DP57" s="746" t="s">
        <v>762</v>
      </c>
      <c r="DQ57" s="746" t="s">
        <v>763</v>
      </c>
      <c r="DR57" s="744"/>
      <c r="DS57" s="744"/>
      <c r="DT57" s="744" t="str">
        <f t="shared" ca="1" si="15"/>
        <v>Nueva Zelanda-Bélgica</v>
      </c>
      <c r="DU57" s="744"/>
      <c r="DV57" s="744"/>
      <c r="DW57" s="8"/>
    </row>
    <row r="58" spans="1:127" ht="15.75" customHeight="1" thickBot="1">
      <c r="A58" s="739"/>
      <c r="B58" s="742"/>
      <c r="C58" s="739"/>
      <c r="D58" s="744"/>
      <c r="E58" s="744"/>
      <c r="F58" s="744"/>
      <c r="G58" s="744"/>
      <c r="H58" s="744"/>
      <c r="I58" s="744"/>
      <c r="J58" s="744"/>
      <c r="K58" s="744"/>
      <c r="L58" s="744"/>
      <c r="M58" s="744"/>
      <c r="N58" s="744"/>
      <c r="O58" s="744"/>
      <c r="P58" s="744"/>
      <c r="Q58" s="744"/>
      <c r="R58" s="744"/>
      <c r="S58" s="744"/>
      <c r="T58" s="744"/>
      <c r="U58" s="744"/>
      <c r="V58" s="172"/>
      <c r="W58" s="242"/>
      <c r="X58" s="243"/>
      <c r="Y58" s="242"/>
      <c r="Z58" s="244"/>
      <c r="AA58" s="245"/>
      <c r="AB58" s="482"/>
      <c r="AC58" s="247"/>
      <c r="AD58" s="247"/>
      <c r="AE58" s="482"/>
      <c r="AF58" s="248"/>
      <c r="AG58" s="415"/>
      <c r="AH58" s="196"/>
      <c r="AI58" s="19"/>
      <c r="AJ58" s="249"/>
      <c r="AK58" s="250"/>
      <c r="AL58" s="186"/>
      <c r="AM58" s="251"/>
      <c r="AN58" s="249"/>
      <c r="AO58" s="249"/>
      <c r="AP58" s="249"/>
      <c r="AQ58" s="249"/>
      <c r="AR58" s="249"/>
      <c r="AS58" s="249"/>
      <c r="AT58" s="249"/>
      <c r="AU58" s="420"/>
      <c r="AV58" s="216"/>
      <c r="AW58" s="428"/>
      <c r="AX58" s="218"/>
      <c r="AY58" s="242"/>
      <c r="AZ58" s="243"/>
      <c r="BA58" s="175"/>
      <c r="BB58" s="759" t="str">
        <f>3&amp;BC58</f>
        <v>3A</v>
      </c>
      <c r="BC58" s="756" t="s">
        <v>0</v>
      </c>
      <c r="BD58" s="744" t="str">
        <f t="shared" ref="BD58:BD69" ca="1" si="175">+INDEX($BD$6:$BN$53,MATCH($BB58,$BN$6:$BN$53,0),MATCH(BD$57,$BD$5:$BN$5,0))</f>
        <v>República Checa</v>
      </c>
      <c r="BE58" s="748">
        <f ca="1">CHOOSE($BB$57,
  (BG58*3 + BH58)+IF($AZ$3="No",0,INDEX($AZ$6:$AZ$97,MATCH(BD58,$AY$6:$AY$97,0))),
  (BG58*3 + BH58)+IF($AZ$3="No",0,INDEX($AZ$6:$AZ$97,MATCH(BD58,$AY$6:$AY$97,0))),
  IFERROR((BG58*3 + BH58+IF($AZ$3="No",0,INDEX($AZ$6:$AZ$97,MATCH(BD58,$AY$6:$AY$97,0)))) / BF58, 0)
)</f>
        <v>1</v>
      </c>
      <c r="BF58" s="748">
        <f ca="1">+BG58+BH58+BI58</f>
        <v>2</v>
      </c>
      <c r="BG58" s="748">
        <f ca="1">CHOOSE(IF($BB$57=2, 2, 1),INDEX($BG$6:$BG$53,MATCH($BB58,$BN$6:$BN$53,0)),
  INDEX($BG$6:$BG$53,MATCH($BB58,$BN$6:$BN$53,0))-(COUNTIFS(FGLocal,$BD58,FGVisitante,INDEX($BD$6:$BD$53,MATCH(BO58,$BN$6:$BN$53,0)),Ganador,"Local")+COUNTIFS(FGVisitante,$BD58,FGLocal,INDEX($BD$6:$BD$53,MATCH(BO58,$BN$6:$BN$53,0)),Ganador,"Visitante"))
)</f>
        <v>0</v>
      </c>
      <c r="BH58" s="748">
        <f ca="1">CHOOSE(IF($BB$57=2, 2, 1),  INDEX($BH$6:$BH$53,MATCH($BB58,$BN$6:$BN$53,0)),
  INDEX($BH$6:$BH$53,MATCH($BB58,$BN$6:$BN$53,0))-(COUNTIFS(FGLocal,$BD58,FGVisitante,INDEX($BD$6:$BD$53,MATCH(BO58,$BN$6:$BN$53,0)),Ganador,"Empate")+COUNTIFS(FGVisitante,$BD58,FGLocal,INDEX($BD$6:$BD$53,MATCH(BO58,$BN$6:$BN$53,0)),Ganador,"Empate"))
)</f>
        <v>1</v>
      </c>
      <c r="BI58" s="748">
        <f t="shared" ref="BI58:BI69" ca="1" si="176">CHOOSE(IF($BB$57=2, 2, 1),
  INDEX($BI$6:$BI$53,MATCH($BB58,$BN$6:$BN$53,0)),
  INDEX($BI$6:$BI$53,MATCH($BB58,$BN$6:$BN$53,0))-(COUNTIFS(FGLocal,$BD58,FGVisitante,INDEX($BD$6:$BD$53,MATCH(BO58,$BN$6:$BN$53,0)),Ganador,"Visitante")+COUNTIFS(FGVisitante,$BD58,FGLocal,INDEX($BD$6:$BD$53,MATCH(BO58,$BN$6:$BN$53,0)),Ganador,"Local"))
)</f>
        <v>1</v>
      </c>
      <c r="BJ58" s="748">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2</v>
      </c>
      <c r="BK58" s="748">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3</v>
      </c>
      <c r="BL58" s="748">
        <f ca="1">BJ58-BK58</f>
        <v>-1</v>
      </c>
      <c r="BM58" s="748">
        <f ca="1">CB58</f>
        <v>7</v>
      </c>
      <c r="BN58" s="748">
        <f ca="1">CF58</f>
        <v>7</v>
      </c>
      <c r="BO58" s="738" t="str">
        <f>"4"&amp;BC58</f>
        <v>4A</v>
      </c>
      <c r="BP58" s="738"/>
      <c r="BQ58" s="738"/>
      <c r="BR58" s="748">
        <f t="shared" ref="BR58:BR69" ca="1" si="179">+BE58</f>
        <v>1</v>
      </c>
      <c r="BS58" s="748">
        <f ca="1">COUNTIFS(BR$58:BR$69,"&gt;"&amp;BR58)+1</f>
        <v>3</v>
      </c>
      <c r="BT58" s="748" t="str">
        <f ca="1">IF(COUNTIF(BS$58:BS$69,BS58)=1,"-","Pos. "&amp;BS58&amp;" ("&amp;COUNTIF(BS$58:BS$69,BS58)&amp;")")</f>
        <v>Pos. 3 (6)</v>
      </c>
      <c r="BU58" s="748">
        <f t="shared" ref="BU58:BU69" ca="1" si="180">IF(BT58="-","-",BL58)</f>
        <v>-1</v>
      </c>
      <c r="BV58" s="748">
        <f t="shared" ref="BV58:BV69" ca="1" si="181">BS58+COUNTIFS(BT$58:BT$69,BT58,BU$58:BU$69,"&gt;"&amp;BU58)</f>
        <v>7</v>
      </c>
      <c r="BW58" s="748" t="str">
        <f t="shared" ref="BW58:BW69" ca="1" si="182">IF(COUNTIF(BV$58:BV$69,BV58)=1,"-","Pos. "&amp;BV58&amp;" ("&amp;COUNTIF(BV$58:BV$69,BV58)&amp;")")</f>
        <v>-</v>
      </c>
      <c r="BX58" s="748" t="str">
        <f t="shared" ref="BX58:BX69" ca="1" si="183">IF(BW58="-","-",BJ58)</f>
        <v>-</v>
      </c>
      <c r="BY58" s="748">
        <f t="shared" ref="BY58:BY69" ca="1" si="184">BV58+COUNTIFS(BW$58:BW$69,BW58,BX$58:BX$69,"&gt;"&amp;BX58)</f>
        <v>7</v>
      </c>
      <c r="BZ58" s="748" t="str">
        <f t="shared" ref="BZ58:BZ69" ca="1" si="185">IF(COUNTIF(BY$58:BY$69,BY58)=1,"-","Pos. "&amp;BY58&amp;" ("&amp;COUNTIF(BY$58:BY$69,BY58)&amp;")")</f>
        <v>-</v>
      </c>
      <c r="CA58" s="748" t="str">
        <f ca="1">IF(BZ58="-","-",COUNTIF($BD$58:$BD$69,"&gt;"&amp;BD58))</f>
        <v>-</v>
      </c>
      <c r="CB58" s="748">
        <f ca="1">BY58+COUNTIFS(BZ$58:BZ$69,BZ58,CA$58:CA$69,"&gt;"&amp;CA58)</f>
        <v>7</v>
      </c>
      <c r="CC58" s="748"/>
      <c r="CD58" s="748">
        <f ca="1">IF(OR(INDEX($AW$102:$AW$113,MATCH($BD58,$AV$102:$AV$113,0))="",BZ58="-"),CB58,INDEX($AW$102:$AW$113,MATCH($BD58,$AV$102:$AV$113,0))+CB58/1000)</f>
        <v>7</v>
      </c>
      <c r="CE58" s="748" t="str">
        <f ca="1">IF(BZ58="-","-",COUNTIF(CD$58:CD$69,"&lt;"&amp;CD58))</f>
        <v>-</v>
      </c>
      <c r="CF58" s="748">
        <f ca="1">BY58+COUNTIFS(BZ$58:BZ$69,BZ58,CE$58:CE$69,"&lt;"&amp;CE58)</f>
        <v>7</v>
      </c>
      <c r="CG58" s="748"/>
      <c r="CH58" s="748"/>
      <c r="CI58" s="748"/>
      <c r="CJ58" s="748"/>
      <c r="CK58" s="748"/>
      <c r="CL58" s="748"/>
      <c r="CM58" s="748"/>
      <c r="CN58" s="748"/>
      <c r="CO58" s="748"/>
      <c r="CP58" s="748"/>
      <c r="CQ58" s="748"/>
      <c r="CR58" s="748"/>
      <c r="CS58" s="748"/>
      <c r="CT58" s="748"/>
      <c r="CU58" s="748"/>
      <c r="CV58" s="748"/>
      <c r="CW58" s="744"/>
      <c r="CX58" s="744"/>
      <c r="CY58" s="744"/>
      <c r="CZ58" s="744"/>
      <c r="DA58" s="744"/>
      <c r="DB58" s="744"/>
      <c r="DC58" s="744"/>
      <c r="DD58" s="744"/>
      <c r="DE58" s="744"/>
      <c r="DF58" s="744"/>
      <c r="DG58" s="744"/>
      <c r="DH58" s="744"/>
      <c r="DI58" s="744"/>
      <c r="DJ58" s="744">
        <f t="shared" ref="DJ58:DJ69" ca="1" si="186">INDEX($BY$58:$BY$69,MATCH($DQ58,$BD$58:$BD$69,0))</f>
        <v>1</v>
      </c>
      <c r="DK58" s="744"/>
      <c r="DL58" s="744">
        <f ca="1">IF(OR($H$113=144,$AJ$99=144),COUNTIF($DJ$58:$DJ$69,DJ58),1)</f>
        <v>1</v>
      </c>
      <c r="DM58" s="738" t="str">
        <f t="shared" ref="DM58:DM69" ca="1" si="187">DJ58&amp;"."&amp;DL58</f>
        <v>1.1</v>
      </c>
      <c r="DN58" s="744" cm="1">
        <f t="array" aca="1" ref="DN58" ca="1">OFFSET(Horarios!$P$3,DJ58-1,0,DL58,1)</f>
        <v>1</v>
      </c>
      <c r="DO58" s="744"/>
      <c r="DP58" s="744">
        <v>1</v>
      </c>
      <c r="DQ58" s="744" t="str">
        <f ca="1">INDEX($BD$58:$BD$69,MATCH(DP58,$BM$58:$BM$69,0))</f>
        <v>Escocia</v>
      </c>
      <c r="DR58" s="744"/>
      <c r="DS58" s="744"/>
      <c r="DT58" s="744" t="str">
        <f t="shared" si="15"/>
        <v>-</v>
      </c>
      <c r="DU58" s="744"/>
      <c r="DV58" s="744"/>
      <c r="DW58" s="8"/>
    </row>
    <row r="59" spans="1:127" ht="15" thickBot="1">
      <c r="A59" s="739"/>
      <c r="B59" s="742"/>
      <c r="C59" s="739"/>
      <c r="D59" s="739"/>
      <c r="E59" s="739"/>
      <c r="F59" s="739"/>
      <c r="G59" s="739"/>
      <c r="H59" s="739"/>
      <c r="I59" s="739"/>
      <c r="J59" s="739"/>
      <c r="K59" s="739"/>
      <c r="L59" s="739"/>
      <c r="M59" s="739"/>
      <c r="N59" s="744"/>
      <c r="O59" s="744"/>
      <c r="P59" s="744"/>
      <c r="Q59" s="744"/>
      <c r="R59" s="744"/>
      <c r="S59" s="744"/>
      <c r="T59" s="744"/>
      <c r="U59" s="744"/>
      <c r="V59" s="172"/>
      <c r="W59" s="179"/>
      <c r="X59" s="180" t="str">
        <f>X3</f>
        <v>Fecha</v>
      </c>
      <c r="Y59" s="180" t="str">
        <f>Y3</f>
        <v>Hora</v>
      </c>
      <c r="Z59" s="181" t="str">
        <f>Z3</f>
        <v>Jor.</v>
      </c>
      <c r="AA59" s="182" t="str">
        <f>AA3</f>
        <v>Casa</v>
      </c>
      <c r="AB59" s="181"/>
      <c r="AC59" s="181" t="str">
        <f>AC3</f>
        <v>Gol</v>
      </c>
      <c r="AD59" s="181" t="str">
        <f>AD3</f>
        <v>Gol</v>
      </c>
      <c r="AE59" s="181"/>
      <c r="AF59" s="184" t="str">
        <f>AF3</f>
        <v>Fuera</v>
      </c>
      <c r="AG59" s="414"/>
      <c r="AH59" s="196"/>
      <c r="AI59" s="18"/>
      <c r="AJ59" s="186"/>
      <c r="AK59" s="252"/>
      <c r="AL59" s="186"/>
      <c r="AM59" s="186"/>
      <c r="AN59" s="186"/>
      <c r="AO59" s="186"/>
      <c r="AP59" s="186"/>
      <c r="AQ59" s="186"/>
      <c r="AR59" s="186"/>
      <c r="AS59" s="186"/>
      <c r="AT59" s="186"/>
      <c r="AU59" s="421"/>
      <c r="AV59" s="22"/>
      <c r="AW59" s="429"/>
      <c r="AX59" s="253"/>
      <c r="AY59" s="242"/>
      <c r="AZ59" s="243"/>
      <c r="BA59" s="175"/>
      <c r="BB59" s="759" t="str">
        <f t="shared" ref="BB59:BB69" si="188">"3"&amp;BC59</f>
        <v>3B</v>
      </c>
      <c r="BC59" s="756" t="s">
        <v>1</v>
      </c>
      <c r="BD59" s="744" t="str">
        <f t="shared" ca="1" si="175"/>
        <v>Bosnia y Herzegovina</v>
      </c>
      <c r="BE59" s="748">
        <f t="shared" ref="BE59:BE69" ca="1" si="189">CHOOSE($BB$57,
  (BG59*3 + BH59)+IF($AZ$3="No",0,INDEX($AZ$6:$AZ$97,MATCH(BD59,$AY$6:$AY$97,0))),
  (BG59*3 + BH59)+IF($AZ$3="No",0,INDEX($AZ$6:$AZ$97,MATCH(BD59,$AY$6:$AY$97,0))),
  IFERROR((BG59*3 + BH59+IF($AZ$3="No",0,INDEX($AZ$6:$AZ$97,MATCH(BD59,$AY$6:$AY$97,0)))) / BF59, 0)
)</f>
        <v>1</v>
      </c>
      <c r="BF59" s="748">
        <f t="shared" ref="BF59:BF69" ca="1" si="190">+BG59+BH59+BI59</f>
        <v>2</v>
      </c>
      <c r="BG59" s="748">
        <f t="shared" ref="BG59:BG69" ca="1" si="191">CHOOSE(IF($BB$57=2, 2, 1),
  INDEX($BG$6:$BG$53,MATCH($BB59,$BN$6:$BN$53,0)),
  INDEX($BG$6:$BG$53,MATCH($BB59,$BN$6:$BN$53,0))-(COUNTIFS(FGLocal,$BD59,FGVisitante,INDEX($BD$6:$BD$53,MATCH(BO59,$BN$6:$BN$53,0)),Ganador,"Local")+COUNTIFS(FGVisitante,$BD59,FGLocal,INDEX($BD$6:$BD$53,MATCH(BO59,$BN$6:$BN$53,0)),Ganador,"Visitante"))
)</f>
        <v>0</v>
      </c>
      <c r="BH59" s="748">
        <f t="shared" ref="BH59:BH69" ca="1" si="192">CHOOSE(IF($BB$57=2, 2, 1),
  INDEX($BH$6:$BH$53,MATCH($BB59,$BN$6:$BN$53,0)),
  INDEX($BH$6:$BH$53,MATCH($BB59,$BN$6:$BN$53,0))-(COUNTIFS(FGLocal,$BD59,FGVisitante,INDEX($BD$6:$BD$53,MATCH(BO59,$BN$6:$BN$53,0)),Ganador,"Empate")+COUNTIFS(FGVisitante,$BD59,FGLocal,INDEX($BD$6:$BD$53,MATCH(BO59,$BN$6:$BN$53,0)),Ganador,"Empate"))
)</f>
        <v>1</v>
      </c>
      <c r="BI59" s="748">
        <f t="shared" ca="1" si="176"/>
        <v>1</v>
      </c>
      <c r="BJ59" s="748">
        <f t="shared" ca="1" si="177"/>
        <v>2</v>
      </c>
      <c r="BK59" s="748">
        <f t="shared" ca="1" si="178"/>
        <v>5</v>
      </c>
      <c r="BL59" s="748">
        <f t="shared" ref="BL59:BL69" ca="1" si="193">BJ59-BK59</f>
        <v>-3</v>
      </c>
      <c r="BM59" s="748">
        <f t="shared" ref="BM59:BM69" ca="1" si="194">CB59</f>
        <v>8</v>
      </c>
      <c r="BN59" s="748">
        <f t="shared" ref="BN59:BN69" ca="1" si="195">CF59</f>
        <v>8</v>
      </c>
      <c r="BO59" s="738" t="str">
        <f t="shared" ref="BO59:BO69" si="196">"4"&amp;BC59</f>
        <v>4B</v>
      </c>
      <c r="BP59" s="738"/>
      <c r="BQ59" s="738"/>
      <c r="BR59" s="748">
        <f t="shared" ca="1" si="179"/>
        <v>1</v>
      </c>
      <c r="BS59" s="748">
        <f t="shared" ref="BS59:BS69" ca="1" si="197">COUNTIFS(BR$58:BR$69,"&gt;"&amp;BR59)+1</f>
        <v>3</v>
      </c>
      <c r="BT59" s="748" t="str">
        <f t="shared" ref="BT59:BT69" ca="1" si="198">IF(COUNTIF(BS$58:BS$69,BS59)=1,"-","Pos. "&amp;BS59&amp;" ("&amp;COUNTIF(BS$58:BS$69,BS59)&amp;")")</f>
        <v>Pos. 3 (6)</v>
      </c>
      <c r="BU59" s="748">
        <f t="shared" ca="1" si="180"/>
        <v>-3</v>
      </c>
      <c r="BV59" s="748">
        <f t="shared" ca="1" si="181"/>
        <v>8</v>
      </c>
      <c r="BW59" s="748" t="str">
        <f t="shared" ca="1" si="182"/>
        <v>-</v>
      </c>
      <c r="BX59" s="748" t="str">
        <f t="shared" ca="1" si="183"/>
        <v>-</v>
      </c>
      <c r="BY59" s="748">
        <f t="shared" ca="1" si="184"/>
        <v>8</v>
      </c>
      <c r="BZ59" s="748" t="str">
        <f t="shared" ca="1" si="185"/>
        <v>-</v>
      </c>
      <c r="CA59" s="748" t="str">
        <f t="shared" ref="CA59:CA69" ca="1" si="199">IF(BZ59="-","-",COUNTIF($BD$58:$BD$69,"&gt;"&amp;BD59))</f>
        <v>-</v>
      </c>
      <c r="CB59" s="748">
        <f t="shared" ref="CB59:CB68" ca="1" si="200">BY59+COUNTIFS(BZ$58:BZ$69,BZ59,CA$58:CA$69,"&gt;"&amp;CA59)</f>
        <v>8</v>
      </c>
      <c r="CC59" s="748"/>
      <c r="CD59" s="748">
        <f t="shared" ref="CD59:CD69" ca="1" si="201">IF(OR(INDEX($AW$102:$AW$113,MATCH($BD59,$AV$102:$AV$113,0))="",BZ59="-"),CB59,INDEX($AW$102:$AW$113,MATCH($BD59,$AV$102:$AV$113,0))+CB59/1000)</f>
        <v>8</v>
      </c>
      <c r="CE59" s="748" t="str">
        <f t="shared" ref="CE59:CE69" ca="1" si="202">IF(BZ59="-","-",COUNTIF(CD$58:CD$69,"&lt;"&amp;CD59))</f>
        <v>-</v>
      </c>
      <c r="CF59" s="748">
        <f t="shared" ref="CF59:CF69" ca="1" si="203">BY59+COUNTIFS(BZ$58:BZ$69,BZ59,CE$58:CE$69,"&lt;"&amp;CE59)</f>
        <v>8</v>
      </c>
      <c r="CG59" s="748"/>
      <c r="CH59" s="748"/>
      <c r="CI59" s="748"/>
      <c r="CJ59" s="748"/>
      <c r="CK59" s="748"/>
      <c r="CL59" s="748"/>
      <c r="CM59" s="748"/>
      <c r="CN59" s="748"/>
      <c r="CO59" s="748"/>
      <c r="CP59" s="748"/>
      <c r="CQ59" s="748"/>
      <c r="CR59" s="748"/>
      <c r="CS59" s="748"/>
      <c r="CT59" s="748"/>
      <c r="CU59" s="748"/>
      <c r="CV59" s="748"/>
      <c r="CW59" s="744"/>
      <c r="CX59" s="744"/>
      <c r="CY59" s="744"/>
      <c r="CZ59" s="744"/>
      <c r="DA59" s="744"/>
      <c r="DB59" s="744"/>
      <c r="DC59" s="744"/>
      <c r="DD59" s="744"/>
      <c r="DE59" s="744"/>
      <c r="DF59" s="744"/>
      <c r="DG59" s="744"/>
      <c r="DH59" s="744"/>
      <c r="DI59" s="744"/>
      <c r="DJ59" s="744">
        <f t="shared" ca="1" si="186"/>
        <v>2</v>
      </c>
      <c r="DK59" s="744"/>
      <c r="DL59" s="744">
        <f t="shared" ref="DL59:DL69" ca="1" si="204">IF(OR($H$113=144,$AJ$99=144),COUNTIF($DJ$58:$DJ$69,DJ59),1)</f>
        <v>1</v>
      </c>
      <c r="DM59" s="738" t="str">
        <f t="shared" ca="1" si="187"/>
        <v>2.1</v>
      </c>
      <c r="DN59" s="744" cm="1">
        <f t="array" aca="1" ref="DN59" ca="1">OFFSET(Horarios!$P$3,DJ59-1,0,DL59,1)</f>
        <v>2</v>
      </c>
      <c r="DO59" s="744"/>
      <c r="DP59" s="744">
        <v>2</v>
      </c>
      <c r="DQ59" s="744" t="str">
        <f t="shared" ref="DQ59:DQ69" ca="1" si="205">INDEX($BD$58:$BD$69,MATCH(DP59,$BM$58:$BM$69,0))</f>
        <v>Paraguay</v>
      </c>
      <c r="DR59" s="744"/>
      <c r="DS59" s="744"/>
      <c r="DT59" s="744" t="str">
        <f t="shared" si="15"/>
        <v>Casa-Fuera</v>
      </c>
      <c r="DU59" s="744"/>
      <c r="DV59" s="744"/>
      <c r="DW59" s="8"/>
    </row>
    <row r="60" spans="1:127" ht="15" customHeight="1" thickBot="1">
      <c r="A60" s="741" t="s">
        <v>30</v>
      </c>
      <c r="B60" s="742" t="s">
        <v>437</v>
      </c>
      <c r="C60" s="743">
        <f>COUNTIF(Equipos!$C$2:$C$49,WORLDCUP!B60)</f>
        <v>4</v>
      </c>
      <c r="D60" s="744" t="str">
        <f t="shared" ref="D60:D65" si="206">IF(OR(AC60="",AD60=""),"Pendiente",IF(AC60&gt;AD60,"Local",IF(AC60&lt;AD60,"Visitante","Empate")))</f>
        <v>Empate</v>
      </c>
      <c r="E60" s="744" t="str">
        <f t="shared" ref="E60:E65" ca="1" si="207">IF(D60="Pendiente","-",INDEX($BT$6:$BT$53,MATCH($AA60,$BD$6:$BD$53,0)))</f>
        <v>P.1 (4)</v>
      </c>
      <c r="F60" s="744" t="str">
        <f t="shared" ref="F60:F65" ca="1" si="208">IF(D60="Pendiente","-",INDEX($BT$6:$BT$53,MATCH($AF60,$BD$6:$BD$53,0)))</f>
        <v>P.1 (4)</v>
      </c>
      <c r="G60" s="744"/>
      <c r="H60" s="744" t="str">
        <f t="shared" ref="H60:H65" ca="1" si="209">IF(D60="Pendiente","-",INDEX($BZ$6:$BZ$53,MATCH($AA60,$BD$6:$BD$53,0)))</f>
        <v>P.1 (4)</v>
      </c>
      <c r="I60" s="744" t="str">
        <f t="shared" ref="I60:I65" ca="1" si="210">IF(D60="Pendiente","-",INDEX($BZ$6:$BZ$53,MATCH($AF60,$BD$6:$BD$53,0)))</f>
        <v>P.1 (4)</v>
      </c>
      <c r="J60" s="744"/>
      <c r="K60" s="744" t="str">
        <f t="shared" ref="K60:K65" ca="1" si="211">IF(D60="Pendiente","-",INDEX($CE$6:$CE$53,MATCH($AA60,$BD$6:$BD$53,0)))</f>
        <v>P.1 (4)</v>
      </c>
      <c r="L60" s="744" t="str">
        <f t="shared" ref="L60:L65" ca="1" si="212">IF(D60="Pendiente","-",INDEX($CE$6:$CE$53,MATCH($AF60,$BD$6:$BD$53,0)))</f>
        <v>P.1 (4)</v>
      </c>
      <c r="M60" s="744"/>
      <c r="N60" s="744" t="str">
        <f t="shared" ref="N60:N65" ca="1" si="213">IF(D60="Pendiente","-",INDEX($CH$6:$CH$53,MATCH($AA60,$BD$6:$BD$53,0)))</f>
        <v>P.3 (2)</v>
      </c>
      <c r="O60" s="744" t="str">
        <f t="shared" ref="O60:O65" ca="1" si="214">IF(D60="Pendiente","-",INDEX($CH$6:$CH$53,MATCH($AF60,$BD$6:$BD$53,0)))</f>
        <v>P.3 (2)</v>
      </c>
      <c r="P60" s="744"/>
      <c r="Q60" s="744" t="str">
        <f t="shared" ref="Q60:Q65" ca="1" si="215">IF(D60="Pendiente","-",INDEX($CN$6:$CN$53,MATCH($AA60,$BD$6:$BD$53,0)))</f>
        <v>P.3 (2)</v>
      </c>
      <c r="R60" s="744" t="str">
        <f t="shared" ref="R60:R65" ca="1" si="216">IF(D60="Pendiente","-",INDEX($CN$6:$CN$53,MATCH($AF60,$BD$6:$BD$53,0)))</f>
        <v>P.3 (2)</v>
      </c>
      <c r="S60" s="744"/>
      <c r="T60" s="744" t="str">
        <f t="shared" ref="T60:T65" ca="1" si="217">IF(D60="Pendiente","-",INDEX($CS$6:$CS$53,MATCH($AA60,$BD$6:$BD$53,0)))</f>
        <v>P.3 (2)</v>
      </c>
      <c r="U60" s="744" t="str">
        <f t="shared" ref="U60:U65" ca="1" si="218">IF(D60="Pendiente","-",INDEX($CS$6:$CS$53,MATCH($AF60,$BD$6:$BD$53,0)))</f>
        <v>P.3 (2)</v>
      </c>
      <c r="V60" s="172"/>
      <c r="W60" s="823" t="s">
        <v>437</v>
      </c>
      <c r="X60" s="189">
        <f ca="1">Horarios!C60</f>
        <v>46188.75</v>
      </c>
      <c r="Y60" s="190">
        <f ca="1">Horarios!C60</f>
        <v>46188.75</v>
      </c>
      <c r="Z60" s="191" t="str">
        <f>$Z$4</f>
        <v>J1</v>
      </c>
      <c r="AA60" s="192" t="str">
        <f ca="1">A61</f>
        <v>España</v>
      </c>
      <c r="AB60" s="478" t="e" cm="1" vm="29">
        <f t="array" aca="1" ref="AB60" ca="1">Ver_flag_local</f>
        <v>#VALUE!</v>
      </c>
      <c r="AC60" s="193">
        <v>0</v>
      </c>
      <c r="AD60" s="194">
        <v>0</v>
      </c>
      <c r="AE60" s="483" t="e" cm="1" vm="30">
        <f t="array" aca="1" ref="AE60" ca="1">Ver_flag_visit</f>
        <v>#VALUE!</v>
      </c>
      <c r="AF60" s="195" t="str">
        <f ca="1">A62</f>
        <v>Cabo Verde</v>
      </c>
      <c r="AG60" s="413">
        <f t="shared" ref="AG60:AG65" si="219">IF(NOT(OR(ISBLANK(AC60),ISBLANK(AD60))),1,0)</f>
        <v>1</v>
      </c>
      <c r="AH60" s="196">
        <v>14</v>
      </c>
      <c r="AI60" s="19"/>
      <c r="AJ60" s="197" t="str">
        <f>CONCATENATE(AJ3," ",B60)</f>
        <v>Grupo H</v>
      </c>
      <c r="AK60" s="198"/>
      <c r="AL60" s="198"/>
      <c r="AM60" s="198"/>
      <c r="AN60" s="198"/>
      <c r="AO60" s="198"/>
      <c r="AP60" s="198"/>
      <c r="AQ60" s="198"/>
      <c r="AR60" s="198"/>
      <c r="AS60" s="198"/>
      <c r="AT60" s="199"/>
      <c r="AU60" s="421"/>
      <c r="AV60" s="200" t="str">
        <f t="shared" ref="AV60" ca="1" si="220">IF(AU61&gt;0,$AV$3,"")</f>
        <v/>
      </c>
      <c r="AW60" s="208"/>
      <c r="AX60" s="255"/>
      <c r="AY60" s="242"/>
      <c r="AZ60" s="243"/>
      <c r="BA60" s="175"/>
      <c r="BB60" s="759" t="str">
        <f t="shared" si="188"/>
        <v>3C</v>
      </c>
      <c r="BC60" s="756" t="s">
        <v>2</v>
      </c>
      <c r="BD60" s="744" t="str">
        <f t="shared" ca="1" si="175"/>
        <v>Escocia</v>
      </c>
      <c r="BE60" s="748">
        <f t="shared" ca="1" si="189"/>
        <v>3</v>
      </c>
      <c r="BF60" s="748">
        <f t="shared" ca="1" si="190"/>
        <v>2</v>
      </c>
      <c r="BG60" s="748">
        <f t="shared" ca="1" si="191"/>
        <v>1</v>
      </c>
      <c r="BH60" s="748">
        <f t="shared" ca="1" si="192"/>
        <v>0</v>
      </c>
      <c r="BI60" s="748">
        <f t="shared" ca="1" si="176"/>
        <v>1</v>
      </c>
      <c r="BJ60" s="748">
        <f t="shared" ca="1" si="177"/>
        <v>1</v>
      </c>
      <c r="BK60" s="748">
        <f t="shared" ca="1" si="178"/>
        <v>1</v>
      </c>
      <c r="BL60" s="748">
        <f t="shared" ca="1" si="193"/>
        <v>0</v>
      </c>
      <c r="BM60" s="748">
        <f t="shared" ca="1" si="194"/>
        <v>1</v>
      </c>
      <c r="BN60" s="748">
        <f t="shared" ca="1" si="195"/>
        <v>1</v>
      </c>
      <c r="BO60" s="738" t="str">
        <f t="shared" si="196"/>
        <v>4C</v>
      </c>
      <c r="BP60" s="738"/>
      <c r="BQ60" s="738"/>
      <c r="BR60" s="748">
        <f t="shared" ca="1" si="179"/>
        <v>3</v>
      </c>
      <c r="BS60" s="748">
        <f t="shared" ca="1" si="197"/>
        <v>1</v>
      </c>
      <c r="BT60" s="748" t="str">
        <f t="shared" ca="1" si="198"/>
        <v>Pos. 1 (2)</v>
      </c>
      <c r="BU60" s="748">
        <f t="shared" ca="1" si="180"/>
        <v>0</v>
      </c>
      <c r="BV60" s="748">
        <f t="shared" ca="1" si="181"/>
        <v>1</v>
      </c>
      <c r="BW60" s="748" t="str">
        <f t="shared" ca="1" si="182"/>
        <v>-</v>
      </c>
      <c r="BX60" s="748" t="str">
        <f t="shared" ca="1" si="183"/>
        <v>-</v>
      </c>
      <c r="BY60" s="748">
        <f t="shared" ca="1" si="184"/>
        <v>1</v>
      </c>
      <c r="BZ60" s="748" t="str">
        <f t="shared" ca="1" si="185"/>
        <v>-</v>
      </c>
      <c r="CA60" s="748" t="str">
        <f t="shared" ca="1" si="199"/>
        <v>-</v>
      </c>
      <c r="CB60" s="748">
        <f t="shared" ca="1" si="200"/>
        <v>1</v>
      </c>
      <c r="CC60" s="748"/>
      <c r="CD60" s="748">
        <f t="shared" ca="1" si="201"/>
        <v>1</v>
      </c>
      <c r="CE60" s="748" t="str">
        <f t="shared" ca="1" si="202"/>
        <v>-</v>
      </c>
      <c r="CF60" s="748">
        <f t="shared" ca="1" si="203"/>
        <v>1</v>
      </c>
      <c r="CG60" s="748"/>
      <c r="CH60" s="748"/>
      <c r="CI60" s="748"/>
      <c r="CJ60" s="748"/>
      <c r="CK60" s="748"/>
      <c r="CL60" s="748"/>
      <c r="CM60" s="748"/>
      <c r="CN60" s="748"/>
      <c r="CO60" s="748"/>
      <c r="CP60" s="748"/>
      <c r="CQ60" s="748"/>
      <c r="CR60" s="748"/>
      <c r="CS60" s="748"/>
      <c r="CT60" s="748"/>
      <c r="CU60" s="748"/>
      <c r="CV60" s="748"/>
      <c r="CW60" s="744"/>
      <c r="CX60" s="744"/>
      <c r="CY60" s="744"/>
      <c r="CZ60" s="744"/>
      <c r="DA60" s="744"/>
      <c r="DB60" s="744"/>
      <c r="DC60" s="744"/>
      <c r="DD60" s="744"/>
      <c r="DE60" s="744"/>
      <c r="DF60" s="744"/>
      <c r="DG60" s="744"/>
      <c r="DH60" s="744"/>
      <c r="DI60" s="744"/>
      <c r="DJ60" s="744">
        <f t="shared" ca="1" si="186"/>
        <v>3</v>
      </c>
      <c r="DK60" s="744"/>
      <c r="DL60" s="744">
        <f t="shared" ca="1" si="204"/>
        <v>1</v>
      </c>
      <c r="DM60" s="738" t="str">
        <f t="shared" ca="1" si="187"/>
        <v>3.1</v>
      </c>
      <c r="DN60" s="744" cm="1">
        <f t="array" aca="1" ref="DN60" ca="1">OFFSET(Horarios!$P$3,DJ60-1,0,DL60,1)</f>
        <v>3</v>
      </c>
      <c r="DO60" s="744"/>
      <c r="DP60" s="744">
        <v>3</v>
      </c>
      <c r="DQ60" s="744" t="str">
        <f t="shared" ca="1" si="205"/>
        <v>Japón</v>
      </c>
      <c r="DR60" s="744"/>
      <c r="DS60" s="744"/>
      <c r="DT60" s="744" t="str">
        <f t="shared" ca="1" si="15"/>
        <v>España-Cabo Verde</v>
      </c>
      <c r="DU60" s="744"/>
      <c r="DV60" s="744"/>
      <c r="DW60" s="8"/>
    </row>
    <row r="61" spans="1:127">
      <c r="A61" s="745" t="str">
        <f ca="1">+Equipos!B30</f>
        <v>España</v>
      </c>
      <c r="B61" s="742"/>
      <c r="C61" s="742"/>
      <c r="D61" s="744" t="str">
        <f t="shared" si="206"/>
        <v>Empate</v>
      </c>
      <c r="E61" s="744" t="str">
        <f t="shared" ca="1" si="207"/>
        <v>P.1 (4)</v>
      </c>
      <c r="F61" s="744" t="str">
        <f t="shared" ca="1" si="208"/>
        <v>P.1 (4)</v>
      </c>
      <c r="G61" s="744"/>
      <c r="H61" s="744" t="str">
        <f t="shared" ca="1" si="209"/>
        <v>P.1 (4)</v>
      </c>
      <c r="I61" s="744" t="str">
        <f t="shared" ca="1" si="210"/>
        <v>P.1 (4)</v>
      </c>
      <c r="J61" s="744"/>
      <c r="K61" s="744" t="str">
        <f t="shared" ca="1" si="211"/>
        <v>P.1 (4)</v>
      </c>
      <c r="L61" s="744" t="str">
        <f t="shared" ca="1" si="212"/>
        <v>P.1 (4)</v>
      </c>
      <c r="M61" s="744"/>
      <c r="N61" s="744" t="str">
        <f t="shared" ca="1" si="213"/>
        <v>P.1 (2)</v>
      </c>
      <c r="O61" s="744" t="str">
        <f t="shared" ca="1" si="214"/>
        <v>P.1 (2)</v>
      </c>
      <c r="P61" s="744"/>
      <c r="Q61" s="744" t="str">
        <f t="shared" ca="1" si="215"/>
        <v>P.1 (2)</v>
      </c>
      <c r="R61" s="744" t="str">
        <f t="shared" ca="1" si="216"/>
        <v>P.1 (2)</v>
      </c>
      <c r="S61" s="744"/>
      <c r="T61" s="744" t="str">
        <f t="shared" ca="1" si="217"/>
        <v>P.1 (2)</v>
      </c>
      <c r="U61" s="744" t="str">
        <f t="shared" ca="1" si="218"/>
        <v>P.1 (2)</v>
      </c>
      <c r="V61" s="172"/>
      <c r="W61" s="823"/>
      <c r="X61" s="189">
        <f ca="1">Horarios!C61</f>
        <v>46189</v>
      </c>
      <c r="Y61" s="190">
        <f ca="1">Horarios!C61</f>
        <v>46189</v>
      </c>
      <c r="Z61" s="191" t="str">
        <f>$Z$4</f>
        <v>J1</v>
      </c>
      <c r="AA61" s="192" t="str">
        <f ca="1">A63</f>
        <v>Arabia Saudita</v>
      </c>
      <c r="AB61" s="478" t="e" cm="1" vm="31">
        <f t="array" aca="1" ref="AB61" ca="1">Ver_flag_local</f>
        <v>#VALUE!</v>
      </c>
      <c r="AC61" s="193">
        <v>1</v>
      </c>
      <c r="AD61" s="194">
        <v>1</v>
      </c>
      <c r="AE61" s="483" t="e" cm="1" vm="32">
        <f t="array" aca="1" ref="AE61" ca="1">Ver_flag_visit</f>
        <v>#VALUE!</v>
      </c>
      <c r="AF61" s="195" t="str">
        <f ca="1">A64</f>
        <v>Uruguay</v>
      </c>
      <c r="AG61" s="413">
        <f t="shared" si="219"/>
        <v>1</v>
      </c>
      <c r="AH61" s="196">
        <v>13</v>
      </c>
      <c r="AI61" s="19"/>
      <c r="AJ61" s="204" t="str">
        <f>AJ5</f>
        <v>Pos</v>
      </c>
      <c r="AK61" s="205"/>
      <c r="AL61" s="206" t="str">
        <f t="shared" ref="AL61:AT61" si="221">AL5</f>
        <v>Selección</v>
      </c>
      <c r="AM61" s="205" t="str">
        <f t="shared" si="221"/>
        <v>Pts</v>
      </c>
      <c r="AN61" s="205" t="str">
        <f t="shared" si="221"/>
        <v>J</v>
      </c>
      <c r="AO61" s="205" t="str">
        <f t="shared" si="221"/>
        <v>G</v>
      </c>
      <c r="AP61" s="205" t="str">
        <f t="shared" si="221"/>
        <v>E</v>
      </c>
      <c r="AQ61" s="205" t="str">
        <f t="shared" si="221"/>
        <v>P</v>
      </c>
      <c r="AR61" s="205" t="str">
        <f t="shared" si="221"/>
        <v>GF</v>
      </c>
      <c r="AS61" s="205" t="str">
        <f t="shared" si="221"/>
        <v>GC</v>
      </c>
      <c r="AT61" s="207" t="str">
        <f t="shared" si="221"/>
        <v>DG</v>
      </c>
      <c r="AU61" s="421">
        <f t="shared" ref="AU61" ca="1" si="222">COUNTIF(AU62:AU65,"&gt;1")</f>
        <v>0</v>
      </c>
      <c r="AV61" s="208"/>
      <c r="AW61" s="208"/>
      <c r="AX61" s="255"/>
      <c r="AY61" s="209" t="str">
        <f>AL61</f>
        <v>Selección</v>
      </c>
      <c r="AZ61" s="210" t="str">
        <f>+Idiomas!$D$69</f>
        <v>Puntos penalizados</v>
      </c>
      <c r="BA61" s="175"/>
      <c r="BB61" s="759" t="str">
        <f t="shared" si="188"/>
        <v>3D</v>
      </c>
      <c r="BC61" s="756" t="s">
        <v>73</v>
      </c>
      <c r="BD61" s="744" t="str">
        <f t="shared" ca="1" si="175"/>
        <v>Paraguay</v>
      </c>
      <c r="BE61" s="748">
        <f t="shared" ca="1" si="189"/>
        <v>3</v>
      </c>
      <c r="BF61" s="748">
        <f t="shared" ca="1" si="190"/>
        <v>2</v>
      </c>
      <c r="BG61" s="748">
        <f t="shared" ca="1" si="191"/>
        <v>1</v>
      </c>
      <c r="BH61" s="748">
        <f t="shared" ca="1" si="192"/>
        <v>0</v>
      </c>
      <c r="BI61" s="748">
        <f t="shared" ca="1" si="176"/>
        <v>1</v>
      </c>
      <c r="BJ61" s="748">
        <f t="shared" ca="1" si="177"/>
        <v>2</v>
      </c>
      <c r="BK61" s="748">
        <f t="shared" ca="1" si="178"/>
        <v>4</v>
      </c>
      <c r="BL61" s="748">
        <f t="shared" ca="1" si="193"/>
        <v>-2</v>
      </c>
      <c r="BM61" s="748">
        <f t="shared" ca="1" si="194"/>
        <v>2</v>
      </c>
      <c r="BN61" s="748">
        <f t="shared" ca="1" si="195"/>
        <v>2</v>
      </c>
      <c r="BO61" s="738" t="str">
        <f t="shared" si="196"/>
        <v>4D</v>
      </c>
      <c r="BP61" s="738"/>
      <c r="BQ61" s="738"/>
      <c r="BR61" s="748">
        <f t="shared" ca="1" si="179"/>
        <v>3</v>
      </c>
      <c r="BS61" s="748">
        <f t="shared" ca="1" si="197"/>
        <v>1</v>
      </c>
      <c r="BT61" s="748" t="str">
        <f t="shared" ca="1" si="198"/>
        <v>Pos. 1 (2)</v>
      </c>
      <c r="BU61" s="748">
        <f t="shared" ca="1" si="180"/>
        <v>-2</v>
      </c>
      <c r="BV61" s="748">
        <f t="shared" ca="1" si="181"/>
        <v>2</v>
      </c>
      <c r="BW61" s="748" t="str">
        <f t="shared" ca="1" si="182"/>
        <v>-</v>
      </c>
      <c r="BX61" s="748" t="str">
        <f t="shared" ca="1" si="183"/>
        <v>-</v>
      </c>
      <c r="BY61" s="748">
        <f t="shared" ca="1" si="184"/>
        <v>2</v>
      </c>
      <c r="BZ61" s="748" t="str">
        <f t="shared" ca="1" si="185"/>
        <v>-</v>
      </c>
      <c r="CA61" s="748" t="str">
        <f t="shared" ca="1" si="199"/>
        <v>-</v>
      </c>
      <c r="CB61" s="748">
        <f t="shared" ca="1" si="200"/>
        <v>2</v>
      </c>
      <c r="CC61" s="748"/>
      <c r="CD61" s="748">
        <f t="shared" ca="1" si="201"/>
        <v>2</v>
      </c>
      <c r="CE61" s="748" t="str">
        <f t="shared" ca="1" si="202"/>
        <v>-</v>
      </c>
      <c r="CF61" s="748">
        <f t="shared" ca="1" si="203"/>
        <v>2</v>
      </c>
      <c r="CG61" s="748"/>
      <c r="CH61" s="748"/>
      <c r="CI61" s="748"/>
      <c r="CJ61" s="748"/>
      <c r="CK61" s="748"/>
      <c r="CL61" s="748"/>
      <c r="CM61" s="748"/>
      <c r="CN61" s="748"/>
      <c r="CO61" s="748"/>
      <c r="CP61" s="748"/>
      <c r="CQ61" s="748"/>
      <c r="CR61" s="748"/>
      <c r="CS61" s="748"/>
      <c r="CT61" s="748"/>
      <c r="CU61" s="748"/>
      <c r="CV61" s="748"/>
      <c r="CW61" s="744"/>
      <c r="CX61" s="744"/>
      <c r="CY61" s="744"/>
      <c r="CZ61" s="744"/>
      <c r="DA61" s="744"/>
      <c r="DB61" s="744"/>
      <c r="DC61" s="744"/>
      <c r="DD61" s="744"/>
      <c r="DE61" s="744"/>
      <c r="DF61" s="744"/>
      <c r="DG61" s="744"/>
      <c r="DH61" s="744"/>
      <c r="DI61" s="744"/>
      <c r="DJ61" s="744">
        <f t="shared" ca="1" si="186"/>
        <v>4</v>
      </c>
      <c r="DK61" s="744"/>
      <c r="DL61" s="744">
        <f t="shared" ca="1" si="204"/>
        <v>1</v>
      </c>
      <c r="DM61" s="738" t="str">
        <f t="shared" ca="1" si="187"/>
        <v>4.1</v>
      </c>
      <c r="DN61" s="744" cm="1">
        <f t="array" aca="1" ref="DN61" ca="1">OFFSET(Horarios!$P$3,DJ61-1,0,DL61,1)</f>
        <v>4</v>
      </c>
      <c r="DO61" s="744"/>
      <c r="DP61" s="744">
        <v>4</v>
      </c>
      <c r="DQ61" s="744" t="str">
        <f t="shared" ca="1" si="205"/>
        <v>Bélgica</v>
      </c>
      <c r="DR61" s="744"/>
      <c r="DS61" s="744"/>
      <c r="DT61" s="744" t="str">
        <f t="shared" ca="1" si="15"/>
        <v>Arabia Saudita-Uruguay</v>
      </c>
      <c r="DU61" s="744"/>
      <c r="DV61" s="744"/>
      <c r="DW61" s="8"/>
    </row>
    <row r="62" spans="1:127">
      <c r="A62" s="745" t="str">
        <f ca="1">+Equipos!B31</f>
        <v>Cabo Verde</v>
      </c>
      <c r="B62" s="742"/>
      <c r="C62" s="746"/>
      <c r="D62" s="744" t="str">
        <f t="shared" si="206"/>
        <v>Pendiente</v>
      </c>
      <c r="E62" s="744" t="str">
        <f t="shared" si="207"/>
        <v>-</v>
      </c>
      <c r="F62" s="744" t="str">
        <f t="shared" si="208"/>
        <v>-</v>
      </c>
      <c r="G62" s="744"/>
      <c r="H62" s="744" t="str">
        <f t="shared" si="209"/>
        <v>-</v>
      </c>
      <c r="I62" s="744" t="str">
        <f t="shared" si="210"/>
        <v>-</v>
      </c>
      <c r="J62" s="744"/>
      <c r="K62" s="744" t="str">
        <f t="shared" si="211"/>
        <v>-</v>
      </c>
      <c r="L62" s="744" t="str">
        <f t="shared" si="212"/>
        <v>-</v>
      </c>
      <c r="M62" s="744"/>
      <c r="N62" s="744" t="str">
        <f t="shared" si="213"/>
        <v>-</v>
      </c>
      <c r="O62" s="744" t="str">
        <f t="shared" si="214"/>
        <v>-</v>
      </c>
      <c r="P62" s="744"/>
      <c r="Q62" s="744" t="str">
        <f t="shared" si="215"/>
        <v>-</v>
      </c>
      <c r="R62" s="744" t="str">
        <f t="shared" si="216"/>
        <v>-</v>
      </c>
      <c r="S62" s="744"/>
      <c r="T62" s="744" t="str">
        <f t="shared" si="217"/>
        <v>-</v>
      </c>
      <c r="U62" s="744" t="str">
        <f t="shared" si="218"/>
        <v>-</v>
      </c>
      <c r="V62" s="172"/>
      <c r="W62" s="823"/>
      <c r="X62" s="189">
        <f ca="1">Horarios!C62</f>
        <v>46194.75</v>
      </c>
      <c r="Y62" s="190">
        <f ca="1">Horarios!C62</f>
        <v>46194.75</v>
      </c>
      <c r="Z62" s="191" t="str">
        <f>$Z$6</f>
        <v>J2</v>
      </c>
      <c r="AA62" s="192" t="str">
        <f ca="1">A61</f>
        <v>España</v>
      </c>
      <c r="AB62" s="478" t="e" cm="1" vm="29">
        <f t="array" aca="1" ref="AB62" ca="1">Ver_flag_local</f>
        <v>#VALUE!</v>
      </c>
      <c r="AC62" s="193"/>
      <c r="AD62" s="194"/>
      <c r="AE62" s="483" t="e" cm="1" vm="31">
        <f t="array" aca="1" ref="AE62" ca="1">Ver_flag_visit</f>
        <v>#VALUE!</v>
      </c>
      <c r="AF62" s="195" t="str">
        <f ca="1">A63</f>
        <v>Arabia Saudita</v>
      </c>
      <c r="AG62" s="413">
        <f t="shared" si="219"/>
        <v>0</v>
      </c>
      <c r="AH62" s="196">
        <v>38</v>
      </c>
      <c r="AI62" s="19" t="str">
        <f>AJ62&amp;$B$60</f>
        <v>1H</v>
      </c>
      <c r="AJ62" s="211">
        <v>1</v>
      </c>
      <c r="AK62" s="488" t="e" cm="1" vm="31">
        <f t="array" aca="1" ref="AK62" ca="1">Ver_flag_visit</f>
        <v>#VALUE!</v>
      </c>
      <c r="AL62" s="212" t="str">
        <f ca="1">IFERROR(INDEX($BD$6:$BD$53,MATCH(AI62,$BN$6:$BN$53,0)),"")</f>
        <v>Arabia Saudita</v>
      </c>
      <c r="AM62" s="213">
        <f t="shared" ref="AM62:AT65" ca="1" si="223">INDEX($BE$6:$BN$53,MATCH($AL62,$BD$6:$BD$53,0),MATCH(AM$5,$BE$5:$BN$5,0))</f>
        <v>1</v>
      </c>
      <c r="AN62" s="214">
        <f t="shared" ca="1" si="223"/>
        <v>1</v>
      </c>
      <c r="AO62" s="214">
        <f t="shared" ca="1" si="223"/>
        <v>0</v>
      </c>
      <c r="AP62" s="214">
        <f t="shared" ca="1" si="223"/>
        <v>1</v>
      </c>
      <c r="AQ62" s="214">
        <f t="shared" ca="1" si="223"/>
        <v>0</v>
      </c>
      <c r="AR62" s="214">
        <f t="shared" ca="1" si="223"/>
        <v>1</v>
      </c>
      <c r="AS62" s="214">
        <f t="shared" ca="1" si="223"/>
        <v>1</v>
      </c>
      <c r="AT62" s="215">
        <f t="shared" ca="1" si="223"/>
        <v>0</v>
      </c>
      <c r="AU62" s="420">
        <f ca="1">INDEX($DL$6:$DL$53,MATCH(AI62,$DP$6:$DP$53,0))</f>
        <v>1</v>
      </c>
      <c r="AV62" s="217" t="str">
        <f ca="1">INDEX($BD$6:$BD$53,MATCH(AI62,$BM$6:$BM$53,0))</f>
        <v>Arabia Saudita</v>
      </c>
      <c r="AW62" s="427"/>
      <c r="AX62" s="218"/>
      <c r="AY62" s="219" t="str">
        <f ca="1">+A61</f>
        <v>España</v>
      </c>
      <c r="AZ62" s="220"/>
      <c r="BA62" s="175"/>
      <c r="BB62" s="759" t="str">
        <f t="shared" si="188"/>
        <v>3E</v>
      </c>
      <c r="BC62" s="756" t="s">
        <v>3</v>
      </c>
      <c r="BD62" s="744" t="str">
        <f t="shared" ca="1" si="175"/>
        <v>Ecuador</v>
      </c>
      <c r="BE62" s="748">
        <f t="shared" ca="1" si="189"/>
        <v>0</v>
      </c>
      <c r="BF62" s="748">
        <f t="shared" ca="1" si="190"/>
        <v>1</v>
      </c>
      <c r="BG62" s="748">
        <f t="shared" ca="1" si="191"/>
        <v>0</v>
      </c>
      <c r="BH62" s="748">
        <f t="shared" ca="1" si="192"/>
        <v>0</v>
      </c>
      <c r="BI62" s="748">
        <f t="shared" ca="1" si="176"/>
        <v>1</v>
      </c>
      <c r="BJ62" s="748">
        <f t="shared" ca="1" si="177"/>
        <v>0</v>
      </c>
      <c r="BK62" s="748">
        <f t="shared" ca="1" si="178"/>
        <v>1</v>
      </c>
      <c r="BL62" s="748">
        <f t="shared" ca="1" si="193"/>
        <v>-1</v>
      </c>
      <c r="BM62" s="748">
        <f t="shared" ca="1" si="194"/>
        <v>9</v>
      </c>
      <c r="BN62" s="748">
        <f t="shared" ca="1" si="195"/>
        <v>9</v>
      </c>
      <c r="BO62" s="738" t="str">
        <f t="shared" si="196"/>
        <v>4E</v>
      </c>
      <c r="BP62" s="738"/>
      <c r="BQ62" s="738"/>
      <c r="BR62" s="748">
        <f t="shared" ca="1" si="179"/>
        <v>0</v>
      </c>
      <c r="BS62" s="748">
        <f t="shared" ca="1" si="197"/>
        <v>9</v>
      </c>
      <c r="BT62" s="748" t="str">
        <f t="shared" ca="1" si="198"/>
        <v>Pos. 9 (4)</v>
      </c>
      <c r="BU62" s="748">
        <f t="shared" ca="1" si="180"/>
        <v>-1</v>
      </c>
      <c r="BV62" s="748">
        <f t="shared" ca="1" si="181"/>
        <v>9</v>
      </c>
      <c r="BW62" s="748" t="str">
        <f t="shared" ca="1" si="182"/>
        <v>Pos. 9 (2)</v>
      </c>
      <c r="BX62" s="748">
        <f t="shared" ca="1" si="183"/>
        <v>0</v>
      </c>
      <c r="BY62" s="748">
        <f t="shared" ca="1" si="184"/>
        <v>9</v>
      </c>
      <c r="BZ62" s="748" t="str">
        <f t="shared" ca="1" si="185"/>
        <v>Pos. 9 (2)</v>
      </c>
      <c r="CA62" s="748">
        <f t="shared" ca="1" si="199"/>
        <v>9</v>
      </c>
      <c r="CB62" s="748">
        <f t="shared" ca="1" si="200"/>
        <v>9</v>
      </c>
      <c r="CC62" s="748"/>
      <c r="CD62" s="748">
        <f t="shared" ca="1" si="201"/>
        <v>9</v>
      </c>
      <c r="CE62" s="748">
        <f t="shared" ca="1" si="202"/>
        <v>8</v>
      </c>
      <c r="CF62" s="748">
        <f t="shared" ca="1" si="203"/>
        <v>9</v>
      </c>
      <c r="CG62" s="748"/>
      <c r="CH62" s="748"/>
      <c r="CI62" s="748"/>
      <c r="CJ62" s="748"/>
      <c r="CK62" s="748"/>
      <c r="CL62" s="748"/>
      <c r="CM62" s="748"/>
      <c r="CN62" s="748"/>
      <c r="CO62" s="748"/>
      <c r="CP62" s="748"/>
      <c r="CQ62" s="748"/>
      <c r="CR62" s="748"/>
      <c r="CS62" s="748"/>
      <c r="CT62" s="748"/>
      <c r="CU62" s="748"/>
      <c r="CV62" s="748"/>
      <c r="CW62" s="744"/>
      <c r="CX62" s="744"/>
      <c r="CY62" s="744"/>
      <c r="CZ62" s="744"/>
      <c r="DA62" s="744"/>
      <c r="DB62" s="744"/>
      <c r="DC62" s="744"/>
      <c r="DD62" s="744"/>
      <c r="DE62" s="744"/>
      <c r="DF62" s="744"/>
      <c r="DG62" s="744"/>
      <c r="DH62" s="744"/>
      <c r="DI62" s="744"/>
      <c r="DJ62" s="744">
        <f t="shared" ca="1" si="186"/>
        <v>4</v>
      </c>
      <c r="DK62" s="744"/>
      <c r="DL62" s="744">
        <f t="shared" ca="1" si="204"/>
        <v>1</v>
      </c>
      <c r="DM62" s="738" t="str">
        <f t="shared" ca="1" si="187"/>
        <v>4.1</v>
      </c>
      <c r="DN62" s="744" cm="1">
        <f t="array" aca="1" ref="DN62" ca="1">OFFSET(Horarios!$P$3,DJ62-1,0,DL62,1)</f>
        <v>4</v>
      </c>
      <c r="DO62" s="744"/>
      <c r="DP62" s="744">
        <v>5</v>
      </c>
      <c r="DQ62" s="744" t="str">
        <f t="shared" ca="1" si="205"/>
        <v>RD Congo</v>
      </c>
      <c r="DR62" s="744"/>
      <c r="DS62" s="744"/>
      <c r="DT62" s="744" t="str">
        <f t="shared" ca="1" si="15"/>
        <v>España-Arabia Saudita</v>
      </c>
      <c r="DU62" s="744"/>
      <c r="DV62" s="744"/>
      <c r="DW62" s="8"/>
    </row>
    <row r="63" spans="1:127">
      <c r="A63" s="745" t="str">
        <f ca="1">+Equipos!B32</f>
        <v>Arabia Saudita</v>
      </c>
      <c r="B63" s="742"/>
      <c r="C63" s="744"/>
      <c r="D63" s="744" t="str">
        <f t="shared" si="206"/>
        <v>Pendiente</v>
      </c>
      <c r="E63" s="744" t="str">
        <f t="shared" si="207"/>
        <v>-</v>
      </c>
      <c r="F63" s="744" t="str">
        <f t="shared" si="208"/>
        <v>-</v>
      </c>
      <c r="G63" s="744"/>
      <c r="H63" s="744" t="str">
        <f t="shared" si="209"/>
        <v>-</v>
      </c>
      <c r="I63" s="744" t="str">
        <f t="shared" si="210"/>
        <v>-</v>
      </c>
      <c r="J63" s="744"/>
      <c r="K63" s="744" t="str">
        <f t="shared" si="211"/>
        <v>-</v>
      </c>
      <c r="L63" s="744" t="str">
        <f t="shared" si="212"/>
        <v>-</v>
      </c>
      <c r="M63" s="744"/>
      <c r="N63" s="744" t="str">
        <f t="shared" si="213"/>
        <v>-</v>
      </c>
      <c r="O63" s="744" t="str">
        <f t="shared" si="214"/>
        <v>-</v>
      </c>
      <c r="P63" s="744"/>
      <c r="Q63" s="744" t="str">
        <f t="shared" si="215"/>
        <v>-</v>
      </c>
      <c r="R63" s="744" t="str">
        <f t="shared" si="216"/>
        <v>-</v>
      </c>
      <c r="S63" s="744"/>
      <c r="T63" s="744" t="str">
        <f t="shared" si="217"/>
        <v>-</v>
      </c>
      <c r="U63" s="744" t="str">
        <f t="shared" si="218"/>
        <v>-</v>
      </c>
      <c r="V63" s="172"/>
      <c r="W63" s="823"/>
      <c r="X63" s="189">
        <f ca="1">Horarios!C63</f>
        <v>46195</v>
      </c>
      <c r="Y63" s="190">
        <f ca="1">Horarios!C63</f>
        <v>46195</v>
      </c>
      <c r="Z63" s="191" t="str">
        <f>$Z$6</f>
        <v>J2</v>
      </c>
      <c r="AA63" s="192" t="str">
        <f ca="1">A64</f>
        <v>Uruguay</v>
      </c>
      <c r="AB63" s="478" t="e" cm="1" vm="32">
        <f t="array" aca="1" ref="AB63" ca="1">Ver_flag_local</f>
        <v>#VALUE!</v>
      </c>
      <c r="AC63" s="193"/>
      <c r="AD63" s="194"/>
      <c r="AE63" s="483" t="e" cm="1" vm="30">
        <f t="array" aca="1" ref="AE63" ca="1">Ver_flag_visit</f>
        <v>#VALUE!</v>
      </c>
      <c r="AF63" s="195" t="str">
        <f ca="1">A62</f>
        <v>Cabo Verde</v>
      </c>
      <c r="AG63" s="413">
        <f t="shared" si="219"/>
        <v>0</v>
      </c>
      <c r="AH63" s="196">
        <v>37</v>
      </c>
      <c r="AI63" s="19" t="str">
        <f t="shared" ref="AI63:AI65" si="224">AJ63&amp;$B$60</f>
        <v>2H</v>
      </c>
      <c r="AJ63" s="221">
        <v>2</v>
      </c>
      <c r="AK63" s="486" t="e" cm="1" vm="32">
        <f t="array" aca="1" ref="AK63" ca="1">Ver_flag_visit</f>
        <v>#VALUE!</v>
      </c>
      <c r="AL63" s="222" t="str">
        <f ca="1">IFERROR(INDEX($BD$6:$BD$53,MATCH(AI63,$BN$6:$BN$53,0)),"")</f>
        <v>Uruguay</v>
      </c>
      <c r="AM63" s="223">
        <f t="shared" ca="1" si="223"/>
        <v>1</v>
      </c>
      <c r="AN63" s="224">
        <f t="shared" ca="1" si="223"/>
        <v>1</v>
      </c>
      <c r="AO63" s="224">
        <f t="shared" ca="1" si="223"/>
        <v>0</v>
      </c>
      <c r="AP63" s="224">
        <f t="shared" ca="1" si="223"/>
        <v>1</v>
      </c>
      <c r="AQ63" s="224">
        <f t="shared" ca="1" si="223"/>
        <v>0</v>
      </c>
      <c r="AR63" s="224">
        <f t="shared" ca="1" si="223"/>
        <v>1</v>
      </c>
      <c r="AS63" s="224">
        <f t="shared" ca="1" si="223"/>
        <v>1</v>
      </c>
      <c r="AT63" s="225">
        <f t="shared" ca="1" si="223"/>
        <v>0</v>
      </c>
      <c r="AU63" s="420">
        <f ca="1">INDEX($DL$6:$DL$53,MATCH(AI63,$DP$6:$DP$53,0))</f>
        <v>1</v>
      </c>
      <c r="AV63" s="217" t="str">
        <f ca="1">INDEX($BD$6:$BD$53,MATCH(AI63,$BM$6:$BM$53,0))</f>
        <v>Uruguay</v>
      </c>
      <c r="AW63" s="427"/>
      <c r="AX63" s="218"/>
      <c r="AY63" s="226" t="str">
        <f ca="1">+A62</f>
        <v>Cabo Verde</v>
      </c>
      <c r="AZ63" s="227"/>
      <c r="BA63" s="175"/>
      <c r="BB63" s="759" t="str">
        <f t="shared" si="188"/>
        <v>3F</v>
      </c>
      <c r="BC63" s="756" t="s">
        <v>4</v>
      </c>
      <c r="BD63" s="744" t="str">
        <f t="shared" ca="1" si="175"/>
        <v>Japón</v>
      </c>
      <c r="BE63" s="748">
        <f t="shared" ca="1" si="189"/>
        <v>1</v>
      </c>
      <c r="BF63" s="748">
        <f t="shared" ca="1" si="190"/>
        <v>1</v>
      </c>
      <c r="BG63" s="748">
        <f t="shared" ca="1" si="191"/>
        <v>0</v>
      </c>
      <c r="BH63" s="748">
        <f t="shared" ca="1" si="192"/>
        <v>1</v>
      </c>
      <c r="BI63" s="748">
        <f t="shared" ca="1" si="176"/>
        <v>0</v>
      </c>
      <c r="BJ63" s="748">
        <f t="shared" ca="1" si="177"/>
        <v>2</v>
      </c>
      <c r="BK63" s="748">
        <f t="shared" ca="1" si="178"/>
        <v>2</v>
      </c>
      <c r="BL63" s="748">
        <f t="shared" ca="1" si="193"/>
        <v>0</v>
      </c>
      <c r="BM63" s="748">
        <f t="shared" ca="1" si="194"/>
        <v>3</v>
      </c>
      <c r="BN63" s="748">
        <f t="shared" ca="1" si="195"/>
        <v>3</v>
      </c>
      <c r="BO63" s="738" t="str">
        <f t="shared" si="196"/>
        <v>4F</v>
      </c>
      <c r="BP63" s="738"/>
      <c r="BQ63" s="738"/>
      <c r="BR63" s="748">
        <f t="shared" ca="1" si="179"/>
        <v>1</v>
      </c>
      <c r="BS63" s="748">
        <f t="shared" ca="1" si="197"/>
        <v>3</v>
      </c>
      <c r="BT63" s="748" t="str">
        <f t="shared" ca="1" si="198"/>
        <v>Pos. 3 (6)</v>
      </c>
      <c r="BU63" s="748">
        <f t="shared" ca="1" si="180"/>
        <v>0</v>
      </c>
      <c r="BV63" s="748">
        <f t="shared" ca="1" si="181"/>
        <v>3</v>
      </c>
      <c r="BW63" s="748" t="str">
        <f t="shared" ca="1" si="182"/>
        <v>Pos. 3 (4)</v>
      </c>
      <c r="BX63" s="748">
        <f t="shared" ca="1" si="183"/>
        <v>2</v>
      </c>
      <c r="BY63" s="748">
        <f t="shared" ca="1" si="184"/>
        <v>3</v>
      </c>
      <c r="BZ63" s="748" t="str">
        <f t="shared" ca="1" si="185"/>
        <v>-</v>
      </c>
      <c r="CA63" s="748" t="str">
        <f t="shared" ca="1" si="199"/>
        <v>-</v>
      </c>
      <c r="CB63" s="748">
        <f t="shared" ca="1" si="200"/>
        <v>3</v>
      </c>
      <c r="CC63" s="748"/>
      <c r="CD63" s="748">
        <f t="shared" ca="1" si="201"/>
        <v>3</v>
      </c>
      <c r="CE63" s="748" t="str">
        <f t="shared" ca="1" si="202"/>
        <v>-</v>
      </c>
      <c r="CF63" s="748">
        <f t="shared" ca="1" si="203"/>
        <v>3</v>
      </c>
      <c r="CG63" s="748"/>
      <c r="CH63" s="748"/>
      <c r="CI63" s="748"/>
      <c r="CJ63" s="748"/>
      <c r="CK63" s="748"/>
      <c r="CL63" s="748"/>
      <c r="CM63" s="748"/>
      <c r="CN63" s="748"/>
      <c r="CO63" s="748"/>
      <c r="CP63" s="748"/>
      <c r="CQ63" s="748"/>
      <c r="CR63" s="748"/>
      <c r="CS63" s="748"/>
      <c r="CT63" s="748"/>
      <c r="CU63" s="748"/>
      <c r="CV63" s="748"/>
      <c r="CW63" s="744"/>
      <c r="CX63" s="744"/>
      <c r="CY63" s="744"/>
      <c r="CZ63" s="744"/>
      <c r="DA63" s="744"/>
      <c r="DB63" s="744"/>
      <c r="DC63" s="744"/>
      <c r="DD63" s="744"/>
      <c r="DE63" s="744"/>
      <c r="DF63" s="744"/>
      <c r="DG63" s="744"/>
      <c r="DH63" s="744"/>
      <c r="DI63" s="744"/>
      <c r="DJ63" s="744">
        <f t="shared" ca="1" si="186"/>
        <v>6</v>
      </c>
      <c r="DK63" s="744"/>
      <c r="DL63" s="744">
        <f t="shared" ca="1" si="204"/>
        <v>1</v>
      </c>
      <c r="DM63" s="738" t="str">
        <f t="shared" ca="1" si="187"/>
        <v>6.1</v>
      </c>
      <c r="DN63" s="744" cm="1">
        <f t="array" aca="1" ref="DN63" ca="1">OFFSET(Horarios!$P$3,DJ63-1,0,DL63,1)</f>
        <v>6</v>
      </c>
      <c r="DO63" s="744"/>
      <c r="DP63" s="744">
        <v>6</v>
      </c>
      <c r="DQ63" s="744" t="str">
        <f t="shared" ca="1" si="205"/>
        <v>España</v>
      </c>
      <c r="DR63" s="744"/>
      <c r="DS63" s="744"/>
      <c r="DT63" s="744" t="str">
        <f t="shared" ca="1" si="15"/>
        <v>Uruguay-Cabo Verde</v>
      </c>
      <c r="DU63" s="744"/>
      <c r="DV63" s="744"/>
      <c r="DW63" s="8"/>
    </row>
    <row r="64" spans="1:127">
      <c r="A64" s="745" t="str">
        <f ca="1">+Equipos!B33</f>
        <v>Uruguay</v>
      </c>
      <c r="B64" s="742"/>
      <c r="C64" s="744"/>
      <c r="D64" s="744" t="str">
        <f t="shared" si="206"/>
        <v>Pendiente</v>
      </c>
      <c r="E64" s="744" t="str">
        <f t="shared" si="207"/>
        <v>-</v>
      </c>
      <c r="F64" s="744" t="str">
        <f t="shared" si="208"/>
        <v>-</v>
      </c>
      <c r="G64" s="744"/>
      <c r="H64" s="744" t="str">
        <f t="shared" si="209"/>
        <v>-</v>
      </c>
      <c r="I64" s="744" t="str">
        <f t="shared" si="210"/>
        <v>-</v>
      </c>
      <c r="J64" s="744"/>
      <c r="K64" s="744" t="str">
        <f t="shared" si="211"/>
        <v>-</v>
      </c>
      <c r="L64" s="744" t="str">
        <f t="shared" si="212"/>
        <v>-</v>
      </c>
      <c r="M64" s="744"/>
      <c r="N64" s="744" t="str">
        <f t="shared" si="213"/>
        <v>-</v>
      </c>
      <c r="O64" s="744" t="str">
        <f t="shared" si="214"/>
        <v>-</v>
      </c>
      <c r="P64" s="744"/>
      <c r="Q64" s="744" t="str">
        <f t="shared" si="215"/>
        <v>-</v>
      </c>
      <c r="R64" s="744" t="str">
        <f t="shared" si="216"/>
        <v>-</v>
      </c>
      <c r="S64" s="744"/>
      <c r="T64" s="744" t="str">
        <f t="shared" si="217"/>
        <v>-</v>
      </c>
      <c r="U64" s="744" t="str">
        <f t="shared" si="218"/>
        <v>-</v>
      </c>
      <c r="V64" s="172"/>
      <c r="W64" s="823"/>
      <c r="X64" s="189">
        <f ca="1">Horarios!C64</f>
        <v>46200.083333333336</v>
      </c>
      <c r="Y64" s="190">
        <f ca="1">Horarios!C64</f>
        <v>46200.083333333336</v>
      </c>
      <c r="Z64" s="191" t="str">
        <f>$Z$8</f>
        <v>J3</v>
      </c>
      <c r="AA64" s="192" t="str">
        <f ca="1">A62</f>
        <v>Cabo Verde</v>
      </c>
      <c r="AB64" s="478" t="e" cm="1" vm="30">
        <f t="array" aca="1" ref="AB64" ca="1">Ver_flag_local</f>
        <v>#VALUE!</v>
      </c>
      <c r="AC64" s="193"/>
      <c r="AD64" s="194"/>
      <c r="AE64" s="483" t="e" cm="1" vm="31">
        <f t="array" aca="1" ref="AE64" ca="1">Ver_flag_visit</f>
        <v>#VALUE!</v>
      </c>
      <c r="AF64" s="195" t="str">
        <f ca="1">A63</f>
        <v>Arabia Saudita</v>
      </c>
      <c r="AG64" s="413">
        <f t="shared" si="219"/>
        <v>0</v>
      </c>
      <c r="AH64" s="196">
        <v>65</v>
      </c>
      <c r="AI64" s="19" t="str">
        <f t="shared" si="224"/>
        <v>3H</v>
      </c>
      <c r="AJ64" s="221">
        <v>3</v>
      </c>
      <c r="AK64" s="486" t="e" cm="1" vm="29">
        <f t="array" aca="1" ref="AK64" ca="1">Ver_flag_visit</f>
        <v>#VALUE!</v>
      </c>
      <c r="AL64" s="222" t="str">
        <f ca="1">IFERROR(INDEX($BD$6:$BD$53,MATCH(AI64,$BN$6:$BN$53,0)),"")</f>
        <v>España</v>
      </c>
      <c r="AM64" s="223">
        <f t="shared" ca="1" si="223"/>
        <v>1</v>
      </c>
      <c r="AN64" s="224">
        <f t="shared" ca="1" si="223"/>
        <v>1</v>
      </c>
      <c r="AO64" s="224">
        <f t="shared" ca="1" si="223"/>
        <v>0</v>
      </c>
      <c r="AP64" s="224">
        <f t="shared" ca="1" si="223"/>
        <v>1</v>
      </c>
      <c r="AQ64" s="224">
        <f t="shared" ca="1" si="223"/>
        <v>0</v>
      </c>
      <c r="AR64" s="224">
        <f t="shared" ca="1" si="223"/>
        <v>0</v>
      </c>
      <c r="AS64" s="224">
        <f t="shared" ca="1" si="223"/>
        <v>0</v>
      </c>
      <c r="AT64" s="225">
        <f t="shared" ca="1" si="223"/>
        <v>0</v>
      </c>
      <c r="AU64" s="420">
        <f ca="1">INDEX($DL$6:$DL$53,MATCH(AI64,$DP$6:$DP$53,0))</f>
        <v>1</v>
      </c>
      <c r="AV64" s="217" t="str">
        <f ca="1">INDEX($BD$6:$BD$53,MATCH(AI64,$BM$6:$BM$53,0))</f>
        <v>España</v>
      </c>
      <c r="AW64" s="427"/>
      <c r="AX64" s="218"/>
      <c r="AY64" s="219" t="str">
        <f ca="1">+A63</f>
        <v>Arabia Saudita</v>
      </c>
      <c r="AZ64" s="220"/>
      <c r="BA64" s="175"/>
      <c r="BB64" s="759" t="str">
        <f t="shared" si="188"/>
        <v>3G</v>
      </c>
      <c r="BC64" s="756" t="s">
        <v>6</v>
      </c>
      <c r="BD64" s="744" t="str">
        <f t="shared" ca="1" si="175"/>
        <v>Bélgica</v>
      </c>
      <c r="BE64" s="748">
        <f t="shared" ca="1" si="189"/>
        <v>1</v>
      </c>
      <c r="BF64" s="748">
        <f t="shared" ca="1" si="190"/>
        <v>1</v>
      </c>
      <c r="BG64" s="748">
        <f t="shared" ca="1" si="191"/>
        <v>0</v>
      </c>
      <c r="BH64" s="748">
        <f t="shared" ca="1" si="192"/>
        <v>1</v>
      </c>
      <c r="BI64" s="748">
        <f t="shared" ca="1" si="176"/>
        <v>0</v>
      </c>
      <c r="BJ64" s="748">
        <f t="shared" ca="1" si="177"/>
        <v>1</v>
      </c>
      <c r="BK64" s="748">
        <f t="shared" ca="1" si="178"/>
        <v>1</v>
      </c>
      <c r="BL64" s="748">
        <f t="shared" ca="1" si="193"/>
        <v>0</v>
      </c>
      <c r="BM64" s="748">
        <f t="shared" ca="1" si="194"/>
        <v>4</v>
      </c>
      <c r="BN64" s="748">
        <f t="shared" ca="1" si="195"/>
        <v>4</v>
      </c>
      <c r="BO64" s="738" t="str">
        <f t="shared" si="196"/>
        <v>4G</v>
      </c>
      <c r="BP64" s="738"/>
      <c r="BQ64" s="738"/>
      <c r="BR64" s="748">
        <f t="shared" ca="1" si="179"/>
        <v>1</v>
      </c>
      <c r="BS64" s="748">
        <f t="shared" ca="1" si="197"/>
        <v>3</v>
      </c>
      <c r="BT64" s="748" t="str">
        <f t="shared" ca="1" si="198"/>
        <v>Pos. 3 (6)</v>
      </c>
      <c r="BU64" s="748">
        <f t="shared" ca="1" si="180"/>
        <v>0</v>
      </c>
      <c r="BV64" s="748">
        <f t="shared" ca="1" si="181"/>
        <v>3</v>
      </c>
      <c r="BW64" s="748" t="str">
        <f t="shared" ca="1" si="182"/>
        <v>Pos. 3 (4)</v>
      </c>
      <c r="BX64" s="748">
        <f t="shared" ca="1" si="183"/>
        <v>1</v>
      </c>
      <c r="BY64" s="748">
        <f t="shared" ca="1" si="184"/>
        <v>4</v>
      </c>
      <c r="BZ64" s="748" t="str">
        <f t="shared" ca="1" si="185"/>
        <v>Pos. 4 (2)</v>
      </c>
      <c r="CA64" s="748">
        <f t="shared" ca="1" si="199"/>
        <v>11</v>
      </c>
      <c r="CB64" s="748">
        <f t="shared" ca="1" si="200"/>
        <v>4</v>
      </c>
      <c r="CC64" s="748"/>
      <c r="CD64" s="748">
        <f t="shared" ca="1" si="201"/>
        <v>4</v>
      </c>
      <c r="CE64" s="748">
        <f t="shared" ca="1" si="202"/>
        <v>3</v>
      </c>
      <c r="CF64" s="748">
        <f t="shared" ca="1" si="203"/>
        <v>4</v>
      </c>
      <c r="CG64" s="748"/>
      <c r="CH64" s="748"/>
      <c r="CI64" s="748"/>
      <c r="CJ64" s="748"/>
      <c r="CK64" s="748"/>
      <c r="CL64" s="748"/>
      <c r="CM64" s="748"/>
      <c r="CN64" s="748"/>
      <c r="CO64" s="748"/>
      <c r="CP64" s="748"/>
      <c r="CQ64" s="748"/>
      <c r="CR64" s="748"/>
      <c r="CS64" s="748"/>
      <c r="CT64" s="748"/>
      <c r="CU64" s="748"/>
      <c r="CV64" s="748"/>
      <c r="CW64" s="744"/>
      <c r="CX64" s="744"/>
      <c r="CY64" s="744"/>
      <c r="CZ64" s="744"/>
      <c r="DA64" s="744"/>
      <c r="DB64" s="744"/>
      <c r="DC64" s="744"/>
      <c r="DD64" s="744"/>
      <c r="DE64" s="744"/>
      <c r="DF64" s="744"/>
      <c r="DG64" s="744"/>
      <c r="DH64" s="744"/>
      <c r="DI64" s="744"/>
      <c r="DJ64" s="744">
        <f t="shared" ca="1" si="186"/>
        <v>7</v>
      </c>
      <c r="DK64" s="744"/>
      <c r="DL64" s="744">
        <f t="shared" ca="1" si="204"/>
        <v>1</v>
      </c>
      <c r="DM64" s="738" t="str">
        <f t="shared" ca="1" si="187"/>
        <v>7.1</v>
      </c>
      <c r="DN64" s="744" cm="1">
        <f t="array" aca="1" ref="DN64" ca="1">OFFSET(Horarios!$P$3,DJ64-1,0,DL64,1)</f>
        <v>7</v>
      </c>
      <c r="DO64" s="744"/>
      <c r="DP64" s="744">
        <v>7</v>
      </c>
      <c r="DQ64" s="744" t="str">
        <f t="shared" ca="1" si="205"/>
        <v>República Checa</v>
      </c>
      <c r="DR64" s="744"/>
      <c r="DS64" s="744"/>
      <c r="DT64" s="744" t="str">
        <f t="shared" ca="1" si="15"/>
        <v>Cabo Verde-Arabia Saudita</v>
      </c>
      <c r="DU64" s="744"/>
      <c r="DV64" s="744"/>
      <c r="DW64" s="8"/>
    </row>
    <row r="65" spans="1:127" ht="15" thickBot="1">
      <c r="A65" s="739"/>
      <c r="B65" s="742"/>
      <c r="C65" s="739"/>
      <c r="D65" s="744" t="str">
        <f t="shared" si="206"/>
        <v>Pendiente</v>
      </c>
      <c r="E65" s="744" t="str">
        <f t="shared" si="207"/>
        <v>-</v>
      </c>
      <c r="F65" s="744" t="str">
        <f t="shared" si="208"/>
        <v>-</v>
      </c>
      <c r="G65" s="744"/>
      <c r="H65" s="744" t="str">
        <f t="shared" si="209"/>
        <v>-</v>
      </c>
      <c r="I65" s="744" t="str">
        <f t="shared" si="210"/>
        <v>-</v>
      </c>
      <c r="J65" s="744"/>
      <c r="K65" s="744" t="str">
        <f t="shared" si="211"/>
        <v>-</v>
      </c>
      <c r="L65" s="744" t="str">
        <f t="shared" si="212"/>
        <v>-</v>
      </c>
      <c r="M65" s="744"/>
      <c r="N65" s="744" t="str">
        <f t="shared" si="213"/>
        <v>-</v>
      </c>
      <c r="O65" s="744" t="str">
        <f t="shared" si="214"/>
        <v>-</v>
      </c>
      <c r="P65" s="744"/>
      <c r="Q65" s="744" t="str">
        <f t="shared" si="215"/>
        <v>-</v>
      </c>
      <c r="R65" s="744" t="str">
        <f t="shared" si="216"/>
        <v>-</v>
      </c>
      <c r="S65" s="744"/>
      <c r="T65" s="744" t="str">
        <f t="shared" si="217"/>
        <v>-</v>
      </c>
      <c r="U65" s="744" t="str">
        <f t="shared" si="218"/>
        <v>-</v>
      </c>
      <c r="V65" s="172"/>
      <c r="W65" s="824"/>
      <c r="X65" s="228">
        <f ca="1">Horarios!C65</f>
        <v>46200.083333333336</v>
      </c>
      <c r="Y65" s="229">
        <f ca="1">Horarios!C65</f>
        <v>46200.083333333336</v>
      </c>
      <c r="Z65" s="230" t="str">
        <f>$Z$8</f>
        <v>J3</v>
      </c>
      <c r="AA65" s="231" t="str">
        <f ca="1">A64</f>
        <v>Uruguay</v>
      </c>
      <c r="AB65" s="479" t="e" cm="1" vm="32">
        <f t="array" aca="1" ref="AB65" ca="1">Ver_flag_local</f>
        <v>#VALUE!</v>
      </c>
      <c r="AC65" s="232"/>
      <c r="AD65" s="233"/>
      <c r="AE65" s="484" t="e" cm="1" vm="29">
        <f t="array" aca="1" ref="AE65" ca="1">Ver_flag_visit</f>
        <v>#VALUE!</v>
      </c>
      <c r="AF65" s="234" t="str">
        <f ca="1">A61</f>
        <v>España</v>
      </c>
      <c r="AG65" s="413">
        <f t="shared" si="219"/>
        <v>0</v>
      </c>
      <c r="AH65" s="196">
        <v>66</v>
      </c>
      <c r="AI65" s="19" t="str">
        <f t="shared" si="224"/>
        <v>4H</v>
      </c>
      <c r="AJ65" s="235">
        <v>4</v>
      </c>
      <c r="AK65" s="487" t="e" cm="1" vm="30">
        <f t="array" aca="1" ref="AK65" ca="1">Ver_flag_visit</f>
        <v>#VALUE!</v>
      </c>
      <c r="AL65" s="236" t="str">
        <f ca="1">IFERROR(INDEX($BD$6:$BD$53,MATCH(AI65,$BN$6:$BN$53,0)),"")</f>
        <v>Cabo Verde</v>
      </c>
      <c r="AM65" s="237">
        <f t="shared" ca="1" si="223"/>
        <v>1</v>
      </c>
      <c r="AN65" s="238">
        <f t="shared" ca="1" si="223"/>
        <v>1</v>
      </c>
      <c r="AO65" s="238">
        <f t="shared" ca="1" si="223"/>
        <v>0</v>
      </c>
      <c r="AP65" s="238">
        <f t="shared" ca="1" si="223"/>
        <v>1</v>
      </c>
      <c r="AQ65" s="238">
        <f t="shared" ca="1" si="223"/>
        <v>0</v>
      </c>
      <c r="AR65" s="238">
        <f t="shared" ca="1" si="223"/>
        <v>0</v>
      </c>
      <c r="AS65" s="238">
        <f t="shared" ca="1" si="223"/>
        <v>0</v>
      </c>
      <c r="AT65" s="239">
        <f t="shared" ca="1" si="223"/>
        <v>0</v>
      </c>
      <c r="AU65" s="420">
        <f ca="1">INDEX($DL$6:$DL$53,MATCH(AI65,$DP$6:$DP$53,0))</f>
        <v>1</v>
      </c>
      <c r="AV65" s="217" t="str">
        <f ca="1">INDEX($BD$6:$BD$53,MATCH(AI65,$BM$6:$BM$53,0))</f>
        <v>Cabo Verde</v>
      </c>
      <c r="AW65" s="427"/>
      <c r="AX65" s="218"/>
      <c r="AY65" s="240" t="str">
        <f ca="1">+A64</f>
        <v>Uruguay</v>
      </c>
      <c r="AZ65" s="241"/>
      <c r="BA65" s="175"/>
      <c r="BB65" s="759" t="str">
        <f t="shared" si="188"/>
        <v>3H</v>
      </c>
      <c r="BC65" s="756" t="s">
        <v>437</v>
      </c>
      <c r="BD65" s="744" t="str">
        <f t="shared" ca="1" si="175"/>
        <v>España</v>
      </c>
      <c r="BE65" s="748">
        <f t="shared" ca="1" si="189"/>
        <v>1</v>
      </c>
      <c r="BF65" s="748">
        <f t="shared" ca="1" si="190"/>
        <v>1</v>
      </c>
      <c r="BG65" s="748">
        <f t="shared" ca="1" si="191"/>
        <v>0</v>
      </c>
      <c r="BH65" s="748">
        <f t="shared" ca="1" si="192"/>
        <v>1</v>
      </c>
      <c r="BI65" s="748">
        <f t="shared" ca="1" si="176"/>
        <v>0</v>
      </c>
      <c r="BJ65" s="748">
        <f t="shared" ca="1" si="177"/>
        <v>0</v>
      </c>
      <c r="BK65" s="748">
        <f t="shared" ca="1" si="178"/>
        <v>0</v>
      </c>
      <c r="BL65" s="748">
        <f t="shared" ca="1" si="193"/>
        <v>0</v>
      </c>
      <c r="BM65" s="748">
        <f t="shared" ca="1" si="194"/>
        <v>6</v>
      </c>
      <c r="BN65" s="748">
        <f t="shared" ca="1" si="195"/>
        <v>6</v>
      </c>
      <c r="BO65" s="738" t="str">
        <f t="shared" si="196"/>
        <v>4H</v>
      </c>
      <c r="BP65" s="738"/>
      <c r="BQ65" s="738"/>
      <c r="BR65" s="748">
        <f t="shared" ca="1" si="179"/>
        <v>1</v>
      </c>
      <c r="BS65" s="748">
        <f t="shared" ca="1" si="197"/>
        <v>3</v>
      </c>
      <c r="BT65" s="748" t="str">
        <f t="shared" ca="1" si="198"/>
        <v>Pos. 3 (6)</v>
      </c>
      <c r="BU65" s="748">
        <f t="shared" ca="1" si="180"/>
        <v>0</v>
      </c>
      <c r="BV65" s="748">
        <f t="shared" ca="1" si="181"/>
        <v>3</v>
      </c>
      <c r="BW65" s="748" t="str">
        <f t="shared" ca="1" si="182"/>
        <v>Pos. 3 (4)</v>
      </c>
      <c r="BX65" s="748">
        <f t="shared" ca="1" si="183"/>
        <v>0</v>
      </c>
      <c r="BY65" s="748">
        <f t="shared" ca="1" si="184"/>
        <v>6</v>
      </c>
      <c r="BZ65" s="748" t="str">
        <f t="shared" ca="1" si="185"/>
        <v>-</v>
      </c>
      <c r="CA65" s="748" t="str">
        <f t="shared" ca="1" si="199"/>
        <v>-</v>
      </c>
      <c r="CB65" s="748">
        <f t="shared" ca="1" si="200"/>
        <v>6</v>
      </c>
      <c r="CC65" s="748"/>
      <c r="CD65" s="748">
        <f t="shared" ca="1" si="201"/>
        <v>6</v>
      </c>
      <c r="CE65" s="748" t="str">
        <f t="shared" ca="1" si="202"/>
        <v>-</v>
      </c>
      <c r="CF65" s="748">
        <f t="shared" ca="1" si="203"/>
        <v>6</v>
      </c>
      <c r="CG65" s="748"/>
      <c r="CH65" s="748"/>
      <c r="CI65" s="748"/>
      <c r="CJ65" s="748"/>
      <c r="CK65" s="748"/>
      <c r="CL65" s="748"/>
      <c r="CM65" s="748"/>
      <c r="CN65" s="748"/>
      <c r="CO65" s="748"/>
      <c r="CP65" s="748"/>
      <c r="CQ65" s="748"/>
      <c r="CR65" s="748"/>
      <c r="CS65" s="748"/>
      <c r="CT65" s="748"/>
      <c r="CU65" s="748"/>
      <c r="CV65" s="748"/>
      <c r="CW65" s="744"/>
      <c r="CX65" s="744"/>
      <c r="CY65" s="744"/>
      <c r="CZ65" s="744"/>
      <c r="DA65" s="744"/>
      <c r="DB65" s="744"/>
      <c r="DC65" s="744"/>
      <c r="DD65" s="744"/>
      <c r="DE65" s="744"/>
      <c r="DF65" s="744"/>
      <c r="DG65" s="744"/>
      <c r="DH65" s="744"/>
      <c r="DI65" s="744"/>
      <c r="DJ65" s="744">
        <f t="shared" ca="1" si="186"/>
        <v>8</v>
      </c>
      <c r="DK65" s="744"/>
      <c r="DL65" s="744">
        <f t="shared" ca="1" si="204"/>
        <v>1</v>
      </c>
      <c r="DM65" s="738" t="str">
        <f t="shared" ca="1" si="187"/>
        <v>8.1</v>
      </c>
      <c r="DN65" s="744" cm="1">
        <f t="array" aca="1" ref="DN65" ca="1">OFFSET(Horarios!$P$3,DJ65-1,0,DL65,1)</f>
        <v>8</v>
      </c>
      <c r="DO65" s="744"/>
      <c r="DP65" s="744">
        <v>8</v>
      </c>
      <c r="DQ65" s="744" t="str">
        <f t="shared" ca="1" si="205"/>
        <v>Bosnia y Herzegovina</v>
      </c>
      <c r="DR65" s="744"/>
      <c r="DS65" s="744"/>
      <c r="DT65" s="744" t="str">
        <f t="shared" ca="1" si="15"/>
        <v>Uruguay-España</v>
      </c>
      <c r="DU65" s="744"/>
      <c r="DV65" s="744"/>
      <c r="DW65" s="8"/>
    </row>
    <row r="66" spans="1:127" ht="15" thickBot="1">
      <c r="A66" s="739"/>
      <c r="B66" s="742"/>
      <c r="C66" s="739"/>
      <c r="D66" s="744"/>
      <c r="E66" s="744"/>
      <c r="F66" s="744"/>
      <c r="G66" s="744"/>
      <c r="H66" s="744"/>
      <c r="I66" s="744"/>
      <c r="J66" s="744"/>
      <c r="K66" s="744"/>
      <c r="L66" s="744"/>
      <c r="M66" s="744"/>
      <c r="N66" s="744"/>
      <c r="O66" s="744"/>
      <c r="P66" s="744"/>
      <c r="Q66" s="744"/>
      <c r="R66" s="744"/>
      <c r="S66" s="744"/>
      <c r="T66" s="744"/>
      <c r="U66" s="744"/>
      <c r="V66" s="172"/>
      <c r="W66" s="242"/>
      <c r="X66" s="243"/>
      <c r="Y66" s="242"/>
      <c r="Z66" s="244"/>
      <c r="AA66" s="245"/>
      <c r="AB66" s="482"/>
      <c r="AC66" s="247"/>
      <c r="AD66" s="247"/>
      <c r="AE66" s="482"/>
      <c r="AF66" s="248"/>
      <c r="AG66" s="415"/>
      <c r="AH66" s="196"/>
      <c r="AI66" s="171"/>
      <c r="AJ66" s="249"/>
      <c r="AK66" s="250"/>
      <c r="AL66" s="186"/>
      <c r="AM66" s="251"/>
      <c r="AN66" s="249"/>
      <c r="AO66" s="249"/>
      <c r="AP66" s="249"/>
      <c r="AQ66" s="249"/>
      <c r="AR66" s="249"/>
      <c r="AS66" s="249"/>
      <c r="AT66" s="249"/>
      <c r="AU66" s="420"/>
      <c r="AV66" s="216"/>
      <c r="AW66" s="428"/>
      <c r="AX66" s="218"/>
      <c r="AY66" s="242"/>
      <c r="AZ66" s="243"/>
      <c r="BA66" s="175"/>
      <c r="BB66" s="759" t="str">
        <f t="shared" si="188"/>
        <v>3I</v>
      </c>
      <c r="BC66" s="756" t="s">
        <v>438</v>
      </c>
      <c r="BD66" s="744" t="str">
        <f t="shared" ca="1" si="175"/>
        <v>Senegal</v>
      </c>
      <c r="BE66" s="748">
        <f t="shared" ca="1" si="189"/>
        <v>0</v>
      </c>
      <c r="BF66" s="748">
        <f t="shared" ca="1" si="190"/>
        <v>1</v>
      </c>
      <c r="BG66" s="748">
        <f t="shared" ca="1" si="191"/>
        <v>0</v>
      </c>
      <c r="BH66" s="748">
        <f t="shared" ca="1" si="192"/>
        <v>0</v>
      </c>
      <c r="BI66" s="748">
        <f t="shared" ca="1" si="176"/>
        <v>1</v>
      </c>
      <c r="BJ66" s="748">
        <f t="shared" ca="1" si="177"/>
        <v>1</v>
      </c>
      <c r="BK66" s="748">
        <f t="shared" ca="1" si="178"/>
        <v>3</v>
      </c>
      <c r="BL66" s="748">
        <f t="shared" ca="1" si="193"/>
        <v>-2</v>
      </c>
      <c r="BM66" s="748">
        <f t="shared" ca="1" si="194"/>
        <v>12</v>
      </c>
      <c r="BN66" s="748">
        <f t="shared" ca="1" si="195"/>
        <v>12</v>
      </c>
      <c r="BO66" s="738" t="str">
        <f t="shared" si="196"/>
        <v>4I</v>
      </c>
      <c r="BP66" s="738"/>
      <c r="BQ66" s="738"/>
      <c r="BR66" s="748">
        <f t="shared" ca="1" si="179"/>
        <v>0</v>
      </c>
      <c r="BS66" s="748">
        <f t="shared" ca="1" si="197"/>
        <v>9</v>
      </c>
      <c r="BT66" s="748" t="str">
        <f t="shared" ca="1" si="198"/>
        <v>Pos. 9 (4)</v>
      </c>
      <c r="BU66" s="748">
        <f t="shared" ca="1" si="180"/>
        <v>-2</v>
      </c>
      <c r="BV66" s="748">
        <f t="shared" ca="1" si="181"/>
        <v>11</v>
      </c>
      <c r="BW66" s="748" t="str">
        <f t="shared" ca="1" si="182"/>
        <v>Pos. 11 (2)</v>
      </c>
      <c r="BX66" s="748">
        <f t="shared" ca="1" si="183"/>
        <v>1</v>
      </c>
      <c r="BY66" s="748">
        <f t="shared" ca="1" si="184"/>
        <v>11</v>
      </c>
      <c r="BZ66" s="748" t="str">
        <f t="shared" ca="1" si="185"/>
        <v>Pos. 11 (2)</v>
      </c>
      <c r="CA66" s="748">
        <f t="shared" ca="1" si="199"/>
        <v>0</v>
      </c>
      <c r="CB66" s="748">
        <f t="shared" ca="1" si="200"/>
        <v>12</v>
      </c>
      <c r="CC66" s="748"/>
      <c r="CD66" s="748">
        <f t="shared" ca="1" si="201"/>
        <v>12</v>
      </c>
      <c r="CE66" s="748">
        <f t="shared" ca="1" si="202"/>
        <v>11</v>
      </c>
      <c r="CF66" s="748">
        <f t="shared" ca="1" si="203"/>
        <v>12</v>
      </c>
      <c r="CG66" s="748"/>
      <c r="CH66" s="748"/>
      <c r="CI66" s="748"/>
      <c r="CJ66" s="748"/>
      <c r="CK66" s="748"/>
      <c r="CL66" s="748"/>
      <c r="CM66" s="748"/>
      <c r="CN66" s="748"/>
      <c r="CO66" s="748"/>
      <c r="CP66" s="748"/>
      <c r="CQ66" s="748"/>
      <c r="CR66" s="748"/>
      <c r="CS66" s="748"/>
      <c r="CT66" s="748"/>
      <c r="CU66" s="748"/>
      <c r="CV66" s="748"/>
      <c r="CW66" s="744"/>
      <c r="CX66" s="744"/>
      <c r="CY66" s="744"/>
      <c r="CZ66" s="744"/>
      <c r="DA66" s="744"/>
      <c r="DB66" s="744"/>
      <c r="DC66" s="744"/>
      <c r="DD66" s="744"/>
      <c r="DE66" s="744"/>
      <c r="DF66" s="744"/>
      <c r="DG66" s="744"/>
      <c r="DH66" s="744"/>
      <c r="DI66" s="744"/>
      <c r="DJ66" s="744">
        <f t="shared" ca="1" si="186"/>
        <v>9</v>
      </c>
      <c r="DK66" s="744"/>
      <c r="DL66" s="744">
        <f t="shared" ca="1" si="204"/>
        <v>1</v>
      </c>
      <c r="DM66" s="738" t="str">
        <f t="shared" ca="1" si="187"/>
        <v>9.1</v>
      </c>
      <c r="DN66" s="744" cm="1">
        <f t="array" aca="1" ref="DN66" ca="1">OFFSET(Horarios!$P$3,DJ66-1,0,DL66,1)</f>
        <v>9</v>
      </c>
      <c r="DO66" s="744"/>
      <c r="DP66" s="744">
        <v>9</v>
      </c>
      <c r="DQ66" s="744" t="str">
        <f t="shared" ca="1" si="205"/>
        <v>Ecuador</v>
      </c>
      <c r="DR66" s="744"/>
      <c r="DS66" s="744"/>
      <c r="DT66" s="744" t="str">
        <f t="shared" si="15"/>
        <v>-</v>
      </c>
      <c r="DU66" s="744"/>
      <c r="DV66" s="744"/>
      <c r="DW66" s="8"/>
    </row>
    <row r="67" spans="1:127" ht="15" thickBot="1">
      <c r="A67" s="739"/>
      <c r="B67" s="742"/>
      <c r="C67" s="739"/>
      <c r="D67" s="739"/>
      <c r="E67" s="739"/>
      <c r="F67" s="739"/>
      <c r="G67" s="739"/>
      <c r="H67" s="739"/>
      <c r="I67" s="739"/>
      <c r="J67" s="739"/>
      <c r="K67" s="739"/>
      <c r="L67" s="739"/>
      <c r="M67" s="739"/>
      <c r="N67" s="744"/>
      <c r="O67" s="744"/>
      <c r="P67" s="744"/>
      <c r="Q67" s="744"/>
      <c r="R67" s="744"/>
      <c r="S67" s="744"/>
      <c r="T67" s="744"/>
      <c r="U67" s="744"/>
      <c r="V67" s="172"/>
      <c r="W67" s="179"/>
      <c r="X67" s="180" t="str">
        <f>X3</f>
        <v>Fecha</v>
      </c>
      <c r="Y67" s="180" t="str">
        <f>Y3</f>
        <v>Hora</v>
      </c>
      <c r="Z67" s="181" t="str">
        <f>Z3</f>
        <v>Jor.</v>
      </c>
      <c r="AA67" s="182" t="str">
        <f>AA3</f>
        <v>Casa</v>
      </c>
      <c r="AB67" s="181"/>
      <c r="AC67" s="181" t="str">
        <f>AC3</f>
        <v>Gol</v>
      </c>
      <c r="AD67" s="181" t="str">
        <f>AD3</f>
        <v>Gol</v>
      </c>
      <c r="AE67" s="181"/>
      <c r="AF67" s="184" t="str">
        <f>AF3</f>
        <v>Fuera</v>
      </c>
      <c r="AG67" s="414"/>
      <c r="AH67" s="196"/>
      <c r="AI67" s="18"/>
      <c r="AJ67" s="186"/>
      <c r="AK67" s="252"/>
      <c r="AL67" s="186"/>
      <c r="AM67" s="186"/>
      <c r="AN67" s="186"/>
      <c r="AO67" s="186"/>
      <c r="AP67" s="186"/>
      <c r="AQ67" s="186"/>
      <c r="AR67" s="186"/>
      <c r="AS67" s="186"/>
      <c r="AT67" s="186"/>
      <c r="AU67" s="421"/>
      <c r="AV67" s="22"/>
      <c r="AW67" s="429"/>
      <c r="AX67" s="253"/>
      <c r="AY67" s="242"/>
      <c r="AZ67" s="243"/>
      <c r="BA67" s="175"/>
      <c r="BB67" s="759" t="str">
        <f t="shared" si="188"/>
        <v>3J</v>
      </c>
      <c r="BC67" s="756" t="s">
        <v>5</v>
      </c>
      <c r="BD67" s="744" t="str">
        <f t="shared" ca="1" si="175"/>
        <v>Jordania</v>
      </c>
      <c r="BE67" s="748">
        <f t="shared" ca="1" si="189"/>
        <v>0</v>
      </c>
      <c r="BF67" s="748">
        <f t="shared" ca="1" si="190"/>
        <v>1</v>
      </c>
      <c r="BG67" s="748">
        <f t="shared" ca="1" si="191"/>
        <v>0</v>
      </c>
      <c r="BH67" s="748">
        <f t="shared" ca="1" si="192"/>
        <v>0</v>
      </c>
      <c r="BI67" s="748">
        <f t="shared" ca="1" si="176"/>
        <v>1</v>
      </c>
      <c r="BJ67" s="748">
        <f t="shared" ca="1" si="177"/>
        <v>1</v>
      </c>
      <c r="BK67" s="748">
        <f t="shared" ca="1" si="178"/>
        <v>3</v>
      </c>
      <c r="BL67" s="748">
        <f t="shared" ca="1" si="193"/>
        <v>-2</v>
      </c>
      <c r="BM67" s="748">
        <f t="shared" ca="1" si="194"/>
        <v>11</v>
      </c>
      <c r="BN67" s="748">
        <f t="shared" ca="1" si="195"/>
        <v>11</v>
      </c>
      <c r="BO67" s="738" t="str">
        <f t="shared" si="196"/>
        <v>4J</v>
      </c>
      <c r="BP67" s="738"/>
      <c r="BQ67" s="738"/>
      <c r="BR67" s="748">
        <f t="shared" ca="1" si="179"/>
        <v>0</v>
      </c>
      <c r="BS67" s="748">
        <f t="shared" ca="1" si="197"/>
        <v>9</v>
      </c>
      <c r="BT67" s="748" t="str">
        <f t="shared" ca="1" si="198"/>
        <v>Pos. 9 (4)</v>
      </c>
      <c r="BU67" s="748">
        <f t="shared" ca="1" si="180"/>
        <v>-2</v>
      </c>
      <c r="BV67" s="748">
        <f t="shared" ca="1" si="181"/>
        <v>11</v>
      </c>
      <c r="BW67" s="748" t="str">
        <f t="shared" ca="1" si="182"/>
        <v>Pos. 11 (2)</v>
      </c>
      <c r="BX67" s="748">
        <f t="shared" ca="1" si="183"/>
        <v>1</v>
      </c>
      <c r="BY67" s="748">
        <f t="shared" ca="1" si="184"/>
        <v>11</v>
      </c>
      <c r="BZ67" s="748" t="str">
        <f t="shared" ca="1" si="185"/>
        <v>Pos. 11 (2)</v>
      </c>
      <c r="CA67" s="748">
        <f t="shared" ca="1" si="199"/>
        <v>5</v>
      </c>
      <c r="CB67" s="748">
        <f t="shared" ca="1" si="200"/>
        <v>11</v>
      </c>
      <c r="CC67" s="748"/>
      <c r="CD67" s="748">
        <f t="shared" ca="1" si="201"/>
        <v>11</v>
      </c>
      <c r="CE67" s="748">
        <f t="shared" ca="1" si="202"/>
        <v>10</v>
      </c>
      <c r="CF67" s="748">
        <f t="shared" ca="1" si="203"/>
        <v>11</v>
      </c>
      <c r="CG67" s="748"/>
      <c r="CH67" s="748"/>
      <c r="CI67" s="748"/>
      <c r="CJ67" s="748"/>
      <c r="CK67" s="748"/>
      <c r="CL67" s="748"/>
      <c r="CM67" s="748"/>
      <c r="CN67" s="748"/>
      <c r="CO67" s="748"/>
      <c r="CP67" s="748"/>
      <c r="CQ67" s="748"/>
      <c r="CR67" s="748"/>
      <c r="CS67" s="748"/>
      <c r="CT67" s="748"/>
      <c r="CU67" s="748"/>
      <c r="CV67" s="748"/>
      <c r="CW67" s="744"/>
      <c r="CX67" s="744"/>
      <c r="CY67" s="744"/>
      <c r="CZ67" s="744"/>
      <c r="DA67" s="744"/>
      <c r="DB67" s="744"/>
      <c r="DC67" s="744"/>
      <c r="DD67" s="744"/>
      <c r="DE67" s="744"/>
      <c r="DF67" s="744"/>
      <c r="DG67" s="744"/>
      <c r="DH67" s="744"/>
      <c r="DI67" s="744"/>
      <c r="DJ67" s="744">
        <f t="shared" ca="1" si="186"/>
        <v>9</v>
      </c>
      <c r="DK67" s="744"/>
      <c r="DL67" s="744">
        <f t="shared" ca="1" si="204"/>
        <v>1</v>
      </c>
      <c r="DM67" s="738" t="str">
        <f t="shared" ca="1" si="187"/>
        <v>9.1</v>
      </c>
      <c r="DN67" s="744" cm="1">
        <f t="array" aca="1" ref="DN67" ca="1">OFFSET(Horarios!$P$3,DJ67-1,0,DL67,1)</f>
        <v>9</v>
      </c>
      <c r="DO67" s="744"/>
      <c r="DP67" s="744">
        <v>10</v>
      </c>
      <c r="DQ67" s="744" t="str">
        <f t="shared" ca="1" si="205"/>
        <v>Panamá</v>
      </c>
      <c r="DR67" s="744"/>
      <c r="DS67" s="744"/>
      <c r="DT67" s="744" t="str">
        <f t="shared" si="15"/>
        <v>Casa-Fuera</v>
      </c>
      <c r="DU67" s="744"/>
      <c r="DV67" s="744"/>
      <c r="DW67" s="8"/>
    </row>
    <row r="68" spans="1:127" ht="15" customHeight="1" thickBot="1">
      <c r="A68" s="741" t="s">
        <v>30</v>
      </c>
      <c r="B68" s="742" t="s">
        <v>438</v>
      </c>
      <c r="C68" s="743">
        <f>COUNTIF(Equipos!$C$2:$C$49,WORLDCUP!B68)</f>
        <v>4</v>
      </c>
      <c r="D68" s="744" t="str">
        <f t="shared" ref="D68:D73" si="225">IF(OR(AC68="",AD68=""),"Pendiente",IF(AC68&gt;AD68,"Local",IF(AC68&lt;AD68,"Visitante","Empate")))</f>
        <v>Local</v>
      </c>
      <c r="E68" s="744" t="str">
        <f t="shared" ref="E68:E73" ca="1" si="226">IF(D68="Pendiente","-",INDEX($BT$6:$BT$53,MATCH($AA68,$BD$6:$BD$53,0)))</f>
        <v>P.1 (2)</v>
      </c>
      <c r="F68" s="744" t="str">
        <f t="shared" ref="F68:F73" ca="1" si="227">IF(D68="Pendiente","-",INDEX($BT$6:$BT$53,MATCH($AF68,$BD$6:$BD$53,0)))</f>
        <v>P.3 (2)</v>
      </c>
      <c r="G68" s="744"/>
      <c r="H68" s="744" t="str">
        <f t="shared" ref="H68:H73" ca="1" si="228">IF(D68="Pendiente","-",INDEX($BZ$6:$BZ$53,MATCH($AA68,$BD$6:$BD$53,0)))</f>
        <v>P.1 (2)</v>
      </c>
      <c r="I68" s="744" t="str">
        <f t="shared" ref="I68:I73" ca="1" si="229">IF(D68="Pendiente","-",INDEX($BZ$6:$BZ$53,MATCH($AF68,$BD$6:$BD$53,0)))</f>
        <v>P.3 (2)</v>
      </c>
      <c r="J68" s="744"/>
      <c r="K68" s="744" t="str">
        <f t="shared" ref="K68:K73" ca="1" si="230">IF(D68="Pendiente","-",INDEX($CE$6:$CE$53,MATCH($AA68,$BD$6:$BD$53,0)))</f>
        <v>P.1 (2)</v>
      </c>
      <c r="L68" s="744" t="str">
        <f t="shared" ref="L68:L73" ca="1" si="231">IF(D68="Pendiente","-",INDEX($CE$6:$CE$53,MATCH($AF68,$BD$6:$BD$53,0)))</f>
        <v>P.3 (2)</v>
      </c>
      <c r="M68" s="744"/>
      <c r="N68" s="744" t="str">
        <f t="shared" ref="N68:N73" ca="1" si="232">IF(D68="Pendiente","-",INDEX($CH$6:$CH$53,MATCH($AA68,$BD$6:$BD$53,0)))</f>
        <v>P.1 (2)</v>
      </c>
      <c r="O68" s="744" t="str">
        <f t="shared" ref="O68:O73" ca="1" si="233">IF(D68="Pendiente","-",INDEX($CH$6:$CH$53,MATCH($AF68,$BD$6:$BD$53,0)))</f>
        <v>P.3 (2)</v>
      </c>
      <c r="P68" s="744"/>
      <c r="Q68" s="744" t="str">
        <f t="shared" ref="Q68:Q73" ca="1" si="234">IF(D68="Pendiente","-",INDEX($CN$6:$CN$53,MATCH($AA68,$BD$6:$BD$53,0)))</f>
        <v>P.1 (2)</v>
      </c>
      <c r="R68" s="744" t="str">
        <f t="shared" ref="R68:R73" ca="1" si="235">IF(D68="Pendiente","-",INDEX($CN$6:$CN$53,MATCH($AF68,$BD$6:$BD$53,0)))</f>
        <v>P.3 (2)</v>
      </c>
      <c r="S68" s="744"/>
      <c r="T68" s="744" t="str">
        <f t="shared" ref="T68:T73" ca="1" si="236">IF(D68="Pendiente","-",INDEX($CS$6:$CS$53,MATCH($AA68,$BD$6:$BD$53,0)))</f>
        <v>P.1 (2)</v>
      </c>
      <c r="U68" s="744" t="str">
        <f t="shared" ref="U68:U73" ca="1" si="237">IF(D68="Pendiente","-",INDEX($CS$6:$CS$53,MATCH($AF68,$BD$6:$BD$53,0)))</f>
        <v>P.3 (2)</v>
      </c>
      <c r="V68" s="172"/>
      <c r="W68" s="829" t="s">
        <v>438</v>
      </c>
      <c r="X68" s="189">
        <f ca="1">Horarios!C68</f>
        <v>46189.875</v>
      </c>
      <c r="Y68" s="190">
        <f ca="1">Horarios!C68</f>
        <v>46189.875</v>
      </c>
      <c r="Z68" s="191" t="str">
        <f>$Z$4</f>
        <v>J1</v>
      </c>
      <c r="AA68" s="192" t="str">
        <f ca="1">A69</f>
        <v>Francia</v>
      </c>
      <c r="AB68" s="478" t="e" cm="1" vm="33">
        <f t="array" aca="1" ref="AB68" ca="1">Ver_flag_local</f>
        <v>#VALUE!</v>
      </c>
      <c r="AC68" s="193">
        <v>3</v>
      </c>
      <c r="AD68" s="194">
        <v>1</v>
      </c>
      <c r="AE68" s="483" t="e" cm="1" vm="34">
        <f t="array" aca="1" ref="AE68" ca="1">Ver_flag_visit</f>
        <v>#VALUE!</v>
      </c>
      <c r="AF68" s="195" t="str">
        <f ca="1">A70</f>
        <v>Senegal</v>
      </c>
      <c r="AG68" s="413">
        <f t="shared" ref="AG68:AG73" si="238">IF(NOT(OR(ISBLANK(AC68),ISBLANK(AD68))),1,0)</f>
        <v>1</v>
      </c>
      <c r="AH68" s="196">
        <v>17</v>
      </c>
      <c r="AI68" s="19"/>
      <c r="AJ68" s="197" t="str">
        <f>CONCATENATE(AJ3," ",B68)</f>
        <v>Grupo I</v>
      </c>
      <c r="AK68" s="198"/>
      <c r="AL68" s="198"/>
      <c r="AM68" s="198"/>
      <c r="AN68" s="198"/>
      <c r="AO68" s="198"/>
      <c r="AP68" s="198"/>
      <c r="AQ68" s="198"/>
      <c r="AR68" s="198"/>
      <c r="AS68" s="198"/>
      <c r="AT68" s="199"/>
      <c r="AU68" s="421"/>
      <c r="AV68" s="200" t="str">
        <f t="shared" ref="AV68" ca="1" si="239">IF(AU69&gt;0,$AV$3,"")</f>
        <v/>
      </c>
      <c r="AW68" s="208"/>
      <c r="AX68" s="255"/>
      <c r="AY68" s="242"/>
      <c r="AZ68" s="243"/>
      <c r="BA68" s="175"/>
      <c r="BB68" s="759" t="str">
        <f t="shared" si="188"/>
        <v>3K</v>
      </c>
      <c r="BC68" s="756" t="s">
        <v>439</v>
      </c>
      <c r="BD68" s="744" t="str">
        <f t="shared" ca="1" si="175"/>
        <v>RD Congo</v>
      </c>
      <c r="BE68" s="748">
        <f t="shared" ca="1" si="189"/>
        <v>1</v>
      </c>
      <c r="BF68" s="748">
        <f t="shared" ca="1" si="190"/>
        <v>1</v>
      </c>
      <c r="BG68" s="748">
        <f t="shared" ca="1" si="191"/>
        <v>0</v>
      </c>
      <c r="BH68" s="748">
        <f t="shared" ca="1" si="192"/>
        <v>1</v>
      </c>
      <c r="BI68" s="748">
        <f t="shared" ca="1" si="176"/>
        <v>0</v>
      </c>
      <c r="BJ68" s="748">
        <f t="shared" ca="1" si="177"/>
        <v>1</v>
      </c>
      <c r="BK68" s="748">
        <f t="shared" ca="1" si="178"/>
        <v>1</v>
      </c>
      <c r="BL68" s="748">
        <f t="shared" ca="1" si="193"/>
        <v>0</v>
      </c>
      <c r="BM68" s="748">
        <f t="shared" ca="1" si="194"/>
        <v>5</v>
      </c>
      <c r="BN68" s="748">
        <f t="shared" ca="1" si="195"/>
        <v>5</v>
      </c>
      <c r="BO68" s="738" t="str">
        <f t="shared" si="196"/>
        <v>4K</v>
      </c>
      <c r="BP68" s="738"/>
      <c r="BQ68" s="738"/>
      <c r="BR68" s="748">
        <f t="shared" ca="1" si="179"/>
        <v>1</v>
      </c>
      <c r="BS68" s="748">
        <f t="shared" ca="1" si="197"/>
        <v>3</v>
      </c>
      <c r="BT68" s="748" t="str">
        <f t="shared" ca="1" si="198"/>
        <v>Pos. 3 (6)</v>
      </c>
      <c r="BU68" s="748">
        <f t="shared" ca="1" si="180"/>
        <v>0</v>
      </c>
      <c r="BV68" s="748">
        <f t="shared" ca="1" si="181"/>
        <v>3</v>
      </c>
      <c r="BW68" s="748" t="str">
        <f t="shared" ca="1" si="182"/>
        <v>Pos. 3 (4)</v>
      </c>
      <c r="BX68" s="748">
        <f t="shared" ca="1" si="183"/>
        <v>1</v>
      </c>
      <c r="BY68" s="748">
        <f t="shared" ca="1" si="184"/>
        <v>4</v>
      </c>
      <c r="BZ68" s="748" t="str">
        <f t="shared" ca="1" si="185"/>
        <v>Pos. 4 (2)</v>
      </c>
      <c r="CA68" s="748">
        <f t="shared" ca="1" si="199"/>
        <v>2</v>
      </c>
      <c r="CB68" s="748">
        <f t="shared" ca="1" si="200"/>
        <v>5</v>
      </c>
      <c r="CC68" s="748"/>
      <c r="CD68" s="748">
        <f t="shared" ca="1" si="201"/>
        <v>5</v>
      </c>
      <c r="CE68" s="748">
        <f t="shared" ca="1" si="202"/>
        <v>4</v>
      </c>
      <c r="CF68" s="748">
        <f t="shared" ca="1" si="203"/>
        <v>5</v>
      </c>
      <c r="CG68" s="748"/>
      <c r="CH68" s="748"/>
      <c r="CI68" s="748"/>
      <c r="CJ68" s="748"/>
      <c r="CK68" s="748"/>
      <c r="CL68" s="748"/>
      <c r="CM68" s="748"/>
      <c r="CN68" s="748"/>
      <c r="CO68" s="748"/>
      <c r="CP68" s="748"/>
      <c r="CQ68" s="748"/>
      <c r="CR68" s="748"/>
      <c r="CS68" s="748"/>
      <c r="CT68" s="748"/>
      <c r="CU68" s="748"/>
      <c r="CV68" s="748"/>
      <c r="CW68" s="744"/>
      <c r="CX68" s="744"/>
      <c r="CY68" s="744"/>
      <c r="CZ68" s="744"/>
      <c r="DA68" s="744"/>
      <c r="DB68" s="744"/>
      <c r="DC68" s="744"/>
      <c r="DD68" s="744"/>
      <c r="DE68" s="744"/>
      <c r="DF68" s="744"/>
      <c r="DG68" s="744"/>
      <c r="DH68" s="744"/>
      <c r="DI68" s="744"/>
      <c r="DJ68" s="744">
        <f t="shared" ca="1" si="186"/>
        <v>11</v>
      </c>
      <c r="DK68" s="744"/>
      <c r="DL68" s="744">
        <f t="shared" ca="1" si="204"/>
        <v>1</v>
      </c>
      <c r="DM68" s="738" t="str">
        <f t="shared" ca="1" si="187"/>
        <v>11.1</v>
      </c>
      <c r="DN68" s="744" cm="1">
        <f t="array" aca="1" ref="DN68" ca="1">OFFSET(Horarios!$P$3,DJ68-1,0,DL68,1)</f>
        <v>11</v>
      </c>
      <c r="DO68" s="744"/>
      <c r="DP68" s="744">
        <v>11</v>
      </c>
      <c r="DQ68" s="744" t="str">
        <f t="shared" ca="1" si="205"/>
        <v>Jordania</v>
      </c>
      <c r="DR68" s="744"/>
      <c r="DS68" s="744"/>
      <c r="DT68" s="744" t="str">
        <f t="shared" ca="1" si="15"/>
        <v>Francia-Senegal</v>
      </c>
      <c r="DU68" s="744"/>
      <c r="DV68" s="744"/>
      <c r="DW68" s="8"/>
    </row>
    <row r="69" spans="1:127" ht="16.05" customHeight="1">
      <c r="A69" s="745" t="str">
        <f ca="1">+Equipos!B34</f>
        <v>Francia</v>
      </c>
      <c r="B69" s="742"/>
      <c r="C69" s="742"/>
      <c r="D69" s="744" t="str">
        <f t="shared" si="225"/>
        <v>Visitante</v>
      </c>
      <c r="E69" s="744" t="str">
        <f t="shared" ca="1" si="226"/>
        <v>P.3 (2)</v>
      </c>
      <c r="F69" s="744" t="str">
        <f t="shared" ca="1" si="227"/>
        <v>P.1 (2)</v>
      </c>
      <c r="G69" s="744"/>
      <c r="H69" s="744" t="str">
        <f t="shared" ca="1" si="228"/>
        <v>P.3 (2)</v>
      </c>
      <c r="I69" s="744" t="str">
        <f t="shared" ca="1" si="229"/>
        <v>P.1 (2)</v>
      </c>
      <c r="J69" s="744"/>
      <c r="K69" s="744" t="str">
        <f t="shared" ca="1" si="230"/>
        <v>P.3 (2)</v>
      </c>
      <c r="L69" s="744" t="str">
        <f t="shared" ca="1" si="231"/>
        <v>P.1 (2)</v>
      </c>
      <c r="M69" s="744"/>
      <c r="N69" s="744" t="str">
        <f t="shared" ca="1" si="232"/>
        <v>P.3 (2)</v>
      </c>
      <c r="O69" s="744" t="str">
        <f t="shared" ca="1" si="233"/>
        <v>P.1 (2)</v>
      </c>
      <c r="P69" s="744"/>
      <c r="Q69" s="744" t="str">
        <f t="shared" ca="1" si="234"/>
        <v>P.3 (2)</v>
      </c>
      <c r="R69" s="744" t="str">
        <f t="shared" ca="1" si="235"/>
        <v>P.1 (2)</v>
      </c>
      <c r="S69" s="744"/>
      <c r="T69" s="744" t="str">
        <f t="shared" ca="1" si="236"/>
        <v>P.3 (2)</v>
      </c>
      <c r="U69" s="744" t="str">
        <f t="shared" ca="1" si="237"/>
        <v>P.1 (2)</v>
      </c>
      <c r="V69" s="172"/>
      <c r="W69" s="829"/>
      <c r="X69" s="189">
        <f ca="1">Horarios!C69</f>
        <v>46190</v>
      </c>
      <c r="Y69" s="190">
        <f ca="1">Horarios!C69</f>
        <v>46190</v>
      </c>
      <c r="Z69" s="191" t="str">
        <f>$Z$4</f>
        <v>J1</v>
      </c>
      <c r="AA69" s="192" t="str">
        <f ca="1">A71</f>
        <v>Irak</v>
      </c>
      <c r="AB69" s="478" t="e" cm="1" vm="35">
        <f t="array" aca="1" ref="AB69" ca="1">Ver_flag_local</f>
        <v>#VALUE!</v>
      </c>
      <c r="AC69" s="193">
        <v>1</v>
      </c>
      <c r="AD69" s="194">
        <v>4</v>
      </c>
      <c r="AE69" s="483" t="e" cm="1" vm="36">
        <f t="array" aca="1" ref="AE69" ca="1">Ver_flag_visit</f>
        <v>#VALUE!</v>
      </c>
      <c r="AF69" s="195" t="str">
        <f ca="1">A72</f>
        <v>Noruega</v>
      </c>
      <c r="AG69" s="413">
        <f t="shared" si="238"/>
        <v>1</v>
      </c>
      <c r="AH69" s="196">
        <v>18</v>
      </c>
      <c r="AI69" s="19"/>
      <c r="AJ69" s="204" t="str">
        <f>AJ5</f>
        <v>Pos</v>
      </c>
      <c r="AK69" s="205"/>
      <c r="AL69" s="206" t="str">
        <f t="shared" ref="AL69:AT69" si="240">AL5</f>
        <v>Selección</v>
      </c>
      <c r="AM69" s="205" t="str">
        <f t="shared" si="240"/>
        <v>Pts</v>
      </c>
      <c r="AN69" s="205" t="str">
        <f t="shared" si="240"/>
        <v>J</v>
      </c>
      <c r="AO69" s="205" t="str">
        <f t="shared" si="240"/>
        <v>G</v>
      </c>
      <c r="AP69" s="205" t="str">
        <f t="shared" si="240"/>
        <v>E</v>
      </c>
      <c r="AQ69" s="205" t="str">
        <f t="shared" si="240"/>
        <v>P</v>
      </c>
      <c r="AR69" s="205" t="str">
        <f t="shared" si="240"/>
        <v>GF</v>
      </c>
      <c r="AS69" s="205" t="str">
        <f t="shared" si="240"/>
        <v>GC</v>
      </c>
      <c r="AT69" s="207" t="str">
        <f t="shared" si="240"/>
        <v>DG</v>
      </c>
      <c r="AU69" s="421">
        <f t="shared" ref="AU69" ca="1" si="241">COUNTIF(AU70:AU73,"&gt;1")</f>
        <v>0</v>
      </c>
      <c r="AV69" s="208"/>
      <c r="AW69" s="208"/>
      <c r="AX69" s="255"/>
      <c r="AY69" s="209" t="str">
        <f>AL69</f>
        <v>Selección</v>
      </c>
      <c r="AZ69" s="210" t="str">
        <f>+Idiomas!$D$69</f>
        <v>Puntos penalizados</v>
      </c>
      <c r="BA69" s="175"/>
      <c r="BB69" s="759" t="str">
        <f t="shared" si="188"/>
        <v>3L</v>
      </c>
      <c r="BC69" s="756" t="s">
        <v>238</v>
      </c>
      <c r="BD69" s="744" t="str">
        <f t="shared" ca="1" si="175"/>
        <v>Panamá</v>
      </c>
      <c r="BE69" s="748">
        <f t="shared" ca="1" si="189"/>
        <v>0</v>
      </c>
      <c r="BF69" s="748">
        <f t="shared" ca="1" si="190"/>
        <v>1</v>
      </c>
      <c r="BG69" s="748">
        <f t="shared" ca="1" si="191"/>
        <v>0</v>
      </c>
      <c r="BH69" s="748">
        <f t="shared" ca="1" si="192"/>
        <v>0</v>
      </c>
      <c r="BI69" s="748">
        <f t="shared" ca="1" si="176"/>
        <v>1</v>
      </c>
      <c r="BJ69" s="748">
        <f t="shared" ca="1" si="177"/>
        <v>0</v>
      </c>
      <c r="BK69" s="748">
        <f t="shared" ca="1" si="178"/>
        <v>1</v>
      </c>
      <c r="BL69" s="748">
        <f t="shared" ca="1" si="193"/>
        <v>-1</v>
      </c>
      <c r="BM69" s="748">
        <f t="shared" ca="1" si="194"/>
        <v>10</v>
      </c>
      <c r="BN69" s="748">
        <f t="shared" ca="1" si="195"/>
        <v>10</v>
      </c>
      <c r="BO69" s="738" t="str">
        <f t="shared" si="196"/>
        <v>4L</v>
      </c>
      <c r="BP69" s="738"/>
      <c r="BQ69" s="738"/>
      <c r="BR69" s="748">
        <f t="shared" ca="1" si="179"/>
        <v>0</v>
      </c>
      <c r="BS69" s="748">
        <f t="shared" ca="1" si="197"/>
        <v>9</v>
      </c>
      <c r="BT69" s="748" t="str">
        <f t="shared" ca="1" si="198"/>
        <v>Pos. 9 (4)</v>
      </c>
      <c r="BU69" s="748">
        <f t="shared" ca="1" si="180"/>
        <v>-1</v>
      </c>
      <c r="BV69" s="748">
        <f t="shared" ca="1" si="181"/>
        <v>9</v>
      </c>
      <c r="BW69" s="748" t="str">
        <f t="shared" ca="1" si="182"/>
        <v>Pos. 9 (2)</v>
      </c>
      <c r="BX69" s="748">
        <f t="shared" ca="1" si="183"/>
        <v>0</v>
      </c>
      <c r="BY69" s="748">
        <f t="shared" ca="1" si="184"/>
        <v>9</v>
      </c>
      <c r="BZ69" s="748" t="str">
        <f t="shared" ca="1" si="185"/>
        <v>Pos. 9 (2)</v>
      </c>
      <c r="CA69" s="748">
        <f t="shared" ca="1" si="199"/>
        <v>4</v>
      </c>
      <c r="CB69" s="748">
        <f ca="1">BY69+COUNTIFS(BZ$58:BZ$69,BZ69,CA$58:CA$69,"&gt;"&amp;CA69)</f>
        <v>10</v>
      </c>
      <c r="CC69" s="748"/>
      <c r="CD69" s="748">
        <f t="shared" ca="1" si="201"/>
        <v>10</v>
      </c>
      <c r="CE69" s="748">
        <f t="shared" ca="1" si="202"/>
        <v>9</v>
      </c>
      <c r="CF69" s="748">
        <f t="shared" ca="1" si="203"/>
        <v>10</v>
      </c>
      <c r="CG69" s="748"/>
      <c r="CH69" s="748"/>
      <c r="CI69" s="748"/>
      <c r="CJ69" s="748"/>
      <c r="CK69" s="748"/>
      <c r="CL69" s="748"/>
      <c r="CM69" s="748"/>
      <c r="CN69" s="748"/>
      <c r="CO69" s="748"/>
      <c r="CP69" s="748"/>
      <c r="CQ69" s="748"/>
      <c r="CR69" s="748"/>
      <c r="CS69" s="748"/>
      <c r="CT69" s="748"/>
      <c r="CU69" s="748"/>
      <c r="CV69" s="748"/>
      <c r="CW69" s="744"/>
      <c r="CX69" s="744"/>
      <c r="CY69" s="744"/>
      <c r="CZ69" s="744"/>
      <c r="DA69" s="744"/>
      <c r="DB69" s="744"/>
      <c r="DC69" s="744"/>
      <c r="DD69" s="744"/>
      <c r="DE69" s="744"/>
      <c r="DF69" s="744"/>
      <c r="DG69" s="744"/>
      <c r="DH69" s="744"/>
      <c r="DI69" s="744"/>
      <c r="DJ69" s="744">
        <f t="shared" ca="1" si="186"/>
        <v>11</v>
      </c>
      <c r="DK69" s="744"/>
      <c r="DL69" s="744">
        <f t="shared" ca="1" si="204"/>
        <v>1</v>
      </c>
      <c r="DM69" s="738" t="str">
        <f t="shared" ca="1" si="187"/>
        <v>11.1</v>
      </c>
      <c r="DN69" s="744" cm="1">
        <f t="array" aca="1" ref="DN69" ca="1">OFFSET(Horarios!$P$3,DJ69-1,0,DL69,1)</f>
        <v>11</v>
      </c>
      <c r="DO69" s="744"/>
      <c r="DP69" s="744">
        <v>12</v>
      </c>
      <c r="DQ69" s="744" t="str">
        <f t="shared" ca="1" si="205"/>
        <v>Senegal</v>
      </c>
      <c r="DR69" s="744"/>
      <c r="DS69" s="744"/>
      <c r="DT69" s="744" t="str">
        <f t="shared" ref="DT69:DT132" ca="1" si="242">AA69&amp;"-"&amp;AF69</f>
        <v>Irak-Noruega</v>
      </c>
      <c r="DU69" s="744"/>
      <c r="DV69" s="744"/>
      <c r="DW69" s="8"/>
    </row>
    <row r="70" spans="1:127" ht="16.05" customHeight="1">
      <c r="A70" s="745" t="str">
        <f ca="1">+Equipos!B35</f>
        <v>Senegal</v>
      </c>
      <c r="B70" s="742"/>
      <c r="C70" s="746"/>
      <c r="D70" s="744" t="str">
        <f t="shared" si="225"/>
        <v>Pendiente</v>
      </c>
      <c r="E70" s="744" t="str">
        <f t="shared" si="226"/>
        <v>-</v>
      </c>
      <c r="F70" s="744" t="str">
        <f t="shared" si="227"/>
        <v>-</v>
      </c>
      <c r="G70" s="744"/>
      <c r="H70" s="744" t="str">
        <f t="shared" si="228"/>
        <v>-</v>
      </c>
      <c r="I70" s="744" t="str">
        <f t="shared" si="229"/>
        <v>-</v>
      </c>
      <c r="J70" s="744"/>
      <c r="K70" s="744" t="str">
        <f t="shared" si="230"/>
        <v>-</v>
      </c>
      <c r="L70" s="744" t="str">
        <f t="shared" si="231"/>
        <v>-</v>
      </c>
      <c r="M70" s="744"/>
      <c r="N70" s="744" t="str">
        <f t="shared" si="232"/>
        <v>-</v>
      </c>
      <c r="O70" s="744" t="str">
        <f t="shared" si="233"/>
        <v>-</v>
      </c>
      <c r="P70" s="744"/>
      <c r="Q70" s="744" t="str">
        <f t="shared" si="234"/>
        <v>-</v>
      </c>
      <c r="R70" s="744" t="str">
        <f t="shared" si="235"/>
        <v>-</v>
      </c>
      <c r="S70" s="744"/>
      <c r="T70" s="744" t="str">
        <f t="shared" si="236"/>
        <v>-</v>
      </c>
      <c r="U70" s="744" t="str">
        <f t="shared" si="237"/>
        <v>-</v>
      </c>
      <c r="V70" s="172"/>
      <c r="W70" s="829"/>
      <c r="X70" s="189">
        <f ca="1">Horarios!C70</f>
        <v>46195.958333333336</v>
      </c>
      <c r="Y70" s="190">
        <f ca="1">Horarios!C70</f>
        <v>46195.958333333336</v>
      </c>
      <c r="Z70" s="191" t="str">
        <f>$Z$6</f>
        <v>J2</v>
      </c>
      <c r="AA70" s="192" t="str">
        <f ca="1">A69</f>
        <v>Francia</v>
      </c>
      <c r="AB70" s="478" t="e" cm="1" vm="33">
        <f t="array" aca="1" ref="AB70" ca="1">Ver_flag_local</f>
        <v>#VALUE!</v>
      </c>
      <c r="AC70" s="193"/>
      <c r="AD70" s="194"/>
      <c r="AE70" s="483" t="e" cm="1" vm="35">
        <f t="array" aca="1" ref="AE70" ca="1">Ver_flag_visit</f>
        <v>#VALUE!</v>
      </c>
      <c r="AF70" s="195" t="str">
        <f ca="1">A71</f>
        <v>Irak</v>
      </c>
      <c r="AG70" s="413">
        <f t="shared" si="238"/>
        <v>0</v>
      </c>
      <c r="AH70" s="196">
        <v>42</v>
      </c>
      <c r="AI70" s="19" t="str">
        <f>AJ70&amp;$B$68</f>
        <v>1I</v>
      </c>
      <c r="AJ70" s="211">
        <v>1</v>
      </c>
      <c r="AK70" s="488" t="e" cm="1" vm="36">
        <f t="array" aca="1" ref="AK70" ca="1">Ver_flag_visit</f>
        <v>#VALUE!</v>
      </c>
      <c r="AL70" s="212" t="str">
        <f ca="1">IFERROR(INDEX($BD$6:$BD$53,MATCH(AI70,$BN$6:$BN$53,0)),"")</f>
        <v>Noruega</v>
      </c>
      <c r="AM70" s="213">
        <f t="shared" ref="AM70:AT73" ca="1" si="243">INDEX($BE$6:$BN$53,MATCH($AL70,$BD$6:$BD$53,0),MATCH(AM$5,$BE$5:$BN$5,0))</f>
        <v>3</v>
      </c>
      <c r="AN70" s="214">
        <f t="shared" ca="1" si="243"/>
        <v>1</v>
      </c>
      <c r="AO70" s="214">
        <f t="shared" ca="1" si="243"/>
        <v>1</v>
      </c>
      <c r="AP70" s="214">
        <f t="shared" ca="1" si="243"/>
        <v>0</v>
      </c>
      <c r="AQ70" s="214">
        <f t="shared" ca="1" si="243"/>
        <v>0</v>
      </c>
      <c r="AR70" s="214">
        <f t="shared" ca="1" si="243"/>
        <v>4</v>
      </c>
      <c r="AS70" s="214">
        <f t="shared" ca="1" si="243"/>
        <v>1</v>
      </c>
      <c r="AT70" s="215">
        <f t="shared" ca="1" si="243"/>
        <v>3</v>
      </c>
      <c r="AU70" s="420">
        <f ca="1">INDEX($DL$6:$DL$53,MATCH(AI70,$DP$6:$DP$53,0))</f>
        <v>1</v>
      </c>
      <c r="AV70" s="217" t="str">
        <f ca="1">INDEX($BD$6:$BD$53,MATCH(AI70,$BM$6:$BM$53,0))</f>
        <v>Noruega</v>
      </c>
      <c r="AW70" s="427"/>
      <c r="AX70" s="218"/>
      <c r="AY70" s="219" t="str">
        <f ca="1">+A69</f>
        <v>Francia</v>
      </c>
      <c r="AZ70" s="220"/>
      <c r="BA70" s="175"/>
      <c r="BB70" s="744"/>
      <c r="BC70" s="744"/>
      <c r="BD70" s="744"/>
      <c r="BE70" s="744"/>
      <c r="BF70" s="744"/>
      <c r="BG70" s="744"/>
      <c r="BH70" s="744"/>
      <c r="BI70" s="744"/>
      <c r="BJ70" s="744"/>
      <c r="BK70" s="744"/>
      <c r="BL70" s="744"/>
      <c r="BM70" s="744"/>
      <c r="BN70" s="749"/>
      <c r="BO70" s="749"/>
      <c r="BP70" s="749"/>
      <c r="BQ70" s="749"/>
      <c r="BR70" s="744"/>
      <c r="BS70" s="744"/>
      <c r="BT70" s="749"/>
      <c r="BU70" s="749"/>
      <c r="BV70" s="749"/>
      <c r="BW70" s="749"/>
      <c r="BX70" s="749"/>
      <c r="BY70" s="749"/>
      <c r="BZ70" s="749"/>
      <c r="CA70" s="749"/>
      <c r="CB70" s="749"/>
      <c r="CC70" s="749"/>
      <c r="CD70" s="749"/>
      <c r="CE70" s="749"/>
      <c r="CF70" s="749"/>
      <c r="CG70" s="749"/>
      <c r="CH70" s="749"/>
      <c r="CI70" s="749"/>
      <c r="CJ70" s="749"/>
      <c r="CK70" s="749"/>
      <c r="CL70" s="749"/>
      <c r="CM70" s="749"/>
      <c r="CN70" s="749"/>
      <c r="CO70" s="749"/>
      <c r="CP70" s="749"/>
      <c r="CQ70" s="749"/>
      <c r="CR70" s="749"/>
      <c r="CS70" s="749"/>
      <c r="CT70" s="749"/>
      <c r="CU70" s="749"/>
      <c r="CV70" s="749"/>
      <c r="CW70" s="744"/>
      <c r="CX70" s="749"/>
      <c r="CY70" s="744"/>
      <c r="CZ70" s="744"/>
      <c r="DA70" s="744"/>
      <c r="DB70" s="744"/>
      <c r="DC70" s="744"/>
      <c r="DD70" s="744"/>
      <c r="DE70" s="744"/>
      <c r="DF70" s="744"/>
      <c r="DG70" s="744"/>
      <c r="DH70" s="744"/>
      <c r="DI70" s="744"/>
      <c r="DJ70" s="744"/>
      <c r="DK70" s="744"/>
      <c r="DL70" s="744"/>
      <c r="DM70" s="744"/>
      <c r="DN70" s="744"/>
      <c r="DO70" s="744"/>
      <c r="DP70" s="744"/>
      <c r="DQ70" s="744"/>
      <c r="DR70" s="744"/>
      <c r="DS70" s="744"/>
      <c r="DT70" s="744" t="str">
        <f t="shared" ca="1" si="242"/>
        <v>Francia-Irak</v>
      </c>
      <c r="DU70" s="744"/>
      <c r="DV70" s="744"/>
      <c r="DW70" s="8"/>
    </row>
    <row r="71" spans="1:127" ht="16.05" customHeight="1">
      <c r="A71" s="745" t="str">
        <f ca="1">+Equipos!B36</f>
        <v>Irak</v>
      </c>
      <c r="B71" s="742"/>
      <c r="C71" s="744"/>
      <c r="D71" s="744" t="str">
        <f t="shared" si="225"/>
        <v>Pendiente</v>
      </c>
      <c r="E71" s="744" t="str">
        <f t="shared" si="226"/>
        <v>-</v>
      </c>
      <c r="F71" s="744" t="str">
        <f t="shared" si="227"/>
        <v>-</v>
      </c>
      <c r="G71" s="744"/>
      <c r="H71" s="744" t="str">
        <f t="shared" si="228"/>
        <v>-</v>
      </c>
      <c r="I71" s="744" t="str">
        <f t="shared" si="229"/>
        <v>-</v>
      </c>
      <c r="J71" s="744"/>
      <c r="K71" s="744" t="str">
        <f t="shared" si="230"/>
        <v>-</v>
      </c>
      <c r="L71" s="744" t="str">
        <f t="shared" si="231"/>
        <v>-</v>
      </c>
      <c r="M71" s="744"/>
      <c r="N71" s="744" t="str">
        <f t="shared" si="232"/>
        <v>-</v>
      </c>
      <c r="O71" s="744" t="str">
        <f t="shared" si="233"/>
        <v>-</v>
      </c>
      <c r="P71" s="744"/>
      <c r="Q71" s="744" t="str">
        <f t="shared" si="234"/>
        <v>-</v>
      </c>
      <c r="R71" s="744" t="str">
        <f t="shared" si="235"/>
        <v>-</v>
      </c>
      <c r="S71" s="744"/>
      <c r="T71" s="744" t="str">
        <f t="shared" si="236"/>
        <v>-</v>
      </c>
      <c r="U71" s="744" t="str">
        <f t="shared" si="237"/>
        <v>-</v>
      </c>
      <c r="V71" s="172"/>
      <c r="W71" s="829"/>
      <c r="X71" s="189">
        <f ca="1">Horarios!C71</f>
        <v>46196.083333333336</v>
      </c>
      <c r="Y71" s="190">
        <f ca="1">Horarios!C71</f>
        <v>46196.083333333336</v>
      </c>
      <c r="Z71" s="191" t="str">
        <f>$Z$6</f>
        <v>J2</v>
      </c>
      <c r="AA71" s="192" t="str">
        <f ca="1">A72</f>
        <v>Noruega</v>
      </c>
      <c r="AB71" s="478" t="e" cm="1" vm="36">
        <f t="array" aca="1" ref="AB71" ca="1">Ver_flag_local</f>
        <v>#VALUE!</v>
      </c>
      <c r="AC71" s="193"/>
      <c r="AD71" s="194"/>
      <c r="AE71" s="483" t="e" cm="1" vm="34">
        <f t="array" aca="1" ref="AE71" ca="1">Ver_flag_visit</f>
        <v>#VALUE!</v>
      </c>
      <c r="AF71" s="195" t="str">
        <f ca="1">A70</f>
        <v>Senegal</v>
      </c>
      <c r="AG71" s="413">
        <f t="shared" si="238"/>
        <v>0</v>
      </c>
      <c r="AH71" s="196">
        <v>41</v>
      </c>
      <c r="AI71" s="19" t="str">
        <f t="shared" ref="AI71:AI73" si="244">AJ71&amp;$B$68</f>
        <v>2I</v>
      </c>
      <c r="AJ71" s="221">
        <v>2</v>
      </c>
      <c r="AK71" s="486" t="e" cm="1" vm="33">
        <f t="array" aca="1" ref="AK71" ca="1">Ver_flag_visit</f>
        <v>#VALUE!</v>
      </c>
      <c r="AL71" s="222" t="str">
        <f ca="1">IFERROR(INDEX($BD$6:$BD$53,MATCH(AI71,$BN$6:$BN$53,0)),"")</f>
        <v>Francia</v>
      </c>
      <c r="AM71" s="223">
        <f t="shared" ca="1" si="243"/>
        <v>3</v>
      </c>
      <c r="AN71" s="224">
        <f t="shared" ca="1" si="243"/>
        <v>1</v>
      </c>
      <c r="AO71" s="224">
        <f t="shared" ca="1" si="243"/>
        <v>1</v>
      </c>
      <c r="AP71" s="224">
        <f t="shared" ca="1" si="243"/>
        <v>0</v>
      </c>
      <c r="AQ71" s="224">
        <f t="shared" ca="1" si="243"/>
        <v>0</v>
      </c>
      <c r="AR71" s="224">
        <f t="shared" ca="1" si="243"/>
        <v>3</v>
      </c>
      <c r="AS71" s="224">
        <f t="shared" ca="1" si="243"/>
        <v>1</v>
      </c>
      <c r="AT71" s="225">
        <f t="shared" ca="1" si="243"/>
        <v>2</v>
      </c>
      <c r="AU71" s="420">
        <f ca="1">INDEX($DL$6:$DL$53,MATCH(AI71,$DP$6:$DP$53,0))</f>
        <v>1</v>
      </c>
      <c r="AV71" s="217" t="str">
        <f ca="1">INDEX($BD$6:$BD$53,MATCH(AI71,$BM$6:$BM$53,0))</f>
        <v>Francia</v>
      </c>
      <c r="AW71" s="427"/>
      <c r="AX71" s="218"/>
      <c r="AY71" s="226" t="str">
        <f ca="1">+A70</f>
        <v>Senegal</v>
      </c>
      <c r="AZ71" s="227"/>
      <c r="BA71" s="175"/>
      <c r="BB71" s="744"/>
      <c r="BC71" s="744"/>
      <c r="BD71" s="744"/>
      <c r="BE71" s="744"/>
      <c r="BF71" s="744"/>
      <c r="BG71" s="744"/>
      <c r="BH71" s="744"/>
      <c r="BI71" s="744"/>
      <c r="BJ71" s="744"/>
      <c r="BK71" s="744"/>
      <c r="BL71" s="744"/>
      <c r="BM71" s="744"/>
      <c r="BN71" s="749"/>
      <c r="BO71" s="749"/>
      <c r="BP71" s="749"/>
      <c r="BQ71" s="749"/>
      <c r="BR71" s="744"/>
      <c r="BS71" s="744"/>
      <c r="BT71" s="749"/>
      <c r="BU71" s="749"/>
      <c r="BV71" s="749"/>
      <c r="BW71" s="749"/>
      <c r="BX71" s="749"/>
      <c r="BY71" s="749"/>
      <c r="BZ71" s="749"/>
      <c r="CA71" s="749"/>
      <c r="CB71" s="749"/>
      <c r="CC71" s="749"/>
      <c r="CD71" s="749"/>
      <c r="CE71" s="749"/>
      <c r="CF71" s="749"/>
      <c r="CG71" s="749"/>
      <c r="CH71" s="749"/>
      <c r="CI71" s="749"/>
      <c r="CJ71" s="749"/>
      <c r="CK71" s="749"/>
      <c r="CL71" s="749"/>
      <c r="CM71" s="749"/>
      <c r="CN71" s="749"/>
      <c r="CO71" s="749"/>
      <c r="CP71" s="749"/>
      <c r="CQ71" s="749"/>
      <c r="CR71" s="749"/>
      <c r="CS71" s="749"/>
      <c r="CT71" s="749"/>
      <c r="CU71" s="749"/>
      <c r="CV71" s="749"/>
      <c r="CW71" s="744"/>
      <c r="CX71" s="749"/>
      <c r="CY71" s="744"/>
      <c r="CZ71" s="744"/>
      <c r="DA71" s="744"/>
      <c r="DB71" s="744"/>
      <c r="DC71" s="744"/>
      <c r="DD71" s="744"/>
      <c r="DE71" s="744"/>
      <c r="DF71" s="744"/>
      <c r="DG71" s="744"/>
      <c r="DH71" s="744"/>
      <c r="DI71" s="744"/>
      <c r="DJ71" s="744"/>
      <c r="DK71" s="744"/>
      <c r="DL71" s="744"/>
      <c r="DM71" s="744"/>
      <c r="DN71" s="744"/>
      <c r="DO71" s="744"/>
      <c r="DP71" s="744"/>
      <c r="DQ71" s="744"/>
      <c r="DR71" s="744"/>
      <c r="DS71" s="744"/>
      <c r="DT71" s="744" t="str">
        <f t="shared" ca="1" si="242"/>
        <v>Noruega-Senegal</v>
      </c>
      <c r="DU71" s="744"/>
      <c r="DV71" s="744"/>
      <c r="DW71" s="8"/>
    </row>
    <row r="72" spans="1:127" ht="16.05" customHeight="1">
      <c r="A72" s="745" t="str">
        <f ca="1">+Equipos!B37</f>
        <v>Noruega</v>
      </c>
      <c r="B72" s="742"/>
      <c r="C72" s="744"/>
      <c r="D72" s="744" t="str">
        <f t="shared" si="225"/>
        <v>Pendiente</v>
      </c>
      <c r="E72" s="744" t="str">
        <f t="shared" si="226"/>
        <v>-</v>
      </c>
      <c r="F72" s="744" t="str">
        <f t="shared" si="227"/>
        <v>-</v>
      </c>
      <c r="G72" s="744"/>
      <c r="H72" s="744" t="str">
        <f t="shared" si="228"/>
        <v>-</v>
      </c>
      <c r="I72" s="744" t="str">
        <f t="shared" si="229"/>
        <v>-</v>
      </c>
      <c r="J72" s="744"/>
      <c r="K72" s="744" t="str">
        <f t="shared" si="230"/>
        <v>-</v>
      </c>
      <c r="L72" s="744" t="str">
        <f t="shared" si="231"/>
        <v>-</v>
      </c>
      <c r="M72" s="744"/>
      <c r="N72" s="744" t="str">
        <f t="shared" si="232"/>
        <v>-</v>
      </c>
      <c r="O72" s="744" t="str">
        <f t="shared" si="233"/>
        <v>-</v>
      </c>
      <c r="P72" s="744"/>
      <c r="Q72" s="744" t="str">
        <f t="shared" si="234"/>
        <v>-</v>
      </c>
      <c r="R72" s="744" t="str">
        <f t="shared" si="235"/>
        <v>-</v>
      </c>
      <c r="S72" s="744"/>
      <c r="T72" s="744" t="str">
        <f t="shared" si="236"/>
        <v>-</v>
      </c>
      <c r="U72" s="744" t="str">
        <f t="shared" si="237"/>
        <v>-</v>
      </c>
      <c r="V72" s="172"/>
      <c r="W72" s="829"/>
      <c r="X72" s="189">
        <f ca="1">Horarios!C72</f>
        <v>46199.875</v>
      </c>
      <c r="Y72" s="190">
        <f ca="1">Horarios!C72</f>
        <v>46199.875</v>
      </c>
      <c r="Z72" s="191" t="str">
        <f>$Z$8</f>
        <v>J3</v>
      </c>
      <c r="AA72" s="192" t="str">
        <f ca="1">A72</f>
        <v>Noruega</v>
      </c>
      <c r="AB72" s="478" t="e" cm="1" vm="36">
        <f t="array" aca="1" ref="AB72" ca="1">Ver_flag_local</f>
        <v>#VALUE!</v>
      </c>
      <c r="AC72" s="193"/>
      <c r="AD72" s="194"/>
      <c r="AE72" s="483" t="e" cm="1" vm="33">
        <f t="array" aca="1" ref="AE72" ca="1">Ver_flag_visit</f>
        <v>#VALUE!</v>
      </c>
      <c r="AF72" s="195" t="str">
        <f ca="1">A69</f>
        <v>Francia</v>
      </c>
      <c r="AG72" s="413">
        <f t="shared" si="238"/>
        <v>0</v>
      </c>
      <c r="AH72" s="196">
        <v>61</v>
      </c>
      <c r="AI72" s="19" t="str">
        <f t="shared" si="244"/>
        <v>3I</v>
      </c>
      <c r="AJ72" s="221">
        <v>3</v>
      </c>
      <c r="AK72" s="486" t="e" cm="1" vm="34">
        <f t="array" aca="1" ref="AK72" ca="1">Ver_flag_visit</f>
        <v>#VALUE!</v>
      </c>
      <c r="AL72" s="222" t="str">
        <f ca="1">IFERROR(INDEX($BD$6:$BD$53,MATCH(AI72,$BN$6:$BN$53,0)),"")</f>
        <v>Senegal</v>
      </c>
      <c r="AM72" s="223">
        <f t="shared" ca="1" si="243"/>
        <v>0</v>
      </c>
      <c r="AN72" s="224">
        <f t="shared" ca="1" si="243"/>
        <v>1</v>
      </c>
      <c r="AO72" s="224">
        <f t="shared" ca="1" si="243"/>
        <v>0</v>
      </c>
      <c r="AP72" s="224">
        <f t="shared" ca="1" si="243"/>
        <v>0</v>
      </c>
      <c r="AQ72" s="224">
        <f t="shared" ca="1" si="243"/>
        <v>1</v>
      </c>
      <c r="AR72" s="224">
        <f t="shared" ca="1" si="243"/>
        <v>1</v>
      </c>
      <c r="AS72" s="224">
        <f t="shared" ca="1" si="243"/>
        <v>3</v>
      </c>
      <c r="AT72" s="225">
        <f t="shared" ca="1" si="243"/>
        <v>-2</v>
      </c>
      <c r="AU72" s="420">
        <f ca="1">INDEX($DL$6:$DL$53,MATCH(AI72,$DP$6:$DP$53,0))</f>
        <v>1</v>
      </c>
      <c r="AV72" s="217" t="str">
        <f ca="1">INDEX($BD$6:$BD$53,MATCH(AI72,$BM$6:$BM$53,0))</f>
        <v>Senegal</v>
      </c>
      <c r="AW72" s="427"/>
      <c r="AX72" s="218"/>
      <c r="AY72" s="219" t="str">
        <f ca="1">+A71</f>
        <v>Irak</v>
      </c>
      <c r="AZ72" s="220"/>
      <c r="BA72" s="175"/>
      <c r="BB72" s="744"/>
      <c r="BC72" s="744"/>
      <c r="BD72" s="744"/>
      <c r="BE72" s="744"/>
      <c r="BF72" s="744"/>
      <c r="BG72" s="744"/>
      <c r="BH72" s="744"/>
      <c r="BI72" s="744"/>
      <c r="BJ72" s="744"/>
      <c r="BK72" s="744"/>
      <c r="BL72" s="744"/>
      <c r="BM72" s="744"/>
      <c r="BN72" s="749"/>
      <c r="BO72" s="749"/>
      <c r="BP72" s="749"/>
      <c r="BQ72" s="749"/>
      <c r="BR72" s="744"/>
      <c r="BS72" s="744"/>
      <c r="BT72" s="749"/>
      <c r="BU72" s="749"/>
      <c r="BV72" s="749"/>
      <c r="BW72" s="749"/>
      <c r="BX72" s="749"/>
      <c r="BY72" s="749"/>
      <c r="BZ72" s="749"/>
      <c r="CA72" s="749"/>
      <c r="CB72" s="749"/>
      <c r="CC72" s="749"/>
      <c r="CD72" s="749"/>
      <c r="CE72" s="749"/>
      <c r="CF72" s="749"/>
      <c r="CG72" s="749"/>
      <c r="CH72" s="749"/>
      <c r="CI72" s="749"/>
      <c r="CJ72" s="749"/>
      <c r="CK72" s="749"/>
      <c r="CL72" s="749"/>
      <c r="CM72" s="749"/>
      <c r="CN72" s="749"/>
      <c r="CO72" s="749"/>
      <c r="CP72" s="749"/>
      <c r="CQ72" s="749"/>
      <c r="CR72" s="749"/>
      <c r="CS72" s="749"/>
      <c r="CT72" s="749"/>
      <c r="CU72" s="749"/>
      <c r="CV72" s="749"/>
      <c r="CW72" s="744"/>
      <c r="CX72" s="749"/>
      <c r="CY72" s="744"/>
      <c r="CZ72" s="744"/>
      <c r="DA72" s="744"/>
      <c r="DB72" s="744"/>
      <c r="DC72" s="744"/>
      <c r="DD72" s="744"/>
      <c r="DE72" s="744"/>
      <c r="DF72" s="744"/>
      <c r="DG72" s="744"/>
      <c r="DH72" s="744"/>
      <c r="DI72" s="744"/>
      <c r="DJ72" s="744"/>
      <c r="DK72" s="744"/>
      <c r="DL72" s="744"/>
      <c r="DM72" s="744"/>
      <c r="DN72" s="744"/>
      <c r="DO72" s="744"/>
      <c r="DP72" s="744"/>
      <c r="DQ72" s="744"/>
      <c r="DR72" s="744"/>
      <c r="DS72" s="744"/>
      <c r="DT72" s="744" t="str">
        <f t="shared" ca="1" si="242"/>
        <v>Noruega-Francia</v>
      </c>
      <c r="DU72" s="744"/>
      <c r="DV72" s="744"/>
      <c r="DW72" s="8"/>
    </row>
    <row r="73" spans="1:127" ht="16.95" customHeight="1" thickBot="1">
      <c r="A73" s="739"/>
      <c r="B73" s="739"/>
      <c r="C73" s="739"/>
      <c r="D73" s="744" t="str">
        <f t="shared" si="225"/>
        <v>Pendiente</v>
      </c>
      <c r="E73" s="744" t="str">
        <f t="shared" si="226"/>
        <v>-</v>
      </c>
      <c r="F73" s="744" t="str">
        <f t="shared" si="227"/>
        <v>-</v>
      </c>
      <c r="G73" s="744"/>
      <c r="H73" s="744" t="str">
        <f t="shared" si="228"/>
        <v>-</v>
      </c>
      <c r="I73" s="744" t="str">
        <f t="shared" si="229"/>
        <v>-</v>
      </c>
      <c r="J73" s="744"/>
      <c r="K73" s="744" t="str">
        <f t="shared" si="230"/>
        <v>-</v>
      </c>
      <c r="L73" s="744" t="str">
        <f t="shared" si="231"/>
        <v>-</v>
      </c>
      <c r="M73" s="744"/>
      <c r="N73" s="744" t="str">
        <f t="shared" si="232"/>
        <v>-</v>
      </c>
      <c r="O73" s="744" t="str">
        <f t="shared" si="233"/>
        <v>-</v>
      </c>
      <c r="P73" s="744"/>
      <c r="Q73" s="744" t="str">
        <f t="shared" si="234"/>
        <v>-</v>
      </c>
      <c r="R73" s="744" t="str">
        <f t="shared" si="235"/>
        <v>-</v>
      </c>
      <c r="S73" s="744"/>
      <c r="T73" s="744" t="str">
        <f t="shared" si="236"/>
        <v>-</v>
      </c>
      <c r="U73" s="744" t="str">
        <f t="shared" si="237"/>
        <v>-</v>
      </c>
      <c r="V73" s="172"/>
      <c r="W73" s="830"/>
      <c r="X73" s="228">
        <f ca="1">Horarios!C73</f>
        <v>46199.875</v>
      </c>
      <c r="Y73" s="229">
        <f ca="1">Horarios!C73</f>
        <v>46199.875</v>
      </c>
      <c r="Z73" s="230" t="str">
        <f>$Z$8</f>
        <v>J3</v>
      </c>
      <c r="AA73" s="231" t="str">
        <f ca="1">A70</f>
        <v>Senegal</v>
      </c>
      <c r="AB73" s="479" t="e" cm="1" vm="34">
        <f t="array" aca="1" ref="AB73" ca="1">Ver_flag_local</f>
        <v>#VALUE!</v>
      </c>
      <c r="AC73" s="232"/>
      <c r="AD73" s="233"/>
      <c r="AE73" s="484" t="e" cm="1" vm="35">
        <f t="array" aca="1" ref="AE73" ca="1">Ver_flag_visit</f>
        <v>#VALUE!</v>
      </c>
      <c r="AF73" s="234" t="str">
        <f ca="1">A71</f>
        <v>Irak</v>
      </c>
      <c r="AG73" s="413">
        <f t="shared" si="238"/>
        <v>0</v>
      </c>
      <c r="AH73" s="196">
        <v>62</v>
      </c>
      <c r="AI73" s="19" t="str">
        <f t="shared" si="244"/>
        <v>4I</v>
      </c>
      <c r="AJ73" s="235">
        <v>4</v>
      </c>
      <c r="AK73" s="487" t="e" cm="1" vm="35">
        <f t="array" aca="1" ref="AK73" ca="1">Ver_flag_visit</f>
        <v>#VALUE!</v>
      </c>
      <c r="AL73" s="236" t="str">
        <f ca="1">IFERROR(INDEX($BD$6:$BD$53,MATCH(AI73,$BN$6:$BN$53,0)),"")</f>
        <v>Irak</v>
      </c>
      <c r="AM73" s="237">
        <f t="shared" ca="1" si="243"/>
        <v>0</v>
      </c>
      <c r="AN73" s="238">
        <f t="shared" ca="1" si="243"/>
        <v>1</v>
      </c>
      <c r="AO73" s="238">
        <f t="shared" ca="1" si="243"/>
        <v>0</v>
      </c>
      <c r="AP73" s="238">
        <f t="shared" ca="1" si="243"/>
        <v>0</v>
      </c>
      <c r="AQ73" s="238">
        <f t="shared" ca="1" si="243"/>
        <v>1</v>
      </c>
      <c r="AR73" s="238">
        <f t="shared" ca="1" si="243"/>
        <v>1</v>
      </c>
      <c r="AS73" s="238">
        <f t="shared" ca="1" si="243"/>
        <v>4</v>
      </c>
      <c r="AT73" s="239">
        <f t="shared" ca="1" si="243"/>
        <v>-3</v>
      </c>
      <c r="AU73" s="420">
        <f ca="1">INDEX($DL$6:$DL$53,MATCH(AI73,$DP$6:$DP$53,0))</f>
        <v>1</v>
      </c>
      <c r="AV73" s="217" t="str">
        <f ca="1">INDEX($BD$6:$BD$53,MATCH(AI73,$BM$6:$BM$53,0))</f>
        <v>Irak</v>
      </c>
      <c r="AW73" s="427"/>
      <c r="AX73" s="218"/>
      <c r="AY73" s="240" t="str">
        <f ca="1">+A72</f>
        <v>Noruega</v>
      </c>
      <c r="AZ73" s="241"/>
      <c r="BA73" s="175"/>
      <c r="BB73" s="744"/>
      <c r="BC73" s="744"/>
      <c r="BD73" s="744"/>
      <c r="BE73" s="744"/>
      <c r="BF73" s="744"/>
      <c r="BG73" s="744"/>
      <c r="BH73" s="744"/>
      <c r="BI73" s="744"/>
      <c r="BJ73" s="744"/>
      <c r="BK73" s="744"/>
      <c r="BL73" s="744"/>
      <c r="BM73" s="744"/>
      <c r="BN73" s="749"/>
      <c r="BO73" s="749"/>
      <c r="BP73" s="749"/>
      <c r="BQ73" s="749"/>
      <c r="BR73" s="744"/>
      <c r="BS73" s="744"/>
      <c r="BT73" s="749"/>
      <c r="BU73" s="749"/>
      <c r="BV73" s="749"/>
      <c r="BW73" s="749"/>
      <c r="BX73" s="749"/>
      <c r="BY73" s="749"/>
      <c r="BZ73" s="749"/>
      <c r="CA73" s="749"/>
      <c r="CB73" s="749"/>
      <c r="CC73" s="749"/>
      <c r="CD73" s="749"/>
      <c r="CE73" s="749"/>
      <c r="CF73" s="749"/>
      <c r="CG73" s="749"/>
      <c r="CH73" s="749"/>
      <c r="CI73" s="749"/>
      <c r="CJ73" s="749"/>
      <c r="CK73" s="749"/>
      <c r="CL73" s="749"/>
      <c r="CM73" s="749"/>
      <c r="CN73" s="749"/>
      <c r="CO73" s="749"/>
      <c r="CP73" s="749"/>
      <c r="CQ73" s="749"/>
      <c r="CR73" s="749"/>
      <c r="CS73" s="749"/>
      <c r="CT73" s="749"/>
      <c r="CU73" s="749"/>
      <c r="CV73" s="749"/>
      <c r="CW73" s="744"/>
      <c r="CX73" s="749"/>
      <c r="CY73" s="744"/>
      <c r="CZ73" s="744"/>
      <c r="DA73" s="744"/>
      <c r="DB73" s="744"/>
      <c r="DC73" s="744"/>
      <c r="DD73" s="744"/>
      <c r="DE73" s="744"/>
      <c r="DF73" s="744"/>
      <c r="DG73" s="744"/>
      <c r="DH73" s="744"/>
      <c r="DI73" s="744"/>
      <c r="DJ73" s="744"/>
      <c r="DK73" s="744"/>
      <c r="DL73" s="744"/>
      <c r="DM73" s="744"/>
      <c r="DN73" s="744"/>
      <c r="DO73" s="744"/>
      <c r="DP73" s="744"/>
      <c r="DQ73" s="744"/>
      <c r="DR73" s="744"/>
      <c r="DS73" s="744"/>
      <c r="DT73" s="744" t="str">
        <f t="shared" ca="1" si="242"/>
        <v>Senegal-Irak</v>
      </c>
      <c r="DU73" s="744"/>
      <c r="DV73" s="744"/>
      <c r="DW73" s="8"/>
    </row>
    <row r="74" spans="1:127" ht="15" thickBot="1">
      <c r="A74" s="739"/>
      <c r="B74" s="739"/>
      <c r="C74" s="739"/>
      <c r="D74" s="744"/>
      <c r="E74" s="744"/>
      <c r="F74" s="744"/>
      <c r="G74" s="744"/>
      <c r="H74" s="744"/>
      <c r="I74" s="744"/>
      <c r="J74" s="744"/>
      <c r="K74" s="744"/>
      <c r="L74" s="744"/>
      <c r="M74" s="744"/>
      <c r="N74" s="744"/>
      <c r="O74" s="744"/>
      <c r="P74" s="744"/>
      <c r="Q74" s="744"/>
      <c r="R74" s="744"/>
      <c r="S74" s="744"/>
      <c r="T74" s="744"/>
      <c r="U74" s="744"/>
      <c r="V74" s="172"/>
      <c r="W74" s="242"/>
      <c r="X74" s="243"/>
      <c r="Y74" s="242"/>
      <c r="Z74" s="244"/>
      <c r="AA74" s="245"/>
      <c r="AB74" s="482"/>
      <c r="AC74" s="247"/>
      <c r="AD74" s="247"/>
      <c r="AE74" s="482"/>
      <c r="AF74" s="248"/>
      <c r="AG74" s="415"/>
      <c r="AH74" s="196"/>
      <c r="AI74" s="171"/>
      <c r="AJ74" s="249"/>
      <c r="AK74" s="250"/>
      <c r="AL74" s="186"/>
      <c r="AM74" s="251"/>
      <c r="AN74" s="249"/>
      <c r="AO74" s="249"/>
      <c r="AP74" s="249"/>
      <c r="AQ74" s="249"/>
      <c r="AR74" s="249"/>
      <c r="AS74" s="249"/>
      <c r="AT74" s="249"/>
      <c r="AU74" s="420"/>
      <c r="AV74" s="216"/>
      <c r="AW74" s="428"/>
      <c r="AX74" s="218"/>
      <c r="AY74" s="242"/>
      <c r="AZ74" s="243"/>
      <c r="BA74" s="175"/>
      <c r="BB74" s="744"/>
      <c r="BC74" s="744"/>
      <c r="BD74" s="744"/>
      <c r="BE74" s="744"/>
      <c r="BF74" s="744"/>
      <c r="BG74" s="744"/>
      <c r="BH74" s="744"/>
      <c r="BI74" s="744"/>
      <c r="BJ74" s="744"/>
      <c r="BK74" s="744"/>
      <c r="BL74" s="744"/>
      <c r="BM74" s="744"/>
      <c r="BN74" s="749"/>
      <c r="BO74" s="749"/>
      <c r="BP74" s="749"/>
      <c r="BQ74" s="749"/>
      <c r="BR74" s="744"/>
      <c r="BS74" s="744"/>
      <c r="BT74" s="749"/>
      <c r="BU74" s="749"/>
      <c r="BV74" s="749"/>
      <c r="BW74" s="749"/>
      <c r="BX74" s="749"/>
      <c r="BY74" s="749"/>
      <c r="BZ74" s="749"/>
      <c r="CA74" s="749"/>
      <c r="CB74" s="749"/>
      <c r="CC74" s="749"/>
      <c r="CD74" s="749"/>
      <c r="CE74" s="749"/>
      <c r="CF74" s="749"/>
      <c r="CG74" s="749"/>
      <c r="CH74" s="749"/>
      <c r="CI74" s="749"/>
      <c r="CJ74" s="749"/>
      <c r="CK74" s="749"/>
      <c r="CL74" s="749"/>
      <c r="CM74" s="749"/>
      <c r="CN74" s="749"/>
      <c r="CO74" s="749"/>
      <c r="CP74" s="749"/>
      <c r="CQ74" s="749"/>
      <c r="CR74" s="749"/>
      <c r="CS74" s="749"/>
      <c r="CT74" s="749"/>
      <c r="CU74" s="749"/>
      <c r="CV74" s="749"/>
      <c r="CW74" s="744"/>
      <c r="CX74" s="749"/>
      <c r="CY74" s="744"/>
      <c r="CZ74" s="744"/>
      <c r="DA74" s="744"/>
      <c r="DB74" s="744"/>
      <c r="DC74" s="744"/>
      <c r="DD74" s="744"/>
      <c r="DE74" s="744"/>
      <c r="DF74" s="744"/>
      <c r="DG74" s="744"/>
      <c r="DH74" s="744"/>
      <c r="DI74" s="744"/>
      <c r="DJ74" s="744"/>
      <c r="DK74" s="744"/>
      <c r="DL74" s="744"/>
      <c r="DM74" s="744"/>
      <c r="DN74" s="744"/>
      <c r="DO74" s="744"/>
      <c r="DP74" s="744"/>
      <c r="DQ74" s="744"/>
      <c r="DR74" s="744"/>
      <c r="DS74" s="744"/>
      <c r="DT74" s="744" t="str">
        <f t="shared" si="242"/>
        <v>-</v>
      </c>
      <c r="DU74" s="744"/>
      <c r="DV74" s="744"/>
      <c r="DW74" s="8"/>
    </row>
    <row r="75" spans="1:127" ht="15" thickBot="1">
      <c r="A75" s="739"/>
      <c r="B75" s="742"/>
      <c r="C75" s="739"/>
      <c r="D75" s="739"/>
      <c r="E75" s="739"/>
      <c r="F75" s="739"/>
      <c r="G75" s="739"/>
      <c r="H75" s="739"/>
      <c r="I75" s="739"/>
      <c r="J75" s="739"/>
      <c r="K75" s="739"/>
      <c r="L75" s="739"/>
      <c r="M75" s="739"/>
      <c r="N75" s="744"/>
      <c r="O75" s="744"/>
      <c r="P75" s="744"/>
      <c r="Q75" s="744"/>
      <c r="R75" s="744"/>
      <c r="S75" s="744"/>
      <c r="T75" s="744"/>
      <c r="U75" s="744"/>
      <c r="V75" s="172"/>
      <c r="W75" s="179"/>
      <c r="X75" s="180" t="str">
        <f>X3</f>
        <v>Fecha</v>
      </c>
      <c r="Y75" s="180" t="str">
        <f>Y3</f>
        <v>Hora</v>
      </c>
      <c r="Z75" s="181" t="str">
        <f>Z3</f>
        <v>Jor.</v>
      </c>
      <c r="AA75" s="182" t="str">
        <f>AA3</f>
        <v>Casa</v>
      </c>
      <c r="AB75" s="181"/>
      <c r="AC75" s="181" t="str">
        <f>AC3</f>
        <v>Gol</v>
      </c>
      <c r="AD75" s="181" t="str">
        <f>AD3</f>
        <v>Gol</v>
      </c>
      <c r="AE75" s="181"/>
      <c r="AF75" s="184" t="str">
        <f>AF3</f>
        <v>Fuera</v>
      </c>
      <c r="AG75" s="414"/>
      <c r="AH75" s="196"/>
      <c r="AI75" s="18"/>
      <c r="AJ75" s="186"/>
      <c r="AK75" s="252"/>
      <c r="AL75" s="186"/>
      <c r="AM75" s="186"/>
      <c r="AN75" s="186"/>
      <c r="AO75" s="186"/>
      <c r="AP75" s="186"/>
      <c r="AQ75" s="186"/>
      <c r="AR75" s="186"/>
      <c r="AS75" s="186"/>
      <c r="AT75" s="186"/>
      <c r="AU75" s="421"/>
      <c r="AV75" s="22"/>
      <c r="AW75" s="429"/>
      <c r="AX75" s="253"/>
      <c r="AY75" s="242"/>
      <c r="AZ75" s="243"/>
      <c r="BA75" s="175"/>
      <c r="BB75" s="744"/>
      <c r="BC75" s="744"/>
      <c r="BD75" s="744"/>
      <c r="BE75" s="744"/>
      <c r="BF75" s="744"/>
      <c r="BG75" s="744"/>
      <c r="BH75" s="744"/>
      <c r="BI75" s="744"/>
      <c r="BJ75" s="744"/>
      <c r="BK75" s="744"/>
      <c r="BL75" s="744"/>
      <c r="BM75" s="744"/>
      <c r="BN75" s="744"/>
      <c r="BO75" s="744"/>
      <c r="BP75" s="744"/>
      <c r="BQ75" s="744"/>
      <c r="BR75" s="744"/>
      <c r="BS75" s="744"/>
      <c r="BT75" s="744"/>
      <c r="BU75" s="744"/>
      <c r="BV75" s="744"/>
      <c r="BW75" s="744"/>
      <c r="BX75" s="744"/>
      <c r="BY75" s="744"/>
      <c r="BZ75" s="744"/>
      <c r="CA75" s="744"/>
      <c r="CB75" s="744"/>
      <c r="CC75" s="744"/>
      <c r="CD75" s="744"/>
      <c r="CE75" s="744"/>
      <c r="CF75" s="744"/>
      <c r="CG75" s="744"/>
      <c r="CH75" s="744"/>
      <c r="CI75" s="744"/>
      <c r="CJ75" s="744"/>
      <c r="CK75" s="744"/>
      <c r="CL75" s="744"/>
      <c r="CM75" s="744"/>
      <c r="CN75" s="744"/>
      <c r="CO75" s="744"/>
      <c r="CP75" s="744"/>
      <c r="CQ75" s="744"/>
      <c r="CR75" s="744"/>
      <c r="CS75" s="744"/>
      <c r="CT75" s="744"/>
      <c r="CU75" s="744"/>
      <c r="CV75" s="744"/>
      <c r="CW75" s="744"/>
      <c r="CX75" s="744"/>
      <c r="CY75" s="744"/>
      <c r="CZ75" s="744"/>
      <c r="DA75" s="744"/>
      <c r="DB75" s="744"/>
      <c r="DC75" s="744"/>
      <c r="DD75" s="744"/>
      <c r="DE75" s="744"/>
      <c r="DF75" s="744"/>
      <c r="DG75" s="744"/>
      <c r="DH75" s="744"/>
      <c r="DI75" s="744"/>
      <c r="DJ75" s="744"/>
      <c r="DK75" s="744"/>
      <c r="DL75" s="744"/>
      <c r="DM75" s="744"/>
      <c r="DN75" s="744"/>
      <c r="DO75" s="744"/>
      <c r="DP75" s="744"/>
      <c r="DQ75" s="744"/>
      <c r="DR75" s="744"/>
      <c r="DS75" s="744"/>
      <c r="DT75" s="744" t="str">
        <f t="shared" si="242"/>
        <v>Casa-Fuera</v>
      </c>
      <c r="DU75" s="744"/>
      <c r="DV75" s="744"/>
      <c r="DW75" s="8"/>
    </row>
    <row r="76" spans="1:127" ht="16.05" customHeight="1" thickBot="1">
      <c r="A76" s="741" t="s">
        <v>30</v>
      </c>
      <c r="B76" s="742" t="s">
        <v>5</v>
      </c>
      <c r="C76" s="743">
        <f>COUNTIF(Equipos!$C$2:$C$49,WORLDCUP!B76)</f>
        <v>4</v>
      </c>
      <c r="D76" s="744" t="str">
        <f t="shared" ref="D76:D81" si="245">IF(OR(AC76="",AD76=""),"Pendiente",IF(AC76&gt;AD76,"Local",IF(AC76&lt;AD76,"Visitante","Empate")))</f>
        <v>Local</v>
      </c>
      <c r="E76" s="744" t="str">
        <f t="shared" ref="E76:E81" ca="1" si="246">IF(D76="Pendiente","-",INDEX($BT$6:$BT$53,MATCH($AA76,$BD$6:$BD$53,0)))</f>
        <v>P.1 (2)</v>
      </c>
      <c r="F76" s="744" t="str">
        <f t="shared" ref="F76:F81" ca="1" si="247">IF(D76="Pendiente","-",INDEX($BT$6:$BT$53,MATCH($AF76,$BD$6:$BD$53,0)))</f>
        <v>P.3 (2)</v>
      </c>
      <c r="G76" s="744"/>
      <c r="H76" s="744" t="str">
        <f t="shared" ref="H76:H81" ca="1" si="248">IF(D76="Pendiente","-",INDEX($BZ$6:$BZ$53,MATCH($AA76,$BD$6:$BD$53,0)))</f>
        <v>P.1 (2)</v>
      </c>
      <c r="I76" s="744" t="str">
        <f t="shared" ref="I76:I81" ca="1" si="249">IF(D76="Pendiente","-",INDEX($BZ$6:$BZ$53,MATCH($AF76,$BD$6:$BD$53,0)))</f>
        <v>P.3 (2)</v>
      </c>
      <c r="J76" s="744"/>
      <c r="K76" s="744" t="str">
        <f t="shared" ref="K76:K81" ca="1" si="250">IF(D76="Pendiente","-",INDEX($CE$6:$CE$53,MATCH($AA76,$BD$6:$BD$53,0)))</f>
        <v>P.1 (2)</v>
      </c>
      <c r="L76" s="744" t="str">
        <f t="shared" ref="L76:L81" ca="1" si="251">IF(D76="Pendiente","-",INDEX($CE$6:$CE$53,MATCH($AF76,$BD$6:$BD$53,0)))</f>
        <v>P.3 (2)</v>
      </c>
      <c r="M76" s="744"/>
      <c r="N76" s="744" t="str">
        <f t="shared" ref="N76:N81" ca="1" si="252">IF(D76="Pendiente","-",INDEX($CH$6:$CH$53,MATCH($AA76,$BD$6:$BD$53,0)))</f>
        <v>P.1 (2)</v>
      </c>
      <c r="O76" s="744" t="str">
        <f t="shared" ref="O76:O81" ca="1" si="253">IF(D76="Pendiente","-",INDEX($CH$6:$CH$53,MATCH($AF76,$BD$6:$BD$53,0)))</f>
        <v>P.3 (2)</v>
      </c>
      <c r="P76" s="744"/>
      <c r="Q76" s="744" t="str">
        <f t="shared" ref="Q76:Q81" ca="1" si="254">IF(D76="Pendiente","-",INDEX($CN$6:$CN$53,MATCH($AA76,$BD$6:$BD$53,0)))</f>
        <v>P.1 (2)</v>
      </c>
      <c r="R76" s="744" t="str">
        <f t="shared" ref="R76:R81" ca="1" si="255">IF(D76="Pendiente","-",INDEX($CN$6:$CN$53,MATCH($AF76,$BD$6:$BD$53,0)))</f>
        <v>P.3 (2)</v>
      </c>
      <c r="S76" s="744"/>
      <c r="T76" s="744" t="str">
        <f t="shared" ref="T76:T81" ca="1" si="256">IF(D76="Pendiente","-",INDEX($CS$6:$CS$53,MATCH($AA76,$BD$6:$BD$53,0)))</f>
        <v>P.1 (2)</v>
      </c>
      <c r="U76" s="744" t="str">
        <f t="shared" ref="U76:U81" ca="1" si="257">IF(D76="Pendiente","-",INDEX($CS$6:$CS$53,MATCH($AF76,$BD$6:$BD$53,0)))</f>
        <v>P.3 (2)</v>
      </c>
      <c r="V76" s="172"/>
      <c r="W76" s="825" t="s">
        <v>5</v>
      </c>
      <c r="X76" s="189">
        <f ca="1">Horarios!C76</f>
        <v>46190.125</v>
      </c>
      <c r="Y76" s="190">
        <f ca="1">Horarios!C76</f>
        <v>46190.125</v>
      </c>
      <c r="Z76" s="191" t="str">
        <f>$Z$4</f>
        <v>J1</v>
      </c>
      <c r="AA76" s="192" t="str">
        <f ca="1">A77</f>
        <v>Argentina</v>
      </c>
      <c r="AB76" s="478" t="e" cm="1" vm="37">
        <f t="array" aca="1" ref="AB76" ca="1">Ver_flag_local</f>
        <v>#VALUE!</v>
      </c>
      <c r="AC76" s="193">
        <v>3</v>
      </c>
      <c r="AD76" s="194">
        <v>0</v>
      </c>
      <c r="AE76" s="483" t="e" cm="1" vm="38">
        <f t="array" aca="1" ref="AE76" ca="1">Ver_flag_visit</f>
        <v>#VALUE!</v>
      </c>
      <c r="AF76" s="195" t="str">
        <f ca="1">A78</f>
        <v>Argelia</v>
      </c>
      <c r="AG76" s="413">
        <f t="shared" ref="AG76:AG81" si="258">IF(NOT(OR(ISBLANK(AC76),ISBLANK(AD76))),1,0)</f>
        <v>1</v>
      </c>
      <c r="AH76" s="196">
        <v>19</v>
      </c>
      <c r="AI76" s="19"/>
      <c r="AJ76" s="197" t="str">
        <f>CONCATENATE(AJ3," ",B76)</f>
        <v>Grupo J</v>
      </c>
      <c r="AK76" s="198"/>
      <c r="AL76" s="198"/>
      <c r="AM76" s="198"/>
      <c r="AN76" s="198"/>
      <c r="AO76" s="198"/>
      <c r="AP76" s="198"/>
      <c r="AQ76" s="198"/>
      <c r="AR76" s="198"/>
      <c r="AS76" s="198"/>
      <c r="AT76" s="199"/>
      <c r="AU76" s="421"/>
      <c r="AV76" s="200" t="str">
        <f t="shared" ref="AV76" ca="1" si="259">IF(AU77&gt;0,$AV$3,"")</f>
        <v/>
      </c>
      <c r="AW76" s="208"/>
      <c r="AX76" s="255"/>
      <c r="AY76" s="242"/>
      <c r="AZ76" s="243"/>
      <c r="BA76" s="175"/>
      <c r="BB76" s="744"/>
      <c r="BC76" s="744"/>
      <c r="BD76" s="744"/>
      <c r="BE76" s="744"/>
      <c r="BF76" s="744"/>
      <c r="BG76" s="744"/>
      <c r="BH76" s="744"/>
      <c r="BI76" s="744"/>
      <c r="BJ76" s="744"/>
      <c r="BK76" s="744"/>
      <c r="BL76" s="744"/>
      <c r="BM76" s="744"/>
      <c r="BN76" s="744"/>
      <c r="BO76" s="744"/>
      <c r="BP76" s="744"/>
      <c r="BQ76" s="744"/>
      <c r="BR76" s="744"/>
      <c r="BS76" s="744"/>
      <c r="BT76" s="744"/>
      <c r="BU76" s="744"/>
      <c r="BV76" s="744"/>
      <c r="BW76" s="744"/>
      <c r="BX76" s="744"/>
      <c r="BY76" s="744"/>
      <c r="BZ76" s="744"/>
      <c r="CA76" s="744"/>
      <c r="CB76" s="744"/>
      <c r="CC76" s="744"/>
      <c r="CD76" s="744"/>
      <c r="CE76" s="744"/>
      <c r="CF76" s="744"/>
      <c r="CG76" s="744"/>
      <c r="CH76" s="744"/>
      <c r="CI76" s="744"/>
      <c r="CJ76" s="744"/>
      <c r="CK76" s="744"/>
      <c r="CL76" s="744"/>
      <c r="CM76" s="744"/>
      <c r="CN76" s="744"/>
      <c r="CO76" s="744"/>
      <c r="CP76" s="744"/>
      <c r="CQ76" s="744"/>
      <c r="CR76" s="744"/>
      <c r="CS76" s="744"/>
      <c r="CT76" s="744"/>
      <c r="CU76" s="744"/>
      <c r="CV76" s="744"/>
      <c r="CW76" s="744"/>
      <c r="CX76" s="749"/>
      <c r="CY76" s="744"/>
      <c r="CZ76" s="744"/>
      <c r="DA76" s="744"/>
      <c r="DB76" s="744"/>
      <c r="DC76" s="744"/>
      <c r="DD76" s="744"/>
      <c r="DE76" s="744"/>
      <c r="DF76" s="744"/>
      <c r="DG76" s="744"/>
      <c r="DH76" s="744"/>
      <c r="DI76" s="744"/>
      <c r="DJ76" s="744"/>
      <c r="DK76" s="744"/>
      <c r="DL76" s="744"/>
      <c r="DM76" s="744"/>
      <c r="DN76" s="744"/>
      <c r="DO76" s="744"/>
      <c r="DP76" s="744"/>
      <c r="DQ76" s="744"/>
      <c r="DR76" s="744"/>
      <c r="DS76" s="744"/>
      <c r="DT76" s="744" t="str">
        <f t="shared" ca="1" si="242"/>
        <v>Argentina-Argelia</v>
      </c>
      <c r="DU76" s="744"/>
      <c r="DV76" s="744"/>
      <c r="DW76" s="8"/>
    </row>
    <row r="77" spans="1:127" ht="16.05" customHeight="1">
      <c r="A77" s="745" t="str">
        <f ca="1">+Equipos!B38</f>
        <v>Argentina</v>
      </c>
      <c r="B77" s="742"/>
      <c r="C77" s="742"/>
      <c r="D77" s="744" t="str">
        <f t="shared" si="245"/>
        <v>Local</v>
      </c>
      <c r="E77" s="744" t="str">
        <f t="shared" ca="1" si="246"/>
        <v>P.1 (2)</v>
      </c>
      <c r="F77" s="744" t="str">
        <f t="shared" ca="1" si="247"/>
        <v>P.3 (2)</v>
      </c>
      <c r="G77" s="744"/>
      <c r="H77" s="744" t="str">
        <f t="shared" ca="1" si="248"/>
        <v>P.1 (2)</v>
      </c>
      <c r="I77" s="744" t="str">
        <f t="shared" ca="1" si="249"/>
        <v>P.3 (2)</v>
      </c>
      <c r="J77" s="744"/>
      <c r="K77" s="744" t="str">
        <f t="shared" ca="1" si="250"/>
        <v>P.1 (2)</v>
      </c>
      <c r="L77" s="744" t="str">
        <f t="shared" ca="1" si="251"/>
        <v>P.3 (2)</v>
      </c>
      <c r="M77" s="744"/>
      <c r="N77" s="744" t="str">
        <f t="shared" ca="1" si="252"/>
        <v>P.1 (2)</v>
      </c>
      <c r="O77" s="744" t="str">
        <f t="shared" ca="1" si="253"/>
        <v>P.3 (2)</v>
      </c>
      <c r="P77" s="744"/>
      <c r="Q77" s="744" t="str">
        <f t="shared" ca="1" si="254"/>
        <v>P.1 (2)</v>
      </c>
      <c r="R77" s="744" t="str">
        <f t="shared" ca="1" si="255"/>
        <v>P.3 (2)</v>
      </c>
      <c r="S77" s="744"/>
      <c r="T77" s="744" t="str">
        <f t="shared" ca="1" si="256"/>
        <v>P.1 (2)</v>
      </c>
      <c r="U77" s="744" t="str">
        <f t="shared" ca="1" si="257"/>
        <v>P.3 (2)</v>
      </c>
      <c r="V77" s="172"/>
      <c r="W77" s="825"/>
      <c r="X77" s="189">
        <f ca="1">Horarios!C77</f>
        <v>46190.25</v>
      </c>
      <c r="Y77" s="190">
        <f ca="1">Horarios!C77</f>
        <v>46190.25</v>
      </c>
      <c r="Z77" s="191" t="str">
        <f>$Z$4</f>
        <v>J1</v>
      </c>
      <c r="AA77" s="192" t="str">
        <f ca="1">A79</f>
        <v>Austria</v>
      </c>
      <c r="AB77" s="478" t="e" cm="1" vm="39">
        <f t="array" aca="1" ref="AB77" ca="1">Ver_flag_local</f>
        <v>#VALUE!</v>
      </c>
      <c r="AC77" s="193">
        <v>3</v>
      </c>
      <c r="AD77" s="194">
        <v>1</v>
      </c>
      <c r="AE77" s="483" t="e" cm="1" vm="40">
        <f t="array" aca="1" ref="AE77" ca="1">Ver_flag_visit</f>
        <v>#VALUE!</v>
      </c>
      <c r="AF77" s="195" t="str">
        <f ca="1">A80</f>
        <v>Jordania</v>
      </c>
      <c r="AG77" s="413">
        <f t="shared" si="258"/>
        <v>1</v>
      </c>
      <c r="AH77" s="196">
        <v>20</v>
      </c>
      <c r="AI77" s="19"/>
      <c r="AJ77" s="204" t="str">
        <f>AJ5</f>
        <v>Pos</v>
      </c>
      <c r="AK77" s="205"/>
      <c r="AL77" s="206" t="str">
        <f t="shared" ref="AL77:AT77" si="260">AL5</f>
        <v>Selección</v>
      </c>
      <c r="AM77" s="205" t="str">
        <f t="shared" si="260"/>
        <v>Pts</v>
      </c>
      <c r="AN77" s="205" t="str">
        <f t="shared" si="260"/>
        <v>J</v>
      </c>
      <c r="AO77" s="205" t="str">
        <f t="shared" si="260"/>
        <v>G</v>
      </c>
      <c r="AP77" s="205" t="str">
        <f t="shared" si="260"/>
        <v>E</v>
      </c>
      <c r="AQ77" s="205" t="str">
        <f t="shared" si="260"/>
        <v>P</v>
      </c>
      <c r="AR77" s="205" t="str">
        <f t="shared" si="260"/>
        <v>GF</v>
      </c>
      <c r="AS77" s="205" t="str">
        <f t="shared" si="260"/>
        <v>GC</v>
      </c>
      <c r="AT77" s="207" t="str">
        <f t="shared" si="260"/>
        <v>DG</v>
      </c>
      <c r="AU77" s="421">
        <f t="shared" ref="AU77" ca="1" si="261">COUNTIF(AU78:AU81,"&gt;1")</f>
        <v>0</v>
      </c>
      <c r="AV77" s="208"/>
      <c r="AW77" s="208"/>
      <c r="AX77" s="255"/>
      <c r="AY77" s="209" t="str">
        <f>AL77</f>
        <v>Selección</v>
      </c>
      <c r="AZ77" s="210" t="str">
        <f>+Idiomas!$D$69</f>
        <v>Puntos penalizados</v>
      </c>
      <c r="BA77" s="175"/>
      <c r="BB77" s="744"/>
      <c r="BC77" s="744"/>
      <c r="BD77" s="744"/>
      <c r="BE77" s="744"/>
      <c r="BF77" s="744"/>
      <c r="BG77" s="744"/>
      <c r="BH77" s="744"/>
      <c r="BI77" s="744"/>
      <c r="BJ77" s="744"/>
      <c r="BK77" s="744"/>
      <c r="BL77" s="744"/>
      <c r="BM77" s="744"/>
      <c r="BN77" s="747"/>
      <c r="BO77" s="747"/>
      <c r="BP77" s="747"/>
      <c r="BQ77" s="747"/>
      <c r="BR77" s="744"/>
      <c r="BS77" s="744"/>
      <c r="BT77" s="747"/>
      <c r="BU77" s="747"/>
      <c r="BV77" s="747"/>
      <c r="BW77" s="747"/>
      <c r="BX77" s="747"/>
      <c r="BY77" s="747"/>
      <c r="BZ77" s="747"/>
      <c r="CA77" s="747"/>
      <c r="CB77" s="747"/>
      <c r="CC77" s="747"/>
      <c r="CD77" s="747"/>
      <c r="CE77" s="747"/>
      <c r="CF77" s="747"/>
      <c r="CG77" s="747"/>
      <c r="CH77" s="747"/>
      <c r="CI77" s="747"/>
      <c r="CJ77" s="747"/>
      <c r="CK77" s="747"/>
      <c r="CL77" s="747"/>
      <c r="CM77" s="747"/>
      <c r="CN77" s="747"/>
      <c r="CO77" s="747"/>
      <c r="CP77" s="747"/>
      <c r="CQ77" s="747"/>
      <c r="CR77" s="747"/>
      <c r="CS77" s="747"/>
      <c r="CT77" s="747"/>
      <c r="CU77" s="747"/>
      <c r="CV77" s="747"/>
      <c r="CW77" s="744"/>
      <c r="CX77" s="747"/>
      <c r="CY77" s="744"/>
      <c r="CZ77" s="744"/>
      <c r="DA77" s="744"/>
      <c r="DB77" s="744"/>
      <c r="DC77" s="744"/>
      <c r="DD77" s="744"/>
      <c r="DE77" s="744"/>
      <c r="DF77" s="744"/>
      <c r="DG77" s="744"/>
      <c r="DH77" s="744"/>
      <c r="DI77" s="744"/>
      <c r="DJ77" s="744"/>
      <c r="DK77" s="744"/>
      <c r="DL77" s="744"/>
      <c r="DM77" s="744"/>
      <c r="DN77" s="744"/>
      <c r="DO77" s="744"/>
      <c r="DP77" s="744"/>
      <c r="DQ77" s="744"/>
      <c r="DR77" s="744"/>
      <c r="DS77" s="744"/>
      <c r="DT77" s="744" t="str">
        <f t="shared" ca="1" si="242"/>
        <v>Austria-Jordania</v>
      </c>
      <c r="DU77" s="744"/>
      <c r="DV77" s="744"/>
      <c r="DW77" s="8"/>
    </row>
    <row r="78" spans="1:127" ht="16.05" customHeight="1">
      <c r="A78" s="745" t="str">
        <f ca="1">+Equipos!B39</f>
        <v>Argelia</v>
      </c>
      <c r="B78" s="742"/>
      <c r="C78" s="746"/>
      <c r="D78" s="744" t="str">
        <f t="shared" si="245"/>
        <v>Pendiente</v>
      </c>
      <c r="E78" s="744" t="str">
        <f t="shared" si="246"/>
        <v>-</v>
      </c>
      <c r="F78" s="744" t="str">
        <f t="shared" si="247"/>
        <v>-</v>
      </c>
      <c r="G78" s="744"/>
      <c r="H78" s="744" t="str">
        <f t="shared" si="248"/>
        <v>-</v>
      </c>
      <c r="I78" s="744" t="str">
        <f t="shared" si="249"/>
        <v>-</v>
      </c>
      <c r="J78" s="744"/>
      <c r="K78" s="744" t="str">
        <f t="shared" si="250"/>
        <v>-</v>
      </c>
      <c r="L78" s="744" t="str">
        <f t="shared" si="251"/>
        <v>-</v>
      </c>
      <c r="M78" s="744"/>
      <c r="N78" s="744" t="str">
        <f t="shared" si="252"/>
        <v>-</v>
      </c>
      <c r="O78" s="744" t="str">
        <f t="shared" si="253"/>
        <v>-</v>
      </c>
      <c r="P78" s="744"/>
      <c r="Q78" s="744" t="str">
        <f t="shared" si="254"/>
        <v>-</v>
      </c>
      <c r="R78" s="744" t="str">
        <f t="shared" si="255"/>
        <v>-</v>
      </c>
      <c r="S78" s="744"/>
      <c r="T78" s="744" t="str">
        <f t="shared" si="256"/>
        <v>-</v>
      </c>
      <c r="U78" s="744" t="str">
        <f t="shared" si="257"/>
        <v>-</v>
      </c>
      <c r="V78" s="172"/>
      <c r="W78" s="825"/>
      <c r="X78" s="189">
        <f ca="1">Horarios!C78</f>
        <v>46195.791666666664</v>
      </c>
      <c r="Y78" s="190">
        <f ca="1">Horarios!C78</f>
        <v>46195.791666666664</v>
      </c>
      <c r="Z78" s="191" t="str">
        <f>$Z$6</f>
        <v>J2</v>
      </c>
      <c r="AA78" s="192" t="str">
        <f ca="1">A77</f>
        <v>Argentina</v>
      </c>
      <c r="AB78" s="478" t="e" cm="1" vm="37">
        <f t="array" aca="1" ref="AB78" ca="1">Ver_flag_local</f>
        <v>#VALUE!</v>
      </c>
      <c r="AC78" s="193"/>
      <c r="AD78" s="194"/>
      <c r="AE78" s="483" t="e" cm="1" vm="39">
        <f t="array" aca="1" ref="AE78" ca="1">Ver_flag_visit</f>
        <v>#VALUE!</v>
      </c>
      <c r="AF78" s="195" t="str">
        <f ca="1">A79</f>
        <v>Austria</v>
      </c>
      <c r="AG78" s="413">
        <f t="shared" si="258"/>
        <v>0</v>
      </c>
      <c r="AH78" s="196">
        <v>43</v>
      </c>
      <c r="AI78" s="19" t="str">
        <f>AJ78&amp;$B$76</f>
        <v>1J</v>
      </c>
      <c r="AJ78" s="211">
        <v>1</v>
      </c>
      <c r="AK78" s="488" t="e" cm="1" vm="37">
        <f t="array" aca="1" ref="AK78" ca="1">Ver_flag_visit</f>
        <v>#VALUE!</v>
      </c>
      <c r="AL78" s="212" t="str">
        <f ca="1">IFERROR(INDEX($BD$6:$BD$53,MATCH(AI78,$BN$6:$BN$53,0)),"")</f>
        <v>Argentina</v>
      </c>
      <c r="AM78" s="213">
        <f t="shared" ref="AM78:AT81" ca="1" si="262">INDEX($BE$6:$BN$53,MATCH($AL78,$BD$6:$BD$53,0),MATCH(AM$5,$BE$5:$BN$5,0))</f>
        <v>3</v>
      </c>
      <c r="AN78" s="214">
        <f t="shared" ca="1" si="262"/>
        <v>1</v>
      </c>
      <c r="AO78" s="214">
        <f t="shared" ca="1" si="262"/>
        <v>1</v>
      </c>
      <c r="AP78" s="214">
        <f t="shared" ca="1" si="262"/>
        <v>0</v>
      </c>
      <c r="AQ78" s="214">
        <f t="shared" ca="1" si="262"/>
        <v>0</v>
      </c>
      <c r="AR78" s="214">
        <f t="shared" ca="1" si="262"/>
        <v>3</v>
      </c>
      <c r="AS78" s="214">
        <f t="shared" ca="1" si="262"/>
        <v>0</v>
      </c>
      <c r="AT78" s="215">
        <f t="shared" ca="1" si="262"/>
        <v>3</v>
      </c>
      <c r="AU78" s="420">
        <f ca="1">INDEX($DL$6:$DL$53,MATCH(AI78,$DP$6:$DP$53,0))</f>
        <v>1</v>
      </c>
      <c r="AV78" s="217" t="str">
        <f ca="1">INDEX($BD$6:$BD$53,MATCH(AI78,$BM$6:$BM$53,0))</f>
        <v>Argentina</v>
      </c>
      <c r="AW78" s="427"/>
      <c r="AX78" s="218"/>
      <c r="AY78" s="219" t="str">
        <f ca="1">+A77</f>
        <v>Argentina</v>
      </c>
      <c r="AZ78" s="220"/>
      <c r="BA78" s="175"/>
      <c r="BB78" s="744"/>
      <c r="BC78" s="744"/>
      <c r="BD78" s="744"/>
      <c r="BE78" s="744"/>
      <c r="BF78" s="744"/>
      <c r="BG78" s="744"/>
      <c r="BH78" s="744"/>
      <c r="BI78" s="744"/>
      <c r="BJ78" s="744"/>
      <c r="BK78" s="744"/>
      <c r="BL78" s="744"/>
      <c r="BM78" s="744"/>
      <c r="BN78" s="749"/>
      <c r="BO78" s="749"/>
      <c r="BP78" s="749"/>
      <c r="BQ78" s="749"/>
      <c r="BR78" s="744"/>
      <c r="BS78" s="744"/>
      <c r="BT78" s="749"/>
      <c r="BU78" s="749"/>
      <c r="BV78" s="749"/>
      <c r="BW78" s="749"/>
      <c r="BX78" s="749"/>
      <c r="BY78" s="749"/>
      <c r="BZ78" s="749"/>
      <c r="CA78" s="749"/>
      <c r="CB78" s="749"/>
      <c r="CC78" s="749"/>
      <c r="CD78" s="749"/>
      <c r="CE78" s="749"/>
      <c r="CF78" s="749"/>
      <c r="CG78" s="749"/>
      <c r="CH78" s="749"/>
      <c r="CI78" s="749"/>
      <c r="CJ78" s="749"/>
      <c r="CK78" s="749"/>
      <c r="CL78" s="749"/>
      <c r="CM78" s="749"/>
      <c r="CN78" s="749"/>
      <c r="CO78" s="749"/>
      <c r="CP78" s="749"/>
      <c r="CQ78" s="749"/>
      <c r="CR78" s="749"/>
      <c r="CS78" s="749"/>
      <c r="CT78" s="749"/>
      <c r="CU78" s="749"/>
      <c r="CV78" s="749"/>
      <c r="CW78" s="744"/>
      <c r="CX78" s="749"/>
      <c r="CY78" s="744"/>
      <c r="CZ78" s="744"/>
      <c r="DA78" s="744"/>
      <c r="DB78" s="744"/>
      <c r="DC78" s="744"/>
      <c r="DD78" s="744"/>
      <c r="DE78" s="744"/>
      <c r="DF78" s="744"/>
      <c r="DG78" s="744"/>
      <c r="DH78" s="744"/>
      <c r="DI78" s="744"/>
      <c r="DJ78" s="744"/>
      <c r="DK78" s="744"/>
      <c r="DL78" s="744"/>
      <c r="DM78" s="744"/>
      <c r="DN78" s="744"/>
      <c r="DO78" s="744"/>
      <c r="DP78" s="744"/>
      <c r="DQ78" s="744"/>
      <c r="DR78" s="744"/>
      <c r="DS78" s="744"/>
      <c r="DT78" s="744" t="str">
        <f t="shared" ca="1" si="242"/>
        <v>Argentina-Austria</v>
      </c>
      <c r="DU78" s="744"/>
      <c r="DV78" s="744"/>
      <c r="DW78" s="8"/>
    </row>
    <row r="79" spans="1:127" ht="16.05" customHeight="1">
      <c r="A79" s="745" t="str">
        <f ca="1">+Equipos!B40</f>
        <v>Austria</v>
      </c>
      <c r="B79" s="742"/>
      <c r="C79" s="744"/>
      <c r="D79" s="744" t="str">
        <f t="shared" si="245"/>
        <v>Pendiente</v>
      </c>
      <c r="E79" s="744" t="str">
        <f t="shared" si="246"/>
        <v>-</v>
      </c>
      <c r="F79" s="744" t="str">
        <f t="shared" si="247"/>
        <v>-</v>
      </c>
      <c r="G79" s="744"/>
      <c r="H79" s="744" t="str">
        <f t="shared" si="248"/>
        <v>-</v>
      </c>
      <c r="I79" s="744" t="str">
        <f t="shared" si="249"/>
        <v>-</v>
      </c>
      <c r="J79" s="744"/>
      <c r="K79" s="744" t="str">
        <f t="shared" si="250"/>
        <v>-</v>
      </c>
      <c r="L79" s="744" t="str">
        <f t="shared" si="251"/>
        <v>-</v>
      </c>
      <c r="M79" s="744"/>
      <c r="N79" s="744" t="str">
        <f t="shared" si="252"/>
        <v>-</v>
      </c>
      <c r="O79" s="744" t="str">
        <f t="shared" si="253"/>
        <v>-</v>
      </c>
      <c r="P79" s="744"/>
      <c r="Q79" s="744" t="str">
        <f t="shared" si="254"/>
        <v>-</v>
      </c>
      <c r="R79" s="744" t="str">
        <f t="shared" si="255"/>
        <v>-</v>
      </c>
      <c r="S79" s="744"/>
      <c r="T79" s="744" t="str">
        <f t="shared" si="256"/>
        <v>-</v>
      </c>
      <c r="U79" s="744" t="str">
        <f t="shared" si="257"/>
        <v>-</v>
      </c>
      <c r="V79" s="172"/>
      <c r="W79" s="825"/>
      <c r="X79" s="189">
        <f ca="1">Horarios!C79</f>
        <v>46196.208333333336</v>
      </c>
      <c r="Y79" s="190">
        <f ca="1">Horarios!C79</f>
        <v>46196.208333333336</v>
      </c>
      <c r="Z79" s="191" t="str">
        <f>$Z$6</f>
        <v>J2</v>
      </c>
      <c r="AA79" s="192" t="str">
        <f ca="1">A80</f>
        <v>Jordania</v>
      </c>
      <c r="AB79" s="478" t="e" cm="1" vm="40">
        <f t="array" aca="1" ref="AB79" ca="1">Ver_flag_local</f>
        <v>#VALUE!</v>
      </c>
      <c r="AC79" s="193"/>
      <c r="AD79" s="194"/>
      <c r="AE79" s="483" t="e" cm="1" vm="38">
        <f t="array" aca="1" ref="AE79" ca="1">Ver_flag_visit</f>
        <v>#VALUE!</v>
      </c>
      <c r="AF79" s="195" t="str">
        <f ca="1">A78</f>
        <v>Argelia</v>
      </c>
      <c r="AG79" s="413">
        <f t="shared" si="258"/>
        <v>0</v>
      </c>
      <c r="AH79" s="196">
        <v>44</v>
      </c>
      <c r="AI79" s="19" t="str">
        <f t="shared" ref="AI79:AI81" si="263">AJ79&amp;$B$76</f>
        <v>2J</v>
      </c>
      <c r="AJ79" s="221">
        <v>2</v>
      </c>
      <c r="AK79" s="486" t="e" cm="1" vm="39">
        <f t="array" aca="1" ref="AK79" ca="1">Ver_flag_visit</f>
        <v>#VALUE!</v>
      </c>
      <c r="AL79" s="222" t="str">
        <f ca="1">IFERROR(INDEX($BD$6:$BD$53,MATCH(AI79,$BN$6:$BN$53,0)),"")</f>
        <v>Austria</v>
      </c>
      <c r="AM79" s="223">
        <f t="shared" ca="1" si="262"/>
        <v>3</v>
      </c>
      <c r="AN79" s="224">
        <f t="shared" ca="1" si="262"/>
        <v>1</v>
      </c>
      <c r="AO79" s="224">
        <f t="shared" ca="1" si="262"/>
        <v>1</v>
      </c>
      <c r="AP79" s="224">
        <f t="shared" ca="1" si="262"/>
        <v>0</v>
      </c>
      <c r="AQ79" s="224">
        <f t="shared" ca="1" si="262"/>
        <v>0</v>
      </c>
      <c r="AR79" s="224">
        <f t="shared" ca="1" si="262"/>
        <v>3</v>
      </c>
      <c r="AS79" s="224">
        <f t="shared" ca="1" si="262"/>
        <v>1</v>
      </c>
      <c r="AT79" s="225">
        <f t="shared" ca="1" si="262"/>
        <v>2</v>
      </c>
      <c r="AU79" s="420">
        <f ca="1">INDEX($DL$6:$DL$53,MATCH(AI79,$DP$6:$DP$53,0))</f>
        <v>1</v>
      </c>
      <c r="AV79" s="217" t="str">
        <f ca="1">INDEX($BD$6:$BD$53,MATCH(AI79,$BM$6:$BM$53,0))</f>
        <v>Austria</v>
      </c>
      <c r="AW79" s="427"/>
      <c r="AX79" s="218"/>
      <c r="AY79" s="226" t="str">
        <f ca="1">+A78</f>
        <v>Argelia</v>
      </c>
      <c r="AZ79" s="227"/>
      <c r="BA79" s="175"/>
      <c r="BB79" s="744"/>
      <c r="BC79" s="744"/>
      <c r="BD79" s="744"/>
      <c r="BE79" s="744"/>
      <c r="BF79" s="744"/>
      <c r="BG79" s="744"/>
      <c r="BH79" s="744"/>
      <c r="BI79" s="744"/>
      <c r="BJ79" s="744"/>
      <c r="BK79" s="744"/>
      <c r="BL79" s="744"/>
      <c r="BM79" s="744"/>
      <c r="BN79" s="749"/>
      <c r="BO79" s="749"/>
      <c r="BP79" s="749"/>
      <c r="BQ79" s="749"/>
      <c r="BR79" s="744"/>
      <c r="BS79" s="744"/>
      <c r="BT79" s="749"/>
      <c r="BU79" s="749"/>
      <c r="BV79" s="749"/>
      <c r="BW79" s="749"/>
      <c r="BX79" s="749"/>
      <c r="BY79" s="749"/>
      <c r="BZ79" s="749"/>
      <c r="CA79" s="749"/>
      <c r="CB79" s="749"/>
      <c r="CC79" s="749"/>
      <c r="CD79" s="749"/>
      <c r="CE79" s="749"/>
      <c r="CF79" s="749"/>
      <c r="CG79" s="749"/>
      <c r="CH79" s="749"/>
      <c r="CI79" s="749"/>
      <c r="CJ79" s="749"/>
      <c r="CK79" s="749"/>
      <c r="CL79" s="749"/>
      <c r="CM79" s="749"/>
      <c r="CN79" s="749"/>
      <c r="CO79" s="749"/>
      <c r="CP79" s="749"/>
      <c r="CQ79" s="749"/>
      <c r="CR79" s="749"/>
      <c r="CS79" s="749"/>
      <c r="CT79" s="749"/>
      <c r="CU79" s="749"/>
      <c r="CV79" s="749"/>
      <c r="CW79" s="744"/>
      <c r="CX79" s="749"/>
      <c r="CY79" s="744"/>
      <c r="CZ79" s="744"/>
      <c r="DA79" s="744"/>
      <c r="DB79" s="744"/>
      <c r="DC79" s="744"/>
      <c r="DD79" s="744"/>
      <c r="DE79" s="744"/>
      <c r="DF79" s="744"/>
      <c r="DG79" s="744"/>
      <c r="DH79" s="744"/>
      <c r="DI79" s="744"/>
      <c r="DJ79" s="744"/>
      <c r="DK79" s="744"/>
      <c r="DL79" s="744"/>
      <c r="DM79" s="744"/>
      <c r="DN79" s="744"/>
      <c r="DO79" s="744"/>
      <c r="DP79" s="744"/>
      <c r="DQ79" s="744"/>
      <c r="DR79" s="744"/>
      <c r="DS79" s="744"/>
      <c r="DT79" s="744" t="str">
        <f t="shared" ca="1" si="242"/>
        <v>Jordania-Argelia</v>
      </c>
      <c r="DU79" s="744"/>
      <c r="DV79" s="744"/>
      <c r="DW79" s="8"/>
    </row>
    <row r="80" spans="1:127" ht="16.05" customHeight="1">
      <c r="A80" s="745" t="str">
        <f ca="1">+Equipos!B41</f>
        <v>Jordania</v>
      </c>
      <c r="B80" s="742"/>
      <c r="C80" s="744"/>
      <c r="D80" s="744" t="str">
        <f t="shared" si="245"/>
        <v>Pendiente</v>
      </c>
      <c r="E80" s="744" t="str">
        <f t="shared" si="246"/>
        <v>-</v>
      </c>
      <c r="F80" s="744" t="str">
        <f t="shared" si="247"/>
        <v>-</v>
      </c>
      <c r="G80" s="744"/>
      <c r="H80" s="744" t="str">
        <f t="shared" si="248"/>
        <v>-</v>
      </c>
      <c r="I80" s="744" t="str">
        <f t="shared" si="249"/>
        <v>-</v>
      </c>
      <c r="J80" s="744"/>
      <c r="K80" s="744" t="str">
        <f t="shared" si="250"/>
        <v>-</v>
      </c>
      <c r="L80" s="744" t="str">
        <f t="shared" si="251"/>
        <v>-</v>
      </c>
      <c r="M80" s="744"/>
      <c r="N80" s="744" t="str">
        <f t="shared" si="252"/>
        <v>-</v>
      </c>
      <c r="O80" s="744" t="str">
        <f t="shared" si="253"/>
        <v>-</v>
      </c>
      <c r="P80" s="744"/>
      <c r="Q80" s="744" t="str">
        <f t="shared" si="254"/>
        <v>-</v>
      </c>
      <c r="R80" s="744" t="str">
        <f t="shared" si="255"/>
        <v>-</v>
      </c>
      <c r="S80" s="744"/>
      <c r="T80" s="744" t="str">
        <f t="shared" si="256"/>
        <v>-</v>
      </c>
      <c r="U80" s="744" t="str">
        <f t="shared" si="257"/>
        <v>-</v>
      </c>
      <c r="V80" s="172"/>
      <c r="W80" s="825"/>
      <c r="X80" s="189">
        <f ca="1">Horarios!C80</f>
        <v>46201.166666666664</v>
      </c>
      <c r="Y80" s="190">
        <f ca="1">Horarios!C80</f>
        <v>46201.166666666664</v>
      </c>
      <c r="Z80" s="191" t="str">
        <f>$Z$8</f>
        <v>J3</v>
      </c>
      <c r="AA80" s="192" t="str">
        <f ca="1">A78</f>
        <v>Argelia</v>
      </c>
      <c r="AB80" s="478" t="e" cm="1" vm="38">
        <f t="array" aca="1" ref="AB80" ca="1">Ver_flag_local</f>
        <v>#VALUE!</v>
      </c>
      <c r="AC80" s="193"/>
      <c r="AD80" s="194"/>
      <c r="AE80" s="483" t="e" cm="1" vm="39">
        <f t="array" aca="1" ref="AE80" ca="1">Ver_flag_visit</f>
        <v>#VALUE!</v>
      </c>
      <c r="AF80" s="195" t="str">
        <f ca="1">A79</f>
        <v>Austria</v>
      </c>
      <c r="AG80" s="413">
        <f t="shared" si="258"/>
        <v>0</v>
      </c>
      <c r="AH80" s="196">
        <v>69</v>
      </c>
      <c r="AI80" s="19" t="str">
        <f t="shared" si="263"/>
        <v>3J</v>
      </c>
      <c r="AJ80" s="221">
        <v>3</v>
      </c>
      <c r="AK80" s="486" t="e" cm="1" vm="40">
        <f t="array" aca="1" ref="AK80" ca="1">Ver_flag_visit</f>
        <v>#VALUE!</v>
      </c>
      <c r="AL80" s="222" t="str">
        <f ca="1">IFERROR(INDEX($BD$6:$BD$53,MATCH(AI80,$BN$6:$BN$53,0)),"")</f>
        <v>Jordania</v>
      </c>
      <c r="AM80" s="223">
        <f t="shared" ca="1" si="262"/>
        <v>0</v>
      </c>
      <c r="AN80" s="224">
        <f t="shared" ca="1" si="262"/>
        <v>1</v>
      </c>
      <c r="AO80" s="224">
        <f t="shared" ca="1" si="262"/>
        <v>0</v>
      </c>
      <c r="AP80" s="224">
        <f t="shared" ca="1" si="262"/>
        <v>0</v>
      </c>
      <c r="AQ80" s="224">
        <f t="shared" ca="1" si="262"/>
        <v>1</v>
      </c>
      <c r="AR80" s="224">
        <f t="shared" ca="1" si="262"/>
        <v>1</v>
      </c>
      <c r="AS80" s="224">
        <f t="shared" ca="1" si="262"/>
        <v>3</v>
      </c>
      <c r="AT80" s="225">
        <f t="shared" ca="1" si="262"/>
        <v>-2</v>
      </c>
      <c r="AU80" s="420">
        <f ca="1">INDEX($DL$6:$DL$53,MATCH(AI80,$DP$6:$DP$53,0))</f>
        <v>1</v>
      </c>
      <c r="AV80" s="217" t="str">
        <f ca="1">INDEX($BD$6:$BD$53,MATCH(AI80,$BM$6:$BM$53,0))</f>
        <v>Jordania</v>
      </c>
      <c r="AW80" s="427"/>
      <c r="AX80" s="218"/>
      <c r="AY80" s="219" t="str">
        <f ca="1">+A79</f>
        <v>Austria</v>
      </c>
      <c r="AZ80" s="220"/>
      <c r="BA80" s="175"/>
      <c r="BB80" s="744"/>
      <c r="BC80" s="744"/>
      <c r="BD80" s="744"/>
      <c r="BE80" s="744"/>
      <c r="BF80" s="744"/>
      <c r="BG80" s="744"/>
      <c r="BH80" s="744"/>
      <c r="BI80" s="744"/>
      <c r="BJ80" s="744"/>
      <c r="BK80" s="744"/>
      <c r="BL80" s="744"/>
      <c r="BM80" s="744"/>
      <c r="BN80" s="749"/>
      <c r="BO80" s="749"/>
      <c r="BP80" s="749"/>
      <c r="BQ80" s="749"/>
      <c r="BR80" s="744"/>
      <c r="BS80" s="744"/>
      <c r="BT80" s="749"/>
      <c r="BU80" s="749"/>
      <c r="BV80" s="749"/>
      <c r="BW80" s="749"/>
      <c r="BX80" s="749"/>
      <c r="BY80" s="749"/>
      <c r="BZ80" s="749"/>
      <c r="CA80" s="749"/>
      <c r="CB80" s="749"/>
      <c r="CC80" s="749"/>
      <c r="CD80" s="749"/>
      <c r="CE80" s="749"/>
      <c r="CF80" s="749"/>
      <c r="CG80" s="749"/>
      <c r="CH80" s="749"/>
      <c r="CI80" s="749"/>
      <c r="CJ80" s="749"/>
      <c r="CK80" s="749"/>
      <c r="CL80" s="749"/>
      <c r="CM80" s="749"/>
      <c r="CN80" s="749"/>
      <c r="CO80" s="749"/>
      <c r="CP80" s="749"/>
      <c r="CQ80" s="749"/>
      <c r="CR80" s="749"/>
      <c r="CS80" s="749"/>
      <c r="CT80" s="749"/>
      <c r="CU80" s="749"/>
      <c r="CV80" s="749"/>
      <c r="CW80" s="744"/>
      <c r="CX80" s="749"/>
      <c r="CY80" s="744"/>
      <c r="CZ80" s="744"/>
      <c r="DA80" s="744"/>
      <c r="DB80" s="744"/>
      <c r="DC80" s="744"/>
      <c r="DD80" s="744"/>
      <c r="DE80" s="744"/>
      <c r="DF80" s="744"/>
      <c r="DG80" s="744"/>
      <c r="DH80" s="744"/>
      <c r="DI80" s="744"/>
      <c r="DJ80" s="744"/>
      <c r="DK80" s="744"/>
      <c r="DL80" s="744"/>
      <c r="DM80" s="744"/>
      <c r="DN80" s="744"/>
      <c r="DO80" s="744"/>
      <c r="DP80" s="744"/>
      <c r="DQ80" s="744"/>
      <c r="DR80" s="744"/>
      <c r="DS80" s="744"/>
      <c r="DT80" s="744" t="str">
        <f t="shared" ca="1" si="242"/>
        <v>Argelia-Austria</v>
      </c>
      <c r="DU80" s="744"/>
      <c r="DV80" s="744"/>
      <c r="DW80" s="8"/>
    </row>
    <row r="81" spans="1:127" ht="16.95" customHeight="1" thickBot="1">
      <c r="A81" s="739"/>
      <c r="B81" s="739"/>
      <c r="C81" s="739"/>
      <c r="D81" s="744" t="str">
        <f t="shared" si="245"/>
        <v>Pendiente</v>
      </c>
      <c r="E81" s="744" t="str">
        <f t="shared" si="246"/>
        <v>-</v>
      </c>
      <c r="F81" s="744" t="str">
        <f t="shared" si="247"/>
        <v>-</v>
      </c>
      <c r="G81" s="744"/>
      <c r="H81" s="744" t="str">
        <f t="shared" si="248"/>
        <v>-</v>
      </c>
      <c r="I81" s="744" t="str">
        <f t="shared" si="249"/>
        <v>-</v>
      </c>
      <c r="J81" s="744"/>
      <c r="K81" s="744" t="str">
        <f t="shared" si="250"/>
        <v>-</v>
      </c>
      <c r="L81" s="744" t="str">
        <f t="shared" si="251"/>
        <v>-</v>
      </c>
      <c r="M81" s="744"/>
      <c r="N81" s="744" t="str">
        <f t="shared" si="252"/>
        <v>-</v>
      </c>
      <c r="O81" s="744" t="str">
        <f t="shared" si="253"/>
        <v>-</v>
      </c>
      <c r="P81" s="744"/>
      <c r="Q81" s="744" t="str">
        <f t="shared" si="254"/>
        <v>-</v>
      </c>
      <c r="R81" s="744" t="str">
        <f t="shared" si="255"/>
        <v>-</v>
      </c>
      <c r="S81" s="744"/>
      <c r="T81" s="744" t="str">
        <f t="shared" si="256"/>
        <v>-</v>
      </c>
      <c r="U81" s="744" t="str">
        <f t="shared" si="257"/>
        <v>-</v>
      </c>
      <c r="V81" s="172"/>
      <c r="W81" s="826"/>
      <c r="X81" s="228">
        <f ca="1">Horarios!C81</f>
        <v>46201.166666666664</v>
      </c>
      <c r="Y81" s="229">
        <f ca="1">Horarios!C81</f>
        <v>46201.166666666664</v>
      </c>
      <c r="Z81" s="230" t="str">
        <f>$Z$8</f>
        <v>J3</v>
      </c>
      <c r="AA81" s="231" t="str">
        <f ca="1">A80</f>
        <v>Jordania</v>
      </c>
      <c r="AB81" s="479" t="e" cm="1" vm="40">
        <f t="array" aca="1" ref="AB81" ca="1">Ver_flag_local</f>
        <v>#VALUE!</v>
      </c>
      <c r="AC81" s="232"/>
      <c r="AD81" s="233"/>
      <c r="AE81" s="484" t="e" cm="1" vm="37">
        <f t="array" aca="1" ref="AE81" ca="1">Ver_flag_visit</f>
        <v>#VALUE!</v>
      </c>
      <c r="AF81" s="234" t="str">
        <f ca="1">A77</f>
        <v>Argentina</v>
      </c>
      <c r="AG81" s="413">
        <f t="shared" si="258"/>
        <v>0</v>
      </c>
      <c r="AH81" s="196">
        <v>70</v>
      </c>
      <c r="AI81" s="19" t="str">
        <f t="shared" si="263"/>
        <v>4J</v>
      </c>
      <c r="AJ81" s="235">
        <v>4</v>
      </c>
      <c r="AK81" s="487" t="e" cm="1" vm="38">
        <f t="array" aca="1" ref="AK81" ca="1">Ver_flag_visit</f>
        <v>#VALUE!</v>
      </c>
      <c r="AL81" s="236" t="str">
        <f ca="1">IFERROR(INDEX($BD$6:$BD$53,MATCH(AI81,$BN$6:$BN$53,0)),"")</f>
        <v>Argelia</v>
      </c>
      <c r="AM81" s="237">
        <f t="shared" ca="1" si="262"/>
        <v>0</v>
      </c>
      <c r="AN81" s="238">
        <f t="shared" ca="1" si="262"/>
        <v>1</v>
      </c>
      <c r="AO81" s="238">
        <f t="shared" ca="1" si="262"/>
        <v>0</v>
      </c>
      <c r="AP81" s="238">
        <f t="shared" ca="1" si="262"/>
        <v>0</v>
      </c>
      <c r="AQ81" s="238">
        <f t="shared" ca="1" si="262"/>
        <v>1</v>
      </c>
      <c r="AR81" s="238">
        <f t="shared" ca="1" si="262"/>
        <v>0</v>
      </c>
      <c r="AS81" s="238">
        <f t="shared" ca="1" si="262"/>
        <v>3</v>
      </c>
      <c r="AT81" s="239">
        <f t="shared" ca="1" si="262"/>
        <v>-3</v>
      </c>
      <c r="AU81" s="420">
        <f ca="1">INDEX($DL$6:$DL$53,MATCH(AI81,$DP$6:$DP$53,0))</f>
        <v>1</v>
      </c>
      <c r="AV81" s="217" t="str">
        <f ca="1">INDEX($BD$6:$BD$53,MATCH(AI81,$BM$6:$BM$53,0))</f>
        <v>Argelia</v>
      </c>
      <c r="AW81" s="427"/>
      <c r="AX81" s="218"/>
      <c r="AY81" s="240" t="str">
        <f ca="1">+A80</f>
        <v>Jordania</v>
      </c>
      <c r="AZ81" s="241"/>
      <c r="BA81" s="175"/>
      <c r="BB81" s="744"/>
      <c r="BC81" s="744"/>
      <c r="BD81" s="744"/>
      <c r="BE81" s="744"/>
      <c r="BF81" s="744"/>
      <c r="BG81" s="744"/>
      <c r="BH81" s="744"/>
      <c r="BI81" s="744"/>
      <c r="BJ81" s="744"/>
      <c r="BK81" s="744"/>
      <c r="BL81" s="744"/>
      <c r="BM81" s="744"/>
      <c r="BN81" s="749"/>
      <c r="BO81" s="749"/>
      <c r="BP81" s="749"/>
      <c r="BQ81" s="749"/>
      <c r="BR81" s="744"/>
      <c r="BS81" s="744"/>
      <c r="BT81" s="749"/>
      <c r="BU81" s="749"/>
      <c r="BV81" s="749"/>
      <c r="BW81" s="749"/>
      <c r="BX81" s="749"/>
      <c r="BY81" s="749"/>
      <c r="BZ81" s="749"/>
      <c r="CA81" s="749"/>
      <c r="CB81" s="749"/>
      <c r="CC81" s="749"/>
      <c r="CD81" s="749"/>
      <c r="CE81" s="749"/>
      <c r="CF81" s="749"/>
      <c r="CG81" s="749"/>
      <c r="CH81" s="749"/>
      <c r="CI81" s="749"/>
      <c r="CJ81" s="749"/>
      <c r="CK81" s="749"/>
      <c r="CL81" s="749"/>
      <c r="CM81" s="749"/>
      <c r="CN81" s="749"/>
      <c r="CO81" s="749"/>
      <c r="CP81" s="749"/>
      <c r="CQ81" s="749"/>
      <c r="CR81" s="749"/>
      <c r="CS81" s="749"/>
      <c r="CT81" s="749"/>
      <c r="CU81" s="749"/>
      <c r="CV81" s="749"/>
      <c r="CW81" s="744"/>
      <c r="CX81" s="749"/>
      <c r="CY81" s="744"/>
      <c r="CZ81" s="744"/>
      <c r="DA81" s="744"/>
      <c r="DB81" s="744"/>
      <c r="DC81" s="744"/>
      <c r="DD81" s="744"/>
      <c r="DE81" s="744"/>
      <c r="DF81" s="744"/>
      <c r="DG81" s="744"/>
      <c r="DH81" s="744"/>
      <c r="DI81" s="744"/>
      <c r="DJ81" s="744"/>
      <c r="DK81" s="744"/>
      <c r="DL81" s="744"/>
      <c r="DM81" s="744"/>
      <c r="DN81" s="744"/>
      <c r="DO81" s="744"/>
      <c r="DP81" s="744"/>
      <c r="DQ81" s="744"/>
      <c r="DR81" s="744"/>
      <c r="DS81" s="744"/>
      <c r="DT81" s="744" t="str">
        <f t="shared" ca="1" si="242"/>
        <v>Jordania-Argentina</v>
      </c>
      <c r="DU81" s="744"/>
      <c r="DV81" s="744"/>
      <c r="DW81" s="8"/>
    </row>
    <row r="82" spans="1:127" ht="15" thickBot="1">
      <c r="A82" s="739"/>
      <c r="B82" s="739"/>
      <c r="C82" s="739"/>
      <c r="D82" s="744"/>
      <c r="E82" s="744"/>
      <c r="F82" s="744"/>
      <c r="G82" s="744"/>
      <c r="H82" s="744"/>
      <c r="I82" s="744"/>
      <c r="J82" s="744"/>
      <c r="K82" s="744"/>
      <c r="L82" s="744"/>
      <c r="M82" s="744"/>
      <c r="N82" s="744"/>
      <c r="O82" s="744"/>
      <c r="P82" s="744"/>
      <c r="Q82" s="744"/>
      <c r="R82" s="744"/>
      <c r="S82" s="744"/>
      <c r="T82" s="744"/>
      <c r="U82" s="744"/>
      <c r="V82" s="172"/>
      <c r="W82" s="242"/>
      <c r="X82" s="243"/>
      <c r="Y82" s="242"/>
      <c r="Z82" s="244"/>
      <c r="AA82" s="245"/>
      <c r="AB82" s="482"/>
      <c r="AC82" s="247"/>
      <c r="AD82" s="247"/>
      <c r="AE82" s="482"/>
      <c r="AF82" s="248"/>
      <c r="AG82" s="415"/>
      <c r="AH82" s="196"/>
      <c r="AI82" s="171"/>
      <c r="AJ82" s="249"/>
      <c r="AK82" s="250"/>
      <c r="AL82" s="186"/>
      <c r="AM82" s="251"/>
      <c r="AN82" s="249"/>
      <c r="AO82" s="249"/>
      <c r="AP82" s="249"/>
      <c r="AQ82" s="249"/>
      <c r="AR82" s="249"/>
      <c r="AS82" s="249"/>
      <c r="AT82" s="249"/>
      <c r="AU82" s="420"/>
      <c r="AV82" s="216"/>
      <c r="AW82" s="428"/>
      <c r="AX82" s="218"/>
      <c r="AY82" s="242"/>
      <c r="AZ82" s="243"/>
      <c r="BA82" s="175"/>
      <c r="BB82" s="744"/>
      <c r="BC82" s="744"/>
      <c r="BD82" s="744"/>
      <c r="BE82" s="744"/>
      <c r="BF82" s="744"/>
      <c r="BG82" s="744"/>
      <c r="BH82" s="744"/>
      <c r="BI82" s="744"/>
      <c r="BJ82" s="744"/>
      <c r="BK82" s="744"/>
      <c r="BL82" s="744"/>
      <c r="BM82" s="744"/>
      <c r="BN82" s="749"/>
      <c r="BO82" s="749"/>
      <c r="BP82" s="749"/>
      <c r="BQ82" s="749"/>
      <c r="BR82" s="744"/>
      <c r="BS82" s="744"/>
      <c r="BT82" s="749"/>
      <c r="BU82" s="749"/>
      <c r="BV82" s="749"/>
      <c r="BW82" s="749"/>
      <c r="BX82" s="749"/>
      <c r="BY82" s="749"/>
      <c r="BZ82" s="749"/>
      <c r="CA82" s="749"/>
      <c r="CB82" s="749"/>
      <c r="CC82" s="749"/>
      <c r="CD82" s="749"/>
      <c r="CE82" s="749"/>
      <c r="CF82" s="749"/>
      <c r="CG82" s="749"/>
      <c r="CH82" s="749"/>
      <c r="CI82" s="749"/>
      <c r="CJ82" s="749"/>
      <c r="CK82" s="749"/>
      <c r="CL82" s="749"/>
      <c r="CM82" s="749"/>
      <c r="CN82" s="749"/>
      <c r="CO82" s="749"/>
      <c r="CP82" s="749"/>
      <c r="CQ82" s="749"/>
      <c r="CR82" s="749"/>
      <c r="CS82" s="749"/>
      <c r="CT82" s="749"/>
      <c r="CU82" s="749"/>
      <c r="CV82" s="749"/>
      <c r="CW82" s="744"/>
      <c r="CX82" s="749"/>
      <c r="CY82" s="744"/>
      <c r="CZ82" s="744"/>
      <c r="DA82" s="744"/>
      <c r="DB82" s="744"/>
      <c r="DC82" s="744"/>
      <c r="DD82" s="744"/>
      <c r="DE82" s="744"/>
      <c r="DF82" s="744"/>
      <c r="DG82" s="744"/>
      <c r="DH82" s="744"/>
      <c r="DI82" s="744"/>
      <c r="DJ82" s="744"/>
      <c r="DK82" s="744"/>
      <c r="DL82" s="744"/>
      <c r="DM82" s="744"/>
      <c r="DN82" s="744"/>
      <c r="DO82" s="744"/>
      <c r="DP82" s="744"/>
      <c r="DQ82" s="744"/>
      <c r="DR82" s="744"/>
      <c r="DS82" s="744"/>
      <c r="DT82" s="744" t="str">
        <f t="shared" si="242"/>
        <v>-</v>
      </c>
      <c r="DU82" s="744"/>
      <c r="DV82" s="744"/>
      <c r="DW82" s="8"/>
    </row>
    <row r="83" spans="1:127" ht="15" thickBot="1">
      <c r="A83" s="739"/>
      <c r="B83" s="742"/>
      <c r="C83" s="739"/>
      <c r="D83" s="739"/>
      <c r="E83" s="739"/>
      <c r="F83" s="739"/>
      <c r="G83" s="739"/>
      <c r="H83" s="739"/>
      <c r="I83" s="739"/>
      <c r="J83" s="739"/>
      <c r="K83" s="739"/>
      <c r="L83" s="739"/>
      <c r="M83" s="739"/>
      <c r="N83" s="744"/>
      <c r="O83" s="744"/>
      <c r="P83" s="744"/>
      <c r="Q83" s="744"/>
      <c r="R83" s="744"/>
      <c r="S83" s="744"/>
      <c r="T83" s="744"/>
      <c r="U83" s="744"/>
      <c r="V83" s="172"/>
      <c r="W83" s="179"/>
      <c r="X83" s="180" t="str">
        <f>X3</f>
        <v>Fecha</v>
      </c>
      <c r="Y83" s="180" t="str">
        <f>Y3</f>
        <v>Hora</v>
      </c>
      <c r="Z83" s="181" t="str">
        <f>Z3</f>
        <v>Jor.</v>
      </c>
      <c r="AA83" s="182" t="str">
        <f>AA3</f>
        <v>Casa</v>
      </c>
      <c r="AB83" s="181"/>
      <c r="AC83" s="181" t="str">
        <f>AC3</f>
        <v>Gol</v>
      </c>
      <c r="AD83" s="181" t="str">
        <f>AD3</f>
        <v>Gol</v>
      </c>
      <c r="AE83" s="181"/>
      <c r="AF83" s="184" t="str">
        <f>AF3</f>
        <v>Fuera</v>
      </c>
      <c r="AG83" s="414"/>
      <c r="AH83" s="196"/>
      <c r="AI83" s="18"/>
      <c r="AJ83" s="186"/>
      <c r="AK83" s="252"/>
      <c r="AL83" s="186"/>
      <c r="AM83" s="186"/>
      <c r="AN83" s="186"/>
      <c r="AO83" s="186"/>
      <c r="AP83" s="186"/>
      <c r="AQ83" s="186"/>
      <c r="AR83" s="186"/>
      <c r="AS83" s="186"/>
      <c r="AT83" s="186"/>
      <c r="AU83" s="421"/>
      <c r="AV83" s="22"/>
      <c r="AW83" s="429"/>
      <c r="AX83" s="253"/>
      <c r="AY83" s="242"/>
      <c r="AZ83" s="243"/>
      <c r="BA83" s="175"/>
      <c r="BB83" s="744"/>
      <c r="BC83" s="744"/>
      <c r="BD83" s="744"/>
      <c r="BE83" s="744"/>
      <c r="BF83" s="744"/>
      <c r="BG83" s="744"/>
      <c r="BH83" s="744"/>
      <c r="BI83" s="744"/>
      <c r="BJ83" s="744"/>
      <c r="BK83" s="744"/>
      <c r="BL83" s="744"/>
      <c r="BM83" s="744"/>
      <c r="BN83" s="744"/>
      <c r="BO83" s="744"/>
      <c r="BP83" s="744"/>
      <c r="BQ83" s="744"/>
      <c r="BR83" s="744"/>
      <c r="BS83" s="744"/>
      <c r="BT83" s="744"/>
      <c r="BU83" s="744"/>
      <c r="BV83" s="744"/>
      <c r="BW83" s="744"/>
      <c r="BX83" s="744"/>
      <c r="BY83" s="744"/>
      <c r="BZ83" s="744"/>
      <c r="CA83" s="744"/>
      <c r="CB83" s="744"/>
      <c r="CC83" s="744"/>
      <c r="CD83" s="744"/>
      <c r="CE83" s="744"/>
      <c r="CF83" s="744"/>
      <c r="CG83" s="744"/>
      <c r="CH83" s="744"/>
      <c r="CI83" s="744"/>
      <c r="CJ83" s="744"/>
      <c r="CK83" s="744"/>
      <c r="CL83" s="744"/>
      <c r="CM83" s="744"/>
      <c r="CN83" s="744"/>
      <c r="CO83" s="744"/>
      <c r="CP83" s="744"/>
      <c r="CQ83" s="744"/>
      <c r="CR83" s="744"/>
      <c r="CS83" s="744"/>
      <c r="CT83" s="744"/>
      <c r="CU83" s="744"/>
      <c r="CV83" s="744"/>
      <c r="CW83" s="744"/>
      <c r="CX83" s="744"/>
      <c r="CY83" s="744"/>
      <c r="CZ83" s="744"/>
      <c r="DA83" s="744"/>
      <c r="DB83" s="744"/>
      <c r="DC83" s="744"/>
      <c r="DD83" s="744"/>
      <c r="DE83" s="744"/>
      <c r="DF83" s="744"/>
      <c r="DG83" s="744"/>
      <c r="DH83" s="744"/>
      <c r="DI83" s="744"/>
      <c r="DJ83" s="744"/>
      <c r="DK83" s="744"/>
      <c r="DL83" s="744"/>
      <c r="DM83" s="744"/>
      <c r="DN83" s="744"/>
      <c r="DO83" s="744"/>
      <c r="DP83" s="744"/>
      <c r="DQ83" s="744"/>
      <c r="DR83" s="744"/>
      <c r="DS83" s="744"/>
      <c r="DT83" s="744" t="str">
        <f t="shared" si="242"/>
        <v>Casa-Fuera</v>
      </c>
      <c r="DU83" s="744"/>
      <c r="DV83" s="744"/>
      <c r="DW83" s="8"/>
    </row>
    <row r="84" spans="1:127" ht="15" customHeight="1" thickBot="1">
      <c r="A84" s="741" t="s">
        <v>30</v>
      </c>
      <c r="B84" s="742" t="s">
        <v>439</v>
      </c>
      <c r="C84" s="743">
        <f>COUNTIF(Equipos!$C$2:$C$49,WORLDCUP!B84)</f>
        <v>4</v>
      </c>
      <c r="D84" s="744" t="str">
        <f t="shared" ref="D84:D89" si="264">IF(OR(AC84="",AD84=""),"Pendiente",IF(AC84&gt;AD84,"Local",IF(AC84&lt;AD84,"Visitante","Empate")))</f>
        <v>Empate</v>
      </c>
      <c r="E84" s="744" t="str">
        <f t="shared" ref="E84:E89" ca="1" si="265">IF(D84="Pendiente","-",INDEX($BT$6:$BT$53,MATCH($AA84,$BD$6:$BD$53,0)))</f>
        <v>P.2 (2)</v>
      </c>
      <c r="F84" s="744" t="str">
        <f t="shared" ref="F84:F89" ca="1" si="266">IF(D84="Pendiente","-",INDEX($BT$6:$BT$53,MATCH($AF84,$BD$6:$BD$53,0)))</f>
        <v>P.2 (2)</v>
      </c>
      <c r="G84" s="744"/>
      <c r="H84" s="744" t="str">
        <f t="shared" ref="H84:H89" ca="1" si="267">IF(D84="Pendiente","-",INDEX($BZ$6:$BZ$53,MATCH($AA84,$BD$6:$BD$53,0)))</f>
        <v>P.2 (2)</v>
      </c>
      <c r="I84" s="744" t="str">
        <f t="shared" ref="I84:I89" ca="1" si="268">IF(D84="Pendiente","-",INDEX($BZ$6:$BZ$53,MATCH($AF84,$BD$6:$BD$53,0)))</f>
        <v>P.2 (2)</v>
      </c>
      <c r="J84" s="744"/>
      <c r="K84" s="744" t="str">
        <f t="shared" ref="K84:K89" ca="1" si="269">IF(D84="Pendiente","-",INDEX($CE$6:$CE$53,MATCH($AA84,$BD$6:$BD$53,0)))</f>
        <v>P.2 (2)</v>
      </c>
      <c r="L84" s="744" t="str">
        <f t="shared" ref="L84:L89" ca="1" si="270">IF(D84="Pendiente","-",INDEX($CE$6:$CE$53,MATCH($AF84,$BD$6:$BD$53,0)))</f>
        <v>P.2 (2)</v>
      </c>
      <c r="M84" s="744"/>
      <c r="N84" s="744" t="str">
        <f t="shared" ref="N84:N89" ca="1" si="271">IF(D84="Pendiente","-",INDEX($CH$6:$CH$53,MATCH($AA84,$BD$6:$BD$53,0)))</f>
        <v>P.2 (2)</v>
      </c>
      <c r="O84" s="744" t="str">
        <f t="shared" ref="O84:O89" ca="1" si="272">IF(D84="Pendiente","-",INDEX($CH$6:$CH$53,MATCH($AF84,$BD$6:$BD$53,0)))</f>
        <v>P.2 (2)</v>
      </c>
      <c r="P84" s="744"/>
      <c r="Q84" s="744" t="str">
        <f t="shared" ref="Q84:Q89" ca="1" si="273">IF(D84="Pendiente","-",INDEX($CN$6:$CN$53,MATCH($AA84,$BD$6:$BD$53,0)))</f>
        <v>P.2 (2)</v>
      </c>
      <c r="R84" s="744" t="str">
        <f t="shared" ref="R84:R89" ca="1" si="274">IF(D84="Pendiente","-",INDEX($CN$6:$CN$53,MATCH($AF84,$BD$6:$BD$53,0)))</f>
        <v>P.2 (2)</v>
      </c>
      <c r="S84" s="744"/>
      <c r="T84" s="744" t="str">
        <f t="shared" ref="T84:T89" ca="1" si="275">IF(D84="Pendiente","-",INDEX($CS$6:$CS$53,MATCH($AA84,$BD$6:$BD$53,0)))</f>
        <v>P.2 (2)</v>
      </c>
      <c r="U84" s="744" t="str">
        <f t="shared" ref="U84:U89" ca="1" si="276">IF(D84="Pendiente","-",INDEX($CS$6:$CS$53,MATCH($AF84,$BD$6:$BD$53,0)))</f>
        <v>P.2 (2)</v>
      </c>
      <c r="V84" s="172"/>
      <c r="W84" s="831" t="s">
        <v>439</v>
      </c>
      <c r="X84" s="189">
        <f ca="1">Horarios!C84</f>
        <v>46190.791666666664</v>
      </c>
      <c r="Y84" s="190">
        <f ca="1">Horarios!C84</f>
        <v>46190.791666666664</v>
      </c>
      <c r="Z84" s="191" t="str">
        <f>$Z$4</f>
        <v>J1</v>
      </c>
      <c r="AA84" s="192" t="str">
        <f ca="1">A85</f>
        <v>Portugal</v>
      </c>
      <c r="AB84" s="478" t="e" cm="1" vm="41">
        <f t="array" aca="1" ref="AB84" ca="1">Ver_flag_local</f>
        <v>#VALUE!</v>
      </c>
      <c r="AC84" s="193">
        <v>1</v>
      </c>
      <c r="AD84" s="194">
        <v>1</v>
      </c>
      <c r="AE84" s="483" t="e" cm="1" vm="42">
        <f t="array" aca="1" ref="AE84" ca="1">Ver_flag_visit</f>
        <v>#VALUE!</v>
      </c>
      <c r="AF84" s="195" t="str">
        <f ca="1">A86</f>
        <v>RD Congo</v>
      </c>
      <c r="AG84" s="413">
        <f t="shared" ref="AG84:AG89" si="277">IF(NOT(OR(ISBLANK(AC84),ISBLANK(AD84))),1,0)</f>
        <v>1</v>
      </c>
      <c r="AH84" s="196">
        <v>23</v>
      </c>
      <c r="AI84" s="19"/>
      <c r="AJ84" s="197" t="str">
        <f>CONCATENATE(AJ3," ",B84)</f>
        <v>Grupo K</v>
      </c>
      <c r="AK84" s="198"/>
      <c r="AL84" s="198"/>
      <c r="AM84" s="198"/>
      <c r="AN84" s="198"/>
      <c r="AO84" s="198"/>
      <c r="AP84" s="198"/>
      <c r="AQ84" s="198"/>
      <c r="AR84" s="198"/>
      <c r="AS84" s="198"/>
      <c r="AT84" s="199"/>
      <c r="AU84" s="421"/>
      <c r="AV84" s="200" t="str">
        <f t="shared" ref="AV84" ca="1" si="278">IF(AU85&gt;0,$AV$3,"")</f>
        <v/>
      </c>
      <c r="AW84" s="208"/>
      <c r="AX84" s="255"/>
      <c r="AY84" s="242"/>
      <c r="AZ84" s="243"/>
      <c r="BA84" s="175"/>
      <c r="BB84" s="744"/>
      <c r="BC84" s="744"/>
      <c r="BD84" s="744"/>
      <c r="BE84" s="744"/>
      <c r="BF84" s="744"/>
      <c r="BG84" s="744"/>
      <c r="BH84" s="744"/>
      <c r="BI84" s="744"/>
      <c r="BJ84" s="744"/>
      <c r="BK84" s="744"/>
      <c r="BL84" s="744"/>
      <c r="BM84" s="744"/>
      <c r="BN84" s="744"/>
      <c r="BO84" s="744"/>
      <c r="BP84" s="744"/>
      <c r="BQ84" s="744"/>
      <c r="BR84" s="744"/>
      <c r="BS84" s="744"/>
      <c r="BT84" s="744"/>
      <c r="BU84" s="744"/>
      <c r="BV84" s="744"/>
      <c r="BW84" s="744"/>
      <c r="BX84" s="744"/>
      <c r="BY84" s="744"/>
      <c r="BZ84" s="744"/>
      <c r="CA84" s="744"/>
      <c r="CB84" s="744"/>
      <c r="CC84" s="744"/>
      <c r="CD84" s="744"/>
      <c r="CE84" s="744"/>
      <c r="CF84" s="744"/>
      <c r="CG84" s="744"/>
      <c r="CH84" s="744"/>
      <c r="CI84" s="744"/>
      <c r="CJ84" s="744"/>
      <c r="CK84" s="744"/>
      <c r="CL84" s="744"/>
      <c r="CM84" s="744"/>
      <c r="CN84" s="744"/>
      <c r="CO84" s="744"/>
      <c r="CP84" s="744"/>
      <c r="CQ84" s="744"/>
      <c r="CR84" s="744"/>
      <c r="CS84" s="744"/>
      <c r="CT84" s="744"/>
      <c r="CU84" s="744"/>
      <c r="CV84" s="744"/>
      <c r="CW84" s="744"/>
      <c r="CX84" s="749"/>
      <c r="CY84" s="744"/>
      <c r="CZ84" s="744"/>
      <c r="DA84" s="744"/>
      <c r="DB84" s="744"/>
      <c r="DC84" s="744"/>
      <c r="DD84" s="744"/>
      <c r="DE84" s="744"/>
      <c r="DF84" s="744"/>
      <c r="DG84" s="744"/>
      <c r="DH84" s="744"/>
      <c r="DI84" s="744"/>
      <c r="DJ84" s="744"/>
      <c r="DK84" s="744"/>
      <c r="DL84" s="744"/>
      <c r="DM84" s="744"/>
      <c r="DN84" s="744"/>
      <c r="DO84" s="744"/>
      <c r="DP84" s="744"/>
      <c r="DQ84" s="744"/>
      <c r="DR84" s="744"/>
      <c r="DS84" s="744"/>
      <c r="DT84" s="744" t="str">
        <f t="shared" ca="1" si="242"/>
        <v>Portugal-RD Congo</v>
      </c>
      <c r="DU84" s="744"/>
      <c r="DV84" s="744"/>
      <c r="DW84" s="8"/>
    </row>
    <row r="85" spans="1:127" ht="16.05" customHeight="1">
      <c r="A85" s="745" t="str">
        <f ca="1">+Equipos!B42</f>
        <v>Portugal</v>
      </c>
      <c r="B85" s="742"/>
      <c r="C85" s="742"/>
      <c r="D85" s="744" t="str">
        <f t="shared" si="264"/>
        <v>Visitante</v>
      </c>
      <c r="E85" s="744" t="str">
        <f t="shared" ca="1" si="265"/>
        <v>-</v>
      </c>
      <c r="F85" s="744" t="str">
        <f t="shared" ca="1" si="266"/>
        <v>-</v>
      </c>
      <c r="G85" s="744"/>
      <c r="H85" s="744" t="str">
        <f t="shared" ca="1" si="267"/>
        <v>-</v>
      </c>
      <c r="I85" s="744" t="str">
        <f t="shared" ca="1" si="268"/>
        <v>-</v>
      </c>
      <c r="J85" s="744"/>
      <c r="K85" s="744" t="str">
        <f t="shared" ca="1" si="269"/>
        <v>-</v>
      </c>
      <c r="L85" s="744" t="str">
        <f t="shared" ca="1" si="270"/>
        <v>-</v>
      </c>
      <c r="M85" s="744"/>
      <c r="N85" s="744" t="str">
        <f t="shared" ca="1" si="271"/>
        <v>-</v>
      </c>
      <c r="O85" s="744" t="str">
        <f t="shared" ca="1" si="272"/>
        <v>-</v>
      </c>
      <c r="P85" s="744"/>
      <c r="Q85" s="744" t="str">
        <f t="shared" ca="1" si="273"/>
        <v>-</v>
      </c>
      <c r="R85" s="744" t="str">
        <f t="shared" ca="1" si="274"/>
        <v>-</v>
      </c>
      <c r="S85" s="744"/>
      <c r="T85" s="744" t="str">
        <f t="shared" ca="1" si="275"/>
        <v>-</v>
      </c>
      <c r="U85" s="744" t="str">
        <f t="shared" ca="1" si="276"/>
        <v>-</v>
      </c>
      <c r="V85" s="172"/>
      <c r="W85" s="831"/>
      <c r="X85" s="189">
        <f ca="1">Horarios!C85</f>
        <v>46191.166666666664</v>
      </c>
      <c r="Y85" s="190">
        <f ca="1">Horarios!C85</f>
        <v>46191.166666666664</v>
      </c>
      <c r="Z85" s="191" t="str">
        <f>$Z$4</f>
        <v>J1</v>
      </c>
      <c r="AA85" s="192" t="str">
        <f ca="1">A87</f>
        <v>Uzbekistán</v>
      </c>
      <c r="AB85" s="478" t="e" cm="1" vm="43">
        <f t="array" aca="1" ref="AB85" ca="1">Ver_flag_local</f>
        <v>#VALUE!</v>
      </c>
      <c r="AC85" s="193">
        <v>1</v>
      </c>
      <c r="AD85" s="194">
        <v>3</v>
      </c>
      <c r="AE85" s="483" t="e" cm="1" vm="44">
        <f t="array" aca="1" ref="AE85" ca="1">Ver_flag_visit</f>
        <v>#VALUE!</v>
      </c>
      <c r="AF85" s="195" t="str">
        <f ca="1">A88</f>
        <v>Colombia</v>
      </c>
      <c r="AG85" s="413">
        <f t="shared" si="277"/>
        <v>1</v>
      </c>
      <c r="AH85" s="196">
        <v>24</v>
      </c>
      <c r="AI85" s="19"/>
      <c r="AJ85" s="204" t="str">
        <f>AJ5</f>
        <v>Pos</v>
      </c>
      <c r="AK85" s="205"/>
      <c r="AL85" s="206" t="str">
        <f t="shared" ref="AL85:AT85" si="279">AL5</f>
        <v>Selección</v>
      </c>
      <c r="AM85" s="205" t="str">
        <f t="shared" si="279"/>
        <v>Pts</v>
      </c>
      <c r="AN85" s="205" t="str">
        <f t="shared" si="279"/>
        <v>J</v>
      </c>
      <c r="AO85" s="205" t="str">
        <f t="shared" si="279"/>
        <v>G</v>
      </c>
      <c r="AP85" s="205" t="str">
        <f t="shared" si="279"/>
        <v>E</v>
      </c>
      <c r="AQ85" s="205" t="str">
        <f t="shared" si="279"/>
        <v>P</v>
      </c>
      <c r="AR85" s="205" t="str">
        <f t="shared" si="279"/>
        <v>GF</v>
      </c>
      <c r="AS85" s="205" t="str">
        <f t="shared" si="279"/>
        <v>GC</v>
      </c>
      <c r="AT85" s="207" t="str">
        <f t="shared" si="279"/>
        <v>DG</v>
      </c>
      <c r="AU85" s="421">
        <f t="shared" ref="AU85" ca="1" si="280">COUNTIF(AU86:AU89,"&gt;1")</f>
        <v>0</v>
      </c>
      <c r="AV85" s="208"/>
      <c r="AW85" s="208"/>
      <c r="AX85" s="255"/>
      <c r="AY85" s="209" t="str">
        <f>AL85</f>
        <v>Selección</v>
      </c>
      <c r="AZ85" s="210" t="str">
        <f>+Idiomas!$D$69</f>
        <v>Puntos penalizados</v>
      </c>
      <c r="BA85" s="175"/>
      <c r="BB85" s="744"/>
      <c r="BC85" s="744"/>
      <c r="BD85" s="744"/>
      <c r="BE85" s="744"/>
      <c r="BF85" s="744"/>
      <c r="BG85" s="744"/>
      <c r="BH85" s="744"/>
      <c r="BI85" s="744"/>
      <c r="BJ85" s="744"/>
      <c r="BK85" s="744"/>
      <c r="BL85" s="744"/>
      <c r="BM85" s="744"/>
      <c r="BN85" s="747"/>
      <c r="BO85" s="747"/>
      <c r="BP85" s="747"/>
      <c r="BQ85" s="747"/>
      <c r="BR85" s="744"/>
      <c r="BS85" s="744"/>
      <c r="BT85" s="747"/>
      <c r="BU85" s="747"/>
      <c r="BV85" s="747"/>
      <c r="BW85" s="747"/>
      <c r="BX85" s="747"/>
      <c r="BY85" s="747"/>
      <c r="BZ85" s="747"/>
      <c r="CA85" s="747"/>
      <c r="CB85" s="747"/>
      <c r="CC85" s="747"/>
      <c r="CD85" s="747"/>
      <c r="CE85" s="747"/>
      <c r="CF85" s="747"/>
      <c r="CG85" s="747"/>
      <c r="CH85" s="747"/>
      <c r="CI85" s="747"/>
      <c r="CJ85" s="747"/>
      <c r="CK85" s="747"/>
      <c r="CL85" s="747"/>
      <c r="CM85" s="747"/>
      <c r="CN85" s="747"/>
      <c r="CO85" s="747"/>
      <c r="CP85" s="747"/>
      <c r="CQ85" s="747"/>
      <c r="CR85" s="747"/>
      <c r="CS85" s="747"/>
      <c r="CT85" s="747"/>
      <c r="CU85" s="747"/>
      <c r="CV85" s="747"/>
      <c r="CW85" s="744"/>
      <c r="CX85" s="747"/>
      <c r="CY85" s="744"/>
      <c r="CZ85" s="744"/>
      <c r="DA85" s="744"/>
      <c r="DB85" s="744"/>
      <c r="DC85" s="744"/>
      <c r="DD85" s="744"/>
      <c r="DE85" s="744"/>
      <c r="DF85" s="744"/>
      <c r="DG85" s="744"/>
      <c r="DH85" s="744"/>
      <c r="DI85" s="744"/>
      <c r="DJ85" s="744"/>
      <c r="DK85" s="744"/>
      <c r="DL85" s="744"/>
      <c r="DM85" s="744"/>
      <c r="DN85" s="744"/>
      <c r="DO85" s="744"/>
      <c r="DP85" s="744"/>
      <c r="DQ85" s="744"/>
      <c r="DR85" s="744"/>
      <c r="DS85" s="744"/>
      <c r="DT85" s="744" t="str">
        <f t="shared" ca="1" si="242"/>
        <v>Uzbekistán-Colombia</v>
      </c>
      <c r="DU85" s="744"/>
      <c r="DV85" s="744"/>
      <c r="DW85" s="8"/>
    </row>
    <row r="86" spans="1:127" ht="16.05" customHeight="1">
      <c r="A86" s="745" t="str">
        <f ca="1">+Equipos!B43</f>
        <v>RD Congo</v>
      </c>
      <c r="B86" s="742"/>
      <c r="C86" s="746"/>
      <c r="D86" s="744" t="str">
        <f t="shared" si="264"/>
        <v>Pendiente</v>
      </c>
      <c r="E86" s="744" t="str">
        <f t="shared" si="265"/>
        <v>-</v>
      </c>
      <c r="F86" s="744" t="str">
        <f t="shared" si="266"/>
        <v>-</v>
      </c>
      <c r="G86" s="744"/>
      <c r="H86" s="744" t="str">
        <f t="shared" si="267"/>
        <v>-</v>
      </c>
      <c r="I86" s="744" t="str">
        <f t="shared" si="268"/>
        <v>-</v>
      </c>
      <c r="J86" s="744"/>
      <c r="K86" s="744" t="str">
        <f t="shared" si="269"/>
        <v>-</v>
      </c>
      <c r="L86" s="744" t="str">
        <f t="shared" si="270"/>
        <v>-</v>
      </c>
      <c r="M86" s="744"/>
      <c r="N86" s="744" t="str">
        <f t="shared" si="271"/>
        <v>-</v>
      </c>
      <c r="O86" s="744" t="str">
        <f t="shared" si="272"/>
        <v>-</v>
      </c>
      <c r="P86" s="744"/>
      <c r="Q86" s="744" t="str">
        <f t="shared" si="273"/>
        <v>-</v>
      </c>
      <c r="R86" s="744" t="str">
        <f t="shared" si="274"/>
        <v>-</v>
      </c>
      <c r="S86" s="744"/>
      <c r="T86" s="744" t="str">
        <f t="shared" si="275"/>
        <v>-</v>
      </c>
      <c r="U86" s="744" t="str">
        <f t="shared" si="276"/>
        <v>-</v>
      </c>
      <c r="V86" s="172"/>
      <c r="W86" s="831"/>
      <c r="X86" s="189">
        <f ca="1">Horarios!C86</f>
        <v>46196.791666666664</v>
      </c>
      <c r="Y86" s="190">
        <f ca="1">Horarios!C86</f>
        <v>46196.791666666664</v>
      </c>
      <c r="Z86" s="191" t="str">
        <f>$Z$6</f>
        <v>J2</v>
      </c>
      <c r="AA86" s="192" t="str">
        <f ca="1">A85</f>
        <v>Portugal</v>
      </c>
      <c r="AB86" s="478" t="e" cm="1" vm="41">
        <f t="array" aca="1" ref="AB86" ca="1">Ver_flag_local</f>
        <v>#VALUE!</v>
      </c>
      <c r="AC86" s="193"/>
      <c r="AD86" s="194"/>
      <c r="AE86" s="483" t="e" cm="1" vm="43">
        <f t="array" aca="1" ref="AE86" ca="1">Ver_flag_visit</f>
        <v>#VALUE!</v>
      </c>
      <c r="AF86" s="195" t="str">
        <f ca="1">A87</f>
        <v>Uzbekistán</v>
      </c>
      <c r="AG86" s="413">
        <f t="shared" si="277"/>
        <v>0</v>
      </c>
      <c r="AH86" s="196">
        <v>47</v>
      </c>
      <c r="AI86" s="19" t="str">
        <f>AJ86&amp;$B$84</f>
        <v>1K</v>
      </c>
      <c r="AJ86" s="211">
        <v>1</v>
      </c>
      <c r="AK86" s="488" t="e" cm="1" vm="44">
        <f t="array" aca="1" ref="AK86" ca="1">Ver_flag_visit</f>
        <v>#VALUE!</v>
      </c>
      <c r="AL86" s="212" t="str">
        <f ca="1">IFERROR(INDEX($BD$6:$BD$53,MATCH(AI86,$BN$6:$BN$53,0)),"")</f>
        <v>Colombia</v>
      </c>
      <c r="AM86" s="213">
        <f t="shared" ref="AM86:AT89" ca="1" si="281">INDEX($BE$6:$BN$53,MATCH($AL86,$BD$6:$BD$53,0),MATCH(AM$5,$BE$5:$BN$5,0))</f>
        <v>3</v>
      </c>
      <c r="AN86" s="214">
        <f t="shared" ca="1" si="281"/>
        <v>1</v>
      </c>
      <c r="AO86" s="214">
        <f t="shared" ca="1" si="281"/>
        <v>1</v>
      </c>
      <c r="AP86" s="214">
        <f t="shared" ca="1" si="281"/>
        <v>0</v>
      </c>
      <c r="AQ86" s="214">
        <f t="shared" ca="1" si="281"/>
        <v>0</v>
      </c>
      <c r="AR86" s="214">
        <f t="shared" ca="1" si="281"/>
        <v>3</v>
      </c>
      <c r="AS86" s="214">
        <f t="shared" ca="1" si="281"/>
        <v>1</v>
      </c>
      <c r="AT86" s="215">
        <f t="shared" ca="1" si="281"/>
        <v>2</v>
      </c>
      <c r="AU86" s="420">
        <f ca="1">INDEX($DL$6:$DL$53,MATCH(AI86,$DP$6:$DP$53,0))</f>
        <v>1</v>
      </c>
      <c r="AV86" s="217" t="str">
        <f ca="1">INDEX($BD$6:$BD$53,MATCH(AI86,$BM$6:$BM$53,0))</f>
        <v>Colombia</v>
      </c>
      <c r="AW86" s="427"/>
      <c r="AX86" s="218"/>
      <c r="AY86" s="219" t="str">
        <f ca="1">+A85</f>
        <v>Portugal</v>
      </c>
      <c r="AZ86" s="220"/>
      <c r="BA86" s="175"/>
      <c r="BB86" s="744"/>
      <c r="BC86" s="744"/>
      <c r="BD86" s="744"/>
      <c r="BE86" s="744"/>
      <c r="BF86" s="744"/>
      <c r="BG86" s="744"/>
      <c r="BH86" s="744"/>
      <c r="BI86" s="744"/>
      <c r="BJ86" s="744"/>
      <c r="BK86" s="744"/>
      <c r="BL86" s="744"/>
      <c r="BM86" s="744"/>
      <c r="BN86" s="749"/>
      <c r="BO86" s="749"/>
      <c r="BP86" s="749"/>
      <c r="BQ86" s="749"/>
      <c r="BR86" s="744"/>
      <c r="BS86" s="744"/>
      <c r="BT86" s="749"/>
      <c r="BU86" s="749"/>
      <c r="BV86" s="749"/>
      <c r="BW86" s="749"/>
      <c r="BX86" s="749"/>
      <c r="BY86" s="749"/>
      <c r="BZ86" s="749"/>
      <c r="CA86" s="749"/>
      <c r="CB86" s="749"/>
      <c r="CC86" s="749"/>
      <c r="CD86" s="749"/>
      <c r="CE86" s="749"/>
      <c r="CF86" s="749"/>
      <c r="CG86" s="749"/>
      <c r="CH86" s="749"/>
      <c r="CI86" s="749"/>
      <c r="CJ86" s="749"/>
      <c r="CK86" s="749"/>
      <c r="CL86" s="749"/>
      <c r="CM86" s="749"/>
      <c r="CN86" s="749"/>
      <c r="CO86" s="749"/>
      <c r="CP86" s="749"/>
      <c r="CQ86" s="749"/>
      <c r="CR86" s="749"/>
      <c r="CS86" s="749"/>
      <c r="CT86" s="749"/>
      <c r="CU86" s="749"/>
      <c r="CV86" s="749"/>
      <c r="CW86" s="744"/>
      <c r="CX86" s="749"/>
      <c r="CY86" s="744"/>
      <c r="CZ86" s="744"/>
      <c r="DA86" s="744"/>
      <c r="DB86" s="744"/>
      <c r="DC86" s="744"/>
      <c r="DD86" s="744"/>
      <c r="DE86" s="744"/>
      <c r="DF86" s="744"/>
      <c r="DG86" s="744"/>
      <c r="DH86" s="744"/>
      <c r="DI86" s="744"/>
      <c r="DJ86" s="744"/>
      <c r="DK86" s="744"/>
      <c r="DL86" s="744"/>
      <c r="DM86" s="744"/>
      <c r="DN86" s="744"/>
      <c r="DO86" s="744"/>
      <c r="DP86" s="744"/>
      <c r="DQ86" s="744"/>
      <c r="DR86" s="744"/>
      <c r="DS86" s="744"/>
      <c r="DT86" s="744" t="str">
        <f t="shared" ca="1" si="242"/>
        <v>Portugal-Uzbekistán</v>
      </c>
      <c r="DU86" s="744"/>
      <c r="DV86" s="744"/>
      <c r="DW86" s="8"/>
    </row>
    <row r="87" spans="1:127" ht="16.05" customHeight="1">
      <c r="A87" s="745" t="str">
        <f ca="1">+Equipos!B44</f>
        <v>Uzbekistán</v>
      </c>
      <c r="B87" s="742"/>
      <c r="C87" s="744"/>
      <c r="D87" s="744" t="str">
        <f t="shared" si="264"/>
        <v>Pendiente</v>
      </c>
      <c r="E87" s="744" t="str">
        <f t="shared" si="265"/>
        <v>-</v>
      </c>
      <c r="F87" s="744" t="str">
        <f t="shared" si="266"/>
        <v>-</v>
      </c>
      <c r="G87" s="744"/>
      <c r="H87" s="744" t="str">
        <f t="shared" si="267"/>
        <v>-</v>
      </c>
      <c r="I87" s="744" t="str">
        <f t="shared" si="268"/>
        <v>-</v>
      </c>
      <c r="J87" s="744"/>
      <c r="K87" s="744" t="str">
        <f t="shared" si="269"/>
        <v>-</v>
      </c>
      <c r="L87" s="744" t="str">
        <f t="shared" si="270"/>
        <v>-</v>
      </c>
      <c r="M87" s="744"/>
      <c r="N87" s="744" t="str">
        <f t="shared" si="271"/>
        <v>-</v>
      </c>
      <c r="O87" s="744" t="str">
        <f t="shared" si="272"/>
        <v>-</v>
      </c>
      <c r="P87" s="744"/>
      <c r="Q87" s="744" t="str">
        <f t="shared" si="273"/>
        <v>-</v>
      </c>
      <c r="R87" s="744" t="str">
        <f t="shared" si="274"/>
        <v>-</v>
      </c>
      <c r="S87" s="744"/>
      <c r="T87" s="744" t="str">
        <f t="shared" si="275"/>
        <v>-</v>
      </c>
      <c r="U87" s="744" t="str">
        <f t="shared" si="276"/>
        <v>-</v>
      </c>
      <c r="V87" s="172"/>
      <c r="W87" s="831"/>
      <c r="X87" s="189">
        <f ca="1">Horarios!C87</f>
        <v>46197.166666666664</v>
      </c>
      <c r="Y87" s="190">
        <f ca="1">Horarios!C87</f>
        <v>46197.166666666664</v>
      </c>
      <c r="Z87" s="191" t="str">
        <f>$Z$6</f>
        <v>J2</v>
      </c>
      <c r="AA87" s="192" t="str">
        <f ca="1">A88</f>
        <v>Colombia</v>
      </c>
      <c r="AB87" s="478" t="e" cm="1" vm="44">
        <f t="array" aca="1" ref="AB87" ca="1">Ver_flag_local</f>
        <v>#VALUE!</v>
      </c>
      <c r="AC87" s="193"/>
      <c r="AD87" s="194"/>
      <c r="AE87" s="483" t="e" cm="1" vm="42">
        <f t="array" aca="1" ref="AE87" ca="1">Ver_flag_visit</f>
        <v>#VALUE!</v>
      </c>
      <c r="AF87" s="195" t="str">
        <f ca="1">A86</f>
        <v>RD Congo</v>
      </c>
      <c r="AG87" s="413">
        <f t="shared" si="277"/>
        <v>0</v>
      </c>
      <c r="AH87" s="196">
        <v>48</v>
      </c>
      <c r="AI87" s="19" t="str">
        <f t="shared" ref="AI87:AI89" si="282">AJ87&amp;$B$84</f>
        <v>2K</v>
      </c>
      <c r="AJ87" s="221">
        <v>2</v>
      </c>
      <c r="AK87" s="486" t="e" cm="1" vm="41">
        <f t="array" aca="1" ref="AK87" ca="1">Ver_flag_visit</f>
        <v>#VALUE!</v>
      </c>
      <c r="AL87" s="222" t="str">
        <f ca="1">IFERROR(INDEX($BD$6:$BD$53,MATCH(AI87,$BN$6:$BN$53,0)),"")</f>
        <v>Portugal</v>
      </c>
      <c r="AM87" s="223">
        <f t="shared" ca="1" si="281"/>
        <v>1</v>
      </c>
      <c r="AN87" s="224">
        <f t="shared" ca="1" si="281"/>
        <v>1</v>
      </c>
      <c r="AO87" s="224">
        <f t="shared" ca="1" si="281"/>
        <v>0</v>
      </c>
      <c r="AP87" s="224">
        <f t="shared" ca="1" si="281"/>
        <v>1</v>
      </c>
      <c r="AQ87" s="224">
        <f t="shared" ca="1" si="281"/>
        <v>0</v>
      </c>
      <c r="AR87" s="224">
        <f t="shared" ca="1" si="281"/>
        <v>1</v>
      </c>
      <c r="AS87" s="224">
        <f t="shared" ca="1" si="281"/>
        <v>1</v>
      </c>
      <c r="AT87" s="225">
        <f t="shared" ca="1" si="281"/>
        <v>0</v>
      </c>
      <c r="AU87" s="420">
        <f ca="1">INDEX($DL$6:$DL$53,MATCH(AI87,$DP$6:$DP$53,0))</f>
        <v>1</v>
      </c>
      <c r="AV87" s="217" t="str">
        <f ca="1">INDEX($BD$6:$BD$53,MATCH(AI87,$BM$6:$BM$53,0))</f>
        <v>Portugal</v>
      </c>
      <c r="AW87" s="427"/>
      <c r="AX87" s="218"/>
      <c r="AY87" s="226" t="str">
        <f ca="1">+A86</f>
        <v>RD Congo</v>
      </c>
      <c r="AZ87" s="227"/>
      <c r="BA87" s="175"/>
      <c r="BB87" s="744"/>
      <c r="BC87" s="744"/>
      <c r="BD87" s="744"/>
      <c r="BE87" s="744"/>
      <c r="BF87" s="744"/>
      <c r="BG87" s="744"/>
      <c r="BH87" s="744"/>
      <c r="BI87" s="744"/>
      <c r="BJ87" s="744"/>
      <c r="BK87" s="744"/>
      <c r="BL87" s="744"/>
      <c r="BM87" s="744"/>
      <c r="BN87" s="749"/>
      <c r="BO87" s="749"/>
      <c r="BP87" s="749"/>
      <c r="BQ87" s="749"/>
      <c r="BR87" s="744"/>
      <c r="BS87" s="744"/>
      <c r="BT87" s="749"/>
      <c r="BU87" s="749"/>
      <c r="BV87" s="749"/>
      <c r="BW87" s="749"/>
      <c r="BX87" s="749"/>
      <c r="BY87" s="749"/>
      <c r="BZ87" s="749"/>
      <c r="CA87" s="749"/>
      <c r="CB87" s="749"/>
      <c r="CC87" s="749"/>
      <c r="CD87" s="749"/>
      <c r="CE87" s="749"/>
      <c r="CF87" s="749"/>
      <c r="CG87" s="749"/>
      <c r="CH87" s="749"/>
      <c r="CI87" s="749"/>
      <c r="CJ87" s="749"/>
      <c r="CK87" s="749"/>
      <c r="CL87" s="749"/>
      <c r="CM87" s="749"/>
      <c r="CN87" s="749"/>
      <c r="CO87" s="749"/>
      <c r="CP87" s="749"/>
      <c r="CQ87" s="749"/>
      <c r="CR87" s="749"/>
      <c r="CS87" s="749"/>
      <c r="CT87" s="749"/>
      <c r="CU87" s="749"/>
      <c r="CV87" s="749"/>
      <c r="CW87" s="744"/>
      <c r="CX87" s="749"/>
      <c r="CY87" s="744"/>
      <c r="CZ87" s="744"/>
      <c r="DA87" s="744"/>
      <c r="DB87" s="744"/>
      <c r="DC87" s="744"/>
      <c r="DD87" s="744"/>
      <c r="DE87" s="744"/>
      <c r="DF87" s="744"/>
      <c r="DG87" s="744"/>
      <c r="DH87" s="744"/>
      <c r="DI87" s="744"/>
      <c r="DJ87" s="744"/>
      <c r="DK87" s="744"/>
      <c r="DL87" s="744"/>
      <c r="DM87" s="744"/>
      <c r="DN87" s="744"/>
      <c r="DO87" s="744"/>
      <c r="DP87" s="744"/>
      <c r="DQ87" s="744"/>
      <c r="DR87" s="744"/>
      <c r="DS87" s="744"/>
      <c r="DT87" s="744" t="str">
        <f t="shared" ca="1" si="242"/>
        <v>Colombia-RD Congo</v>
      </c>
      <c r="DU87" s="744"/>
      <c r="DV87" s="744"/>
      <c r="DW87" s="8"/>
    </row>
    <row r="88" spans="1:127" ht="16.05" customHeight="1">
      <c r="A88" s="745" t="str">
        <f ca="1">+Equipos!B45</f>
        <v>Colombia</v>
      </c>
      <c r="B88" s="742"/>
      <c r="C88" s="744"/>
      <c r="D88" s="744" t="str">
        <f t="shared" si="264"/>
        <v>Pendiente</v>
      </c>
      <c r="E88" s="744" t="str">
        <f t="shared" si="265"/>
        <v>-</v>
      </c>
      <c r="F88" s="744" t="str">
        <f t="shared" si="266"/>
        <v>-</v>
      </c>
      <c r="G88" s="744"/>
      <c r="H88" s="744" t="str">
        <f t="shared" si="267"/>
        <v>-</v>
      </c>
      <c r="I88" s="744" t="str">
        <f t="shared" si="268"/>
        <v>-</v>
      </c>
      <c r="J88" s="744"/>
      <c r="K88" s="744" t="str">
        <f t="shared" si="269"/>
        <v>-</v>
      </c>
      <c r="L88" s="744" t="str">
        <f t="shared" si="270"/>
        <v>-</v>
      </c>
      <c r="M88" s="744"/>
      <c r="N88" s="744" t="str">
        <f t="shared" si="271"/>
        <v>-</v>
      </c>
      <c r="O88" s="744" t="str">
        <f t="shared" si="272"/>
        <v>-</v>
      </c>
      <c r="P88" s="744"/>
      <c r="Q88" s="744" t="str">
        <f t="shared" si="273"/>
        <v>-</v>
      </c>
      <c r="R88" s="744" t="str">
        <f t="shared" si="274"/>
        <v>-</v>
      </c>
      <c r="S88" s="744"/>
      <c r="T88" s="744" t="str">
        <f t="shared" si="275"/>
        <v>-</v>
      </c>
      <c r="U88" s="744" t="str">
        <f t="shared" si="276"/>
        <v>-</v>
      </c>
      <c r="V88" s="172"/>
      <c r="W88" s="831"/>
      <c r="X88" s="189">
        <f ca="1">Horarios!C88</f>
        <v>46201.0625</v>
      </c>
      <c r="Y88" s="190">
        <f ca="1">Horarios!C88</f>
        <v>46201.0625</v>
      </c>
      <c r="Z88" s="191" t="str">
        <f>$Z$8</f>
        <v>J3</v>
      </c>
      <c r="AA88" s="192" t="str">
        <f ca="1">A88</f>
        <v>Colombia</v>
      </c>
      <c r="AB88" s="478" t="e" cm="1" vm="44">
        <f t="array" aca="1" ref="AB88" ca="1">Ver_flag_local</f>
        <v>#VALUE!</v>
      </c>
      <c r="AC88" s="193"/>
      <c r="AD88" s="194"/>
      <c r="AE88" s="483" t="e" cm="1" vm="41">
        <f t="array" aca="1" ref="AE88" ca="1">Ver_flag_visit</f>
        <v>#VALUE!</v>
      </c>
      <c r="AF88" s="195" t="str">
        <f ca="1">A85</f>
        <v>Portugal</v>
      </c>
      <c r="AG88" s="413">
        <f t="shared" si="277"/>
        <v>0</v>
      </c>
      <c r="AH88" s="196">
        <v>71</v>
      </c>
      <c r="AI88" s="19" t="str">
        <f t="shared" si="282"/>
        <v>3K</v>
      </c>
      <c r="AJ88" s="221">
        <v>3</v>
      </c>
      <c r="AK88" s="486" t="e" cm="1" vm="42">
        <f t="array" aca="1" ref="AK88" ca="1">Ver_flag_visit</f>
        <v>#VALUE!</v>
      </c>
      <c r="AL88" s="222" t="str">
        <f ca="1">IFERROR(INDEX($BD$6:$BD$53,MATCH(AI88,$BN$6:$BN$53,0)),"")</f>
        <v>RD Congo</v>
      </c>
      <c r="AM88" s="223">
        <f t="shared" ca="1" si="281"/>
        <v>1</v>
      </c>
      <c r="AN88" s="224">
        <f t="shared" ca="1" si="281"/>
        <v>1</v>
      </c>
      <c r="AO88" s="224">
        <f t="shared" ca="1" si="281"/>
        <v>0</v>
      </c>
      <c r="AP88" s="224">
        <f t="shared" ca="1" si="281"/>
        <v>1</v>
      </c>
      <c r="AQ88" s="224">
        <f t="shared" ca="1" si="281"/>
        <v>0</v>
      </c>
      <c r="AR88" s="224">
        <f t="shared" ca="1" si="281"/>
        <v>1</v>
      </c>
      <c r="AS88" s="224">
        <f t="shared" ca="1" si="281"/>
        <v>1</v>
      </c>
      <c r="AT88" s="225">
        <f t="shared" ca="1" si="281"/>
        <v>0</v>
      </c>
      <c r="AU88" s="420">
        <f ca="1">INDEX($DL$6:$DL$53,MATCH(AI88,$DP$6:$DP$53,0))</f>
        <v>1</v>
      </c>
      <c r="AV88" s="217" t="str">
        <f ca="1">INDEX($BD$6:$BD$53,MATCH(AI88,$BM$6:$BM$53,0))</f>
        <v>RD Congo</v>
      </c>
      <c r="AW88" s="427"/>
      <c r="AX88" s="218"/>
      <c r="AY88" s="219" t="str">
        <f ca="1">+A87</f>
        <v>Uzbekistán</v>
      </c>
      <c r="AZ88" s="220"/>
      <c r="BA88" s="175"/>
      <c r="BB88" s="744"/>
      <c r="BC88" s="744"/>
      <c r="BD88" s="744"/>
      <c r="BE88" s="744"/>
      <c r="BF88" s="744"/>
      <c r="BG88" s="744"/>
      <c r="BH88" s="744"/>
      <c r="BI88" s="744"/>
      <c r="BJ88" s="744"/>
      <c r="BK88" s="744"/>
      <c r="BL88" s="744"/>
      <c r="BM88" s="744"/>
      <c r="BN88" s="749"/>
      <c r="BO88" s="749"/>
      <c r="BP88" s="749"/>
      <c r="BQ88" s="749"/>
      <c r="BR88" s="744"/>
      <c r="BS88" s="744"/>
      <c r="BT88" s="749"/>
      <c r="BU88" s="749"/>
      <c r="BV88" s="749"/>
      <c r="BW88" s="749"/>
      <c r="BX88" s="749"/>
      <c r="BY88" s="749"/>
      <c r="BZ88" s="749"/>
      <c r="CA88" s="749"/>
      <c r="CB88" s="749"/>
      <c r="CC88" s="749"/>
      <c r="CD88" s="749"/>
      <c r="CE88" s="749"/>
      <c r="CF88" s="749"/>
      <c r="CG88" s="749"/>
      <c r="CH88" s="749"/>
      <c r="CI88" s="749"/>
      <c r="CJ88" s="749"/>
      <c r="CK88" s="749"/>
      <c r="CL88" s="749"/>
      <c r="CM88" s="749"/>
      <c r="CN88" s="749"/>
      <c r="CO88" s="749"/>
      <c r="CP88" s="749"/>
      <c r="CQ88" s="749"/>
      <c r="CR88" s="749"/>
      <c r="CS88" s="749"/>
      <c r="CT88" s="749"/>
      <c r="CU88" s="749"/>
      <c r="CV88" s="749"/>
      <c r="CW88" s="744"/>
      <c r="CX88" s="749"/>
      <c r="CY88" s="744"/>
      <c r="CZ88" s="744"/>
      <c r="DA88" s="744"/>
      <c r="DB88" s="744"/>
      <c r="DC88" s="744"/>
      <c r="DD88" s="744"/>
      <c r="DE88" s="744"/>
      <c r="DF88" s="744"/>
      <c r="DG88" s="744"/>
      <c r="DH88" s="744"/>
      <c r="DI88" s="744"/>
      <c r="DJ88" s="744"/>
      <c r="DK88" s="744"/>
      <c r="DL88" s="744"/>
      <c r="DM88" s="744"/>
      <c r="DN88" s="744"/>
      <c r="DO88" s="744"/>
      <c r="DP88" s="744"/>
      <c r="DQ88" s="744"/>
      <c r="DR88" s="744"/>
      <c r="DS88" s="744"/>
      <c r="DT88" s="744" t="str">
        <f t="shared" ca="1" si="242"/>
        <v>Colombia-Portugal</v>
      </c>
      <c r="DU88" s="744"/>
      <c r="DV88" s="744"/>
      <c r="DW88" s="8"/>
    </row>
    <row r="89" spans="1:127" ht="16.95" customHeight="1" thickBot="1">
      <c r="A89" s="739"/>
      <c r="B89" s="739"/>
      <c r="C89" s="739"/>
      <c r="D89" s="744" t="str">
        <f t="shared" si="264"/>
        <v>Pendiente</v>
      </c>
      <c r="E89" s="744" t="str">
        <f t="shared" si="265"/>
        <v>-</v>
      </c>
      <c r="F89" s="744" t="str">
        <f t="shared" si="266"/>
        <v>-</v>
      </c>
      <c r="G89" s="744"/>
      <c r="H89" s="744" t="str">
        <f t="shared" si="267"/>
        <v>-</v>
      </c>
      <c r="I89" s="744" t="str">
        <f t="shared" si="268"/>
        <v>-</v>
      </c>
      <c r="J89" s="744"/>
      <c r="K89" s="744" t="str">
        <f t="shared" si="269"/>
        <v>-</v>
      </c>
      <c r="L89" s="744" t="str">
        <f t="shared" si="270"/>
        <v>-</v>
      </c>
      <c r="M89" s="744"/>
      <c r="N89" s="744" t="str">
        <f t="shared" si="271"/>
        <v>-</v>
      </c>
      <c r="O89" s="744" t="str">
        <f t="shared" si="272"/>
        <v>-</v>
      </c>
      <c r="P89" s="744"/>
      <c r="Q89" s="744" t="str">
        <f t="shared" si="273"/>
        <v>-</v>
      </c>
      <c r="R89" s="744" t="str">
        <f t="shared" si="274"/>
        <v>-</v>
      </c>
      <c r="S89" s="744"/>
      <c r="T89" s="744" t="str">
        <f t="shared" si="275"/>
        <v>-</v>
      </c>
      <c r="U89" s="744" t="str">
        <f t="shared" si="276"/>
        <v>-</v>
      </c>
      <c r="V89" s="172"/>
      <c r="W89" s="832"/>
      <c r="X89" s="228">
        <f ca="1">Horarios!C89</f>
        <v>46201.0625</v>
      </c>
      <c r="Y89" s="229">
        <f ca="1">Horarios!C89</f>
        <v>46201.0625</v>
      </c>
      <c r="Z89" s="230" t="str">
        <f>$Z$8</f>
        <v>J3</v>
      </c>
      <c r="AA89" s="231" t="str">
        <f ca="1">A86</f>
        <v>RD Congo</v>
      </c>
      <c r="AB89" s="479" t="e" cm="1" vm="42">
        <f t="array" aca="1" ref="AB89" ca="1">Ver_flag_local</f>
        <v>#VALUE!</v>
      </c>
      <c r="AC89" s="232"/>
      <c r="AD89" s="233"/>
      <c r="AE89" s="484" t="e" cm="1" vm="43">
        <f t="array" aca="1" ref="AE89" ca="1">Ver_flag_visit</f>
        <v>#VALUE!</v>
      </c>
      <c r="AF89" s="234" t="str">
        <f ca="1">A87</f>
        <v>Uzbekistán</v>
      </c>
      <c r="AG89" s="413">
        <f t="shared" si="277"/>
        <v>0</v>
      </c>
      <c r="AH89" s="196">
        <v>72</v>
      </c>
      <c r="AI89" s="19" t="str">
        <f t="shared" si="282"/>
        <v>4K</v>
      </c>
      <c r="AJ89" s="235">
        <v>4</v>
      </c>
      <c r="AK89" s="487" t="e" cm="1" vm="43">
        <f t="array" aca="1" ref="AK89" ca="1">Ver_flag_visit</f>
        <v>#VALUE!</v>
      </c>
      <c r="AL89" s="236" t="str">
        <f ca="1">IFERROR(INDEX($BD$6:$BD$53,MATCH(AI89,$BN$6:$BN$53,0)),"")</f>
        <v>Uzbekistán</v>
      </c>
      <c r="AM89" s="237">
        <f t="shared" ca="1" si="281"/>
        <v>0</v>
      </c>
      <c r="AN89" s="238">
        <f t="shared" ca="1" si="281"/>
        <v>1</v>
      </c>
      <c r="AO89" s="238">
        <f t="shared" ca="1" si="281"/>
        <v>0</v>
      </c>
      <c r="AP89" s="238">
        <f t="shared" ca="1" si="281"/>
        <v>0</v>
      </c>
      <c r="AQ89" s="238">
        <f t="shared" ca="1" si="281"/>
        <v>1</v>
      </c>
      <c r="AR89" s="238">
        <f t="shared" ca="1" si="281"/>
        <v>1</v>
      </c>
      <c r="AS89" s="238">
        <f t="shared" ca="1" si="281"/>
        <v>3</v>
      </c>
      <c r="AT89" s="239">
        <f t="shared" ca="1" si="281"/>
        <v>-2</v>
      </c>
      <c r="AU89" s="420">
        <f ca="1">INDEX($DL$6:$DL$53,MATCH(AI89,$DP$6:$DP$53,0))</f>
        <v>1</v>
      </c>
      <c r="AV89" s="217" t="str">
        <f ca="1">INDEX($BD$6:$BD$53,MATCH(AI89,$BM$6:$BM$53,0))</f>
        <v>Uzbekistán</v>
      </c>
      <c r="AW89" s="427"/>
      <c r="AX89" s="218"/>
      <c r="AY89" s="240" t="str">
        <f ca="1">+A88</f>
        <v>Colombia</v>
      </c>
      <c r="AZ89" s="241"/>
      <c r="BA89" s="175"/>
      <c r="BB89" s="744"/>
      <c r="BC89" s="744"/>
      <c r="BD89" s="744"/>
      <c r="BE89" s="744"/>
      <c r="BF89" s="744"/>
      <c r="BG89" s="744"/>
      <c r="BH89" s="744"/>
      <c r="BI89" s="744"/>
      <c r="BJ89" s="744"/>
      <c r="BK89" s="744"/>
      <c r="BL89" s="744"/>
      <c r="BM89" s="744"/>
      <c r="BN89" s="749"/>
      <c r="BO89" s="749"/>
      <c r="BP89" s="749"/>
      <c r="BQ89" s="749"/>
      <c r="BR89" s="744"/>
      <c r="BS89" s="744"/>
      <c r="BT89" s="749"/>
      <c r="BU89" s="749"/>
      <c r="BV89" s="749"/>
      <c r="BW89" s="749"/>
      <c r="BX89" s="749"/>
      <c r="BY89" s="749"/>
      <c r="BZ89" s="749"/>
      <c r="CA89" s="749"/>
      <c r="CB89" s="749"/>
      <c r="CC89" s="749"/>
      <c r="CD89" s="749"/>
      <c r="CE89" s="749"/>
      <c r="CF89" s="749"/>
      <c r="CG89" s="749"/>
      <c r="CH89" s="749"/>
      <c r="CI89" s="749"/>
      <c r="CJ89" s="749"/>
      <c r="CK89" s="749"/>
      <c r="CL89" s="749"/>
      <c r="CM89" s="749"/>
      <c r="CN89" s="749"/>
      <c r="CO89" s="749"/>
      <c r="CP89" s="749"/>
      <c r="CQ89" s="749"/>
      <c r="CR89" s="749"/>
      <c r="CS89" s="749"/>
      <c r="CT89" s="749"/>
      <c r="CU89" s="749"/>
      <c r="CV89" s="749"/>
      <c r="CW89" s="744"/>
      <c r="CX89" s="749"/>
      <c r="CY89" s="744"/>
      <c r="CZ89" s="744"/>
      <c r="DA89" s="744"/>
      <c r="DB89" s="744"/>
      <c r="DC89" s="744"/>
      <c r="DD89" s="744"/>
      <c r="DE89" s="744"/>
      <c r="DF89" s="744"/>
      <c r="DG89" s="744"/>
      <c r="DH89" s="744"/>
      <c r="DI89" s="744"/>
      <c r="DJ89" s="744"/>
      <c r="DK89" s="744"/>
      <c r="DL89" s="744"/>
      <c r="DM89" s="744"/>
      <c r="DN89" s="744"/>
      <c r="DO89" s="744"/>
      <c r="DP89" s="744"/>
      <c r="DQ89" s="744"/>
      <c r="DR89" s="744"/>
      <c r="DS89" s="744"/>
      <c r="DT89" s="744" t="str">
        <f t="shared" ca="1" si="242"/>
        <v>RD Congo-Uzbekistán</v>
      </c>
      <c r="DU89" s="744"/>
      <c r="DV89" s="744"/>
      <c r="DW89" s="8"/>
    </row>
    <row r="90" spans="1:127" ht="15" thickBot="1">
      <c r="A90" s="739"/>
      <c r="B90" s="739"/>
      <c r="C90" s="739"/>
      <c r="D90" s="744"/>
      <c r="E90" s="744"/>
      <c r="F90" s="744"/>
      <c r="G90" s="744"/>
      <c r="H90" s="744"/>
      <c r="I90" s="744"/>
      <c r="J90" s="744"/>
      <c r="K90" s="744"/>
      <c r="L90" s="744"/>
      <c r="M90" s="744"/>
      <c r="N90" s="744"/>
      <c r="O90" s="744"/>
      <c r="P90" s="744"/>
      <c r="Q90" s="744"/>
      <c r="R90" s="744"/>
      <c r="S90" s="744"/>
      <c r="T90" s="744"/>
      <c r="U90" s="744"/>
      <c r="V90" s="172"/>
      <c r="W90" s="242"/>
      <c r="X90" s="243"/>
      <c r="Y90" s="242"/>
      <c r="Z90" s="244"/>
      <c r="AA90" s="245"/>
      <c r="AB90" s="482"/>
      <c r="AC90" s="247"/>
      <c r="AD90" s="247"/>
      <c r="AE90" s="482"/>
      <c r="AF90" s="248"/>
      <c r="AG90" s="415"/>
      <c r="AH90" s="196"/>
      <c r="AI90" s="171"/>
      <c r="AJ90" s="249"/>
      <c r="AK90" s="250"/>
      <c r="AL90" s="186"/>
      <c r="AM90" s="251"/>
      <c r="AN90" s="249"/>
      <c r="AO90" s="249"/>
      <c r="AP90" s="249"/>
      <c r="AQ90" s="249"/>
      <c r="AR90" s="249"/>
      <c r="AS90" s="249"/>
      <c r="AT90" s="249"/>
      <c r="AU90" s="420"/>
      <c r="AV90" s="216"/>
      <c r="AW90" s="428"/>
      <c r="AX90" s="218"/>
      <c r="AY90" s="242"/>
      <c r="AZ90" s="243"/>
      <c r="BA90" s="175"/>
      <c r="BB90" s="744"/>
      <c r="BC90" s="744"/>
      <c r="BD90" s="744"/>
      <c r="BE90" s="744"/>
      <c r="BF90" s="744"/>
      <c r="BG90" s="744"/>
      <c r="BH90" s="744"/>
      <c r="BI90" s="744"/>
      <c r="BJ90" s="744"/>
      <c r="BK90" s="744"/>
      <c r="BL90" s="744"/>
      <c r="BM90" s="744"/>
      <c r="BN90" s="749"/>
      <c r="BO90" s="749"/>
      <c r="BP90" s="749"/>
      <c r="BQ90" s="749"/>
      <c r="BR90" s="744"/>
      <c r="BS90" s="744"/>
      <c r="BT90" s="749"/>
      <c r="BU90" s="749"/>
      <c r="BV90" s="749"/>
      <c r="BW90" s="749"/>
      <c r="BX90" s="749"/>
      <c r="BY90" s="749"/>
      <c r="BZ90" s="749"/>
      <c r="CA90" s="749"/>
      <c r="CB90" s="749"/>
      <c r="CC90" s="749"/>
      <c r="CD90" s="749"/>
      <c r="CE90" s="749"/>
      <c r="CF90" s="749"/>
      <c r="CG90" s="749"/>
      <c r="CH90" s="749"/>
      <c r="CI90" s="749"/>
      <c r="CJ90" s="749"/>
      <c r="CK90" s="749"/>
      <c r="CL90" s="749"/>
      <c r="CM90" s="749"/>
      <c r="CN90" s="749"/>
      <c r="CO90" s="749"/>
      <c r="CP90" s="749"/>
      <c r="CQ90" s="749"/>
      <c r="CR90" s="749"/>
      <c r="CS90" s="749"/>
      <c r="CT90" s="749"/>
      <c r="CU90" s="749"/>
      <c r="CV90" s="749"/>
      <c r="CW90" s="744"/>
      <c r="CX90" s="749"/>
      <c r="CY90" s="744"/>
      <c r="CZ90" s="744"/>
      <c r="DA90" s="744"/>
      <c r="DB90" s="744"/>
      <c r="DC90" s="744"/>
      <c r="DD90" s="744"/>
      <c r="DE90" s="744"/>
      <c r="DF90" s="744"/>
      <c r="DG90" s="744"/>
      <c r="DH90" s="744"/>
      <c r="DI90" s="744"/>
      <c r="DJ90" s="744"/>
      <c r="DK90" s="744"/>
      <c r="DL90" s="744"/>
      <c r="DM90" s="744"/>
      <c r="DN90" s="744"/>
      <c r="DO90" s="744"/>
      <c r="DP90" s="744"/>
      <c r="DQ90" s="744"/>
      <c r="DR90" s="744"/>
      <c r="DS90" s="744"/>
      <c r="DT90" s="744" t="str">
        <f t="shared" si="242"/>
        <v>-</v>
      </c>
      <c r="DU90" s="744"/>
      <c r="DV90" s="744"/>
      <c r="DW90" s="8"/>
    </row>
    <row r="91" spans="1:127" ht="15" thickBot="1">
      <c r="A91" s="739"/>
      <c r="B91" s="742"/>
      <c r="C91" s="739"/>
      <c r="D91" s="739"/>
      <c r="E91" s="739"/>
      <c r="F91" s="739"/>
      <c r="G91" s="739"/>
      <c r="H91" s="739"/>
      <c r="I91" s="739"/>
      <c r="J91" s="739"/>
      <c r="K91" s="739"/>
      <c r="L91" s="739"/>
      <c r="M91" s="739"/>
      <c r="N91" s="744"/>
      <c r="O91" s="744"/>
      <c r="P91" s="744"/>
      <c r="Q91" s="744"/>
      <c r="R91" s="744"/>
      <c r="S91" s="744"/>
      <c r="T91" s="744"/>
      <c r="U91" s="744"/>
      <c r="V91" s="172"/>
      <c r="W91" s="179"/>
      <c r="X91" s="180" t="str">
        <f>X3</f>
        <v>Fecha</v>
      </c>
      <c r="Y91" s="180" t="str">
        <f>Y3</f>
        <v>Hora</v>
      </c>
      <c r="Z91" s="265" t="str">
        <f>Z3</f>
        <v>Jor.</v>
      </c>
      <c r="AA91" s="266" t="str">
        <f>AA3</f>
        <v>Casa</v>
      </c>
      <c r="AB91" s="180"/>
      <c r="AC91" s="180" t="str">
        <f>AC3</f>
        <v>Gol</v>
      </c>
      <c r="AD91" s="180" t="str">
        <f>AD3</f>
        <v>Gol</v>
      </c>
      <c r="AE91" s="180"/>
      <c r="AF91" s="267" t="str">
        <f>AF3</f>
        <v>Fuera</v>
      </c>
      <c r="AG91" s="414"/>
      <c r="AH91" s="196"/>
      <c r="AI91" s="18"/>
      <c r="AJ91" s="186"/>
      <c r="AK91" s="252"/>
      <c r="AL91" s="186"/>
      <c r="AM91" s="186"/>
      <c r="AN91" s="186"/>
      <c r="AO91" s="186"/>
      <c r="AP91" s="186"/>
      <c r="AQ91" s="186"/>
      <c r="AR91" s="186"/>
      <c r="AS91" s="186"/>
      <c r="AT91" s="186"/>
      <c r="AU91" s="421"/>
      <c r="AV91" s="22"/>
      <c r="AW91" s="429"/>
      <c r="AX91" s="253"/>
      <c r="AY91" s="242"/>
      <c r="AZ91" s="243"/>
      <c r="BA91" s="175"/>
      <c r="BB91" s="744"/>
      <c r="BC91" s="744"/>
      <c r="BD91" s="744"/>
      <c r="BE91" s="744"/>
      <c r="BF91" s="744"/>
      <c r="BG91" s="744"/>
      <c r="BH91" s="744"/>
      <c r="BI91" s="744"/>
      <c r="BJ91" s="744"/>
      <c r="BK91" s="744"/>
      <c r="BL91" s="744"/>
      <c r="BM91" s="744"/>
      <c r="BN91" s="744"/>
      <c r="BO91" s="744"/>
      <c r="BP91" s="744"/>
      <c r="BQ91" s="744"/>
      <c r="BR91" s="744"/>
      <c r="BS91" s="744"/>
      <c r="BT91" s="744"/>
      <c r="BU91" s="744"/>
      <c r="BV91" s="744"/>
      <c r="BW91" s="744"/>
      <c r="BX91" s="744"/>
      <c r="BY91" s="744"/>
      <c r="BZ91" s="744"/>
      <c r="CA91" s="744"/>
      <c r="CB91" s="744"/>
      <c r="CC91" s="744"/>
      <c r="CD91" s="744"/>
      <c r="CE91" s="744"/>
      <c r="CF91" s="744"/>
      <c r="CG91" s="744"/>
      <c r="CH91" s="744"/>
      <c r="CI91" s="744"/>
      <c r="CJ91" s="744"/>
      <c r="CK91" s="744"/>
      <c r="CL91" s="744"/>
      <c r="CM91" s="744"/>
      <c r="CN91" s="744"/>
      <c r="CO91" s="744"/>
      <c r="CP91" s="744"/>
      <c r="CQ91" s="744"/>
      <c r="CR91" s="744"/>
      <c r="CS91" s="744"/>
      <c r="CT91" s="744"/>
      <c r="CU91" s="744"/>
      <c r="CV91" s="744"/>
      <c r="CW91" s="744"/>
      <c r="CX91" s="744"/>
      <c r="CY91" s="744"/>
      <c r="CZ91" s="744"/>
      <c r="DA91" s="744"/>
      <c r="DB91" s="744"/>
      <c r="DC91" s="744"/>
      <c r="DD91" s="744"/>
      <c r="DE91" s="744"/>
      <c r="DF91" s="744"/>
      <c r="DG91" s="744"/>
      <c r="DH91" s="744"/>
      <c r="DI91" s="744"/>
      <c r="DJ91" s="744"/>
      <c r="DK91" s="744"/>
      <c r="DL91" s="744"/>
      <c r="DM91" s="744"/>
      <c r="DN91" s="744"/>
      <c r="DO91" s="744"/>
      <c r="DP91" s="744"/>
      <c r="DQ91" s="744"/>
      <c r="DR91" s="744"/>
      <c r="DS91" s="744"/>
      <c r="DT91" s="744" t="str">
        <f t="shared" si="242"/>
        <v>Casa-Fuera</v>
      </c>
      <c r="DU91" s="744"/>
      <c r="DV91" s="744"/>
      <c r="DW91" s="8"/>
    </row>
    <row r="92" spans="1:127" ht="15" customHeight="1" thickBot="1">
      <c r="A92" s="741" t="s">
        <v>30</v>
      </c>
      <c r="B92" s="742" t="s">
        <v>238</v>
      </c>
      <c r="C92" s="743">
        <f>COUNTIF(Equipos!$C$2:$C$49,WORLDCUP!B92)</f>
        <v>4</v>
      </c>
      <c r="D92" s="744" t="str">
        <f t="shared" ref="D92:D97" si="283">IF(OR(AC92="",AD92=""),"Pendiente",IF(AC92&gt;AD92,"Local",IF(AC92&lt;AD92,"Visitante","Empate")))</f>
        <v>Local</v>
      </c>
      <c r="E92" s="744" t="str">
        <f t="shared" ref="E92:E97" ca="1" si="284">IF(D92="Pendiente","-",INDEX($BT$6:$BT$53,MATCH($AA92,$BD$6:$BD$53,0)))</f>
        <v>P.1 (2)</v>
      </c>
      <c r="F92" s="744" t="str">
        <f t="shared" ref="F92:F97" ca="1" si="285">IF(D92="Pendiente","-",INDEX($BT$6:$BT$53,MATCH($AF92,$BD$6:$BD$53,0)))</f>
        <v>P.3 (2)</v>
      </c>
      <c r="G92" s="744"/>
      <c r="H92" s="744" t="str">
        <f t="shared" ref="H92:H97" ca="1" si="286">IF(D92="Pendiente","-",INDEX($BZ$6:$BZ$53,MATCH($AA92,$BD$6:$BD$53,0)))</f>
        <v>P.1 (2)</v>
      </c>
      <c r="I92" s="744" t="str">
        <f t="shared" ref="I92:I97" ca="1" si="287">IF(D92="Pendiente","-",INDEX($BZ$6:$BZ$53,MATCH($AF92,$BD$6:$BD$53,0)))</f>
        <v>P.3 (2)</v>
      </c>
      <c r="J92" s="744"/>
      <c r="K92" s="744" t="str">
        <f t="shared" ref="K92:K97" ca="1" si="288">IF(D92="Pendiente","-",INDEX($CE$6:$CE$53,MATCH($AA92,$BD$6:$BD$53,0)))</f>
        <v>P.1 (2)</v>
      </c>
      <c r="L92" s="744" t="str">
        <f t="shared" ref="L92:L97" ca="1" si="289">IF(D92="Pendiente","-",INDEX($CE$6:$CE$53,MATCH($AF92,$BD$6:$BD$53,0)))</f>
        <v>P.3 (2)</v>
      </c>
      <c r="M92" s="744"/>
      <c r="N92" s="744" t="str">
        <f t="shared" ref="N92:N97" ca="1" si="290">IF(D92="Pendiente","-",INDEX($CH$6:$CH$53,MATCH($AA92,$BD$6:$BD$53,0)))</f>
        <v>P.1 (2)</v>
      </c>
      <c r="O92" s="744" t="str">
        <f t="shared" ref="O92:O97" ca="1" si="291">IF(D92="Pendiente","-",INDEX($CH$6:$CH$53,MATCH($AF92,$BD$6:$BD$53,0)))</f>
        <v>P.3 (2)</v>
      </c>
      <c r="P92" s="744"/>
      <c r="Q92" s="744" t="str">
        <f t="shared" ref="Q92:Q97" ca="1" si="292">IF(D92="Pendiente","-",INDEX($CN$6:$CN$53,MATCH($AA92,$BD$6:$BD$53,0)))</f>
        <v>P.1 (2)</v>
      </c>
      <c r="R92" s="744" t="str">
        <f t="shared" ref="R92:R97" ca="1" si="293">IF(D92="Pendiente","-",INDEX($CN$6:$CN$53,MATCH($AF92,$BD$6:$BD$53,0)))</f>
        <v>P.3 (2)</v>
      </c>
      <c r="S92" s="744"/>
      <c r="T92" s="744" t="str">
        <f t="shared" ref="T92:T97" ca="1" si="294">IF(D92="Pendiente","-",INDEX($CS$6:$CS$53,MATCH($AA92,$BD$6:$BD$53,0)))</f>
        <v>P.1 (2)</v>
      </c>
      <c r="U92" s="744" t="str">
        <f t="shared" ref="U92:U97" ca="1" si="295">IF(D92="Pendiente","-",INDEX($CS$6:$CS$53,MATCH($AF92,$BD$6:$BD$53,0)))</f>
        <v>P.3 (2)</v>
      </c>
      <c r="V92" s="172"/>
      <c r="W92" s="827" t="s">
        <v>238</v>
      </c>
      <c r="X92" s="189">
        <f ca="1">Horarios!C92</f>
        <v>46190.916666666664</v>
      </c>
      <c r="Y92" s="190">
        <f ca="1">Horarios!C92</f>
        <v>46190.916666666664</v>
      </c>
      <c r="Z92" s="191" t="str">
        <f>$Z$4</f>
        <v>J1</v>
      </c>
      <c r="AA92" s="192" t="str">
        <f ca="1">A93</f>
        <v>Inglaterra</v>
      </c>
      <c r="AB92" s="478" t="e" cm="1" vm="45">
        <f t="array" aca="1" ref="AB92" ca="1">Ver_flag_local</f>
        <v>#VALUE!</v>
      </c>
      <c r="AC92" s="193">
        <v>4</v>
      </c>
      <c r="AD92" s="194">
        <v>2</v>
      </c>
      <c r="AE92" s="483" t="e" cm="1" vm="46">
        <f t="array" aca="1" ref="AE92" ca="1">Ver_flag_visit</f>
        <v>#VALUE!</v>
      </c>
      <c r="AF92" s="195" t="str">
        <f ca="1">A94</f>
        <v>Croacia</v>
      </c>
      <c r="AG92" s="413">
        <f t="shared" ref="AG92:AG97" si="296">IF(NOT(OR(ISBLANK(AC92),ISBLANK(AD92))),1,0)</f>
        <v>1</v>
      </c>
      <c r="AH92" s="196">
        <v>22</v>
      </c>
      <c r="AI92" s="19"/>
      <c r="AJ92" s="197" t="str">
        <f>CONCATENATE(AJ3," ",B92)</f>
        <v>Grupo L</v>
      </c>
      <c r="AK92" s="198"/>
      <c r="AL92" s="198"/>
      <c r="AM92" s="198"/>
      <c r="AN92" s="198"/>
      <c r="AO92" s="198"/>
      <c r="AP92" s="198"/>
      <c r="AQ92" s="198"/>
      <c r="AR92" s="198"/>
      <c r="AS92" s="198"/>
      <c r="AT92" s="199"/>
      <c r="AU92" s="421"/>
      <c r="AV92" s="200" t="str">
        <f t="shared" ref="AV92" ca="1" si="297">IF(AU93&gt;0,$AV$3,"")</f>
        <v/>
      </c>
      <c r="AW92" s="208"/>
      <c r="AX92" s="255"/>
      <c r="AY92" s="242"/>
      <c r="AZ92" s="243"/>
      <c r="BA92" s="175"/>
      <c r="BB92" s="744"/>
      <c r="BC92" s="744"/>
      <c r="BD92" s="744"/>
      <c r="BE92" s="744"/>
      <c r="BF92" s="744"/>
      <c r="BG92" s="744"/>
      <c r="BH92" s="744"/>
      <c r="BI92" s="744"/>
      <c r="BJ92" s="744"/>
      <c r="BK92" s="744"/>
      <c r="BL92" s="744"/>
      <c r="BM92" s="744"/>
      <c r="BN92" s="744"/>
      <c r="BO92" s="744"/>
      <c r="BP92" s="744"/>
      <c r="BQ92" s="744"/>
      <c r="BR92" s="744"/>
      <c r="BS92" s="744"/>
      <c r="BT92" s="744"/>
      <c r="BU92" s="744"/>
      <c r="BV92" s="744"/>
      <c r="BW92" s="744"/>
      <c r="BX92" s="744"/>
      <c r="BY92" s="744"/>
      <c r="BZ92" s="744"/>
      <c r="CA92" s="744"/>
      <c r="CB92" s="744"/>
      <c r="CC92" s="744"/>
      <c r="CD92" s="744"/>
      <c r="CE92" s="744"/>
      <c r="CF92" s="744"/>
      <c r="CG92" s="744"/>
      <c r="CH92" s="744"/>
      <c r="CI92" s="744"/>
      <c r="CJ92" s="744"/>
      <c r="CK92" s="744"/>
      <c r="CL92" s="744"/>
      <c r="CM92" s="744"/>
      <c r="CN92" s="744"/>
      <c r="CO92" s="744"/>
      <c r="CP92" s="744"/>
      <c r="CQ92" s="744"/>
      <c r="CR92" s="744"/>
      <c r="CS92" s="744"/>
      <c r="CT92" s="744"/>
      <c r="CU92" s="744"/>
      <c r="CV92" s="744"/>
      <c r="CW92" s="744"/>
      <c r="CX92" s="749"/>
      <c r="CY92" s="744"/>
      <c r="CZ92" s="744"/>
      <c r="DA92" s="744"/>
      <c r="DB92" s="744"/>
      <c r="DC92" s="744"/>
      <c r="DD92" s="744"/>
      <c r="DE92" s="744"/>
      <c r="DF92" s="744"/>
      <c r="DG92" s="744"/>
      <c r="DH92" s="744"/>
      <c r="DI92" s="744"/>
      <c r="DJ92" s="744"/>
      <c r="DK92" s="744"/>
      <c r="DL92" s="744"/>
      <c r="DM92" s="744"/>
      <c r="DN92" s="744"/>
      <c r="DO92" s="744"/>
      <c r="DP92" s="744"/>
      <c r="DQ92" s="744"/>
      <c r="DR92" s="744"/>
      <c r="DS92" s="744"/>
      <c r="DT92" s="744" t="str">
        <f t="shared" ca="1" si="242"/>
        <v>Inglaterra-Croacia</v>
      </c>
      <c r="DU92" s="744"/>
      <c r="DV92" s="744"/>
      <c r="DW92" s="8"/>
    </row>
    <row r="93" spans="1:127" ht="16.05" customHeight="1">
      <c r="A93" s="745" t="str">
        <f ca="1">+Equipos!B46</f>
        <v>Inglaterra</v>
      </c>
      <c r="B93" s="742"/>
      <c r="C93" s="742"/>
      <c r="D93" s="744" t="str">
        <f t="shared" si="283"/>
        <v>Local</v>
      </c>
      <c r="E93" s="744" t="str">
        <f t="shared" ca="1" si="284"/>
        <v>P.1 (2)</v>
      </c>
      <c r="F93" s="744" t="str">
        <f t="shared" ca="1" si="285"/>
        <v>P.3 (2)</v>
      </c>
      <c r="G93" s="744"/>
      <c r="H93" s="744" t="str">
        <f t="shared" ca="1" si="286"/>
        <v>P.1 (2)</v>
      </c>
      <c r="I93" s="744" t="str">
        <f t="shared" ca="1" si="287"/>
        <v>P.3 (2)</v>
      </c>
      <c r="J93" s="744"/>
      <c r="K93" s="744" t="str">
        <f t="shared" ca="1" si="288"/>
        <v>P.1 (2)</v>
      </c>
      <c r="L93" s="744" t="str">
        <f t="shared" ca="1" si="289"/>
        <v>P.3 (2)</v>
      </c>
      <c r="M93" s="744"/>
      <c r="N93" s="744" t="str">
        <f t="shared" ca="1" si="290"/>
        <v>P.1 (2)</v>
      </c>
      <c r="O93" s="744" t="str">
        <f t="shared" ca="1" si="291"/>
        <v>P.3 (2)</v>
      </c>
      <c r="P93" s="744"/>
      <c r="Q93" s="744" t="str">
        <f t="shared" ca="1" si="292"/>
        <v>P.1 (2)</v>
      </c>
      <c r="R93" s="744" t="str">
        <f t="shared" ca="1" si="293"/>
        <v>P.3 (2)</v>
      </c>
      <c r="S93" s="744"/>
      <c r="T93" s="744" t="str">
        <f t="shared" ca="1" si="294"/>
        <v>P.1 (2)</v>
      </c>
      <c r="U93" s="744" t="str">
        <f t="shared" ca="1" si="295"/>
        <v>P.3 (2)</v>
      </c>
      <c r="V93" s="172"/>
      <c r="W93" s="827"/>
      <c r="X93" s="189">
        <f ca="1">Horarios!C93</f>
        <v>46191.041666666664</v>
      </c>
      <c r="Y93" s="190">
        <f ca="1">Horarios!C93</f>
        <v>46191.041666666664</v>
      </c>
      <c r="Z93" s="191" t="str">
        <f>$Z$4</f>
        <v>J1</v>
      </c>
      <c r="AA93" s="192" t="str">
        <f ca="1">A95</f>
        <v>Ghana</v>
      </c>
      <c r="AB93" s="478" t="e" cm="1" vm="47">
        <f t="array" aca="1" ref="AB93" ca="1">Ver_flag_local</f>
        <v>#VALUE!</v>
      </c>
      <c r="AC93" s="193">
        <v>1</v>
      </c>
      <c r="AD93" s="194">
        <v>0</v>
      </c>
      <c r="AE93" s="483" t="e" cm="1" vm="48">
        <f t="array" aca="1" ref="AE93" ca="1">Ver_flag_visit</f>
        <v>#VALUE!</v>
      </c>
      <c r="AF93" s="195" t="str">
        <f ca="1">A96</f>
        <v>Panamá</v>
      </c>
      <c r="AG93" s="413">
        <f t="shared" si="296"/>
        <v>1</v>
      </c>
      <c r="AH93" s="196">
        <v>21</v>
      </c>
      <c r="AI93" s="19"/>
      <c r="AJ93" s="204" t="str">
        <f>AJ5</f>
        <v>Pos</v>
      </c>
      <c r="AK93" s="205"/>
      <c r="AL93" s="206" t="str">
        <f t="shared" ref="AL93:AT93" si="298">AL5</f>
        <v>Selección</v>
      </c>
      <c r="AM93" s="205" t="str">
        <f t="shared" si="298"/>
        <v>Pts</v>
      </c>
      <c r="AN93" s="205" t="str">
        <f t="shared" si="298"/>
        <v>J</v>
      </c>
      <c r="AO93" s="205" t="str">
        <f t="shared" si="298"/>
        <v>G</v>
      </c>
      <c r="AP93" s="205" t="str">
        <f t="shared" si="298"/>
        <v>E</v>
      </c>
      <c r="AQ93" s="205" t="str">
        <f t="shared" si="298"/>
        <v>P</v>
      </c>
      <c r="AR93" s="205" t="str">
        <f t="shared" si="298"/>
        <v>GF</v>
      </c>
      <c r="AS93" s="205" t="str">
        <f t="shared" si="298"/>
        <v>GC</v>
      </c>
      <c r="AT93" s="207" t="str">
        <f t="shared" si="298"/>
        <v>DG</v>
      </c>
      <c r="AU93" s="421">
        <f t="shared" ref="AU93" ca="1" si="299">COUNTIF(AU94:AU97,"&gt;1")</f>
        <v>0</v>
      </c>
      <c r="AV93" s="208"/>
      <c r="AW93" s="208"/>
      <c r="AX93" s="255"/>
      <c r="AY93" s="209" t="str">
        <f>AL93</f>
        <v>Selección</v>
      </c>
      <c r="AZ93" s="210" t="str">
        <f>+Idiomas!$D$69</f>
        <v>Puntos penalizados</v>
      </c>
      <c r="BA93" s="175"/>
      <c r="BB93" s="744"/>
      <c r="BC93" s="744"/>
      <c r="BD93" s="744"/>
      <c r="BE93" s="744"/>
      <c r="BF93" s="744"/>
      <c r="BG93" s="744"/>
      <c r="BH93" s="744"/>
      <c r="BI93" s="744"/>
      <c r="BJ93" s="744"/>
      <c r="BK93" s="744"/>
      <c r="BL93" s="744"/>
      <c r="BM93" s="744"/>
      <c r="BN93" s="747"/>
      <c r="BO93" s="747"/>
      <c r="BP93" s="747"/>
      <c r="BQ93" s="747"/>
      <c r="BR93" s="744"/>
      <c r="BS93" s="744"/>
      <c r="BT93" s="747"/>
      <c r="BU93" s="747"/>
      <c r="BV93" s="747"/>
      <c r="BW93" s="747"/>
      <c r="BX93" s="747"/>
      <c r="BY93" s="747"/>
      <c r="BZ93" s="747"/>
      <c r="CA93" s="747"/>
      <c r="CB93" s="747"/>
      <c r="CC93" s="747"/>
      <c r="CD93" s="747"/>
      <c r="CE93" s="747"/>
      <c r="CF93" s="747"/>
      <c r="CG93" s="747"/>
      <c r="CH93" s="747"/>
      <c r="CI93" s="747"/>
      <c r="CJ93" s="747"/>
      <c r="CK93" s="747"/>
      <c r="CL93" s="747"/>
      <c r="CM93" s="747"/>
      <c r="CN93" s="747"/>
      <c r="CO93" s="747"/>
      <c r="CP93" s="747"/>
      <c r="CQ93" s="747"/>
      <c r="CR93" s="747"/>
      <c r="CS93" s="747"/>
      <c r="CT93" s="747"/>
      <c r="CU93" s="747"/>
      <c r="CV93" s="747"/>
      <c r="CW93" s="744"/>
      <c r="CX93" s="747"/>
      <c r="CY93" s="744"/>
      <c r="CZ93" s="744"/>
      <c r="DA93" s="744"/>
      <c r="DB93" s="744"/>
      <c r="DC93" s="744"/>
      <c r="DD93" s="744"/>
      <c r="DE93" s="744"/>
      <c r="DF93" s="744"/>
      <c r="DG93" s="744"/>
      <c r="DH93" s="744"/>
      <c r="DI93" s="744"/>
      <c r="DJ93" s="744"/>
      <c r="DK93" s="744"/>
      <c r="DL93" s="744"/>
      <c r="DM93" s="744"/>
      <c r="DN93" s="744"/>
      <c r="DO93" s="744"/>
      <c r="DP93" s="744"/>
      <c r="DQ93" s="744"/>
      <c r="DR93" s="744"/>
      <c r="DS93" s="744"/>
      <c r="DT93" s="744" t="str">
        <f t="shared" ca="1" si="242"/>
        <v>Ghana-Panamá</v>
      </c>
      <c r="DU93" s="744"/>
      <c r="DV93" s="744"/>
      <c r="DW93" s="8"/>
    </row>
    <row r="94" spans="1:127" ht="16.05" customHeight="1">
      <c r="A94" s="745" t="str">
        <f ca="1">+Equipos!B47</f>
        <v>Croacia</v>
      </c>
      <c r="B94" s="742"/>
      <c r="C94" s="746"/>
      <c r="D94" s="744" t="str">
        <f t="shared" si="283"/>
        <v>Pendiente</v>
      </c>
      <c r="E94" s="744" t="str">
        <f t="shared" si="284"/>
        <v>-</v>
      </c>
      <c r="F94" s="744" t="str">
        <f t="shared" si="285"/>
        <v>-</v>
      </c>
      <c r="G94" s="744"/>
      <c r="H94" s="744" t="str">
        <f t="shared" si="286"/>
        <v>-</v>
      </c>
      <c r="I94" s="744" t="str">
        <f t="shared" si="287"/>
        <v>-</v>
      </c>
      <c r="J94" s="744"/>
      <c r="K94" s="744" t="str">
        <f t="shared" si="288"/>
        <v>-</v>
      </c>
      <c r="L94" s="744" t="str">
        <f t="shared" si="289"/>
        <v>-</v>
      </c>
      <c r="M94" s="744"/>
      <c r="N94" s="744" t="str">
        <f t="shared" si="290"/>
        <v>-</v>
      </c>
      <c r="O94" s="744" t="str">
        <f t="shared" si="291"/>
        <v>-</v>
      </c>
      <c r="P94" s="744"/>
      <c r="Q94" s="744" t="str">
        <f t="shared" si="292"/>
        <v>-</v>
      </c>
      <c r="R94" s="744" t="str">
        <f t="shared" si="293"/>
        <v>-</v>
      </c>
      <c r="S94" s="744"/>
      <c r="T94" s="744" t="str">
        <f t="shared" si="294"/>
        <v>-</v>
      </c>
      <c r="U94" s="744" t="str">
        <f t="shared" si="295"/>
        <v>-</v>
      </c>
      <c r="V94" s="172"/>
      <c r="W94" s="827"/>
      <c r="X94" s="189">
        <f ca="1">Horarios!C94</f>
        <v>46196.916666666664</v>
      </c>
      <c r="Y94" s="190">
        <f ca="1">Horarios!C94</f>
        <v>46196.916666666664</v>
      </c>
      <c r="Z94" s="191" t="str">
        <f>$Z$6</f>
        <v>J2</v>
      </c>
      <c r="AA94" s="192" t="str">
        <f ca="1">A93</f>
        <v>Inglaterra</v>
      </c>
      <c r="AB94" s="478" t="e" cm="1" vm="45">
        <f t="array" aca="1" ref="AB94" ca="1">Ver_flag_local</f>
        <v>#VALUE!</v>
      </c>
      <c r="AC94" s="193"/>
      <c r="AD94" s="194"/>
      <c r="AE94" s="483" t="e" cm="1" vm="47">
        <f t="array" aca="1" ref="AE94" ca="1">Ver_flag_visit</f>
        <v>#VALUE!</v>
      </c>
      <c r="AF94" s="195" t="str">
        <f ca="1">A95</f>
        <v>Ghana</v>
      </c>
      <c r="AG94" s="413">
        <f t="shared" si="296"/>
        <v>0</v>
      </c>
      <c r="AH94" s="196">
        <v>45</v>
      </c>
      <c r="AI94" s="19" t="str">
        <f>AJ94&amp;$B$92</f>
        <v>1L</v>
      </c>
      <c r="AJ94" s="211">
        <v>1</v>
      </c>
      <c r="AK94" s="488" t="e" cm="1" vm="45">
        <f t="array" aca="1" ref="AK94" ca="1">Ver_flag_visit</f>
        <v>#VALUE!</v>
      </c>
      <c r="AL94" s="212" t="str">
        <f ca="1">IFERROR(INDEX($BD$6:$BD$53,MATCH(AI94,$BN$6:$BN$53,0)),"")</f>
        <v>Inglaterra</v>
      </c>
      <c r="AM94" s="213">
        <f t="shared" ref="AM94:AT97" ca="1" si="300">INDEX($BE$6:$BN$53,MATCH($AL94,$BD$6:$BD$53,0),MATCH(AM$5,$BE$5:$BN$5,0))</f>
        <v>3</v>
      </c>
      <c r="AN94" s="214">
        <f t="shared" ca="1" si="300"/>
        <v>1</v>
      </c>
      <c r="AO94" s="214">
        <f t="shared" ca="1" si="300"/>
        <v>1</v>
      </c>
      <c r="AP94" s="214">
        <f t="shared" ca="1" si="300"/>
        <v>0</v>
      </c>
      <c r="AQ94" s="214">
        <f t="shared" ca="1" si="300"/>
        <v>0</v>
      </c>
      <c r="AR94" s="214">
        <f t="shared" ca="1" si="300"/>
        <v>4</v>
      </c>
      <c r="AS94" s="214">
        <f t="shared" ca="1" si="300"/>
        <v>2</v>
      </c>
      <c r="AT94" s="215">
        <f t="shared" ca="1" si="300"/>
        <v>2</v>
      </c>
      <c r="AU94" s="420">
        <f ca="1">INDEX($DL$6:$DL$53,MATCH(AI94,$DP$6:$DP$53,0))</f>
        <v>1</v>
      </c>
      <c r="AV94" s="217" t="str">
        <f ca="1">INDEX($BD$6:$BD$53,MATCH(AI94,$BM$6:$BM$53,0))</f>
        <v>Inglaterra</v>
      </c>
      <c r="AW94" s="427"/>
      <c r="AX94" s="218"/>
      <c r="AY94" s="219" t="str">
        <f ca="1">+A93</f>
        <v>Inglaterra</v>
      </c>
      <c r="AZ94" s="220"/>
      <c r="BA94" s="175"/>
      <c r="BB94" s="744"/>
      <c r="BC94" s="744"/>
      <c r="BD94" s="744"/>
      <c r="BE94" s="744"/>
      <c r="BF94" s="744"/>
      <c r="BG94" s="744"/>
      <c r="BH94" s="744"/>
      <c r="BI94" s="744"/>
      <c r="BJ94" s="744"/>
      <c r="BK94" s="744"/>
      <c r="BL94" s="744"/>
      <c r="BM94" s="744"/>
      <c r="BN94" s="749"/>
      <c r="BO94" s="749"/>
      <c r="BP94" s="749"/>
      <c r="BQ94" s="749"/>
      <c r="BR94" s="744"/>
      <c r="BS94" s="744"/>
      <c r="BT94" s="749"/>
      <c r="BU94" s="749"/>
      <c r="BV94" s="749"/>
      <c r="BW94" s="749"/>
      <c r="BX94" s="749"/>
      <c r="BY94" s="749"/>
      <c r="BZ94" s="749"/>
      <c r="CA94" s="749"/>
      <c r="CB94" s="749"/>
      <c r="CC94" s="749"/>
      <c r="CD94" s="749"/>
      <c r="CE94" s="749"/>
      <c r="CF94" s="749"/>
      <c r="CG94" s="749"/>
      <c r="CH94" s="749"/>
      <c r="CI94" s="749"/>
      <c r="CJ94" s="749"/>
      <c r="CK94" s="749"/>
      <c r="CL94" s="749"/>
      <c r="CM94" s="749"/>
      <c r="CN94" s="749"/>
      <c r="CO94" s="749"/>
      <c r="CP94" s="749"/>
      <c r="CQ94" s="749"/>
      <c r="CR94" s="749"/>
      <c r="CS94" s="749"/>
      <c r="CT94" s="749"/>
      <c r="CU94" s="749"/>
      <c r="CV94" s="749"/>
      <c r="CW94" s="744"/>
      <c r="CX94" s="749"/>
      <c r="CY94" s="744"/>
      <c r="CZ94" s="744"/>
      <c r="DA94" s="744"/>
      <c r="DB94" s="744"/>
      <c r="DC94" s="744"/>
      <c r="DD94" s="744"/>
      <c r="DE94" s="744"/>
      <c r="DF94" s="744"/>
      <c r="DG94" s="744"/>
      <c r="DH94" s="744"/>
      <c r="DI94" s="744"/>
      <c r="DJ94" s="744"/>
      <c r="DK94" s="744"/>
      <c r="DL94" s="744"/>
      <c r="DM94" s="744"/>
      <c r="DN94" s="744"/>
      <c r="DO94" s="744"/>
      <c r="DP94" s="744"/>
      <c r="DQ94" s="744"/>
      <c r="DR94" s="744"/>
      <c r="DS94" s="744"/>
      <c r="DT94" s="744" t="str">
        <f t="shared" ca="1" si="242"/>
        <v>Inglaterra-Ghana</v>
      </c>
      <c r="DU94" s="744"/>
      <c r="DV94" s="744"/>
      <c r="DW94" s="8"/>
    </row>
    <row r="95" spans="1:127" ht="16.05" customHeight="1">
      <c r="A95" s="745" t="str">
        <f ca="1">+Equipos!B48</f>
        <v>Ghana</v>
      </c>
      <c r="B95" s="742"/>
      <c r="C95" s="744"/>
      <c r="D95" s="744" t="str">
        <f t="shared" si="283"/>
        <v>Pendiente</v>
      </c>
      <c r="E95" s="744" t="str">
        <f t="shared" si="284"/>
        <v>-</v>
      </c>
      <c r="F95" s="744" t="str">
        <f t="shared" si="285"/>
        <v>-</v>
      </c>
      <c r="G95" s="744"/>
      <c r="H95" s="744" t="str">
        <f t="shared" si="286"/>
        <v>-</v>
      </c>
      <c r="I95" s="744" t="str">
        <f t="shared" si="287"/>
        <v>-</v>
      </c>
      <c r="J95" s="744"/>
      <c r="K95" s="744" t="str">
        <f t="shared" si="288"/>
        <v>-</v>
      </c>
      <c r="L95" s="744" t="str">
        <f t="shared" si="289"/>
        <v>-</v>
      </c>
      <c r="M95" s="744"/>
      <c r="N95" s="744" t="str">
        <f t="shared" si="290"/>
        <v>-</v>
      </c>
      <c r="O95" s="744" t="str">
        <f t="shared" si="291"/>
        <v>-</v>
      </c>
      <c r="P95" s="744"/>
      <c r="Q95" s="744" t="str">
        <f t="shared" si="292"/>
        <v>-</v>
      </c>
      <c r="R95" s="744" t="str">
        <f t="shared" si="293"/>
        <v>-</v>
      </c>
      <c r="S95" s="744"/>
      <c r="T95" s="744" t="str">
        <f t="shared" si="294"/>
        <v>-</v>
      </c>
      <c r="U95" s="744" t="str">
        <f t="shared" si="295"/>
        <v>-</v>
      </c>
      <c r="V95" s="172"/>
      <c r="W95" s="827"/>
      <c r="X95" s="189">
        <f ca="1">Horarios!C95</f>
        <v>46197.041666666664</v>
      </c>
      <c r="Y95" s="190">
        <f ca="1">Horarios!C95</f>
        <v>46197.041666666664</v>
      </c>
      <c r="Z95" s="191" t="str">
        <f>$Z$6</f>
        <v>J2</v>
      </c>
      <c r="AA95" s="192" t="str">
        <f ca="1">A96</f>
        <v>Panamá</v>
      </c>
      <c r="AB95" s="478" t="e" cm="1" vm="48">
        <f t="array" aca="1" ref="AB95" ca="1">Ver_flag_local</f>
        <v>#VALUE!</v>
      </c>
      <c r="AC95" s="193"/>
      <c r="AD95" s="194"/>
      <c r="AE95" s="483" t="e" cm="1" vm="46">
        <f t="array" aca="1" ref="AE95" ca="1">Ver_flag_visit</f>
        <v>#VALUE!</v>
      </c>
      <c r="AF95" s="195" t="str">
        <f ca="1">A94</f>
        <v>Croacia</v>
      </c>
      <c r="AG95" s="413">
        <f t="shared" si="296"/>
        <v>0</v>
      </c>
      <c r="AH95" s="196">
        <v>46</v>
      </c>
      <c r="AI95" s="19" t="str">
        <f t="shared" ref="AI95:AI97" si="301">AJ95&amp;$B$92</f>
        <v>2L</v>
      </c>
      <c r="AJ95" s="221">
        <v>2</v>
      </c>
      <c r="AK95" s="486" t="e" cm="1" vm="47">
        <f t="array" aca="1" ref="AK95" ca="1">Ver_flag_visit</f>
        <v>#VALUE!</v>
      </c>
      <c r="AL95" s="222" t="str">
        <f ca="1">IFERROR(INDEX($BD$6:$BD$53,MATCH(AI95,$BN$6:$BN$53,0)),"")</f>
        <v>Ghana</v>
      </c>
      <c r="AM95" s="223">
        <f t="shared" ca="1" si="300"/>
        <v>3</v>
      </c>
      <c r="AN95" s="224">
        <f t="shared" ca="1" si="300"/>
        <v>1</v>
      </c>
      <c r="AO95" s="224">
        <f t="shared" ca="1" si="300"/>
        <v>1</v>
      </c>
      <c r="AP95" s="224">
        <f t="shared" ca="1" si="300"/>
        <v>0</v>
      </c>
      <c r="AQ95" s="224">
        <f t="shared" ca="1" si="300"/>
        <v>0</v>
      </c>
      <c r="AR95" s="224">
        <f t="shared" ca="1" si="300"/>
        <v>1</v>
      </c>
      <c r="AS95" s="224">
        <f t="shared" ca="1" si="300"/>
        <v>0</v>
      </c>
      <c r="AT95" s="225">
        <f t="shared" ca="1" si="300"/>
        <v>1</v>
      </c>
      <c r="AU95" s="420">
        <f ca="1">INDEX($DL$6:$DL$53,MATCH(AI95,$DP$6:$DP$53,0))</f>
        <v>1</v>
      </c>
      <c r="AV95" s="217" t="str">
        <f ca="1">INDEX($BD$6:$BD$53,MATCH(AI95,$BM$6:$BM$53,0))</f>
        <v>Ghana</v>
      </c>
      <c r="AW95" s="427"/>
      <c r="AX95" s="218"/>
      <c r="AY95" s="226" t="str">
        <f ca="1">+A94</f>
        <v>Croacia</v>
      </c>
      <c r="AZ95" s="227"/>
      <c r="BA95" s="175"/>
      <c r="BB95" s="744"/>
      <c r="BC95" s="744"/>
      <c r="BD95" s="744"/>
      <c r="BE95" s="744"/>
      <c r="BF95" s="744"/>
      <c r="BG95" s="744"/>
      <c r="BH95" s="744"/>
      <c r="BI95" s="744"/>
      <c r="BJ95" s="744"/>
      <c r="BK95" s="744"/>
      <c r="BL95" s="744"/>
      <c r="BM95" s="744"/>
      <c r="BN95" s="749"/>
      <c r="BO95" s="749"/>
      <c r="BP95" s="749"/>
      <c r="BQ95" s="749"/>
      <c r="BR95" s="744"/>
      <c r="BS95" s="744"/>
      <c r="BT95" s="749"/>
      <c r="BU95" s="749"/>
      <c r="BV95" s="749"/>
      <c r="BW95" s="749"/>
      <c r="BX95" s="749"/>
      <c r="BY95" s="749"/>
      <c r="BZ95" s="749"/>
      <c r="CA95" s="749"/>
      <c r="CB95" s="749"/>
      <c r="CC95" s="749"/>
      <c r="CD95" s="749"/>
      <c r="CE95" s="749"/>
      <c r="CF95" s="749"/>
      <c r="CG95" s="749"/>
      <c r="CH95" s="749"/>
      <c r="CI95" s="749"/>
      <c r="CJ95" s="749"/>
      <c r="CK95" s="749"/>
      <c r="CL95" s="749"/>
      <c r="CM95" s="749"/>
      <c r="CN95" s="749"/>
      <c r="CO95" s="749"/>
      <c r="CP95" s="749"/>
      <c r="CQ95" s="749"/>
      <c r="CR95" s="749"/>
      <c r="CS95" s="749"/>
      <c r="CT95" s="749"/>
      <c r="CU95" s="749"/>
      <c r="CV95" s="749"/>
      <c r="CW95" s="744"/>
      <c r="CX95" s="749"/>
      <c r="CY95" s="744"/>
      <c r="CZ95" s="744"/>
      <c r="DA95" s="744"/>
      <c r="DB95" s="744"/>
      <c r="DC95" s="744"/>
      <c r="DD95" s="744"/>
      <c r="DE95" s="744"/>
      <c r="DF95" s="744"/>
      <c r="DG95" s="744"/>
      <c r="DH95" s="744"/>
      <c r="DI95" s="744"/>
      <c r="DJ95" s="744"/>
      <c r="DK95" s="744"/>
      <c r="DL95" s="744"/>
      <c r="DM95" s="744"/>
      <c r="DN95" s="744"/>
      <c r="DO95" s="744"/>
      <c r="DP95" s="744"/>
      <c r="DQ95" s="744"/>
      <c r="DR95" s="744"/>
      <c r="DS95" s="744"/>
      <c r="DT95" s="744" t="str">
        <f t="shared" ca="1" si="242"/>
        <v>Panamá-Croacia</v>
      </c>
      <c r="DU95" s="744"/>
      <c r="DV95" s="744"/>
      <c r="DW95" s="8"/>
    </row>
    <row r="96" spans="1:127" ht="16.05" customHeight="1">
      <c r="A96" s="745" t="str">
        <f ca="1">+Equipos!B49</f>
        <v>Panamá</v>
      </c>
      <c r="B96" s="742"/>
      <c r="C96" s="744"/>
      <c r="D96" s="744" t="str">
        <f t="shared" si="283"/>
        <v>Pendiente</v>
      </c>
      <c r="E96" s="744" t="str">
        <f t="shared" si="284"/>
        <v>-</v>
      </c>
      <c r="F96" s="744" t="str">
        <f t="shared" si="285"/>
        <v>-</v>
      </c>
      <c r="G96" s="744"/>
      <c r="H96" s="744" t="str">
        <f t="shared" si="286"/>
        <v>-</v>
      </c>
      <c r="I96" s="744" t="str">
        <f t="shared" si="287"/>
        <v>-</v>
      </c>
      <c r="J96" s="744"/>
      <c r="K96" s="744" t="str">
        <f t="shared" si="288"/>
        <v>-</v>
      </c>
      <c r="L96" s="744" t="str">
        <f t="shared" si="289"/>
        <v>-</v>
      </c>
      <c r="M96" s="744"/>
      <c r="N96" s="744" t="str">
        <f t="shared" si="290"/>
        <v>-</v>
      </c>
      <c r="O96" s="744" t="str">
        <f t="shared" si="291"/>
        <v>-</v>
      </c>
      <c r="P96" s="744"/>
      <c r="Q96" s="744" t="str">
        <f t="shared" si="292"/>
        <v>-</v>
      </c>
      <c r="R96" s="744" t="str">
        <f t="shared" si="293"/>
        <v>-</v>
      </c>
      <c r="S96" s="744"/>
      <c r="T96" s="744" t="str">
        <f t="shared" si="294"/>
        <v>-</v>
      </c>
      <c r="U96" s="744" t="str">
        <f t="shared" si="295"/>
        <v>-</v>
      </c>
      <c r="V96" s="172"/>
      <c r="W96" s="827"/>
      <c r="X96" s="189">
        <f ca="1">Horarios!C96</f>
        <v>46200.958333333336</v>
      </c>
      <c r="Y96" s="190">
        <f ca="1">Horarios!C96</f>
        <v>46200.958333333336</v>
      </c>
      <c r="Z96" s="191" t="str">
        <f>$Z$8</f>
        <v>J3</v>
      </c>
      <c r="AA96" s="192" t="str">
        <f ca="1">A96</f>
        <v>Panamá</v>
      </c>
      <c r="AB96" s="478" t="e" cm="1" vm="48">
        <f t="array" aca="1" ref="AB96" ca="1">Ver_flag_local</f>
        <v>#VALUE!</v>
      </c>
      <c r="AC96" s="193"/>
      <c r="AD96" s="194"/>
      <c r="AE96" s="483" t="e" cm="1" vm="45">
        <f t="array" aca="1" ref="AE96" ca="1">Ver_flag_visit</f>
        <v>#VALUE!</v>
      </c>
      <c r="AF96" s="195" t="str">
        <f ca="1">A93</f>
        <v>Inglaterra</v>
      </c>
      <c r="AG96" s="413">
        <f t="shared" si="296"/>
        <v>0</v>
      </c>
      <c r="AH96" s="196">
        <v>67</v>
      </c>
      <c r="AI96" s="19" t="str">
        <f t="shared" si="301"/>
        <v>3L</v>
      </c>
      <c r="AJ96" s="221">
        <v>3</v>
      </c>
      <c r="AK96" s="486" t="e" cm="1" vm="48">
        <f t="array" aca="1" ref="AK96" ca="1">Ver_flag_visit</f>
        <v>#VALUE!</v>
      </c>
      <c r="AL96" s="222" t="str">
        <f ca="1">IFERROR(INDEX($BD$6:$BD$53,MATCH(AI96,$BN$6:$BN$53,0)),"")</f>
        <v>Panamá</v>
      </c>
      <c r="AM96" s="223">
        <f t="shared" ca="1" si="300"/>
        <v>0</v>
      </c>
      <c r="AN96" s="224">
        <f t="shared" ca="1" si="300"/>
        <v>1</v>
      </c>
      <c r="AO96" s="224">
        <f t="shared" ca="1" si="300"/>
        <v>0</v>
      </c>
      <c r="AP96" s="224">
        <f t="shared" ca="1" si="300"/>
        <v>0</v>
      </c>
      <c r="AQ96" s="224">
        <f t="shared" ca="1" si="300"/>
        <v>1</v>
      </c>
      <c r="AR96" s="224">
        <f t="shared" ca="1" si="300"/>
        <v>0</v>
      </c>
      <c r="AS96" s="224">
        <f t="shared" ca="1" si="300"/>
        <v>1</v>
      </c>
      <c r="AT96" s="225">
        <f t="shared" ca="1" si="300"/>
        <v>-1</v>
      </c>
      <c r="AU96" s="420">
        <f ca="1">INDEX($DL$6:$DL$53,MATCH(AI96,$DP$6:$DP$53,0))</f>
        <v>1</v>
      </c>
      <c r="AV96" s="217" t="str">
        <f ca="1">INDEX($BD$6:$BD$53,MATCH(AI96,$BM$6:$BM$53,0))</f>
        <v>Panamá</v>
      </c>
      <c r="AW96" s="427"/>
      <c r="AX96" s="218"/>
      <c r="AY96" s="219" t="str">
        <f ca="1">+A95</f>
        <v>Ghana</v>
      </c>
      <c r="AZ96" s="220"/>
      <c r="BA96" s="175"/>
      <c r="BB96" s="744"/>
      <c r="BC96" s="744"/>
      <c r="BD96" s="744"/>
      <c r="BE96" s="744"/>
      <c r="BF96" s="744"/>
      <c r="BG96" s="744"/>
      <c r="BH96" s="744"/>
      <c r="BI96" s="744"/>
      <c r="BJ96" s="744"/>
      <c r="BK96" s="744"/>
      <c r="BL96" s="744"/>
      <c r="BM96" s="744"/>
      <c r="BN96" s="749"/>
      <c r="BO96" s="749"/>
      <c r="BP96" s="749"/>
      <c r="BQ96" s="749"/>
      <c r="BR96" s="744"/>
      <c r="BS96" s="744"/>
      <c r="BT96" s="749"/>
      <c r="BU96" s="749"/>
      <c r="BV96" s="749"/>
      <c r="BW96" s="749"/>
      <c r="BX96" s="749"/>
      <c r="BY96" s="749"/>
      <c r="BZ96" s="749"/>
      <c r="CA96" s="749"/>
      <c r="CB96" s="749"/>
      <c r="CC96" s="749"/>
      <c r="CD96" s="749"/>
      <c r="CE96" s="749"/>
      <c r="CF96" s="749"/>
      <c r="CG96" s="749"/>
      <c r="CH96" s="749"/>
      <c r="CI96" s="749"/>
      <c r="CJ96" s="749"/>
      <c r="CK96" s="749"/>
      <c r="CL96" s="749"/>
      <c r="CM96" s="749"/>
      <c r="CN96" s="749"/>
      <c r="CO96" s="749"/>
      <c r="CP96" s="749"/>
      <c r="CQ96" s="749"/>
      <c r="CR96" s="749"/>
      <c r="CS96" s="749"/>
      <c r="CT96" s="749"/>
      <c r="CU96" s="749"/>
      <c r="CV96" s="749"/>
      <c r="CW96" s="744"/>
      <c r="CX96" s="749"/>
      <c r="CY96" s="744"/>
      <c r="CZ96" s="744"/>
      <c r="DA96" s="744"/>
      <c r="DB96" s="744"/>
      <c r="DC96" s="744"/>
      <c r="DD96" s="744"/>
      <c r="DE96" s="744"/>
      <c r="DF96" s="744"/>
      <c r="DG96" s="744"/>
      <c r="DH96" s="744"/>
      <c r="DI96" s="744"/>
      <c r="DJ96" s="744"/>
      <c r="DK96" s="744"/>
      <c r="DL96" s="744"/>
      <c r="DM96" s="744"/>
      <c r="DN96" s="744"/>
      <c r="DO96" s="744"/>
      <c r="DP96" s="744"/>
      <c r="DQ96" s="744"/>
      <c r="DR96" s="744"/>
      <c r="DS96" s="744"/>
      <c r="DT96" s="744" t="str">
        <f t="shared" ca="1" si="242"/>
        <v>Panamá-Inglaterra</v>
      </c>
      <c r="DU96" s="744"/>
      <c r="DV96" s="744"/>
      <c r="DW96" s="8"/>
    </row>
    <row r="97" spans="1:127" ht="16.95" customHeight="1" thickBot="1">
      <c r="A97" s="739"/>
      <c r="B97" s="739"/>
      <c r="C97" s="739"/>
      <c r="D97" s="744" t="str">
        <f t="shared" si="283"/>
        <v>Pendiente</v>
      </c>
      <c r="E97" s="744" t="str">
        <f t="shared" si="284"/>
        <v>-</v>
      </c>
      <c r="F97" s="744" t="str">
        <f t="shared" si="285"/>
        <v>-</v>
      </c>
      <c r="G97" s="744"/>
      <c r="H97" s="744" t="str">
        <f t="shared" si="286"/>
        <v>-</v>
      </c>
      <c r="I97" s="744" t="str">
        <f t="shared" si="287"/>
        <v>-</v>
      </c>
      <c r="J97" s="744"/>
      <c r="K97" s="744" t="str">
        <f t="shared" si="288"/>
        <v>-</v>
      </c>
      <c r="L97" s="744" t="str">
        <f t="shared" si="289"/>
        <v>-</v>
      </c>
      <c r="M97" s="744"/>
      <c r="N97" s="744" t="str">
        <f t="shared" si="290"/>
        <v>-</v>
      </c>
      <c r="O97" s="744" t="str">
        <f t="shared" si="291"/>
        <v>-</v>
      </c>
      <c r="P97" s="744"/>
      <c r="Q97" s="744" t="str">
        <f t="shared" si="292"/>
        <v>-</v>
      </c>
      <c r="R97" s="744" t="str">
        <f t="shared" si="293"/>
        <v>-</v>
      </c>
      <c r="S97" s="744"/>
      <c r="T97" s="744" t="str">
        <f t="shared" si="294"/>
        <v>-</v>
      </c>
      <c r="U97" s="744" t="str">
        <f t="shared" si="295"/>
        <v>-</v>
      </c>
      <c r="V97" s="172"/>
      <c r="W97" s="828"/>
      <c r="X97" s="228">
        <f ca="1">Horarios!C97</f>
        <v>46200.958333333336</v>
      </c>
      <c r="Y97" s="229">
        <f ca="1">Horarios!C97</f>
        <v>46200.958333333336</v>
      </c>
      <c r="Z97" s="230" t="str">
        <f>$Z$8</f>
        <v>J3</v>
      </c>
      <c r="AA97" s="231" t="str">
        <f ca="1">A94</f>
        <v>Croacia</v>
      </c>
      <c r="AB97" s="479" t="e" cm="1" vm="46">
        <f t="array" aca="1" ref="AB97" ca="1">Ver_flag_local</f>
        <v>#VALUE!</v>
      </c>
      <c r="AC97" s="232"/>
      <c r="AD97" s="233"/>
      <c r="AE97" s="484" t="e" cm="1" vm="47">
        <f t="array" aca="1" ref="AE97" ca="1">Ver_flag_visit</f>
        <v>#VALUE!</v>
      </c>
      <c r="AF97" s="234" t="str">
        <f ca="1">A95</f>
        <v>Ghana</v>
      </c>
      <c r="AG97" s="413">
        <f t="shared" si="296"/>
        <v>0</v>
      </c>
      <c r="AH97" s="196">
        <v>68</v>
      </c>
      <c r="AI97" s="19" t="str">
        <f t="shared" si="301"/>
        <v>4L</v>
      </c>
      <c r="AJ97" s="235">
        <v>4</v>
      </c>
      <c r="AK97" s="487" t="e" cm="1" vm="46">
        <f t="array" aca="1" ref="AK97" ca="1">Ver_flag_visit</f>
        <v>#VALUE!</v>
      </c>
      <c r="AL97" s="236" t="str">
        <f ca="1">IFERROR(INDEX($BD$6:$BD$53,MATCH(AI97,$BN$6:$BN$53,0)),"")</f>
        <v>Croacia</v>
      </c>
      <c r="AM97" s="237">
        <f t="shared" ca="1" si="300"/>
        <v>0</v>
      </c>
      <c r="AN97" s="238">
        <f t="shared" ca="1" si="300"/>
        <v>1</v>
      </c>
      <c r="AO97" s="238">
        <f t="shared" ca="1" si="300"/>
        <v>0</v>
      </c>
      <c r="AP97" s="238">
        <f t="shared" ca="1" si="300"/>
        <v>0</v>
      </c>
      <c r="AQ97" s="238">
        <f t="shared" ca="1" si="300"/>
        <v>1</v>
      </c>
      <c r="AR97" s="238">
        <f t="shared" ca="1" si="300"/>
        <v>2</v>
      </c>
      <c r="AS97" s="238">
        <f t="shared" ca="1" si="300"/>
        <v>4</v>
      </c>
      <c r="AT97" s="239">
        <f t="shared" ca="1" si="300"/>
        <v>-2</v>
      </c>
      <c r="AU97" s="420">
        <f ca="1">INDEX($DL$6:$DL$53,MATCH(AI97,$DP$6:$DP$53,0))</f>
        <v>1</v>
      </c>
      <c r="AV97" s="217" t="str">
        <f ca="1">INDEX($BD$6:$BD$53,MATCH(AI97,$BM$6:$BM$53,0))</f>
        <v>Croacia</v>
      </c>
      <c r="AW97" s="427"/>
      <c r="AX97" s="218"/>
      <c r="AY97" s="240" t="str">
        <f ca="1">+A96</f>
        <v>Panamá</v>
      </c>
      <c r="AZ97" s="241"/>
      <c r="BA97" s="175"/>
      <c r="BB97" s="744"/>
      <c r="BC97" s="744"/>
      <c r="BD97" s="744"/>
      <c r="BE97" s="744"/>
      <c r="BF97" s="744"/>
      <c r="BG97" s="744"/>
      <c r="BH97" s="744"/>
      <c r="BI97" s="744"/>
      <c r="BJ97" s="744"/>
      <c r="BK97" s="744"/>
      <c r="BL97" s="744"/>
      <c r="BM97" s="744"/>
      <c r="BN97" s="749"/>
      <c r="BO97" s="749"/>
      <c r="BP97" s="749"/>
      <c r="BQ97" s="749"/>
      <c r="BR97" s="744"/>
      <c r="BS97" s="744"/>
      <c r="BT97" s="749"/>
      <c r="BU97" s="749"/>
      <c r="BV97" s="749"/>
      <c r="BW97" s="749"/>
      <c r="BX97" s="749"/>
      <c r="BY97" s="749"/>
      <c r="BZ97" s="749"/>
      <c r="CA97" s="749"/>
      <c r="CB97" s="749"/>
      <c r="CC97" s="749"/>
      <c r="CD97" s="749"/>
      <c r="CE97" s="749"/>
      <c r="CF97" s="749"/>
      <c r="CG97" s="749"/>
      <c r="CH97" s="749"/>
      <c r="CI97" s="749"/>
      <c r="CJ97" s="749"/>
      <c r="CK97" s="749"/>
      <c r="CL97" s="749"/>
      <c r="CM97" s="749"/>
      <c r="CN97" s="749"/>
      <c r="CO97" s="749"/>
      <c r="CP97" s="749"/>
      <c r="CQ97" s="749"/>
      <c r="CR97" s="749"/>
      <c r="CS97" s="749"/>
      <c r="CT97" s="749"/>
      <c r="CU97" s="749"/>
      <c r="CV97" s="749"/>
      <c r="CW97" s="744"/>
      <c r="CX97" s="749"/>
      <c r="CY97" s="744"/>
      <c r="CZ97" s="744"/>
      <c r="DA97" s="744"/>
      <c r="DB97" s="744"/>
      <c r="DC97" s="744"/>
      <c r="DD97" s="744"/>
      <c r="DE97" s="744"/>
      <c r="DF97" s="744"/>
      <c r="DG97" s="744"/>
      <c r="DH97" s="744"/>
      <c r="DI97" s="744"/>
      <c r="DJ97" s="744"/>
      <c r="DK97" s="744"/>
      <c r="DL97" s="744"/>
      <c r="DM97" s="744"/>
      <c r="DN97" s="744"/>
      <c r="DO97" s="744"/>
      <c r="DP97" s="744"/>
      <c r="DQ97" s="744"/>
      <c r="DR97" s="744"/>
      <c r="DS97" s="744"/>
      <c r="DT97" s="744" t="str">
        <f t="shared" ca="1" si="242"/>
        <v>Croacia-Ghana</v>
      </c>
      <c r="DU97" s="744"/>
      <c r="DV97" s="744"/>
      <c r="DW97" s="8"/>
    </row>
    <row r="98" spans="1:127" ht="15" thickBot="1">
      <c r="A98" s="739"/>
      <c r="B98" s="739"/>
      <c r="C98" s="739"/>
      <c r="D98" s="744"/>
      <c r="E98" s="744"/>
      <c r="F98" s="744"/>
      <c r="G98" s="744"/>
      <c r="H98" s="744"/>
      <c r="I98" s="744"/>
      <c r="J98" s="744"/>
      <c r="K98" s="744"/>
      <c r="L98" s="744"/>
      <c r="M98" s="744"/>
      <c r="N98" s="744"/>
      <c r="O98" s="744"/>
      <c r="P98" s="744"/>
      <c r="Q98" s="744"/>
      <c r="R98" s="744"/>
      <c r="S98" s="744"/>
      <c r="T98" s="744"/>
      <c r="U98" s="744"/>
      <c r="V98" s="172"/>
      <c r="W98" s="242"/>
      <c r="X98" s="243"/>
      <c r="Y98" s="242"/>
      <c r="Z98" s="244"/>
      <c r="AA98" s="245"/>
      <c r="AB98" s="246"/>
      <c r="AC98" s="247"/>
      <c r="AD98" s="247"/>
      <c r="AE98" s="246"/>
      <c r="AF98" s="248"/>
      <c r="AG98" s="415"/>
      <c r="AH98" s="171"/>
      <c r="AI98" s="171"/>
      <c r="AJ98" s="249"/>
      <c r="AK98" s="250"/>
      <c r="AL98" s="186"/>
      <c r="AM98" s="251"/>
      <c r="AN98" s="249"/>
      <c r="AO98" s="249"/>
      <c r="AP98" s="249"/>
      <c r="AQ98" s="249"/>
      <c r="AR98" s="249"/>
      <c r="AS98" s="249"/>
      <c r="AT98" s="249"/>
      <c r="AU98" s="420"/>
      <c r="AV98" s="216"/>
      <c r="AW98" s="428"/>
      <c r="AX98" s="268"/>
      <c r="AY98" s="242"/>
      <c r="AZ98" s="243"/>
      <c r="BA98" s="175"/>
      <c r="BB98" s="744"/>
      <c r="BC98" s="744"/>
      <c r="BD98" s="744"/>
      <c r="BE98" s="744"/>
      <c r="BF98" s="744"/>
      <c r="BG98" s="744"/>
      <c r="BH98" s="744"/>
      <c r="BI98" s="744"/>
      <c r="BJ98" s="744"/>
      <c r="BK98" s="744"/>
      <c r="BL98" s="744"/>
      <c r="BM98" s="744"/>
      <c r="BN98" s="744"/>
      <c r="BO98" s="744"/>
      <c r="BP98" s="744"/>
      <c r="BQ98" s="744"/>
      <c r="BR98" s="744"/>
      <c r="BS98" s="744"/>
      <c r="BT98" s="744"/>
      <c r="BU98" s="744"/>
      <c r="BV98" s="744"/>
      <c r="BW98" s="744"/>
      <c r="BX98" s="744"/>
      <c r="BY98" s="744"/>
      <c r="BZ98" s="744"/>
      <c r="CA98" s="744"/>
      <c r="CB98" s="744"/>
      <c r="CC98" s="744"/>
      <c r="CD98" s="744"/>
      <c r="CE98" s="744"/>
      <c r="CF98" s="744"/>
      <c r="CG98" s="744"/>
      <c r="CH98" s="744"/>
      <c r="CI98" s="744"/>
      <c r="CJ98" s="744"/>
      <c r="CK98" s="744"/>
      <c r="CL98" s="744"/>
      <c r="CM98" s="744"/>
      <c r="CN98" s="744"/>
      <c r="CO98" s="744"/>
      <c r="CP98" s="744"/>
      <c r="CQ98" s="744"/>
      <c r="CR98" s="744"/>
      <c r="CS98" s="744"/>
      <c r="CT98" s="744"/>
      <c r="CU98" s="744"/>
      <c r="CV98" s="744"/>
      <c r="CW98" s="744"/>
      <c r="CX98" s="744"/>
      <c r="CY98" s="744"/>
      <c r="CZ98" s="744"/>
      <c r="DA98" s="744"/>
      <c r="DB98" s="744"/>
      <c r="DC98" s="744"/>
      <c r="DD98" s="744"/>
      <c r="DE98" s="744"/>
      <c r="DF98" s="744"/>
      <c r="DG98" s="744"/>
      <c r="DH98" s="744"/>
      <c r="DI98" s="744"/>
      <c r="DJ98" s="744"/>
      <c r="DK98" s="744"/>
      <c r="DL98" s="744"/>
      <c r="DM98" s="744"/>
      <c r="DN98" s="744"/>
      <c r="DO98" s="744"/>
      <c r="DP98" s="744"/>
      <c r="DQ98" s="744"/>
      <c r="DR98" s="744"/>
      <c r="DS98" s="744"/>
      <c r="DT98" s="744" t="str">
        <f t="shared" si="242"/>
        <v>-</v>
      </c>
      <c r="DU98" s="744"/>
      <c r="DV98" s="744"/>
      <c r="DW98" s="8"/>
    </row>
    <row r="99" spans="1:127" ht="15" thickBot="1">
      <c r="A99" s="739"/>
      <c r="B99" s="739"/>
      <c r="C99" s="739"/>
      <c r="D99" s="744"/>
      <c r="E99" s="744"/>
      <c r="F99" s="744"/>
      <c r="G99" s="744"/>
      <c r="H99" s="744"/>
      <c r="I99" s="744"/>
      <c r="J99" s="744" t="s">
        <v>1294</v>
      </c>
      <c r="K99" s="744"/>
      <c r="L99" s="744"/>
      <c r="M99" s="744"/>
      <c r="N99" s="744"/>
      <c r="O99" s="744"/>
      <c r="P99" s="744"/>
      <c r="Q99" s="744"/>
      <c r="R99" s="744"/>
      <c r="S99" s="744"/>
      <c r="T99" s="744"/>
      <c r="U99" s="744"/>
      <c r="V99" s="172"/>
      <c r="W99" s="269" t="str">
        <f>Idiomas!D25</f>
        <v>Dieciseisavos de final</v>
      </c>
      <c r="X99" s="270"/>
      <c r="Y99" s="271"/>
      <c r="Z99" s="271"/>
      <c r="AA99" s="271"/>
      <c r="AB99" s="271"/>
      <c r="AC99" s="271"/>
      <c r="AD99" s="271"/>
      <c r="AE99" s="271"/>
      <c r="AF99" s="272"/>
      <c r="AG99" s="416"/>
      <c r="AH99" s="217"/>
      <c r="AI99" s="171"/>
      <c r="AJ99" s="496"/>
      <c r="AK99" s="273" t="str">
        <f ca="1">+IF(OR($H$113&gt;=48,$AJ$99&gt;=48),"",Idiomas!D71)</f>
        <v/>
      </c>
      <c r="AL99" s="186"/>
      <c r="AM99" s="186"/>
      <c r="AN99" s="186"/>
      <c r="AO99" s="186"/>
      <c r="AP99" s="186"/>
      <c r="AQ99" s="186"/>
      <c r="AR99" s="186"/>
      <c r="AS99" s="186"/>
      <c r="AT99" s="186"/>
      <c r="AU99" s="421"/>
      <c r="AV99" s="22"/>
      <c r="AW99" s="429"/>
      <c r="AX99" s="275"/>
      <c r="AY99" s="242"/>
      <c r="AZ99" s="243"/>
      <c r="BA99" s="175"/>
      <c r="BB99" s="744"/>
      <c r="BC99" s="744"/>
      <c r="BD99" s="744"/>
      <c r="BE99" s="744"/>
      <c r="BF99" s="744"/>
      <c r="BG99" s="744"/>
      <c r="BH99" s="744"/>
      <c r="BI99" s="744"/>
      <c r="BJ99" s="744"/>
      <c r="BK99" s="744"/>
      <c r="BL99" s="744"/>
      <c r="BM99" s="744"/>
      <c r="BN99" s="744"/>
      <c r="BO99" s="744"/>
      <c r="BP99" s="744"/>
      <c r="BQ99" s="744"/>
      <c r="BR99" s="744"/>
      <c r="BS99" s="744"/>
      <c r="BT99" s="744"/>
      <c r="BU99" s="744"/>
      <c r="BV99" s="744"/>
      <c r="BW99" s="744"/>
      <c r="BX99" s="744"/>
      <c r="BY99" s="744"/>
      <c r="BZ99" s="744"/>
      <c r="CA99" s="744"/>
      <c r="CB99" s="744"/>
      <c r="CC99" s="744"/>
      <c r="CD99" s="744"/>
      <c r="CE99" s="744"/>
      <c r="CF99" s="744"/>
      <c r="CG99" s="744"/>
      <c r="CH99" s="744"/>
      <c r="CI99" s="744"/>
      <c r="CJ99" s="744"/>
      <c r="CK99" s="744"/>
      <c r="CL99" s="744"/>
      <c r="CM99" s="744"/>
      <c r="CN99" s="744"/>
      <c r="CO99" s="744"/>
      <c r="CP99" s="744"/>
      <c r="CQ99" s="744"/>
      <c r="CR99" s="744"/>
      <c r="CS99" s="744"/>
      <c r="CT99" s="744"/>
      <c r="CU99" s="744"/>
      <c r="CV99" s="744"/>
      <c r="CW99" s="744"/>
      <c r="CX99" s="744"/>
      <c r="CY99" s="744"/>
      <c r="CZ99" s="744"/>
      <c r="DA99" s="744"/>
      <c r="DB99" s="744"/>
      <c r="DC99" s="746"/>
      <c r="DD99" s="746"/>
      <c r="DE99" s="746"/>
      <c r="DF99" s="746"/>
      <c r="DG99" s="746"/>
      <c r="DH99" s="746"/>
      <c r="DI99" s="746"/>
      <c r="DJ99" s="746"/>
      <c r="DK99" s="746"/>
      <c r="DL99" s="746"/>
      <c r="DM99" s="746"/>
      <c r="DN99" s="746"/>
      <c r="DO99" s="746"/>
      <c r="DP99" s="746"/>
      <c r="DQ99" s="746"/>
      <c r="DR99" s="746"/>
      <c r="DS99" s="746"/>
      <c r="DT99" s="744" t="str">
        <f t="shared" si="242"/>
        <v>-</v>
      </c>
      <c r="DU99" s="746"/>
      <c r="DV99" s="746"/>
      <c r="DW99" s="493"/>
    </row>
    <row r="100" spans="1:127" ht="16.05" customHeight="1">
      <c r="A100" s="739" t="s">
        <v>1295</v>
      </c>
      <c r="B100" s="739"/>
      <c r="C100" s="739"/>
      <c r="D100" s="744"/>
      <c r="E100" s="744"/>
      <c r="F100" s="744"/>
      <c r="G100" s="744"/>
      <c r="H100" s="744"/>
      <c r="I100" s="744"/>
      <c r="J100" s="744" t="s">
        <v>1191</v>
      </c>
      <c r="K100" s="744" t="s">
        <v>720</v>
      </c>
      <c r="L100" s="744"/>
      <c r="M100" s="744" t="s">
        <v>1192</v>
      </c>
      <c r="N100" s="744" t="s">
        <v>1193</v>
      </c>
      <c r="O100" s="744"/>
      <c r="P100" s="744"/>
      <c r="Q100" s="744"/>
      <c r="R100" s="744"/>
      <c r="S100" s="744"/>
      <c r="T100" s="744"/>
      <c r="U100" s="744"/>
      <c r="V100" s="172"/>
      <c r="W100" s="179"/>
      <c r="X100" s="180" t="str">
        <f>X3</f>
        <v>Fecha</v>
      </c>
      <c r="Y100" s="180" t="str">
        <f>Y3</f>
        <v>Hora</v>
      </c>
      <c r="Z100" s="180" t="s">
        <v>717</v>
      </c>
      <c r="AA100" s="266" t="str">
        <f>AA3</f>
        <v>Casa</v>
      </c>
      <c r="AB100" s="265" t="s">
        <v>13</v>
      </c>
      <c r="AC100" s="180" t="str">
        <f>AC3</f>
        <v>Gol</v>
      </c>
      <c r="AD100" s="180" t="str">
        <f>AD3</f>
        <v>Gol</v>
      </c>
      <c r="AE100" s="265" t="s">
        <v>13</v>
      </c>
      <c r="AF100" s="267" t="str">
        <f>AF3</f>
        <v>Fuera</v>
      </c>
      <c r="AG100" s="416"/>
      <c r="AH100" s="217"/>
      <c r="AI100" s="171"/>
      <c r="AJ100" s="197" t="str">
        <f>Idiomas!D24</f>
        <v>Mejores terceros</v>
      </c>
      <c r="AK100" s="198"/>
      <c r="AL100" s="198"/>
      <c r="AM100" s="198"/>
      <c r="AN100" s="198"/>
      <c r="AO100" s="198"/>
      <c r="AP100" s="198"/>
      <c r="AQ100" s="198"/>
      <c r="AR100" s="198"/>
      <c r="AS100" s="198"/>
      <c r="AT100" s="199"/>
      <c r="AU100" s="422"/>
      <c r="AV100" s="200" t="str">
        <f ca="1">IF(AU101&gt;0,$AV$3,"")</f>
        <v/>
      </c>
      <c r="AW100" s="19"/>
      <c r="AX100" s="247"/>
      <c r="AY100" s="242"/>
      <c r="AZ100" s="243"/>
      <c r="BA100" s="175"/>
      <c r="BB100" s="738"/>
      <c r="BC100" s="744"/>
      <c r="BD100" s="744"/>
      <c r="BE100" s="744"/>
      <c r="BF100" s="744"/>
      <c r="BG100" s="744"/>
      <c r="BH100" s="744"/>
      <c r="BI100" s="744"/>
      <c r="BJ100" s="744"/>
      <c r="BK100" s="744"/>
      <c r="BL100" s="744"/>
      <c r="BM100" s="738"/>
      <c r="BN100" s="738"/>
      <c r="BO100" s="738"/>
      <c r="BP100" s="738"/>
      <c r="BQ100" s="738"/>
      <c r="BR100" s="738"/>
      <c r="BS100" s="738"/>
      <c r="BT100" s="738"/>
      <c r="BU100" s="738"/>
      <c r="BV100" s="738"/>
      <c r="BW100" s="738"/>
      <c r="BX100" s="738"/>
      <c r="BY100" s="738"/>
      <c r="BZ100" s="738"/>
      <c r="CA100" s="738"/>
      <c r="CB100" s="738"/>
      <c r="CC100" s="738"/>
      <c r="CD100" s="738"/>
      <c r="CE100" s="738"/>
      <c r="CF100" s="738"/>
      <c r="CG100" s="738"/>
      <c r="CH100" s="738"/>
      <c r="CI100" s="738"/>
      <c r="CJ100" s="738"/>
      <c r="CK100" s="738"/>
      <c r="CL100" s="738"/>
      <c r="CM100" s="738"/>
      <c r="CN100" s="738"/>
      <c r="CO100" s="738"/>
      <c r="CP100" s="738"/>
      <c r="CQ100" s="738"/>
      <c r="CR100" s="738"/>
      <c r="CS100" s="738"/>
      <c r="CT100" s="738"/>
      <c r="CU100" s="738"/>
      <c r="CV100" s="738"/>
      <c r="CW100" s="738"/>
      <c r="CX100" s="738"/>
      <c r="CY100" s="738"/>
      <c r="CZ100" s="738"/>
      <c r="DA100" s="738"/>
      <c r="DB100" s="738"/>
      <c r="DC100" s="738"/>
      <c r="DD100" s="738"/>
      <c r="DE100" s="738"/>
      <c r="DF100" s="738"/>
      <c r="DG100" s="738"/>
      <c r="DH100" s="738"/>
      <c r="DI100" s="738"/>
      <c r="DJ100" s="738"/>
      <c r="DK100" s="738"/>
      <c r="DL100" s="738"/>
      <c r="DM100" s="738"/>
      <c r="DN100" s="738"/>
      <c r="DO100" s="738"/>
      <c r="DP100" s="738"/>
      <c r="DQ100" s="738"/>
      <c r="DR100" s="738"/>
      <c r="DS100" s="738"/>
      <c r="DT100" s="744" t="str">
        <f t="shared" si="242"/>
        <v>Casa-Fuera</v>
      </c>
      <c r="DU100" s="738"/>
      <c r="DV100" s="738"/>
      <c r="DW100" s="11"/>
    </row>
    <row r="101" spans="1:127" ht="16.05" customHeight="1" thickBot="1">
      <c r="A101" s="738" t="s">
        <v>646</v>
      </c>
      <c r="B101" s="738" t="s">
        <v>649</v>
      </c>
      <c r="C101" s="739"/>
      <c r="D101" s="747" t="str">
        <f t="shared" ref="D101:D116" si="302">IF(AND(OR(AC101="",AD101="")),"W"&amp;AH101,IF(AC101&gt;AD101,AA101,IF(AC101&lt;AD101,AF101,IF(AND(AC101=AD101,AB101=AE101),"W"&amp;AH101,IF(AND(AC101=AD101,OR(AB101="",AE101="")),"W"&amp;AH101,IF(AND(AC101=AD101,AB101&gt;AE101),AA101,AF101))))))</f>
        <v>W73</v>
      </c>
      <c r="E101" s="739" t="s">
        <v>0</v>
      </c>
      <c r="F101" s="739" t="s">
        <v>1</v>
      </c>
      <c r="G101" s="748" t="s">
        <v>0</v>
      </c>
      <c r="H101" s="749">
        <f t="shared" ref="H101:H112" ca="1" si="303">+SUMIF($BC$6:$BC$53,G101,$BF$6:$BF$53)</f>
        <v>8</v>
      </c>
      <c r="I101" s="744"/>
      <c r="J101" s="738">
        <v>73</v>
      </c>
      <c r="K101" s="738">
        <v>46201.75</v>
      </c>
      <c r="L101" s="738" t="s">
        <v>685</v>
      </c>
      <c r="M101" s="738" t="str">
        <f t="shared" ref="M101:M116" ca="1" si="304">+IF(OR(INDEX($H$101:$H$113,MATCH(E101,$G$101:$G$113,0))=12,$AJ$99=144),INDEX($AL$6:$AL$97,MATCH(A101,$AI$6:$AI$97,0)),A101)</f>
        <v>2A</v>
      </c>
      <c r="N101" s="738"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38"/>
      <c r="P101" s="738"/>
      <c r="Q101" s="738"/>
      <c r="R101" s="738"/>
      <c r="S101" s="738"/>
      <c r="T101" s="738"/>
      <c r="U101" s="738"/>
      <c r="V101" s="172"/>
      <c r="W101" s="833" t="s">
        <v>483</v>
      </c>
      <c r="X101" s="189">
        <f ca="1">Horarios!C101</f>
        <v>46201.875</v>
      </c>
      <c r="Y101" s="190">
        <f ca="1">Horarios!C101</f>
        <v>46201.875</v>
      </c>
      <c r="Z101" s="276">
        <f>AH101</f>
        <v>73</v>
      </c>
      <c r="AA101" s="277" t="str">
        <f t="shared" ref="AA101:AA116" ca="1" si="305">+INDEX($M$101:$M$147,MATCH(AH101,$J$101:$J$147,0))</f>
        <v>2A</v>
      </c>
      <c r="AB101" s="278"/>
      <c r="AC101" s="194"/>
      <c r="AD101" s="194"/>
      <c r="AE101" s="279"/>
      <c r="AF101" s="280" t="str">
        <f t="shared" ref="AF101:AF116" ca="1" si="306">+INDEX($N$101:$N$147,MATCH(AH101,$J$101:$J$147,0))</f>
        <v>2B</v>
      </c>
      <c r="AG101" s="417">
        <f t="shared" ref="AG101:AG116" si="307">IF(D101="W"&amp;AH101,0,1)</f>
        <v>0</v>
      </c>
      <c r="AH101" s="196">
        <v>73</v>
      </c>
      <c r="AI101" s="171"/>
      <c r="AJ101" s="204" t="str">
        <f>AJ5</f>
        <v>Pos</v>
      </c>
      <c r="AK101" s="205"/>
      <c r="AL101" s="206" t="str">
        <f t="shared" ref="AL101:AT101" si="308">AL5</f>
        <v>Selección</v>
      </c>
      <c r="AM101" s="205" t="str">
        <f t="shared" si="308"/>
        <v>Pts</v>
      </c>
      <c r="AN101" s="205" t="str">
        <f t="shared" si="308"/>
        <v>J</v>
      </c>
      <c r="AO101" s="205" t="str">
        <f t="shared" si="308"/>
        <v>G</v>
      </c>
      <c r="AP101" s="205" t="str">
        <f t="shared" si="308"/>
        <v>E</v>
      </c>
      <c r="AQ101" s="205" t="str">
        <f t="shared" si="308"/>
        <v>P</v>
      </c>
      <c r="AR101" s="205" t="str">
        <f t="shared" si="308"/>
        <v>GF</v>
      </c>
      <c r="AS101" s="205" t="str">
        <f t="shared" si="308"/>
        <v>GC</v>
      </c>
      <c r="AT101" s="207" t="str">
        <f t="shared" si="308"/>
        <v>DG</v>
      </c>
      <c r="AU101" s="421">
        <f ca="1">COUNTIF(AU102:AU113,"&gt;1")</f>
        <v>0</v>
      </c>
      <c r="AV101" s="22"/>
      <c r="AW101" s="429"/>
      <c r="AX101" s="274"/>
      <c r="AY101" s="423" t="str">
        <f ca="1">+IF(OR($H$113&gt;=48,$AJ$99=144),Idiomas!D70,"")</f>
        <v xml:space="preserve">Grupos mejores 3ºs: </v>
      </c>
      <c r="AZ101" s="424" t="str">
        <f ca="1">+IF(OR($H$113&gt;=48,$AJ$99=144),BI112,"")</f>
        <v>ABCDFGHK</v>
      </c>
      <c r="BA101" s="175"/>
      <c r="BB101" s="744"/>
      <c r="BC101" s="744"/>
      <c r="BD101" s="744"/>
      <c r="BE101" s="744"/>
      <c r="BF101" s="744"/>
      <c r="BG101" s="744"/>
      <c r="BH101" s="744"/>
      <c r="BI101" s="744"/>
      <c r="BJ101" s="744"/>
      <c r="BK101" s="744"/>
      <c r="BL101" s="744"/>
      <c r="BM101" s="744"/>
      <c r="BN101" s="744"/>
      <c r="BO101" s="744"/>
      <c r="BP101" s="744"/>
      <c r="BQ101" s="744"/>
      <c r="BR101" s="744"/>
      <c r="BS101" s="744"/>
      <c r="BT101" s="744"/>
      <c r="BU101" s="744"/>
      <c r="BV101" s="744"/>
      <c r="BW101" s="744"/>
      <c r="BX101" s="744"/>
      <c r="BY101" s="744"/>
      <c r="BZ101" s="744"/>
      <c r="CA101" s="744"/>
      <c r="CB101" s="744"/>
      <c r="CC101" s="744"/>
      <c r="CD101" s="744"/>
      <c r="CE101" s="744"/>
      <c r="CF101" s="744"/>
      <c r="CG101" s="744"/>
      <c r="CH101" s="744"/>
      <c r="CI101" s="744"/>
      <c r="CJ101" s="744"/>
      <c r="CK101" s="744"/>
      <c r="CL101" s="744"/>
      <c r="CM101" s="744"/>
      <c r="CN101" s="744"/>
      <c r="CO101" s="744"/>
      <c r="CP101" s="744"/>
      <c r="CQ101" s="744"/>
      <c r="CR101" s="744"/>
      <c r="CS101" s="744"/>
      <c r="CT101" s="744"/>
      <c r="CU101" s="744"/>
      <c r="CV101" s="744"/>
      <c r="CW101" s="744"/>
      <c r="CX101" s="744"/>
      <c r="CY101" s="744"/>
      <c r="CZ101" s="744"/>
      <c r="DA101" s="744"/>
      <c r="DB101" s="744"/>
      <c r="DC101" s="744"/>
      <c r="DD101" s="744"/>
      <c r="DE101" s="744"/>
      <c r="DF101" s="744"/>
      <c r="DG101" s="744"/>
      <c r="DH101" s="744"/>
      <c r="DI101" s="744"/>
      <c r="DJ101" s="744"/>
      <c r="DK101" s="744"/>
      <c r="DL101" s="744"/>
      <c r="DM101" s="744"/>
      <c r="DN101" s="744"/>
      <c r="DO101" s="744"/>
      <c r="DP101" s="744"/>
      <c r="DQ101" s="744"/>
      <c r="DR101" s="744"/>
      <c r="DS101" s="744"/>
      <c r="DT101" s="744" t="str">
        <f t="shared" ca="1" si="242"/>
        <v>2A-2B</v>
      </c>
      <c r="DU101" s="744"/>
      <c r="DV101" s="744"/>
      <c r="DW101" s="8"/>
    </row>
    <row r="102" spans="1:127" ht="16.05" customHeight="1">
      <c r="A102" s="738" t="s">
        <v>661</v>
      </c>
      <c r="B102" s="738" t="s">
        <v>722</v>
      </c>
      <c r="C102" s="739"/>
      <c r="D102" s="747" t="str">
        <f t="shared" si="302"/>
        <v>W76</v>
      </c>
      <c r="E102" s="739" t="s">
        <v>3</v>
      </c>
      <c r="F102" s="739" t="s">
        <v>721</v>
      </c>
      <c r="G102" s="748" t="s">
        <v>1</v>
      </c>
      <c r="H102" s="749">
        <f t="shared" ca="1" si="303"/>
        <v>8</v>
      </c>
      <c r="I102" s="744"/>
      <c r="J102" s="738">
        <v>74</v>
      </c>
      <c r="K102" s="738">
        <v>46202.75</v>
      </c>
      <c r="L102" s="738" t="s">
        <v>686</v>
      </c>
      <c r="M102" s="738" t="str">
        <f t="shared" ca="1" si="304"/>
        <v>1E</v>
      </c>
      <c r="N102" s="738"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38"/>
      <c r="P102" s="738"/>
      <c r="Q102" s="738"/>
      <c r="R102" s="738"/>
      <c r="S102" s="738"/>
      <c r="T102" s="738"/>
      <c r="U102" s="738"/>
      <c r="V102" s="172"/>
      <c r="W102" s="833"/>
      <c r="X102" s="189">
        <f ca="1">Horarios!C102</f>
        <v>46202.791666666664</v>
      </c>
      <c r="Y102" s="190">
        <f ca="1">Horarios!C102</f>
        <v>46202.791666666664</v>
      </c>
      <c r="Z102" s="276">
        <f t="shared" ref="Z102:Z116" si="309">AH102</f>
        <v>76</v>
      </c>
      <c r="AA102" s="277" t="str">
        <f t="shared" ca="1" si="305"/>
        <v>1C</v>
      </c>
      <c r="AB102" s="278"/>
      <c r="AC102" s="281"/>
      <c r="AD102" s="281"/>
      <c r="AE102" s="278"/>
      <c r="AF102" s="280" t="str">
        <f t="shared" ca="1" si="306"/>
        <v>2F</v>
      </c>
      <c r="AG102" s="417">
        <f t="shared" si="307"/>
        <v>0</v>
      </c>
      <c r="AH102" s="196">
        <v>76</v>
      </c>
      <c r="AI102" s="217">
        <v>1</v>
      </c>
      <c r="AJ102" s="282">
        <v>1</v>
      </c>
      <c r="AK102" s="485" t="e" cm="1" vm="12">
        <f t="array" aca="1" ref="AK102" ca="1">Ver_flag_visit</f>
        <v>#VALUE!</v>
      </c>
      <c r="AL102" s="283" t="str">
        <f t="shared" ref="AL102:AL113" ca="1" si="310">+IF($H$113&gt;=48,INDEX($BD$58:$BD$69,MATCH(AI102,$BN$58:$BN$69,0)),BB58)</f>
        <v>Escocia</v>
      </c>
      <c r="AM102" s="284">
        <f t="shared" ref="AM102:AT102" ca="1" si="311">+IF($H$113&gt;=48,INDEX($BE$58:$BN$69,MATCH($AL102,$BD$58:$BD$69,0),MATCH(AM$5,$BE$57:$BN$57,0)),$BB58)</f>
        <v>3</v>
      </c>
      <c r="AN102" s="285">
        <f t="shared" ca="1" si="311"/>
        <v>2</v>
      </c>
      <c r="AO102" s="285">
        <f t="shared" ca="1" si="311"/>
        <v>1</v>
      </c>
      <c r="AP102" s="285">
        <f t="shared" ca="1" si="311"/>
        <v>0</v>
      </c>
      <c r="AQ102" s="286">
        <f t="shared" ca="1" si="311"/>
        <v>1</v>
      </c>
      <c r="AR102" s="286">
        <f t="shared" ca="1" si="311"/>
        <v>1</v>
      </c>
      <c r="AS102" s="286">
        <f t="shared" ca="1" si="311"/>
        <v>1</v>
      </c>
      <c r="AT102" s="287">
        <f t="shared" ca="1" si="311"/>
        <v>0</v>
      </c>
      <c r="AU102" s="420" t="str">
        <f t="shared" ref="AU102:AU113" ca="1" si="312">IF($H$113=144,INDEX($DL$58:$DL$69,MATCH(AI102,$DP$58:$DP$69,0)),"")</f>
        <v/>
      </c>
      <c r="AV102" s="217" t="str">
        <f t="shared" ref="AV102:AV113" ca="1" si="313">INDEX($BD$58:$BD$69,MATCH(AI102,$BM$58:$BM$69,0))</f>
        <v>Escocia</v>
      </c>
      <c r="AW102" s="427"/>
      <c r="AX102" s="288"/>
      <c r="AY102" s="242"/>
      <c r="AZ102" s="243"/>
      <c r="BA102" s="175"/>
      <c r="BB102" s="738"/>
      <c r="BC102" s="744"/>
      <c r="BD102" s="738"/>
      <c r="BE102" s="760" t="s">
        <v>444</v>
      </c>
      <c r="BF102" s="738" t="s">
        <v>719</v>
      </c>
      <c r="BG102" s="738" t="s">
        <v>764</v>
      </c>
      <c r="BH102" s="738"/>
      <c r="BI102" s="738" t="s">
        <v>85</v>
      </c>
      <c r="BJ102" s="738"/>
      <c r="BK102" s="744"/>
      <c r="BL102" s="744"/>
      <c r="BM102" s="738"/>
      <c r="BN102" s="738"/>
      <c r="BO102" s="738"/>
      <c r="BP102" s="738"/>
      <c r="BQ102" s="738"/>
      <c r="BR102" s="738"/>
      <c r="BS102" s="738"/>
      <c r="BT102" s="738"/>
      <c r="BU102" s="738"/>
      <c r="BV102" s="738"/>
      <c r="BW102" s="738"/>
      <c r="BX102" s="738"/>
      <c r="BY102" s="738"/>
      <c r="BZ102" s="738"/>
      <c r="CA102" s="738"/>
      <c r="CB102" s="738"/>
      <c r="CC102" s="738"/>
      <c r="CD102" s="738"/>
      <c r="CE102" s="738"/>
      <c r="CF102" s="738"/>
      <c r="CG102" s="738"/>
      <c r="CH102" s="738"/>
      <c r="CI102" s="738"/>
      <c r="CJ102" s="738"/>
      <c r="CK102" s="738"/>
      <c r="CL102" s="738"/>
      <c r="CM102" s="738"/>
      <c r="CN102" s="738"/>
      <c r="CO102" s="738"/>
      <c r="CP102" s="738"/>
      <c r="CQ102" s="738"/>
      <c r="CR102" s="738"/>
      <c r="CS102" s="738"/>
      <c r="CT102" s="738"/>
      <c r="CU102" s="738"/>
      <c r="CV102" s="738"/>
      <c r="CW102" s="738"/>
      <c r="CX102" s="738"/>
      <c r="CY102" s="738"/>
      <c r="CZ102" s="738"/>
      <c r="DA102" s="738"/>
      <c r="DB102" s="738"/>
      <c r="DC102" s="738"/>
      <c r="DD102" s="738"/>
      <c r="DE102" s="738"/>
      <c r="DF102" s="738"/>
      <c r="DG102" s="738"/>
      <c r="DH102" s="738"/>
      <c r="DI102" s="738"/>
      <c r="DJ102" s="738"/>
      <c r="DK102" s="738"/>
      <c r="DL102" s="738"/>
      <c r="DM102" s="738"/>
      <c r="DN102" s="738"/>
      <c r="DO102" s="738"/>
      <c r="DP102" s="738"/>
      <c r="DQ102" s="738"/>
      <c r="DR102" s="738"/>
      <c r="DS102" s="738"/>
      <c r="DT102" s="744" t="str">
        <f t="shared" ca="1" si="242"/>
        <v>1C-2F</v>
      </c>
      <c r="DU102" s="738"/>
      <c r="DV102" s="738"/>
      <c r="DW102" s="11"/>
    </row>
    <row r="103" spans="1:127" ht="16.05" customHeight="1">
      <c r="A103" s="738" t="s">
        <v>664</v>
      </c>
      <c r="B103" s="738" t="s">
        <v>656</v>
      </c>
      <c r="C103" s="739"/>
      <c r="D103" s="747" t="str">
        <f t="shared" si="302"/>
        <v>W74</v>
      </c>
      <c r="E103" s="739" t="s">
        <v>4</v>
      </c>
      <c r="F103" s="739" t="s">
        <v>2</v>
      </c>
      <c r="G103" s="748" t="s">
        <v>2</v>
      </c>
      <c r="H103" s="749">
        <f t="shared" ca="1" si="303"/>
        <v>8</v>
      </c>
      <c r="I103" s="744"/>
      <c r="J103" s="738">
        <v>75</v>
      </c>
      <c r="K103" s="738">
        <v>46202.75</v>
      </c>
      <c r="L103" s="738" t="s">
        <v>687</v>
      </c>
      <c r="M103" s="738" t="str">
        <f t="shared" ca="1" si="304"/>
        <v>1F</v>
      </c>
      <c r="N103" s="738"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38"/>
      <c r="P103" s="738"/>
      <c r="Q103" s="738"/>
      <c r="R103" s="738"/>
      <c r="S103" s="738"/>
      <c r="T103" s="738"/>
      <c r="U103" s="738"/>
      <c r="V103" s="172"/>
      <c r="W103" s="833"/>
      <c r="X103" s="189">
        <f ca="1">Horarios!C103</f>
        <v>46202.9375</v>
      </c>
      <c r="Y103" s="190">
        <f ca="1">Horarios!C103</f>
        <v>46202.9375</v>
      </c>
      <c r="Z103" s="276">
        <f t="shared" si="309"/>
        <v>74</v>
      </c>
      <c r="AA103" s="277" t="str">
        <f t="shared" ca="1" si="305"/>
        <v>1E</v>
      </c>
      <c r="AB103" s="278"/>
      <c r="AC103" s="281"/>
      <c r="AD103" s="281"/>
      <c r="AE103" s="278"/>
      <c r="AF103" s="280" t="str">
        <f t="shared" ca="1" si="306"/>
        <v>3ABCDF</v>
      </c>
      <c r="AG103" s="417">
        <f t="shared" si="307"/>
        <v>0</v>
      </c>
      <c r="AH103" s="196">
        <v>74</v>
      </c>
      <c r="AI103" s="217">
        <v>2</v>
      </c>
      <c r="AJ103" s="221">
        <v>2</v>
      </c>
      <c r="AK103" s="486" t="e" cm="1" vm="14">
        <f t="array" aca="1" ref="AK103" ca="1">Ver_flag_visit</f>
        <v>#VALUE!</v>
      </c>
      <c r="AL103" s="289" t="str">
        <f t="shared" ca="1" si="310"/>
        <v>Paraguay</v>
      </c>
      <c r="AM103" s="290">
        <f t="shared" ref="AM103:AT103" ca="1" si="314">+IF($H$113&gt;=48,INDEX($BE$58:$BN$69,MATCH($AL103,$BD$58:$BD$69,0),MATCH(AM$5,$BE$57:$BN$57,0)),$BB59)</f>
        <v>3</v>
      </c>
      <c r="AN103" s="291">
        <f t="shared" ca="1" si="314"/>
        <v>2</v>
      </c>
      <c r="AO103" s="291">
        <f t="shared" ca="1" si="314"/>
        <v>1</v>
      </c>
      <c r="AP103" s="291">
        <f t="shared" ca="1" si="314"/>
        <v>0</v>
      </c>
      <c r="AQ103" s="291">
        <f t="shared" ca="1" si="314"/>
        <v>1</v>
      </c>
      <c r="AR103" s="291">
        <f t="shared" ca="1" si="314"/>
        <v>2</v>
      </c>
      <c r="AS103" s="291">
        <f t="shared" ca="1" si="314"/>
        <v>4</v>
      </c>
      <c r="AT103" s="292">
        <f t="shared" ca="1" si="314"/>
        <v>-2</v>
      </c>
      <c r="AU103" s="420" t="str">
        <f t="shared" ca="1" si="312"/>
        <v/>
      </c>
      <c r="AV103" s="217" t="str">
        <f t="shared" ca="1" si="313"/>
        <v>Paraguay</v>
      </c>
      <c r="AW103" s="427"/>
      <c r="AX103" s="288"/>
      <c r="AY103" s="293"/>
      <c r="AZ103" s="294" t="str">
        <f t="shared" ref="AZ103:AZ110" ca="1" si="315">+IF(OR($H$113&gt;=48,$AJ$99=144),BF117&amp;" - "&amp;BG117,"")</f>
        <v>1A - 3H</v>
      </c>
      <c r="BA103" s="175"/>
      <c r="BB103" s="738"/>
      <c r="BC103" s="744"/>
      <c r="BD103" s="738"/>
      <c r="BE103" s="738"/>
      <c r="BF103" s="738" t="str">
        <f t="shared" ref="BF103:BF110" ca="1" si="316">IFERROR(INDEX($BC$6:$BC$53,MATCH(AL102,$BD$6:$BD$53,0)),"")</f>
        <v>C</v>
      </c>
      <c r="BG103" s="738">
        <f t="shared" ref="BG103:BG110" ca="1" si="317">COUNTIF($BF$103:$BF$110,"&lt;="&amp;BF103)</f>
        <v>3</v>
      </c>
      <c r="BH103" s="738"/>
      <c r="BI103" s="744">
        <v>1</v>
      </c>
      <c r="BJ103" s="738" t="str">
        <f t="shared" ref="BJ103:BJ110" ca="1" si="318">IFERROR(INDEX($BF$103:$BF$110,MATCH(BI103,$BG$103:$BG$110,0)),"Grupo")</f>
        <v>A</v>
      </c>
      <c r="BK103" s="744"/>
      <c r="BL103" s="744"/>
      <c r="BM103" s="738"/>
      <c r="BN103" s="738"/>
      <c r="BO103" s="738"/>
      <c r="BP103" s="738"/>
      <c r="BQ103" s="738"/>
      <c r="BR103" s="738"/>
      <c r="BS103" s="738"/>
      <c r="BT103" s="738"/>
      <c r="BU103" s="738"/>
      <c r="BV103" s="738"/>
      <c r="BW103" s="738"/>
      <c r="BX103" s="738"/>
      <c r="BY103" s="738"/>
      <c r="BZ103" s="738"/>
      <c r="CA103" s="738"/>
      <c r="CB103" s="738"/>
      <c r="CC103" s="738"/>
      <c r="CD103" s="738"/>
      <c r="CE103" s="738"/>
      <c r="CF103" s="738"/>
      <c r="CG103" s="738"/>
      <c r="CH103" s="738"/>
      <c r="CI103" s="738"/>
      <c r="CJ103" s="738"/>
      <c r="CK103" s="738"/>
      <c r="CL103" s="738"/>
      <c r="CM103" s="738"/>
      <c r="CN103" s="738"/>
      <c r="CO103" s="738"/>
      <c r="CP103" s="738"/>
      <c r="CQ103" s="738"/>
      <c r="CR103" s="738"/>
      <c r="CS103" s="738"/>
      <c r="CT103" s="738"/>
      <c r="CU103" s="738"/>
      <c r="CV103" s="738"/>
      <c r="CW103" s="738"/>
      <c r="CX103" s="738"/>
      <c r="CY103" s="738"/>
      <c r="CZ103" s="738"/>
      <c r="DA103" s="738"/>
      <c r="DB103" s="738"/>
      <c r="DC103" s="738"/>
      <c r="DD103" s="738"/>
      <c r="DE103" s="738"/>
      <c r="DF103" s="738"/>
      <c r="DG103" s="738"/>
      <c r="DH103" s="738"/>
      <c r="DI103" s="738"/>
      <c r="DJ103" s="738"/>
      <c r="DK103" s="738"/>
      <c r="DL103" s="738"/>
      <c r="DM103" s="738"/>
      <c r="DN103" s="738"/>
      <c r="DO103" s="738"/>
      <c r="DP103" s="738"/>
      <c r="DQ103" s="738"/>
      <c r="DR103" s="738"/>
      <c r="DS103" s="738"/>
      <c r="DT103" s="744" t="str">
        <f t="shared" ca="1" si="242"/>
        <v>1E-3ABCDF</v>
      </c>
      <c r="DU103" s="738"/>
      <c r="DV103" s="738"/>
      <c r="DW103" s="11"/>
    </row>
    <row r="104" spans="1:127" ht="16.05" customHeight="1">
      <c r="A104" s="738" t="s">
        <v>651</v>
      </c>
      <c r="B104" s="738" t="s">
        <v>665</v>
      </c>
      <c r="C104" s="739"/>
      <c r="D104" s="747" t="str">
        <f t="shared" si="302"/>
        <v>W75</v>
      </c>
      <c r="E104" s="739" t="s">
        <v>2</v>
      </c>
      <c r="F104" s="739" t="s">
        <v>4</v>
      </c>
      <c r="G104" s="748" t="s">
        <v>73</v>
      </c>
      <c r="H104" s="749">
        <f t="shared" ca="1" si="303"/>
        <v>8</v>
      </c>
      <c r="I104" s="744"/>
      <c r="J104" s="738">
        <v>76</v>
      </c>
      <c r="K104" s="738">
        <v>46202.75</v>
      </c>
      <c r="L104" s="738" t="s">
        <v>688</v>
      </c>
      <c r="M104" s="738" t="str">
        <f t="shared" ca="1" si="304"/>
        <v>1C</v>
      </c>
      <c r="N104" s="738"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38"/>
      <c r="P104" s="738"/>
      <c r="Q104" s="738"/>
      <c r="R104" s="738"/>
      <c r="S104" s="738"/>
      <c r="T104" s="738"/>
      <c r="U104" s="738"/>
      <c r="V104" s="172"/>
      <c r="W104" s="833"/>
      <c r="X104" s="189">
        <f ca="1">Horarios!C104</f>
        <v>46203.125</v>
      </c>
      <c r="Y104" s="190">
        <f ca="1">Horarios!C104</f>
        <v>46203.125</v>
      </c>
      <c r="Z104" s="276">
        <f t="shared" si="309"/>
        <v>75</v>
      </c>
      <c r="AA104" s="277" t="str">
        <f t="shared" ca="1" si="305"/>
        <v>1F</v>
      </c>
      <c r="AB104" s="278"/>
      <c r="AC104" s="281"/>
      <c r="AD104" s="281"/>
      <c r="AE104" s="278"/>
      <c r="AF104" s="280" t="str">
        <f t="shared" ca="1" si="306"/>
        <v>2C</v>
      </c>
      <c r="AG104" s="417">
        <f t="shared" si="307"/>
        <v>0</v>
      </c>
      <c r="AH104" s="196">
        <v>75</v>
      </c>
      <c r="AI104" s="217">
        <v>3</v>
      </c>
      <c r="AJ104" s="221">
        <v>3</v>
      </c>
      <c r="AK104" s="486" t="e" cm="1" vm="22">
        <f t="array" aca="1" ref="AK104" ca="1">Ver_flag_visit</f>
        <v>#VALUE!</v>
      </c>
      <c r="AL104" s="289" t="str">
        <f t="shared" ca="1" si="310"/>
        <v>Japón</v>
      </c>
      <c r="AM104" s="290">
        <f t="shared" ref="AM104:AT104" ca="1" si="319">+IF($H$113&gt;=48,INDEX($BE$58:$BN$69,MATCH($AL104,$BD$58:$BD$69,0),MATCH(AM$5,$BE$57:$BN$57,0)),$BB60)</f>
        <v>1</v>
      </c>
      <c r="AN104" s="291">
        <f t="shared" ca="1" si="319"/>
        <v>1</v>
      </c>
      <c r="AO104" s="291">
        <f t="shared" ca="1" si="319"/>
        <v>0</v>
      </c>
      <c r="AP104" s="291">
        <f t="shared" ca="1" si="319"/>
        <v>1</v>
      </c>
      <c r="AQ104" s="291">
        <f t="shared" ca="1" si="319"/>
        <v>0</v>
      </c>
      <c r="AR104" s="291">
        <f t="shared" ca="1" si="319"/>
        <v>2</v>
      </c>
      <c r="AS104" s="291">
        <f t="shared" ca="1" si="319"/>
        <v>2</v>
      </c>
      <c r="AT104" s="292">
        <f t="shared" ca="1" si="319"/>
        <v>0</v>
      </c>
      <c r="AU104" s="420" t="str">
        <f t="shared" ca="1" si="312"/>
        <v/>
      </c>
      <c r="AV104" s="217" t="str">
        <f t="shared" ca="1" si="313"/>
        <v>Japón</v>
      </c>
      <c r="AW104" s="427"/>
      <c r="AX104" s="288"/>
      <c r="AY104" s="293"/>
      <c r="AZ104" s="294" t="str">
        <f t="shared" ca="1" si="315"/>
        <v>1B - 3G</v>
      </c>
      <c r="BA104" s="175"/>
      <c r="BB104" s="738"/>
      <c r="BC104" s="744"/>
      <c r="BD104" s="738"/>
      <c r="BE104" s="738"/>
      <c r="BF104" s="738" t="str">
        <f t="shared" ca="1" si="316"/>
        <v>D</v>
      </c>
      <c r="BG104" s="738">
        <f t="shared" ca="1" si="317"/>
        <v>4</v>
      </c>
      <c r="BH104" s="738"/>
      <c r="BI104" s="744">
        <v>2</v>
      </c>
      <c r="BJ104" s="738" t="str">
        <f t="shared" ca="1" si="318"/>
        <v>B</v>
      </c>
      <c r="BK104" s="744"/>
      <c r="BL104" s="744"/>
      <c r="BM104" s="738"/>
      <c r="BN104" s="738"/>
      <c r="BO104" s="738"/>
      <c r="BP104" s="738"/>
      <c r="BQ104" s="738"/>
      <c r="BR104" s="738"/>
      <c r="BS104" s="738"/>
      <c r="BT104" s="738"/>
      <c r="BU104" s="738"/>
      <c r="BV104" s="738"/>
      <c r="BW104" s="738"/>
      <c r="BX104" s="738"/>
      <c r="BY104" s="738"/>
      <c r="BZ104" s="738"/>
      <c r="CA104" s="738"/>
      <c r="CB104" s="738"/>
      <c r="CC104" s="738"/>
      <c r="CD104" s="738"/>
      <c r="CE104" s="738"/>
      <c r="CF104" s="738"/>
      <c r="CG104" s="738"/>
      <c r="CH104" s="738"/>
      <c r="CI104" s="738"/>
      <c r="CJ104" s="738"/>
      <c r="CK104" s="738"/>
      <c r="CL104" s="738"/>
      <c r="CM104" s="738"/>
      <c r="CN104" s="738"/>
      <c r="CO104" s="738"/>
      <c r="CP104" s="738"/>
      <c r="CQ104" s="738"/>
      <c r="CR104" s="738"/>
      <c r="CS104" s="738"/>
      <c r="CT104" s="738"/>
      <c r="CU104" s="738"/>
      <c r="CV104" s="738"/>
      <c r="CW104" s="738"/>
      <c r="CX104" s="738"/>
      <c r="CY104" s="738"/>
      <c r="CZ104" s="738"/>
      <c r="DA104" s="738"/>
      <c r="DB104" s="738"/>
      <c r="DC104" s="738"/>
      <c r="DD104" s="738"/>
      <c r="DE104" s="738"/>
      <c r="DF104" s="738"/>
      <c r="DG104" s="738"/>
      <c r="DH104" s="738"/>
      <c r="DI104" s="738"/>
      <c r="DJ104" s="738"/>
      <c r="DK104" s="738"/>
      <c r="DL104" s="738"/>
      <c r="DM104" s="738"/>
      <c r="DN104" s="738"/>
      <c r="DO104" s="738"/>
      <c r="DP104" s="738"/>
      <c r="DQ104" s="738"/>
      <c r="DR104" s="738"/>
      <c r="DS104" s="738"/>
      <c r="DT104" s="744" t="str">
        <f t="shared" ca="1" si="242"/>
        <v>1F-2C</v>
      </c>
      <c r="DU104" s="738"/>
      <c r="DV104" s="738"/>
      <c r="DW104" s="11"/>
    </row>
    <row r="105" spans="1:127" ht="16.05" customHeight="1">
      <c r="A105" s="738" t="s">
        <v>673</v>
      </c>
      <c r="B105" s="738" t="s">
        <v>723</v>
      </c>
      <c r="C105" s="739"/>
      <c r="D105" s="747" t="str">
        <f t="shared" si="302"/>
        <v>W78</v>
      </c>
      <c r="E105" s="739" t="s">
        <v>438</v>
      </c>
      <c r="F105" s="739" t="s">
        <v>721</v>
      </c>
      <c r="G105" s="748" t="s">
        <v>3</v>
      </c>
      <c r="H105" s="749">
        <f t="shared" ca="1" si="303"/>
        <v>4</v>
      </c>
      <c r="I105" s="744"/>
      <c r="J105" s="738">
        <v>77</v>
      </c>
      <c r="K105" s="738">
        <v>46203.75</v>
      </c>
      <c r="L105" s="738" t="s">
        <v>689</v>
      </c>
      <c r="M105" s="738" t="str">
        <f t="shared" ca="1" si="304"/>
        <v>1I</v>
      </c>
      <c r="N105" s="738"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38"/>
      <c r="P105" s="738"/>
      <c r="Q105" s="738"/>
      <c r="R105" s="738"/>
      <c r="S105" s="738"/>
      <c r="T105" s="738"/>
      <c r="U105" s="738"/>
      <c r="V105" s="172"/>
      <c r="W105" s="833"/>
      <c r="X105" s="189">
        <f ca="1">Horarios!C105</f>
        <v>46203.791666666664</v>
      </c>
      <c r="Y105" s="190">
        <f ca="1">Horarios!C105</f>
        <v>46203.791666666664</v>
      </c>
      <c r="Z105" s="276">
        <f t="shared" si="309"/>
        <v>78</v>
      </c>
      <c r="AA105" s="277" t="str">
        <f t="shared" ca="1" si="305"/>
        <v>2E</v>
      </c>
      <c r="AB105" s="278"/>
      <c r="AC105" s="281"/>
      <c r="AD105" s="281"/>
      <c r="AE105" s="278"/>
      <c r="AF105" s="280" t="str">
        <f t="shared" ca="1" si="306"/>
        <v>2I</v>
      </c>
      <c r="AG105" s="417">
        <f t="shared" si="307"/>
        <v>0</v>
      </c>
      <c r="AH105" s="196">
        <v>78</v>
      </c>
      <c r="AI105" s="217">
        <v>4</v>
      </c>
      <c r="AJ105" s="221">
        <v>4</v>
      </c>
      <c r="AK105" s="486" t="e" cm="1" vm="25">
        <f t="array" aca="1" ref="AK105" ca="1">Ver_flag_visit</f>
        <v>#VALUE!</v>
      </c>
      <c r="AL105" s="289" t="str">
        <f t="shared" ca="1" si="310"/>
        <v>Bélgica</v>
      </c>
      <c r="AM105" s="290">
        <f t="shared" ref="AM105:AT105" ca="1" si="320">+IF($H$113&gt;=48,INDEX($BE$58:$BN$69,MATCH($AL105,$BD$58:$BD$69,0),MATCH(AM$5,$BE$57:$BN$57,0)),$BB61)</f>
        <v>1</v>
      </c>
      <c r="AN105" s="291">
        <f t="shared" ca="1" si="320"/>
        <v>1</v>
      </c>
      <c r="AO105" s="291">
        <f t="shared" ca="1" si="320"/>
        <v>0</v>
      </c>
      <c r="AP105" s="291">
        <f t="shared" ca="1" si="320"/>
        <v>1</v>
      </c>
      <c r="AQ105" s="291">
        <f t="shared" ca="1" si="320"/>
        <v>0</v>
      </c>
      <c r="AR105" s="291">
        <f t="shared" ca="1" si="320"/>
        <v>1</v>
      </c>
      <c r="AS105" s="291">
        <f t="shared" ca="1" si="320"/>
        <v>1</v>
      </c>
      <c r="AT105" s="292">
        <f t="shared" ca="1" si="320"/>
        <v>0</v>
      </c>
      <c r="AU105" s="420" t="str">
        <f t="shared" ca="1" si="312"/>
        <v/>
      </c>
      <c r="AV105" s="217" t="str">
        <f t="shared" ca="1" si="313"/>
        <v>Bélgica</v>
      </c>
      <c r="AW105" s="427"/>
      <c r="AX105" s="288"/>
      <c r="AY105" s="293"/>
      <c r="AZ105" s="294" t="str">
        <f t="shared" ca="1" si="315"/>
        <v>1D - 3B</v>
      </c>
      <c r="BA105" s="175"/>
      <c r="BB105" s="738"/>
      <c r="BC105" s="744"/>
      <c r="BD105" s="738"/>
      <c r="BE105" s="738"/>
      <c r="BF105" s="738" t="str">
        <f t="shared" ca="1" si="316"/>
        <v>F</v>
      </c>
      <c r="BG105" s="738">
        <f t="shared" ca="1" si="317"/>
        <v>5</v>
      </c>
      <c r="BH105" s="738"/>
      <c r="BI105" s="744">
        <v>3</v>
      </c>
      <c r="BJ105" s="738" t="str">
        <f t="shared" ca="1" si="318"/>
        <v>C</v>
      </c>
      <c r="BK105" s="744"/>
      <c r="BL105" s="744"/>
      <c r="BM105" s="738"/>
      <c r="BN105" s="738"/>
      <c r="BO105" s="738"/>
      <c r="BP105" s="738"/>
      <c r="BQ105" s="738"/>
      <c r="BR105" s="738"/>
      <c r="BS105" s="738"/>
      <c r="BT105" s="738"/>
      <c r="BU105" s="738"/>
      <c r="BV105" s="738"/>
      <c r="BW105" s="738"/>
      <c r="BX105" s="738"/>
      <c r="BY105" s="738"/>
      <c r="BZ105" s="738"/>
      <c r="CA105" s="738"/>
      <c r="CB105" s="738"/>
      <c r="CC105" s="738"/>
      <c r="CD105" s="738"/>
      <c r="CE105" s="738"/>
      <c r="CF105" s="738"/>
      <c r="CG105" s="738"/>
      <c r="CH105" s="738"/>
      <c r="CI105" s="738"/>
      <c r="CJ105" s="738"/>
      <c r="CK105" s="738"/>
      <c r="CL105" s="738"/>
      <c r="CM105" s="738"/>
      <c r="CN105" s="738"/>
      <c r="CO105" s="738"/>
      <c r="CP105" s="738"/>
      <c r="CQ105" s="738"/>
      <c r="CR105" s="738"/>
      <c r="CS105" s="738"/>
      <c r="CT105" s="738"/>
      <c r="CU105" s="738"/>
      <c r="CV105" s="738"/>
      <c r="CW105" s="738"/>
      <c r="CX105" s="738"/>
      <c r="CY105" s="738"/>
      <c r="CZ105" s="738"/>
      <c r="DA105" s="738"/>
      <c r="DB105" s="738"/>
      <c r="DC105" s="738"/>
      <c r="DD105" s="738"/>
      <c r="DE105" s="738"/>
      <c r="DF105" s="738"/>
      <c r="DG105" s="738"/>
      <c r="DH105" s="738"/>
      <c r="DI105" s="738"/>
      <c r="DJ105" s="738"/>
      <c r="DK105" s="738"/>
      <c r="DL105" s="738"/>
      <c r="DM105" s="738"/>
      <c r="DN105" s="738"/>
      <c r="DO105" s="738"/>
      <c r="DP105" s="738"/>
      <c r="DQ105" s="738"/>
      <c r="DR105" s="738"/>
      <c r="DS105" s="738"/>
      <c r="DT105" s="744" t="str">
        <f t="shared" ca="1" si="242"/>
        <v>2E-2I</v>
      </c>
      <c r="DU105" s="738"/>
      <c r="DV105" s="738"/>
      <c r="DW105" s="11"/>
    </row>
    <row r="106" spans="1:127" ht="16.05" customHeight="1">
      <c r="A106" s="738" t="s">
        <v>662</v>
      </c>
      <c r="B106" s="738" t="s">
        <v>674</v>
      </c>
      <c r="C106" s="739"/>
      <c r="D106" s="747" t="str">
        <f t="shared" si="302"/>
        <v>W77</v>
      </c>
      <c r="E106" s="739" t="s">
        <v>3</v>
      </c>
      <c r="F106" s="739" t="s">
        <v>438</v>
      </c>
      <c r="G106" s="748" t="s">
        <v>4</v>
      </c>
      <c r="H106" s="749">
        <f t="shared" ca="1" si="303"/>
        <v>4</v>
      </c>
      <c r="I106" s="744"/>
      <c r="J106" s="738">
        <v>78</v>
      </c>
      <c r="K106" s="738">
        <v>46203.75</v>
      </c>
      <c r="L106" s="738" t="s">
        <v>690</v>
      </c>
      <c r="M106" s="738" t="str">
        <f t="shared" ca="1" si="304"/>
        <v>2E</v>
      </c>
      <c r="N106" s="738"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38"/>
      <c r="P106" s="738"/>
      <c r="Q106" s="738"/>
      <c r="R106" s="738"/>
      <c r="S106" s="738"/>
      <c r="T106" s="738"/>
      <c r="U106" s="738"/>
      <c r="V106" s="172"/>
      <c r="W106" s="833"/>
      <c r="X106" s="189">
        <f ca="1">Horarios!C106</f>
        <v>46203.958333333336</v>
      </c>
      <c r="Y106" s="190">
        <f ca="1">Horarios!C106</f>
        <v>46203.958333333336</v>
      </c>
      <c r="Z106" s="276">
        <f t="shared" si="309"/>
        <v>77</v>
      </c>
      <c r="AA106" s="277" t="str">
        <f t="shared" ca="1" si="305"/>
        <v>1I</v>
      </c>
      <c r="AB106" s="278"/>
      <c r="AC106" s="281"/>
      <c r="AD106" s="281"/>
      <c r="AE106" s="278"/>
      <c r="AF106" s="280" t="str">
        <f t="shared" ca="1" si="306"/>
        <v>3CDFGH</v>
      </c>
      <c r="AG106" s="417">
        <f t="shared" si="307"/>
        <v>0</v>
      </c>
      <c r="AH106" s="196">
        <v>77</v>
      </c>
      <c r="AI106" s="217">
        <v>5</v>
      </c>
      <c r="AJ106" s="221">
        <v>5</v>
      </c>
      <c r="AK106" s="486" t="e" cm="1" vm="42">
        <f t="array" aca="1" ref="AK106" ca="1">Ver_flag_visit</f>
        <v>#VALUE!</v>
      </c>
      <c r="AL106" s="289" t="str">
        <f t="shared" ca="1" si="310"/>
        <v>RD Congo</v>
      </c>
      <c r="AM106" s="290">
        <f t="shared" ref="AM106:AT106" ca="1" si="321">+IF($H$113&gt;=48,INDEX($BE$58:$BN$69,MATCH($AL106,$BD$58:$BD$69,0),MATCH(AM$5,$BE$57:$BN$57,0)),$BB62)</f>
        <v>1</v>
      </c>
      <c r="AN106" s="291">
        <f t="shared" ca="1" si="321"/>
        <v>1</v>
      </c>
      <c r="AO106" s="291">
        <f t="shared" ca="1" si="321"/>
        <v>0</v>
      </c>
      <c r="AP106" s="291">
        <f t="shared" ca="1" si="321"/>
        <v>1</v>
      </c>
      <c r="AQ106" s="291">
        <f t="shared" ca="1" si="321"/>
        <v>0</v>
      </c>
      <c r="AR106" s="291">
        <f t="shared" ca="1" si="321"/>
        <v>1</v>
      </c>
      <c r="AS106" s="291">
        <f t="shared" ca="1" si="321"/>
        <v>1</v>
      </c>
      <c r="AT106" s="292">
        <f t="shared" ca="1" si="321"/>
        <v>0</v>
      </c>
      <c r="AU106" s="420" t="str">
        <f t="shared" ca="1" si="312"/>
        <v/>
      </c>
      <c r="AV106" s="217" t="str">
        <f t="shared" ca="1" si="313"/>
        <v>RD Congo</v>
      </c>
      <c r="AW106" s="427"/>
      <c r="AX106" s="288"/>
      <c r="AY106" s="293"/>
      <c r="AZ106" s="294" t="str">
        <f t="shared" ca="1" si="315"/>
        <v>1E - 3C</v>
      </c>
      <c r="BA106" s="175"/>
      <c r="BB106" s="738"/>
      <c r="BC106" s="744"/>
      <c r="BD106" s="738"/>
      <c r="BE106" s="738"/>
      <c r="BF106" s="738" t="str">
        <f t="shared" ca="1" si="316"/>
        <v>G</v>
      </c>
      <c r="BG106" s="738">
        <f t="shared" ca="1" si="317"/>
        <v>6</v>
      </c>
      <c r="BH106" s="738"/>
      <c r="BI106" s="744">
        <v>4</v>
      </c>
      <c r="BJ106" s="738" t="str">
        <f t="shared" ca="1" si="318"/>
        <v>D</v>
      </c>
      <c r="BK106" s="744"/>
      <c r="BL106" s="744"/>
      <c r="BM106" s="738"/>
      <c r="BN106" s="738"/>
      <c r="BO106" s="738"/>
      <c r="BP106" s="738"/>
      <c r="BQ106" s="738"/>
      <c r="BR106" s="738"/>
      <c r="BS106" s="738"/>
      <c r="BT106" s="738"/>
      <c r="BU106" s="738"/>
      <c r="BV106" s="738"/>
      <c r="BW106" s="738"/>
      <c r="BX106" s="738"/>
      <c r="BY106" s="738"/>
      <c r="BZ106" s="738"/>
      <c r="CA106" s="738"/>
      <c r="CB106" s="738"/>
      <c r="CC106" s="738"/>
      <c r="CD106" s="738"/>
      <c r="CE106" s="738"/>
      <c r="CF106" s="738"/>
      <c r="CG106" s="738"/>
      <c r="CH106" s="738"/>
      <c r="CI106" s="738"/>
      <c r="CJ106" s="738"/>
      <c r="CK106" s="738"/>
      <c r="CL106" s="738"/>
      <c r="CM106" s="738"/>
      <c r="CN106" s="738"/>
      <c r="CO106" s="738"/>
      <c r="CP106" s="738"/>
      <c r="CQ106" s="738"/>
      <c r="CR106" s="738"/>
      <c r="CS106" s="738"/>
      <c r="CT106" s="738"/>
      <c r="CU106" s="738"/>
      <c r="CV106" s="738"/>
      <c r="CW106" s="738"/>
      <c r="CX106" s="738"/>
      <c r="CY106" s="738"/>
      <c r="CZ106" s="738"/>
      <c r="DA106" s="738"/>
      <c r="DB106" s="738"/>
      <c r="DC106" s="738"/>
      <c r="DD106" s="738"/>
      <c r="DE106" s="738"/>
      <c r="DF106" s="738"/>
      <c r="DG106" s="738"/>
      <c r="DH106" s="738"/>
      <c r="DI106" s="738"/>
      <c r="DJ106" s="738"/>
      <c r="DK106" s="738"/>
      <c r="DL106" s="738"/>
      <c r="DM106" s="738"/>
      <c r="DN106" s="738"/>
      <c r="DO106" s="738"/>
      <c r="DP106" s="738"/>
      <c r="DQ106" s="738"/>
      <c r="DR106" s="738"/>
      <c r="DS106" s="738"/>
      <c r="DT106" s="744" t="str">
        <f t="shared" ca="1" si="242"/>
        <v>1I-3CDFGH</v>
      </c>
      <c r="DU106" s="738"/>
      <c r="DV106" s="738"/>
      <c r="DW106" s="11"/>
    </row>
    <row r="107" spans="1:127" ht="16.05" customHeight="1">
      <c r="A107" s="738" t="s">
        <v>645</v>
      </c>
      <c r="B107" s="738" t="s">
        <v>724</v>
      </c>
      <c r="C107" s="739"/>
      <c r="D107" s="747" t="str">
        <f t="shared" si="302"/>
        <v>W79</v>
      </c>
      <c r="E107" s="739" t="s">
        <v>0</v>
      </c>
      <c r="F107" s="739" t="s">
        <v>721</v>
      </c>
      <c r="G107" s="748" t="s">
        <v>6</v>
      </c>
      <c r="H107" s="749">
        <f t="shared" ca="1" si="303"/>
        <v>4</v>
      </c>
      <c r="I107" s="744"/>
      <c r="J107" s="738">
        <v>79</v>
      </c>
      <c r="K107" s="738">
        <v>46203.75</v>
      </c>
      <c r="L107" s="738" t="s">
        <v>691</v>
      </c>
      <c r="M107" s="738" t="str">
        <f t="shared" ca="1" si="304"/>
        <v>1A</v>
      </c>
      <c r="N107" s="738"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38"/>
      <c r="P107" s="738"/>
      <c r="Q107" s="738"/>
      <c r="R107" s="738"/>
      <c r="S107" s="738"/>
      <c r="T107" s="738"/>
      <c r="U107" s="738"/>
      <c r="V107" s="172"/>
      <c r="W107" s="833"/>
      <c r="X107" s="189">
        <f ca="1">Horarios!C107</f>
        <v>46204.125</v>
      </c>
      <c r="Y107" s="190">
        <f ca="1">Horarios!C107</f>
        <v>46204.125</v>
      </c>
      <c r="Z107" s="276">
        <f t="shared" si="309"/>
        <v>79</v>
      </c>
      <c r="AA107" s="277" t="str">
        <f t="shared" ca="1" si="305"/>
        <v>1A</v>
      </c>
      <c r="AB107" s="278"/>
      <c r="AC107" s="281"/>
      <c r="AD107" s="281"/>
      <c r="AE107" s="278"/>
      <c r="AF107" s="280" t="str">
        <f t="shared" ca="1" si="306"/>
        <v>3CEFHI</v>
      </c>
      <c r="AG107" s="417">
        <f t="shared" si="307"/>
        <v>0</v>
      </c>
      <c r="AH107" s="196">
        <v>79</v>
      </c>
      <c r="AI107" s="217">
        <v>6</v>
      </c>
      <c r="AJ107" s="221">
        <v>6</v>
      </c>
      <c r="AK107" s="486" t="e" cm="1" vm="29">
        <f t="array" aca="1" ref="AK107" ca="1">Ver_flag_visit</f>
        <v>#VALUE!</v>
      </c>
      <c r="AL107" s="289" t="str">
        <f t="shared" ca="1" si="310"/>
        <v>España</v>
      </c>
      <c r="AM107" s="290">
        <f t="shared" ref="AM107:AT107" ca="1" si="322">+IF($H$113&gt;=48,INDEX($BE$58:$BN$69,MATCH($AL107,$BD$58:$BD$69,0),MATCH(AM$5,$BE$57:$BN$57,0)),$BB63)</f>
        <v>1</v>
      </c>
      <c r="AN107" s="291">
        <f t="shared" ca="1" si="322"/>
        <v>1</v>
      </c>
      <c r="AO107" s="291">
        <f t="shared" ca="1" si="322"/>
        <v>0</v>
      </c>
      <c r="AP107" s="291">
        <f t="shared" ca="1" si="322"/>
        <v>1</v>
      </c>
      <c r="AQ107" s="291">
        <f t="shared" ca="1" si="322"/>
        <v>0</v>
      </c>
      <c r="AR107" s="291">
        <f t="shared" ca="1" si="322"/>
        <v>0</v>
      </c>
      <c r="AS107" s="291">
        <f t="shared" ca="1" si="322"/>
        <v>0</v>
      </c>
      <c r="AT107" s="292">
        <f t="shared" ca="1" si="322"/>
        <v>0</v>
      </c>
      <c r="AU107" s="420" t="str">
        <f t="shared" ca="1" si="312"/>
        <v/>
      </c>
      <c r="AV107" s="217" t="str">
        <f ca="1">INDEX($BD$58:$BD$69,MATCH(AI107,$BM$58:$BM$69,0))</f>
        <v>España</v>
      </c>
      <c r="AW107" s="427"/>
      <c r="AX107" s="288"/>
      <c r="AY107" s="293"/>
      <c r="AZ107" s="294" t="str">
        <f t="shared" ca="1" si="315"/>
        <v>1G - 3A</v>
      </c>
      <c r="BA107" s="175"/>
      <c r="BB107" s="738"/>
      <c r="BC107" s="744"/>
      <c r="BD107" s="738"/>
      <c r="BE107" s="744"/>
      <c r="BF107" s="738" t="str">
        <f t="shared" ca="1" si="316"/>
        <v>K</v>
      </c>
      <c r="BG107" s="738">
        <f t="shared" ca="1" si="317"/>
        <v>8</v>
      </c>
      <c r="BH107" s="738"/>
      <c r="BI107" s="738">
        <v>5</v>
      </c>
      <c r="BJ107" s="738" t="str">
        <f t="shared" ca="1" si="318"/>
        <v>F</v>
      </c>
      <c r="BK107" s="744"/>
      <c r="BL107" s="744"/>
      <c r="BM107" s="738"/>
      <c r="BN107" s="738"/>
      <c r="BO107" s="738"/>
      <c r="BP107" s="738"/>
      <c r="BQ107" s="738"/>
      <c r="BR107" s="738"/>
      <c r="BS107" s="738"/>
      <c r="BT107" s="738"/>
      <c r="BU107" s="738"/>
      <c r="BV107" s="738"/>
      <c r="BW107" s="738"/>
      <c r="BX107" s="738"/>
      <c r="BY107" s="738"/>
      <c r="BZ107" s="738"/>
      <c r="CA107" s="738"/>
      <c r="CB107" s="738"/>
      <c r="CC107" s="738"/>
      <c r="CD107" s="738"/>
      <c r="CE107" s="738"/>
      <c r="CF107" s="738"/>
      <c r="CG107" s="738"/>
      <c r="CH107" s="738"/>
      <c r="CI107" s="738"/>
      <c r="CJ107" s="738"/>
      <c r="CK107" s="738"/>
      <c r="CL107" s="738"/>
      <c r="CM107" s="738"/>
      <c r="CN107" s="738"/>
      <c r="CO107" s="738"/>
      <c r="CP107" s="738"/>
      <c r="CQ107" s="738"/>
      <c r="CR107" s="738"/>
      <c r="CS107" s="738"/>
      <c r="CT107" s="738"/>
      <c r="CU107" s="738"/>
      <c r="CV107" s="738"/>
      <c r="CW107" s="738"/>
      <c r="CX107" s="738"/>
      <c r="CY107" s="738"/>
      <c r="CZ107" s="738"/>
      <c r="DA107" s="738"/>
      <c r="DB107" s="738"/>
      <c r="DC107" s="738"/>
      <c r="DD107" s="738"/>
      <c r="DE107" s="738"/>
      <c r="DF107" s="738"/>
      <c r="DG107" s="738"/>
      <c r="DH107" s="738"/>
      <c r="DI107" s="738"/>
      <c r="DJ107" s="738"/>
      <c r="DK107" s="738"/>
      <c r="DL107" s="738"/>
      <c r="DM107" s="738"/>
      <c r="DN107" s="738"/>
      <c r="DO107" s="738"/>
      <c r="DP107" s="738"/>
      <c r="DQ107" s="738"/>
      <c r="DR107" s="738"/>
      <c r="DS107" s="738"/>
      <c r="DT107" s="744" t="str">
        <f t="shared" ca="1" si="242"/>
        <v>1A-3CEFHI</v>
      </c>
      <c r="DU107" s="738"/>
      <c r="DV107" s="738"/>
      <c r="DW107" s="11"/>
    </row>
    <row r="108" spans="1:127" ht="16.05" customHeight="1">
      <c r="A108" s="738" t="s">
        <v>682</v>
      </c>
      <c r="B108" s="738" t="s">
        <v>725</v>
      </c>
      <c r="C108" s="739"/>
      <c r="D108" s="747" t="str">
        <f t="shared" si="302"/>
        <v>W80</v>
      </c>
      <c r="E108" s="739" t="s">
        <v>238</v>
      </c>
      <c r="F108" s="739" t="s">
        <v>721</v>
      </c>
      <c r="G108" s="748" t="s">
        <v>437</v>
      </c>
      <c r="H108" s="749">
        <f t="shared" ca="1" si="303"/>
        <v>4</v>
      </c>
      <c r="I108" s="744"/>
      <c r="J108" s="738">
        <v>80</v>
      </c>
      <c r="K108" s="738">
        <v>46204.75</v>
      </c>
      <c r="L108" s="738" t="s">
        <v>692</v>
      </c>
      <c r="M108" s="738" t="str">
        <f t="shared" ca="1" si="304"/>
        <v>1L</v>
      </c>
      <c r="N108" s="738"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38"/>
      <c r="P108" s="738"/>
      <c r="Q108" s="738"/>
      <c r="R108" s="738"/>
      <c r="S108" s="738"/>
      <c r="T108" s="738"/>
      <c r="U108" s="738"/>
      <c r="V108" s="172"/>
      <c r="W108" s="833"/>
      <c r="X108" s="189">
        <f ca="1">Horarios!C108</f>
        <v>46204.75</v>
      </c>
      <c r="Y108" s="190">
        <f ca="1">Horarios!C108</f>
        <v>46204.75</v>
      </c>
      <c r="Z108" s="276">
        <f t="shared" si="309"/>
        <v>80</v>
      </c>
      <c r="AA108" s="277" t="str">
        <f t="shared" ca="1" si="305"/>
        <v>1L</v>
      </c>
      <c r="AB108" s="278"/>
      <c r="AC108" s="281"/>
      <c r="AD108" s="281"/>
      <c r="AE108" s="278"/>
      <c r="AF108" s="280" t="str">
        <f t="shared" ca="1" si="306"/>
        <v>3EHIJK</v>
      </c>
      <c r="AG108" s="417">
        <f t="shared" si="307"/>
        <v>0</v>
      </c>
      <c r="AH108" s="196">
        <v>80</v>
      </c>
      <c r="AI108" s="217">
        <v>7</v>
      </c>
      <c r="AJ108" s="221">
        <v>7</v>
      </c>
      <c r="AK108" s="486" t="e" cm="1" vm="4">
        <f t="array" aca="1" ref="AK108" ca="1">Ver_flag_visit</f>
        <v>#VALUE!</v>
      </c>
      <c r="AL108" s="289" t="str">
        <f t="shared" ca="1" si="310"/>
        <v>República Checa</v>
      </c>
      <c r="AM108" s="290">
        <f t="shared" ref="AM108:AT108" ca="1" si="323">+IF($H$113&gt;=48,INDEX($BE$58:$BN$69,MATCH($AL108,$BD$58:$BD$69,0),MATCH(AM$5,$BE$57:$BN$57,0)),$BB64)</f>
        <v>1</v>
      </c>
      <c r="AN108" s="291">
        <f t="shared" ca="1" si="323"/>
        <v>2</v>
      </c>
      <c r="AO108" s="291">
        <f t="shared" ca="1" si="323"/>
        <v>0</v>
      </c>
      <c r="AP108" s="291">
        <f t="shared" ca="1" si="323"/>
        <v>1</v>
      </c>
      <c r="AQ108" s="291">
        <f t="shared" ca="1" si="323"/>
        <v>1</v>
      </c>
      <c r="AR108" s="291">
        <f t="shared" ca="1" si="323"/>
        <v>2</v>
      </c>
      <c r="AS108" s="291">
        <f t="shared" ca="1" si="323"/>
        <v>3</v>
      </c>
      <c r="AT108" s="292">
        <f t="shared" ca="1" si="323"/>
        <v>-1</v>
      </c>
      <c r="AU108" s="420" t="str">
        <f t="shared" ca="1" si="312"/>
        <v/>
      </c>
      <c r="AV108" s="217" t="str">
        <f t="shared" ca="1" si="313"/>
        <v>República Checa</v>
      </c>
      <c r="AW108" s="427"/>
      <c r="AX108" s="288"/>
      <c r="AY108" s="293"/>
      <c r="AZ108" s="294" t="str">
        <f t="shared" ca="1" si="315"/>
        <v>1I - 3F</v>
      </c>
      <c r="BA108" s="175"/>
      <c r="BB108" s="738"/>
      <c r="BC108" s="738"/>
      <c r="BD108" s="738"/>
      <c r="BE108" s="744"/>
      <c r="BF108" s="738" t="str">
        <f t="shared" ca="1" si="316"/>
        <v>H</v>
      </c>
      <c r="BG108" s="738">
        <f t="shared" ca="1" si="317"/>
        <v>7</v>
      </c>
      <c r="BH108" s="738"/>
      <c r="BI108" s="738">
        <v>6</v>
      </c>
      <c r="BJ108" s="738" t="str">
        <f t="shared" ca="1" si="318"/>
        <v>G</v>
      </c>
      <c r="BK108" s="744"/>
      <c r="BL108" s="738"/>
      <c r="BM108" s="738"/>
      <c r="BN108" s="738"/>
      <c r="BO108" s="738"/>
      <c r="BP108" s="738"/>
      <c r="BQ108" s="738"/>
      <c r="BR108" s="738"/>
      <c r="BS108" s="738"/>
      <c r="BT108" s="738"/>
      <c r="BU108" s="738"/>
      <c r="BV108" s="738"/>
      <c r="BW108" s="738"/>
      <c r="BX108" s="738"/>
      <c r="BY108" s="738"/>
      <c r="BZ108" s="738"/>
      <c r="CA108" s="738"/>
      <c r="CB108" s="738"/>
      <c r="CC108" s="738"/>
      <c r="CD108" s="738"/>
      <c r="CE108" s="738"/>
      <c r="CF108" s="738"/>
      <c r="CG108" s="738"/>
      <c r="CH108" s="738"/>
      <c r="CI108" s="738"/>
      <c r="CJ108" s="738"/>
      <c r="CK108" s="738"/>
      <c r="CL108" s="738"/>
      <c r="CM108" s="738"/>
      <c r="CN108" s="738"/>
      <c r="CO108" s="738"/>
      <c r="CP108" s="738"/>
      <c r="CQ108" s="738"/>
      <c r="CR108" s="738"/>
      <c r="CS108" s="738"/>
      <c r="CT108" s="738"/>
      <c r="CU108" s="738"/>
      <c r="CV108" s="738"/>
      <c r="CW108" s="738"/>
      <c r="CX108" s="738"/>
      <c r="CY108" s="738"/>
      <c r="CZ108" s="738"/>
      <c r="DA108" s="738"/>
      <c r="DB108" s="738"/>
      <c r="DC108" s="738"/>
      <c r="DD108" s="738"/>
      <c r="DE108" s="738"/>
      <c r="DF108" s="738"/>
      <c r="DG108" s="738"/>
      <c r="DH108" s="738"/>
      <c r="DI108" s="738"/>
      <c r="DJ108" s="738"/>
      <c r="DK108" s="738"/>
      <c r="DL108" s="738"/>
      <c r="DM108" s="738"/>
      <c r="DN108" s="738"/>
      <c r="DO108" s="738"/>
      <c r="DP108" s="738"/>
      <c r="DQ108" s="738"/>
      <c r="DR108" s="738"/>
      <c r="DS108" s="738"/>
      <c r="DT108" s="744" t="str">
        <f t="shared" ca="1" si="242"/>
        <v>1L-3EHIJK</v>
      </c>
      <c r="DU108" s="738"/>
      <c r="DV108" s="738"/>
      <c r="DW108" s="11"/>
    </row>
    <row r="109" spans="1:127" ht="16.05" customHeight="1">
      <c r="A109" s="738" t="s">
        <v>658</v>
      </c>
      <c r="B109" s="738" t="s">
        <v>726</v>
      </c>
      <c r="C109" s="739"/>
      <c r="D109" s="747" t="str">
        <f t="shared" si="302"/>
        <v>W82</v>
      </c>
      <c r="E109" s="739" t="s">
        <v>73</v>
      </c>
      <c r="F109" s="739" t="s">
        <v>721</v>
      </c>
      <c r="G109" s="748" t="s">
        <v>438</v>
      </c>
      <c r="H109" s="749">
        <f t="shared" ca="1" si="303"/>
        <v>4</v>
      </c>
      <c r="I109" s="744"/>
      <c r="J109" s="738">
        <v>81</v>
      </c>
      <c r="K109" s="738">
        <v>46204.75</v>
      </c>
      <c r="L109" s="738" t="s">
        <v>693</v>
      </c>
      <c r="M109" s="738" t="str">
        <f t="shared" ca="1" si="304"/>
        <v>1D</v>
      </c>
      <c r="N109" s="738"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38"/>
      <c r="P109" s="738"/>
      <c r="Q109" s="738"/>
      <c r="R109" s="738"/>
      <c r="S109" s="738"/>
      <c r="T109" s="738"/>
      <c r="U109" s="738"/>
      <c r="V109" s="172"/>
      <c r="W109" s="833"/>
      <c r="X109" s="189">
        <f ca="1">Horarios!C109</f>
        <v>46204.916666666664</v>
      </c>
      <c r="Y109" s="190">
        <f ca="1">Horarios!C109</f>
        <v>46204.916666666664</v>
      </c>
      <c r="Z109" s="276">
        <f t="shared" si="309"/>
        <v>82</v>
      </c>
      <c r="AA109" s="277" t="str">
        <f t="shared" ca="1" si="305"/>
        <v>1G</v>
      </c>
      <c r="AB109" s="278"/>
      <c r="AC109" s="281"/>
      <c r="AD109" s="281"/>
      <c r="AE109" s="278"/>
      <c r="AF109" s="280" t="str">
        <f t="shared" ca="1" si="306"/>
        <v>3AEHIJ</v>
      </c>
      <c r="AG109" s="417">
        <f t="shared" si="307"/>
        <v>0</v>
      </c>
      <c r="AH109" s="196">
        <v>82</v>
      </c>
      <c r="AI109" s="217">
        <v>8</v>
      </c>
      <c r="AJ109" s="221">
        <v>8</v>
      </c>
      <c r="AK109" s="486" t="e" cm="1" vm="6">
        <f t="array" aca="1" ref="AK109" ca="1">Ver_flag_visit</f>
        <v>#VALUE!</v>
      </c>
      <c r="AL109" s="289" t="str">
        <f t="shared" ca="1" si="310"/>
        <v>Bosnia y Herzegovina</v>
      </c>
      <c r="AM109" s="290">
        <f t="shared" ref="AM109:AT109" ca="1" si="324">+IF($H$113&gt;=48,INDEX($BE$58:$BN$69,MATCH($AL109,$BD$58:$BD$69,0),MATCH(AM$5,$BE$57:$BN$57,0)),$BB65)</f>
        <v>1</v>
      </c>
      <c r="AN109" s="291">
        <f t="shared" ca="1" si="324"/>
        <v>2</v>
      </c>
      <c r="AO109" s="291">
        <f t="shared" ca="1" si="324"/>
        <v>0</v>
      </c>
      <c r="AP109" s="291">
        <f t="shared" ca="1" si="324"/>
        <v>1</v>
      </c>
      <c r="AQ109" s="291">
        <f t="shared" ca="1" si="324"/>
        <v>1</v>
      </c>
      <c r="AR109" s="291">
        <f t="shared" ca="1" si="324"/>
        <v>2</v>
      </c>
      <c r="AS109" s="291">
        <f t="shared" ca="1" si="324"/>
        <v>5</v>
      </c>
      <c r="AT109" s="292">
        <f t="shared" ca="1" si="324"/>
        <v>-3</v>
      </c>
      <c r="AU109" s="420" t="str">
        <f t="shared" ca="1" si="312"/>
        <v/>
      </c>
      <c r="AV109" s="217" t="str">
        <f t="shared" ca="1" si="313"/>
        <v>Bosnia y Herzegovina</v>
      </c>
      <c r="AW109" s="427"/>
      <c r="AX109" s="288"/>
      <c r="AY109" s="293"/>
      <c r="AZ109" s="294" t="str">
        <f t="shared" ca="1" si="315"/>
        <v>1K - 3D</v>
      </c>
      <c r="BA109" s="175"/>
      <c r="BB109" s="738"/>
      <c r="BC109" s="738"/>
      <c r="BD109" s="738"/>
      <c r="BE109" s="744"/>
      <c r="BF109" s="738" t="str">
        <f t="shared" ca="1" si="316"/>
        <v>A</v>
      </c>
      <c r="BG109" s="738">
        <f t="shared" ca="1" si="317"/>
        <v>1</v>
      </c>
      <c r="BH109" s="738"/>
      <c r="BI109" s="738">
        <v>7</v>
      </c>
      <c r="BJ109" s="738" t="str">
        <f t="shared" ca="1" si="318"/>
        <v>H</v>
      </c>
      <c r="BK109" s="744"/>
      <c r="BL109" s="738"/>
      <c r="BM109" s="738"/>
      <c r="BN109" s="738"/>
      <c r="BO109" s="738"/>
      <c r="BP109" s="738"/>
      <c r="BQ109" s="738"/>
      <c r="BR109" s="738"/>
      <c r="BS109" s="738"/>
      <c r="BT109" s="738"/>
      <c r="BU109" s="738"/>
      <c r="BV109" s="738"/>
      <c r="BW109" s="738"/>
      <c r="BX109" s="738"/>
      <c r="BY109" s="738"/>
      <c r="BZ109" s="738"/>
      <c r="CA109" s="738"/>
      <c r="CB109" s="738"/>
      <c r="CC109" s="738"/>
      <c r="CD109" s="738"/>
      <c r="CE109" s="738"/>
      <c r="CF109" s="738"/>
      <c r="CG109" s="738"/>
      <c r="CH109" s="738"/>
      <c r="CI109" s="738"/>
      <c r="CJ109" s="738"/>
      <c r="CK109" s="738"/>
      <c r="CL109" s="738"/>
      <c r="CM109" s="738"/>
      <c r="CN109" s="738"/>
      <c r="CO109" s="738"/>
      <c r="CP109" s="738"/>
      <c r="CQ109" s="738"/>
      <c r="CR109" s="738"/>
      <c r="CS109" s="738"/>
      <c r="CT109" s="738"/>
      <c r="CU109" s="738"/>
      <c r="CV109" s="738"/>
      <c r="CW109" s="738"/>
      <c r="CX109" s="738"/>
      <c r="CY109" s="738"/>
      <c r="CZ109" s="738"/>
      <c r="DA109" s="738"/>
      <c r="DB109" s="738"/>
      <c r="DC109" s="738"/>
      <c r="DD109" s="738"/>
      <c r="DE109" s="738"/>
      <c r="DF109" s="738"/>
      <c r="DG109" s="738"/>
      <c r="DH109" s="738"/>
      <c r="DI109" s="738"/>
      <c r="DJ109" s="738"/>
      <c r="DK109" s="738"/>
      <c r="DL109" s="738"/>
      <c r="DM109" s="738"/>
      <c r="DN109" s="738"/>
      <c r="DO109" s="738"/>
      <c r="DP109" s="738"/>
      <c r="DQ109" s="738"/>
      <c r="DR109" s="738"/>
      <c r="DS109" s="738"/>
      <c r="DT109" s="744" t="str">
        <f t="shared" ca="1" si="242"/>
        <v>1G-3AEHIJ</v>
      </c>
      <c r="DU109" s="738"/>
      <c r="DV109" s="738"/>
      <c r="DW109" s="11"/>
    </row>
    <row r="110" spans="1:127" ht="16.05" customHeight="1">
      <c r="A110" s="738" t="s">
        <v>667</v>
      </c>
      <c r="B110" s="738" t="s">
        <v>727</v>
      </c>
      <c r="C110" s="739"/>
      <c r="D110" s="747" t="str">
        <f t="shared" si="302"/>
        <v>W81</v>
      </c>
      <c r="E110" s="739" t="s">
        <v>6</v>
      </c>
      <c r="F110" s="739" t="s">
        <v>721</v>
      </c>
      <c r="G110" s="748" t="s">
        <v>5</v>
      </c>
      <c r="H110" s="749">
        <f t="shared" ca="1" si="303"/>
        <v>4</v>
      </c>
      <c r="I110" s="744"/>
      <c r="J110" s="738">
        <v>82</v>
      </c>
      <c r="K110" s="738">
        <v>46204.75</v>
      </c>
      <c r="L110" s="738" t="s">
        <v>694</v>
      </c>
      <c r="M110" s="738" t="str">
        <f t="shared" ca="1" si="304"/>
        <v>1G</v>
      </c>
      <c r="N110" s="738"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38"/>
      <c r="P110" s="738"/>
      <c r="Q110" s="738"/>
      <c r="R110" s="738"/>
      <c r="S110" s="738"/>
      <c r="T110" s="738"/>
      <c r="U110" s="738"/>
      <c r="V110" s="172"/>
      <c r="W110" s="833"/>
      <c r="X110" s="189">
        <f ca="1">Horarios!C110</f>
        <v>46205.083333333336</v>
      </c>
      <c r="Y110" s="190">
        <f ca="1">Horarios!C110</f>
        <v>46205.083333333336</v>
      </c>
      <c r="Z110" s="276">
        <f t="shared" si="309"/>
        <v>81</v>
      </c>
      <c r="AA110" s="277" t="str">
        <f t="shared" ca="1" si="305"/>
        <v>1D</v>
      </c>
      <c r="AB110" s="278"/>
      <c r="AC110" s="281"/>
      <c r="AD110" s="281"/>
      <c r="AE110" s="278"/>
      <c r="AF110" s="280" t="str">
        <f t="shared" ca="1" si="306"/>
        <v>3BEFIJ</v>
      </c>
      <c r="AG110" s="417">
        <f t="shared" si="307"/>
        <v>0</v>
      </c>
      <c r="AH110" s="196">
        <v>81</v>
      </c>
      <c r="AI110" s="217">
        <v>9</v>
      </c>
      <c r="AJ110" s="221">
        <v>9</v>
      </c>
      <c r="AK110" s="486" t="e" cm="1" vm="20">
        <f t="array" aca="1" ref="AK110" ca="1">Ver_flag_visit</f>
        <v>#VALUE!</v>
      </c>
      <c r="AL110" s="289" t="str">
        <f t="shared" ca="1" si="310"/>
        <v>Ecuador</v>
      </c>
      <c r="AM110" s="290">
        <f t="shared" ref="AM110:AT110" ca="1" si="325">+IF($H$113&gt;=48,INDEX($BE$58:$BN$69,MATCH($AL110,$BD$58:$BD$69,0),MATCH(AM$5,$BE$57:$BN$57,0)),$BB66)</f>
        <v>0</v>
      </c>
      <c r="AN110" s="291">
        <f t="shared" ca="1" si="325"/>
        <v>1</v>
      </c>
      <c r="AO110" s="291">
        <f t="shared" ca="1" si="325"/>
        <v>0</v>
      </c>
      <c r="AP110" s="291">
        <f t="shared" ca="1" si="325"/>
        <v>0</v>
      </c>
      <c r="AQ110" s="291">
        <f t="shared" ca="1" si="325"/>
        <v>1</v>
      </c>
      <c r="AR110" s="291">
        <f t="shared" ca="1" si="325"/>
        <v>0</v>
      </c>
      <c r="AS110" s="291">
        <f t="shared" ca="1" si="325"/>
        <v>1</v>
      </c>
      <c r="AT110" s="292">
        <f t="shared" ca="1" si="325"/>
        <v>-1</v>
      </c>
      <c r="AU110" s="420" t="str">
        <f t="shared" ca="1" si="312"/>
        <v/>
      </c>
      <c r="AV110" s="217" t="str">
        <f t="shared" ca="1" si="313"/>
        <v>Ecuador</v>
      </c>
      <c r="AW110" s="427"/>
      <c r="AX110" s="288"/>
      <c r="AY110" s="293"/>
      <c r="AZ110" s="294" t="str">
        <f t="shared" ca="1" si="315"/>
        <v>1L - 3K</v>
      </c>
      <c r="BA110" s="175"/>
      <c r="BB110" s="738"/>
      <c r="BC110" s="738"/>
      <c r="BD110" s="738"/>
      <c r="BE110" s="744"/>
      <c r="BF110" s="738" t="str">
        <f t="shared" ca="1" si="316"/>
        <v>B</v>
      </c>
      <c r="BG110" s="738">
        <f t="shared" ca="1" si="317"/>
        <v>2</v>
      </c>
      <c r="BH110" s="738"/>
      <c r="BI110" s="744">
        <v>8</v>
      </c>
      <c r="BJ110" s="738" t="str">
        <f t="shared" ca="1" si="318"/>
        <v>K</v>
      </c>
      <c r="BK110" s="744"/>
      <c r="BL110" s="738"/>
      <c r="BM110" s="738"/>
      <c r="BN110" s="738"/>
      <c r="BO110" s="738"/>
      <c r="BP110" s="738"/>
      <c r="BQ110" s="738"/>
      <c r="BR110" s="738"/>
      <c r="BS110" s="738"/>
      <c r="BT110" s="738"/>
      <c r="BU110" s="738"/>
      <c r="BV110" s="738"/>
      <c r="BW110" s="738"/>
      <c r="BX110" s="738"/>
      <c r="BY110" s="738"/>
      <c r="BZ110" s="738"/>
      <c r="CA110" s="738"/>
      <c r="CB110" s="738"/>
      <c r="CC110" s="738"/>
      <c r="CD110" s="738"/>
      <c r="CE110" s="738"/>
      <c r="CF110" s="738"/>
      <c r="CG110" s="738"/>
      <c r="CH110" s="738"/>
      <c r="CI110" s="738"/>
      <c r="CJ110" s="738"/>
      <c r="CK110" s="738"/>
      <c r="CL110" s="738"/>
      <c r="CM110" s="738"/>
      <c r="CN110" s="738"/>
      <c r="CO110" s="738"/>
      <c r="CP110" s="738"/>
      <c r="CQ110" s="738"/>
      <c r="CR110" s="738"/>
      <c r="CS110" s="738"/>
      <c r="CT110" s="738"/>
      <c r="CU110" s="738"/>
      <c r="CV110" s="738"/>
      <c r="CW110" s="738"/>
      <c r="CX110" s="738"/>
      <c r="CY110" s="738"/>
      <c r="CZ110" s="738"/>
      <c r="DA110" s="738"/>
      <c r="DB110" s="738"/>
      <c r="DC110" s="738"/>
      <c r="DD110" s="738"/>
      <c r="DE110" s="738"/>
      <c r="DF110" s="738"/>
      <c r="DG110" s="738"/>
      <c r="DH110" s="738"/>
      <c r="DI110" s="738"/>
      <c r="DJ110" s="738"/>
      <c r="DK110" s="738"/>
      <c r="DL110" s="738"/>
      <c r="DM110" s="738"/>
      <c r="DN110" s="738"/>
      <c r="DO110" s="738"/>
      <c r="DP110" s="738"/>
      <c r="DQ110" s="738"/>
      <c r="DR110" s="738"/>
      <c r="DS110" s="738"/>
      <c r="DT110" s="744" t="str">
        <f t="shared" ca="1" si="242"/>
        <v>1D-3BEFIJ</v>
      </c>
      <c r="DU110" s="738"/>
      <c r="DV110" s="738"/>
      <c r="DW110" s="11"/>
    </row>
    <row r="111" spans="1:127" ht="16.05" customHeight="1">
      <c r="A111" s="738" t="s">
        <v>680</v>
      </c>
      <c r="B111" s="738" t="s">
        <v>683</v>
      </c>
      <c r="C111" s="739"/>
      <c r="D111" s="747" t="str">
        <f t="shared" si="302"/>
        <v>W84</v>
      </c>
      <c r="E111" s="739" t="s">
        <v>439</v>
      </c>
      <c r="F111" s="739" t="s">
        <v>238</v>
      </c>
      <c r="G111" s="748" t="s">
        <v>439</v>
      </c>
      <c r="H111" s="749">
        <f t="shared" ca="1" si="303"/>
        <v>4</v>
      </c>
      <c r="I111" s="744"/>
      <c r="J111" s="738">
        <v>83</v>
      </c>
      <c r="K111" s="738">
        <v>46205.75</v>
      </c>
      <c r="L111" s="738" t="s">
        <v>695</v>
      </c>
      <c r="M111" s="738" t="str">
        <f t="shared" ca="1" si="304"/>
        <v>2K</v>
      </c>
      <c r="N111" s="738"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38"/>
      <c r="P111" s="738"/>
      <c r="Q111" s="738"/>
      <c r="R111" s="738"/>
      <c r="S111" s="738"/>
      <c r="T111" s="738"/>
      <c r="U111" s="738"/>
      <c r="V111" s="172"/>
      <c r="W111" s="833"/>
      <c r="X111" s="189">
        <f ca="1">Horarios!C111</f>
        <v>46205.875</v>
      </c>
      <c r="Y111" s="190">
        <f ca="1">Horarios!C111</f>
        <v>46205.875</v>
      </c>
      <c r="Z111" s="276">
        <f t="shared" si="309"/>
        <v>84</v>
      </c>
      <c r="AA111" s="277" t="str">
        <f t="shared" ca="1" si="305"/>
        <v>1H</v>
      </c>
      <c r="AB111" s="278"/>
      <c r="AC111" s="281"/>
      <c r="AD111" s="281"/>
      <c r="AE111" s="278"/>
      <c r="AF111" s="280" t="str">
        <f t="shared" ca="1" si="306"/>
        <v>2J</v>
      </c>
      <c r="AG111" s="417">
        <f t="shared" si="307"/>
        <v>0</v>
      </c>
      <c r="AH111" s="196">
        <v>84</v>
      </c>
      <c r="AI111" s="217">
        <v>10</v>
      </c>
      <c r="AJ111" s="221">
        <v>10</v>
      </c>
      <c r="AK111" s="486" t="e" cm="1" vm="48">
        <f t="array" aca="1" ref="AK111" ca="1">Ver_flag_visit</f>
        <v>#VALUE!</v>
      </c>
      <c r="AL111" s="289" t="str">
        <f t="shared" ca="1" si="310"/>
        <v>Panamá</v>
      </c>
      <c r="AM111" s="290">
        <f t="shared" ref="AM111:AT111" ca="1" si="326">+IF($H$113&gt;=48,INDEX($BE$58:$BN$69,MATCH($AL111,$BD$58:$BD$69,0),MATCH(AM$5,$BE$57:$BN$57,0)),$BB67)</f>
        <v>0</v>
      </c>
      <c r="AN111" s="291">
        <f t="shared" ca="1" si="326"/>
        <v>1</v>
      </c>
      <c r="AO111" s="291">
        <f t="shared" ca="1" si="326"/>
        <v>0</v>
      </c>
      <c r="AP111" s="291">
        <f t="shared" ca="1" si="326"/>
        <v>0</v>
      </c>
      <c r="AQ111" s="291">
        <f t="shared" ca="1" si="326"/>
        <v>1</v>
      </c>
      <c r="AR111" s="291">
        <f t="shared" ca="1" si="326"/>
        <v>0</v>
      </c>
      <c r="AS111" s="291">
        <f t="shared" ca="1" si="326"/>
        <v>1</v>
      </c>
      <c r="AT111" s="292">
        <f t="shared" ca="1" si="326"/>
        <v>-1</v>
      </c>
      <c r="AU111" s="420" t="str">
        <f t="shared" ca="1" si="312"/>
        <v/>
      </c>
      <c r="AV111" s="217" t="str">
        <f t="shared" ca="1" si="313"/>
        <v>Panamá</v>
      </c>
      <c r="AW111" s="427"/>
      <c r="AX111" s="288"/>
      <c r="AY111" s="295"/>
      <c r="AZ111" s="295"/>
      <c r="BA111" s="175"/>
      <c r="BB111" s="738"/>
      <c r="BC111" s="738"/>
      <c r="BD111" s="746"/>
      <c r="BE111" s="738"/>
      <c r="BF111" s="738"/>
      <c r="BG111" s="738"/>
      <c r="BH111" s="738"/>
      <c r="BI111" s="738" t="s">
        <v>86</v>
      </c>
      <c r="BJ111" s="738"/>
      <c r="BK111" s="744"/>
      <c r="BL111" s="738"/>
      <c r="BM111" s="738"/>
      <c r="BN111" s="738"/>
      <c r="BO111" s="738"/>
      <c r="BP111" s="738"/>
      <c r="BQ111" s="738"/>
      <c r="BR111" s="738"/>
      <c r="BS111" s="738"/>
      <c r="BT111" s="738"/>
      <c r="BU111" s="738"/>
      <c r="BV111" s="738"/>
      <c r="BW111" s="738"/>
      <c r="BX111" s="738"/>
      <c r="BY111" s="738"/>
      <c r="BZ111" s="738"/>
      <c r="CA111" s="738"/>
      <c r="CB111" s="738"/>
      <c r="CC111" s="738"/>
      <c r="CD111" s="738"/>
      <c r="CE111" s="738"/>
      <c r="CF111" s="738"/>
      <c r="CG111" s="738"/>
      <c r="CH111" s="738"/>
      <c r="CI111" s="738"/>
      <c r="CJ111" s="738"/>
      <c r="CK111" s="738"/>
      <c r="CL111" s="738"/>
      <c r="CM111" s="738"/>
      <c r="CN111" s="738"/>
      <c r="CO111" s="738"/>
      <c r="CP111" s="738"/>
      <c r="CQ111" s="738"/>
      <c r="CR111" s="738"/>
      <c r="CS111" s="738"/>
      <c r="CT111" s="738"/>
      <c r="CU111" s="738"/>
      <c r="CV111" s="738"/>
      <c r="CW111" s="738"/>
      <c r="CX111" s="738"/>
      <c r="CY111" s="738"/>
      <c r="CZ111" s="738"/>
      <c r="DA111" s="738"/>
      <c r="DB111" s="738"/>
      <c r="DC111" s="738"/>
      <c r="DD111" s="738"/>
      <c r="DE111" s="738"/>
      <c r="DF111" s="738"/>
      <c r="DG111" s="738"/>
      <c r="DH111" s="738"/>
      <c r="DI111" s="738"/>
      <c r="DJ111" s="738"/>
      <c r="DK111" s="738"/>
      <c r="DL111" s="738"/>
      <c r="DM111" s="738"/>
      <c r="DN111" s="738"/>
      <c r="DO111" s="738"/>
      <c r="DP111" s="738"/>
      <c r="DQ111" s="738"/>
      <c r="DR111" s="738"/>
      <c r="DS111" s="738"/>
      <c r="DT111" s="744" t="str">
        <f t="shared" ca="1" si="242"/>
        <v>1H-2J</v>
      </c>
      <c r="DU111" s="738"/>
      <c r="DV111" s="738"/>
      <c r="DW111" s="11"/>
    </row>
    <row r="112" spans="1:127" ht="16.05" customHeight="1">
      <c r="A112" s="738" t="s">
        <v>670</v>
      </c>
      <c r="B112" s="738" t="s">
        <v>677</v>
      </c>
      <c r="C112" s="739"/>
      <c r="D112" s="747" t="str">
        <f t="shared" si="302"/>
        <v>W83</v>
      </c>
      <c r="E112" s="739" t="s">
        <v>437</v>
      </c>
      <c r="F112" s="739" t="s">
        <v>5</v>
      </c>
      <c r="G112" s="748" t="s">
        <v>238</v>
      </c>
      <c r="H112" s="749">
        <f t="shared" ca="1" si="303"/>
        <v>4</v>
      </c>
      <c r="I112" s="744"/>
      <c r="J112" s="738">
        <v>84</v>
      </c>
      <c r="K112" s="738">
        <v>46205.75</v>
      </c>
      <c r="L112" s="738" t="s">
        <v>696</v>
      </c>
      <c r="M112" s="738" t="str">
        <f t="shared" ca="1" si="304"/>
        <v>1H</v>
      </c>
      <c r="N112" s="738"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38"/>
      <c r="P112" s="738"/>
      <c r="Q112" s="738"/>
      <c r="R112" s="738"/>
      <c r="S112" s="738"/>
      <c r="T112" s="738"/>
      <c r="U112" s="738"/>
      <c r="V112" s="172"/>
      <c r="W112" s="833"/>
      <c r="X112" s="189">
        <f ca="1">Horarios!C112</f>
        <v>46206.041666666664</v>
      </c>
      <c r="Y112" s="190">
        <f ca="1">Horarios!C112</f>
        <v>46206.041666666664</v>
      </c>
      <c r="Z112" s="276">
        <f t="shared" si="309"/>
        <v>83</v>
      </c>
      <c r="AA112" s="277" t="str">
        <f t="shared" ca="1" si="305"/>
        <v>2K</v>
      </c>
      <c r="AB112" s="278"/>
      <c r="AC112" s="281"/>
      <c r="AD112" s="281"/>
      <c r="AE112" s="278"/>
      <c r="AF112" s="280" t="str">
        <f t="shared" ca="1" si="306"/>
        <v>2L</v>
      </c>
      <c r="AG112" s="417">
        <f t="shared" si="307"/>
        <v>0</v>
      </c>
      <c r="AH112" s="196">
        <v>83</v>
      </c>
      <c r="AI112" s="217">
        <v>11</v>
      </c>
      <c r="AJ112" s="221">
        <v>11</v>
      </c>
      <c r="AK112" s="486" t="e" cm="1" vm="40">
        <f t="array" aca="1" ref="AK112" ca="1">Ver_flag_visit</f>
        <v>#VALUE!</v>
      </c>
      <c r="AL112" s="289" t="str">
        <f t="shared" ca="1" si="310"/>
        <v>Jordania</v>
      </c>
      <c r="AM112" s="290">
        <f t="shared" ref="AM112:AT112" ca="1" si="327">+IF($H$113&gt;=48,INDEX($BE$58:$BN$69,MATCH($AL112,$BD$58:$BD$69,0),MATCH(AM$5,$BE$57:$BN$57,0)),$BB68)</f>
        <v>0</v>
      </c>
      <c r="AN112" s="291">
        <f t="shared" ca="1" si="327"/>
        <v>1</v>
      </c>
      <c r="AO112" s="291">
        <f t="shared" ca="1" si="327"/>
        <v>0</v>
      </c>
      <c r="AP112" s="291">
        <f t="shared" ca="1" si="327"/>
        <v>0</v>
      </c>
      <c r="AQ112" s="291">
        <f t="shared" ca="1" si="327"/>
        <v>1</v>
      </c>
      <c r="AR112" s="291">
        <f t="shared" ca="1" si="327"/>
        <v>1</v>
      </c>
      <c r="AS112" s="291">
        <f t="shared" ca="1" si="327"/>
        <v>3</v>
      </c>
      <c r="AT112" s="292">
        <f t="shared" ca="1" si="327"/>
        <v>-2</v>
      </c>
      <c r="AU112" s="420" t="str">
        <f t="shared" ca="1" si="312"/>
        <v/>
      </c>
      <c r="AV112" s="217" t="str">
        <f t="shared" ca="1" si="313"/>
        <v>Jordania</v>
      </c>
      <c r="AW112" s="427"/>
      <c r="AX112" s="288"/>
      <c r="AY112" s="295"/>
      <c r="AZ112" s="295"/>
      <c r="BA112" s="175"/>
      <c r="BB112" s="738"/>
      <c r="BC112" s="738"/>
      <c r="BD112" s="746"/>
      <c r="BE112" s="738"/>
      <c r="BF112" s="738"/>
      <c r="BG112" s="738"/>
      <c r="BH112" s="738"/>
      <c r="BI112" s="738" t="str">
        <f ca="1">IFERROR(CONCATENATE(BJ103,BJ104,BJ105,BJ106,BJ107,BJ108,BJ109,BJ110),"¿A/B/C/D/E/F/G/H/I/J/K/L?")</f>
        <v>ABCDFGHK</v>
      </c>
      <c r="BJ112" s="738"/>
      <c r="BK112" s="744"/>
      <c r="BL112" s="738"/>
      <c r="BM112" s="738"/>
      <c r="BN112" s="738"/>
      <c r="BO112" s="738"/>
      <c r="BP112" s="738"/>
      <c r="BQ112" s="738"/>
      <c r="BR112" s="738"/>
      <c r="BS112" s="738"/>
      <c r="BT112" s="738"/>
      <c r="BU112" s="738"/>
      <c r="BV112" s="738"/>
      <c r="BW112" s="738"/>
      <c r="BX112" s="738"/>
      <c r="BY112" s="738"/>
      <c r="BZ112" s="738"/>
      <c r="CA112" s="738"/>
      <c r="CB112" s="738"/>
      <c r="CC112" s="738"/>
      <c r="CD112" s="738"/>
      <c r="CE112" s="738"/>
      <c r="CF112" s="738"/>
      <c r="CG112" s="738"/>
      <c r="CH112" s="738"/>
      <c r="CI112" s="738"/>
      <c r="CJ112" s="738"/>
      <c r="CK112" s="738"/>
      <c r="CL112" s="738"/>
      <c r="CM112" s="738"/>
      <c r="CN112" s="738"/>
      <c r="CO112" s="738"/>
      <c r="CP112" s="738"/>
      <c r="CQ112" s="738"/>
      <c r="CR112" s="738"/>
      <c r="CS112" s="738"/>
      <c r="CT112" s="738"/>
      <c r="CU112" s="738"/>
      <c r="CV112" s="738"/>
      <c r="CW112" s="738"/>
      <c r="CX112" s="738"/>
      <c r="CY112" s="738"/>
      <c r="CZ112" s="738"/>
      <c r="DA112" s="738"/>
      <c r="DB112" s="738"/>
      <c r="DC112" s="738"/>
      <c r="DD112" s="738"/>
      <c r="DE112" s="738"/>
      <c r="DF112" s="738"/>
      <c r="DG112" s="738"/>
      <c r="DH112" s="738"/>
      <c r="DI112" s="738"/>
      <c r="DJ112" s="738"/>
      <c r="DK112" s="738"/>
      <c r="DL112" s="738"/>
      <c r="DM112" s="738"/>
      <c r="DN112" s="738"/>
      <c r="DO112" s="738"/>
      <c r="DP112" s="738"/>
      <c r="DQ112" s="738"/>
      <c r="DR112" s="738"/>
      <c r="DS112" s="738"/>
      <c r="DT112" s="744" t="str">
        <f t="shared" ca="1" si="242"/>
        <v>2K-2L</v>
      </c>
      <c r="DU112" s="738"/>
      <c r="DV112" s="738"/>
      <c r="DW112" s="11"/>
    </row>
    <row r="113" spans="1:127" ht="16.05" customHeight="1" thickBot="1">
      <c r="A113" s="738" t="s">
        <v>648</v>
      </c>
      <c r="B113" s="738" t="s">
        <v>728</v>
      </c>
      <c r="C113" s="739"/>
      <c r="D113" s="747" t="str">
        <f t="shared" si="302"/>
        <v>W85</v>
      </c>
      <c r="E113" s="739" t="s">
        <v>1</v>
      </c>
      <c r="F113" s="739" t="s">
        <v>721</v>
      </c>
      <c r="G113" s="748" t="s">
        <v>721</v>
      </c>
      <c r="H113" s="749">
        <f ca="1">+IF(AJ99&lt;&gt;144,SUM(H101:H112),AJ99)</f>
        <v>64</v>
      </c>
      <c r="I113" s="744"/>
      <c r="J113" s="738">
        <v>85</v>
      </c>
      <c r="K113" s="738">
        <v>46205.75</v>
      </c>
      <c r="L113" s="738" t="s">
        <v>697</v>
      </c>
      <c r="M113" s="738" t="str">
        <f t="shared" ca="1" si="304"/>
        <v>1B</v>
      </c>
      <c r="N113" s="738"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38"/>
      <c r="P113" s="738"/>
      <c r="Q113" s="738"/>
      <c r="R113" s="738"/>
      <c r="S113" s="738"/>
      <c r="T113" s="738"/>
      <c r="U113" s="738"/>
      <c r="V113" s="172"/>
      <c r="W113" s="833"/>
      <c r="X113" s="189">
        <f ca="1">Horarios!C113</f>
        <v>46206.208333333336</v>
      </c>
      <c r="Y113" s="190">
        <f ca="1">Horarios!C113</f>
        <v>46206.208333333336</v>
      </c>
      <c r="Z113" s="276">
        <f t="shared" si="309"/>
        <v>85</v>
      </c>
      <c r="AA113" s="277" t="str">
        <f t="shared" ca="1" si="305"/>
        <v>1B</v>
      </c>
      <c r="AB113" s="278"/>
      <c r="AC113" s="281"/>
      <c r="AD113" s="281"/>
      <c r="AE113" s="279"/>
      <c r="AF113" s="280" t="str">
        <f t="shared" ca="1" si="306"/>
        <v>3EFGIJ</v>
      </c>
      <c r="AG113" s="417">
        <f t="shared" si="307"/>
        <v>0</v>
      </c>
      <c r="AH113" s="196">
        <v>85</v>
      </c>
      <c r="AI113" s="217">
        <v>12</v>
      </c>
      <c r="AJ113" s="235">
        <v>12</v>
      </c>
      <c r="AK113" s="487" t="e" cm="1" vm="34">
        <f t="array" aca="1" ref="AK113" ca="1">Ver_flag_visit</f>
        <v>#VALUE!</v>
      </c>
      <c r="AL113" s="236" t="str">
        <f t="shared" ca="1" si="310"/>
        <v>Senegal</v>
      </c>
      <c r="AM113" s="237">
        <f t="shared" ref="AM113:AT113" ca="1" si="328">+IF($H$113&gt;=48,INDEX($BE$58:$BN$69,MATCH($AL113,$BD$58:$BD$69,0),MATCH(AM$5,$BE$57:$BN$57,0)),$BB69)</f>
        <v>0</v>
      </c>
      <c r="AN113" s="238">
        <f t="shared" ca="1" si="328"/>
        <v>1</v>
      </c>
      <c r="AO113" s="238">
        <f t="shared" ca="1" si="328"/>
        <v>0</v>
      </c>
      <c r="AP113" s="238">
        <f t="shared" ca="1" si="328"/>
        <v>0</v>
      </c>
      <c r="AQ113" s="238">
        <f t="shared" ca="1" si="328"/>
        <v>1</v>
      </c>
      <c r="AR113" s="238">
        <f t="shared" ca="1" si="328"/>
        <v>1</v>
      </c>
      <c r="AS113" s="238">
        <f t="shared" ca="1" si="328"/>
        <v>3</v>
      </c>
      <c r="AT113" s="239">
        <f t="shared" ca="1" si="328"/>
        <v>-2</v>
      </c>
      <c r="AU113" s="420" t="str">
        <f t="shared" ca="1" si="312"/>
        <v/>
      </c>
      <c r="AV113" s="217" t="str">
        <f t="shared" ca="1" si="313"/>
        <v>Senegal</v>
      </c>
      <c r="AW113" s="427"/>
      <c r="AX113" s="288"/>
      <c r="AY113" s="242"/>
      <c r="AZ113" s="243"/>
      <c r="BA113" s="175"/>
      <c r="BB113" s="738"/>
      <c r="BC113" s="738"/>
      <c r="BD113" s="738"/>
      <c r="BE113" s="738"/>
      <c r="BF113" s="738"/>
      <c r="BG113" s="738"/>
      <c r="BH113" s="738"/>
      <c r="BI113" s="738"/>
      <c r="BJ113" s="738"/>
      <c r="BK113" s="738"/>
      <c r="BL113" s="738"/>
      <c r="BM113" s="738"/>
      <c r="BN113" s="738"/>
      <c r="BO113" s="738"/>
      <c r="BP113" s="738"/>
      <c r="BQ113" s="738"/>
      <c r="BR113" s="738"/>
      <c r="BS113" s="738"/>
      <c r="BT113" s="738"/>
      <c r="BU113" s="738"/>
      <c r="BV113" s="738"/>
      <c r="BW113" s="738"/>
      <c r="BX113" s="738"/>
      <c r="BY113" s="738"/>
      <c r="BZ113" s="738"/>
      <c r="CA113" s="738"/>
      <c r="CB113" s="738"/>
      <c r="CC113" s="738"/>
      <c r="CD113" s="738"/>
      <c r="CE113" s="738"/>
      <c r="CF113" s="738"/>
      <c r="CG113" s="738"/>
      <c r="CH113" s="738"/>
      <c r="CI113" s="738"/>
      <c r="CJ113" s="738"/>
      <c r="CK113" s="738"/>
      <c r="CL113" s="738"/>
      <c r="CM113" s="738"/>
      <c r="CN113" s="738"/>
      <c r="CO113" s="738"/>
      <c r="CP113" s="738"/>
      <c r="CQ113" s="738"/>
      <c r="CR113" s="738"/>
      <c r="CS113" s="738"/>
      <c r="CT113" s="738"/>
      <c r="CU113" s="738"/>
      <c r="CV113" s="738"/>
      <c r="CW113" s="738"/>
      <c r="CX113" s="738"/>
      <c r="CY113" s="738"/>
      <c r="CZ113" s="738"/>
      <c r="DA113" s="738"/>
      <c r="DB113" s="738"/>
      <c r="DC113" s="738"/>
      <c r="DD113" s="738"/>
      <c r="DE113" s="738"/>
      <c r="DF113" s="738"/>
      <c r="DG113" s="738"/>
      <c r="DH113" s="738"/>
      <c r="DI113" s="738"/>
      <c r="DJ113" s="738"/>
      <c r="DK113" s="738"/>
      <c r="DL113" s="738"/>
      <c r="DM113" s="738"/>
      <c r="DN113" s="738"/>
      <c r="DO113" s="738"/>
      <c r="DP113" s="738"/>
      <c r="DQ113" s="738"/>
      <c r="DR113" s="738"/>
      <c r="DS113" s="738"/>
      <c r="DT113" s="744" t="str">
        <f t="shared" ca="1" si="242"/>
        <v>1B-3EFGIJ</v>
      </c>
      <c r="DU113" s="738"/>
      <c r="DV113" s="738"/>
      <c r="DW113" s="11"/>
    </row>
    <row r="114" spans="1:127" ht="16.05" customHeight="1">
      <c r="A114" s="738" t="s">
        <v>676</v>
      </c>
      <c r="B114" s="738" t="s">
        <v>671</v>
      </c>
      <c r="C114" s="739"/>
      <c r="D114" s="747" t="str">
        <f t="shared" si="302"/>
        <v>W88</v>
      </c>
      <c r="E114" s="739" t="s">
        <v>5</v>
      </c>
      <c r="F114" s="739" t="s">
        <v>437</v>
      </c>
      <c r="G114" s="744"/>
      <c r="H114" s="744"/>
      <c r="I114" s="744"/>
      <c r="J114" s="738">
        <v>86</v>
      </c>
      <c r="K114" s="738">
        <v>46206.75</v>
      </c>
      <c r="L114" s="738" t="s">
        <v>698</v>
      </c>
      <c r="M114" s="738" t="str">
        <f t="shared" ca="1" si="304"/>
        <v>1J</v>
      </c>
      <c r="N114" s="738"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38"/>
      <c r="P114" s="738"/>
      <c r="Q114" s="738"/>
      <c r="R114" s="738"/>
      <c r="S114" s="738"/>
      <c r="T114" s="738"/>
      <c r="U114" s="738"/>
      <c r="V114" s="172"/>
      <c r="W114" s="833"/>
      <c r="X114" s="189">
        <f ca="1">Horarios!C114</f>
        <v>46206.833333333336</v>
      </c>
      <c r="Y114" s="190">
        <f ca="1">Horarios!C114</f>
        <v>46206.833333333336</v>
      </c>
      <c r="Z114" s="276">
        <f t="shared" si="309"/>
        <v>88</v>
      </c>
      <c r="AA114" s="277" t="str">
        <f t="shared" ca="1" si="305"/>
        <v>2D</v>
      </c>
      <c r="AB114" s="278"/>
      <c r="AC114" s="281"/>
      <c r="AD114" s="281"/>
      <c r="AE114" s="278"/>
      <c r="AF114" s="280" t="str">
        <f t="shared" ca="1" si="306"/>
        <v>2G</v>
      </c>
      <c r="AG114" s="417">
        <f t="shared" si="307"/>
        <v>0</v>
      </c>
      <c r="AH114" s="196">
        <v>88</v>
      </c>
      <c r="AI114" s="217"/>
      <c r="AJ114" s="249"/>
      <c r="AK114" s="250"/>
      <c r="AL114" s="186"/>
      <c r="AM114" s="251"/>
      <c r="AN114" s="249"/>
      <c r="AO114" s="249"/>
      <c r="AP114" s="249"/>
      <c r="AQ114" s="249"/>
      <c r="AR114" s="249"/>
      <c r="AS114" s="249"/>
      <c r="AT114" s="249"/>
      <c r="AU114" s="216"/>
      <c r="AV114" s="216"/>
      <c r="AW114" s="296"/>
      <c r="AX114" s="296"/>
      <c r="AY114" s="242"/>
      <c r="AZ114" s="243"/>
      <c r="BA114" s="175"/>
      <c r="BB114" s="744"/>
      <c r="BC114" s="744"/>
      <c r="BD114" s="744"/>
      <c r="BE114" s="744"/>
      <c r="BF114" s="744"/>
      <c r="BG114" s="744"/>
      <c r="BH114" s="744"/>
      <c r="BI114" s="744"/>
      <c r="BJ114" s="744"/>
      <c r="BK114" s="744"/>
      <c r="BL114" s="744"/>
      <c r="BM114" s="744"/>
      <c r="BN114" s="744"/>
      <c r="BO114" s="744"/>
      <c r="BP114" s="744"/>
      <c r="BQ114" s="744"/>
      <c r="BR114" s="744"/>
      <c r="BS114" s="744"/>
      <c r="BT114" s="744"/>
      <c r="BU114" s="744"/>
      <c r="BV114" s="744"/>
      <c r="BW114" s="744"/>
      <c r="BX114" s="744"/>
      <c r="BY114" s="744"/>
      <c r="BZ114" s="744"/>
      <c r="CA114" s="744"/>
      <c r="CB114" s="744"/>
      <c r="CC114" s="744"/>
      <c r="CD114" s="744"/>
      <c r="CE114" s="744"/>
      <c r="CF114" s="744"/>
      <c r="CG114" s="744"/>
      <c r="CH114" s="744"/>
      <c r="CI114" s="744"/>
      <c r="CJ114" s="744"/>
      <c r="CK114" s="744"/>
      <c r="CL114" s="744"/>
      <c r="CM114" s="744"/>
      <c r="CN114" s="744"/>
      <c r="CO114" s="744"/>
      <c r="CP114" s="744"/>
      <c r="CQ114" s="744"/>
      <c r="CR114" s="744"/>
      <c r="CS114" s="744"/>
      <c r="CT114" s="744"/>
      <c r="CU114" s="744"/>
      <c r="CV114" s="744"/>
      <c r="CW114" s="744"/>
      <c r="CX114" s="744"/>
      <c r="CY114" s="744"/>
      <c r="CZ114" s="744"/>
      <c r="DA114" s="744"/>
      <c r="DB114" s="744"/>
      <c r="DC114" s="744"/>
      <c r="DD114" s="744"/>
      <c r="DE114" s="744"/>
      <c r="DF114" s="744"/>
      <c r="DG114" s="744"/>
      <c r="DH114" s="744"/>
      <c r="DI114" s="744"/>
      <c r="DJ114" s="744"/>
      <c r="DK114" s="744"/>
      <c r="DL114" s="744"/>
      <c r="DM114" s="744"/>
      <c r="DN114" s="744"/>
      <c r="DO114" s="744"/>
      <c r="DP114" s="744"/>
      <c r="DQ114" s="744"/>
      <c r="DR114" s="744"/>
      <c r="DS114" s="744"/>
      <c r="DT114" s="744" t="str">
        <f t="shared" ca="1" si="242"/>
        <v>2D-2G</v>
      </c>
      <c r="DU114" s="744"/>
      <c r="DV114" s="744"/>
      <c r="DW114" s="8"/>
    </row>
    <row r="115" spans="1:127" ht="16.05" customHeight="1">
      <c r="A115" s="738" t="s">
        <v>679</v>
      </c>
      <c r="B115" s="738" t="s">
        <v>729</v>
      </c>
      <c r="C115" s="739"/>
      <c r="D115" s="747" t="str">
        <f t="shared" si="302"/>
        <v>W86</v>
      </c>
      <c r="E115" s="739" t="s">
        <v>439</v>
      </c>
      <c r="F115" s="739" t="s">
        <v>721</v>
      </c>
      <c r="G115" s="744"/>
      <c r="H115" s="744"/>
      <c r="I115" s="744"/>
      <c r="J115" s="738">
        <v>87</v>
      </c>
      <c r="K115" s="738">
        <v>46206.75</v>
      </c>
      <c r="L115" s="738" t="s">
        <v>699</v>
      </c>
      <c r="M115" s="738" t="str">
        <f t="shared" ca="1" si="304"/>
        <v>1K</v>
      </c>
      <c r="N115" s="738"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38"/>
      <c r="P115" s="738"/>
      <c r="Q115" s="738"/>
      <c r="R115" s="738"/>
      <c r="S115" s="738"/>
      <c r="T115" s="738"/>
      <c r="U115" s="738"/>
      <c r="V115" s="172"/>
      <c r="W115" s="833"/>
      <c r="X115" s="189">
        <f ca="1">Horarios!C115</f>
        <v>46207</v>
      </c>
      <c r="Y115" s="190">
        <f ca="1">Horarios!C115</f>
        <v>46207</v>
      </c>
      <c r="Z115" s="276">
        <f t="shared" si="309"/>
        <v>86</v>
      </c>
      <c r="AA115" s="277" t="str">
        <f t="shared" ca="1" si="305"/>
        <v>1J</v>
      </c>
      <c r="AB115" s="278"/>
      <c r="AC115" s="281"/>
      <c r="AD115" s="281"/>
      <c r="AE115" s="278"/>
      <c r="AF115" s="280" t="str">
        <f t="shared" ca="1" si="306"/>
        <v>2H</v>
      </c>
      <c r="AG115" s="417">
        <f t="shared" si="307"/>
        <v>0</v>
      </c>
      <c r="AH115" s="196">
        <v>86</v>
      </c>
      <c r="AI115" s="217"/>
      <c r="AJ115" s="186"/>
      <c r="AK115" s="252"/>
      <c r="AL115" s="19" t="str">
        <f>+IF($AJ$99&gt;=48,Idiomas!D78,"")</f>
        <v/>
      </c>
      <c r="AM115" s="186"/>
      <c r="AN115" s="186"/>
      <c r="AO115" s="186"/>
      <c r="AP115" s="186"/>
      <c r="AQ115" s="186"/>
      <c r="AR115" s="186"/>
      <c r="AS115" s="186"/>
      <c r="AT115" s="186"/>
      <c r="AU115" s="22"/>
      <c r="AV115" s="22"/>
      <c r="AW115" s="298"/>
      <c r="AX115" s="298"/>
      <c r="AY115" s="242"/>
      <c r="AZ115" s="243"/>
      <c r="BA115" s="175"/>
      <c r="BB115" s="744"/>
      <c r="BC115" s="744"/>
      <c r="BD115" s="744"/>
      <c r="BE115" s="744"/>
      <c r="BF115" s="744"/>
      <c r="BG115" s="744"/>
      <c r="BH115" s="744"/>
      <c r="BI115" s="744"/>
      <c r="BJ115" s="744"/>
      <c r="BK115" s="744"/>
      <c r="BL115" s="744"/>
      <c r="BM115" s="744"/>
      <c r="BN115" s="744"/>
      <c r="BO115" s="744"/>
      <c r="BP115" s="744"/>
      <c r="BQ115" s="744"/>
      <c r="BR115" s="744"/>
      <c r="BS115" s="744"/>
      <c r="BT115" s="744"/>
      <c r="BU115" s="744"/>
      <c r="BV115" s="744"/>
      <c r="BW115" s="744"/>
      <c r="BX115" s="744"/>
      <c r="BY115" s="744"/>
      <c r="BZ115" s="744"/>
      <c r="CA115" s="744"/>
      <c r="CB115" s="744"/>
      <c r="CC115" s="744"/>
      <c r="CD115" s="744"/>
      <c r="CE115" s="744"/>
      <c r="CF115" s="744"/>
      <c r="CG115" s="744"/>
      <c r="CH115" s="744"/>
      <c r="CI115" s="744"/>
      <c r="CJ115" s="744"/>
      <c r="CK115" s="744"/>
      <c r="CL115" s="744"/>
      <c r="CM115" s="744"/>
      <c r="CN115" s="744"/>
      <c r="CO115" s="744"/>
      <c r="CP115" s="744"/>
      <c r="CQ115" s="744"/>
      <c r="CR115" s="744"/>
      <c r="CS115" s="744"/>
      <c r="CT115" s="744"/>
      <c r="CU115" s="744"/>
      <c r="CV115" s="744"/>
      <c r="CW115" s="744"/>
      <c r="CX115" s="744"/>
      <c r="CY115" s="744"/>
      <c r="CZ115" s="744"/>
      <c r="DA115" s="744"/>
      <c r="DB115" s="744"/>
      <c r="DC115" s="744"/>
      <c r="DD115" s="744"/>
      <c r="DE115" s="744"/>
      <c r="DF115" s="744"/>
      <c r="DG115" s="744"/>
      <c r="DH115" s="744"/>
      <c r="DI115" s="744"/>
      <c r="DJ115" s="744"/>
      <c r="DK115" s="744"/>
      <c r="DL115" s="744"/>
      <c r="DM115" s="744"/>
      <c r="DN115" s="744"/>
      <c r="DO115" s="744"/>
      <c r="DP115" s="744"/>
      <c r="DQ115" s="744"/>
      <c r="DR115" s="744"/>
      <c r="DS115" s="744"/>
      <c r="DT115" s="744" t="str">
        <f t="shared" ca="1" si="242"/>
        <v>1J-2H</v>
      </c>
      <c r="DU115" s="744"/>
      <c r="DV115" s="744"/>
      <c r="DW115" s="8"/>
    </row>
    <row r="116" spans="1:127" ht="16.05" customHeight="1" thickBot="1">
      <c r="A116" s="738" t="s">
        <v>659</v>
      </c>
      <c r="B116" s="738" t="s">
        <v>668</v>
      </c>
      <c r="C116" s="739"/>
      <c r="D116" s="747" t="str">
        <f t="shared" si="302"/>
        <v>W87</v>
      </c>
      <c r="E116" s="739" t="s">
        <v>73</v>
      </c>
      <c r="F116" s="739" t="s">
        <v>6</v>
      </c>
      <c r="G116" s="744"/>
      <c r="H116" s="744"/>
      <c r="I116" s="744"/>
      <c r="J116" s="738">
        <v>88</v>
      </c>
      <c r="K116" s="738">
        <v>46206.75</v>
      </c>
      <c r="L116" s="738" t="s">
        <v>700</v>
      </c>
      <c r="M116" s="738" t="str">
        <f t="shared" ca="1" si="304"/>
        <v>2D</v>
      </c>
      <c r="N116" s="738"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38"/>
      <c r="P116" s="738"/>
      <c r="Q116" s="738"/>
      <c r="R116" s="738"/>
      <c r="S116" s="738"/>
      <c r="T116" s="738"/>
      <c r="U116" s="738"/>
      <c r="V116" s="172"/>
      <c r="W116" s="834"/>
      <c r="X116" s="228">
        <f ca="1">Horarios!C116</f>
        <v>46207.145833333336</v>
      </c>
      <c r="Y116" s="229">
        <f ca="1">Horarios!C116</f>
        <v>46207.145833333336</v>
      </c>
      <c r="Z116" s="299">
        <f t="shared" si="309"/>
        <v>87</v>
      </c>
      <c r="AA116" s="300" t="str">
        <f t="shared" ca="1" si="305"/>
        <v>1K</v>
      </c>
      <c r="AB116" s="301"/>
      <c r="AC116" s="302"/>
      <c r="AD116" s="302"/>
      <c r="AE116" s="301"/>
      <c r="AF116" s="303" t="str">
        <f t="shared" ca="1" si="306"/>
        <v>3DEIJL</v>
      </c>
      <c r="AG116" s="417">
        <f t="shared" si="307"/>
        <v>0</v>
      </c>
      <c r="AH116" s="196">
        <v>87</v>
      </c>
      <c r="AI116" s="217"/>
      <c r="AJ116" s="178"/>
      <c r="AK116" s="178"/>
      <c r="AL116" s="495" t="s">
        <v>1808</v>
      </c>
      <c r="AM116" s="297"/>
      <c r="AN116" s="297"/>
      <c r="AO116" s="297"/>
      <c r="AP116" s="297"/>
      <c r="AQ116" s="297"/>
      <c r="AR116" s="297"/>
      <c r="AS116" s="297"/>
      <c r="AT116" s="297"/>
      <c r="AU116" s="19"/>
      <c r="AV116" s="19"/>
      <c r="AW116" s="297"/>
      <c r="AX116" s="297"/>
      <c r="AY116" s="242"/>
      <c r="AZ116" s="243"/>
      <c r="BA116" s="175"/>
      <c r="BB116" s="744"/>
      <c r="BC116" s="744"/>
      <c r="BD116" s="744"/>
      <c r="BE116" s="744"/>
      <c r="BF116" s="744"/>
      <c r="BG116" s="744"/>
      <c r="BH116" s="744"/>
      <c r="BI116" s="744"/>
      <c r="BJ116" s="744"/>
      <c r="BK116" s="744"/>
      <c r="BL116" s="744"/>
      <c r="BM116" s="744"/>
      <c r="BN116" s="744"/>
      <c r="BO116" s="744"/>
      <c r="BP116" s="744"/>
      <c r="BQ116" s="744"/>
      <c r="BR116" s="744"/>
      <c r="BS116" s="744"/>
      <c r="BT116" s="744"/>
      <c r="BU116" s="744"/>
      <c r="BV116" s="744"/>
      <c r="BW116" s="744"/>
      <c r="BX116" s="744"/>
      <c r="BY116" s="744"/>
      <c r="BZ116" s="744"/>
      <c r="CA116" s="744"/>
      <c r="CB116" s="744"/>
      <c r="CC116" s="744"/>
      <c r="CD116" s="744"/>
      <c r="CE116" s="744"/>
      <c r="CF116" s="744"/>
      <c r="CG116" s="744"/>
      <c r="CH116" s="744"/>
      <c r="CI116" s="744"/>
      <c r="CJ116" s="744"/>
      <c r="CK116" s="744"/>
      <c r="CL116" s="744"/>
      <c r="CM116" s="744"/>
      <c r="CN116" s="744"/>
      <c r="CO116" s="744"/>
      <c r="CP116" s="744"/>
      <c r="CQ116" s="744"/>
      <c r="CR116" s="744"/>
      <c r="CS116" s="744"/>
      <c r="CT116" s="744"/>
      <c r="CU116" s="744"/>
      <c r="CV116" s="744"/>
      <c r="CW116" s="744"/>
      <c r="CX116" s="744"/>
      <c r="CY116" s="744"/>
      <c r="CZ116" s="744"/>
      <c r="DA116" s="744"/>
      <c r="DB116" s="744"/>
      <c r="DC116" s="744"/>
      <c r="DD116" s="744"/>
      <c r="DE116" s="744"/>
      <c r="DF116" s="744"/>
      <c r="DG116" s="744"/>
      <c r="DH116" s="744"/>
      <c r="DI116" s="744"/>
      <c r="DJ116" s="744"/>
      <c r="DK116" s="744"/>
      <c r="DL116" s="744"/>
      <c r="DM116" s="744"/>
      <c r="DN116" s="744"/>
      <c r="DO116" s="744"/>
      <c r="DP116" s="744"/>
      <c r="DQ116" s="744"/>
      <c r="DR116" s="744"/>
      <c r="DS116" s="744"/>
      <c r="DT116" s="744" t="str">
        <f t="shared" ca="1" si="242"/>
        <v>1K-3DEIJL</v>
      </c>
      <c r="DU116" s="744"/>
      <c r="DV116" s="744"/>
      <c r="DW116" s="8"/>
    </row>
    <row r="117" spans="1:127" ht="16.05" customHeight="1" thickBot="1">
      <c r="A117" s="739"/>
      <c r="B117" s="739"/>
      <c r="C117" s="739"/>
      <c r="D117" s="750"/>
      <c r="E117" s="744"/>
      <c r="F117" s="744"/>
      <c r="G117" s="744"/>
      <c r="H117" s="744"/>
      <c r="I117" s="744"/>
      <c r="J117" s="744"/>
      <c r="K117" s="744"/>
      <c r="L117" s="744"/>
      <c r="M117" s="744"/>
      <c r="N117" s="744"/>
      <c r="O117" s="744"/>
      <c r="P117" s="744"/>
      <c r="Q117" s="744"/>
      <c r="R117" s="744"/>
      <c r="S117" s="744"/>
      <c r="T117" s="744"/>
      <c r="U117" s="744"/>
      <c r="V117" s="172"/>
      <c r="W117" s="242"/>
      <c r="X117" s="243"/>
      <c r="Y117" s="242"/>
      <c r="Z117" s="244"/>
      <c r="AA117" s="245"/>
      <c r="AB117" s="246"/>
      <c r="AC117" s="247"/>
      <c r="AD117" s="247"/>
      <c r="AE117" s="246"/>
      <c r="AF117" s="248"/>
      <c r="AG117" s="416"/>
      <c r="AH117" s="196"/>
      <c r="AI117" s="217"/>
      <c r="AJ117" s="178"/>
      <c r="AK117" s="178"/>
      <c r="AL117" s="178"/>
      <c r="AM117" s="297"/>
      <c r="AN117" s="297"/>
      <c r="AO117" s="297"/>
      <c r="AP117" s="297"/>
      <c r="AQ117" s="297"/>
      <c r="AR117" s="297"/>
      <c r="AS117" s="297"/>
      <c r="AT117" s="297"/>
      <c r="AU117" s="19"/>
      <c r="AV117" s="19"/>
      <c r="AW117" s="297"/>
      <c r="AX117" s="297"/>
      <c r="AY117" s="242"/>
      <c r="AZ117" s="243"/>
      <c r="BA117" s="175"/>
      <c r="BB117" s="744"/>
      <c r="BC117" s="744"/>
      <c r="BD117" s="744"/>
      <c r="BE117" s="744"/>
      <c r="BF117" s="761" t="s">
        <v>645</v>
      </c>
      <c r="BG117" s="744" t="str">
        <f ca="1">+INDEX(Combinaciones3!$P$2:$W$496,MATCH(1,Combinaciones3!$B$2:$B$497,0),MATCH(WORLDCUP!BF117,Combinaciones3!$P$1:$W$1,0))</f>
        <v>3H</v>
      </c>
      <c r="BH117" s="744"/>
      <c r="BI117" s="744"/>
      <c r="BJ117" s="744"/>
      <c r="BK117" s="744"/>
      <c r="BL117" s="744"/>
      <c r="BM117" s="744"/>
      <c r="BN117" s="744"/>
      <c r="BO117" s="744"/>
      <c r="BP117" s="744"/>
      <c r="BQ117" s="744"/>
      <c r="BR117" s="744"/>
      <c r="BS117" s="744"/>
      <c r="BT117" s="744"/>
      <c r="BU117" s="744"/>
      <c r="BV117" s="744"/>
      <c r="BW117" s="744"/>
      <c r="BX117" s="744"/>
      <c r="BY117" s="744"/>
      <c r="BZ117" s="744"/>
      <c r="CA117" s="744"/>
      <c r="CB117" s="744"/>
      <c r="CC117" s="744"/>
      <c r="CD117" s="744"/>
      <c r="CE117" s="744"/>
      <c r="CF117" s="744"/>
      <c r="CG117" s="744"/>
      <c r="CH117" s="744"/>
      <c r="CI117" s="744"/>
      <c r="CJ117" s="744"/>
      <c r="CK117" s="744"/>
      <c r="CL117" s="744"/>
      <c r="CM117" s="744"/>
      <c r="CN117" s="744"/>
      <c r="CO117" s="744"/>
      <c r="CP117" s="744"/>
      <c r="CQ117" s="744"/>
      <c r="CR117" s="744"/>
      <c r="CS117" s="744"/>
      <c r="CT117" s="744"/>
      <c r="CU117" s="744"/>
      <c r="CV117" s="744"/>
      <c r="CW117" s="744"/>
      <c r="CX117" s="744"/>
      <c r="CY117" s="744"/>
      <c r="CZ117" s="744"/>
      <c r="DA117" s="744"/>
      <c r="DB117" s="744"/>
      <c r="DC117" s="744"/>
      <c r="DD117" s="744"/>
      <c r="DE117" s="744"/>
      <c r="DF117" s="744"/>
      <c r="DG117" s="744"/>
      <c r="DH117" s="744"/>
      <c r="DI117" s="744"/>
      <c r="DJ117" s="744"/>
      <c r="DK117" s="744"/>
      <c r="DL117" s="744"/>
      <c r="DM117" s="744"/>
      <c r="DN117" s="744"/>
      <c r="DO117" s="744"/>
      <c r="DP117" s="744"/>
      <c r="DQ117" s="744"/>
      <c r="DR117" s="744"/>
      <c r="DS117" s="744"/>
      <c r="DT117" s="744" t="str">
        <f t="shared" si="242"/>
        <v>-</v>
      </c>
      <c r="DU117" s="744"/>
      <c r="DV117" s="744"/>
      <c r="DW117" s="8"/>
    </row>
    <row r="118" spans="1:127" ht="16.05" customHeight="1" thickBot="1">
      <c r="A118" s="739"/>
      <c r="B118" s="739"/>
      <c r="C118" s="739"/>
      <c r="D118" s="750"/>
      <c r="E118" s="744"/>
      <c r="F118" s="744"/>
      <c r="G118" s="744"/>
      <c r="H118" s="744"/>
      <c r="I118" s="744"/>
      <c r="J118" s="744"/>
      <c r="K118" s="744"/>
      <c r="L118" s="744"/>
      <c r="M118" s="744"/>
      <c r="N118" s="744"/>
      <c r="O118" s="744"/>
      <c r="P118" s="744"/>
      <c r="Q118" s="744"/>
      <c r="R118" s="744"/>
      <c r="S118" s="744"/>
      <c r="T118" s="744"/>
      <c r="U118" s="744"/>
      <c r="V118" s="172"/>
      <c r="W118" s="269" t="str">
        <f>Idiomas!D26</f>
        <v>Octavos de final</v>
      </c>
      <c r="X118" s="270"/>
      <c r="Y118" s="271"/>
      <c r="Z118" s="271"/>
      <c r="AA118" s="271"/>
      <c r="AB118" s="271"/>
      <c r="AC118" s="271"/>
      <c r="AD118" s="271"/>
      <c r="AE118" s="271"/>
      <c r="AF118" s="272"/>
      <c r="AG118" s="416"/>
      <c r="AH118" s="196"/>
      <c r="AI118" s="217"/>
      <c r="AJ118" s="297"/>
      <c r="AK118" s="178"/>
      <c r="AL118" s="304"/>
      <c r="AM118" s="297"/>
      <c r="AN118" s="297"/>
      <c r="AO118" s="297"/>
      <c r="AP118" s="297"/>
      <c r="AQ118" s="297"/>
      <c r="AR118" s="297"/>
      <c r="AS118" s="297"/>
      <c r="AT118" s="297"/>
      <c r="AU118" s="19"/>
      <c r="AV118" s="19"/>
      <c r="AW118" s="297"/>
      <c r="AX118" s="297"/>
      <c r="AY118" s="242"/>
      <c r="AZ118" s="243"/>
      <c r="BA118" s="17"/>
      <c r="BB118" s="744"/>
      <c r="BC118" s="744"/>
      <c r="BD118" s="744"/>
      <c r="BE118" s="744"/>
      <c r="BF118" s="761" t="s">
        <v>648</v>
      </c>
      <c r="BG118" s="744" t="str">
        <f ca="1">+INDEX(Combinaciones3!$P$2:$W$496,MATCH(1,Combinaciones3!$B$2:$B$497,0),MATCH(WORLDCUP!BF118,Combinaciones3!$P$1:$W$1,0))</f>
        <v>3G</v>
      </c>
      <c r="BH118" s="744"/>
      <c r="BI118" s="744"/>
      <c r="BJ118" s="744"/>
      <c r="BK118" s="744"/>
      <c r="BL118" s="744"/>
      <c r="BM118" s="744"/>
      <c r="BN118" s="744"/>
      <c r="BO118" s="744"/>
      <c r="BP118" s="744"/>
      <c r="BQ118" s="744"/>
      <c r="BR118" s="744"/>
      <c r="BS118" s="744"/>
      <c r="BT118" s="744"/>
      <c r="BU118" s="744"/>
      <c r="BV118" s="744"/>
      <c r="BW118" s="744"/>
      <c r="BX118" s="744"/>
      <c r="BY118" s="744"/>
      <c r="BZ118" s="744"/>
      <c r="CA118" s="744"/>
      <c r="CB118" s="744"/>
      <c r="CC118" s="744"/>
      <c r="CD118" s="744"/>
      <c r="CE118" s="744"/>
      <c r="CF118" s="744"/>
      <c r="CG118" s="744"/>
      <c r="CH118" s="744"/>
      <c r="CI118" s="744"/>
      <c r="CJ118" s="744"/>
      <c r="CK118" s="744"/>
      <c r="CL118" s="744"/>
      <c r="CM118" s="744"/>
      <c r="CN118" s="744"/>
      <c r="CO118" s="744"/>
      <c r="CP118" s="744"/>
      <c r="CQ118" s="744"/>
      <c r="CR118" s="744"/>
      <c r="CS118" s="744"/>
      <c r="CT118" s="744"/>
      <c r="CU118" s="744"/>
      <c r="CV118" s="744"/>
      <c r="CW118" s="744"/>
      <c r="CX118" s="744"/>
      <c r="CY118" s="744"/>
      <c r="CZ118" s="744"/>
      <c r="DA118" s="744"/>
      <c r="DB118" s="744"/>
      <c r="DC118" s="744"/>
      <c r="DD118" s="744"/>
      <c r="DE118" s="744"/>
      <c r="DF118" s="744"/>
      <c r="DG118" s="744"/>
      <c r="DH118" s="744"/>
      <c r="DI118" s="744"/>
      <c r="DJ118" s="744"/>
      <c r="DK118" s="744"/>
      <c r="DL118" s="744"/>
      <c r="DM118" s="744"/>
      <c r="DN118" s="744"/>
      <c r="DO118" s="744"/>
      <c r="DP118" s="744"/>
      <c r="DQ118" s="744"/>
      <c r="DR118" s="744"/>
      <c r="DS118" s="744"/>
      <c r="DT118" s="744" t="str">
        <f t="shared" si="242"/>
        <v>-</v>
      </c>
      <c r="DU118" s="744"/>
      <c r="DV118" s="744"/>
      <c r="DW118" s="8"/>
    </row>
    <row r="119" spans="1:127" ht="16.05" customHeight="1">
      <c r="A119" s="739"/>
      <c r="B119" s="739"/>
      <c r="C119" s="739"/>
      <c r="D119" s="750"/>
      <c r="E119" s="744"/>
      <c r="F119" s="744"/>
      <c r="G119" s="744"/>
      <c r="H119" s="744"/>
      <c r="I119" s="744"/>
      <c r="J119" s="744"/>
      <c r="K119" s="744"/>
      <c r="L119" s="744"/>
      <c r="M119" s="744"/>
      <c r="N119" s="744"/>
      <c r="O119" s="744"/>
      <c r="P119" s="744"/>
      <c r="Q119" s="744"/>
      <c r="R119" s="744"/>
      <c r="S119" s="744"/>
      <c r="T119" s="744"/>
      <c r="U119" s="744"/>
      <c r="V119" s="172"/>
      <c r="W119" s="179"/>
      <c r="X119" s="180" t="str">
        <f>X3</f>
        <v>Fecha</v>
      </c>
      <c r="Y119" s="180" t="str">
        <f>Y3</f>
        <v>Hora</v>
      </c>
      <c r="Z119" s="265"/>
      <c r="AA119" s="266" t="str">
        <f>AA3</f>
        <v>Casa</v>
      </c>
      <c r="AB119" s="265" t="s">
        <v>13</v>
      </c>
      <c r="AC119" s="180" t="str">
        <f>AC3</f>
        <v>Gol</v>
      </c>
      <c r="AD119" s="180" t="str">
        <f>AD3</f>
        <v>Gol</v>
      </c>
      <c r="AE119" s="265" t="s">
        <v>13</v>
      </c>
      <c r="AF119" s="267" t="str">
        <f>AF3</f>
        <v>Fuera</v>
      </c>
      <c r="AG119" s="416"/>
      <c r="AH119" s="196"/>
      <c r="AI119" s="217"/>
      <c r="AJ119" s="178"/>
      <c r="AK119" s="178"/>
      <c r="AL119" s="178"/>
      <c r="AM119" s="297"/>
      <c r="AN119" s="297"/>
      <c r="AO119" s="297"/>
      <c r="AP119" s="297"/>
      <c r="AQ119" s="297"/>
      <c r="AR119" s="297"/>
      <c r="AS119" s="297"/>
      <c r="AT119" s="297"/>
      <c r="AU119" s="19"/>
      <c r="AV119" s="19"/>
      <c r="AW119" s="297"/>
      <c r="AX119" s="297"/>
      <c r="AY119" s="242"/>
      <c r="AZ119" s="243"/>
      <c r="BA119" s="175"/>
      <c r="BB119" s="744"/>
      <c r="BC119" s="744"/>
      <c r="BD119" s="744"/>
      <c r="BE119" s="744"/>
      <c r="BF119" s="761" t="s">
        <v>658</v>
      </c>
      <c r="BG119" s="744" t="str">
        <f ca="1">+INDEX(Combinaciones3!$P$2:$W$496,MATCH(1,Combinaciones3!$B$2:$B$497,0),MATCH(WORLDCUP!BF119,Combinaciones3!$P$1:$W$1,0))</f>
        <v>3B</v>
      </c>
      <c r="BH119" s="744"/>
      <c r="BI119" s="744"/>
      <c r="BJ119" s="744"/>
      <c r="BK119" s="744"/>
      <c r="BL119" s="744"/>
      <c r="BM119" s="744"/>
      <c r="BN119" s="744"/>
      <c r="BO119" s="744"/>
      <c r="BP119" s="744"/>
      <c r="BQ119" s="744"/>
      <c r="BR119" s="744"/>
      <c r="BS119" s="744"/>
      <c r="BT119" s="744"/>
      <c r="BU119" s="744"/>
      <c r="BV119" s="744"/>
      <c r="BW119" s="744"/>
      <c r="BX119" s="744"/>
      <c r="BY119" s="744"/>
      <c r="BZ119" s="744"/>
      <c r="CA119" s="744"/>
      <c r="CB119" s="744"/>
      <c r="CC119" s="744"/>
      <c r="CD119" s="744"/>
      <c r="CE119" s="744"/>
      <c r="CF119" s="744"/>
      <c r="CG119" s="744"/>
      <c r="CH119" s="744"/>
      <c r="CI119" s="744"/>
      <c r="CJ119" s="744"/>
      <c r="CK119" s="744"/>
      <c r="CL119" s="744"/>
      <c r="CM119" s="744"/>
      <c r="CN119" s="744"/>
      <c r="CO119" s="744"/>
      <c r="CP119" s="744"/>
      <c r="CQ119" s="744"/>
      <c r="CR119" s="744"/>
      <c r="CS119" s="744"/>
      <c r="CT119" s="744"/>
      <c r="CU119" s="744"/>
      <c r="CV119" s="744"/>
      <c r="CW119" s="744"/>
      <c r="CX119" s="744"/>
      <c r="CY119" s="744"/>
      <c r="CZ119" s="744"/>
      <c r="DA119" s="744"/>
      <c r="DB119" s="744"/>
      <c r="DC119" s="744"/>
      <c r="DD119" s="744"/>
      <c r="DE119" s="744"/>
      <c r="DF119" s="744"/>
      <c r="DG119" s="744"/>
      <c r="DH119" s="744"/>
      <c r="DI119" s="744"/>
      <c r="DJ119" s="744"/>
      <c r="DK119" s="744"/>
      <c r="DL119" s="744"/>
      <c r="DM119" s="744"/>
      <c r="DN119" s="744"/>
      <c r="DO119" s="744"/>
      <c r="DP119" s="744"/>
      <c r="DQ119" s="744"/>
      <c r="DR119" s="744"/>
      <c r="DS119" s="744"/>
      <c r="DT119" s="744" t="str">
        <f t="shared" si="242"/>
        <v>Casa-Fuera</v>
      </c>
      <c r="DU119" s="744"/>
      <c r="DV119" s="744"/>
      <c r="DW119" s="8"/>
    </row>
    <row r="120" spans="1:127" ht="16.05" customHeight="1">
      <c r="A120" s="738" t="s">
        <v>730</v>
      </c>
      <c r="B120" s="738" t="s">
        <v>731</v>
      </c>
      <c r="C120" s="739"/>
      <c r="D120" s="747" t="str">
        <f t="shared" ref="D120:D127" si="329">IF(AND(OR(AC120="",AD120="")),"W"&amp;AH120,IF(AC120&gt;AD120,AA120,IF(AC120&lt;AD120,AF120,IF(AND(AC120=AD120,AB120=AE120),"W"&amp;AH120,IF(AND(AC120=AD120,OR(AB120="",AE120="")),"W"&amp;AH120,IF(AND(AC120=AD120,AB120&gt;AE120),AA120,AF120))))))</f>
        <v>W90</v>
      </c>
      <c r="E120" s="744">
        <v>74</v>
      </c>
      <c r="F120" s="744">
        <v>77</v>
      </c>
      <c r="G120" s="744"/>
      <c r="H120" s="744"/>
      <c r="I120" s="744"/>
      <c r="J120" s="738">
        <v>89</v>
      </c>
      <c r="K120" s="738">
        <v>46207.75</v>
      </c>
      <c r="L120" s="738" t="s">
        <v>701</v>
      </c>
      <c r="M120" s="744" t="str">
        <f t="shared" ref="M120:N127" si="330">+INDEX($D$101:$D$147,MATCH(E120,$AH$101:$AH$147,0))</f>
        <v>W74</v>
      </c>
      <c r="N120" s="744" t="str">
        <f t="shared" si="330"/>
        <v>W77</v>
      </c>
      <c r="O120" s="744"/>
      <c r="P120" s="744"/>
      <c r="Q120" s="744"/>
      <c r="R120" s="744"/>
      <c r="S120" s="744"/>
      <c r="T120" s="744"/>
      <c r="U120" s="744"/>
      <c r="V120" s="172"/>
      <c r="W120" s="835" t="s">
        <v>88</v>
      </c>
      <c r="X120" s="189">
        <f ca="1">Horarios!C120</f>
        <v>46207.791666666664</v>
      </c>
      <c r="Y120" s="190">
        <f ca="1">Horarios!C120</f>
        <v>46207.791666666664</v>
      </c>
      <c r="Z120" s="276">
        <f t="shared" ref="Z120:Z127" si="331">AH120</f>
        <v>90</v>
      </c>
      <c r="AA120" s="277" t="str">
        <f t="shared" ref="AA120:AA127" si="332">+INDEX($M$101:$M$147,MATCH(AH120,$J$101:$J$147,0))</f>
        <v>W73</v>
      </c>
      <c r="AB120" s="278"/>
      <c r="AC120" s="305"/>
      <c r="AD120" s="305"/>
      <c r="AE120" s="278"/>
      <c r="AF120" s="280" t="str">
        <f t="shared" ref="AF120:AF127" si="333">+INDEX($N$101:$N$147,MATCH(AH120,$J$101:$J$147,0))</f>
        <v>W75</v>
      </c>
      <c r="AG120" s="417">
        <f t="shared" ref="AG120:AG127" si="334">IF(D120="W"&amp;AH120,0,1)</f>
        <v>0</v>
      </c>
      <c r="AH120" s="196">
        <v>90</v>
      </c>
      <c r="AI120" s="217"/>
      <c r="AJ120" s="178"/>
      <c r="AK120" s="178"/>
      <c r="AL120" s="306"/>
      <c r="AM120" s="297"/>
      <c r="AN120" s="297"/>
      <c r="AO120" s="297"/>
      <c r="AP120" s="297"/>
      <c r="AQ120" s="297"/>
      <c r="AR120" s="297"/>
      <c r="AS120" s="297"/>
      <c r="AT120" s="297"/>
      <c r="AU120" s="19"/>
      <c r="AV120" s="19"/>
      <c r="AW120" s="297"/>
      <c r="AX120" s="297"/>
      <c r="AY120" s="242"/>
      <c r="AZ120" s="243"/>
      <c r="BA120" s="175"/>
      <c r="BB120" s="744"/>
      <c r="BC120" s="744"/>
      <c r="BD120" s="744"/>
      <c r="BE120" s="744"/>
      <c r="BF120" s="761" t="s">
        <v>661</v>
      </c>
      <c r="BG120" s="744" t="str">
        <f ca="1">+INDEX(Combinaciones3!$P$2:$W$496,MATCH(1,Combinaciones3!$B$2:$B$497,0),MATCH(WORLDCUP!BF120,Combinaciones3!$P$1:$W$1,0))</f>
        <v>3C</v>
      </c>
      <c r="BH120" s="744"/>
      <c r="BI120" s="744"/>
      <c r="BJ120" s="744"/>
      <c r="BK120" s="744"/>
      <c r="BL120" s="744"/>
      <c r="BM120" s="744"/>
      <c r="BN120" s="744"/>
      <c r="BO120" s="744"/>
      <c r="BP120" s="744"/>
      <c r="BQ120" s="744"/>
      <c r="BR120" s="744"/>
      <c r="BS120" s="744"/>
      <c r="BT120" s="744"/>
      <c r="BU120" s="744"/>
      <c r="BV120" s="744"/>
      <c r="BW120" s="744"/>
      <c r="BX120" s="744"/>
      <c r="BY120" s="744"/>
      <c r="BZ120" s="744"/>
      <c r="CA120" s="744"/>
      <c r="CB120" s="744"/>
      <c r="CC120" s="744"/>
      <c r="CD120" s="744"/>
      <c r="CE120" s="744"/>
      <c r="CF120" s="744"/>
      <c r="CG120" s="744"/>
      <c r="CH120" s="744"/>
      <c r="CI120" s="744"/>
      <c r="CJ120" s="744"/>
      <c r="CK120" s="744"/>
      <c r="CL120" s="744"/>
      <c r="CM120" s="744"/>
      <c r="CN120" s="744"/>
      <c r="CO120" s="744"/>
      <c r="CP120" s="744"/>
      <c r="CQ120" s="744"/>
      <c r="CR120" s="744"/>
      <c r="CS120" s="744"/>
      <c r="CT120" s="744"/>
      <c r="CU120" s="744"/>
      <c r="CV120" s="744"/>
      <c r="CW120" s="744"/>
      <c r="CX120" s="744"/>
      <c r="CY120" s="744"/>
      <c r="CZ120" s="744"/>
      <c r="DA120" s="744"/>
      <c r="DB120" s="744"/>
      <c r="DC120" s="744"/>
      <c r="DD120" s="744"/>
      <c r="DE120" s="744"/>
      <c r="DF120" s="744"/>
      <c r="DG120" s="744"/>
      <c r="DH120" s="744"/>
      <c r="DI120" s="744"/>
      <c r="DJ120" s="744"/>
      <c r="DK120" s="744"/>
      <c r="DL120" s="744"/>
      <c r="DM120" s="744"/>
      <c r="DN120" s="744"/>
      <c r="DO120" s="744"/>
      <c r="DP120" s="744"/>
      <c r="DQ120" s="744"/>
      <c r="DR120" s="744"/>
      <c r="DS120" s="744"/>
      <c r="DT120" s="744" t="str">
        <f t="shared" si="242"/>
        <v>W73-W75</v>
      </c>
      <c r="DU120" s="744"/>
      <c r="DV120" s="744"/>
      <c r="DW120" s="8"/>
    </row>
    <row r="121" spans="1:127" ht="16.05" customHeight="1">
      <c r="A121" s="738" t="s">
        <v>732</v>
      </c>
      <c r="B121" s="738" t="s">
        <v>733</v>
      </c>
      <c r="C121" s="739"/>
      <c r="D121" s="747" t="str">
        <f t="shared" si="329"/>
        <v>W89</v>
      </c>
      <c r="E121" s="744">
        <v>73</v>
      </c>
      <c r="F121" s="744">
        <v>75</v>
      </c>
      <c r="G121" s="744"/>
      <c r="H121" s="744"/>
      <c r="I121" s="744"/>
      <c r="J121" s="738">
        <v>90</v>
      </c>
      <c r="K121" s="738">
        <v>46207.875</v>
      </c>
      <c r="L121" s="738" t="s">
        <v>702</v>
      </c>
      <c r="M121" s="744" t="str">
        <f t="shared" si="330"/>
        <v>W73</v>
      </c>
      <c r="N121" s="744" t="str">
        <f t="shared" si="330"/>
        <v>W75</v>
      </c>
      <c r="O121" s="744"/>
      <c r="P121" s="744"/>
      <c r="Q121" s="744"/>
      <c r="R121" s="744"/>
      <c r="S121" s="744"/>
      <c r="T121" s="744"/>
      <c r="U121" s="744"/>
      <c r="V121" s="172"/>
      <c r="W121" s="835"/>
      <c r="X121" s="189">
        <f ca="1">Horarios!C121</f>
        <v>46207.958333333336</v>
      </c>
      <c r="Y121" s="190">
        <f ca="1">Horarios!C121</f>
        <v>46207.958333333336</v>
      </c>
      <c r="Z121" s="276">
        <f t="shared" si="331"/>
        <v>89</v>
      </c>
      <c r="AA121" s="277" t="str">
        <f t="shared" si="332"/>
        <v>W74</v>
      </c>
      <c r="AB121" s="278"/>
      <c r="AC121" s="307"/>
      <c r="AD121" s="307"/>
      <c r="AE121" s="278"/>
      <c r="AF121" s="280" t="str">
        <f t="shared" si="333"/>
        <v>W77</v>
      </c>
      <c r="AG121" s="417">
        <f t="shared" si="334"/>
        <v>0</v>
      </c>
      <c r="AH121" s="196">
        <v>89</v>
      </c>
      <c r="AI121" s="217"/>
      <c r="AJ121" s="178"/>
      <c r="AK121" s="178"/>
      <c r="AL121" s="178"/>
      <c r="AM121" s="297"/>
      <c r="AN121" s="297"/>
      <c r="AO121" s="297"/>
      <c r="AP121" s="297"/>
      <c r="AQ121" s="297"/>
      <c r="AR121" s="297"/>
      <c r="AS121" s="297"/>
      <c r="AT121" s="297"/>
      <c r="AU121" s="19"/>
      <c r="AV121" s="19"/>
      <c r="AW121" s="297"/>
      <c r="AX121" s="297"/>
      <c r="AY121" s="242"/>
      <c r="AZ121" s="243"/>
      <c r="BA121" s="175"/>
      <c r="BB121" s="744"/>
      <c r="BC121" s="744"/>
      <c r="BD121" s="744"/>
      <c r="BE121" s="744"/>
      <c r="BF121" s="761" t="s">
        <v>667</v>
      </c>
      <c r="BG121" s="744" t="str">
        <f ca="1">+INDEX(Combinaciones3!$P$2:$W$496,MATCH(1,Combinaciones3!$B$2:$B$497,0),MATCH(WORLDCUP!BF121,Combinaciones3!$P$1:$W$1,0))</f>
        <v>3A</v>
      </c>
      <c r="BH121" s="744"/>
      <c r="BI121" s="744"/>
      <c r="BJ121" s="744"/>
      <c r="BK121" s="744"/>
      <c r="BL121" s="744"/>
      <c r="BM121" s="744"/>
      <c r="BN121" s="744"/>
      <c r="BO121" s="744"/>
      <c r="BP121" s="744"/>
      <c r="BQ121" s="744"/>
      <c r="BR121" s="744"/>
      <c r="BS121" s="744"/>
      <c r="BT121" s="744"/>
      <c r="BU121" s="744"/>
      <c r="BV121" s="744"/>
      <c r="BW121" s="744"/>
      <c r="BX121" s="744"/>
      <c r="BY121" s="744"/>
      <c r="BZ121" s="744"/>
      <c r="CA121" s="744"/>
      <c r="CB121" s="744"/>
      <c r="CC121" s="744"/>
      <c r="CD121" s="744"/>
      <c r="CE121" s="744"/>
      <c r="CF121" s="744"/>
      <c r="CG121" s="744"/>
      <c r="CH121" s="744"/>
      <c r="CI121" s="744"/>
      <c r="CJ121" s="744"/>
      <c r="CK121" s="744"/>
      <c r="CL121" s="744"/>
      <c r="CM121" s="744"/>
      <c r="CN121" s="744"/>
      <c r="CO121" s="744"/>
      <c r="CP121" s="744"/>
      <c r="CQ121" s="744"/>
      <c r="CR121" s="744"/>
      <c r="CS121" s="744"/>
      <c r="CT121" s="744"/>
      <c r="CU121" s="744"/>
      <c r="CV121" s="744"/>
      <c r="CW121" s="744"/>
      <c r="CX121" s="744"/>
      <c r="CY121" s="744"/>
      <c r="CZ121" s="744"/>
      <c r="DA121" s="744"/>
      <c r="DB121" s="744"/>
      <c r="DC121" s="744"/>
      <c r="DD121" s="744"/>
      <c r="DE121" s="744"/>
      <c r="DF121" s="744"/>
      <c r="DG121" s="744"/>
      <c r="DH121" s="744"/>
      <c r="DI121" s="744"/>
      <c r="DJ121" s="744"/>
      <c r="DK121" s="744"/>
      <c r="DL121" s="744"/>
      <c r="DM121" s="744"/>
      <c r="DN121" s="744"/>
      <c r="DO121" s="744"/>
      <c r="DP121" s="744"/>
      <c r="DQ121" s="744"/>
      <c r="DR121" s="744"/>
      <c r="DS121" s="744"/>
      <c r="DT121" s="744" t="str">
        <f t="shared" si="242"/>
        <v>W74-W77</v>
      </c>
      <c r="DU121" s="744"/>
      <c r="DV121" s="744"/>
      <c r="DW121" s="8"/>
    </row>
    <row r="122" spans="1:127" ht="16.05" customHeight="1">
      <c r="A122" s="738" t="s">
        <v>734</v>
      </c>
      <c r="B122" s="738" t="s">
        <v>735</v>
      </c>
      <c r="C122" s="739"/>
      <c r="D122" s="747" t="str">
        <f t="shared" si="329"/>
        <v>W91</v>
      </c>
      <c r="E122" s="744">
        <v>76</v>
      </c>
      <c r="F122" s="744">
        <v>78</v>
      </c>
      <c r="G122" s="744"/>
      <c r="H122" s="744"/>
      <c r="I122" s="744"/>
      <c r="J122" s="738">
        <v>91</v>
      </c>
      <c r="K122" s="738">
        <v>46208.75</v>
      </c>
      <c r="L122" s="738" t="s">
        <v>703</v>
      </c>
      <c r="M122" s="744" t="str">
        <f t="shared" si="330"/>
        <v>W76</v>
      </c>
      <c r="N122" s="744" t="str">
        <f t="shared" si="330"/>
        <v>W78</v>
      </c>
      <c r="O122" s="744"/>
      <c r="P122" s="744"/>
      <c r="Q122" s="744"/>
      <c r="R122" s="744"/>
      <c r="S122" s="744"/>
      <c r="T122" s="744"/>
      <c r="U122" s="744"/>
      <c r="V122" s="172"/>
      <c r="W122" s="835"/>
      <c r="X122" s="189">
        <f ca="1">Horarios!C122</f>
        <v>46208.916666666664</v>
      </c>
      <c r="Y122" s="190">
        <f ca="1">Horarios!C122</f>
        <v>46208.916666666664</v>
      </c>
      <c r="Z122" s="276">
        <f t="shared" si="331"/>
        <v>91</v>
      </c>
      <c r="AA122" s="277" t="str">
        <f t="shared" si="332"/>
        <v>W76</v>
      </c>
      <c r="AB122" s="278"/>
      <c r="AC122" s="307"/>
      <c r="AD122" s="307"/>
      <c r="AE122" s="278"/>
      <c r="AF122" s="280" t="str">
        <f t="shared" si="333"/>
        <v>W78</v>
      </c>
      <c r="AG122" s="417">
        <f t="shared" si="334"/>
        <v>0</v>
      </c>
      <c r="AH122" s="196">
        <v>91</v>
      </c>
      <c r="AI122" s="217"/>
      <c r="AJ122" s="178"/>
      <c r="AK122" s="178"/>
      <c r="AL122" s="178"/>
      <c r="AM122" s="297"/>
      <c r="AN122" s="297"/>
      <c r="AO122" s="297"/>
      <c r="AP122" s="297"/>
      <c r="AQ122" s="297"/>
      <c r="AR122" s="297"/>
      <c r="AS122" s="297"/>
      <c r="AT122" s="297"/>
      <c r="AU122" s="19"/>
      <c r="AV122" s="19"/>
      <c r="AW122" s="297"/>
      <c r="AX122" s="297"/>
      <c r="AY122" s="242"/>
      <c r="AZ122" s="243"/>
      <c r="BA122" s="175"/>
      <c r="BB122" s="744"/>
      <c r="BC122" s="744"/>
      <c r="BD122" s="744"/>
      <c r="BE122" s="744"/>
      <c r="BF122" s="752" t="s">
        <v>673</v>
      </c>
      <c r="BG122" s="744" t="str">
        <f ca="1">+INDEX(Combinaciones3!$P$2:$W$496,MATCH(1,Combinaciones3!$B$2:$B$497,0),MATCH(WORLDCUP!BF122,Combinaciones3!$P$1:$W$1,0))</f>
        <v>3F</v>
      </c>
      <c r="BH122" s="744"/>
      <c r="BI122" s="744"/>
      <c r="BJ122" s="744"/>
      <c r="BK122" s="744"/>
      <c r="BL122" s="744"/>
      <c r="BM122" s="744"/>
      <c r="BN122" s="744"/>
      <c r="BO122" s="744"/>
      <c r="BP122" s="744"/>
      <c r="BQ122" s="744"/>
      <c r="BR122" s="744"/>
      <c r="BS122" s="744"/>
      <c r="BT122" s="744"/>
      <c r="BU122" s="744"/>
      <c r="BV122" s="744"/>
      <c r="BW122" s="744"/>
      <c r="BX122" s="744"/>
      <c r="BY122" s="744"/>
      <c r="BZ122" s="744"/>
      <c r="CA122" s="744"/>
      <c r="CB122" s="744"/>
      <c r="CC122" s="744"/>
      <c r="CD122" s="744"/>
      <c r="CE122" s="744"/>
      <c r="CF122" s="744"/>
      <c r="CG122" s="744"/>
      <c r="CH122" s="744"/>
      <c r="CI122" s="744"/>
      <c r="CJ122" s="744"/>
      <c r="CK122" s="744"/>
      <c r="CL122" s="744"/>
      <c r="CM122" s="744"/>
      <c r="CN122" s="744"/>
      <c r="CO122" s="744"/>
      <c r="CP122" s="744"/>
      <c r="CQ122" s="744"/>
      <c r="CR122" s="744"/>
      <c r="CS122" s="744"/>
      <c r="CT122" s="744"/>
      <c r="CU122" s="744"/>
      <c r="CV122" s="744"/>
      <c r="CW122" s="744"/>
      <c r="CX122" s="744"/>
      <c r="CY122" s="744"/>
      <c r="CZ122" s="744"/>
      <c r="DA122" s="744"/>
      <c r="DB122" s="744"/>
      <c r="DC122" s="744"/>
      <c r="DD122" s="744"/>
      <c r="DE122" s="744"/>
      <c r="DF122" s="744"/>
      <c r="DG122" s="744"/>
      <c r="DH122" s="744"/>
      <c r="DI122" s="744"/>
      <c r="DJ122" s="744"/>
      <c r="DK122" s="744"/>
      <c r="DL122" s="744"/>
      <c r="DM122" s="744"/>
      <c r="DN122" s="744"/>
      <c r="DO122" s="744"/>
      <c r="DP122" s="744"/>
      <c r="DQ122" s="744"/>
      <c r="DR122" s="744"/>
      <c r="DS122" s="744"/>
      <c r="DT122" s="744" t="str">
        <f t="shared" si="242"/>
        <v>W76-W78</v>
      </c>
      <c r="DU122" s="744"/>
      <c r="DV122" s="744"/>
      <c r="DW122" s="8"/>
    </row>
    <row r="123" spans="1:127" ht="16.05" customHeight="1">
      <c r="A123" s="738" t="s">
        <v>736</v>
      </c>
      <c r="B123" s="738" t="s">
        <v>737</v>
      </c>
      <c r="C123" s="739"/>
      <c r="D123" s="747" t="str">
        <f t="shared" si="329"/>
        <v>W92</v>
      </c>
      <c r="E123" s="744">
        <v>79</v>
      </c>
      <c r="F123" s="744">
        <v>80</v>
      </c>
      <c r="G123" s="744"/>
      <c r="H123" s="744"/>
      <c r="I123" s="744"/>
      <c r="J123" s="738">
        <v>92</v>
      </c>
      <c r="K123" s="738">
        <v>46208.875</v>
      </c>
      <c r="L123" s="738" t="s">
        <v>704</v>
      </c>
      <c r="M123" s="744" t="str">
        <f t="shared" si="330"/>
        <v>W79</v>
      </c>
      <c r="N123" s="744" t="str">
        <f t="shared" si="330"/>
        <v>W80</v>
      </c>
      <c r="O123" s="744"/>
      <c r="P123" s="744"/>
      <c r="Q123" s="744"/>
      <c r="R123" s="744"/>
      <c r="S123" s="744"/>
      <c r="T123" s="744"/>
      <c r="U123" s="744"/>
      <c r="V123" s="172"/>
      <c r="W123" s="835"/>
      <c r="X123" s="189">
        <f ca="1">Horarios!C123</f>
        <v>46209.083333333336</v>
      </c>
      <c r="Y123" s="190">
        <f ca="1">Horarios!C123</f>
        <v>46209.083333333336</v>
      </c>
      <c r="Z123" s="276">
        <f t="shared" si="331"/>
        <v>92</v>
      </c>
      <c r="AA123" s="277" t="str">
        <f t="shared" si="332"/>
        <v>W79</v>
      </c>
      <c r="AB123" s="278"/>
      <c r="AC123" s="307"/>
      <c r="AD123" s="307"/>
      <c r="AE123" s="278"/>
      <c r="AF123" s="280" t="str">
        <f t="shared" si="333"/>
        <v>W80</v>
      </c>
      <c r="AG123" s="417">
        <f t="shared" si="334"/>
        <v>0</v>
      </c>
      <c r="AH123" s="196">
        <v>92</v>
      </c>
      <c r="AI123" s="217"/>
      <c r="AJ123" s="178"/>
      <c r="AK123" s="178"/>
      <c r="AL123" s="178"/>
      <c r="AM123" s="297"/>
      <c r="AN123" s="297"/>
      <c r="AO123" s="297"/>
      <c r="AP123" s="297"/>
      <c r="AQ123" s="297"/>
      <c r="AR123" s="297"/>
      <c r="AS123" s="297"/>
      <c r="AT123" s="297"/>
      <c r="AU123" s="19"/>
      <c r="AV123" s="19"/>
      <c r="AW123" s="297"/>
      <c r="AX123" s="297"/>
      <c r="AY123" s="242"/>
      <c r="AZ123" s="243"/>
      <c r="BA123" s="175"/>
      <c r="BB123" s="744"/>
      <c r="BC123" s="744"/>
      <c r="BD123" s="744"/>
      <c r="BE123" s="744"/>
      <c r="BF123" s="752" t="s">
        <v>679</v>
      </c>
      <c r="BG123" s="744" t="str">
        <f ca="1">+INDEX(Combinaciones3!$P$2:$W$496,MATCH(1,Combinaciones3!$B$2:$B$497,0),MATCH(WORLDCUP!BF123,Combinaciones3!$P$1:$W$1,0))</f>
        <v>3D</v>
      </c>
      <c r="BH123" s="744"/>
      <c r="BI123" s="744"/>
      <c r="BJ123" s="744"/>
      <c r="BK123" s="744"/>
      <c r="BL123" s="744"/>
      <c r="BM123" s="744"/>
      <c r="BN123" s="744"/>
      <c r="BO123" s="744"/>
      <c r="BP123" s="744"/>
      <c r="BQ123" s="744"/>
      <c r="BR123" s="744"/>
      <c r="BS123" s="744"/>
      <c r="BT123" s="744"/>
      <c r="BU123" s="744"/>
      <c r="BV123" s="744"/>
      <c r="BW123" s="744"/>
      <c r="BX123" s="744"/>
      <c r="BY123" s="744"/>
      <c r="BZ123" s="744"/>
      <c r="CA123" s="744"/>
      <c r="CB123" s="744"/>
      <c r="CC123" s="744"/>
      <c r="CD123" s="744"/>
      <c r="CE123" s="744"/>
      <c r="CF123" s="744"/>
      <c r="CG123" s="744"/>
      <c r="CH123" s="744"/>
      <c r="CI123" s="744"/>
      <c r="CJ123" s="744"/>
      <c r="CK123" s="744"/>
      <c r="CL123" s="744"/>
      <c r="CM123" s="744"/>
      <c r="CN123" s="744"/>
      <c r="CO123" s="744"/>
      <c r="CP123" s="744"/>
      <c r="CQ123" s="744"/>
      <c r="CR123" s="744"/>
      <c r="CS123" s="744"/>
      <c r="CT123" s="744"/>
      <c r="CU123" s="744"/>
      <c r="CV123" s="744"/>
      <c r="CW123" s="744"/>
      <c r="CX123" s="744"/>
      <c r="CY123" s="744"/>
      <c r="CZ123" s="744"/>
      <c r="DA123" s="744"/>
      <c r="DB123" s="744"/>
      <c r="DC123" s="744"/>
      <c r="DD123" s="744"/>
      <c r="DE123" s="744"/>
      <c r="DF123" s="744"/>
      <c r="DG123" s="744"/>
      <c r="DH123" s="744"/>
      <c r="DI123" s="744"/>
      <c r="DJ123" s="744"/>
      <c r="DK123" s="744"/>
      <c r="DL123" s="744"/>
      <c r="DM123" s="744"/>
      <c r="DN123" s="744"/>
      <c r="DO123" s="744"/>
      <c r="DP123" s="744"/>
      <c r="DQ123" s="744"/>
      <c r="DR123" s="744"/>
      <c r="DS123" s="744"/>
      <c r="DT123" s="744" t="str">
        <f t="shared" si="242"/>
        <v>W79-W80</v>
      </c>
      <c r="DU123" s="744"/>
      <c r="DV123" s="744"/>
      <c r="DW123" s="8"/>
    </row>
    <row r="124" spans="1:127" ht="16.05" customHeight="1">
      <c r="A124" s="738" t="s">
        <v>738</v>
      </c>
      <c r="B124" s="738" t="s">
        <v>739</v>
      </c>
      <c r="C124" s="739"/>
      <c r="D124" s="747" t="str">
        <f t="shared" si="329"/>
        <v>W93</v>
      </c>
      <c r="E124" s="744">
        <v>83</v>
      </c>
      <c r="F124" s="744">
        <v>84</v>
      </c>
      <c r="G124" s="744"/>
      <c r="H124" s="744"/>
      <c r="I124" s="744"/>
      <c r="J124" s="738">
        <v>93</v>
      </c>
      <c r="K124" s="738">
        <v>46209.75</v>
      </c>
      <c r="L124" s="738" t="s">
        <v>705</v>
      </c>
      <c r="M124" s="744" t="str">
        <f t="shared" si="330"/>
        <v>W83</v>
      </c>
      <c r="N124" s="744" t="str">
        <f t="shared" si="330"/>
        <v>W84</v>
      </c>
      <c r="O124" s="744"/>
      <c r="P124" s="744"/>
      <c r="Q124" s="744"/>
      <c r="R124" s="744"/>
      <c r="S124" s="744"/>
      <c r="T124" s="744"/>
      <c r="U124" s="744"/>
      <c r="V124" s="172"/>
      <c r="W124" s="835"/>
      <c r="X124" s="189">
        <f ca="1">Horarios!C124</f>
        <v>46209.875</v>
      </c>
      <c r="Y124" s="190">
        <f ca="1">Horarios!C124</f>
        <v>46209.875</v>
      </c>
      <c r="Z124" s="276">
        <f t="shared" si="331"/>
        <v>93</v>
      </c>
      <c r="AA124" s="277" t="str">
        <f t="shared" si="332"/>
        <v>W83</v>
      </c>
      <c r="AB124" s="308"/>
      <c r="AC124" s="307"/>
      <c r="AD124" s="307"/>
      <c r="AE124" s="279"/>
      <c r="AF124" s="280" t="str">
        <f t="shared" si="333"/>
        <v>W84</v>
      </c>
      <c r="AG124" s="417">
        <f t="shared" si="334"/>
        <v>0</v>
      </c>
      <c r="AH124" s="196">
        <v>93</v>
      </c>
      <c r="AI124" s="217"/>
      <c r="AJ124" s="178"/>
      <c r="AK124" s="178"/>
      <c r="AL124" s="178"/>
      <c r="AM124" s="297"/>
      <c r="AN124" s="297"/>
      <c r="AO124" s="297"/>
      <c r="AP124" s="297"/>
      <c r="AQ124" s="297"/>
      <c r="AR124" s="297"/>
      <c r="AS124" s="297"/>
      <c r="AT124" s="297"/>
      <c r="AU124" s="19"/>
      <c r="AV124" s="19"/>
      <c r="AW124" s="297"/>
      <c r="AX124" s="297"/>
      <c r="AY124" s="242"/>
      <c r="AZ124" s="243"/>
      <c r="BA124" s="175"/>
      <c r="BB124" s="744"/>
      <c r="BC124" s="744"/>
      <c r="BD124" s="744"/>
      <c r="BE124" s="744"/>
      <c r="BF124" s="752" t="s">
        <v>682</v>
      </c>
      <c r="BG124" s="744" t="str">
        <f ca="1">+INDEX(Combinaciones3!$P$2:$W$496,MATCH(1,Combinaciones3!$B$2:$B$497,0),MATCH(WORLDCUP!BF124,Combinaciones3!$P$1:$W$1,0))</f>
        <v>3K</v>
      </c>
      <c r="BH124" s="744"/>
      <c r="BI124" s="744"/>
      <c r="BJ124" s="744"/>
      <c r="BK124" s="744"/>
      <c r="BL124" s="744"/>
      <c r="BM124" s="744"/>
      <c r="BN124" s="744"/>
      <c r="BO124" s="744"/>
      <c r="BP124" s="744"/>
      <c r="BQ124" s="744"/>
      <c r="BR124" s="744"/>
      <c r="BS124" s="744"/>
      <c r="BT124" s="744"/>
      <c r="BU124" s="744"/>
      <c r="BV124" s="744"/>
      <c r="BW124" s="744"/>
      <c r="BX124" s="744"/>
      <c r="BY124" s="744"/>
      <c r="BZ124" s="744"/>
      <c r="CA124" s="744"/>
      <c r="CB124" s="744"/>
      <c r="CC124" s="744"/>
      <c r="CD124" s="744"/>
      <c r="CE124" s="744"/>
      <c r="CF124" s="744"/>
      <c r="CG124" s="744"/>
      <c r="CH124" s="744"/>
      <c r="CI124" s="744"/>
      <c r="CJ124" s="744"/>
      <c r="CK124" s="744"/>
      <c r="CL124" s="744"/>
      <c r="CM124" s="744"/>
      <c r="CN124" s="744"/>
      <c r="CO124" s="744"/>
      <c r="CP124" s="744"/>
      <c r="CQ124" s="744"/>
      <c r="CR124" s="744"/>
      <c r="CS124" s="744"/>
      <c r="CT124" s="744"/>
      <c r="CU124" s="744"/>
      <c r="CV124" s="744"/>
      <c r="CW124" s="744"/>
      <c r="CX124" s="744"/>
      <c r="CY124" s="744"/>
      <c r="CZ124" s="744"/>
      <c r="DA124" s="744"/>
      <c r="DB124" s="744"/>
      <c r="DC124" s="744"/>
      <c r="DD124" s="744"/>
      <c r="DE124" s="744"/>
      <c r="DF124" s="744"/>
      <c r="DG124" s="744"/>
      <c r="DH124" s="744"/>
      <c r="DI124" s="744"/>
      <c r="DJ124" s="744"/>
      <c r="DK124" s="744"/>
      <c r="DL124" s="744"/>
      <c r="DM124" s="744"/>
      <c r="DN124" s="744"/>
      <c r="DO124" s="744"/>
      <c r="DP124" s="744"/>
      <c r="DQ124" s="744"/>
      <c r="DR124" s="744"/>
      <c r="DS124" s="744"/>
      <c r="DT124" s="744" t="str">
        <f t="shared" si="242"/>
        <v>W83-W84</v>
      </c>
      <c r="DU124" s="744"/>
      <c r="DV124" s="744"/>
      <c r="DW124" s="8"/>
    </row>
    <row r="125" spans="1:127" ht="16.05" customHeight="1">
      <c r="A125" s="738" t="s">
        <v>740</v>
      </c>
      <c r="B125" s="738" t="s">
        <v>741</v>
      </c>
      <c r="C125" s="739"/>
      <c r="D125" s="747" t="str">
        <f t="shared" si="329"/>
        <v>W94</v>
      </c>
      <c r="E125" s="744">
        <v>81</v>
      </c>
      <c r="F125" s="744">
        <v>82</v>
      </c>
      <c r="G125" s="744"/>
      <c r="H125" s="744"/>
      <c r="I125" s="744"/>
      <c r="J125" s="738">
        <v>94</v>
      </c>
      <c r="K125" s="738">
        <v>46209.875</v>
      </c>
      <c r="L125" s="738" t="s">
        <v>706</v>
      </c>
      <c r="M125" s="744" t="str">
        <f t="shared" si="330"/>
        <v>W81</v>
      </c>
      <c r="N125" s="744" t="str">
        <f t="shared" si="330"/>
        <v>W82</v>
      </c>
      <c r="O125" s="744"/>
      <c r="P125" s="744"/>
      <c r="Q125" s="744"/>
      <c r="R125" s="744"/>
      <c r="S125" s="744"/>
      <c r="T125" s="744"/>
      <c r="U125" s="744"/>
      <c r="V125" s="172"/>
      <c r="W125" s="835"/>
      <c r="X125" s="189">
        <f ca="1">Horarios!C125</f>
        <v>46210.083333333336</v>
      </c>
      <c r="Y125" s="190">
        <f ca="1">Horarios!C125</f>
        <v>46210.083333333336</v>
      </c>
      <c r="Z125" s="276">
        <f t="shared" si="331"/>
        <v>94</v>
      </c>
      <c r="AA125" s="277" t="str">
        <f t="shared" si="332"/>
        <v>W81</v>
      </c>
      <c r="AB125" s="278"/>
      <c r="AC125" s="309"/>
      <c r="AD125" s="309"/>
      <c r="AE125" s="278"/>
      <c r="AF125" s="280" t="str">
        <f t="shared" si="333"/>
        <v>W82</v>
      </c>
      <c r="AG125" s="417">
        <f t="shared" si="334"/>
        <v>0</v>
      </c>
      <c r="AH125" s="196">
        <v>94</v>
      </c>
      <c r="AI125" s="217"/>
      <c r="AJ125" s="178"/>
      <c r="AK125" s="178"/>
      <c r="AL125" s="178"/>
      <c r="AM125" s="297"/>
      <c r="AN125" s="297"/>
      <c r="AO125" s="297"/>
      <c r="AP125" s="297"/>
      <c r="AQ125" s="297"/>
      <c r="AR125" s="297"/>
      <c r="AS125" s="297"/>
      <c r="AT125" s="297"/>
      <c r="AU125" s="19"/>
      <c r="AV125" s="19"/>
      <c r="AW125" s="297"/>
      <c r="AX125" s="297"/>
      <c r="AY125" s="242"/>
      <c r="AZ125" s="243"/>
      <c r="BA125" s="175"/>
      <c r="BB125" s="744"/>
      <c r="BC125" s="744"/>
      <c r="BD125" s="744"/>
      <c r="BE125" s="744"/>
      <c r="BF125" s="744"/>
      <c r="BG125" s="744"/>
      <c r="BH125" s="744"/>
      <c r="BI125" s="744"/>
      <c r="BJ125" s="744"/>
      <c r="BK125" s="744"/>
      <c r="BL125" s="744"/>
      <c r="BM125" s="744"/>
      <c r="BN125" s="744"/>
      <c r="BO125" s="744"/>
      <c r="BP125" s="744"/>
      <c r="BQ125" s="744"/>
      <c r="BR125" s="744"/>
      <c r="BS125" s="744"/>
      <c r="BT125" s="744"/>
      <c r="BU125" s="744"/>
      <c r="BV125" s="744"/>
      <c r="BW125" s="744"/>
      <c r="BX125" s="744"/>
      <c r="BY125" s="744"/>
      <c r="BZ125" s="744"/>
      <c r="CA125" s="744"/>
      <c r="CB125" s="744"/>
      <c r="CC125" s="744"/>
      <c r="CD125" s="744"/>
      <c r="CE125" s="744"/>
      <c r="CF125" s="744"/>
      <c r="CG125" s="744"/>
      <c r="CH125" s="744"/>
      <c r="CI125" s="744"/>
      <c r="CJ125" s="744"/>
      <c r="CK125" s="744"/>
      <c r="CL125" s="744"/>
      <c r="CM125" s="744"/>
      <c r="CN125" s="744"/>
      <c r="CO125" s="744"/>
      <c r="CP125" s="744"/>
      <c r="CQ125" s="744"/>
      <c r="CR125" s="744"/>
      <c r="CS125" s="744"/>
      <c r="CT125" s="744"/>
      <c r="CU125" s="744"/>
      <c r="CV125" s="744"/>
      <c r="CW125" s="744"/>
      <c r="CX125" s="744"/>
      <c r="CY125" s="744"/>
      <c r="CZ125" s="744"/>
      <c r="DA125" s="744"/>
      <c r="DB125" s="744"/>
      <c r="DC125" s="744"/>
      <c r="DD125" s="744"/>
      <c r="DE125" s="744"/>
      <c r="DF125" s="744"/>
      <c r="DG125" s="744"/>
      <c r="DH125" s="744"/>
      <c r="DI125" s="744"/>
      <c r="DJ125" s="744"/>
      <c r="DK125" s="744"/>
      <c r="DL125" s="744"/>
      <c r="DM125" s="744"/>
      <c r="DN125" s="744"/>
      <c r="DO125" s="744"/>
      <c r="DP125" s="744"/>
      <c r="DQ125" s="744"/>
      <c r="DR125" s="744"/>
      <c r="DS125" s="744"/>
      <c r="DT125" s="744" t="str">
        <f t="shared" si="242"/>
        <v>W81-W82</v>
      </c>
      <c r="DU125" s="744"/>
      <c r="DV125" s="744"/>
      <c r="DW125" s="8"/>
    </row>
    <row r="126" spans="1:127" ht="16.05" customHeight="1">
      <c r="A126" s="738" t="s">
        <v>742</v>
      </c>
      <c r="B126" s="738" t="s">
        <v>743</v>
      </c>
      <c r="C126" s="739"/>
      <c r="D126" s="747" t="str">
        <f t="shared" si="329"/>
        <v>W95</v>
      </c>
      <c r="E126" s="744">
        <v>86</v>
      </c>
      <c r="F126" s="744">
        <v>88</v>
      </c>
      <c r="G126" s="744"/>
      <c r="H126" s="744"/>
      <c r="I126" s="744"/>
      <c r="J126" s="738">
        <v>95</v>
      </c>
      <c r="K126" s="738">
        <v>46210.75</v>
      </c>
      <c r="L126" s="738" t="s">
        <v>707</v>
      </c>
      <c r="M126" s="744" t="str">
        <f t="shared" si="330"/>
        <v>W86</v>
      </c>
      <c r="N126" s="744" t="str">
        <f t="shared" si="330"/>
        <v>W88</v>
      </c>
      <c r="O126" s="744"/>
      <c r="P126" s="744"/>
      <c r="Q126" s="744"/>
      <c r="R126" s="744"/>
      <c r="S126" s="744"/>
      <c r="T126" s="744"/>
      <c r="U126" s="744"/>
      <c r="V126" s="172"/>
      <c r="W126" s="835"/>
      <c r="X126" s="189">
        <f ca="1">Horarios!C126</f>
        <v>46210.75</v>
      </c>
      <c r="Y126" s="190">
        <f ca="1">Horarios!C126</f>
        <v>46210.75</v>
      </c>
      <c r="Z126" s="276">
        <f t="shared" si="331"/>
        <v>95</v>
      </c>
      <c r="AA126" s="277" t="str">
        <f t="shared" si="332"/>
        <v>W86</v>
      </c>
      <c r="AB126" s="278"/>
      <c r="AC126" s="309"/>
      <c r="AD126" s="309"/>
      <c r="AE126" s="278"/>
      <c r="AF126" s="280" t="str">
        <f t="shared" si="333"/>
        <v>W88</v>
      </c>
      <c r="AG126" s="417">
        <f t="shared" si="334"/>
        <v>0</v>
      </c>
      <c r="AH126" s="196">
        <v>95</v>
      </c>
      <c r="AI126" s="217"/>
      <c r="AJ126" s="178"/>
      <c r="AK126" s="178"/>
      <c r="AL126" s="178"/>
      <c r="AM126" s="297"/>
      <c r="AN126" s="297"/>
      <c r="AO126" s="297"/>
      <c r="AP126" s="297"/>
      <c r="AQ126" s="297"/>
      <c r="AR126" s="297"/>
      <c r="AS126" s="297"/>
      <c r="AT126" s="297"/>
      <c r="AU126" s="19"/>
      <c r="AV126" s="19"/>
      <c r="AW126" s="297"/>
      <c r="AX126" s="297"/>
      <c r="AY126" s="242"/>
      <c r="AZ126" s="243"/>
      <c r="BA126" s="175"/>
      <c r="BB126" s="744"/>
      <c r="BC126" s="744"/>
      <c r="BD126" s="744"/>
      <c r="BE126" s="744"/>
      <c r="BF126" s="744"/>
      <c r="BG126" s="744"/>
      <c r="BH126" s="744"/>
      <c r="BI126" s="744"/>
      <c r="BJ126" s="744"/>
      <c r="BK126" s="744"/>
      <c r="BL126" s="744"/>
      <c r="BM126" s="744"/>
      <c r="BN126" s="744"/>
      <c r="BO126" s="744"/>
      <c r="BP126" s="744"/>
      <c r="BQ126" s="744"/>
      <c r="BR126" s="744"/>
      <c r="BS126" s="744"/>
      <c r="BT126" s="744"/>
      <c r="BU126" s="744"/>
      <c r="BV126" s="744"/>
      <c r="BW126" s="744"/>
      <c r="BX126" s="744"/>
      <c r="BY126" s="744"/>
      <c r="BZ126" s="744"/>
      <c r="CA126" s="744"/>
      <c r="CB126" s="744"/>
      <c r="CC126" s="744"/>
      <c r="CD126" s="744"/>
      <c r="CE126" s="744"/>
      <c r="CF126" s="744"/>
      <c r="CG126" s="744"/>
      <c r="CH126" s="744"/>
      <c r="CI126" s="744"/>
      <c r="CJ126" s="744"/>
      <c r="CK126" s="744"/>
      <c r="CL126" s="744"/>
      <c r="CM126" s="744"/>
      <c r="CN126" s="744"/>
      <c r="CO126" s="744"/>
      <c r="CP126" s="744"/>
      <c r="CQ126" s="744"/>
      <c r="CR126" s="744"/>
      <c r="CS126" s="744"/>
      <c r="CT126" s="744"/>
      <c r="CU126" s="744"/>
      <c r="CV126" s="744"/>
      <c r="CW126" s="744"/>
      <c r="CX126" s="744"/>
      <c r="CY126" s="744"/>
      <c r="CZ126" s="744"/>
      <c r="DA126" s="744"/>
      <c r="DB126" s="744"/>
      <c r="DC126" s="744"/>
      <c r="DD126" s="744"/>
      <c r="DE126" s="744"/>
      <c r="DF126" s="744"/>
      <c r="DG126" s="744"/>
      <c r="DH126" s="744"/>
      <c r="DI126" s="744"/>
      <c r="DJ126" s="744"/>
      <c r="DK126" s="744"/>
      <c r="DL126" s="744"/>
      <c r="DM126" s="744"/>
      <c r="DN126" s="744"/>
      <c r="DO126" s="744"/>
      <c r="DP126" s="744"/>
      <c r="DQ126" s="744"/>
      <c r="DR126" s="744"/>
      <c r="DS126" s="744"/>
      <c r="DT126" s="744" t="str">
        <f t="shared" si="242"/>
        <v>W86-W88</v>
      </c>
      <c r="DU126" s="744"/>
      <c r="DV126" s="744"/>
      <c r="DW126" s="8"/>
    </row>
    <row r="127" spans="1:127" ht="16.05" customHeight="1" thickBot="1">
      <c r="A127" s="738" t="s">
        <v>744</v>
      </c>
      <c r="B127" s="738" t="s">
        <v>745</v>
      </c>
      <c r="C127" s="739"/>
      <c r="D127" s="747" t="str">
        <f t="shared" si="329"/>
        <v>W96</v>
      </c>
      <c r="E127" s="744">
        <v>85</v>
      </c>
      <c r="F127" s="744">
        <v>87</v>
      </c>
      <c r="G127" s="744"/>
      <c r="H127" s="744"/>
      <c r="I127" s="744"/>
      <c r="J127" s="738">
        <v>96</v>
      </c>
      <c r="K127" s="738">
        <v>46210.875</v>
      </c>
      <c r="L127" s="738" t="s">
        <v>708</v>
      </c>
      <c r="M127" s="744" t="str">
        <f t="shared" si="330"/>
        <v>W85</v>
      </c>
      <c r="N127" s="744" t="str">
        <f t="shared" si="330"/>
        <v>W87</v>
      </c>
      <c r="O127" s="744"/>
      <c r="P127" s="744"/>
      <c r="Q127" s="744"/>
      <c r="R127" s="744"/>
      <c r="S127" s="744"/>
      <c r="T127" s="744"/>
      <c r="U127" s="744"/>
      <c r="V127" s="172"/>
      <c r="W127" s="836"/>
      <c r="X127" s="228">
        <f ca="1">Horarios!C127</f>
        <v>46210.916666666664</v>
      </c>
      <c r="Y127" s="229">
        <f ca="1">Horarios!C127</f>
        <v>46210.916666666664</v>
      </c>
      <c r="Z127" s="299">
        <f t="shared" si="331"/>
        <v>96</v>
      </c>
      <c r="AA127" s="300" t="str">
        <f t="shared" si="332"/>
        <v>W85</v>
      </c>
      <c r="AB127" s="301"/>
      <c r="AC127" s="310"/>
      <c r="AD127" s="310"/>
      <c r="AE127" s="301"/>
      <c r="AF127" s="303" t="str">
        <f t="shared" si="333"/>
        <v>W87</v>
      </c>
      <c r="AG127" s="417">
        <f t="shared" si="334"/>
        <v>0</v>
      </c>
      <c r="AH127" s="196">
        <v>96</v>
      </c>
      <c r="AI127" s="217"/>
      <c r="AJ127" s="178"/>
      <c r="AK127" s="178"/>
      <c r="AL127" s="178"/>
      <c r="AM127" s="297"/>
      <c r="AN127" s="297"/>
      <c r="AO127" s="297"/>
      <c r="AP127" s="297"/>
      <c r="AQ127" s="297"/>
      <c r="AR127" s="297"/>
      <c r="AS127" s="297"/>
      <c r="AT127" s="297"/>
      <c r="AU127" s="19"/>
      <c r="AV127" s="19"/>
      <c r="AW127" s="297"/>
      <c r="AX127" s="297"/>
      <c r="AY127" s="242"/>
      <c r="AZ127" s="243"/>
      <c r="BA127" s="175"/>
      <c r="BB127" s="744"/>
      <c r="BC127" s="744"/>
      <c r="BD127" s="744"/>
      <c r="BE127" s="744"/>
      <c r="BF127" s="744"/>
      <c r="BG127" s="744"/>
      <c r="BH127" s="744"/>
      <c r="BI127" s="744"/>
      <c r="BJ127" s="744"/>
      <c r="BK127" s="744"/>
      <c r="BL127" s="744"/>
      <c r="BM127" s="744"/>
      <c r="BN127" s="744"/>
      <c r="BO127" s="744"/>
      <c r="BP127" s="744"/>
      <c r="BQ127" s="744"/>
      <c r="BR127" s="744"/>
      <c r="BS127" s="744"/>
      <c r="BT127" s="744"/>
      <c r="BU127" s="744"/>
      <c r="BV127" s="744"/>
      <c r="BW127" s="744"/>
      <c r="BX127" s="744"/>
      <c r="BY127" s="744"/>
      <c r="BZ127" s="744"/>
      <c r="CA127" s="744"/>
      <c r="CB127" s="744"/>
      <c r="CC127" s="744"/>
      <c r="CD127" s="744"/>
      <c r="CE127" s="744"/>
      <c r="CF127" s="744"/>
      <c r="CG127" s="744"/>
      <c r="CH127" s="744"/>
      <c r="CI127" s="744"/>
      <c r="CJ127" s="744"/>
      <c r="CK127" s="744"/>
      <c r="CL127" s="744"/>
      <c r="CM127" s="744"/>
      <c r="CN127" s="744"/>
      <c r="CO127" s="744"/>
      <c r="CP127" s="744"/>
      <c r="CQ127" s="744"/>
      <c r="CR127" s="744"/>
      <c r="CS127" s="744"/>
      <c r="CT127" s="744"/>
      <c r="CU127" s="744"/>
      <c r="CV127" s="744"/>
      <c r="CW127" s="744"/>
      <c r="CX127" s="744"/>
      <c r="CY127" s="744"/>
      <c r="CZ127" s="744"/>
      <c r="DA127" s="744"/>
      <c r="DB127" s="744"/>
      <c r="DC127" s="744"/>
      <c r="DD127" s="744"/>
      <c r="DE127" s="744"/>
      <c r="DF127" s="744"/>
      <c r="DG127" s="744"/>
      <c r="DH127" s="744"/>
      <c r="DI127" s="744"/>
      <c r="DJ127" s="744"/>
      <c r="DK127" s="744"/>
      <c r="DL127" s="744"/>
      <c r="DM127" s="744"/>
      <c r="DN127" s="744"/>
      <c r="DO127" s="744"/>
      <c r="DP127" s="744"/>
      <c r="DQ127" s="744"/>
      <c r="DR127" s="744"/>
      <c r="DS127" s="744"/>
      <c r="DT127" s="744" t="str">
        <f t="shared" si="242"/>
        <v>W85-W87</v>
      </c>
      <c r="DU127" s="744"/>
      <c r="DV127" s="744"/>
      <c r="DW127" s="8"/>
    </row>
    <row r="128" spans="1:127" ht="16.05" customHeight="1" thickBot="1">
      <c r="A128" s="739"/>
      <c r="B128" s="739"/>
      <c r="C128" s="739"/>
      <c r="D128" s="747"/>
      <c r="E128" s="744"/>
      <c r="F128" s="744"/>
      <c r="G128" s="744"/>
      <c r="H128" s="744"/>
      <c r="I128" s="744"/>
      <c r="J128" s="744"/>
      <c r="K128" s="744"/>
      <c r="L128" s="744"/>
      <c r="M128" s="744"/>
      <c r="N128" s="744"/>
      <c r="O128" s="744"/>
      <c r="P128" s="744"/>
      <c r="Q128" s="744"/>
      <c r="R128" s="744"/>
      <c r="S128" s="744"/>
      <c r="T128" s="744"/>
      <c r="U128" s="744"/>
      <c r="V128" s="172"/>
      <c r="W128" s="242"/>
      <c r="X128" s="243"/>
      <c r="Y128" s="242"/>
      <c r="Z128" s="244"/>
      <c r="AA128" s="245"/>
      <c r="AB128" s="246"/>
      <c r="AC128" s="247"/>
      <c r="AD128" s="247"/>
      <c r="AE128" s="246"/>
      <c r="AF128" s="248"/>
      <c r="AG128" s="416"/>
      <c r="AH128" s="196"/>
      <c r="AI128" s="217"/>
      <c r="AJ128" s="178"/>
      <c r="AK128" s="178"/>
      <c r="AL128" s="178"/>
      <c r="AM128" s="297"/>
      <c r="AN128" s="297"/>
      <c r="AO128" s="297"/>
      <c r="AP128" s="297"/>
      <c r="AQ128" s="297"/>
      <c r="AR128" s="297"/>
      <c r="AS128" s="297"/>
      <c r="AT128" s="297"/>
      <c r="AU128" s="19"/>
      <c r="AV128" s="19"/>
      <c r="AW128" s="297"/>
      <c r="AX128" s="297"/>
      <c r="AY128" s="242"/>
      <c r="AZ128" s="243"/>
      <c r="BA128" s="175"/>
      <c r="BB128" s="744"/>
      <c r="BC128" s="744"/>
      <c r="BD128" s="744"/>
      <c r="BE128" s="744"/>
      <c r="BF128" s="744"/>
      <c r="BG128" s="744"/>
      <c r="BH128" s="744"/>
      <c r="BI128" s="744"/>
      <c r="BJ128" s="744"/>
      <c r="BK128" s="744"/>
      <c r="BL128" s="744"/>
      <c r="BM128" s="744"/>
      <c r="BN128" s="744"/>
      <c r="BO128" s="744"/>
      <c r="BP128" s="744"/>
      <c r="BQ128" s="744"/>
      <c r="BR128" s="744"/>
      <c r="BS128" s="744"/>
      <c r="BT128" s="744"/>
      <c r="BU128" s="744"/>
      <c r="BV128" s="744"/>
      <c r="BW128" s="744"/>
      <c r="BX128" s="744"/>
      <c r="BY128" s="744"/>
      <c r="BZ128" s="744"/>
      <c r="CA128" s="744"/>
      <c r="CB128" s="744"/>
      <c r="CC128" s="744"/>
      <c r="CD128" s="744"/>
      <c r="CE128" s="744"/>
      <c r="CF128" s="744"/>
      <c r="CG128" s="744"/>
      <c r="CH128" s="744"/>
      <c r="CI128" s="744"/>
      <c r="CJ128" s="744"/>
      <c r="CK128" s="744"/>
      <c r="CL128" s="744"/>
      <c r="CM128" s="744"/>
      <c r="CN128" s="744"/>
      <c r="CO128" s="744"/>
      <c r="CP128" s="744"/>
      <c r="CQ128" s="744"/>
      <c r="CR128" s="744"/>
      <c r="CS128" s="744"/>
      <c r="CT128" s="744"/>
      <c r="CU128" s="744"/>
      <c r="CV128" s="744"/>
      <c r="CW128" s="744"/>
      <c r="CX128" s="744"/>
      <c r="CY128" s="744"/>
      <c r="CZ128" s="744"/>
      <c r="DA128" s="744"/>
      <c r="DB128" s="744"/>
      <c r="DC128" s="744"/>
      <c r="DD128" s="744"/>
      <c r="DE128" s="744"/>
      <c r="DF128" s="744"/>
      <c r="DG128" s="744"/>
      <c r="DH128" s="744"/>
      <c r="DI128" s="744"/>
      <c r="DJ128" s="744"/>
      <c r="DK128" s="744"/>
      <c r="DL128" s="744"/>
      <c r="DM128" s="744"/>
      <c r="DN128" s="744"/>
      <c r="DO128" s="744"/>
      <c r="DP128" s="744"/>
      <c r="DQ128" s="744"/>
      <c r="DR128" s="744"/>
      <c r="DS128" s="744"/>
      <c r="DT128" s="744" t="str">
        <f t="shared" si="242"/>
        <v>-</v>
      </c>
      <c r="DU128" s="744"/>
      <c r="DV128" s="744"/>
      <c r="DW128" s="8"/>
    </row>
    <row r="129" spans="1:127" ht="16.05" customHeight="1" thickBot="1">
      <c r="A129" s="739"/>
      <c r="B129" s="739"/>
      <c r="C129" s="739"/>
      <c r="D129" s="747"/>
      <c r="E129" s="744"/>
      <c r="F129" s="744"/>
      <c r="G129" s="744"/>
      <c r="H129" s="744"/>
      <c r="I129" s="744"/>
      <c r="J129" s="744"/>
      <c r="K129" s="744"/>
      <c r="L129" s="744"/>
      <c r="M129" s="744"/>
      <c r="N129" s="744"/>
      <c r="O129" s="744"/>
      <c r="P129" s="744"/>
      <c r="Q129" s="744"/>
      <c r="R129" s="744"/>
      <c r="S129" s="744"/>
      <c r="T129" s="744"/>
      <c r="U129" s="744"/>
      <c r="V129" s="172"/>
      <c r="W129" s="269" t="str">
        <f>Idiomas!D27</f>
        <v>Cuartos de final</v>
      </c>
      <c r="X129" s="270"/>
      <c r="Y129" s="271"/>
      <c r="Z129" s="271"/>
      <c r="AA129" s="271"/>
      <c r="AB129" s="271"/>
      <c r="AC129" s="271"/>
      <c r="AD129" s="271"/>
      <c r="AE129" s="271"/>
      <c r="AF129" s="272"/>
      <c r="AG129" s="414"/>
      <c r="AH129" s="19"/>
      <c r="AI129" s="217"/>
      <c r="AJ129" s="178"/>
      <c r="AK129" s="178"/>
      <c r="AL129" s="178"/>
      <c r="AM129" s="297"/>
      <c r="AN129" s="297"/>
      <c r="AO129" s="297"/>
      <c r="AP129" s="297"/>
      <c r="AQ129" s="297"/>
      <c r="AR129" s="297"/>
      <c r="AS129" s="297"/>
      <c r="AT129" s="297"/>
      <c r="AU129" s="19"/>
      <c r="AV129" s="19"/>
      <c r="AW129" s="297"/>
      <c r="AX129" s="297"/>
      <c r="AY129" s="242"/>
      <c r="AZ129" s="243"/>
      <c r="BA129" s="175"/>
      <c r="BB129" s="744"/>
      <c r="BC129" s="744"/>
      <c r="BD129" s="744"/>
      <c r="BE129" s="744"/>
      <c r="BF129" s="744"/>
      <c r="BG129" s="744"/>
      <c r="BH129" s="744"/>
      <c r="BI129" s="744"/>
      <c r="BJ129" s="744"/>
      <c r="BK129" s="744"/>
      <c r="BL129" s="744"/>
      <c r="BM129" s="744"/>
      <c r="BN129" s="744"/>
      <c r="BO129" s="744"/>
      <c r="BP129" s="744"/>
      <c r="BQ129" s="744"/>
      <c r="BR129" s="744"/>
      <c r="BS129" s="744"/>
      <c r="BT129" s="744"/>
      <c r="BU129" s="744"/>
      <c r="BV129" s="744"/>
      <c r="BW129" s="744"/>
      <c r="BX129" s="744"/>
      <c r="BY129" s="744"/>
      <c r="BZ129" s="744"/>
      <c r="CA129" s="744"/>
      <c r="CB129" s="744"/>
      <c r="CC129" s="744"/>
      <c r="CD129" s="744"/>
      <c r="CE129" s="744"/>
      <c r="CF129" s="744"/>
      <c r="CG129" s="744"/>
      <c r="CH129" s="744"/>
      <c r="CI129" s="744"/>
      <c r="CJ129" s="744"/>
      <c r="CK129" s="744"/>
      <c r="CL129" s="744"/>
      <c r="CM129" s="744"/>
      <c r="CN129" s="744"/>
      <c r="CO129" s="744"/>
      <c r="CP129" s="744"/>
      <c r="CQ129" s="744"/>
      <c r="CR129" s="744"/>
      <c r="CS129" s="744"/>
      <c r="CT129" s="744"/>
      <c r="CU129" s="744"/>
      <c r="CV129" s="744"/>
      <c r="CW129" s="744"/>
      <c r="CX129" s="744"/>
      <c r="CY129" s="744"/>
      <c r="CZ129" s="744"/>
      <c r="DA129" s="744"/>
      <c r="DB129" s="744"/>
      <c r="DC129" s="744"/>
      <c r="DD129" s="744"/>
      <c r="DE129" s="744"/>
      <c r="DF129" s="744"/>
      <c r="DG129" s="744"/>
      <c r="DH129" s="744"/>
      <c r="DI129" s="744"/>
      <c r="DJ129" s="744"/>
      <c r="DK129" s="744"/>
      <c r="DL129" s="744"/>
      <c r="DM129" s="744"/>
      <c r="DN129" s="744"/>
      <c r="DO129" s="744"/>
      <c r="DP129" s="744"/>
      <c r="DQ129" s="744"/>
      <c r="DR129" s="744"/>
      <c r="DS129" s="744"/>
      <c r="DT129" s="744" t="str">
        <f t="shared" si="242"/>
        <v>-</v>
      </c>
      <c r="DU129" s="744"/>
      <c r="DV129" s="744"/>
      <c r="DW129" s="8"/>
    </row>
    <row r="130" spans="1:127" ht="16.05" customHeight="1">
      <c r="A130" s="739"/>
      <c r="B130" s="739"/>
      <c r="C130" s="739"/>
      <c r="D130" s="747"/>
      <c r="E130" s="744"/>
      <c r="F130" s="744"/>
      <c r="G130" s="744"/>
      <c r="H130" s="744"/>
      <c r="I130" s="744"/>
      <c r="J130" s="744"/>
      <c r="K130" s="744"/>
      <c r="L130" s="744"/>
      <c r="M130" s="744"/>
      <c r="N130" s="744"/>
      <c r="O130" s="744"/>
      <c r="P130" s="744"/>
      <c r="Q130" s="744"/>
      <c r="R130" s="744"/>
      <c r="S130" s="744"/>
      <c r="T130" s="744"/>
      <c r="U130" s="744"/>
      <c r="V130" s="172"/>
      <c r="W130" s="179"/>
      <c r="X130" s="180" t="str">
        <f>X3</f>
        <v>Fecha</v>
      </c>
      <c r="Y130" s="180" t="str">
        <f>Y3</f>
        <v>Hora</v>
      </c>
      <c r="Z130" s="265"/>
      <c r="AA130" s="266" t="str">
        <f>AA3</f>
        <v>Casa</v>
      </c>
      <c r="AB130" s="265" t="s">
        <v>13</v>
      </c>
      <c r="AC130" s="180" t="str">
        <f>AC3</f>
        <v>Gol</v>
      </c>
      <c r="AD130" s="180" t="str">
        <f>AD3</f>
        <v>Gol</v>
      </c>
      <c r="AE130" s="265" t="s">
        <v>13</v>
      </c>
      <c r="AF130" s="267" t="str">
        <f>AF3</f>
        <v>Fuera</v>
      </c>
      <c r="AG130" s="414"/>
      <c r="AH130" s="19"/>
      <c r="AI130" s="217"/>
      <c r="AJ130" s="178"/>
      <c r="AK130" s="178"/>
      <c r="AL130" s="178"/>
      <c r="AM130" s="297"/>
      <c r="AN130" s="297"/>
      <c r="AO130" s="297"/>
      <c r="AP130" s="297"/>
      <c r="AQ130" s="297"/>
      <c r="AR130" s="297"/>
      <c r="AS130" s="297"/>
      <c r="AT130" s="297"/>
      <c r="AU130" s="19"/>
      <c r="AV130" s="19"/>
      <c r="AW130" s="297"/>
      <c r="AX130" s="297"/>
      <c r="AY130" s="242"/>
      <c r="AZ130" s="243"/>
      <c r="BA130" s="175"/>
      <c r="BB130" s="744"/>
      <c r="BC130" s="744"/>
      <c r="BD130" s="744"/>
      <c r="BE130" s="744"/>
      <c r="BF130" s="744"/>
      <c r="BG130" s="744"/>
      <c r="BH130" s="744"/>
      <c r="BI130" s="744"/>
      <c r="BJ130" s="744"/>
      <c r="BK130" s="744"/>
      <c r="BL130" s="744"/>
      <c r="BM130" s="744"/>
      <c r="BN130" s="744"/>
      <c r="BO130" s="744"/>
      <c r="BP130" s="744"/>
      <c r="BQ130" s="744"/>
      <c r="BR130" s="744"/>
      <c r="BS130" s="744"/>
      <c r="BT130" s="744"/>
      <c r="BU130" s="744"/>
      <c r="BV130" s="744"/>
      <c r="BW130" s="744"/>
      <c r="BX130" s="744"/>
      <c r="BY130" s="744"/>
      <c r="BZ130" s="744"/>
      <c r="CA130" s="744"/>
      <c r="CB130" s="744"/>
      <c r="CC130" s="744"/>
      <c r="CD130" s="744"/>
      <c r="CE130" s="744"/>
      <c r="CF130" s="744"/>
      <c r="CG130" s="744"/>
      <c r="CH130" s="744"/>
      <c r="CI130" s="744"/>
      <c r="CJ130" s="744"/>
      <c r="CK130" s="744"/>
      <c r="CL130" s="744"/>
      <c r="CM130" s="744"/>
      <c r="CN130" s="744"/>
      <c r="CO130" s="744"/>
      <c r="CP130" s="744"/>
      <c r="CQ130" s="744"/>
      <c r="CR130" s="744"/>
      <c r="CS130" s="744"/>
      <c r="CT130" s="744"/>
      <c r="CU130" s="744"/>
      <c r="CV130" s="744"/>
      <c r="CW130" s="744"/>
      <c r="CX130" s="744"/>
      <c r="CY130" s="744"/>
      <c r="CZ130" s="744"/>
      <c r="DA130" s="744"/>
      <c r="DB130" s="744"/>
      <c r="DC130" s="744"/>
      <c r="DD130" s="744"/>
      <c r="DE130" s="744"/>
      <c r="DF130" s="744"/>
      <c r="DG130" s="744"/>
      <c r="DH130" s="744"/>
      <c r="DI130" s="744"/>
      <c r="DJ130" s="744"/>
      <c r="DK130" s="744"/>
      <c r="DL130" s="744"/>
      <c r="DM130" s="744"/>
      <c r="DN130" s="744"/>
      <c r="DO130" s="744"/>
      <c r="DP130" s="744"/>
      <c r="DQ130" s="744"/>
      <c r="DR130" s="744"/>
      <c r="DS130" s="744"/>
      <c r="DT130" s="744" t="str">
        <f t="shared" si="242"/>
        <v>Casa-Fuera</v>
      </c>
      <c r="DU130" s="744"/>
      <c r="DV130" s="744"/>
      <c r="DW130" s="8"/>
    </row>
    <row r="131" spans="1:127" ht="16.05" customHeight="1">
      <c r="A131" s="738" t="s">
        <v>746</v>
      </c>
      <c r="B131" s="738" t="s">
        <v>747</v>
      </c>
      <c r="C131" s="739"/>
      <c r="D131" s="747" t="str">
        <f>IF(AND(OR(AC131="",AD131="")),"W"&amp;AH131,IF(AC131&gt;AD131,AA131,IF(AC131&lt;AD131,AF131,IF(AND(AC131=AD131,AB131=AE131),"W"&amp;AH131,IF(AND(AC131=AD131,OR(AB131="",AE131="")),"W"&amp;AH131,IF(AND(AC131=AD131,AB131&gt;AE131),AA131,AF131))))))</f>
        <v>W97</v>
      </c>
      <c r="E131" s="744">
        <v>89</v>
      </c>
      <c r="F131" s="744">
        <v>90</v>
      </c>
      <c r="G131" s="744"/>
      <c r="H131" s="744"/>
      <c r="I131" s="744"/>
      <c r="J131" s="738">
        <v>97</v>
      </c>
      <c r="K131" s="738">
        <v>46212.75</v>
      </c>
      <c r="L131" s="738" t="s">
        <v>709</v>
      </c>
      <c r="M131" s="744" t="str">
        <f t="shared" ref="M131:N134" si="335">+INDEX($D$101:$D$147,MATCH(E131,$AH$101:$AH$147,0))</f>
        <v>W89</v>
      </c>
      <c r="N131" s="744" t="str">
        <f t="shared" si="335"/>
        <v>W90</v>
      </c>
      <c r="O131" s="744"/>
      <c r="P131" s="744"/>
      <c r="Q131" s="744"/>
      <c r="R131" s="744"/>
      <c r="S131" s="744"/>
      <c r="T131" s="744"/>
      <c r="U131" s="744"/>
      <c r="V131" s="172"/>
      <c r="W131" s="837" t="s">
        <v>34</v>
      </c>
      <c r="X131" s="189">
        <f ca="1">Horarios!C131</f>
        <v>46212.916666666664</v>
      </c>
      <c r="Y131" s="190">
        <f ca="1">Horarios!C131</f>
        <v>46212.916666666664</v>
      </c>
      <c r="Z131" s="311">
        <f t="shared" ref="Z131:Z134" si="336">AH131</f>
        <v>97</v>
      </c>
      <c r="AA131" s="277" t="str">
        <f t="shared" ref="AA131:AA134" si="337">+INDEX($M$101:$M$147,MATCH(AH131,$J$101:$J$147,0))</f>
        <v>W89</v>
      </c>
      <c r="AB131" s="308"/>
      <c r="AC131" s="305"/>
      <c r="AD131" s="305"/>
      <c r="AE131" s="279"/>
      <c r="AF131" s="312" t="str">
        <f>+INDEX($N$101:$N$147,MATCH(AH131,$J$101:$J$147,0))</f>
        <v>W90</v>
      </c>
      <c r="AG131" s="417">
        <f>IF(D131="W"&amp;AH131,0,1)</f>
        <v>0</v>
      </c>
      <c r="AH131" s="313">
        <v>97</v>
      </c>
      <c r="AI131" s="217"/>
      <c r="AJ131" s="178"/>
      <c r="AK131" s="178"/>
      <c r="AL131" s="178"/>
      <c r="AM131" s="297"/>
      <c r="AN131" s="297"/>
      <c r="AO131" s="297"/>
      <c r="AP131" s="297"/>
      <c r="AQ131" s="297"/>
      <c r="AR131" s="297"/>
      <c r="AS131" s="297"/>
      <c r="AT131" s="297"/>
      <c r="AU131" s="19"/>
      <c r="AV131" s="19"/>
      <c r="AW131" s="297"/>
      <c r="AX131" s="297"/>
      <c r="AY131" s="242"/>
      <c r="AZ131" s="243"/>
      <c r="BA131" s="17"/>
      <c r="BB131" s="744"/>
      <c r="BC131" s="747"/>
      <c r="BD131" s="744"/>
      <c r="BE131" s="744"/>
      <c r="BF131" s="744"/>
      <c r="BG131" s="744"/>
      <c r="BH131" s="744"/>
      <c r="BI131" s="744"/>
      <c r="BJ131" s="744"/>
      <c r="BK131" s="744"/>
      <c r="BL131" s="744"/>
      <c r="BM131" s="744"/>
      <c r="BN131" s="744"/>
      <c r="BO131" s="744"/>
      <c r="BP131" s="744"/>
      <c r="BQ131" s="744"/>
      <c r="BR131" s="744"/>
      <c r="BS131" s="744"/>
      <c r="BT131" s="744"/>
      <c r="BU131" s="744"/>
      <c r="BV131" s="744"/>
      <c r="BW131" s="744"/>
      <c r="BX131" s="744"/>
      <c r="BY131" s="744"/>
      <c r="BZ131" s="744"/>
      <c r="CA131" s="744"/>
      <c r="CB131" s="744"/>
      <c r="CC131" s="744"/>
      <c r="CD131" s="744"/>
      <c r="CE131" s="744"/>
      <c r="CF131" s="744"/>
      <c r="CG131" s="744"/>
      <c r="CH131" s="744"/>
      <c r="CI131" s="744"/>
      <c r="CJ131" s="744"/>
      <c r="CK131" s="744"/>
      <c r="CL131" s="744"/>
      <c r="CM131" s="744"/>
      <c r="CN131" s="744"/>
      <c r="CO131" s="744"/>
      <c r="CP131" s="744"/>
      <c r="CQ131" s="744"/>
      <c r="CR131" s="744"/>
      <c r="CS131" s="744"/>
      <c r="CT131" s="744"/>
      <c r="CU131" s="744"/>
      <c r="CV131" s="744"/>
      <c r="CW131" s="744"/>
      <c r="CX131" s="744"/>
      <c r="CY131" s="744"/>
      <c r="CZ131" s="744"/>
      <c r="DA131" s="744"/>
      <c r="DB131" s="744"/>
      <c r="DC131" s="744"/>
      <c r="DD131" s="744"/>
      <c r="DE131" s="744"/>
      <c r="DF131" s="744"/>
      <c r="DG131" s="744"/>
      <c r="DH131" s="744"/>
      <c r="DI131" s="744"/>
      <c r="DJ131" s="744"/>
      <c r="DK131" s="744"/>
      <c r="DL131" s="744"/>
      <c r="DM131" s="744"/>
      <c r="DN131" s="744"/>
      <c r="DO131" s="744"/>
      <c r="DP131" s="744"/>
      <c r="DQ131" s="744"/>
      <c r="DR131" s="744"/>
      <c r="DS131" s="744"/>
      <c r="DT131" s="744" t="str">
        <f t="shared" si="242"/>
        <v>W89-W90</v>
      </c>
      <c r="DU131" s="744"/>
      <c r="DV131" s="744"/>
      <c r="DW131" s="8"/>
    </row>
    <row r="132" spans="1:127" ht="16.05" customHeight="1">
      <c r="A132" s="738" t="s">
        <v>748</v>
      </c>
      <c r="B132" s="738" t="s">
        <v>749</v>
      </c>
      <c r="C132" s="739"/>
      <c r="D132" s="747" t="str">
        <f>IF(AND(OR(AC132="",AD132="")),"W"&amp;AH132,IF(AC132&gt;AD132,AA132,IF(AC132&lt;AD132,AF132,IF(AND(AC132=AD132,AB132=AE132),"W"&amp;AH132,IF(AND(AC132=AD132,OR(AB132="",AE132="")),"W"&amp;AH132,IF(AND(AC132=AD132,AB132&gt;AE132),AA132,AF132))))))</f>
        <v>W98</v>
      </c>
      <c r="E132" s="744">
        <v>93</v>
      </c>
      <c r="F132" s="744">
        <v>94</v>
      </c>
      <c r="G132" s="744"/>
      <c r="H132" s="744"/>
      <c r="I132" s="744"/>
      <c r="J132" s="738">
        <v>98</v>
      </c>
      <c r="K132" s="738">
        <v>46213.875</v>
      </c>
      <c r="L132" s="738" t="s">
        <v>710</v>
      </c>
      <c r="M132" s="744" t="str">
        <f t="shared" si="335"/>
        <v>W93</v>
      </c>
      <c r="N132" s="744" t="str">
        <f t="shared" si="335"/>
        <v>W94</v>
      </c>
      <c r="O132" s="744"/>
      <c r="P132" s="744"/>
      <c r="Q132" s="744"/>
      <c r="R132" s="744"/>
      <c r="S132" s="744"/>
      <c r="T132" s="744"/>
      <c r="U132" s="744"/>
      <c r="V132" s="172"/>
      <c r="W132" s="837"/>
      <c r="X132" s="189">
        <f ca="1">Horarios!C132</f>
        <v>46213.875</v>
      </c>
      <c r="Y132" s="190">
        <f ca="1">Horarios!C132</f>
        <v>46213.875</v>
      </c>
      <c r="Z132" s="311">
        <f t="shared" si="336"/>
        <v>98</v>
      </c>
      <c r="AA132" s="277" t="str">
        <f t="shared" si="337"/>
        <v>W93</v>
      </c>
      <c r="AB132" s="278"/>
      <c r="AC132" s="309"/>
      <c r="AD132" s="309"/>
      <c r="AE132" s="278"/>
      <c r="AF132" s="312" t="str">
        <f>+INDEX($N$101:$N$147,MATCH(AH132,$J$101:$J$147,0))</f>
        <v>W94</v>
      </c>
      <c r="AG132" s="417">
        <f>IF(D132="W"&amp;AH132,0,1)</f>
        <v>0</v>
      </c>
      <c r="AH132" s="313">
        <v>98</v>
      </c>
      <c r="AI132" s="217"/>
      <c r="AJ132" s="178"/>
      <c r="AK132" s="178"/>
      <c r="AL132" s="178"/>
      <c r="AM132" s="297"/>
      <c r="AN132" s="297"/>
      <c r="AO132" s="297"/>
      <c r="AP132" s="297"/>
      <c r="AQ132" s="297"/>
      <c r="AR132" s="297"/>
      <c r="AS132" s="297"/>
      <c r="AT132" s="297"/>
      <c r="AU132" s="19"/>
      <c r="AV132" s="19"/>
      <c r="AW132" s="297"/>
      <c r="AX132" s="297"/>
      <c r="AY132" s="242"/>
      <c r="AZ132" s="243"/>
      <c r="BA132" s="17"/>
      <c r="BB132" s="744"/>
      <c r="BC132" s="747"/>
      <c r="BD132" s="744"/>
      <c r="BE132" s="744"/>
      <c r="BF132" s="744"/>
      <c r="BG132" s="744"/>
      <c r="BH132" s="744"/>
      <c r="BI132" s="744"/>
      <c r="BJ132" s="744"/>
      <c r="BK132" s="744"/>
      <c r="BL132" s="744"/>
      <c r="BM132" s="744"/>
      <c r="BN132" s="744"/>
      <c r="BO132" s="744"/>
      <c r="BP132" s="744"/>
      <c r="BQ132" s="744"/>
      <c r="BR132" s="744"/>
      <c r="BS132" s="744"/>
      <c r="BT132" s="744"/>
      <c r="BU132" s="744"/>
      <c r="BV132" s="744"/>
      <c r="BW132" s="744"/>
      <c r="BX132" s="744"/>
      <c r="BY132" s="744"/>
      <c r="BZ132" s="744"/>
      <c r="CA132" s="744"/>
      <c r="CB132" s="744"/>
      <c r="CC132" s="744"/>
      <c r="CD132" s="744"/>
      <c r="CE132" s="744"/>
      <c r="CF132" s="744"/>
      <c r="CG132" s="744"/>
      <c r="CH132" s="744"/>
      <c r="CI132" s="744"/>
      <c r="CJ132" s="744"/>
      <c r="CK132" s="744"/>
      <c r="CL132" s="744"/>
      <c r="CM132" s="744"/>
      <c r="CN132" s="744"/>
      <c r="CO132" s="744"/>
      <c r="CP132" s="744"/>
      <c r="CQ132" s="744"/>
      <c r="CR132" s="744"/>
      <c r="CS132" s="744"/>
      <c r="CT132" s="744"/>
      <c r="CU132" s="744"/>
      <c r="CV132" s="744"/>
      <c r="CW132" s="744"/>
      <c r="CX132" s="744"/>
      <c r="CY132" s="744"/>
      <c r="CZ132" s="744"/>
      <c r="DA132" s="744"/>
      <c r="DB132" s="744"/>
      <c r="DC132" s="744"/>
      <c r="DD132" s="744"/>
      <c r="DE132" s="744"/>
      <c r="DF132" s="744"/>
      <c r="DG132" s="744"/>
      <c r="DH132" s="744"/>
      <c r="DI132" s="744"/>
      <c r="DJ132" s="744"/>
      <c r="DK132" s="744"/>
      <c r="DL132" s="744"/>
      <c r="DM132" s="744"/>
      <c r="DN132" s="744"/>
      <c r="DO132" s="744"/>
      <c r="DP132" s="744"/>
      <c r="DQ132" s="744"/>
      <c r="DR132" s="744"/>
      <c r="DS132" s="744"/>
      <c r="DT132" s="744" t="str">
        <f t="shared" si="242"/>
        <v>W93-W94</v>
      </c>
      <c r="DU132" s="744"/>
      <c r="DV132" s="744"/>
      <c r="DW132" s="8"/>
    </row>
    <row r="133" spans="1:127" ht="16.05" customHeight="1">
      <c r="A133" s="738" t="s">
        <v>750</v>
      </c>
      <c r="B133" s="738" t="s">
        <v>751</v>
      </c>
      <c r="C133" s="739"/>
      <c r="D133" s="747" t="str">
        <f>IF(AND(OR(AC133="",AD133="")),"W"&amp;AH133,IF(AC133&gt;AD133,AA133,IF(AC133&lt;AD133,AF133,IF(AND(AC133=AD133,AB133=AE133),"W"&amp;AH133,IF(AND(AC133=AD133,OR(AB133="",AE133="")),"W"&amp;AH133,IF(AND(AC133=AD133,AB133&gt;AE133),AA133,AF133))))))</f>
        <v>W99</v>
      </c>
      <c r="E133" s="744">
        <v>91</v>
      </c>
      <c r="F133" s="744">
        <v>92</v>
      </c>
      <c r="G133" s="744"/>
      <c r="H133" s="744"/>
      <c r="I133" s="744"/>
      <c r="J133" s="738">
        <v>99</v>
      </c>
      <c r="K133" s="738">
        <v>46214.75</v>
      </c>
      <c r="L133" s="738" t="s">
        <v>711</v>
      </c>
      <c r="M133" s="744" t="str">
        <f t="shared" si="335"/>
        <v>W91</v>
      </c>
      <c r="N133" s="744" t="str">
        <f t="shared" si="335"/>
        <v>W92</v>
      </c>
      <c r="O133" s="744"/>
      <c r="P133" s="744"/>
      <c r="Q133" s="744"/>
      <c r="R133" s="744"/>
      <c r="S133" s="744"/>
      <c r="T133" s="744"/>
      <c r="U133" s="744"/>
      <c r="V133" s="172"/>
      <c r="W133" s="837"/>
      <c r="X133" s="189">
        <f ca="1">Horarios!C133</f>
        <v>46214.958333333336</v>
      </c>
      <c r="Y133" s="190">
        <f ca="1">Horarios!C133</f>
        <v>46214.958333333336</v>
      </c>
      <c r="Z133" s="311">
        <f t="shared" si="336"/>
        <v>99</v>
      </c>
      <c r="AA133" s="277" t="str">
        <f t="shared" si="337"/>
        <v>W91</v>
      </c>
      <c r="AB133" s="278"/>
      <c r="AC133" s="309"/>
      <c r="AD133" s="309"/>
      <c r="AE133" s="278"/>
      <c r="AF133" s="312" t="str">
        <f>+INDEX($N$101:$N$147,MATCH(AH133,$J$101:$J$147,0))</f>
        <v>W92</v>
      </c>
      <c r="AG133" s="417">
        <f>IF(D133="W"&amp;AH133,0,1)</f>
        <v>0</v>
      </c>
      <c r="AH133" s="313">
        <v>99</v>
      </c>
      <c r="AI133" s="217"/>
      <c r="AJ133" s="178"/>
      <c r="AK133" s="178"/>
      <c r="AL133" s="178"/>
      <c r="AM133" s="297"/>
      <c r="AN133" s="297"/>
      <c r="AO133" s="297"/>
      <c r="AP133" s="297"/>
      <c r="AQ133" s="297"/>
      <c r="AR133" s="297"/>
      <c r="AS133" s="297"/>
      <c r="AT133" s="297"/>
      <c r="AU133" s="19"/>
      <c r="AV133" s="19"/>
      <c r="AW133" s="297"/>
      <c r="AX133" s="297"/>
      <c r="AY133" s="242"/>
      <c r="AZ133" s="243"/>
      <c r="BA133" s="17"/>
      <c r="BB133" s="744"/>
      <c r="BC133" s="747"/>
      <c r="BD133" s="744"/>
      <c r="BE133" s="744"/>
      <c r="BF133" s="744"/>
      <c r="BG133" s="744"/>
      <c r="BH133" s="744"/>
      <c r="BI133" s="744"/>
      <c r="BJ133" s="744"/>
      <c r="BK133" s="744"/>
      <c r="BL133" s="744"/>
      <c r="BM133" s="744"/>
      <c r="BN133" s="744"/>
      <c r="BO133" s="744"/>
      <c r="BP133" s="744"/>
      <c r="BQ133" s="744"/>
      <c r="BR133" s="744"/>
      <c r="BS133" s="744"/>
      <c r="BT133" s="744"/>
      <c r="BU133" s="744"/>
      <c r="BV133" s="744"/>
      <c r="BW133" s="744"/>
      <c r="BX133" s="744"/>
      <c r="BY133" s="744"/>
      <c r="BZ133" s="744"/>
      <c r="CA133" s="744"/>
      <c r="CB133" s="744"/>
      <c r="CC133" s="744"/>
      <c r="CD133" s="744"/>
      <c r="CE133" s="744"/>
      <c r="CF133" s="744"/>
      <c r="CG133" s="744"/>
      <c r="CH133" s="744"/>
      <c r="CI133" s="744"/>
      <c r="CJ133" s="744"/>
      <c r="CK133" s="744"/>
      <c r="CL133" s="744"/>
      <c r="CM133" s="744"/>
      <c r="CN133" s="744"/>
      <c r="CO133" s="744"/>
      <c r="CP133" s="744"/>
      <c r="CQ133" s="744"/>
      <c r="CR133" s="744"/>
      <c r="CS133" s="744"/>
      <c r="CT133" s="744"/>
      <c r="CU133" s="744"/>
      <c r="CV133" s="744"/>
      <c r="CW133" s="744"/>
      <c r="CX133" s="744"/>
      <c r="CY133" s="744"/>
      <c r="CZ133" s="744"/>
      <c r="DA133" s="744"/>
      <c r="DB133" s="744"/>
      <c r="DC133" s="744"/>
      <c r="DD133" s="744"/>
      <c r="DE133" s="744"/>
      <c r="DF133" s="744"/>
      <c r="DG133" s="744"/>
      <c r="DH133" s="744"/>
      <c r="DI133" s="744"/>
      <c r="DJ133" s="744"/>
      <c r="DK133" s="744"/>
      <c r="DL133" s="744"/>
      <c r="DM133" s="744"/>
      <c r="DN133" s="744"/>
      <c r="DO133" s="744"/>
      <c r="DP133" s="744"/>
      <c r="DQ133" s="744"/>
      <c r="DR133" s="744"/>
      <c r="DS133" s="744"/>
      <c r="DT133" s="744" t="str">
        <f t="shared" ref="DT133:DT147" si="338">AA133&amp;"-"&amp;AF133</f>
        <v>W91-W92</v>
      </c>
      <c r="DU133" s="744"/>
      <c r="DV133" s="744"/>
      <c r="DW133" s="8"/>
    </row>
    <row r="134" spans="1:127" ht="16.05" customHeight="1" thickBot="1">
      <c r="A134" s="738" t="s">
        <v>752</v>
      </c>
      <c r="B134" s="738" t="s">
        <v>753</v>
      </c>
      <c r="C134" s="739"/>
      <c r="D134" s="747" t="str">
        <f>IF(AND(OR(AC134="",AD134="")),"W"&amp;AH134,IF(AC134&gt;AD134,AA134,IF(AC134&lt;AD134,AF134,IF(AND(AC134=AD134,AB134=AE134),"W"&amp;AH134,IF(AND(AC134=AD134,OR(AB134="",AE134="")),"W"&amp;AH134,IF(AND(AC134=AD134,AB134&gt;AE134),AA134,AF134))))))</f>
        <v>W100</v>
      </c>
      <c r="E134" s="744">
        <v>95</v>
      </c>
      <c r="F134" s="744">
        <v>96</v>
      </c>
      <c r="G134" s="744"/>
      <c r="H134" s="744"/>
      <c r="I134" s="744"/>
      <c r="J134" s="738">
        <v>100</v>
      </c>
      <c r="K134" s="738">
        <v>46214.875</v>
      </c>
      <c r="L134" s="738" t="s">
        <v>712</v>
      </c>
      <c r="M134" s="744" t="str">
        <f t="shared" si="335"/>
        <v>W95</v>
      </c>
      <c r="N134" s="744" t="str">
        <f t="shared" si="335"/>
        <v>W96</v>
      </c>
      <c r="O134" s="744"/>
      <c r="P134" s="744"/>
      <c r="Q134" s="744"/>
      <c r="R134" s="744"/>
      <c r="S134" s="744"/>
      <c r="T134" s="744"/>
      <c r="U134" s="744"/>
      <c r="V134" s="172"/>
      <c r="W134" s="838"/>
      <c r="X134" s="228">
        <f ca="1">Horarios!C134</f>
        <v>46215.125</v>
      </c>
      <c r="Y134" s="229">
        <f ca="1">Horarios!C134</f>
        <v>46215.125</v>
      </c>
      <c r="Z134" s="314">
        <f t="shared" si="336"/>
        <v>100</v>
      </c>
      <c r="AA134" s="300" t="str">
        <f t="shared" si="337"/>
        <v>W95</v>
      </c>
      <c r="AB134" s="301"/>
      <c r="AC134" s="310"/>
      <c r="AD134" s="310"/>
      <c r="AE134" s="301"/>
      <c r="AF134" s="315" t="str">
        <f>+INDEX($N$101:$N$147,MATCH(AH134,$J$101:$J$147,0))</f>
        <v>W96</v>
      </c>
      <c r="AG134" s="417">
        <f>IF(D134="W"&amp;AH134,0,1)</f>
        <v>0</v>
      </c>
      <c r="AH134" s="313">
        <v>100</v>
      </c>
      <c r="AI134" s="217"/>
      <c r="AJ134" s="178"/>
      <c r="AK134" s="178"/>
      <c r="AL134" s="178"/>
      <c r="AM134" s="297"/>
      <c r="AN134" s="297"/>
      <c r="AO134" s="297"/>
      <c r="AP134" s="297"/>
      <c r="AQ134" s="297"/>
      <c r="AR134" s="297"/>
      <c r="AS134" s="297"/>
      <c r="AT134" s="297"/>
      <c r="AU134" s="19"/>
      <c r="AV134" s="19"/>
      <c r="AW134" s="297"/>
      <c r="AX134" s="297"/>
      <c r="AY134" s="242"/>
      <c r="AZ134" s="243"/>
      <c r="BA134" s="17"/>
      <c r="BB134" s="744"/>
      <c r="BC134" s="747"/>
      <c r="BD134" s="744"/>
      <c r="BE134" s="744"/>
      <c r="BF134" s="744"/>
      <c r="BG134" s="744"/>
      <c r="BH134" s="744"/>
      <c r="BI134" s="744"/>
      <c r="BJ134" s="744"/>
      <c r="BK134" s="744"/>
      <c r="BL134" s="744"/>
      <c r="BM134" s="744"/>
      <c r="BN134" s="744"/>
      <c r="BO134" s="744"/>
      <c r="BP134" s="744"/>
      <c r="BQ134" s="744"/>
      <c r="BR134" s="744"/>
      <c r="BS134" s="744"/>
      <c r="BT134" s="744"/>
      <c r="BU134" s="744"/>
      <c r="BV134" s="744"/>
      <c r="BW134" s="744"/>
      <c r="BX134" s="744"/>
      <c r="BY134" s="744"/>
      <c r="BZ134" s="744"/>
      <c r="CA134" s="744"/>
      <c r="CB134" s="744"/>
      <c r="CC134" s="744"/>
      <c r="CD134" s="744"/>
      <c r="CE134" s="744"/>
      <c r="CF134" s="744"/>
      <c r="CG134" s="744"/>
      <c r="CH134" s="744"/>
      <c r="CI134" s="744"/>
      <c r="CJ134" s="744"/>
      <c r="CK134" s="744"/>
      <c r="CL134" s="744"/>
      <c r="CM134" s="744"/>
      <c r="CN134" s="744"/>
      <c r="CO134" s="744"/>
      <c r="CP134" s="744"/>
      <c r="CQ134" s="744"/>
      <c r="CR134" s="744"/>
      <c r="CS134" s="744"/>
      <c r="CT134" s="744"/>
      <c r="CU134" s="744"/>
      <c r="CV134" s="744"/>
      <c r="CW134" s="744"/>
      <c r="CX134" s="744"/>
      <c r="CY134" s="744"/>
      <c r="CZ134" s="744"/>
      <c r="DA134" s="744"/>
      <c r="DB134" s="744"/>
      <c r="DC134" s="744"/>
      <c r="DD134" s="744"/>
      <c r="DE134" s="744"/>
      <c r="DF134" s="744"/>
      <c r="DG134" s="744"/>
      <c r="DH134" s="744"/>
      <c r="DI134" s="744"/>
      <c r="DJ134" s="744"/>
      <c r="DK134" s="744"/>
      <c r="DL134" s="744"/>
      <c r="DM134" s="744"/>
      <c r="DN134" s="744"/>
      <c r="DO134" s="744"/>
      <c r="DP134" s="744"/>
      <c r="DQ134" s="744"/>
      <c r="DR134" s="744"/>
      <c r="DS134" s="744"/>
      <c r="DT134" s="744" t="str">
        <f t="shared" si="338"/>
        <v>W95-W96</v>
      </c>
      <c r="DU134" s="744"/>
      <c r="DV134" s="744"/>
      <c r="DW134" s="8"/>
    </row>
    <row r="135" spans="1:127" ht="16.05" customHeight="1" thickBot="1">
      <c r="A135" s="739"/>
      <c r="B135" s="739"/>
      <c r="C135" s="739"/>
      <c r="D135" s="747"/>
      <c r="E135" s="744"/>
      <c r="F135" s="744"/>
      <c r="G135" s="744"/>
      <c r="H135" s="744"/>
      <c r="I135" s="744"/>
      <c r="J135" s="744"/>
      <c r="K135" s="744"/>
      <c r="L135" s="744"/>
      <c r="M135" s="744"/>
      <c r="N135" s="744"/>
      <c r="O135" s="744"/>
      <c r="P135" s="744"/>
      <c r="Q135" s="744"/>
      <c r="R135" s="744"/>
      <c r="S135" s="744"/>
      <c r="T135" s="744"/>
      <c r="U135" s="744"/>
      <c r="V135" s="172"/>
      <c r="W135" s="242"/>
      <c r="X135" s="243"/>
      <c r="Y135" s="242"/>
      <c r="Z135" s="244"/>
      <c r="AA135" s="245"/>
      <c r="AB135" s="246"/>
      <c r="AC135" s="247"/>
      <c r="AD135" s="247"/>
      <c r="AE135" s="246"/>
      <c r="AF135" s="248"/>
      <c r="AG135" s="418"/>
      <c r="AH135" s="316"/>
      <c r="AI135" s="217"/>
      <c r="AJ135" s="178"/>
      <c r="AK135" s="178"/>
      <c r="AL135" s="178"/>
      <c r="AM135" s="297"/>
      <c r="AN135" s="297"/>
      <c r="AO135" s="297"/>
      <c r="AP135" s="297"/>
      <c r="AQ135" s="297"/>
      <c r="AR135" s="297"/>
      <c r="AS135" s="297"/>
      <c r="AT135" s="297"/>
      <c r="AU135" s="19"/>
      <c r="AV135" s="19"/>
      <c r="AW135" s="297"/>
      <c r="AX135" s="297"/>
      <c r="AY135" s="242"/>
      <c r="AZ135" s="243"/>
      <c r="BA135" s="17"/>
      <c r="BB135" s="744"/>
      <c r="BC135" s="747"/>
      <c r="BD135" s="744"/>
      <c r="BE135" s="744"/>
      <c r="BF135" s="744"/>
      <c r="BG135" s="744"/>
      <c r="BH135" s="744"/>
      <c r="BI135" s="744"/>
      <c r="BJ135" s="744"/>
      <c r="BK135" s="744"/>
      <c r="BL135" s="744"/>
      <c r="BM135" s="744"/>
      <c r="BN135" s="744"/>
      <c r="BO135" s="744"/>
      <c r="BP135" s="744"/>
      <c r="BQ135" s="744"/>
      <c r="BR135" s="744"/>
      <c r="BS135" s="744"/>
      <c r="BT135" s="744"/>
      <c r="BU135" s="744"/>
      <c r="BV135" s="744"/>
      <c r="BW135" s="744"/>
      <c r="BX135" s="744"/>
      <c r="BY135" s="744"/>
      <c r="BZ135" s="744"/>
      <c r="CA135" s="744"/>
      <c r="CB135" s="744"/>
      <c r="CC135" s="744"/>
      <c r="CD135" s="744"/>
      <c r="CE135" s="744"/>
      <c r="CF135" s="744"/>
      <c r="CG135" s="744"/>
      <c r="CH135" s="744"/>
      <c r="CI135" s="744"/>
      <c r="CJ135" s="744"/>
      <c r="CK135" s="744"/>
      <c r="CL135" s="744"/>
      <c r="CM135" s="744"/>
      <c r="CN135" s="744"/>
      <c r="CO135" s="744"/>
      <c r="CP135" s="744"/>
      <c r="CQ135" s="744"/>
      <c r="CR135" s="744"/>
      <c r="CS135" s="744"/>
      <c r="CT135" s="744"/>
      <c r="CU135" s="744"/>
      <c r="CV135" s="744"/>
      <c r="CW135" s="744"/>
      <c r="CX135" s="744"/>
      <c r="CY135" s="744"/>
      <c r="CZ135" s="744"/>
      <c r="DA135" s="744"/>
      <c r="DB135" s="744"/>
      <c r="DC135" s="744"/>
      <c r="DD135" s="744"/>
      <c r="DE135" s="744"/>
      <c r="DF135" s="744"/>
      <c r="DG135" s="744"/>
      <c r="DH135" s="744"/>
      <c r="DI135" s="744"/>
      <c r="DJ135" s="744"/>
      <c r="DK135" s="744"/>
      <c r="DL135" s="744"/>
      <c r="DM135" s="744"/>
      <c r="DN135" s="744"/>
      <c r="DO135" s="744"/>
      <c r="DP135" s="744"/>
      <c r="DQ135" s="744"/>
      <c r="DR135" s="744"/>
      <c r="DS135" s="744"/>
      <c r="DT135" s="744" t="str">
        <f t="shared" si="338"/>
        <v>-</v>
      </c>
      <c r="DU135" s="744"/>
      <c r="DV135" s="744"/>
      <c r="DW135" s="8"/>
    </row>
    <row r="136" spans="1:127" ht="16.05" customHeight="1" thickBot="1">
      <c r="A136" s="739"/>
      <c r="B136" s="739"/>
      <c r="C136" s="739"/>
      <c r="D136" s="747"/>
      <c r="E136" s="744"/>
      <c r="F136" s="744" t="s">
        <v>1194</v>
      </c>
      <c r="G136" s="744"/>
      <c r="H136" s="744"/>
      <c r="I136" s="744"/>
      <c r="J136" s="744"/>
      <c r="K136" s="744"/>
      <c r="L136" s="744"/>
      <c r="M136" s="744"/>
      <c r="N136" s="744"/>
      <c r="O136" s="744"/>
      <c r="P136" s="744"/>
      <c r="Q136" s="744"/>
      <c r="R136" s="744"/>
      <c r="S136" s="744"/>
      <c r="T136" s="744"/>
      <c r="U136" s="744"/>
      <c r="V136" s="172"/>
      <c r="W136" s="317" t="str">
        <f>Idiomas!D28</f>
        <v>Semifinales</v>
      </c>
      <c r="X136" s="318"/>
      <c r="Y136" s="319"/>
      <c r="Z136" s="319"/>
      <c r="AA136" s="319"/>
      <c r="AB136" s="319"/>
      <c r="AC136" s="319"/>
      <c r="AD136" s="319"/>
      <c r="AE136" s="319"/>
      <c r="AF136" s="320"/>
      <c r="AG136" s="418"/>
      <c r="AH136" s="316"/>
      <c r="AI136" s="217"/>
      <c r="AJ136" s="178"/>
      <c r="AK136" s="178"/>
      <c r="AL136" s="178"/>
      <c r="AM136" s="297"/>
      <c r="AN136" s="297"/>
      <c r="AO136" s="297"/>
      <c r="AP136" s="297"/>
      <c r="AQ136" s="297"/>
      <c r="AR136" s="297"/>
      <c r="AS136" s="297"/>
      <c r="AT136" s="297"/>
      <c r="AU136" s="19"/>
      <c r="AV136" s="19"/>
      <c r="AW136" s="297"/>
      <c r="AX136" s="297"/>
      <c r="AY136" s="242"/>
      <c r="AZ136" s="243"/>
      <c r="BA136" s="17"/>
      <c r="BB136" s="744"/>
      <c r="BC136" s="747"/>
      <c r="BD136" s="744"/>
      <c r="BE136" s="744"/>
      <c r="BF136" s="744"/>
      <c r="BG136" s="744"/>
      <c r="BH136" s="744"/>
      <c r="BI136" s="744"/>
      <c r="BJ136" s="744"/>
      <c r="BK136" s="744"/>
      <c r="BL136" s="744"/>
      <c r="BM136" s="744"/>
      <c r="BN136" s="744"/>
      <c r="BO136" s="744"/>
      <c r="BP136" s="744"/>
      <c r="BQ136" s="744"/>
      <c r="BR136" s="744"/>
      <c r="BS136" s="744"/>
      <c r="BT136" s="744"/>
      <c r="BU136" s="744"/>
      <c r="BV136" s="744"/>
      <c r="BW136" s="744"/>
      <c r="BX136" s="744"/>
      <c r="BY136" s="744"/>
      <c r="BZ136" s="744"/>
      <c r="CA136" s="744"/>
      <c r="CB136" s="744"/>
      <c r="CC136" s="744"/>
      <c r="CD136" s="744"/>
      <c r="CE136" s="744"/>
      <c r="CF136" s="744"/>
      <c r="CG136" s="744"/>
      <c r="CH136" s="744"/>
      <c r="CI136" s="744"/>
      <c r="CJ136" s="744"/>
      <c r="CK136" s="744"/>
      <c r="CL136" s="744"/>
      <c r="CM136" s="744"/>
      <c r="CN136" s="744"/>
      <c r="CO136" s="744"/>
      <c r="CP136" s="744"/>
      <c r="CQ136" s="744"/>
      <c r="CR136" s="744"/>
      <c r="CS136" s="744"/>
      <c r="CT136" s="744"/>
      <c r="CU136" s="744"/>
      <c r="CV136" s="744"/>
      <c r="CW136" s="744"/>
      <c r="CX136" s="744"/>
      <c r="CY136" s="744"/>
      <c r="CZ136" s="744"/>
      <c r="DA136" s="744"/>
      <c r="DB136" s="744"/>
      <c r="DC136" s="744"/>
      <c r="DD136" s="744"/>
      <c r="DE136" s="744"/>
      <c r="DF136" s="744"/>
      <c r="DG136" s="744"/>
      <c r="DH136" s="744"/>
      <c r="DI136" s="744"/>
      <c r="DJ136" s="744"/>
      <c r="DK136" s="744"/>
      <c r="DL136" s="744"/>
      <c r="DM136" s="744"/>
      <c r="DN136" s="744"/>
      <c r="DO136" s="744"/>
      <c r="DP136" s="744"/>
      <c r="DQ136" s="744"/>
      <c r="DR136" s="744"/>
      <c r="DS136" s="744"/>
      <c r="DT136" s="744" t="str">
        <f t="shared" si="338"/>
        <v>-</v>
      </c>
      <c r="DU136" s="744"/>
      <c r="DV136" s="744"/>
      <c r="DW136" s="8"/>
    </row>
    <row r="137" spans="1:127" ht="16.05" customHeight="1">
      <c r="A137" s="739"/>
      <c r="B137" s="739"/>
      <c r="C137" s="739"/>
      <c r="D137" s="747"/>
      <c r="E137" s="744"/>
      <c r="F137" s="744"/>
      <c r="G137" s="744"/>
      <c r="H137" s="744" t="s">
        <v>1371</v>
      </c>
      <c r="I137" s="744"/>
      <c r="J137" s="744"/>
      <c r="K137" s="744"/>
      <c r="L137" s="744"/>
      <c r="M137" s="744"/>
      <c r="N137" s="744"/>
      <c r="O137" s="744"/>
      <c r="P137" s="744"/>
      <c r="Q137" s="744"/>
      <c r="R137" s="744"/>
      <c r="S137" s="744"/>
      <c r="T137" s="744"/>
      <c r="U137" s="744"/>
      <c r="V137" s="172"/>
      <c r="W137" s="321"/>
      <c r="X137" s="180" t="str">
        <f>X3</f>
        <v>Fecha</v>
      </c>
      <c r="Y137" s="180" t="str">
        <f>Y3</f>
        <v>Hora</v>
      </c>
      <c r="Z137" s="265"/>
      <c r="AA137" s="266" t="str">
        <f>AA3</f>
        <v>Casa</v>
      </c>
      <c r="AB137" s="265" t="s">
        <v>13</v>
      </c>
      <c r="AC137" s="180" t="s">
        <v>17</v>
      </c>
      <c r="AD137" s="180" t="s">
        <v>17</v>
      </c>
      <c r="AE137" s="265" t="s">
        <v>13</v>
      </c>
      <c r="AF137" s="322" t="str">
        <f>AF3</f>
        <v>Fuera</v>
      </c>
      <c r="AG137" s="418"/>
      <c r="AH137" s="316"/>
      <c r="AI137" s="217"/>
      <c r="AJ137" s="178"/>
      <c r="AK137" s="178"/>
      <c r="AL137" s="178"/>
      <c r="AM137" s="297"/>
      <c r="AN137" s="297"/>
      <c r="AO137" s="297"/>
      <c r="AP137" s="297"/>
      <c r="AQ137" s="297"/>
      <c r="AR137" s="297"/>
      <c r="AS137" s="297"/>
      <c r="AT137" s="297"/>
      <c r="AU137" s="19"/>
      <c r="AV137" s="19"/>
      <c r="AW137" s="297"/>
      <c r="AX137" s="297"/>
      <c r="AY137" s="242"/>
      <c r="AZ137" s="243"/>
      <c r="BA137" s="17"/>
      <c r="BB137" s="744"/>
      <c r="BC137" s="747"/>
      <c r="BD137" s="744"/>
      <c r="BE137" s="744"/>
      <c r="BF137" s="744"/>
      <c r="BG137" s="744"/>
      <c r="BH137" s="744"/>
      <c r="BI137" s="744"/>
      <c r="BJ137" s="744"/>
      <c r="BK137" s="744"/>
      <c r="BL137" s="744"/>
      <c r="BM137" s="744"/>
      <c r="BN137" s="744"/>
      <c r="BO137" s="744"/>
      <c r="BP137" s="744"/>
      <c r="BQ137" s="744"/>
      <c r="BR137" s="744"/>
      <c r="BS137" s="744"/>
      <c r="BT137" s="744"/>
      <c r="BU137" s="744"/>
      <c r="BV137" s="744"/>
      <c r="BW137" s="744"/>
      <c r="BX137" s="744"/>
      <c r="BY137" s="744"/>
      <c r="BZ137" s="744"/>
      <c r="CA137" s="744"/>
      <c r="CB137" s="744"/>
      <c r="CC137" s="744"/>
      <c r="CD137" s="744"/>
      <c r="CE137" s="744"/>
      <c r="CF137" s="744"/>
      <c r="CG137" s="744"/>
      <c r="CH137" s="744"/>
      <c r="CI137" s="744"/>
      <c r="CJ137" s="744"/>
      <c r="CK137" s="744"/>
      <c r="CL137" s="744"/>
      <c r="CM137" s="744"/>
      <c r="CN137" s="744"/>
      <c r="CO137" s="744"/>
      <c r="CP137" s="744"/>
      <c r="CQ137" s="744"/>
      <c r="CR137" s="744"/>
      <c r="CS137" s="744"/>
      <c r="CT137" s="744"/>
      <c r="CU137" s="744"/>
      <c r="CV137" s="744"/>
      <c r="CW137" s="744"/>
      <c r="CX137" s="744"/>
      <c r="CY137" s="744"/>
      <c r="CZ137" s="744"/>
      <c r="DA137" s="744"/>
      <c r="DB137" s="744"/>
      <c r="DC137" s="744"/>
      <c r="DD137" s="744"/>
      <c r="DE137" s="744"/>
      <c r="DF137" s="744"/>
      <c r="DG137" s="744"/>
      <c r="DH137" s="744"/>
      <c r="DI137" s="744"/>
      <c r="DJ137" s="744"/>
      <c r="DK137" s="744"/>
      <c r="DL137" s="744"/>
      <c r="DM137" s="744"/>
      <c r="DN137" s="744"/>
      <c r="DO137" s="744"/>
      <c r="DP137" s="744"/>
      <c r="DQ137" s="744"/>
      <c r="DR137" s="744"/>
      <c r="DS137" s="744"/>
      <c r="DT137" s="744" t="str">
        <f t="shared" si="338"/>
        <v>Casa-Fuera</v>
      </c>
      <c r="DU137" s="744"/>
      <c r="DV137" s="744"/>
      <c r="DW137" s="8"/>
    </row>
    <row r="138" spans="1:127" ht="16.05" customHeight="1">
      <c r="A138" s="738" t="s">
        <v>754</v>
      </c>
      <c r="B138" s="738" t="s">
        <v>755</v>
      </c>
      <c r="C138" s="739"/>
      <c r="D138" s="747" t="str">
        <f>IF(AND(OR(AC138="",AD138="")),"W"&amp;AH138,IF(AC138&gt;AD138,AA138,IF(AC138&lt;AD138,AF138,IF(AND(AC138=AD138,AB138=AE138),"W"&amp;AH138,IF(AND(AC138=AD138,OR(AB138="",AE138="")),"W"&amp;AH138,IF(AND(AC138=AD138,AB138&gt;AE138),AA138,AF138))))))</f>
        <v>W101</v>
      </c>
      <c r="E138" s="744">
        <v>97</v>
      </c>
      <c r="F138" s="744">
        <v>98</v>
      </c>
      <c r="G138" s="744"/>
      <c r="H138" s="744" t="str">
        <f>IF(AND(OR(AC138="",AD138="")),"L101",IF(AC138&gt;AD138,AF138,IF(AC138&lt;AD138,AA138,IF(AND(AC138=AD138,AB138=AE138),"L101",IF(AND(AC138=AD138,OR(AB138="",AE138="")),"L101",IF(AND(AC138=AD138,AB138&gt;AE138),AF138,AA138))))))</f>
        <v>L101</v>
      </c>
      <c r="I138" s="744"/>
      <c r="J138" s="738">
        <v>101</v>
      </c>
      <c r="K138" s="738">
        <v>46217.875</v>
      </c>
      <c r="L138" s="738" t="s">
        <v>713</v>
      </c>
      <c r="M138" s="738" t="str">
        <f>+INDEX($D$101:$D$147,MATCH(E138,$AH$101:$AH$147,0))</f>
        <v>W97</v>
      </c>
      <c r="N138" s="738" t="str">
        <f>+INDEX($D$101:$D$147,MATCH(F138,$AH$101:$AH$147,0))</f>
        <v>W98</v>
      </c>
      <c r="O138" s="738"/>
      <c r="P138" s="738"/>
      <c r="Q138" s="738"/>
      <c r="R138" s="738"/>
      <c r="S138" s="738"/>
      <c r="T138" s="738"/>
      <c r="U138" s="738"/>
      <c r="V138" s="172"/>
      <c r="W138" s="839" t="s">
        <v>35</v>
      </c>
      <c r="X138" s="189">
        <f ca="1">Horarios!C138</f>
        <v>46217.875</v>
      </c>
      <c r="Y138" s="190">
        <f ca="1">Horarios!C138</f>
        <v>46217.875</v>
      </c>
      <c r="Z138" s="311">
        <f t="shared" ref="Z138:Z139" si="339">AH138</f>
        <v>101</v>
      </c>
      <c r="AA138" s="277" t="str">
        <f t="shared" ref="AA138:AA139" si="340">+INDEX($M$101:$M$147,MATCH(AH138,$J$101:$J$147,0))</f>
        <v>W97</v>
      </c>
      <c r="AB138" s="278"/>
      <c r="AC138" s="323"/>
      <c r="AD138" s="323"/>
      <c r="AE138" s="278"/>
      <c r="AF138" s="312" t="str">
        <f>+INDEX($N$101:$N$147,MATCH(AH138,$J$101:$J$147,0))</f>
        <v>W98</v>
      </c>
      <c r="AG138" s="417">
        <f>IF(D138="W"&amp;AH138,0,1)</f>
        <v>0</v>
      </c>
      <c r="AH138" s="313">
        <v>101</v>
      </c>
      <c r="AI138" s="217"/>
      <c r="AJ138" s="178"/>
      <c r="AK138" s="178"/>
      <c r="AL138" s="178"/>
      <c r="AM138" s="297"/>
      <c r="AN138" s="297"/>
      <c r="AO138" s="297"/>
      <c r="AP138" s="297"/>
      <c r="AQ138" s="297"/>
      <c r="AR138" s="297"/>
      <c r="AS138" s="297"/>
      <c r="AT138" s="297"/>
      <c r="AU138" s="19"/>
      <c r="AV138" s="19"/>
      <c r="AW138" s="297"/>
      <c r="AX138" s="297"/>
      <c r="AY138" s="242"/>
      <c r="AZ138" s="243"/>
      <c r="BA138" s="17"/>
      <c r="BB138" s="744"/>
      <c r="BC138" s="747"/>
      <c r="BD138" s="744"/>
      <c r="BE138" s="744"/>
      <c r="BF138" s="744"/>
      <c r="BG138" s="744"/>
      <c r="BH138" s="744"/>
      <c r="BI138" s="744"/>
      <c r="BJ138" s="744"/>
      <c r="BK138" s="744"/>
      <c r="BL138" s="744"/>
      <c r="BM138" s="744"/>
      <c r="BN138" s="744"/>
      <c r="BO138" s="744"/>
      <c r="BP138" s="744"/>
      <c r="BQ138" s="744"/>
      <c r="BR138" s="744"/>
      <c r="BS138" s="744"/>
      <c r="BT138" s="744"/>
      <c r="BU138" s="744"/>
      <c r="BV138" s="744"/>
      <c r="BW138" s="744"/>
      <c r="BX138" s="744"/>
      <c r="BY138" s="744"/>
      <c r="BZ138" s="744"/>
      <c r="CA138" s="744"/>
      <c r="CB138" s="744"/>
      <c r="CC138" s="744"/>
      <c r="CD138" s="744"/>
      <c r="CE138" s="744"/>
      <c r="CF138" s="744"/>
      <c r="CG138" s="744"/>
      <c r="CH138" s="744"/>
      <c r="CI138" s="744"/>
      <c r="CJ138" s="744"/>
      <c r="CK138" s="744"/>
      <c r="CL138" s="744"/>
      <c r="CM138" s="744"/>
      <c r="CN138" s="744"/>
      <c r="CO138" s="744"/>
      <c r="CP138" s="744"/>
      <c r="CQ138" s="744"/>
      <c r="CR138" s="744"/>
      <c r="CS138" s="744"/>
      <c r="CT138" s="744"/>
      <c r="CU138" s="744"/>
      <c r="CV138" s="744"/>
      <c r="CW138" s="744"/>
      <c r="CX138" s="744"/>
      <c r="CY138" s="744"/>
      <c r="CZ138" s="744"/>
      <c r="DA138" s="744"/>
      <c r="DB138" s="744"/>
      <c r="DC138" s="744"/>
      <c r="DD138" s="744"/>
      <c r="DE138" s="744"/>
      <c r="DF138" s="744"/>
      <c r="DG138" s="744"/>
      <c r="DH138" s="744"/>
      <c r="DI138" s="744"/>
      <c r="DJ138" s="744"/>
      <c r="DK138" s="744"/>
      <c r="DL138" s="744"/>
      <c r="DM138" s="744"/>
      <c r="DN138" s="744"/>
      <c r="DO138" s="744"/>
      <c r="DP138" s="744"/>
      <c r="DQ138" s="744"/>
      <c r="DR138" s="744"/>
      <c r="DS138" s="744"/>
      <c r="DT138" s="744" t="str">
        <f t="shared" si="338"/>
        <v>W97-W98</v>
      </c>
      <c r="DU138" s="744"/>
      <c r="DV138" s="744"/>
      <c r="DW138" s="8"/>
    </row>
    <row r="139" spans="1:127" ht="16.05" customHeight="1" thickBot="1">
      <c r="A139" s="738" t="s">
        <v>756</v>
      </c>
      <c r="B139" s="738" t="s">
        <v>757</v>
      </c>
      <c r="C139" s="739"/>
      <c r="D139" s="747" t="str">
        <f>IF(AND(OR(AC139="",AD139="")),"W"&amp;AH139,IF(AC139&gt;AD139,AA139,IF(AC139&lt;AD139,AF139,IF(AND(AC139=AD139,AB139=AE139),"W"&amp;AH139,IF(AND(AC139=AD139,OR(AB139="",AE139="")),"W"&amp;AH139,IF(AND(AC139=AD139,AB139&gt;AE139),AA139,AF139))))))</f>
        <v>W102</v>
      </c>
      <c r="E139" s="744">
        <v>99</v>
      </c>
      <c r="F139" s="744">
        <v>100</v>
      </c>
      <c r="G139" s="744"/>
      <c r="H139" s="744" t="str">
        <f>IF(AND(OR(AC139="",AD139="")),"L102",IF(AC139&gt;AD139,AF139,IF(AC139&lt;AD139,AA139,IF(AND(AC139=AD139,AB139=AE139),"W102",IF(AND(AC139=AD139,OR(AB139="",AE139="")),"L102",IF(AND(AC139=AD139,AB139&gt;AE139),AF139,AA139))))))</f>
        <v>L102</v>
      </c>
      <c r="I139" s="744"/>
      <c r="J139" s="738">
        <v>102</v>
      </c>
      <c r="K139" s="738">
        <v>46218.875</v>
      </c>
      <c r="L139" s="738" t="s">
        <v>714</v>
      </c>
      <c r="M139" s="738" t="str">
        <f>+INDEX($D$101:$D$147,MATCH(E139,$AH$101:$AH$147,0))</f>
        <v>W99</v>
      </c>
      <c r="N139" s="738" t="str">
        <f>+INDEX($D$101:$D$147,MATCH(F139,$AH$101:$AH$147,0))</f>
        <v>W100</v>
      </c>
      <c r="O139" s="738"/>
      <c r="P139" s="738"/>
      <c r="Q139" s="738"/>
      <c r="R139" s="738"/>
      <c r="S139" s="738"/>
      <c r="T139" s="738"/>
      <c r="U139" s="738"/>
      <c r="V139" s="172"/>
      <c r="W139" s="840"/>
      <c r="X139" s="324">
        <f ca="1">Horarios!C139</f>
        <v>46218.875</v>
      </c>
      <c r="Y139" s="325">
        <f ca="1">Horarios!C139</f>
        <v>46218.875</v>
      </c>
      <c r="Z139" s="326">
        <f t="shared" si="339"/>
        <v>102</v>
      </c>
      <c r="AA139" s="327" t="str">
        <f t="shared" si="340"/>
        <v>W99</v>
      </c>
      <c r="AB139" s="328"/>
      <c r="AC139" s="310"/>
      <c r="AD139" s="310"/>
      <c r="AE139" s="328"/>
      <c r="AF139" s="329" t="str">
        <f>+INDEX($N$101:$N$147,MATCH(AH139,$J$101:$J$147,0))</f>
        <v>W100</v>
      </c>
      <c r="AG139" s="417">
        <f>IF(D139="W"&amp;AH139,0,1)</f>
        <v>0</v>
      </c>
      <c r="AH139" s="313">
        <v>102</v>
      </c>
      <c r="AI139" s="217"/>
      <c r="AJ139" s="178"/>
      <c r="AK139" s="178"/>
      <c r="AL139" s="178"/>
      <c r="AM139" s="297"/>
      <c r="AN139" s="297"/>
      <c r="AO139" s="297"/>
      <c r="AP139" s="297"/>
      <c r="AQ139" s="297"/>
      <c r="AR139" s="297"/>
      <c r="AS139" s="297"/>
      <c r="AT139" s="297"/>
      <c r="AU139" s="19"/>
      <c r="AV139" s="19"/>
      <c r="AW139" s="297"/>
      <c r="AX139" s="297"/>
      <c r="AY139" s="242"/>
      <c r="AZ139" s="243"/>
      <c r="BA139" s="17"/>
      <c r="BB139" s="744"/>
      <c r="BC139" s="747"/>
      <c r="BD139" s="744"/>
      <c r="BE139" s="744"/>
      <c r="BF139" s="744"/>
      <c r="BG139" s="744"/>
      <c r="BH139" s="744"/>
      <c r="BI139" s="744"/>
      <c r="BJ139" s="744"/>
      <c r="BK139" s="744"/>
      <c r="BL139" s="744"/>
      <c r="BM139" s="744"/>
      <c r="BN139" s="744"/>
      <c r="BO139" s="744"/>
      <c r="BP139" s="744"/>
      <c r="BQ139" s="744"/>
      <c r="BR139" s="744"/>
      <c r="BS139" s="744"/>
      <c r="BT139" s="744"/>
      <c r="BU139" s="744"/>
      <c r="BV139" s="744"/>
      <c r="BW139" s="744"/>
      <c r="BX139" s="744"/>
      <c r="BY139" s="744"/>
      <c r="BZ139" s="744"/>
      <c r="CA139" s="744"/>
      <c r="CB139" s="744"/>
      <c r="CC139" s="744"/>
      <c r="CD139" s="744"/>
      <c r="CE139" s="744"/>
      <c r="CF139" s="744"/>
      <c r="CG139" s="744"/>
      <c r="CH139" s="744"/>
      <c r="CI139" s="744"/>
      <c r="CJ139" s="744"/>
      <c r="CK139" s="744"/>
      <c r="CL139" s="744"/>
      <c r="CM139" s="744"/>
      <c r="CN139" s="744"/>
      <c r="CO139" s="744"/>
      <c r="CP139" s="744"/>
      <c r="CQ139" s="744"/>
      <c r="CR139" s="744"/>
      <c r="CS139" s="744"/>
      <c r="CT139" s="744"/>
      <c r="CU139" s="744"/>
      <c r="CV139" s="744"/>
      <c r="CW139" s="744"/>
      <c r="CX139" s="744"/>
      <c r="CY139" s="744"/>
      <c r="CZ139" s="744"/>
      <c r="DA139" s="744"/>
      <c r="DB139" s="744"/>
      <c r="DC139" s="744"/>
      <c r="DD139" s="744"/>
      <c r="DE139" s="744"/>
      <c r="DF139" s="744"/>
      <c r="DG139" s="744"/>
      <c r="DH139" s="744"/>
      <c r="DI139" s="744"/>
      <c r="DJ139" s="744"/>
      <c r="DK139" s="744"/>
      <c r="DL139" s="744"/>
      <c r="DM139" s="744"/>
      <c r="DN139" s="744"/>
      <c r="DO139" s="744"/>
      <c r="DP139" s="744"/>
      <c r="DQ139" s="744"/>
      <c r="DR139" s="744"/>
      <c r="DS139" s="744"/>
      <c r="DT139" s="744" t="str">
        <f t="shared" si="338"/>
        <v>W99-W100</v>
      </c>
      <c r="DU139" s="744"/>
      <c r="DV139" s="744"/>
      <c r="DW139" s="8"/>
    </row>
    <row r="140" spans="1:127" ht="16.05" customHeight="1" thickBot="1">
      <c r="A140" s="739"/>
      <c r="B140" s="739"/>
      <c r="C140" s="739"/>
      <c r="D140" s="747"/>
      <c r="E140" s="744"/>
      <c r="F140" s="744"/>
      <c r="G140" s="744"/>
      <c r="H140" s="744"/>
      <c r="I140" s="744"/>
      <c r="J140" s="744"/>
      <c r="K140" s="744"/>
      <c r="L140" s="744"/>
      <c r="M140" s="744"/>
      <c r="N140" s="744"/>
      <c r="O140" s="744"/>
      <c r="P140" s="744"/>
      <c r="Q140" s="744"/>
      <c r="R140" s="744"/>
      <c r="S140" s="744"/>
      <c r="T140" s="744"/>
      <c r="U140" s="744"/>
      <c r="V140" s="172"/>
      <c r="W140" s="242"/>
      <c r="X140" s="243"/>
      <c r="Y140" s="242"/>
      <c r="Z140" s="244"/>
      <c r="AA140" s="245"/>
      <c r="AB140" s="246"/>
      <c r="AC140" s="247"/>
      <c r="AD140" s="247"/>
      <c r="AE140" s="246"/>
      <c r="AF140" s="248"/>
      <c r="AG140" s="418"/>
      <c r="AH140" s="316"/>
      <c r="AI140" s="217"/>
      <c r="AJ140" s="178"/>
      <c r="AK140" s="178"/>
      <c r="AL140" s="178"/>
      <c r="AM140" s="297"/>
      <c r="AN140" s="297"/>
      <c r="AO140" s="297"/>
      <c r="AP140" s="297"/>
      <c r="AQ140" s="297"/>
      <c r="AR140" s="297"/>
      <c r="AS140" s="297"/>
      <c r="AT140" s="297"/>
      <c r="AU140" s="19"/>
      <c r="AV140" s="19"/>
      <c r="AW140" s="297"/>
      <c r="AX140" s="297"/>
      <c r="AY140" s="242"/>
      <c r="AZ140" s="243"/>
      <c r="BA140" s="17"/>
      <c r="BB140" s="744"/>
      <c r="BC140" s="747"/>
      <c r="BD140" s="744"/>
      <c r="BE140" s="744"/>
      <c r="BF140" s="744"/>
      <c r="BG140" s="744"/>
      <c r="BH140" s="744"/>
      <c r="BI140" s="744"/>
      <c r="BJ140" s="744"/>
      <c r="BK140" s="744"/>
      <c r="BL140" s="744"/>
      <c r="BM140" s="744"/>
      <c r="BN140" s="744"/>
      <c r="BO140" s="744"/>
      <c r="BP140" s="744"/>
      <c r="BQ140" s="744"/>
      <c r="BR140" s="744"/>
      <c r="BS140" s="744"/>
      <c r="BT140" s="744"/>
      <c r="BU140" s="744"/>
      <c r="BV140" s="744"/>
      <c r="BW140" s="744"/>
      <c r="BX140" s="744"/>
      <c r="BY140" s="744"/>
      <c r="BZ140" s="744"/>
      <c r="CA140" s="744"/>
      <c r="CB140" s="744"/>
      <c r="CC140" s="744"/>
      <c r="CD140" s="744"/>
      <c r="CE140" s="744"/>
      <c r="CF140" s="744"/>
      <c r="CG140" s="744"/>
      <c r="CH140" s="744"/>
      <c r="CI140" s="744"/>
      <c r="CJ140" s="744"/>
      <c r="CK140" s="744"/>
      <c r="CL140" s="744"/>
      <c r="CM140" s="744"/>
      <c r="CN140" s="744"/>
      <c r="CO140" s="744"/>
      <c r="CP140" s="744"/>
      <c r="CQ140" s="744"/>
      <c r="CR140" s="744"/>
      <c r="CS140" s="744"/>
      <c r="CT140" s="744"/>
      <c r="CU140" s="744"/>
      <c r="CV140" s="744"/>
      <c r="CW140" s="744"/>
      <c r="CX140" s="744"/>
      <c r="CY140" s="744"/>
      <c r="CZ140" s="744"/>
      <c r="DA140" s="744"/>
      <c r="DB140" s="744"/>
      <c r="DC140" s="744"/>
      <c r="DD140" s="744"/>
      <c r="DE140" s="744"/>
      <c r="DF140" s="744"/>
      <c r="DG140" s="744"/>
      <c r="DH140" s="744"/>
      <c r="DI140" s="744"/>
      <c r="DJ140" s="744"/>
      <c r="DK140" s="744"/>
      <c r="DL140" s="744"/>
      <c r="DM140" s="744"/>
      <c r="DN140" s="744"/>
      <c r="DO140" s="744"/>
      <c r="DP140" s="744"/>
      <c r="DQ140" s="744"/>
      <c r="DR140" s="744"/>
      <c r="DS140" s="744"/>
      <c r="DT140" s="744" t="str">
        <f t="shared" si="338"/>
        <v>-</v>
      </c>
      <c r="DU140" s="744"/>
      <c r="DV140" s="744"/>
      <c r="DW140" s="8"/>
    </row>
    <row r="141" spans="1:127" ht="16.05" customHeight="1" thickBot="1">
      <c r="A141" s="739"/>
      <c r="B141" s="739"/>
      <c r="C141" s="739"/>
      <c r="D141" s="747"/>
      <c r="E141" s="744"/>
      <c r="F141" s="744"/>
      <c r="G141" s="744"/>
      <c r="H141" s="744"/>
      <c r="I141" s="744"/>
      <c r="J141" s="744"/>
      <c r="K141" s="744"/>
      <c r="L141" s="744"/>
      <c r="M141" s="744"/>
      <c r="N141" s="744"/>
      <c r="O141" s="744"/>
      <c r="P141" s="744"/>
      <c r="Q141" s="744"/>
      <c r="R141" s="744"/>
      <c r="S141" s="744"/>
      <c r="T141" s="744"/>
      <c r="U141" s="744"/>
      <c r="V141" s="172"/>
      <c r="W141" s="317" t="str">
        <f>Idiomas!D29</f>
        <v>3º y 4º puesto</v>
      </c>
      <c r="X141" s="318"/>
      <c r="Y141" s="319"/>
      <c r="Z141" s="319"/>
      <c r="AA141" s="319"/>
      <c r="AB141" s="319"/>
      <c r="AC141" s="319"/>
      <c r="AD141" s="319"/>
      <c r="AE141" s="319"/>
      <c r="AF141" s="320"/>
      <c r="AG141" s="418"/>
      <c r="AH141" s="316"/>
      <c r="AI141" s="217"/>
      <c r="AJ141" s="178"/>
      <c r="AK141" s="178"/>
      <c r="AL141" s="178"/>
      <c r="AM141" s="297"/>
      <c r="AN141" s="297"/>
      <c r="AO141" s="297"/>
      <c r="AP141" s="297"/>
      <c r="AQ141" s="17"/>
      <c r="AR141" s="297"/>
      <c r="AS141" s="297"/>
      <c r="AT141" s="297"/>
      <c r="AU141" s="19"/>
      <c r="AV141" s="19"/>
      <c r="AW141" s="297"/>
      <c r="AX141" s="297"/>
      <c r="AY141" s="242"/>
      <c r="AZ141" s="243"/>
      <c r="BA141" s="17"/>
      <c r="BB141" s="744"/>
      <c r="BC141" s="747"/>
      <c r="BD141" s="744"/>
      <c r="BE141" s="744"/>
      <c r="BF141" s="744"/>
      <c r="BG141" s="744"/>
      <c r="BH141" s="744"/>
      <c r="BI141" s="744"/>
      <c r="BJ141" s="744"/>
      <c r="BK141" s="744"/>
      <c r="BL141" s="744"/>
      <c r="BM141" s="744"/>
      <c r="BN141" s="744"/>
      <c r="BO141" s="744"/>
      <c r="BP141" s="744"/>
      <c r="BQ141" s="744"/>
      <c r="BR141" s="744"/>
      <c r="BS141" s="744"/>
      <c r="BT141" s="744"/>
      <c r="BU141" s="744"/>
      <c r="BV141" s="744"/>
      <c r="BW141" s="744"/>
      <c r="BX141" s="744"/>
      <c r="BY141" s="744"/>
      <c r="BZ141" s="744"/>
      <c r="CA141" s="744"/>
      <c r="CB141" s="744"/>
      <c r="CC141" s="744"/>
      <c r="CD141" s="744"/>
      <c r="CE141" s="744"/>
      <c r="CF141" s="744"/>
      <c r="CG141" s="744"/>
      <c r="CH141" s="744"/>
      <c r="CI141" s="744"/>
      <c r="CJ141" s="744"/>
      <c r="CK141" s="744"/>
      <c r="CL141" s="744"/>
      <c r="CM141" s="744"/>
      <c r="CN141" s="744"/>
      <c r="CO141" s="744"/>
      <c r="CP141" s="744"/>
      <c r="CQ141" s="744"/>
      <c r="CR141" s="744"/>
      <c r="CS141" s="744"/>
      <c r="CT141" s="744"/>
      <c r="CU141" s="744"/>
      <c r="CV141" s="744"/>
      <c r="CW141" s="744"/>
      <c r="CX141" s="744"/>
      <c r="CY141" s="744"/>
      <c r="CZ141" s="744"/>
      <c r="DA141" s="744"/>
      <c r="DB141" s="744"/>
      <c r="DC141" s="744"/>
      <c r="DD141" s="744"/>
      <c r="DE141" s="744"/>
      <c r="DF141" s="744"/>
      <c r="DG141" s="744"/>
      <c r="DH141" s="744"/>
      <c r="DI141" s="744"/>
      <c r="DJ141" s="744"/>
      <c r="DK141" s="744"/>
      <c r="DL141" s="744"/>
      <c r="DM141" s="744"/>
      <c r="DN141" s="744"/>
      <c r="DO141" s="744"/>
      <c r="DP141" s="744"/>
      <c r="DQ141" s="744"/>
      <c r="DR141" s="744"/>
      <c r="DS141" s="744"/>
      <c r="DT141" s="744" t="str">
        <f t="shared" si="338"/>
        <v>-</v>
      </c>
      <c r="DU141" s="744"/>
      <c r="DV141" s="744"/>
      <c r="DW141" s="8"/>
    </row>
    <row r="142" spans="1:127" ht="16.05" customHeight="1">
      <c r="A142" s="739"/>
      <c r="B142" s="739"/>
      <c r="C142" s="739"/>
      <c r="D142" s="747"/>
      <c r="E142" s="744"/>
      <c r="F142" s="744"/>
      <c r="G142" s="744"/>
      <c r="H142" s="744"/>
      <c r="I142" s="744"/>
      <c r="J142" s="744"/>
      <c r="K142" s="744"/>
      <c r="L142" s="744"/>
      <c r="M142" s="744"/>
      <c r="N142" s="744"/>
      <c r="O142" s="744"/>
      <c r="P142" s="744"/>
      <c r="Q142" s="744"/>
      <c r="R142" s="744"/>
      <c r="S142" s="744"/>
      <c r="T142" s="744"/>
      <c r="U142" s="744"/>
      <c r="V142" s="172"/>
      <c r="W142" s="330"/>
      <c r="X142" s="180" t="str">
        <f>X3</f>
        <v>Fecha</v>
      </c>
      <c r="Y142" s="180" t="str">
        <f>Y3</f>
        <v>Hora</v>
      </c>
      <c r="Z142" s="265"/>
      <c r="AA142" s="266" t="str">
        <f>AA3</f>
        <v>Casa</v>
      </c>
      <c r="AB142" s="265" t="s">
        <v>13</v>
      </c>
      <c r="AC142" s="180" t="str">
        <f>AC3</f>
        <v>Gol</v>
      </c>
      <c r="AD142" s="180" t="str">
        <f>AD3</f>
        <v>Gol</v>
      </c>
      <c r="AE142" s="265" t="s">
        <v>13</v>
      </c>
      <c r="AF142" s="322" t="str">
        <f>AF3</f>
        <v>Fuera</v>
      </c>
      <c r="AG142" s="418"/>
      <c r="AH142" s="316"/>
      <c r="AI142" s="217"/>
      <c r="AJ142" s="178"/>
      <c r="AK142" s="178"/>
      <c r="AL142" s="178"/>
      <c r="AM142" s="297"/>
      <c r="AN142" s="297"/>
      <c r="AO142" s="297"/>
      <c r="AP142" s="297"/>
      <c r="AQ142" s="297"/>
      <c r="AR142" s="297"/>
      <c r="AS142" s="297"/>
      <c r="AT142" s="297"/>
      <c r="AU142" s="19"/>
      <c r="AV142" s="19"/>
      <c r="AW142" s="297"/>
      <c r="AX142" s="297"/>
      <c r="AY142" s="242"/>
      <c r="AZ142" s="243"/>
      <c r="BA142" s="175"/>
      <c r="BB142" s="744"/>
      <c r="BC142" s="744"/>
      <c r="BD142" s="744"/>
      <c r="BE142" s="744"/>
      <c r="BF142" s="744"/>
      <c r="BG142" s="744"/>
      <c r="BH142" s="744"/>
      <c r="BI142" s="744"/>
      <c r="BJ142" s="744"/>
      <c r="BK142" s="744"/>
      <c r="BL142" s="744"/>
      <c r="BM142" s="744"/>
      <c r="BN142" s="744"/>
      <c r="BO142" s="744"/>
      <c r="BP142" s="744"/>
      <c r="BQ142" s="744"/>
      <c r="BR142" s="744"/>
      <c r="BS142" s="744"/>
      <c r="BT142" s="744"/>
      <c r="BU142" s="744"/>
      <c r="BV142" s="744"/>
      <c r="BW142" s="744"/>
      <c r="BX142" s="744"/>
      <c r="BY142" s="744"/>
      <c r="BZ142" s="744"/>
      <c r="CA142" s="744"/>
      <c r="CB142" s="744"/>
      <c r="CC142" s="744"/>
      <c r="CD142" s="744"/>
      <c r="CE142" s="744"/>
      <c r="CF142" s="744"/>
      <c r="CG142" s="744"/>
      <c r="CH142" s="744"/>
      <c r="CI142" s="744"/>
      <c r="CJ142" s="744"/>
      <c r="CK142" s="744"/>
      <c r="CL142" s="744"/>
      <c r="CM142" s="744"/>
      <c r="CN142" s="744"/>
      <c r="CO142" s="744"/>
      <c r="CP142" s="744"/>
      <c r="CQ142" s="744"/>
      <c r="CR142" s="744"/>
      <c r="CS142" s="744"/>
      <c r="CT142" s="744"/>
      <c r="CU142" s="744"/>
      <c r="CV142" s="744"/>
      <c r="CW142" s="744"/>
      <c r="CX142" s="744"/>
      <c r="CY142" s="744"/>
      <c r="CZ142" s="744"/>
      <c r="DA142" s="744"/>
      <c r="DB142" s="744"/>
      <c r="DC142" s="744"/>
      <c r="DD142" s="744"/>
      <c r="DE142" s="744"/>
      <c r="DF142" s="744"/>
      <c r="DG142" s="744"/>
      <c r="DH142" s="744"/>
      <c r="DI142" s="744"/>
      <c r="DJ142" s="744"/>
      <c r="DK142" s="744"/>
      <c r="DL142" s="744"/>
      <c r="DM142" s="744"/>
      <c r="DN142" s="744"/>
      <c r="DO142" s="744"/>
      <c r="DP142" s="744"/>
      <c r="DQ142" s="744"/>
      <c r="DR142" s="744"/>
      <c r="DS142" s="744"/>
      <c r="DT142" s="744" t="str">
        <f t="shared" si="338"/>
        <v>Casa-Fuera</v>
      </c>
      <c r="DU142" s="744"/>
      <c r="DV142" s="744"/>
      <c r="DW142" s="8"/>
    </row>
    <row r="143" spans="1:127" ht="16.05" customHeight="1" thickBot="1">
      <c r="A143" s="738" t="s">
        <v>758</v>
      </c>
      <c r="B143" s="738" t="s">
        <v>759</v>
      </c>
      <c r="C143" s="739"/>
      <c r="D143" s="747" t="str">
        <f>IF(AND(OR(AC143="",AD143="")),"W"&amp;AH143,IF(AC143&gt;AD143,AA143,IF(AC143&lt;AD143,AF143,IF(AND(AC143=AD143,AB143=AE143),"W"&amp;AH143,IF(AND(AC143=AD143,OR(AB143="",AE143="")),"W"&amp;AH143,IF(AND(AC143=AD143,AB143&gt;AE143),AA143,AF143))))))</f>
        <v>W103</v>
      </c>
      <c r="E143" s="744">
        <v>101</v>
      </c>
      <c r="F143" s="744">
        <v>102</v>
      </c>
      <c r="G143" s="744"/>
      <c r="H143" s="744"/>
      <c r="I143" s="744"/>
      <c r="J143" s="738">
        <v>103</v>
      </c>
      <c r="K143" s="738">
        <v>46221.875</v>
      </c>
      <c r="L143" s="738" t="s">
        <v>715</v>
      </c>
      <c r="M143" s="738" t="str">
        <f>+INDEX($D$101:$D$147,MATCH(E143,$AH$101:$AH$147,0))</f>
        <v>W101</v>
      </c>
      <c r="N143" s="738" t="str">
        <f>+INDEX($D$101:$D$147,MATCH(F143,$AH$101:$AH$147,0))</f>
        <v>W102</v>
      </c>
      <c r="O143" s="738"/>
      <c r="P143" s="738"/>
      <c r="Q143" s="738"/>
      <c r="R143" s="738"/>
      <c r="S143" s="738"/>
      <c r="T143" s="738"/>
      <c r="U143" s="738"/>
      <c r="V143" s="172"/>
      <c r="W143" s="331" t="s">
        <v>493</v>
      </c>
      <c r="X143" s="324">
        <f ca="1">Horarios!C143</f>
        <v>46221.958333333336</v>
      </c>
      <c r="Y143" s="325">
        <f ca="1">Horarios!C143</f>
        <v>46221.958333333336</v>
      </c>
      <c r="Z143" s="332">
        <f>AH143</f>
        <v>103</v>
      </c>
      <c r="AA143" s="333" t="str">
        <f>IF(AND(OR(AC138="",AD138="")),"L101",IF(AC138&gt;AD138,AF138,IF(AC138&lt;AD138,AA138,IF(AND(AC138=AD138,AB138=AE138),"L101",IF(AND(AC138=AD138,OR(AB138="",AE138="")),"L101",IF(AND(AC138=AD138,AB138&gt;AE138),AF138,AA138))))))</f>
        <v>L101</v>
      </c>
      <c r="AB143" s="334"/>
      <c r="AC143" s="335"/>
      <c r="AD143" s="335"/>
      <c r="AE143" s="334"/>
      <c r="AF143" s="336" t="str">
        <f>IF(AND(OR(AC139="",AD139="")),"L102",IF(AC139&gt;AD139,AF139,IF(AC139&lt;AD139,AA139,IF(AND(AC139=AD139,AB139=AE139),"L102",IF(AND(AC139=AD139,OR(AB139="",AE139="")),"L102",IF(AND(AC139=AD139,AB139&gt;AE139),AF139,AA139))))))</f>
        <v>L102</v>
      </c>
      <c r="AG143" s="417">
        <f>IF(D143="W"&amp;AH143,0,1)</f>
        <v>0</v>
      </c>
      <c r="AH143" s="313">
        <v>103</v>
      </c>
      <c r="AI143" s="217"/>
      <c r="AJ143" s="178"/>
      <c r="AK143" s="178"/>
      <c r="AL143" s="178"/>
      <c r="AM143" s="297"/>
      <c r="AN143" s="297"/>
      <c r="AO143" s="297"/>
      <c r="AP143" s="297"/>
      <c r="AQ143" s="297"/>
      <c r="AR143" s="297"/>
      <c r="AS143" s="297"/>
      <c r="AT143" s="297"/>
      <c r="AU143" s="19"/>
      <c r="AV143" s="19"/>
      <c r="AW143" s="297"/>
      <c r="AX143" s="297"/>
      <c r="AY143" s="242"/>
      <c r="AZ143" s="243"/>
      <c r="BA143" s="175"/>
      <c r="BB143" s="744"/>
      <c r="BC143" s="744"/>
      <c r="BD143" s="744"/>
      <c r="BE143" s="744"/>
      <c r="BF143" s="744"/>
      <c r="BG143" s="744"/>
      <c r="BH143" s="744"/>
      <c r="BI143" s="744"/>
      <c r="BJ143" s="744"/>
      <c r="BK143" s="744"/>
      <c r="BL143" s="744"/>
      <c r="BM143" s="744"/>
      <c r="BN143" s="744"/>
      <c r="BO143" s="744"/>
      <c r="BP143" s="744"/>
      <c r="BQ143" s="744"/>
      <c r="BR143" s="744"/>
      <c r="BS143" s="744"/>
      <c r="BT143" s="744"/>
      <c r="BU143" s="744"/>
      <c r="BV143" s="744"/>
      <c r="BW143" s="744"/>
      <c r="BX143" s="744"/>
      <c r="BY143" s="744"/>
      <c r="BZ143" s="744"/>
      <c r="CA143" s="744"/>
      <c r="CB143" s="744"/>
      <c r="CC143" s="744"/>
      <c r="CD143" s="744"/>
      <c r="CE143" s="744"/>
      <c r="CF143" s="744"/>
      <c r="CG143" s="744"/>
      <c r="CH143" s="744"/>
      <c r="CI143" s="744"/>
      <c r="CJ143" s="744"/>
      <c r="CK143" s="744"/>
      <c r="CL143" s="744"/>
      <c r="CM143" s="744"/>
      <c r="CN143" s="744"/>
      <c r="CO143" s="744"/>
      <c r="CP143" s="744"/>
      <c r="CQ143" s="744"/>
      <c r="CR143" s="744"/>
      <c r="CS143" s="744"/>
      <c r="CT143" s="744"/>
      <c r="CU143" s="744"/>
      <c r="CV143" s="744"/>
      <c r="CW143" s="744"/>
      <c r="CX143" s="744"/>
      <c r="CY143" s="744"/>
      <c r="CZ143" s="744"/>
      <c r="DA143" s="744"/>
      <c r="DB143" s="744"/>
      <c r="DC143" s="744"/>
      <c r="DD143" s="744"/>
      <c r="DE143" s="744"/>
      <c r="DF143" s="744"/>
      <c r="DG143" s="744"/>
      <c r="DH143" s="744"/>
      <c r="DI143" s="744"/>
      <c r="DJ143" s="744"/>
      <c r="DK143" s="744"/>
      <c r="DL143" s="744"/>
      <c r="DM143" s="744"/>
      <c r="DN143" s="744"/>
      <c r="DO143" s="744"/>
      <c r="DP143" s="744"/>
      <c r="DQ143" s="744"/>
      <c r="DR143" s="744"/>
      <c r="DS143" s="744"/>
      <c r="DT143" s="744" t="str">
        <f t="shared" si="338"/>
        <v>L101-L102</v>
      </c>
      <c r="DU143" s="744"/>
      <c r="DV143" s="744"/>
      <c r="DW143" s="8"/>
    </row>
    <row r="144" spans="1:127" ht="16.05" customHeight="1" thickBot="1">
      <c r="A144" s="739"/>
      <c r="B144" s="739"/>
      <c r="C144" s="739"/>
      <c r="D144" s="747"/>
      <c r="E144" s="744"/>
      <c r="F144" s="744"/>
      <c r="G144" s="744"/>
      <c r="H144" s="744"/>
      <c r="I144" s="744"/>
      <c r="J144" s="744"/>
      <c r="K144" s="744"/>
      <c r="L144" s="744"/>
      <c r="M144" s="744"/>
      <c r="N144" s="744"/>
      <c r="O144" s="744"/>
      <c r="P144" s="744"/>
      <c r="Q144" s="744"/>
      <c r="R144" s="744"/>
      <c r="S144" s="744"/>
      <c r="T144" s="744"/>
      <c r="U144" s="744"/>
      <c r="V144" s="172"/>
      <c r="W144" s="242"/>
      <c r="X144" s="243"/>
      <c r="Y144" s="242"/>
      <c r="Z144" s="244"/>
      <c r="AA144" s="245"/>
      <c r="AB144" s="246"/>
      <c r="AC144" s="247"/>
      <c r="AD144" s="247"/>
      <c r="AE144" s="246"/>
      <c r="AF144" s="248"/>
      <c r="AG144" s="418"/>
      <c r="AH144" s="313"/>
      <c r="AI144" s="217"/>
      <c r="AJ144" s="178"/>
      <c r="AK144" s="178"/>
      <c r="AL144" s="178"/>
      <c r="AM144" s="297"/>
      <c r="AN144" s="297"/>
      <c r="AO144" s="297"/>
      <c r="AP144" s="297"/>
      <c r="AQ144" s="297"/>
      <c r="AR144" s="297"/>
      <c r="AS144" s="297"/>
      <c r="AT144" s="297"/>
      <c r="AU144" s="19"/>
      <c r="AV144" s="19"/>
      <c r="AW144" s="297"/>
      <c r="AX144" s="297"/>
      <c r="AY144" s="242"/>
      <c r="AZ144" s="243"/>
      <c r="BA144" s="175"/>
      <c r="BB144" s="744"/>
      <c r="BC144" s="744"/>
      <c r="BD144" s="744"/>
      <c r="BE144" s="744"/>
      <c r="BF144" s="744"/>
      <c r="BG144" s="744"/>
      <c r="BH144" s="744"/>
      <c r="BI144" s="744"/>
      <c r="BJ144" s="744"/>
      <c r="BK144" s="744"/>
      <c r="BL144" s="744"/>
      <c r="BM144" s="744"/>
      <c r="BN144" s="744"/>
      <c r="BO144" s="744"/>
      <c r="BP144" s="744"/>
      <c r="BQ144" s="744"/>
      <c r="BR144" s="744"/>
      <c r="BS144" s="744"/>
      <c r="BT144" s="744"/>
      <c r="BU144" s="744"/>
      <c r="BV144" s="744"/>
      <c r="BW144" s="744"/>
      <c r="BX144" s="744"/>
      <c r="BY144" s="744"/>
      <c r="BZ144" s="744"/>
      <c r="CA144" s="744"/>
      <c r="CB144" s="744"/>
      <c r="CC144" s="744"/>
      <c r="CD144" s="744"/>
      <c r="CE144" s="744"/>
      <c r="CF144" s="744"/>
      <c r="CG144" s="744"/>
      <c r="CH144" s="744"/>
      <c r="CI144" s="744"/>
      <c r="CJ144" s="744"/>
      <c r="CK144" s="744"/>
      <c r="CL144" s="744"/>
      <c r="CM144" s="744"/>
      <c r="CN144" s="744"/>
      <c r="CO144" s="744"/>
      <c r="CP144" s="744"/>
      <c r="CQ144" s="744"/>
      <c r="CR144" s="744"/>
      <c r="CS144" s="744"/>
      <c r="CT144" s="744"/>
      <c r="CU144" s="744"/>
      <c r="CV144" s="744"/>
      <c r="CW144" s="744"/>
      <c r="CX144" s="744"/>
      <c r="CY144" s="744"/>
      <c r="CZ144" s="744"/>
      <c r="DA144" s="744"/>
      <c r="DB144" s="744"/>
      <c r="DC144" s="744"/>
      <c r="DD144" s="744"/>
      <c r="DE144" s="744"/>
      <c r="DF144" s="744"/>
      <c r="DG144" s="744"/>
      <c r="DH144" s="744"/>
      <c r="DI144" s="744"/>
      <c r="DJ144" s="744"/>
      <c r="DK144" s="744"/>
      <c r="DL144" s="744"/>
      <c r="DM144" s="744"/>
      <c r="DN144" s="744"/>
      <c r="DO144" s="744"/>
      <c r="DP144" s="744"/>
      <c r="DQ144" s="744"/>
      <c r="DR144" s="744"/>
      <c r="DS144" s="744"/>
      <c r="DT144" s="744" t="str">
        <f t="shared" si="338"/>
        <v>-</v>
      </c>
      <c r="DU144" s="744"/>
      <c r="DV144" s="744"/>
      <c r="DW144" s="8"/>
    </row>
    <row r="145" spans="1:127" ht="16.05" customHeight="1" thickBot="1">
      <c r="A145" s="739"/>
      <c r="B145" s="739"/>
      <c r="C145" s="739"/>
      <c r="D145" s="747"/>
      <c r="E145" s="744"/>
      <c r="F145" s="744"/>
      <c r="G145" s="744"/>
      <c r="H145" s="744"/>
      <c r="I145" s="744"/>
      <c r="J145" s="744"/>
      <c r="K145" s="744"/>
      <c r="L145" s="744"/>
      <c r="M145" s="744"/>
      <c r="N145" s="744"/>
      <c r="O145" s="744"/>
      <c r="P145" s="744"/>
      <c r="Q145" s="744"/>
      <c r="R145" s="744"/>
      <c r="S145" s="744"/>
      <c r="T145" s="744"/>
      <c r="U145" s="744"/>
      <c r="V145" s="172"/>
      <c r="W145" s="317" t="str">
        <f>Idiomas!D30</f>
        <v>Final</v>
      </c>
      <c r="X145" s="318"/>
      <c r="Y145" s="319"/>
      <c r="Z145" s="319"/>
      <c r="AA145" s="337"/>
      <c r="AB145" s="319"/>
      <c r="AC145" s="319"/>
      <c r="AD145" s="319"/>
      <c r="AE145" s="319"/>
      <c r="AF145" s="320"/>
      <c r="AG145" s="418"/>
      <c r="AH145" s="313"/>
      <c r="AI145" s="217"/>
      <c r="AJ145" s="178"/>
      <c r="AK145" s="178"/>
      <c r="AL145" s="178"/>
      <c r="AM145" s="297"/>
      <c r="AN145" s="297"/>
      <c r="AO145" s="297"/>
      <c r="AP145" s="297"/>
      <c r="AQ145" s="297"/>
      <c r="AR145" s="297"/>
      <c r="AS145" s="297"/>
      <c r="AT145" s="297"/>
      <c r="AU145" s="19"/>
      <c r="AV145" s="19"/>
      <c r="AW145" s="297"/>
      <c r="AX145" s="297"/>
      <c r="AY145" s="242"/>
      <c r="AZ145" s="243"/>
      <c r="BA145" s="175"/>
      <c r="BB145" s="744"/>
      <c r="BC145" s="744"/>
      <c r="BD145" s="744"/>
      <c r="BE145" s="744"/>
      <c r="BF145" s="744"/>
      <c r="BG145" s="744"/>
      <c r="BH145" s="744"/>
      <c r="BI145" s="744"/>
      <c r="BJ145" s="744"/>
      <c r="BK145" s="744"/>
      <c r="BL145" s="744"/>
      <c r="BM145" s="744"/>
      <c r="BN145" s="744"/>
      <c r="BO145" s="744"/>
      <c r="BP145" s="744"/>
      <c r="BQ145" s="744"/>
      <c r="BR145" s="744"/>
      <c r="BS145" s="744"/>
      <c r="BT145" s="744"/>
      <c r="BU145" s="744"/>
      <c r="BV145" s="744"/>
      <c r="BW145" s="744"/>
      <c r="BX145" s="744"/>
      <c r="BY145" s="744"/>
      <c r="BZ145" s="744"/>
      <c r="CA145" s="744"/>
      <c r="CB145" s="744"/>
      <c r="CC145" s="744"/>
      <c r="CD145" s="744"/>
      <c r="CE145" s="744"/>
      <c r="CF145" s="744"/>
      <c r="CG145" s="744"/>
      <c r="CH145" s="744"/>
      <c r="CI145" s="744"/>
      <c r="CJ145" s="744"/>
      <c r="CK145" s="744"/>
      <c r="CL145" s="744"/>
      <c r="CM145" s="744"/>
      <c r="CN145" s="744"/>
      <c r="CO145" s="744"/>
      <c r="CP145" s="744"/>
      <c r="CQ145" s="744"/>
      <c r="CR145" s="744"/>
      <c r="CS145" s="744"/>
      <c r="CT145" s="744"/>
      <c r="CU145" s="744"/>
      <c r="CV145" s="744"/>
      <c r="CW145" s="744"/>
      <c r="CX145" s="744"/>
      <c r="CY145" s="744"/>
      <c r="CZ145" s="744"/>
      <c r="DA145" s="744"/>
      <c r="DB145" s="744"/>
      <c r="DC145" s="744"/>
      <c r="DD145" s="744"/>
      <c r="DE145" s="744"/>
      <c r="DF145" s="744"/>
      <c r="DG145" s="744"/>
      <c r="DH145" s="744"/>
      <c r="DI145" s="744"/>
      <c r="DJ145" s="744"/>
      <c r="DK145" s="744"/>
      <c r="DL145" s="744"/>
      <c r="DM145" s="744"/>
      <c r="DN145" s="744"/>
      <c r="DO145" s="744"/>
      <c r="DP145" s="744"/>
      <c r="DQ145" s="744"/>
      <c r="DR145" s="744"/>
      <c r="DS145" s="744"/>
      <c r="DT145" s="744" t="str">
        <f t="shared" si="338"/>
        <v>-</v>
      </c>
      <c r="DU145" s="744"/>
      <c r="DV145" s="744"/>
      <c r="DW145" s="8"/>
    </row>
    <row r="146" spans="1:127" ht="16.05" customHeight="1">
      <c r="A146" s="739"/>
      <c r="B146" s="739"/>
      <c r="C146" s="739"/>
      <c r="D146" s="747"/>
      <c r="E146" s="744"/>
      <c r="F146" s="744"/>
      <c r="G146" s="744"/>
      <c r="H146" s="744"/>
      <c r="I146" s="744"/>
      <c r="J146" s="744"/>
      <c r="K146" s="744"/>
      <c r="L146" s="744"/>
      <c r="M146" s="744"/>
      <c r="N146" s="744"/>
      <c r="O146" s="744"/>
      <c r="P146" s="744"/>
      <c r="Q146" s="744"/>
      <c r="R146" s="744"/>
      <c r="S146" s="744"/>
      <c r="T146" s="744"/>
      <c r="U146" s="744"/>
      <c r="V146" s="172"/>
      <c r="W146" s="321"/>
      <c r="X146" s="180" t="str">
        <f>X3</f>
        <v>Fecha</v>
      </c>
      <c r="Y146" s="180" t="str">
        <f>Y3</f>
        <v>Hora</v>
      </c>
      <c r="Z146" s="265"/>
      <c r="AA146" s="266" t="str">
        <f>AA3</f>
        <v>Casa</v>
      </c>
      <c r="AB146" s="265" t="s">
        <v>13</v>
      </c>
      <c r="AC146" s="180" t="s">
        <v>17</v>
      </c>
      <c r="AD146" s="180" t="s">
        <v>17</v>
      </c>
      <c r="AE146" s="265" t="s">
        <v>13</v>
      </c>
      <c r="AF146" s="322" t="str">
        <f>AF3</f>
        <v>Fuera</v>
      </c>
      <c r="AG146" s="418"/>
      <c r="AH146" s="313"/>
      <c r="AI146" s="18"/>
      <c r="AJ146" s="173"/>
      <c r="AK146" s="173"/>
      <c r="AL146" s="178"/>
      <c r="AM146" s="297"/>
      <c r="AN146" s="297"/>
      <c r="AO146" s="297"/>
      <c r="AP146" s="297"/>
      <c r="AQ146" s="297"/>
      <c r="AR146" s="297"/>
      <c r="AS146" s="297"/>
      <c r="AT146" s="297"/>
      <c r="AU146" s="19"/>
      <c r="AV146" s="19"/>
      <c r="AW146" s="297"/>
      <c r="AX146" s="297"/>
      <c r="AY146" s="242"/>
      <c r="AZ146" s="243"/>
      <c r="BA146" s="175"/>
      <c r="BB146" s="744"/>
      <c r="BC146" s="744"/>
      <c r="BD146" s="744"/>
      <c r="BE146" s="744"/>
      <c r="BF146" s="744"/>
      <c r="BG146" s="744"/>
      <c r="BH146" s="744"/>
      <c r="BI146" s="744"/>
      <c r="BJ146" s="744"/>
      <c r="BK146" s="744"/>
      <c r="BL146" s="744"/>
      <c r="BM146" s="744"/>
      <c r="BN146" s="744"/>
      <c r="BO146" s="744"/>
      <c r="BP146" s="744"/>
      <c r="BQ146" s="744"/>
      <c r="BR146" s="744"/>
      <c r="BS146" s="744"/>
      <c r="BT146" s="744"/>
      <c r="BU146" s="744"/>
      <c r="BV146" s="744"/>
      <c r="BW146" s="744"/>
      <c r="BX146" s="744"/>
      <c r="BY146" s="744"/>
      <c r="BZ146" s="744"/>
      <c r="CA146" s="744"/>
      <c r="CB146" s="744"/>
      <c r="CC146" s="744"/>
      <c r="CD146" s="744"/>
      <c r="CE146" s="744"/>
      <c r="CF146" s="744"/>
      <c r="CG146" s="744"/>
      <c r="CH146" s="744"/>
      <c r="CI146" s="744"/>
      <c r="CJ146" s="744"/>
      <c r="CK146" s="744"/>
      <c r="CL146" s="744"/>
      <c r="CM146" s="744"/>
      <c r="CN146" s="744"/>
      <c r="CO146" s="744"/>
      <c r="CP146" s="744"/>
      <c r="CQ146" s="744"/>
      <c r="CR146" s="744"/>
      <c r="CS146" s="744"/>
      <c r="CT146" s="744"/>
      <c r="CU146" s="744"/>
      <c r="CV146" s="744"/>
      <c r="CW146" s="744"/>
      <c r="CX146" s="744"/>
      <c r="CY146" s="744"/>
      <c r="CZ146" s="744"/>
      <c r="DA146" s="744"/>
      <c r="DB146" s="744"/>
      <c r="DC146" s="744"/>
      <c r="DD146" s="744"/>
      <c r="DE146" s="744"/>
      <c r="DF146" s="744"/>
      <c r="DG146" s="744"/>
      <c r="DH146" s="744"/>
      <c r="DI146" s="744"/>
      <c r="DJ146" s="744"/>
      <c r="DK146" s="744"/>
      <c r="DL146" s="744"/>
      <c r="DM146" s="744"/>
      <c r="DN146" s="744"/>
      <c r="DO146" s="744"/>
      <c r="DP146" s="744"/>
      <c r="DQ146" s="744"/>
      <c r="DR146" s="744"/>
      <c r="DS146" s="744"/>
      <c r="DT146" s="744" t="str">
        <f t="shared" si="338"/>
        <v>Casa-Fuera</v>
      </c>
      <c r="DU146" s="744"/>
      <c r="DV146" s="744"/>
      <c r="DW146" s="8"/>
    </row>
    <row r="147" spans="1:127" ht="16.05" customHeight="1" thickBot="1">
      <c r="A147" s="738" t="s">
        <v>760</v>
      </c>
      <c r="B147" s="738" t="s">
        <v>761</v>
      </c>
      <c r="C147" s="739"/>
      <c r="D147" s="747" t="str">
        <f>IF(AND(OR(AC147="",AD147="")),"W"&amp;AH147,IF(AC147&gt;AD147,AA147,IF(AC147&lt;AD147,AF147,IF(AND(AC147=AD147,AB147=AE147),"W"&amp;AH147,IF(AND(AC147=AD147,OR(AB147="",AE147="")),"W"&amp;AH147,IF(AND(AC147=AD147,AB147&gt;AE147),AA147,AF147))))))</f>
        <v>W104</v>
      </c>
      <c r="E147" s="744">
        <v>101</v>
      </c>
      <c r="F147" s="744">
        <v>102</v>
      </c>
      <c r="G147" s="744"/>
      <c r="H147" s="744" t="str">
        <f>IF(AND(OR(AC147="",AD147="")),"LF",IF(AC147&gt;AD147,AF147,IF(AC147&lt;AD147,AA147,IF(AND(AC147=AD147,AB147=AE147),"LF",IF(AND(AC147=AD147,OR(AB147="",AE147="")),"LF",IF(AND(AC147=AD147,AB147&gt;AE147),AF147,AA147))))))</f>
        <v>LF</v>
      </c>
      <c r="I147" s="744"/>
      <c r="J147" s="738">
        <v>104</v>
      </c>
      <c r="K147" s="738">
        <v>46222.875</v>
      </c>
      <c r="L147" s="738" t="s">
        <v>716</v>
      </c>
      <c r="M147" s="738" t="str">
        <f>+INDEX($D$101:$D$147,MATCH(E147,$AH$101:$AH$147,0))</f>
        <v>W101</v>
      </c>
      <c r="N147" s="738" t="str">
        <f>+INDEX($D$101:$D$147,MATCH(F147,$AH$101:$AH$147,0))</f>
        <v>W102</v>
      </c>
      <c r="O147" s="738"/>
      <c r="P147" s="738"/>
      <c r="Q147" s="738"/>
      <c r="R147" s="738"/>
      <c r="S147" s="738"/>
      <c r="T147" s="738"/>
      <c r="U147" s="738"/>
      <c r="V147" s="172"/>
      <c r="W147" s="338" t="s">
        <v>4</v>
      </c>
      <c r="X147" s="324">
        <f ca="1">Horarios!C147</f>
        <v>46222.875</v>
      </c>
      <c r="Y147" s="325">
        <f ca="1">Horarios!C147</f>
        <v>46222.875</v>
      </c>
      <c r="Z147" s="332">
        <f>AH147</f>
        <v>104</v>
      </c>
      <c r="AA147" s="333" t="str">
        <f>IF(AND(OR(AC138="",AD138="")),"W"&amp;AH138,IF(AC138&gt;AD138,AA138,IF(AC138&lt;AD138,AF138,IF(AND(AC138=AD138,AB138=AE138),"W"&amp;AH138,IF(AND(AC138=AD138,OR(AB138="",AE138="")),"W"&amp;AH138,IF(AND(AC138=AD138,AB138&gt;AE138),AA138,AF138))))))</f>
        <v>W101</v>
      </c>
      <c r="AB147" s="334"/>
      <c r="AC147" s="335"/>
      <c r="AD147" s="335"/>
      <c r="AE147" s="334"/>
      <c r="AF147" s="336" t="str">
        <f>IF(AND(OR(AC139="",AD139="")),"W"&amp;AH139,IF(AC139&gt;AD139,AA139,IF(AC139&lt;AD139,AF139,IF(AND(AC139=AD139,AB139=AE139),"W"&amp;AH139,IF(AND(AC139=AD139,OR(AB139="",AE139="")),"W"&amp;AH139,IF(AND(AC139=AD139,AB139&gt;AE139),AA139,AF139))))))</f>
        <v>W102</v>
      </c>
      <c r="AG147" s="417">
        <f>IF(D147="W"&amp;AH147,0,1)</f>
        <v>0</v>
      </c>
      <c r="AH147" s="313">
        <v>104</v>
      </c>
      <c r="AI147" s="18"/>
      <c r="AJ147" s="173"/>
      <c r="AK147" s="173"/>
      <c r="AL147" s="178"/>
      <c r="AM147" s="173"/>
      <c r="AN147" s="173"/>
      <c r="AO147" s="173"/>
      <c r="AP147" s="174"/>
      <c r="AQ147" s="174"/>
      <c r="AR147" s="174"/>
      <c r="AS147" s="174"/>
      <c r="AT147" s="174"/>
      <c r="AU147" s="22"/>
      <c r="AV147" s="22"/>
      <c r="AW147" s="178"/>
      <c r="AX147" s="178"/>
      <c r="AY147" s="242"/>
      <c r="AZ147" s="243"/>
      <c r="BA147" s="175"/>
      <c r="BB147" s="744"/>
      <c r="BC147" s="744"/>
      <c r="BD147" s="744"/>
      <c r="BE147" s="744"/>
      <c r="BF147" s="744"/>
      <c r="BG147" s="744"/>
      <c r="BH147" s="744"/>
      <c r="BI147" s="744"/>
      <c r="BJ147" s="744"/>
      <c r="BK147" s="744"/>
      <c r="BL147" s="744"/>
      <c r="BM147" s="744"/>
      <c r="BN147" s="744"/>
      <c r="BO147" s="744"/>
      <c r="BP147" s="744"/>
      <c r="BQ147" s="744"/>
      <c r="BR147" s="744"/>
      <c r="BS147" s="744"/>
      <c r="BT147" s="744"/>
      <c r="BU147" s="744"/>
      <c r="BV147" s="744"/>
      <c r="BW147" s="744"/>
      <c r="BX147" s="744"/>
      <c r="BY147" s="744"/>
      <c r="BZ147" s="744"/>
      <c r="CA147" s="744"/>
      <c r="CB147" s="744"/>
      <c r="CC147" s="744"/>
      <c r="CD147" s="744"/>
      <c r="CE147" s="744"/>
      <c r="CF147" s="744"/>
      <c r="CG147" s="744"/>
      <c r="CH147" s="744"/>
      <c r="CI147" s="744"/>
      <c r="CJ147" s="744"/>
      <c r="CK147" s="744"/>
      <c r="CL147" s="744"/>
      <c r="CM147" s="744"/>
      <c r="CN147" s="744"/>
      <c r="CO147" s="744"/>
      <c r="CP147" s="744"/>
      <c r="CQ147" s="744"/>
      <c r="CR147" s="744"/>
      <c r="CS147" s="744"/>
      <c r="CT147" s="744"/>
      <c r="CU147" s="744"/>
      <c r="CV147" s="744"/>
      <c r="CW147" s="744"/>
      <c r="CX147" s="744"/>
      <c r="CY147" s="744"/>
      <c r="CZ147" s="744"/>
      <c r="DA147" s="744"/>
      <c r="DB147" s="744"/>
      <c r="DC147" s="744"/>
      <c r="DD147" s="744"/>
      <c r="DE147" s="744"/>
      <c r="DF147" s="744"/>
      <c r="DG147" s="744"/>
      <c r="DH147" s="744"/>
      <c r="DI147" s="744"/>
      <c r="DJ147" s="744"/>
      <c r="DK147" s="744"/>
      <c r="DL147" s="744"/>
      <c r="DM147" s="744"/>
      <c r="DN147" s="744"/>
      <c r="DO147" s="744"/>
      <c r="DP147" s="744"/>
      <c r="DQ147" s="744"/>
      <c r="DR147" s="744"/>
      <c r="DS147" s="744"/>
      <c r="DT147" s="744" t="str">
        <f t="shared" si="338"/>
        <v>W101-W102</v>
      </c>
      <c r="DU147" s="744"/>
      <c r="DV147" s="744"/>
      <c r="DW147" s="8"/>
    </row>
    <row r="148" spans="1:127" ht="16.05" customHeight="1" thickBot="1">
      <c r="C148" s="5"/>
      <c r="D148" s="5"/>
      <c r="E148" s="5"/>
      <c r="F148" s="5"/>
      <c r="G148" s="5"/>
      <c r="H148" s="5"/>
      <c r="I148" s="5"/>
      <c r="J148" s="5"/>
      <c r="K148" s="5"/>
      <c r="L148" s="5"/>
      <c r="M148" s="5"/>
      <c r="N148" s="5"/>
      <c r="O148" s="5"/>
      <c r="P148" s="5"/>
      <c r="Q148" s="5"/>
      <c r="R148" s="5"/>
      <c r="S148" s="5"/>
      <c r="T148" s="5"/>
      <c r="U148" s="5"/>
      <c r="V148" s="172"/>
      <c r="W148" s="242"/>
      <c r="X148" s="243"/>
      <c r="Y148" s="242"/>
      <c r="Z148" s="244"/>
      <c r="AA148" s="245"/>
      <c r="AB148" s="246"/>
      <c r="AC148" s="247"/>
      <c r="AD148" s="247"/>
      <c r="AE148" s="246"/>
      <c r="AF148" s="248"/>
      <c r="AG148" s="418"/>
      <c r="AH148" s="339"/>
      <c r="AI148" s="339"/>
      <c r="AJ148" s="297"/>
      <c r="AK148" s="297"/>
      <c r="AL148" s="19" t="str">
        <f>Idiomas!D49</f>
        <v>MUNDIAL EN CURSO</v>
      </c>
      <c r="AM148" s="19" t="str">
        <f>Idiomas!D50</f>
        <v>Todavía hay emoción</v>
      </c>
      <c r="AN148" s="297"/>
      <c r="AO148" s="297"/>
      <c r="AP148" s="297"/>
      <c r="AQ148" s="297"/>
      <c r="AR148" s="297"/>
      <c r="AS148" s="297"/>
      <c r="AT148" s="297"/>
      <c r="AU148" s="19"/>
      <c r="AV148" s="19"/>
      <c r="AW148" s="297"/>
      <c r="AX148" s="297"/>
      <c r="AY148" s="242"/>
      <c r="AZ148" s="243"/>
      <c r="BA148" s="175"/>
      <c r="BB148" s="744"/>
      <c r="BC148" s="744"/>
      <c r="BD148" s="744"/>
      <c r="BE148" s="744"/>
      <c r="BF148" s="744"/>
      <c r="BG148" s="744"/>
      <c r="BH148" s="744"/>
      <c r="BI148" s="744"/>
      <c r="BJ148" s="744"/>
      <c r="BK148" s="744"/>
      <c r="BL148" s="744"/>
      <c r="BM148" s="744"/>
      <c r="BN148" s="744"/>
      <c r="BO148" s="744"/>
      <c r="BP148" s="744"/>
      <c r="BQ148" s="744"/>
      <c r="BR148" s="744"/>
      <c r="BS148" s="744"/>
      <c r="BT148" s="744"/>
      <c r="BU148" s="744"/>
      <c r="BV148" s="744"/>
      <c r="BW148" s="744"/>
      <c r="BX148" s="744"/>
      <c r="BY148" s="744"/>
      <c r="BZ148" s="744"/>
      <c r="CA148" s="744"/>
      <c r="CB148" s="744"/>
      <c r="CC148" s="744"/>
      <c r="CD148" s="744"/>
      <c r="CE148" s="744"/>
      <c r="CF148" s="744"/>
      <c r="CG148" s="744"/>
      <c r="CH148" s="744"/>
      <c r="CI148" s="744"/>
      <c r="CJ148" s="744"/>
      <c r="CK148" s="744"/>
      <c r="CL148" s="744"/>
      <c r="CM148" s="744"/>
      <c r="CN148" s="744"/>
      <c r="CO148" s="744"/>
      <c r="CP148" s="744"/>
      <c r="CQ148" s="744"/>
      <c r="CR148" s="744"/>
      <c r="CS148" s="744"/>
      <c r="CT148" s="744"/>
      <c r="CU148" s="744"/>
      <c r="CV148" s="744"/>
      <c r="CW148" s="744"/>
      <c r="CX148" s="744"/>
      <c r="CY148" s="744"/>
      <c r="CZ148" s="744"/>
      <c r="DA148" s="744"/>
      <c r="DB148" s="744"/>
      <c r="DC148" s="744"/>
      <c r="DD148" s="744"/>
      <c r="DE148" s="744"/>
      <c r="DF148" s="744"/>
      <c r="DG148" s="744"/>
      <c r="DH148" s="744"/>
      <c r="DI148" s="744"/>
      <c r="DJ148" s="744"/>
      <c r="DK148" s="744"/>
      <c r="DL148" s="744"/>
      <c r="DM148" s="744"/>
      <c r="DN148" s="744"/>
      <c r="DO148" s="744"/>
      <c r="DP148" s="744"/>
      <c r="DQ148" s="744"/>
      <c r="DR148" s="744"/>
      <c r="DS148" s="744"/>
      <c r="DT148" s="744"/>
      <c r="DU148" s="744"/>
      <c r="DV148" s="744"/>
      <c r="DW148" s="8"/>
    </row>
    <row r="149" spans="1:127" ht="16.05" customHeight="1" thickBot="1">
      <c r="A149" s="728"/>
      <c r="B149" s="728"/>
      <c r="C149" s="728"/>
      <c r="D149" s="728"/>
      <c r="E149" s="728"/>
      <c r="F149" s="728"/>
      <c r="G149" s="728"/>
      <c r="H149" s="728"/>
      <c r="I149" s="728"/>
      <c r="J149" s="728"/>
      <c r="K149" s="728"/>
      <c r="L149" s="728"/>
      <c r="M149" s="728"/>
      <c r="N149" s="728"/>
      <c r="O149" s="728"/>
      <c r="P149" s="728"/>
      <c r="Q149" s="728"/>
      <c r="R149" s="728"/>
      <c r="S149" s="728"/>
      <c r="T149" s="728"/>
      <c r="U149" s="728"/>
      <c r="V149" s="172"/>
      <c r="W149" s="340"/>
      <c r="X149" s="341"/>
      <c r="Y149" s="342"/>
      <c r="Z149" s="342"/>
      <c r="AA149" s="343" t="str">
        <f>Idiomas!D31</f>
        <v>Cuadro de honor</v>
      </c>
      <c r="AB149" s="342"/>
      <c r="AC149" s="341"/>
      <c r="AD149" s="341"/>
      <c r="AE149" s="342"/>
      <c r="AF149" s="344"/>
      <c r="AG149" s="419"/>
      <c r="AH149" s="345"/>
      <c r="AI149" s="339"/>
      <c r="AJ149" s="297"/>
      <c r="AK149" s="297"/>
      <c r="AL149" s="19" t="str">
        <f>Idiomas!D51</f>
        <v>MUNDIAL FINALIZADO</v>
      </c>
      <c r="AM149" s="19" t="str">
        <f>Idiomas!D52</f>
        <v>¿Quién habrá ganado?</v>
      </c>
      <c r="AN149" s="297"/>
      <c r="AO149" s="297"/>
      <c r="AP149" s="297"/>
      <c r="AQ149" s="297"/>
      <c r="AR149" s="297"/>
      <c r="AS149" s="297"/>
      <c r="AT149" s="297"/>
      <c r="AU149" s="19"/>
      <c r="AV149" s="19"/>
      <c r="AW149" s="297"/>
      <c r="AX149" s="297"/>
      <c r="AY149" s="242"/>
      <c r="AZ149" s="243"/>
      <c r="BA149" s="175"/>
      <c r="BB149" s="744"/>
      <c r="BC149" s="744"/>
      <c r="BD149" s="744"/>
      <c r="BE149" s="744"/>
      <c r="BF149" s="744"/>
      <c r="BG149" s="744"/>
      <c r="BH149" s="744"/>
      <c r="BI149" s="744"/>
      <c r="BJ149" s="744"/>
      <c r="BK149" s="744"/>
      <c r="BL149" s="744"/>
      <c r="BM149" s="744"/>
      <c r="BN149" s="744"/>
      <c r="BO149" s="744"/>
      <c r="BP149" s="744"/>
      <c r="BQ149" s="744"/>
      <c r="BR149" s="744"/>
      <c r="BS149" s="744"/>
      <c r="BT149" s="744"/>
      <c r="BU149" s="744"/>
      <c r="BV149" s="744"/>
      <c r="BW149" s="744"/>
      <c r="BX149" s="744"/>
      <c r="BY149" s="744"/>
      <c r="BZ149" s="744"/>
      <c r="CA149" s="744"/>
      <c r="CB149" s="744"/>
      <c r="CC149" s="744"/>
      <c r="CD149" s="744"/>
      <c r="CE149" s="744"/>
      <c r="CF149" s="744"/>
      <c r="CG149" s="744"/>
      <c r="CH149" s="744"/>
      <c r="CI149" s="744"/>
      <c r="CJ149" s="744"/>
      <c r="CK149" s="744"/>
      <c r="CL149" s="744"/>
      <c r="CM149" s="744"/>
      <c r="CN149" s="744"/>
      <c r="CO149" s="744"/>
      <c r="CP149" s="744"/>
      <c r="CQ149" s="744"/>
      <c r="CR149" s="744"/>
      <c r="CS149" s="744"/>
      <c r="CT149" s="744"/>
      <c r="CU149" s="744"/>
      <c r="CV149" s="744"/>
      <c r="CW149" s="744"/>
      <c r="CX149" s="744"/>
      <c r="CY149" s="744"/>
      <c r="CZ149" s="744"/>
      <c r="DA149" s="744"/>
      <c r="DB149" s="744"/>
      <c r="DC149" s="744"/>
      <c r="DD149" s="744"/>
      <c r="DE149" s="744"/>
      <c r="DF149" s="744"/>
      <c r="DG149" s="744"/>
      <c r="DH149" s="744"/>
      <c r="DI149" s="744"/>
      <c r="DJ149" s="744"/>
      <c r="DK149" s="744"/>
      <c r="DL149" s="744"/>
      <c r="DM149" s="744"/>
      <c r="DN149" s="744"/>
      <c r="DO149" s="744"/>
      <c r="DP149" s="744"/>
      <c r="DQ149" s="744"/>
      <c r="DR149" s="744"/>
      <c r="DS149" s="744"/>
      <c r="DT149" s="744"/>
      <c r="DU149" s="744"/>
      <c r="DV149" s="744"/>
      <c r="DW149" s="8"/>
    </row>
    <row r="150" spans="1:127" ht="16.05" customHeight="1" thickBot="1">
      <c r="A150" s="728"/>
      <c r="B150" s="728"/>
      <c r="C150" s="728"/>
      <c r="D150" s="728"/>
      <c r="E150" s="728"/>
      <c r="F150" s="728"/>
      <c r="G150" s="728"/>
      <c r="H150" s="728"/>
      <c r="I150" s="728"/>
      <c r="J150" s="728"/>
      <c r="K150" s="728"/>
      <c r="L150" s="728"/>
      <c r="M150" s="728"/>
      <c r="N150" s="728"/>
      <c r="O150" s="728"/>
      <c r="P150" s="728"/>
      <c r="Q150" s="728"/>
      <c r="R150" s="728"/>
      <c r="S150" s="728"/>
      <c r="T150" s="728"/>
      <c r="U150" s="728"/>
      <c r="V150" s="172"/>
      <c r="W150" s="346" t="str">
        <f>"🥇"&amp;Idiomas!D32</f>
        <v>🥇Campeón</v>
      </c>
      <c r="X150" s="347"/>
      <c r="Y150" s="348"/>
      <c r="Z150" s="348"/>
      <c r="AA150" s="349" t="str">
        <f>IF(AND(OR(AC147="",AD147="")),"WF",IF(AC147&gt;AD147,AA147,IF(AC147&lt;AD147,AF147,IF(AND(AC147=AD147,AB147=AE147),"WF",IF(AND(AC147=AD147,OR(AB147="",AE147="")),"WF",IF(AND(AC147=AD147,AB147&gt;AE147),AA147,AF147))))))</f>
        <v>WF</v>
      </c>
      <c r="AB150" s="350"/>
      <c r="AC150" s="350"/>
      <c r="AD150" s="350"/>
      <c r="AE150" s="350"/>
      <c r="AF150" s="351"/>
      <c r="AG150" s="417">
        <f>IF(AA150="WF",0,1)</f>
        <v>0</v>
      </c>
      <c r="AH150" s="345"/>
      <c r="AI150" s="345"/>
      <c r="AJ150" s="173"/>
      <c r="AK150" s="173"/>
      <c r="AL150" s="173"/>
      <c r="AM150" s="173"/>
      <c r="AN150" s="173"/>
      <c r="AO150" s="173"/>
      <c r="AP150" s="173"/>
      <c r="AQ150" s="173"/>
      <c r="AR150" s="173"/>
      <c r="AS150" s="173"/>
      <c r="AT150" s="173"/>
      <c r="AU150" s="345"/>
      <c r="AV150" s="345"/>
      <c r="AW150" s="173"/>
      <c r="AX150" s="173"/>
      <c r="AY150" s="242"/>
      <c r="AZ150" s="243"/>
      <c r="BA150" s="175"/>
      <c r="BB150" s="744"/>
      <c r="BC150" s="744"/>
      <c r="BD150" s="744"/>
      <c r="BE150" s="744"/>
      <c r="BF150" s="744"/>
      <c r="BG150" s="744"/>
      <c r="BH150" s="744"/>
      <c r="BI150" s="744"/>
      <c r="BJ150" s="744"/>
      <c r="BK150" s="744"/>
      <c r="BL150" s="744"/>
      <c r="BM150" s="744"/>
      <c r="BN150" s="744"/>
      <c r="BO150" s="744"/>
      <c r="BP150" s="744"/>
      <c r="BQ150" s="744"/>
      <c r="BR150" s="744"/>
      <c r="BS150" s="744"/>
      <c r="BT150" s="744"/>
      <c r="BU150" s="744"/>
      <c r="BV150" s="744"/>
      <c r="BW150" s="744"/>
      <c r="BX150" s="744"/>
      <c r="BY150" s="744"/>
      <c r="BZ150" s="744"/>
      <c r="CA150" s="744"/>
      <c r="CB150" s="744"/>
      <c r="CC150" s="744"/>
      <c r="CD150" s="744"/>
      <c r="CE150" s="744"/>
      <c r="CF150" s="744"/>
      <c r="CG150" s="744"/>
      <c r="CH150" s="744"/>
      <c r="CI150" s="744"/>
      <c r="CJ150" s="744"/>
      <c r="CK150" s="744"/>
      <c r="CL150" s="744"/>
      <c r="CM150" s="744"/>
      <c r="CN150" s="744"/>
      <c r="CO150" s="744"/>
      <c r="CP150" s="744"/>
      <c r="CQ150" s="744"/>
      <c r="CR150" s="744"/>
      <c r="CS150" s="744"/>
      <c r="CT150" s="744"/>
      <c r="CU150" s="744"/>
      <c r="CV150" s="744"/>
      <c r="CW150" s="744"/>
      <c r="CX150" s="744"/>
      <c r="CY150" s="744"/>
      <c r="CZ150" s="744"/>
      <c r="DA150" s="744"/>
      <c r="DB150" s="744"/>
      <c r="DC150" s="744"/>
      <c r="DD150" s="744"/>
      <c r="DE150" s="744"/>
      <c r="DF150" s="744"/>
      <c r="DG150" s="744"/>
      <c r="DH150" s="744"/>
      <c r="DI150" s="744"/>
      <c r="DJ150" s="744"/>
      <c r="DK150" s="744"/>
      <c r="DL150" s="744"/>
      <c r="DM150" s="744"/>
      <c r="DN150" s="744"/>
      <c r="DO150" s="744"/>
      <c r="DP150" s="744"/>
      <c r="DQ150" s="744"/>
      <c r="DR150" s="744"/>
      <c r="DS150" s="744"/>
      <c r="DT150" s="744"/>
      <c r="DU150" s="744"/>
      <c r="DV150" s="744"/>
      <c r="DW150" s="8"/>
    </row>
    <row r="151" spans="1:127" ht="16.05" customHeight="1">
      <c r="A151" s="728"/>
      <c r="B151" s="728"/>
      <c r="C151" s="728"/>
      <c r="D151" s="728"/>
      <c r="E151" s="728"/>
      <c r="F151" s="728"/>
      <c r="G151" s="728"/>
      <c r="H151" s="728"/>
      <c r="I151" s="728"/>
      <c r="J151" s="728"/>
      <c r="K151" s="728"/>
      <c r="L151" s="728"/>
      <c r="M151" s="728"/>
      <c r="N151" s="728"/>
      <c r="O151" s="728"/>
      <c r="P151" s="728"/>
      <c r="Q151" s="728"/>
      <c r="R151" s="728"/>
      <c r="S151" s="728"/>
      <c r="T151" s="728"/>
      <c r="U151" s="728"/>
      <c r="V151" s="172"/>
      <c r="W151" s="346" t="str">
        <f>"🥈"&amp;Idiomas!D33</f>
        <v>🥈Subcampeón</v>
      </c>
      <c r="X151" s="347"/>
      <c r="Y151" s="348"/>
      <c r="Z151" s="348"/>
      <c r="AA151" s="352" t="str">
        <f>IF(AND(OR(AC147="",AD147="")),"LF",IF(AC147&gt;AD147,AF147,IF(AC147&lt;AD147,AA147,IF(AND(AC147=AD147,AB147=AE147),"LF",IF(AND(AC147=AD147,OR(AB147="",AE147="")),"LF",IF(AND(AC147=AD147,AB147&gt;AE147),AF147,AA147))))))</f>
        <v>LF</v>
      </c>
      <c r="AB151" s="353"/>
      <c r="AC151" s="353"/>
      <c r="AD151" s="353"/>
      <c r="AE151" s="353"/>
      <c r="AF151" s="354"/>
      <c r="AG151" s="417">
        <f>IF(AA151="LF",0,1)</f>
        <v>0</v>
      </c>
      <c r="AH151" s="345"/>
      <c r="AI151" s="345"/>
      <c r="AJ151" s="803" t="str">
        <f>IF(SUM(COUNTIF(AG4:AG97,0),COUNTIF(AG101:AG160,0)&gt;0),AL148,AL149)</f>
        <v>MUNDIAL EN CURSO</v>
      </c>
      <c r="AK151" s="804"/>
      <c r="AL151" s="804"/>
      <c r="AM151" s="804"/>
      <c r="AN151" s="804"/>
      <c r="AO151" s="804"/>
      <c r="AP151" s="804"/>
      <c r="AQ151" s="804"/>
      <c r="AR151" s="804"/>
      <c r="AS151" s="804"/>
      <c r="AT151" s="804"/>
      <c r="AU151" s="805"/>
      <c r="AV151" s="355"/>
      <c r="AW151" s="243"/>
      <c r="AX151" s="242"/>
      <c r="AY151" s="244"/>
      <c r="AZ151" s="245"/>
      <c r="BA151" s="175"/>
      <c r="DW151" s="8"/>
    </row>
    <row r="152" spans="1:127" ht="16.05" customHeight="1" thickBot="1">
      <c r="A152" s="728"/>
      <c r="B152" s="728"/>
      <c r="C152" s="728"/>
      <c r="D152" s="728"/>
      <c r="E152" s="728"/>
      <c r="F152" s="728"/>
      <c r="G152" s="728"/>
      <c r="H152" s="728"/>
      <c r="I152" s="728"/>
      <c r="J152" s="728"/>
      <c r="K152" s="728"/>
      <c r="L152" s="728"/>
      <c r="M152" s="728"/>
      <c r="N152" s="728"/>
      <c r="O152" s="728"/>
      <c r="P152" s="728"/>
      <c r="Q152" s="728"/>
      <c r="R152" s="728"/>
      <c r="S152" s="728"/>
      <c r="T152" s="728"/>
      <c r="U152" s="728"/>
      <c r="V152" s="172"/>
      <c r="W152" s="356" t="str">
        <f>"🥉"&amp;Idiomas!D34</f>
        <v>🥉3º puesto</v>
      </c>
      <c r="X152" s="357"/>
      <c r="Y152" s="358"/>
      <c r="Z152" s="358"/>
      <c r="AA152" s="359" t="str">
        <f>IF(AND(OR(AC143="",AD143="")),"W34",IF(AC143&gt;AD143,AA143,IF(AC143&lt;AD143,AF143,IF(AND(AC143=AD143,AB143=AE143),"W34",IF(AND(AC143=AD143,OR(AB143="",AE143="")),"W34",IF(AND(AC143=AD143,AB143&gt;AE143),AA143,AF143))))))</f>
        <v>W34</v>
      </c>
      <c r="AB152" s="360"/>
      <c r="AC152" s="360"/>
      <c r="AD152" s="360"/>
      <c r="AE152" s="360"/>
      <c r="AF152" s="361"/>
      <c r="AG152" s="417">
        <f>IF(AA152="W34",0,1)</f>
        <v>0</v>
      </c>
      <c r="AH152" s="345"/>
      <c r="AI152" s="345"/>
      <c r="AJ152" s="806"/>
      <c r="AK152" s="807"/>
      <c r="AL152" s="807"/>
      <c r="AM152" s="807"/>
      <c r="AN152" s="807"/>
      <c r="AO152" s="807"/>
      <c r="AP152" s="807"/>
      <c r="AQ152" s="807"/>
      <c r="AR152" s="807"/>
      <c r="AS152" s="807"/>
      <c r="AT152" s="807"/>
      <c r="AU152" s="808"/>
      <c r="AV152" s="355"/>
      <c r="AW152" s="243"/>
      <c r="AX152" s="242"/>
      <c r="AY152" s="244"/>
      <c r="AZ152" s="245"/>
      <c r="BA152" s="175"/>
      <c r="DW152" s="8"/>
    </row>
    <row r="153" spans="1:127" ht="16.05" customHeight="1" thickBot="1">
      <c r="A153" s="728"/>
      <c r="B153" s="728"/>
      <c r="C153" s="728"/>
      <c r="D153" s="728"/>
      <c r="E153" s="728"/>
      <c r="F153" s="728"/>
      <c r="G153" s="728"/>
      <c r="H153" s="728"/>
      <c r="I153" s="728"/>
      <c r="J153" s="728"/>
      <c r="K153" s="728"/>
      <c r="L153" s="728"/>
      <c r="M153" s="728"/>
      <c r="N153" s="728"/>
      <c r="O153" s="728"/>
      <c r="P153" s="728"/>
      <c r="Q153" s="728"/>
      <c r="R153" s="728"/>
      <c r="S153" s="728"/>
      <c r="T153" s="728"/>
      <c r="U153" s="728"/>
      <c r="V153" s="172"/>
      <c r="W153" s="242"/>
      <c r="X153" s="243"/>
      <c r="Y153" s="242"/>
      <c r="Z153" s="244"/>
      <c r="AA153" s="245"/>
      <c r="AB153" s="246"/>
      <c r="AC153" s="247"/>
      <c r="AD153" s="247"/>
      <c r="AE153" s="246"/>
      <c r="AF153" s="248"/>
      <c r="AG153" s="415"/>
      <c r="AH153" s="345"/>
      <c r="AI153" s="345"/>
      <c r="AJ153" s="806"/>
      <c r="AK153" s="807"/>
      <c r="AL153" s="807"/>
      <c r="AM153" s="807"/>
      <c r="AN153" s="807"/>
      <c r="AO153" s="807"/>
      <c r="AP153" s="807"/>
      <c r="AQ153" s="807"/>
      <c r="AR153" s="807"/>
      <c r="AS153" s="807"/>
      <c r="AT153" s="807"/>
      <c r="AU153" s="808"/>
      <c r="AV153" s="355"/>
      <c r="AW153" s="243"/>
      <c r="AX153" s="242"/>
      <c r="AY153" s="244"/>
      <c r="AZ153" s="245"/>
      <c r="BA153" s="175"/>
      <c r="DW153" s="8"/>
    </row>
    <row r="154" spans="1:127" ht="16.05" customHeight="1">
      <c r="A154" s="728"/>
      <c r="B154" s="728"/>
      <c r="C154" s="728"/>
      <c r="D154" s="728"/>
      <c r="E154" s="728"/>
      <c r="F154" s="728"/>
      <c r="G154" s="728"/>
      <c r="H154" s="728"/>
      <c r="I154" s="728"/>
      <c r="J154" s="728"/>
      <c r="K154" s="728"/>
      <c r="L154" s="728"/>
      <c r="M154" s="728"/>
      <c r="N154" s="728"/>
      <c r="O154" s="728"/>
      <c r="P154" s="728"/>
      <c r="Q154" s="728"/>
      <c r="R154" s="728"/>
      <c r="S154" s="728"/>
      <c r="T154" s="728"/>
      <c r="U154" s="728"/>
      <c r="V154" s="172"/>
      <c r="W154" s="362" t="str">
        <f>Idiomas!D35</f>
        <v>Bota de Oro  (máximo goleador)</v>
      </c>
      <c r="X154" s="363"/>
      <c r="Y154" s="363"/>
      <c r="Z154" s="364"/>
      <c r="AA154" s="365" t="str">
        <f>+Idiomas!D41</f>
        <v>Escribe el jugador Bota de Oro</v>
      </c>
      <c r="AB154" s="366"/>
      <c r="AC154" s="366"/>
      <c r="AD154" s="366"/>
      <c r="AE154" s="366"/>
      <c r="AF154" s="367"/>
      <c r="AG154" s="417">
        <f>IF(AA154=AH154,0,IF(AA154="",0,1))</f>
        <v>0</v>
      </c>
      <c r="AH154" s="368" t="str">
        <f>+Idiomas!D41</f>
        <v>Escribe el jugador Bota de Oro</v>
      </c>
      <c r="AI154" s="345"/>
      <c r="AJ154" s="806"/>
      <c r="AK154" s="807"/>
      <c r="AL154" s="807"/>
      <c r="AM154" s="807"/>
      <c r="AN154" s="807"/>
      <c r="AO154" s="807"/>
      <c r="AP154" s="807"/>
      <c r="AQ154" s="807"/>
      <c r="AR154" s="807"/>
      <c r="AS154" s="807"/>
      <c r="AT154" s="807"/>
      <c r="AU154" s="808"/>
      <c r="AV154" s="355"/>
      <c r="AW154" s="243"/>
      <c r="AX154" s="242"/>
      <c r="AY154" s="244"/>
      <c r="AZ154" s="245"/>
      <c r="BA154" s="175"/>
      <c r="DW154" s="8"/>
    </row>
    <row r="155" spans="1:127" ht="16.05" customHeight="1">
      <c r="A155" s="728"/>
      <c r="B155" s="728"/>
      <c r="C155" s="728"/>
      <c r="D155" s="728"/>
      <c r="E155" s="728"/>
      <c r="F155" s="728"/>
      <c r="G155" s="728"/>
      <c r="H155" s="728"/>
      <c r="I155" s="728"/>
      <c r="J155" s="728"/>
      <c r="K155" s="728"/>
      <c r="L155" s="728"/>
      <c r="M155" s="728"/>
      <c r="N155" s="728"/>
      <c r="O155" s="728"/>
      <c r="P155" s="728"/>
      <c r="Q155" s="728"/>
      <c r="R155" s="728"/>
      <c r="S155" s="728"/>
      <c r="T155" s="728"/>
      <c r="U155" s="728"/>
      <c r="V155" s="172"/>
      <c r="W155" s="346" t="str">
        <f>Idiomas!D36</f>
        <v>Bota de Plata (2º máximo goleador)</v>
      </c>
      <c r="X155" s="348"/>
      <c r="Y155" s="348"/>
      <c r="Z155" s="369"/>
      <c r="AA155" s="370" t="str">
        <f>+Idiomas!D42</f>
        <v>Escribe el jugador Bota de Plata</v>
      </c>
      <c r="AB155" s="371"/>
      <c r="AC155" s="371"/>
      <c r="AD155" s="371"/>
      <c r="AE155" s="371"/>
      <c r="AF155" s="372"/>
      <c r="AG155" s="417">
        <f t="shared" ref="AG155:AG156" si="341">IF(AA155=AH155,0,IF(AA155="",0,1))</f>
        <v>0</v>
      </c>
      <c r="AH155" s="345" t="str">
        <f>+Idiomas!D42</f>
        <v>Escribe el jugador Bota de Plata</v>
      </c>
      <c r="AI155" s="345"/>
      <c r="AJ155" s="815" t="str">
        <f>IF(SUM(COUNTIF(AG4:AG97,0),COUNTIF(AG101:AG160,0)&gt;0),AM148,AM149)</f>
        <v>Todavía hay emoción</v>
      </c>
      <c r="AK155" s="816"/>
      <c r="AL155" s="816"/>
      <c r="AM155" s="816"/>
      <c r="AN155" s="816"/>
      <c r="AO155" s="816"/>
      <c r="AP155" s="816"/>
      <c r="AQ155" s="816"/>
      <c r="AR155" s="816"/>
      <c r="AS155" s="816"/>
      <c r="AT155" s="816"/>
      <c r="AU155" s="817"/>
      <c r="AV155" s="355"/>
      <c r="AW155" s="243"/>
      <c r="AX155" s="242"/>
      <c r="AY155" s="244"/>
      <c r="AZ155" s="245"/>
      <c r="BA155" s="373"/>
      <c r="DW155" s="8"/>
    </row>
    <row r="156" spans="1:127" ht="16.05" customHeight="1" thickBot="1">
      <c r="A156" s="728"/>
      <c r="B156" s="728"/>
      <c r="C156" s="728"/>
      <c r="D156" s="728"/>
      <c r="E156" s="728"/>
      <c r="F156" s="728"/>
      <c r="G156" s="728"/>
      <c r="H156" s="728"/>
      <c r="I156" s="728"/>
      <c r="J156" s="728"/>
      <c r="K156" s="728"/>
      <c r="L156" s="728"/>
      <c r="M156" s="728"/>
      <c r="N156" s="728"/>
      <c r="O156" s="728"/>
      <c r="P156" s="728"/>
      <c r="Q156" s="728"/>
      <c r="R156" s="728"/>
      <c r="S156" s="728"/>
      <c r="T156" s="728"/>
      <c r="U156" s="728"/>
      <c r="V156" s="172"/>
      <c r="W156" s="356" t="str">
        <f>Idiomas!D37</f>
        <v>Bota de Bronce (3º máximo goleador)</v>
      </c>
      <c r="X156" s="358"/>
      <c r="Y156" s="358"/>
      <c r="Z156" s="374"/>
      <c r="AA156" s="375" t="str">
        <f>+Idiomas!D43</f>
        <v>Escribe el jugador Bota de Bronce</v>
      </c>
      <c r="AB156" s="376"/>
      <c r="AC156" s="376"/>
      <c r="AD156" s="376"/>
      <c r="AE156" s="376"/>
      <c r="AF156" s="377"/>
      <c r="AG156" s="417">
        <f t="shared" si="341"/>
        <v>0</v>
      </c>
      <c r="AH156" s="345" t="str">
        <f>+Idiomas!D43</f>
        <v>Escribe el jugador Bota de Bronce</v>
      </c>
      <c r="AI156" s="345"/>
      <c r="AJ156" s="815"/>
      <c r="AK156" s="816"/>
      <c r="AL156" s="816"/>
      <c r="AM156" s="816"/>
      <c r="AN156" s="816"/>
      <c r="AO156" s="816"/>
      <c r="AP156" s="816"/>
      <c r="AQ156" s="816"/>
      <c r="AR156" s="816"/>
      <c r="AS156" s="816"/>
      <c r="AT156" s="816"/>
      <c r="AU156" s="817"/>
      <c r="AV156" s="355"/>
      <c r="AW156" s="243"/>
      <c r="AX156" s="242"/>
      <c r="AY156" s="244"/>
      <c r="AZ156" s="245"/>
      <c r="BA156" s="373"/>
      <c r="DW156" s="8"/>
    </row>
    <row r="157" spans="1:127" ht="16.05" customHeight="1" thickBot="1">
      <c r="A157" s="728"/>
      <c r="B157" s="728"/>
      <c r="C157" s="728"/>
      <c r="D157" s="728"/>
      <c r="E157" s="728"/>
      <c r="F157" s="728"/>
      <c r="G157" s="728"/>
      <c r="H157" s="728"/>
      <c r="I157" s="728"/>
      <c r="J157" s="728"/>
      <c r="K157" s="728"/>
      <c r="L157" s="728"/>
      <c r="M157" s="728"/>
      <c r="N157" s="728"/>
      <c r="O157" s="728"/>
      <c r="P157" s="728"/>
      <c r="Q157" s="728"/>
      <c r="R157" s="728"/>
      <c r="S157" s="728"/>
      <c r="T157" s="728"/>
      <c r="U157" s="728"/>
      <c r="V157" s="172"/>
      <c r="W157" s="242"/>
      <c r="X157" s="243"/>
      <c r="Y157" s="242"/>
      <c r="Z157" s="244"/>
      <c r="AA157" s="245"/>
      <c r="AB157" s="246"/>
      <c r="AC157" s="247"/>
      <c r="AD157" s="247"/>
      <c r="AE157" s="246"/>
      <c r="AF157" s="248"/>
      <c r="AG157" s="415"/>
      <c r="AH157" s="345"/>
      <c r="AI157" s="345"/>
      <c r="AJ157" s="818"/>
      <c r="AK157" s="819"/>
      <c r="AL157" s="819"/>
      <c r="AM157" s="819"/>
      <c r="AN157" s="819"/>
      <c r="AO157" s="819"/>
      <c r="AP157" s="819"/>
      <c r="AQ157" s="819"/>
      <c r="AR157" s="819"/>
      <c r="AS157" s="819"/>
      <c r="AT157" s="819"/>
      <c r="AU157" s="820"/>
      <c r="AV157" s="355"/>
      <c r="AW157" s="243"/>
      <c r="AX157" s="242"/>
      <c r="AY157" s="244"/>
      <c r="AZ157" s="245"/>
      <c r="BA157" s="373"/>
      <c r="DW157" s="8"/>
    </row>
    <row r="158" spans="1:127" ht="16.05" customHeight="1">
      <c r="A158" s="728"/>
      <c r="B158" s="728"/>
      <c r="C158" s="728"/>
      <c r="D158" s="728"/>
      <c r="E158" s="728"/>
      <c r="F158" s="728"/>
      <c r="G158" s="728"/>
      <c r="H158" s="728"/>
      <c r="I158" s="728"/>
      <c r="J158" s="728"/>
      <c r="K158" s="728"/>
      <c r="L158" s="728"/>
      <c r="M158" s="728"/>
      <c r="N158" s="728"/>
      <c r="O158" s="728"/>
      <c r="P158" s="728"/>
      <c r="Q158" s="728"/>
      <c r="R158" s="728"/>
      <c r="S158" s="728"/>
      <c r="T158" s="728"/>
      <c r="U158" s="728"/>
      <c r="V158" s="172"/>
      <c r="W158" s="362" t="str">
        <f>Idiomas!D38</f>
        <v>Balón de Oro  (mejor jugador)</v>
      </c>
      <c r="X158" s="363"/>
      <c r="Y158" s="363"/>
      <c r="Z158" s="364"/>
      <c r="AA158" s="365" t="str">
        <f>+Idiomas!D44</f>
        <v>Escribe el jugador Balón de Oro</v>
      </c>
      <c r="AB158" s="366"/>
      <c r="AC158" s="366"/>
      <c r="AD158" s="366"/>
      <c r="AE158" s="366"/>
      <c r="AF158" s="367"/>
      <c r="AG158" s="417">
        <f t="shared" ref="AG158:AG160" si="342">IF(AA158=AH158,0,IF(AA158="",0,1))</f>
        <v>0</v>
      </c>
      <c r="AH158" s="25" t="str">
        <f>+Idiomas!D44</f>
        <v>Escribe el jugador Balón de Oro</v>
      </c>
      <c r="AI158" s="345"/>
      <c r="AJ158" s="173"/>
      <c r="AK158" s="173"/>
      <c r="AL158" s="173"/>
      <c r="AM158" s="173"/>
      <c r="AN158" s="173"/>
      <c r="AO158" s="173"/>
      <c r="AP158" s="173"/>
      <c r="AQ158" s="173"/>
      <c r="AR158" s="173"/>
      <c r="AS158" s="173"/>
      <c r="AT158" s="173"/>
      <c r="AU158" s="345"/>
      <c r="AV158" s="355"/>
      <c r="AW158" s="243"/>
      <c r="AX158" s="242"/>
      <c r="AY158" s="244"/>
      <c r="AZ158" s="245"/>
      <c r="BA158" s="373"/>
      <c r="DW158" s="8"/>
    </row>
    <row r="159" spans="1:127" ht="16.05" customHeight="1">
      <c r="A159" s="728"/>
      <c r="B159" s="728"/>
      <c r="C159" s="728"/>
      <c r="D159" s="728"/>
      <c r="E159" s="728"/>
      <c r="F159" s="728"/>
      <c r="G159" s="728"/>
      <c r="H159" s="728"/>
      <c r="I159" s="728"/>
      <c r="J159" s="728"/>
      <c r="K159" s="728"/>
      <c r="L159" s="728"/>
      <c r="M159" s="728"/>
      <c r="N159" s="728"/>
      <c r="O159" s="728"/>
      <c r="P159" s="728"/>
      <c r="Q159" s="728"/>
      <c r="R159" s="728"/>
      <c r="S159" s="728"/>
      <c r="T159" s="728"/>
      <c r="U159" s="728"/>
      <c r="V159" s="172"/>
      <c r="W159" s="346" t="str">
        <f>Idiomas!D39</f>
        <v>Balón de Plata (2º mejor jugador)</v>
      </c>
      <c r="X159" s="348"/>
      <c r="Y159" s="348"/>
      <c r="Z159" s="369"/>
      <c r="AA159" s="370" t="str">
        <f>+Idiomas!D45</f>
        <v>Escribe el jugador Balón de Plata</v>
      </c>
      <c r="AB159" s="371"/>
      <c r="AC159" s="371"/>
      <c r="AD159" s="371"/>
      <c r="AE159" s="371"/>
      <c r="AF159" s="372"/>
      <c r="AG159" s="417">
        <f t="shared" si="342"/>
        <v>0</v>
      </c>
      <c r="AH159" s="345" t="str">
        <f>+Idiomas!D45</f>
        <v>Escribe el jugador Balón de Plata</v>
      </c>
      <c r="AI159" s="378"/>
      <c r="AJ159" s="173"/>
      <c r="AK159" s="173"/>
      <c r="AL159" s="173"/>
      <c r="AM159" s="173"/>
      <c r="AN159" s="173"/>
      <c r="AO159" s="173"/>
      <c r="AP159" s="173"/>
      <c r="AQ159" s="173"/>
      <c r="AR159" s="173"/>
      <c r="AS159" s="173"/>
      <c r="AT159" s="173"/>
      <c r="AU159" s="345"/>
      <c r="AV159" s="355"/>
      <c r="AW159" s="243"/>
      <c r="AX159" s="242"/>
      <c r="AY159" s="244"/>
      <c r="AZ159" s="245"/>
      <c r="BA159" s="373"/>
      <c r="DW159" s="8"/>
    </row>
    <row r="160" spans="1:127" ht="16.05" customHeight="1" thickBot="1">
      <c r="A160" s="728"/>
      <c r="B160" s="728"/>
      <c r="C160" s="728"/>
      <c r="D160" s="728"/>
      <c r="E160" s="728"/>
      <c r="F160" s="728"/>
      <c r="G160" s="728"/>
      <c r="H160" s="728"/>
      <c r="I160" s="728"/>
      <c r="J160" s="728"/>
      <c r="K160" s="728"/>
      <c r="L160" s="728"/>
      <c r="M160" s="728"/>
      <c r="N160" s="728"/>
      <c r="O160" s="728"/>
      <c r="P160" s="728"/>
      <c r="Q160" s="728"/>
      <c r="R160" s="728"/>
      <c r="S160" s="728"/>
      <c r="T160" s="728"/>
      <c r="U160" s="728"/>
      <c r="V160" s="172"/>
      <c r="W160" s="356" t="str">
        <f>Idiomas!D40</f>
        <v>Balón de Bronce (3º mejor jugador)</v>
      </c>
      <c r="X160" s="358"/>
      <c r="Y160" s="358"/>
      <c r="Z160" s="374"/>
      <c r="AA160" s="375" t="str">
        <f>+Idiomas!D46</f>
        <v>Escribe el jugador Balón de Bronce</v>
      </c>
      <c r="AB160" s="376"/>
      <c r="AC160" s="376"/>
      <c r="AD160" s="376"/>
      <c r="AE160" s="376"/>
      <c r="AF160" s="377"/>
      <c r="AG160" s="417">
        <f t="shared" si="342"/>
        <v>0</v>
      </c>
      <c r="AH160" s="345" t="str">
        <f>+Idiomas!D46</f>
        <v>Escribe el jugador Balón de Bronce</v>
      </c>
      <c r="AI160" s="345"/>
      <c r="AJ160" s="173"/>
      <c r="AK160" s="173"/>
      <c r="AL160" s="173"/>
      <c r="AM160" s="173"/>
      <c r="AN160" s="173"/>
      <c r="AO160" s="173"/>
      <c r="AP160" s="173"/>
      <c r="AQ160" s="173"/>
      <c r="AR160" s="173"/>
      <c r="AS160" s="173"/>
      <c r="AT160" s="173"/>
      <c r="AU160" s="345"/>
      <c r="AV160" s="355"/>
      <c r="AW160" s="243"/>
      <c r="AX160" s="242"/>
      <c r="AY160" s="244"/>
      <c r="AZ160" s="245"/>
      <c r="BA160" s="373"/>
      <c r="DW160" s="8"/>
    </row>
    <row r="161" spans="1:127" ht="19.95" customHeight="1" thickBot="1">
      <c r="A161" s="728"/>
      <c r="B161" s="728"/>
      <c r="C161" s="728"/>
      <c r="D161" s="728"/>
      <c r="E161" s="728"/>
      <c r="F161" s="728"/>
      <c r="G161" s="728"/>
      <c r="H161" s="728"/>
      <c r="I161" s="728"/>
      <c r="J161" s="728"/>
      <c r="K161" s="728"/>
      <c r="L161" s="728"/>
      <c r="M161" s="728"/>
      <c r="N161" s="728"/>
      <c r="O161" s="728"/>
      <c r="P161" s="728"/>
      <c r="Q161" s="728"/>
      <c r="R161" s="728"/>
      <c r="S161" s="728"/>
      <c r="T161" s="728"/>
      <c r="U161" s="728"/>
      <c r="V161" s="172"/>
      <c r="W161" s="242"/>
      <c r="X161" s="242"/>
      <c r="Y161" s="243"/>
      <c r="Z161" s="242"/>
      <c r="AA161" s="244"/>
      <c r="AB161" s="245"/>
      <c r="AC161" s="246"/>
      <c r="AD161" s="247"/>
      <c r="AE161" s="247"/>
      <c r="AF161" s="246"/>
      <c r="AG161" s="173"/>
      <c r="AH161" s="345"/>
      <c r="AI161" s="345"/>
      <c r="AJ161" s="173"/>
      <c r="AK161" s="173"/>
      <c r="AL161" s="379" t="s">
        <v>1317</v>
      </c>
      <c r="AM161" s="380"/>
      <c r="AN161" s="765"/>
      <c r="AO161" s="173"/>
      <c r="AP161" s="173"/>
      <c r="AQ161" s="173"/>
      <c r="AR161" s="173"/>
      <c r="AS161" s="173"/>
      <c r="AT161" s="173"/>
      <c r="AU161" s="345"/>
      <c r="AV161" s="355"/>
      <c r="AW161" s="243"/>
      <c r="AX161" s="242"/>
      <c r="AY161" s="244"/>
      <c r="AZ161" s="245"/>
      <c r="BA161" s="373"/>
      <c r="DW161" s="8"/>
    </row>
    <row r="162" spans="1:127" ht="16.05" customHeight="1" thickBot="1">
      <c r="A162" s="728"/>
      <c r="B162" s="728"/>
      <c r="C162" s="728"/>
      <c r="D162" s="728"/>
      <c r="E162" s="728"/>
      <c r="F162" s="728"/>
      <c r="G162" s="728"/>
      <c r="H162" s="728"/>
      <c r="I162" s="728"/>
      <c r="J162" s="728"/>
      <c r="K162" s="728"/>
      <c r="L162" s="728"/>
      <c r="M162" s="728"/>
      <c r="N162" s="728"/>
      <c r="O162" s="728"/>
      <c r="P162" s="728"/>
      <c r="Q162" s="728"/>
      <c r="R162" s="728"/>
      <c r="S162" s="728"/>
      <c r="T162" s="728"/>
      <c r="U162" s="728"/>
      <c r="V162" s="172"/>
      <c r="W162" s="242"/>
      <c r="X162" s="242"/>
      <c r="Y162" s="243"/>
      <c r="Z162" s="242"/>
      <c r="AA162" s="242"/>
      <c r="AB162" s="245"/>
      <c r="AC162" s="246"/>
      <c r="AD162" s="247"/>
      <c r="AE162" s="247"/>
      <c r="AF162" s="712" t="s">
        <v>1305</v>
      </c>
      <c r="AG162" s="381"/>
      <c r="AH162" s="345"/>
      <c r="AI162" s="345"/>
      <c r="AJ162" s="173"/>
      <c r="AK162" s="173"/>
      <c r="AL162" s="173"/>
      <c r="AM162" s="173"/>
      <c r="AN162" s="173"/>
      <c r="AO162" s="173"/>
      <c r="AP162" s="173"/>
      <c r="AQ162" s="173"/>
      <c r="AR162" s="173"/>
      <c r="AS162" s="173"/>
      <c r="AT162" s="173"/>
      <c r="AU162" s="345"/>
      <c r="AV162" s="355"/>
      <c r="AW162" s="243"/>
      <c r="AX162" s="242"/>
      <c r="AY162" s="244"/>
      <c r="AZ162" s="245"/>
      <c r="BA162" s="373"/>
      <c r="DW162" s="8"/>
    </row>
    <row r="163" spans="1:127" ht="16.05" customHeight="1">
      <c r="A163" s="728"/>
      <c r="B163" s="728"/>
      <c r="C163" s="728"/>
      <c r="D163" s="728"/>
      <c r="E163" s="728"/>
      <c r="F163" s="728"/>
      <c r="G163" s="728"/>
      <c r="H163" s="728"/>
      <c r="I163" s="728"/>
      <c r="J163" s="728"/>
      <c r="K163" s="728"/>
      <c r="L163" s="728"/>
      <c r="M163" s="728"/>
      <c r="N163" s="728"/>
      <c r="O163" s="728"/>
      <c r="P163" s="728"/>
      <c r="Q163" s="728"/>
      <c r="R163" s="728"/>
      <c r="S163" s="728"/>
      <c r="T163" s="728"/>
      <c r="U163" s="728"/>
      <c r="V163" s="172"/>
      <c r="W163" s="242"/>
      <c r="X163" s="242"/>
      <c r="Y163" s="243"/>
      <c r="Z163" s="242"/>
      <c r="AA163" s="244"/>
      <c r="AB163" s="245"/>
      <c r="AC163" s="246"/>
      <c r="AD163" s="247"/>
      <c r="AE163" s="247"/>
      <c r="AF163" s="246"/>
      <c r="AG163" s="381"/>
      <c r="AH163" s="382"/>
      <c r="AI163" s="345"/>
      <c r="AJ163" s="173"/>
      <c r="AK163" s="173"/>
      <c r="AL163" s="173"/>
      <c r="AM163" s="173"/>
      <c r="AN163" s="173"/>
      <c r="AO163" s="173"/>
      <c r="AP163" s="173"/>
      <c r="AQ163" s="173"/>
      <c r="AR163" s="173"/>
      <c r="AS163" s="173"/>
      <c r="AT163" s="173"/>
      <c r="AU163" s="345"/>
      <c r="AV163" s="355"/>
      <c r="AW163" s="243"/>
      <c r="AX163" s="242"/>
      <c r="AY163" s="244"/>
      <c r="AZ163" s="245"/>
      <c r="BA163" s="373"/>
      <c r="DW163" s="8"/>
    </row>
    <row r="164" spans="1:127" ht="16.05" customHeight="1">
      <c r="A164" s="728"/>
      <c r="B164" s="728"/>
      <c r="C164" s="728"/>
      <c r="D164" s="728"/>
      <c r="E164" s="728"/>
      <c r="F164" s="728"/>
      <c r="G164" s="728"/>
      <c r="H164" s="728"/>
      <c r="I164" s="728"/>
      <c r="J164" s="728"/>
      <c r="K164" s="728"/>
      <c r="L164" s="728"/>
      <c r="M164" s="728"/>
      <c r="N164" s="728"/>
      <c r="O164" s="728"/>
      <c r="P164" s="728"/>
      <c r="Q164" s="728"/>
      <c r="R164" s="728"/>
      <c r="S164" s="728"/>
      <c r="T164" s="728"/>
      <c r="U164" s="728"/>
      <c r="V164" s="172"/>
      <c r="W164" s="242"/>
      <c r="X164" s="242"/>
      <c r="Y164" s="243"/>
      <c r="Z164" s="242"/>
      <c r="AA164" s="244"/>
      <c r="AB164" s="245"/>
      <c r="AC164" s="246"/>
      <c r="AD164" s="247"/>
      <c r="AE164" s="247"/>
      <c r="AF164" s="246"/>
      <c r="AG164" s="173"/>
      <c r="AH164" s="345"/>
      <c r="AI164" s="345"/>
      <c r="AJ164" s="173"/>
      <c r="AK164" s="173"/>
      <c r="AL164" s="173"/>
      <c r="AM164" s="173"/>
      <c r="AN164" s="173"/>
      <c r="AO164" s="173"/>
      <c r="AP164" s="173"/>
      <c r="AQ164" s="173"/>
      <c r="AR164" s="173"/>
      <c r="AS164" s="173"/>
      <c r="AT164" s="173"/>
      <c r="AU164" s="345"/>
      <c r="AV164" s="355"/>
      <c r="AW164" s="243"/>
      <c r="AX164" s="242"/>
      <c r="AY164" s="244"/>
      <c r="AZ164" s="245"/>
      <c r="BA164" s="175"/>
      <c r="CA164" s="5" t="str">
        <f>+D170&amp;E170&amp;F170&amp;G170&amp;H170&amp;I170&amp;J170&amp;K170</f>
        <v>matejero</v>
      </c>
      <c r="DW164" s="8"/>
    </row>
    <row r="165" spans="1:127" ht="16.05" customHeight="1">
      <c r="V165" s="172"/>
      <c r="W165" s="242"/>
      <c r="X165" s="242"/>
      <c r="Y165" s="243"/>
      <c r="Z165" s="242"/>
      <c r="AA165" s="244"/>
      <c r="AB165" s="245"/>
      <c r="AC165" s="246"/>
      <c r="AD165" s="247"/>
      <c r="AE165" s="247"/>
      <c r="AF165" s="246"/>
      <c r="AG165" s="297"/>
      <c r="AH165" s="19"/>
      <c r="AI165" s="19"/>
      <c r="AJ165" s="297"/>
      <c r="AK165" s="297"/>
      <c r="AL165" s="297"/>
      <c r="AM165" s="297"/>
      <c r="AN165" s="297"/>
      <c r="AO165" s="297"/>
      <c r="AP165" s="297"/>
      <c r="AQ165" s="297"/>
      <c r="AR165" s="297"/>
      <c r="AS165" s="297"/>
      <c r="AT165" s="297"/>
      <c r="AU165" s="19"/>
      <c r="AV165" s="355"/>
      <c r="AW165" s="243"/>
      <c r="AX165" s="242"/>
      <c r="AY165" s="244"/>
      <c r="AZ165" s="245"/>
      <c r="BA165" s="297"/>
      <c r="DW165" s="8"/>
    </row>
    <row r="166" spans="1:127">
      <c r="V166" s="172"/>
      <c r="W166" s="242"/>
      <c r="X166" s="242"/>
      <c r="Y166" s="243"/>
      <c r="Z166" s="242"/>
      <c r="AA166" s="244"/>
      <c r="AB166" s="245"/>
      <c r="AC166" s="246"/>
      <c r="AD166" s="247"/>
      <c r="AE166" s="247"/>
      <c r="AF166" s="246"/>
      <c r="AG166" s="297"/>
      <c r="AH166" s="19"/>
      <c r="AI166" s="19"/>
      <c r="AJ166" s="297"/>
      <c r="AK166" s="297"/>
      <c r="AL166" s="297"/>
      <c r="AM166" s="297"/>
      <c r="AN166" s="297"/>
      <c r="AO166" s="297"/>
      <c r="AP166" s="297"/>
      <c r="AQ166" s="297"/>
      <c r="AR166" s="297"/>
      <c r="AS166" s="297"/>
      <c r="AT166" s="297"/>
      <c r="AU166" s="19"/>
      <c r="AV166" s="355"/>
      <c r="AW166" s="243"/>
      <c r="AX166" s="242"/>
      <c r="AY166" s="244"/>
      <c r="AZ166" s="245"/>
      <c r="BA166" s="17"/>
      <c r="DW166" s="8"/>
    </row>
    <row r="167" spans="1:127">
      <c r="V167" s="172"/>
      <c r="W167" s="242"/>
      <c r="X167" s="242"/>
      <c r="Y167" s="243"/>
      <c r="Z167" s="242"/>
      <c r="AA167" s="244"/>
      <c r="AB167" s="245"/>
      <c r="AC167" s="246"/>
      <c r="AD167" s="247"/>
      <c r="AE167" s="247"/>
      <c r="AF167" s="246"/>
      <c r="AG167" s="297"/>
      <c r="AH167" s="19"/>
      <c r="AI167" s="19"/>
      <c r="AJ167" s="297"/>
      <c r="AK167" s="297"/>
      <c r="AL167" s="297"/>
      <c r="AM167" s="297"/>
      <c r="AN167" s="297"/>
      <c r="AO167" s="297"/>
      <c r="AP167" s="297"/>
      <c r="AQ167" s="297"/>
      <c r="AR167" s="297"/>
      <c r="AS167" s="297"/>
      <c r="AT167" s="297"/>
      <c r="AU167" s="19"/>
      <c r="AV167" s="355"/>
      <c r="AW167" s="243"/>
      <c r="AX167" s="242"/>
      <c r="AY167" s="244"/>
      <c r="AZ167" s="245"/>
      <c r="BA167" s="297"/>
      <c r="DW167" s="8"/>
    </row>
    <row r="168" spans="1:127">
      <c r="V168" s="172"/>
      <c r="W168" s="242"/>
      <c r="X168" s="242"/>
      <c r="Y168" s="243"/>
      <c r="Z168" s="242"/>
      <c r="AA168" s="244"/>
      <c r="AB168" s="245"/>
      <c r="AC168" s="246"/>
      <c r="AD168" s="247"/>
      <c r="AE168" s="247"/>
      <c r="AF168" s="246"/>
      <c r="AG168" s="297"/>
      <c r="AH168" s="19"/>
      <c r="AI168" s="19"/>
      <c r="AJ168" s="297"/>
      <c r="AK168" s="297"/>
      <c r="AL168" s="297"/>
      <c r="AM168" s="297"/>
      <c r="AN168" s="297"/>
      <c r="AO168" s="297"/>
      <c r="AP168" s="297"/>
      <c r="AQ168" s="297"/>
      <c r="AR168" s="297"/>
      <c r="AS168" s="297"/>
      <c r="AT168" s="297"/>
      <c r="AU168" s="19"/>
      <c r="AV168" s="355"/>
      <c r="AW168" s="243"/>
      <c r="AX168" s="242"/>
      <c r="AY168" s="244"/>
      <c r="AZ168" s="245"/>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0UW69Ja3B293HQOLZUlyEjoXi1IumKC68IoZ5fzS7W0s6vlJYm4n5LaX1wBGNu/jeQokU2upDUldajNS9Rs4Rw==" saltValue="iTJTqqREFFhRJ1OUOb4DQw==" spinCount="100000" sheet="1" objects="1" scenarios="1"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L161" r:id="rId2" display="© Miguel Angel Tejero. 2025" xr:uid="{6A1013A7-5450-F84C-BF37-BC6F4ECAC7CF}"/>
  </hyperlinks>
  <pageMargins left="0.7" right="0.7" top="0.75" bottom="0.75" header="0.3" footer="0.3"/>
  <pageSetup paperSize="9" orientation="portrait" r:id="rId3"/>
  <headerFooter>
    <oddFooter>&amp;L_x000D_&amp;1#&amp;"Aptos"&amp;8&amp;K000000 Clasificación: Interna</oddFooter>
  </headerFooter>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DZ1" zoomScaleNormal="100" workbookViewId="0">
      <selection activeCell="EI5" sqref="EI5:EI258"/>
      <extLst>
        <ext xmlns:xlsdti="http://schemas.microsoft.com/office/spreadsheetml/2023/showDataTypeIcons" uri="{77bfe23e-c014-4d31-8a63-9c772dbf06b6}">
          <xlsdti:showDataTypeIcons visible="0"/>
        </ext>
      </extLst>
    </sheetView>
  </sheetViews>
  <sheetFormatPr defaultColWidth="0" defaultRowHeight="14.4"/>
  <cols>
    <col min="1" max="1" width="5" style="1" hidden="1" customWidth="1"/>
    <col min="2" max="2" width="3.44140625" style="1" customWidth="1"/>
    <col min="3" max="3" width="47.77734375" style="1" bestFit="1" customWidth="1"/>
    <col min="4" max="4" width="11.33203125" style="1" customWidth="1"/>
    <col min="5" max="5" width="4.44140625" style="7" customWidth="1"/>
    <col min="6" max="6" width="10.77734375" style="721" hidden="1" customWidth="1"/>
    <col min="7" max="7" width="7.77734375" style="5" hidden="1" customWidth="1"/>
    <col min="8" max="8" width="14.109375" style="5" hidden="1" customWidth="1"/>
    <col min="9" max="9" width="6.44140625" style="61" customWidth="1"/>
    <col min="10" max="10" width="8.33203125" style="104" customWidth="1"/>
    <col min="11" max="11" width="30.6640625" style="86" bestFit="1" customWidth="1"/>
    <col min="12" max="12" width="2.77734375" style="61" customWidth="1"/>
    <col min="13" max="13" width="30" style="86" customWidth="1"/>
    <col min="14" max="14" width="3.6640625" style="444" hidden="1" customWidth="1"/>
    <col min="15" max="15" width="3.109375" style="444" hidden="1" customWidth="1"/>
    <col min="16" max="16" width="2.77734375" style="444" hidden="1" customWidth="1"/>
    <col min="17" max="17" width="3.109375" style="444" hidden="1" customWidth="1"/>
    <col min="18" max="18" width="2.77734375" style="5" customWidth="1"/>
    <col min="19" max="19" width="29.6640625" style="86" bestFit="1" customWidth="1"/>
    <col min="20" max="20" width="5.109375" style="86" customWidth="1"/>
    <col min="21" max="21" width="2.77734375" style="20" customWidth="1"/>
    <col min="22" max="22" width="29.6640625" style="86" bestFit="1" customWidth="1"/>
    <col min="23" max="23" width="5.109375" style="86" customWidth="1"/>
    <col min="24" max="24" width="2.77734375" style="20" customWidth="1"/>
    <col min="25" max="25" width="29.6640625" style="86" bestFit="1" customWidth="1"/>
    <col min="26" max="26" width="5.109375" style="86" customWidth="1"/>
    <col min="27" max="27" width="2.77734375" style="20" customWidth="1"/>
    <col min="28" max="28" width="29.6640625" style="86" bestFit="1" customWidth="1"/>
    <col min="29" max="29" width="5.109375" style="86" customWidth="1"/>
    <col min="30" max="30" width="2.77734375" style="20" customWidth="1"/>
    <col min="31" max="31" width="29.6640625" style="86" bestFit="1" customWidth="1"/>
    <col min="32" max="32" width="5.109375" style="86" customWidth="1"/>
    <col min="33" max="33" width="2.77734375" style="20" customWidth="1"/>
    <col min="34" max="34" width="29.6640625" style="86" bestFit="1" customWidth="1"/>
    <col min="35" max="35" width="5.109375" style="86" customWidth="1"/>
    <col min="36" max="36" width="2.77734375" style="20" customWidth="1"/>
    <col min="37" max="37" width="29.6640625" style="86" bestFit="1" customWidth="1"/>
    <col min="38" max="38" width="5.109375" style="86" customWidth="1"/>
    <col min="39" max="39" width="2.77734375" style="20" customWidth="1"/>
    <col min="40" max="40" width="29.6640625" style="86" bestFit="1" customWidth="1"/>
    <col min="41" max="41" width="5.109375" style="86" customWidth="1"/>
    <col min="42" max="42" width="2.77734375" style="20" customWidth="1"/>
    <col min="43" max="43" width="29.6640625" style="86" bestFit="1" customWidth="1"/>
    <col min="44" max="44" width="5.109375" style="86" customWidth="1"/>
    <col min="45" max="45" width="2.77734375" style="20" customWidth="1"/>
    <col min="46" max="46" width="29.6640625" style="86" bestFit="1" customWidth="1"/>
    <col min="47" max="47" width="5.109375" style="86" customWidth="1"/>
    <col min="48" max="48" width="2.77734375" style="20" customWidth="1"/>
    <col min="49" max="49" width="29.6640625" style="86" bestFit="1" customWidth="1"/>
    <col min="50" max="50" width="5.109375" style="86" customWidth="1"/>
    <col min="51" max="51" width="2.77734375" style="20" customWidth="1"/>
    <col min="52" max="52" width="29.6640625" style="86" bestFit="1" customWidth="1"/>
    <col min="53" max="53" width="5.109375" style="86" customWidth="1"/>
    <col min="54" max="54" width="2.77734375" style="20" customWidth="1"/>
    <col min="55" max="55" width="29.6640625" style="86" bestFit="1" customWidth="1"/>
    <col min="56" max="56" width="5.109375" style="86" customWidth="1"/>
    <col min="57" max="57" width="2.77734375" style="20" customWidth="1"/>
    <col min="58" max="58" width="29.6640625" style="86" bestFit="1" customWidth="1"/>
    <col min="59" max="59" width="5.109375" style="86" customWidth="1"/>
    <col min="60" max="60" width="2.77734375" style="20" customWidth="1"/>
    <col min="61" max="61" width="29.6640625" style="86" bestFit="1" customWidth="1"/>
    <col min="62" max="62" width="5.109375" style="86" customWidth="1"/>
    <col min="63" max="63" width="2.77734375" style="20" customWidth="1"/>
    <col min="64" max="64" width="29.6640625" style="86" bestFit="1" customWidth="1"/>
    <col min="65" max="65" width="5.109375" style="86" customWidth="1"/>
    <col min="66" max="66" width="2.77734375" style="20" customWidth="1"/>
    <col min="67" max="67" width="29.6640625" style="86" bestFit="1" customWidth="1"/>
    <col min="68" max="68" width="5.109375" style="86" customWidth="1"/>
    <col min="69" max="69" width="2.77734375" style="20" customWidth="1"/>
    <col min="70" max="70" width="29.6640625" style="86" bestFit="1" customWidth="1"/>
    <col min="71" max="71" width="5.109375" style="86" customWidth="1"/>
    <col min="72" max="72" width="2.77734375" style="20" customWidth="1"/>
    <col min="73" max="73" width="29.6640625" style="86" bestFit="1" customWidth="1"/>
    <col min="74" max="74" width="5.109375" style="86" customWidth="1"/>
    <col min="75" max="75" width="2.77734375" style="20" customWidth="1"/>
    <col min="76" max="76" width="29.6640625" style="86" bestFit="1" customWidth="1"/>
    <col min="77" max="77" width="5.109375" style="86" customWidth="1"/>
    <col min="78" max="78" width="2.77734375" style="20" customWidth="1"/>
    <col min="79" max="79" width="29.6640625" style="86" bestFit="1" customWidth="1"/>
    <col min="80" max="80" width="5.109375" style="86" customWidth="1"/>
    <col min="81" max="81" width="2.77734375" style="20" customWidth="1"/>
    <col min="82" max="82" width="29.6640625" style="86" bestFit="1" customWidth="1"/>
    <col min="83" max="83" width="5.109375" style="86" customWidth="1"/>
    <col min="84" max="84" width="2.77734375" style="20" customWidth="1"/>
    <col min="85" max="85" width="29.6640625" style="86" bestFit="1" customWidth="1"/>
    <col min="86" max="86" width="5.109375" style="86" customWidth="1"/>
    <col min="87" max="87" width="2.77734375" style="20" customWidth="1"/>
    <col min="88" max="88" width="29.6640625" style="86" bestFit="1" customWidth="1"/>
    <col min="89" max="89" width="5.109375" style="86" customWidth="1"/>
    <col min="90" max="90" width="2.77734375" style="20" customWidth="1"/>
    <col min="91" max="91" width="29.6640625" style="86" bestFit="1" customWidth="1"/>
    <col min="92" max="92" width="5.109375" style="86" customWidth="1"/>
    <col min="93" max="93" width="2.77734375" style="20" customWidth="1"/>
    <col min="94" max="94" width="29.6640625" style="86" bestFit="1" customWidth="1"/>
    <col min="95" max="95" width="5.109375" style="86" customWidth="1"/>
    <col min="96" max="96" width="2.77734375" style="20" customWidth="1"/>
    <col min="97" max="97" width="29.6640625" style="86" bestFit="1" customWidth="1"/>
    <col min="98" max="98" width="5.109375" style="86" customWidth="1"/>
    <col min="99" max="99" width="2.77734375" style="20" customWidth="1"/>
    <col min="100" max="100" width="29.6640625" style="86" bestFit="1" customWidth="1"/>
    <col min="101" max="101" width="5.109375" style="86" customWidth="1"/>
    <col min="102" max="102" width="2.77734375" style="20" customWidth="1"/>
    <col min="103" max="103" width="29.6640625" style="86" bestFit="1" customWidth="1"/>
    <col min="104" max="104" width="5.109375" style="86" customWidth="1"/>
    <col min="105" max="105" width="2.77734375" style="20" customWidth="1"/>
    <col min="106" max="106" width="29.6640625" style="86" bestFit="1" customWidth="1"/>
    <col min="107" max="107" width="5.109375" style="86" customWidth="1"/>
    <col min="108" max="108" width="2.77734375" style="20" customWidth="1"/>
    <col min="109" max="109" width="29.6640625" style="86" bestFit="1" customWidth="1"/>
    <col min="110" max="110" width="5.109375" style="86" customWidth="1"/>
    <col min="111" max="111" width="2.77734375" style="20" customWidth="1"/>
    <col min="112" max="112" width="29.6640625" style="86" bestFit="1" customWidth="1"/>
    <col min="113" max="113" width="5.109375" style="86" customWidth="1"/>
    <col min="114" max="114" width="2.77734375" style="20" customWidth="1"/>
    <col min="115" max="115" width="29.6640625" style="86" bestFit="1" customWidth="1"/>
    <col min="116" max="116" width="5.109375" style="86" customWidth="1"/>
    <col min="117" max="117" width="2.77734375" style="20" customWidth="1"/>
    <col min="118" max="118" width="29.6640625" style="86" bestFit="1" customWidth="1"/>
    <col min="119" max="119" width="5.109375" style="86" customWidth="1"/>
    <col min="120" max="120" width="2.77734375" style="20" customWidth="1"/>
    <col min="121" max="121" width="29.6640625" style="86" bestFit="1" customWidth="1"/>
    <col min="122" max="122" width="5.109375" style="86" customWidth="1"/>
    <col min="123" max="123" width="2.77734375" style="20" customWidth="1"/>
    <col min="124" max="124" width="29.6640625" style="86" bestFit="1" customWidth="1"/>
    <col min="125" max="125" width="5.109375" style="86" customWidth="1"/>
    <col min="126" max="126" width="2.77734375" style="20" customWidth="1"/>
    <col min="127" max="127" width="29.6640625" style="86" bestFit="1" customWidth="1"/>
    <col min="128" max="128" width="5.109375" style="86" customWidth="1"/>
    <col min="129" max="129" width="2.77734375" style="20" customWidth="1"/>
    <col min="130" max="130" width="29.6640625" style="86" bestFit="1" customWidth="1"/>
    <col min="131" max="131" width="5.109375" style="86" customWidth="1"/>
    <col min="132" max="132" width="2.77734375" style="20" customWidth="1"/>
    <col min="133" max="133" width="29.6640625" style="86" bestFit="1" customWidth="1"/>
    <col min="134" max="134" width="5.109375" style="86" customWidth="1"/>
    <col min="135" max="135" width="2.77734375" style="20" customWidth="1"/>
    <col min="136" max="136" width="29.6640625" style="86" bestFit="1" customWidth="1"/>
    <col min="137" max="137" width="5.109375" style="86" customWidth="1"/>
    <col min="138" max="138" width="2.77734375" style="20" customWidth="1"/>
    <col min="139" max="139" width="29.6640625" style="86" bestFit="1" customWidth="1"/>
    <col min="140" max="140" width="5.109375" style="86" customWidth="1"/>
    <col min="141" max="141" width="2.77734375" style="20" customWidth="1"/>
    <col min="142" max="142" width="29.6640625" style="86" bestFit="1" customWidth="1"/>
    <col min="143" max="143" width="5.109375" style="86" customWidth="1"/>
    <col min="144" max="144" width="2.77734375" style="20" customWidth="1"/>
    <col min="145" max="145" width="29.6640625" style="86" bestFit="1" customWidth="1"/>
    <col min="146" max="146" width="5.109375" style="86" customWidth="1"/>
    <col min="147" max="147" width="2.77734375" style="20" customWidth="1"/>
    <col min="148" max="148" width="29.6640625" style="86" bestFit="1" customWidth="1"/>
    <col min="149" max="149" width="5.109375" style="86" customWidth="1"/>
    <col min="150" max="150" width="2.77734375" style="20" customWidth="1"/>
    <col min="151" max="151" width="29.6640625" style="86" bestFit="1" customWidth="1"/>
    <col min="152" max="152" width="5.109375" style="86" customWidth="1"/>
    <col min="153" max="153" width="2.77734375" style="20" customWidth="1"/>
    <col min="154" max="154" width="29.6640625" style="86" bestFit="1" customWidth="1"/>
    <col min="155" max="155" width="5.109375" style="86" customWidth="1"/>
    <col min="156" max="156" width="2.77734375" style="20" customWidth="1"/>
    <col min="157" max="157" width="29.6640625" style="86" bestFit="1" customWidth="1"/>
    <col min="158" max="158" width="5.109375" style="86" customWidth="1"/>
    <col min="159" max="159" width="2.77734375" style="20" customWidth="1"/>
    <col min="160" max="160" width="29.6640625" style="86" bestFit="1" customWidth="1"/>
    <col min="161" max="161" width="5.109375" style="86" customWidth="1"/>
    <col min="162" max="162" width="2.77734375" style="20" customWidth="1"/>
    <col min="163" max="163" width="29.6640625" style="86" bestFit="1" customWidth="1"/>
    <col min="164" max="164" width="5.109375" style="86" customWidth="1"/>
    <col min="165" max="165" width="2.77734375" style="20" customWidth="1"/>
    <col min="166" max="166" width="29.6640625" style="86" bestFit="1" customWidth="1"/>
    <col min="167" max="167" width="5.109375" style="86" customWidth="1"/>
    <col min="168" max="169" width="2.77734375" style="20" customWidth="1"/>
    <col min="170" max="1518" width="0" style="1" hidden="1" customWidth="1"/>
    <col min="1519" max="16384" width="10.77734375" style="1" hidden="1"/>
  </cols>
  <sheetData>
    <row r="1" spans="1:169" s="20" customFormat="1">
      <c r="A1" s="65"/>
      <c r="B1" s="65"/>
      <c r="C1" s="65"/>
      <c r="D1" s="65"/>
      <c r="E1" s="111"/>
      <c r="F1" s="730"/>
      <c r="G1" s="49"/>
      <c r="H1" s="49"/>
      <c r="I1" s="65"/>
      <c r="J1" s="93"/>
      <c r="K1" s="665"/>
      <c r="L1" s="65"/>
      <c r="M1" s="87"/>
      <c r="N1" s="25"/>
      <c r="O1" s="25"/>
      <c r="P1" s="25"/>
      <c r="Q1" s="25"/>
      <c r="R1" s="49"/>
      <c r="S1" s="87">
        <f ca="1">+IFERROR(RANK(S2,OFFSET($S$2,0,0,1,$D$5*3),0),"-")</f>
        <v>18</v>
      </c>
      <c r="T1" s="87"/>
      <c r="U1" s="65"/>
      <c r="V1" s="87">
        <f ca="1">+IFERROR(RANK(V2,OFFSET($S$2,0,0,1,$D$5*3),0),"-")</f>
        <v>39</v>
      </c>
      <c r="W1" s="87"/>
      <c r="X1" s="65"/>
      <c r="Y1" s="87">
        <f ca="1">+IFERROR(RANK(Y2,OFFSET($S$2,0,0,1,$D$5*3),0),"-")</f>
        <v>7</v>
      </c>
      <c r="Z1" s="87"/>
      <c r="AA1" s="65"/>
      <c r="AB1" s="87">
        <f ca="1">+IFERROR(RANK(AB2,OFFSET($S$2,0,0,1,$D$5*3),0),"-")</f>
        <v>4</v>
      </c>
      <c r="AC1" s="87"/>
      <c r="AD1" s="65"/>
      <c r="AE1" s="87">
        <f ca="1">+IFERROR(RANK(AE2,OFFSET($S$2,0,0,1,$D$5*3),0),"-")</f>
        <v>27</v>
      </c>
      <c r="AF1" s="87"/>
      <c r="AG1" s="65"/>
      <c r="AH1" s="87">
        <f ca="1">+IFERROR(RANK(AH2,OFFSET($S$2,0,0,1,$D$5*3),0),"-")</f>
        <v>11</v>
      </c>
      <c r="AI1" s="87"/>
      <c r="AJ1" s="65"/>
      <c r="AK1" s="87">
        <f ca="1">+IFERROR(RANK(AK2,OFFSET($S$2,0,0,1,$D$5*3),0),"-")</f>
        <v>40</v>
      </c>
      <c r="AL1" s="87"/>
      <c r="AM1" s="65"/>
      <c r="AN1" s="87">
        <f ca="1">+IFERROR(RANK(AN2,OFFSET($S$2,0,0,1,$D$5*3),0),"-")</f>
        <v>19</v>
      </c>
      <c r="AO1" s="87"/>
      <c r="AP1" s="65"/>
      <c r="AQ1" s="87">
        <f ca="1">+IFERROR(RANK(AQ2,OFFSET($S$2,0,0,1,$D$5*3),0),"-")</f>
        <v>1</v>
      </c>
      <c r="AR1" s="87"/>
      <c r="AS1" s="65"/>
      <c r="AT1" s="87">
        <f ca="1">+IFERROR(RANK(AT2,OFFSET($S$2,0,0,1,$D$5*3),0),"-")</f>
        <v>28</v>
      </c>
      <c r="AU1" s="87"/>
      <c r="AV1" s="65"/>
      <c r="AW1" s="87">
        <f ca="1">+IFERROR(RANK(AW2,OFFSET($S$2,0,0,1,$D$5*3),0),"-")</f>
        <v>29</v>
      </c>
      <c r="AX1" s="87"/>
      <c r="AY1" s="65"/>
      <c r="AZ1" s="87">
        <f ca="1">+IFERROR(RANK(AZ2,OFFSET($S$2,0,0,1,$D$5*3),0),"-")</f>
        <v>24</v>
      </c>
      <c r="BA1" s="87"/>
      <c r="BB1" s="65"/>
      <c r="BC1" s="87">
        <f ca="1">+IFERROR(RANK(BC2,OFFSET($S$2,0,0,1,$D$5*3),0),"-")</f>
        <v>31</v>
      </c>
      <c r="BD1" s="87"/>
      <c r="BE1" s="65"/>
      <c r="BF1" s="87">
        <f ca="1">+IFERROR(RANK(BF2,OFFSET($S$2,0,0,1,$D$5*3),0),"-")</f>
        <v>13</v>
      </c>
      <c r="BG1" s="87"/>
      <c r="BH1" s="65"/>
      <c r="BI1" s="87">
        <f ca="1">+IFERROR(RANK(BI2,OFFSET($S$2,0,0,1,$D$5*3),0),"-")</f>
        <v>8</v>
      </c>
      <c r="BJ1" s="87"/>
      <c r="BK1" s="65"/>
      <c r="BL1" s="87">
        <f ca="1">+IFERROR(RANK(BL2,OFFSET($S$2,0,0,1,$D$5*3),0),"-")</f>
        <v>21</v>
      </c>
      <c r="BM1" s="87"/>
      <c r="BN1" s="65"/>
      <c r="BO1" s="87">
        <f ca="1">+IFERROR(RANK(BO2,OFFSET($S$2,0,0,1,$D$5*3),0),"-")</f>
        <v>14</v>
      </c>
      <c r="BP1" s="87"/>
      <c r="BQ1" s="65"/>
      <c r="BR1" s="87">
        <f ca="1">+IFERROR(RANK(BR2,OFFSET($S$2,0,0,1,$D$5*3),0),"-")</f>
        <v>5</v>
      </c>
      <c r="BS1" s="87"/>
      <c r="BT1" s="65"/>
      <c r="BU1" s="87">
        <f ca="1">+IFERROR(RANK(BU2,OFFSET($S$2,0,0,1,$D$5*3),0),"-")</f>
        <v>34</v>
      </c>
      <c r="BV1" s="87"/>
      <c r="BW1" s="65"/>
      <c r="BX1" s="87">
        <f ca="1">+IFERROR(RANK(BX2,OFFSET($S$2,0,0,1,$D$5*3),0),"-")</f>
        <v>22</v>
      </c>
      <c r="BY1" s="87"/>
      <c r="BZ1" s="65"/>
      <c r="CA1" s="87">
        <f ca="1">+IFERROR(RANK(CA2,OFFSET($S$2,0,0,1,$D$5*3),0),"-")</f>
        <v>35</v>
      </c>
      <c r="CB1" s="87"/>
      <c r="CC1" s="65"/>
      <c r="CD1" s="87">
        <f ca="1">+IFERROR(RANK(CD2,OFFSET($S$2,0,0,1,$D$5*3),0),"-")</f>
        <v>3</v>
      </c>
      <c r="CE1" s="87"/>
      <c r="CF1" s="65"/>
      <c r="CG1" s="87">
        <f ca="1">+IFERROR(RANK(CG2,OFFSET($S$2,0,0,1,$D$5*3),0),"-")</f>
        <v>36</v>
      </c>
      <c r="CH1" s="87"/>
      <c r="CI1" s="65"/>
      <c r="CJ1" s="87">
        <f ca="1">+IFERROR(RANK(CJ2,OFFSET($S$2,0,0,1,$D$5*3),0),"-")</f>
        <v>9</v>
      </c>
      <c r="CK1" s="87"/>
      <c r="CL1" s="65"/>
      <c r="CM1" s="87">
        <f ca="1">+IFERROR(RANK(CM2,OFFSET($S$2,0,0,1,$D$5*3),0),"-")</f>
        <v>32</v>
      </c>
      <c r="CN1" s="87"/>
      <c r="CO1" s="65"/>
      <c r="CP1" s="87">
        <f ca="1">+IFERROR(RANK(CP2,OFFSET($S$2,0,0,1,$D$5*3),0),"-")</f>
        <v>20</v>
      </c>
      <c r="CQ1" s="87"/>
      <c r="CR1" s="65"/>
      <c r="CS1" s="87">
        <f ca="1">+IFERROR(RANK(CS2,OFFSET($S$2,0,0,1,$D$5*3),0),"-")</f>
        <v>33</v>
      </c>
      <c r="CT1" s="87"/>
      <c r="CU1" s="65"/>
      <c r="CV1" s="87">
        <f ca="1">+IFERROR(RANK(CV2,OFFSET($S$2,0,0,1,$D$5*3),0),"-")</f>
        <v>6</v>
      </c>
      <c r="CW1" s="87"/>
      <c r="CX1" s="65"/>
      <c r="CY1" s="87">
        <f ca="1">+IFERROR(RANK(CY2,OFFSET($S$2,0,0,1,$D$5*3),0),"-")</f>
        <v>23</v>
      </c>
      <c r="CZ1" s="87"/>
      <c r="DA1" s="65"/>
      <c r="DB1" s="87">
        <f ca="1">+IFERROR(RANK(DB2,OFFSET($S$2,0,0,1,$D$5*3),0),"-")</f>
        <v>17</v>
      </c>
      <c r="DC1" s="87"/>
      <c r="DD1" s="65"/>
      <c r="DE1" s="87">
        <f ca="1">+IFERROR(RANK(DE2,OFFSET($S$2,0,0,1,$D$5*3),0),"-")</f>
        <v>30</v>
      </c>
      <c r="DF1" s="87"/>
      <c r="DG1" s="65"/>
      <c r="DH1" s="87">
        <f ca="1">+IFERROR(RANK(DH2,OFFSET($S$2,0,0,1,$D$5*3),0),"-")</f>
        <v>25</v>
      </c>
      <c r="DI1" s="87"/>
      <c r="DJ1" s="65"/>
      <c r="DK1" s="87">
        <f ca="1">+IFERROR(RANK(DK2,OFFSET($S$2,0,0,1,$D$5*3),0),"-")</f>
        <v>12</v>
      </c>
      <c r="DL1" s="87"/>
      <c r="DM1" s="65"/>
      <c r="DN1" s="87">
        <f ca="1">+IFERROR(RANK(DN2,OFFSET($S$2,0,0,1,$D$5*3),0),"-")</f>
        <v>26</v>
      </c>
      <c r="DO1" s="87"/>
      <c r="DP1" s="65"/>
      <c r="DQ1" s="87">
        <f ca="1">+IFERROR(RANK(DQ2,OFFSET($S$2,0,0,1,$D$5*3),0),"-")</f>
        <v>41</v>
      </c>
      <c r="DR1" s="87"/>
      <c r="DS1" s="65"/>
      <c r="DT1" s="87">
        <f ca="1">+IFERROR(RANK(DT2,OFFSET($S$2,0,0,1,$D$5*3),0),"-")</f>
        <v>15</v>
      </c>
      <c r="DU1" s="87"/>
      <c r="DV1" s="65"/>
      <c r="DW1" s="87">
        <f ca="1">+IFERROR(RANK(DW2,OFFSET($S$2,0,0,1,$D$5*3),0),"-")</f>
        <v>2</v>
      </c>
      <c r="DX1" s="87"/>
      <c r="DY1" s="65"/>
      <c r="DZ1" s="87">
        <f ca="1">+IFERROR(RANK(DZ2,OFFSET($S$2,0,0,1,$D$5*3),0),"-")</f>
        <v>37</v>
      </c>
      <c r="EA1" s="87"/>
      <c r="EB1" s="65"/>
      <c r="EC1" s="87">
        <f ca="1">+IFERROR(RANK(EC2,OFFSET($S$2,0,0,1,$D$5*3),0),"-")</f>
        <v>16</v>
      </c>
      <c r="ED1" s="87"/>
      <c r="EE1" s="65"/>
      <c r="EF1" s="87">
        <f ca="1">+IFERROR(RANK(EF2,OFFSET($S$2,0,0,1,$D$5*3),0),"-")</f>
        <v>38</v>
      </c>
      <c r="EG1" s="87"/>
      <c r="EH1" s="65"/>
      <c r="EI1" s="87">
        <f ca="1">+IFERROR(RANK(EI2,OFFSET($S$2,0,0,1,$D$5*3),0),"-")</f>
        <v>10</v>
      </c>
      <c r="EJ1" s="87"/>
      <c r="EK1" s="65"/>
      <c r="EL1" s="87">
        <f ca="1">+IFERROR(RANK(EL2,OFFSET($S$2,0,0,1,$D$5*3),0),"-")</f>
        <v>42</v>
      </c>
      <c r="EM1" s="87"/>
      <c r="EN1" s="65"/>
      <c r="EO1" s="87">
        <f ca="1">+IFERROR(RANK(EO2,OFFSET($S$2,0,0,1,$D$5*3),0),"-")</f>
        <v>43</v>
      </c>
      <c r="EP1" s="87"/>
      <c r="EQ1" s="65"/>
      <c r="ER1" s="87">
        <f ca="1">+IFERROR(RANK(ER2,OFFSET($S$2,0,0,1,$D$5*3),0),"-")</f>
        <v>44</v>
      </c>
      <c r="ES1" s="87"/>
      <c r="ET1" s="65"/>
      <c r="EU1" s="87">
        <f ca="1">+IFERROR(RANK(EU2,OFFSET($S$2,0,0,1,$D$5*3),0),"-")</f>
        <v>45</v>
      </c>
      <c r="EV1" s="87"/>
      <c r="EW1" s="65"/>
      <c r="EX1" s="87">
        <f ca="1">+IFERROR(RANK(EX2,OFFSET($S$2,0,0,1,$D$5*3),0),"-")</f>
        <v>46</v>
      </c>
      <c r="EY1" s="87"/>
      <c r="EZ1" s="65"/>
      <c r="FA1" s="87">
        <f ca="1">+IFERROR(RANK(FA2,OFFSET($S$2,0,0,1,$D$5*3),0),"-")</f>
        <v>47</v>
      </c>
      <c r="FB1" s="87"/>
      <c r="FC1" s="65"/>
      <c r="FD1" s="87">
        <f ca="1">+IFERROR(RANK(FD2,OFFSET($S$2,0,0,1,$D$5*3),0),"-")</f>
        <v>48</v>
      </c>
      <c r="FE1" s="87"/>
      <c r="FF1" s="65"/>
      <c r="FG1" s="87">
        <f ca="1">+IFERROR(RANK(FG2,OFFSET($S$2,0,0,1,$D$5*3),0),"-")</f>
        <v>49</v>
      </c>
      <c r="FH1" s="87"/>
      <c r="FI1" s="65"/>
      <c r="FJ1" s="87">
        <f ca="1">+IFERROR(RANK(FJ2,OFFSET($S$2,0,0,1,$D$5*3),0),"-")</f>
        <v>50</v>
      </c>
      <c r="FK1" s="87"/>
      <c r="FL1" s="65"/>
      <c r="FM1" s="111"/>
    </row>
    <row r="2" spans="1:169" s="20" customFormat="1" ht="22.05" customHeight="1">
      <c r="A2" s="65"/>
      <c r="B2" s="65"/>
      <c r="C2" s="65"/>
      <c r="D2" s="65"/>
      <c r="E2" s="111"/>
      <c r="F2" s="730"/>
      <c r="G2" s="49"/>
      <c r="H2" s="49"/>
      <c r="I2" s="65"/>
      <c r="J2" s="93"/>
      <c r="K2" s="25"/>
      <c r="L2" s="65"/>
      <c r="M2" s="87"/>
      <c r="N2" s="25"/>
      <c r="O2" s="25"/>
      <c r="P2" s="25"/>
      <c r="Q2" s="25"/>
      <c r="R2" s="49"/>
      <c r="S2" s="87">
        <f ca="1">S4-(COLUMN()/10000)</f>
        <v>30.998100000000001</v>
      </c>
      <c r="T2" s="87"/>
      <c r="U2" s="65"/>
      <c r="V2" s="87">
        <f t="shared" ref="V2" ca="1" si="0">V4-(COLUMN()/10000)</f>
        <v>21.997800000000002</v>
      </c>
      <c r="W2" s="87"/>
      <c r="X2" s="65"/>
      <c r="Y2" s="87">
        <f t="shared" ref="Y2" ca="1" si="1">Y4-(COLUMN()/10000)</f>
        <v>36.997500000000002</v>
      </c>
      <c r="Z2" s="87"/>
      <c r="AA2" s="65"/>
      <c r="AB2" s="87">
        <f t="shared" ref="AB2" ca="1" si="2">AB4-(COLUMN()/10000)</f>
        <v>39.997199999999999</v>
      </c>
      <c r="AC2" s="87"/>
      <c r="AD2" s="65"/>
      <c r="AE2" s="87">
        <f t="shared" ref="AE2" ca="1" si="3">AE4-(COLUMN()/10000)</f>
        <v>25.9969</v>
      </c>
      <c r="AF2" s="87"/>
      <c r="AG2" s="65"/>
      <c r="AH2" s="87">
        <f t="shared" ref="AH2" ca="1" si="4">AH4-(COLUMN()/10000)</f>
        <v>35.996600000000001</v>
      </c>
      <c r="AI2" s="87"/>
      <c r="AJ2" s="65"/>
      <c r="AK2" s="87">
        <f t="shared" ref="AK2" ca="1" si="5">AK4-(COLUMN()/10000)</f>
        <v>19.996300000000002</v>
      </c>
      <c r="AL2" s="87"/>
      <c r="AM2" s="65"/>
      <c r="AN2" s="87">
        <f t="shared" ref="AN2" ca="1" si="6">AN4-(COLUMN()/10000)</f>
        <v>30.995999999999999</v>
      </c>
      <c r="AO2" s="87"/>
      <c r="AP2" s="65"/>
      <c r="AQ2" s="87">
        <f t="shared" ref="AQ2" ca="1" si="7">AQ4-(COLUMN()/10000)</f>
        <v>46.995699999999999</v>
      </c>
      <c r="AR2" s="87"/>
      <c r="AS2" s="65"/>
      <c r="AT2" s="87">
        <f t="shared" ref="AT2" ca="1" si="8">AT4-(COLUMN()/10000)</f>
        <v>25.9954</v>
      </c>
      <c r="AU2" s="87"/>
      <c r="AV2" s="65"/>
      <c r="AW2" s="87">
        <f t="shared" ref="AW2" ca="1" si="9">AW4-(COLUMN()/10000)</f>
        <v>25.995100000000001</v>
      </c>
      <c r="AX2" s="87"/>
      <c r="AY2" s="65"/>
      <c r="AZ2" s="87">
        <f t="shared" ref="AZ2" ca="1" si="10">AZ4-(COLUMN()/10000)</f>
        <v>27.994800000000001</v>
      </c>
      <c r="BA2" s="87"/>
      <c r="BB2" s="65"/>
      <c r="BC2" s="87">
        <f t="shared" ref="BC2" ca="1" si="11">BC4-(COLUMN()/10000)</f>
        <v>24.994499999999999</v>
      </c>
      <c r="BD2" s="87"/>
      <c r="BE2" s="65"/>
      <c r="BF2" s="87">
        <f t="shared" ref="BF2" ca="1" si="12">BF4-(COLUMN()/10000)</f>
        <v>34.994199999999999</v>
      </c>
      <c r="BG2" s="87"/>
      <c r="BH2" s="65"/>
      <c r="BI2" s="87">
        <f t="shared" ref="BI2" ca="1" si="13">BI4-(COLUMN()/10000)</f>
        <v>36.993899999999996</v>
      </c>
      <c r="BJ2" s="87"/>
      <c r="BK2" s="65"/>
      <c r="BL2" s="87">
        <f t="shared" ref="BL2" ca="1" si="14">BL4-(COLUMN()/10000)</f>
        <v>29.993600000000001</v>
      </c>
      <c r="BM2" s="87"/>
      <c r="BN2" s="65"/>
      <c r="BO2" s="87">
        <f t="shared" ref="BO2" ca="1" si="15">BO4-(COLUMN()/10000)</f>
        <v>34.993299999999998</v>
      </c>
      <c r="BP2" s="87"/>
      <c r="BQ2" s="65"/>
      <c r="BR2" s="87">
        <f t="shared" ref="BR2" ca="1" si="16">BR4-(COLUMN()/10000)</f>
        <v>38.993000000000002</v>
      </c>
      <c r="BS2" s="87"/>
      <c r="BT2" s="65"/>
      <c r="BU2" s="87">
        <f t="shared" ref="BU2" ca="1" si="17">BU4-(COLUMN()/10000)</f>
        <v>23.992699999999999</v>
      </c>
      <c r="BV2" s="87"/>
      <c r="BW2" s="65"/>
      <c r="BX2" s="87">
        <f t="shared" ref="BX2" ca="1" si="18">BX4-(COLUMN()/10000)</f>
        <v>28.9924</v>
      </c>
      <c r="BY2" s="87"/>
      <c r="BZ2" s="65"/>
      <c r="CA2" s="87">
        <f t="shared" ref="CA2" ca="1" si="19">CA4-(COLUMN()/10000)</f>
        <v>23.992100000000001</v>
      </c>
      <c r="CB2" s="87"/>
      <c r="CC2" s="65"/>
      <c r="CD2" s="87">
        <f t="shared" ref="CD2" ca="1" si="20">CD4-(COLUMN()/10000)</f>
        <v>40.991799999999998</v>
      </c>
      <c r="CE2" s="87"/>
      <c r="CF2" s="65"/>
      <c r="CG2" s="87">
        <f t="shared" ref="CG2" ca="1" si="21">CG4-(COLUMN()/10000)</f>
        <v>23.991499999999998</v>
      </c>
      <c r="CH2" s="87"/>
      <c r="CI2" s="65"/>
      <c r="CJ2" s="87">
        <f t="shared" ref="CJ2" ca="1" si="22">CJ4-(COLUMN()/10000)</f>
        <v>36.991199999999999</v>
      </c>
      <c r="CK2" s="87"/>
      <c r="CL2" s="65"/>
      <c r="CM2" s="87">
        <f t="shared" ref="CM2" ca="1" si="23">CM4-(COLUMN()/10000)</f>
        <v>24.9909</v>
      </c>
      <c r="CN2" s="87"/>
      <c r="CO2" s="65"/>
      <c r="CP2" s="87">
        <f t="shared" ref="CP2" ca="1" si="24">CP4-(COLUMN()/10000)</f>
        <v>30.990600000000001</v>
      </c>
      <c r="CQ2" s="87"/>
      <c r="CR2" s="65"/>
      <c r="CS2" s="87">
        <f t="shared" ref="CS2" ca="1" si="25">CS4-(COLUMN()/10000)</f>
        <v>24.990300000000001</v>
      </c>
      <c r="CT2" s="87"/>
      <c r="CU2" s="65"/>
      <c r="CV2" s="87">
        <f t="shared" ref="CV2" ca="1" si="26">CV4-(COLUMN()/10000)</f>
        <v>38.99</v>
      </c>
      <c r="CW2" s="87"/>
      <c r="CX2" s="65"/>
      <c r="CY2" s="87">
        <f t="shared" ref="CY2" ca="1" si="27">CY4-(COLUMN()/10000)</f>
        <v>28.989699999999999</v>
      </c>
      <c r="CZ2" s="87"/>
      <c r="DA2" s="65"/>
      <c r="DB2" s="87">
        <f t="shared" ref="DB2" ca="1" si="28">DB4-(COLUMN()/10000)</f>
        <v>31.9894</v>
      </c>
      <c r="DC2" s="87"/>
      <c r="DD2" s="65"/>
      <c r="DE2" s="87">
        <f t="shared" ref="DE2" ca="1" si="29">DE4-(COLUMN()/10000)</f>
        <v>25.989100000000001</v>
      </c>
      <c r="DF2" s="87"/>
      <c r="DG2" s="65"/>
      <c r="DH2" s="87">
        <f t="shared" ref="DH2" ca="1" si="30">DH4-(COLUMN()/10000)</f>
        <v>26.988800000000001</v>
      </c>
      <c r="DI2" s="87"/>
      <c r="DJ2" s="65"/>
      <c r="DK2" s="87">
        <f t="shared" ref="DK2" ca="1" si="31">DK4-(COLUMN()/10000)</f>
        <v>35.988500000000002</v>
      </c>
      <c r="DL2" s="87"/>
      <c r="DM2" s="65"/>
      <c r="DN2" s="87">
        <f t="shared" ref="DN2" ca="1" si="32">DN4-(COLUMN()/10000)</f>
        <v>26.988199999999999</v>
      </c>
      <c r="DO2" s="87"/>
      <c r="DP2" s="65"/>
      <c r="DQ2" s="87">
        <f t="shared" ref="DQ2" ca="1" si="33">DQ4-(COLUMN()/10000)</f>
        <v>18.9879</v>
      </c>
      <c r="DR2" s="87"/>
      <c r="DS2" s="65"/>
      <c r="DT2" s="87">
        <f t="shared" ref="DT2" ca="1" si="34">DT4-(COLUMN()/10000)</f>
        <v>32.9876</v>
      </c>
      <c r="DU2" s="87"/>
      <c r="DV2" s="65"/>
      <c r="DW2" s="87">
        <f t="shared" ref="DW2" ca="1" si="35">DW4-(COLUMN()/10000)</f>
        <v>42.987299999999998</v>
      </c>
      <c r="DX2" s="87"/>
      <c r="DY2" s="65"/>
      <c r="DZ2" s="87">
        <f t="shared" ref="DZ2" ca="1" si="36">DZ4-(COLUMN()/10000)</f>
        <v>23.986999999999998</v>
      </c>
      <c r="EA2" s="87"/>
      <c r="EB2" s="65"/>
      <c r="EC2" s="87">
        <f t="shared" ref="EC2" ca="1" si="37">EC4-(COLUMN()/10000)</f>
        <v>32.986699999999999</v>
      </c>
      <c r="ED2" s="87"/>
      <c r="EE2" s="65"/>
      <c r="EF2" s="87">
        <f t="shared" ref="EF2" ca="1" si="38">EF4-(COLUMN()/10000)</f>
        <v>23.9864</v>
      </c>
      <c r="EG2" s="87"/>
      <c r="EH2" s="65"/>
      <c r="EI2" s="87">
        <f t="shared" ref="EI2" ca="1" si="39">EI4-(COLUMN()/10000)</f>
        <v>36.9861</v>
      </c>
      <c r="EJ2" s="87"/>
      <c r="EK2" s="65"/>
      <c r="EL2" s="87">
        <f t="shared" ref="EL2" ca="1" si="40">EL4-(COLUMN()/10000)</f>
        <v>-1.4200000000000001E-2</v>
      </c>
      <c r="EM2" s="87"/>
      <c r="EN2" s="65"/>
      <c r="EO2" s="87">
        <f t="shared" ref="EO2" ca="1" si="41">EO4-(COLUMN()/10000)</f>
        <v>-1.4500000000000001E-2</v>
      </c>
      <c r="EP2" s="87"/>
      <c r="EQ2" s="65"/>
      <c r="ER2" s="87">
        <f t="shared" ref="ER2" ca="1" si="42">ER4-(COLUMN()/10000)</f>
        <v>-1.4800000000000001E-2</v>
      </c>
      <c r="ES2" s="87"/>
      <c r="ET2" s="65"/>
      <c r="EU2" s="87">
        <f t="shared" ref="EU2" ca="1" si="43">EU4-(COLUMN()/10000)</f>
        <v>-1.5100000000000001E-2</v>
      </c>
      <c r="EV2" s="87"/>
      <c r="EW2" s="65"/>
      <c r="EX2" s="87">
        <f t="shared" ref="EX2" ca="1" si="44">EX4-(COLUMN()/10000)</f>
        <v>-1.54E-2</v>
      </c>
      <c r="EY2" s="87"/>
      <c r="EZ2" s="65"/>
      <c r="FA2" s="87">
        <f t="shared" ref="FA2" ca="1" si="45">FA4-(COLUMN()/10000)</f>
        <v>-1.5699999999999999E-2</v>
      </c>
      <c r="FB2" s="87"/>
      <c r="FC2" s="65"/>
      <c r="FD2" s="87">
        <f t="shared" ref="FD2" ca="1" si="46">FD4-(COLUMN()/10000)</f>
        <v>-1.6E-2</v>
      </c>
      <c r="FE2" s="87"/>
      <c r="FF2" s="65"/>
      <c r="FG2" s="87">
        <f t="shared" ref="FG2" ca="1" si="47">FG4-(COLUMN()/10000)</f>
        <v>-1.6299999999999999E-2</v>
      </c>
      <c r="FH2" s="87"/>
      <c r="FI2" s="65"/>
      <c r="FJ2" s="87">
        <f t="shared" ref="FJ2" ca="1" si="48">FJ4-(COLUMN()/10000)</f>
        <v>-1.66E-2</v>
      </c>
      <c r="FK2" s="87"/>
      <c r="FL2" s="65"/>
      <c r="FM2" s="111"/>
    </row>
    <row r="3" spans="1:169" s="20" customFormat="1">
      <c r="A3" s="65"/>
      <c r="B3" s="65"/>
      <c r="C3" s="65"/>
      <c r="D3" s="65"/>
      <c r="E3" s="111"/>
      <c r="F3" s="730"/>
      <c r="G3" s="49"/>
      <c r="H3" s="49"/>
      <c r="I3" s="65"/>
      <c r="J3" s="93"/>
      <c r="K3" s="87"/>
      <c r="L3" s="65"/>
      <c r="M3" s="87"/>
      <c r="N3" s="25"/>
      <c r="O3" s="25"/>
      <c r="P3" s="25"/>
      <c r="Q3" s="25"/>
      <c r="R3" s="49"/>
      <c r="S3" s="87">
        <f ca="1">RANK(S4,OFFSET($S$4,0,0,1,$D$5*3),0)</f>
        <v>18</v>
      </c>
      <c r="T3" s="87"/>
      <c r="U3" s="65"/>
      <c r="V3" s="87">
        <f ca="1">RANK(V4,OFFSET($S$4,0,0,1,$D$5*3),0)</f>
        <v>39</v>
      </c>
      <c r="W3" s="87"/>
      <c r="X3" s="65"/>
      <c r="Y3" s="87">
        <f ca="1">RANK(Y4,OFFSET($S$4,0,0,1,$D$5*3),0)</f>
        <v>7</v>
      </c>
      <c r="Z3" s="87"/>
      <c r="AA3" s="65"/>
      <c r="AB3" s="87">
        <f ca="1">RANK(AB4,OFFSET($S$4,0,0,1,$D$5*3),0)</f>
        <v>4</v>
      </c>
      <c r="AC3" s="87"/>
      <c r="AD3" s="65"/>
      <c r="AE3" s="87">
        <f ca="1">RANK(AE4,OFFSET($S$4,0,0,1,$D$5*3),0)</f>
        <v>27</v>
      </c>
      <c r="AF3" s="87"/>
      <c r="AG3" s="65"/>
      <c r="AH3" s="87">
        <f ca="1">RANK(AH4,OFFSET($S$4,0,0,1,$D$5*3),0)</f>
        <v>11</v>
      </c>
      <c r="AI3" s="87"/>
      <c r="AJ3" s="65"/>
      <c r="AK3" s="87">
        <f ca="1">RANK(AK4,OFFSET($S$4,0,0,1,$D$5*3),0)</f>
        <v>40</v>
      </c>
      <c r="AL3" s="87"/>
      <c r="AM3" s="65"/>
      <c r="AN3" s="87">
        <f ca="1">RANK(AN4,OFFSET($S$4,0,0,1,$D$5*3),0)</f>
        <v>18</v>
      </c>
      <c r="AO3" s="87"/>
      <c r="AP3" s="65"/>
      <c r="AQ3" s="87">
        <f ca="1">RANK(AQ4,OFFSET($S$4,0,0,1,$D$5*3),0)</f>
        <v>1</v>
      </c>
      <c r="AR3" s="87"/>
      <c r="AS3" s="65"/>
      <c r="AT3" s="87">
        <f ca="1">RANK(AT4,OFFSET($S$4,0,0,1,$D$5*3),0)</f>
        <v>27</v>
      </c>
      <c r="AU3" s="87"/>
      <c r="AV3" s="65"/>
      <c r="AW3" s="87">
        <f ca="1">RANK(AW4,OFFSET($S$4,0,0,1,$D$5*3),0)</f>
        <v>27</v>
      </c>
      <c r="AX3" s="87"/>
      <c r="AY3" s="65"/>
      <c r="AZ3" s="87">
        <f ca="1">RANK(AZ4,OFFSET($S$4,0,0,1,$D$5*3),0)</f>
        <v>24</v>
      </c>
      <c r="BA3" s="87"/>
      <c r="BB3" s="65"/>
      <c r="BC3" s="87">
        <f ca="1">RANK(BC4,OFFSET($S$4,0,0,1,$D$5*3),0)</f>
        <v>31</v>
      </c>
      <c r="BD3" s="87"/>
      <c r="BE3" s="65"/>
      <c r="BF3" s="87">
        <f ca="1">RANK(BF4,OFFSET($S$4,0,0,1,$D$5*3),0)</f>
        <v>13</v>
      </c>
      <c r="BG3" s="87"/>
      <c r="BH3" s="65"/>
      <c r="BI3" s="87">
        <f ca="1">RANK(BI4,OFFSET($S$4,0,0,1,$D$5*3),0)</f>
        <v>7</v>
      </c>
      <c r="BJ3" s="87"/>
      <c r="BK3" s="65"/>
      <c r="BL3" s="87">
        <f ca="1">RANK(BL4,OFFSET($S$4,0,0,1,$D$5*3),0)</f>
        <v>21</v>
      </c>
      <c r="BM3" s="87"/>
      <c r="BN3" s="65"/>
      <c r="BO3" s="87">
        <f ca="1">RANK(BO4,OFFSET($S$4,0,0,1,$D$5*3),0)</f>
        <v>13</v>
      </c>
      <c r="BP3" s="87"/>
      <c r="BQ3" s="65"/>
      <c r="BR3" s="87">
        <f ca="1">RANK(BR4,OFFSET($S$4,0,0,1,$D$5*3),0)</f>
        <v>5</v>
      </c>
      <c r="BS3" s="87"/>
      <c r="BT3" s="65"/>
      <c r="BU3" s="87">
        <f ca="1">RANK(BU4,OFFSET($S$4,0,0,1,$D$5*3),0)</f>
        <v>34</v>
      </c>
      <c r="BV3" s="87"/>
      <c r="BW3" s="65"/>
      <c r="BX3" s="87">
        <f ca="1">RANK(BX4,OFFSET($S$4,0,0,1,$D$5*3),0)</f>
        <v>22</v>
      </c>
      <c r="BY3" s="87"/>
      <c r="BZ3" s="65"/>
      <c r="CA3" s="87">
        <f ca="1">RANK(CA4,OFFSET($S$4,0,0,1,$D$5*3),0)</f>
        <v>34</v>
      </c>
      <c r="CB3" s="87"/>
      <c r="CC3" s="65"/>
      <c r="CD3" s="87">
        <f ca="1">RANK(CD4,OFFSET($S$4,0,0,1,$D$5*3),0)</f>
        <v>3</v>
      </c>
      <c r="CE3" s="87"/>
      <c r="CF3" s="65"/>
      <c r="CG3" s="87">
        <f ca="1">RANK(CG4,OFFSET($S$4,0,0,1,$D$5*3),0)</f>
        <v>34</v>
      </c>
      <c r="CH3" s="87"/>
      <c r="CI3" s="65"/>
      <c r="CJ3" s="87">
        <f ca="1">RANK(CJ4,OFFSET($S$4,0,0,1,$D$5*3),0)</f>
        <v>7</v>
      </c>
      <c r="CK3" s="87"/>
      <c r="CL3" s="65"/>
      <c r="CM3" s="87">
        <f ca="1">RANK(CM4,OFFSET($S$4,0,0,1,$D$5*3),0)</f>
        <v>31</v>
      </c>
      <c r="CN3" s="87"/>
      <c r="CO3" s="65"/>
      <c r="CP3" s="87">
        <f ca="1">RANK(CP4,OFFSET($S$4,0,0,1,$D$5*3),0)</f>
        <v>18</v>
      </c>
      <c r="CQ3" s="87"/>
      <c r="CR3" s="65"/>
      <c r="CS3" s="87">
        <f ca="1">RANK(CS4,OFFSET($S$4,0,0,1,$D$5*3),0)</f>
        <v>31</v>
      </c>
      <c r="CT3" s="87"/>
      <c r="CU3" s="65"/>
      <c r="CV3" s="87">
        <f ca="1">RANK(CV4,OFFSET($S$4,0,0,1,$D$5*3),0)</f>
        <v>5</v>
      </c>
      <c r="CW3" s="87"/>
      <c r="CX3" s="65"/>
      <c r="CY3" s="87">
        <f ca="1">RANK(CY4,OFFSET($S$4,0,0,1,$D$5*3),0)</f>
        <v>22</v>
      </c>
      <c r="CZ3" s="87"/>
      <c r="DA3" s="65"/>
      <c r="DB3" s="87">
        <f ca="1">RANK(DB4,OFFSET($S$4,0,0,1,$D$5*3),0)</f>
        <v>17</v>
      </c>
      <c r="DC3" s="87"/>
      <c r="DD3" s="65"/>
      <c r="DE3" s="87">
        <f ca="1">RANK(DE4,OFFSET($S$4,0,0,1,$D$5*3),0)</f>
        <v>27</v>
      </c>
      <c r="DF3" s="87"/>
      <c r="DG3" s="65"/>
      <c r="DH3" s="87">
        <f ca="1">RANK(DH4,OFFSET($S$4,0,0,1,$D$5*3),0)</f>
        <v>25</v>
      </c>
      <c r="DI3" s="87"/>
      <c r="DJ3" s="65"/>
      <c r="DK3" s="87">
        <f ca="1">RANK(DK4,OFFSET($S$4,0,0,1,$D$5*3),0)</f>
        <v>11</v>
      </c>
      <c r="DL3" s="87"/>
      <c r="DM3" s="65"/>
      <c r="DN3" s="87">
        <f ca="1">RANK(DN4,OFFSET($S$4,0,0,1,$D$5*3),0)</f>
        <v>25</v>
      </c>
      <c r="DO3" s="87"/>
      <c r="DP3" s="65"/>
      <c r="DQ3" s="87">
        <f ca="1">RANK(DQ4,OFFSET($S$4,0,0,1,$D$5*3),0)</f>
        <v>41</v>
      </c>
      <c r="DR3" s="87"/>
      <c r="DS3" s="65"/>
      <c r="DT3" s="87">
        <f ca="1">RANK(DT4,OFFSET($S$4,0,0,1,$D$5*3),0)</f>
        <v>15</v>
      </c>
      <c r="DU3" s="87"/>
      <c r="DV3" s="65"/>
      <c r="DW3" s="87">
        <f ca="1">RANK(DW4,OFFSET($S$4,0,0,1,$D$5*3),0)</f>
        <v>2</v>
      </c>
      <c r="DX3" s="87"/>
      <c r="DY3" s="65"/>
      <c r="DZ3" s="87">
        <f ca="1">RANK(DZ4,OFFSET($S$4,0,0,1,$D$5*3),0)</f>
        <v>34</v>
      </c>
      <c r="EA3" s="87"/>
      <c r="EB3" s="65"/>
      <c r="EC3" s="87">
        <f ca="1">RANK(EC4,OFFSET($S$4,0,0,1,$D$5*3),0)</f>
        <v>15</v>
      </c>
      <c r="ED3" s="87"/>
      <c r="EE3" s="65"/>
      <c r="EF3" s="87">
        <f ca="1">RANK(EF4,OFFSET($S$4,0,0,1,$D$5*3),0)</f>
        <v>34</v>
      </c>
      <c r="EG3" s="87"/>
      <c r="EH3" s="65"/>
      <c r="EI3" s="87">
        <f ca="1">RANK(EI4,OFFSET($S$4,0,0,1,$D$5*3),0)</f>
        <v>7</v>
      </c>
      <c r="EJ3" s="87"/>
      <c r="EK3" s="65"/>
      <c r="EL3" s="87">
        <f ca="1">RANK(EL4,OFFSET($S$4,0,0,1,$D$5*3),0)</f>
        <v>42</v>
      </c>
      <c r="EM3" s="87"/>
      <c r="EN3" s="65"/>
      <c r="EO3" s="87">
        <f ca="1">RANK(EO4,OFFSET($S$4,0,0,1,$D$5*3),0)</f>
        <v>42</v>
      </c>
      <c r="EP3" s="87"/>
      <c r="EQ3" s="65"/>
      <c r="ER3" s="87">
        <f ca="1">RANK(ER4,OFFSET($S$4,0,0,1,$D$5*3),0)</f>
        <v>42</v>
      </c>
      <c r="ES3" s="87"/>
      <c r="ET3" s="65"/>
      <c r="EU3" s="87">
        <f ca="1">RANK(EU4,OFFSET($S$4,0,0,1,$D$5*3),0)</f>
        <v>42</v>
      </c>
      <c r="EV3" s="87"/>
      <c r="EW3" s="65"/>
      <c r="EX3" s="87">
        <f ca="1">RANK(EX4,OFFSET($S$4,0,0,1,$D$5*3),0)</f>
        <v>42</v>
      </c>
      <c r="EY3" s="87"/>
      <c r="EZ3" s="65"/>
      <c r="FA3" s="87">
        <f ca="1">RANK(FA4,OFFSET($S$4,0,0,1,$D$5*3),0)</f>
        <v>42</v>
      </c>
      <c r="FB3" s="87"/>
      <c r="FC3" s="65"/>
      <c r="FD3" s="87">
        <f ca="1">RANK(FD4,OFFSET($S$4,0,0,1,$D$5*3),0)</f>
        <v>42</v>
      </c>
      <c r="FE3" s="87"/>
      <c r="FF3" s="65"/>
      <c r="FG3" s="87">
        <f ca="1">RANK(FG4,OFFSET($S$4,0,0,1,$D$5*3),0)</f>
        <v>42</v>
      </c>
      <c r="FH3" s="87"/>
      <c r="FI3" s="65"/>
      <c r="FJ3" s="87">
        <f ca="1">RANK(FJ4,OFFSET($S$4,0,0,1,$D$5*3),0)</f>
        <v>42</v>
      </c>
      <c r="FK3" s="87"/>
      <c r="FL3" s="65"/>
      <c r="FM3" s="111"/>
    </row>
    <row r="4" spans="1:169" ht="15" customHeight="1" thickBot="1">
      <c r="A4" s="49"/>
      <c r="B4" s="49"/>
      <c r="C4" s="50"/>
      <c r="D4" s="49"/>
      <c r="E4" s="111"/>
      <c r="F4" s="730"/>
      <c r="G4" s="49"/>
      <c r="H4" s="49"/>
      <c r="I4" s="666"/>
      <c r="J4" s="93"/>
      <c r="K4" s="87"/>
      <c r="L4" s="65"/>
      <c r="M4" s="87"/>
      <c r="N4" s="25"/>
      <c r="O4" s="25"/>
      <c r="P4" s="25"/>
      <c r="Q4" s="25"/>
      <c r="R4" s="49"/>
      <c r="S4" s="67">
        <f ca="1">SUM(T6:T259)/2</f>
        <v>31</v>
      </c>
      <c r="T4" s="68"/>
      <c r="U4" s="65"/>
      <c r="V4" s="67">
        <f ca="1">SUM(W6:W259)/2</f>
        <v>22</v>
      </c>
      <c r="W4" s="68"/>
      <c r="X4" s="65"/>
      <c r="Y4" s="67">
        <f ca="1">SUM(Z6:Z259)/2</f>
        <v>37</v>
      </c>
      <c r="Z4" s="68"/>
      <c r="AA4" s="65"/>
      <c r="AB4" s="67">
        <f ca="1">SUM(AC6:AC259)/2</f>
        <v>40</v>
      </c>
      <c r="AC4" s="68"/>
      <c r="AD4" s="65"/>
      <c r="AE4" s="67">
        <f ca="1">SUM(AF6:AF259)/2</f>
        <v>26</v>
      </c>
      <c r="AF4" s="68"/>
      <c r="AG4" s="65"/>
      <c r="AH4" s="67">
        <f ca="1">SUM(AI6:AI259)/2</f>
        <v>36</v>
      </c>
      <c r="AI4" s="68"/>
      <c r="AJ4" s="65"/>
      <c r="AK4" s="67">
        <f ca="1">SUM(AL6:AL259)/2</f>
        <v>20</v>
      </c>
      <c r="AL4" s="68"/>
      <c r="AM4" s="65"/>
      <c r="AN4" s="67">
        <f ca="1">SUM(AO6:AO259)/2</f>
        <v>31</v>
      </c>
      <c r="AO4" s="68"/>
      <c r="AP4" s="65"/>
      <c r="AQ4" s="67">
        <f ca="1">SUM(AR6:AR259)/2</f>
        <v>47</v>
      </c>
      <c r="AR4" s="68"/>
      <c r="AS4" s="65"/>
      <c r="AT4" s="67">
        <f ca="1">SUM(AU6:AU259)/2</f>
        <v>26</v>
      </c>
      <c r="AU4" s="68"/>
      <c r="AV4" s="65"/>
      <c r="AW4" s="67">
        <f ca="1">SUM(AX6:AX259)/2</f>
        <v>26</v>
      </c>
      <c r="AX4" s="68"/>
      <c r="AY4" s="65"/>
      <c r="AZ4" s="67">
        <f ca="1">SUM(BA6:BA259)/2</f>
        <v>28</v>
      </c>
      <c r="BA4" s="68"/>
      <c r="BB4" s="65"/>
      <c r="BC4" s="67">
        <f ca="1">SUM(BD6:BD259)/2</f>
        <v>25</v>
      </c>
      <c r="BD4" s="68"/>
      <c r="BE4" s="65"/>
      <c r="BF4" s="67">
        <f ca="1">SUM(BG6:BG259)/2</f>
        <v>35</v>
      </c>
      <c r="BG4" s="68"/>
      <c r="BH4" s="65"/>
      <c r="BI4" s="67">
        <f ca="1">SUM(BJ6:BJ259)/2</f>
        <v>37</v>
      </c>
      <c r="BJ4" s="68"/>
      <c r="BK4" s="65"/>
      <c r="BL4" s="67">
        <f ca="1">SUM(BM6:BM259)/2</f>
        <v>30</v>
      </c>
      <c r="BM4" s="68"/>
      <c r="BN4" s="65"/>
      <c r="BO4" s="67">
        <f ca="1">SUM(BP6:BP259)/2</f>
        <v>35</v>
      </c>
      <c r="BP4" s="68"/>
      <c r="BQ4" s="65"/>
      <c r="BR4" s="67">
        <f ca="1">SUM(BS6:BS259)/2</f>
        <v>39</v>
      </c>
      <c r="BS4" s="68"/>
      <c r="BT4" s="65"/>
      <c r="BU4" s="67">
        <f ca="1">SUM(BV6:BV259)/2</f>
        <v>24</v>
      </c>
      <c r="BV4" s="68"/>
      <c r="BW4" s="65"/>
      <c r="BX4" s="67">
        <f ca="1">SUM(BY6:BY259)/2</f>
        <v>29</v>
      </c>
      <c r="BY4" s="68"/>
      <c r="BZ4" s="65"/>
      <c r="CA4" s="67">
        <f ca="1">SUM(CB6:CB259)/2</f>
        <v>24</v>
      </c>
      <c r="CB4" s="68"/>
      <c r="CC4" s="65"/>
      <c r="CD4" s="67">
        <f ca="1">SUM(CE6:CE259)/2</f>
        <v>41</v>
      </c>
      <c r="CE4" s="68"/>
      <c r="CF4" s="65"/>
      <c r="CG4" s="67">
        <f ca="1">SUM(CH6:CH259)/2</f>
        <v>24</v>
      </c>
      <c r="CH4" s="68"/>
      <c r="CI4" s="65"/>
      <c r="CJ4" s="67">
        <f ca="1">SUM(CK6:CK259)/2</f>
        <v>37</v>
      </c>
      <c r="CK4" s="68"/>
      <c r="CL4" s="65"/>
      <c r="CM4" s="67">
        <f ca="1">SUM(CN6:CN259)/2</f>
        <v>25</v>
      </c>
      <c r="CN4" s="68"/>
      <c r="CO4" s="65"/>
      <c r="CP4" s="67">
        <f ca="1">SUM(CQ6:CQ259)/2</f>
        <v>31</v>
      </c>
      <c r="CQ4" s="68"/>
      <c r="CR4" s="65"/>
      <c r="CS4" s="67">
        <f ca="1">SUM(CT6:CT259)/2</f>
        <v>25</v>
      </c>
      <c r="CT4" s="68"/>
      <c r="CU4" s="65"/>
      <c r="CV4" s="67">
        <f ca="1">SUM(CW6:CW259)/2</f>
        <v>39</v>
      </c>
      <c r="CW4" s="68"/>
      <c r="CX4" s="65"/>
      <c r="CY4" s="67">
        <f ca="1">SUM(CZ6:CZ259)/2</f>
        <v>29</v>
      </c>
      <c r="CZ4" s="68"/>
      <c r="DA4" s="65"/>
      <c r="DB4" s="67">
        <f ca="1">SUM(DC6:DC259)/2</f>
        <v>32</v>
      </c>
      <c r="DC4" s="68"/>
      <c r="DD4" s="65"/>
      <c r="DE4" s="67">
        <f ca="1">SUM(DF6:DF259)/2</f>
        <v>26</v>
      </c>
      <c r="DF4" s="68"/>
      <c r="DG4" s="65"/>
      <c r="DH4" s="67">
        <f ca="1">SUM(DI6:DI259)/2</f>
        <v>27</v>
      </c>
      <c r="DI4" s="68"/>
      <c r="DJ4" s="65"/>
      <c r="DK4" s="67">
        <f ca="1">SUM(DL6:DL259)/2</f>
        <v>36</v>
      </c>
      <c r="DL4" s="68"/>
      <c r="DM4" s="65"/>
      <c r="DN4" s="67">
        <f ca="1">SUM(DO6:DO259)/2</f>
        <v>27</v>
      </c>
      <c r="DO4" s="68"/>
      <c r="DP4" s="65"/>
      <c r="DQ4" s="67">
        <f ca="1">SUM(DR6:DR259)/2</f>
        <v>19</v>
      </c>
      <c r="DR4" s="68"/>
      <c r="DS4" s="65"/>
      <c r="DT4" s="67">
        <f ca="1">SUM(DU6:DU259)/2</f>
        <v>33</v>
      </c>
      <c r="DU4" s="68"/>
      <c r="DV4" s="65"/>
      <c r="DW4" s="67">
        <f ca="1">SUM(DX6:DX259)/2</f>
        <v>43</v>
      </c>
      <c r="DX4" s="68"/>
      <c r="DY4" s="65"/>
      <c r="DZ4" s="67">
        <f ca="1">SUM(EA6:EA259)/2</f>
        <v>24</v>
      </c>
      <c r="EA4" s="68"/>
      <c r="EB4" s="65"/>
      <c r="EC4" s="67">
        <f ca="1">SUM(ED6:ED259)/2</f>
        <v>33</v>
      </c>
      <c r="ED4" s="68"/>
      <c r="EE4" s="65"/>
      <c r="EF4" s="67">
        <f ca="1">SUM(EG6:EG259)/2</f>
        <v>24</v>
      </c>
      <c r="EG4" s="68"/>
      <c r="EH4" s="65"/>
      <c r="EI4" s="67">
        <f ca="1">SUM(EJ6:EJ259)/2</f>
        <v>37</v>
      </c>
      <c r="EJ4" s="68"/>
      <c r="EK4" s="65"/>
      <c r="EL4" s="67">
        <f ca="1">SUM(EM6:EM259)/2</f>
        <v>0</v>
      </c>
      <c r="EM4" s="68"/>
      <c r="EN4" s="65"/>
      <c r="EO4" s="67">
        <f ca="1">SUM(EP6:EP259)/2</f>
        <v>0</v>
      </c>
      <c r="EP4" s="68"/>
      <c r="EQ4" s="65"/>
      <c r="ER4" s="67">
        <f ca="1">SUM(ES6:ES259)/2</f>
        <v>0</v>
      </c>
      <c r="ES4" s="68"/>
      <c r="ET4" s="65"/>
      <c r="EU4" s="67">
        <f ca="1">SUM(EV6:EV259)/2</f>
        <v>0</v>
      </c>
      <c r="EV4" s="68"/>
      <c r="EW4" s="65"/>
      <c r="EX4" s="67">
        <f ca="1">SUM(EY6:EY259)/2</f>
        <v>0</v>
      </c>
      <c r="EY4" s="68"/>
      <c r="EZ4" s="65"/>
      <c r="FA4" s="67">
        <f ca="1">SUM(FB6:FB259)/2</f>
        <v>0</v>
      </c>
      <c r="FB4" s="68"/>
      <c r="FC4" s="65"/>
      <c r="FD4" s="67">
        <f ca="1">SUM(FE6:FE259)/2</f>
        <v>0</v>
      </c>
      <c r="FE4" s="68"/>
      <c r="FF4" s="65"/>
      <c r="FG4" s="67">
        <f ca="1">SUM(FH6:FH259)/2</f>
        <v>0</v>
      </c>
      <c r="FH4" s="68"/>
      <c r="FI4" s="65"/>
      <c r="FJ4" s="67">
        <f ca="1">SUM(FK6:FK259)/2</f>
        <v>0</v>
      </c>
      <c r="FK4" s="68"/>
      <c r="FL4" s="65"/>
      <c r="FM4" s="65"/>
    </row>
    <row r="5" spans="1:169" ht="21.6" thickBot="1">
      <c r="A5" s="49"/>
      <c r="B5" s="49"/>
      <c r="C5" s="51" t="str">
        <f>Idiomas!D299&amp;" -&gt;"</f>
        <v>Selecciona el Nº de Jugadores -&gt;</v>
      </c>
      <c r="D5" s="452">
        <v>50</v>
      </c>
      <c r="E5" s="111"/>
      <c r="F5" s="445" t="s">
        <v>1577</v>
      </c>
      <c r="G5" s="445" t="s">
        <v>1649</v>
      </c>
      <c r="H5" s="445" t="s">
        <v>10</v>
      </c>
      <c r="I5" s="118" t="s">
        <v>1578</v>
      </c>
      <c r="J5" s="670" t="str">
        <f>HYPERLINK(Idiomas!D446,Idiomas!D445)</f>
        <v>?</v>
      </c>
      <c r="K5" s="113" t="str">
        <f>Idiomas!D135</f>
        <v>FASE DE GRUPOS</v>
      </c>
      <c r="L5" s="50"/>
      <c r="M5" s="71"/>
      <c r="N5" s="25"/>
      <c r="O5" s="25"/>
      <c r="P5" s="25"/>
      <c r="Q5" s="25"/>
      <c r="R5" s="65">
        <v>0</v>
      </c>
      <c r="S5" s="69" t="s">
        <v>1773</v>
      </c>
      <c r="T5" s="70"/>
      <c r="U5" s="65">
        <v>1</v>
      </c>
      <c r="V5" s="69" t="s">
        <v>2000</v>
      </c>
      <c r="W5" s="70"/>
      <c r="X5" s="65">
        <v>2</v>
      </c>
      <c r="Y5" s="69" t="s">
        <v>2040</v>
      </c>
      <c r="Z5" s="70"/>
      <c r="AA5" s="65">
        <v>3</v>
      </c>
      <c r="AB5" s="69" t="s">
        <v>2073</v>
      </c>
      <c r="AC5" s="70"/>
      <c r="AD5" s="65">
        <v>4</v>
      </c>
      <c r="AE5" s="69" t="s">
        <v>2096</v>
      </c>
      <c r="AF5" s="70"/>
      <c r="AG5" s="65">
        <v>5</v>
      </c>
      <c r="AH5" s="69" t="s">
        <v>2127</v>
      </c>
      <c r="AI5" s="70"/>
      <c r="AJ5" s="65">
        <v>6</v>
      </c>
      <c r="AK5" s="69" t="s">
        <v>2154</v>
      </c>
      <c r="AL5" s="70"/>
      <c r="AM5" s="65">
        <v>7</v>
      </c>
      <c r="AN5" s="69" t="s">
        <v>2183</v>
      </c>
      <c r="AO5" s="70"/>
      <c r="AP5" s="65">
        <v>8</v>
      </c>
      <c r="AQ5" s="69" t="s">
        <v>2214</v>
      </c>
      <c r="AR5" s="70"/>
      <c r="AS5" s="65">
        <v>9</v>
      </c>
      <c r="AT5" s="69" t="s">
        <v>2262</v>
      </c>
      <c r="AU5" s="70"/>
      <c r="AV5" s="65">
        <v>10</v>
      </c>
      <c r="AW5" s="69" t="s">
        <v>2263</v>
      </c>
      <c r="AX5" s="70"/>
      <c r="AY5" s="65">
        <v>11</v>
      </c>
      <c r="AZ5" s="69" t="s">
        <v>2291</v>
      </c>
      <c r="BA5" s="70"/>
      <c r="BB5" s="65">
        <v>12</v>
      </c>
      <c r="BC5" s="69" t="s">
        <v>2239</v>
      </c>
      <c r="BD5" s="70"/>
      <c r="BE5" s="65">
        <v>13</v>
      </c>
      <c r="BF5" s="69" t="s">
        <v>2340</v>
      </c>
      <c r="BG5" s="70"/>
      <c r="BH5" s="65">
        <v>14</v>
      </c>
      <c r="BI5" s="69" t="s">
        <v>2359</v>
      </c>
      <c r="BJ5" s="70"/>
      <c r="BK5" s="65">
        <v>15</v>
      </c>
      <c r="BL5" s="69" t="s">
        <v>2379</v>
      </c>
      <c r="BM5" s="70"/>
      <c r="BN5" s="65">
        <v>16</v>
      </c>
      <c r="BO5" s="69" t="s">
        <v>2396</v>
      </c>
      <c r="BP5" s="70"/>
      <c r="BQ5" s="65">
        <v>17</v>
      </c>
      <c r="BR5" s="69" t="s">
        <v>2407</v>
      </c>
      <c r="BS5" s="70"/>
      <c r="BT5" s="65">
        <v>18</v>
      </c>
      <c r="BU5" s="69" t="s">
        <v>2420</v>
      </c>
      <c r="BV5" s="70"/>
      <c r="BW5" s="65">
        <v>19</v>
      </c>
      <c r="BX5" s="69" t="s">
        <v>2442</v>
      </c>
      <c r="BY5" s="70"/>
      <c r="BZ5" s="65">
        <v>20</v>
      </c>
      <c r="CA5" s="69" t="s">
        <v>2461</v>
      </c>
      <c r="CB5" s="70"/>
      <c r="CC5" s="65">
        <v>21</v>
      </c>
      <c r="CD5" s="69" t="s">
        <v>2484</v>
      </c>
      <c r="CE5" s="70"/>
      <c r="CF5" s="65">
        <v>22</v>
      </c>
      <c r="CG5" s="69" t="s">
        <v>2501</v>
      </c>
      <c r="CH5" s="70"/>
      <c r="CI5" s="65">
        <v>23</v>
      </c>
      <c r="CJ5" s="69" t="s">
        <v>2520</v>
      </c>
      <c r="CK5" s="70"/>
      <c r="CL5" s="65">
        <v>24</v>
      </c>
      <c r="CM5" s="69" t="s">
        <v>2534</v>
      </c>
      <c r="CN5" s="70"/>
      <c r="CO5" s="65">
        <v>25</v>
      </c>
      <c r="CP5" s="69" t="s">
        <v>2551</v>
      </c>
      <c r="CQ5" s="70"/>
      <c r="CR5" s="65">
        <v>26</v>
      </c>
      <c r="CS5" s="69" t="s">
        <v>2563</v>
      </c>
      <c r="CT5" s="70"/>
      <c r="CU5" s="65">
        <v>27</v>
      </c>
      <c r="CV5" s="69" t="s">
        <v>2569</v>
      </c>
      <c r="CW5" s="70"/>
      <c r="CX5" s="65">
        <v>28</v>
      </c>
      <c r="CY5" s="69" t="s">
        <v>2585</v>
      </c>
      <c r="CZ5" s="70"/>
      <c r="DA5" s="65">
        <v>29</v>
      </c>
      <c r="DB5" s="69" t="s">
        <v>2621</v>
      </c>
      <c r="DC5" s="70"/>
      <c r="DD5" s="65">
        <v>30</v>
      </c>
      <c r="DE5" s="69" t="s">
        <v>2622</v>
      </c>
      <c r="DF5" s="70"/>
      <c r="DG5" s="65">
        <v>31</v>
      </c>
      <c r="DH5" s="69" t="s">
        <v>2640</v>
      </c>
      <c r="DI5" s="70"/>
      <c r="DJ5" s="65">
        <v>32</v>
      </c>
      <c r="DK5" s="69" t="s">
        <v>2654</v>
      </c>
      <c r="DL5" s="70"/>
      <c r="DM5" s="65">
        <v>33</v>
      </c>
      <c r="DN5" s="792" t="s">
        <v>2668</v>
      </c>
      <c r="DO5" s="70"/>
      <c r="DP5" s="65">
        <v>34</v>
      </c>
      <c r="DQ5" s="792" t="s">
        <v>2680</v>
      </c>
      <c r="DR5" s="70"/>
      <c r="DS5" s="65">
        <v>35</v>
      </c>
      <c r="DT5" s="69" t="s">
        <v>2710</v>
      </c>
      <c r="DU5" s="70"/>
      <c r="DV5" s="65">
        <v>36</v>
      </c>
      <c r="DW5" s="69" t="s">
        <v>2734</v>
      </c>
      <c r="DX5" s="70"/>
      <c r="DY5" s="65">
        <v>37</v>
      </c>
      <c r="DZ5" s="69" t="s">
        <v>2750</v>
      </c>
      <c r="EA5" s="70"/>
      <c r="EB5" s="65">
        <v>38</v>
      </c>
      <c r="EC5" s="69" t="s">
        <v>2768</v>
      </c>
      <c r="ED5" s="70"/>
      <c r="EE5" s="65">
        <v>39</v>
      </c>
      <c r="EF5" s="69" t="s">
        <v>2776</v>
      </c>
      <c r="EG5" s="70"/>
      <c r="EH5" s="65">
        <v>40</v>
      </c>
      <c r="EI5" s="69" t="s">
        <v>2794</v>
      </c>
      <c r="EJ5" s="70"/>
      <c r="EK5" s="65">
        <v>41</v>
      </c>
      <c r="EL5" s="69" t="str">
        <f>Idiomas!$G$363&amp;ADMIN!EN5</f>
        <v>Pegar Valores Nombre J42</v>
      </c>
      <c r="EM5" s="70"/>
      <c r="EN5" s="65">
        <v>42</v>
      </c>
      <c r="EO5" s="69" t="str">
        <f>Idiomas!$G$363&amp;ADMIN!EQ5</f>
        <v>Pegar Valores Nombre J43</v>
      </c>
      <c r="EP5" s="70"/>
      <c r="EQ5" s="65">
        <v>43</v>
      </c>
      <c r="ER5" s="69" t="str">
        <f>Idiomas!$G$363&amp;ADMIN!ET5</f>
        <v>Pegar Valores Nombre J44</v>
      </c>
      <c r="ES5" s="70"/>
      <c r="ET5" s="65">
        <v>44</v>
      </c>
      <c r="EU5" s="69" t="str">
        <f>Idiomas!$G$363&amp;ADMIN!EW5</f>
        <v>Pegar Valores Nombre J45</v>
      </c>
      <c r="EV5" s="70"/>
      <c r="EW5" s="65">
        <v>45</v>
      </c>
      <c r="EX5" s="69" t="str">
        <f>Idiomas!$G$363&amp;ADMIN!EZ5</f>
        <v>Pegar Valores Nombre J46</v>
      </c>
      <c r="EY5" s="70"/>
      <c r="EZ5" s="65">
        <v>46</v>
      </c>
      <c r="FA5" s="69" t="str">
        <f>Idiomas!$G$363&amp;ADMIN!FC5</f>
        <v>Pegar Valores Nombre J47</v>
      </c>
      <c r="FB5" s="70"/>
      <c r="FC5" s="65">
        <v>47</v>
      </c>
      <c r="FD5" s="69" t="str">
        <f>Idiomas!$G$363&amp;ADMIN!FF5</f>
        <v>Pegar Valores Nombre J48</v>
      </c>
      <c r="FE5" s="70"/>
      <c r="FF5" s="65">
        <v>48</v>
      </c>
      <c r="FG5" s="69" t="str">
        <f>Idiomas!$G$363&amp;ADMIN!FI5</f>
        <v>Pegar Valores Nombre J49</v>
      </c>
      <c r="FH5" s="70"/>
      <c r="FI5" s="65">
        <v>49</v>
      </c>
      <c r="FJ5" s="69" t="str">
        <f>Idiomas!$G$363&amp;ADMIN!FL5</f>
        <v>Pegar Valores Nombre J50</v>
      </c>
      <c r="FK5" s="70"/>
      <c r="FL5" s="65">
        <v>50</v>
      </c>
      <c r="FM5" s="65"/>
    </row>
    <row r="6" spans="1:169" ht="15" thickBot="1">
      <c r="A6" s="49"/>
      <c r="B6" s="49"/>
      <c r="C6" s="669"/>
      <c r="D6" s="49"/>
      <c r="E6" s="111"/>
      <c r="F6" s="445">
        <f>SUM($D$8:$D$10)*I6</f>
        <v>4</v>
      </c>
      <c r="G6" s="445">
        <f ca="1">VLOOKUP(H6,Equipos!$Q$1:$R$25,2,0)</f>
        <v>1</v>
      </c>
      <c r="H6" s="446">
        <f ca="1">TRUNC(INDEX(WORLDCUP!$X$4:$X$147,MATCH(ADMIN!K6,WORLDCUP!$DT$4:$DT$147,0))+INDEX(Horarios!$R$3:$R$86,MATCH(Horarios!$C$3,Horarios!$P$3:$P$86,0))/24)</f>
        <v>46184</v>
      </c>
      <c r="I6" s="48">
        <v>1</v>
      </c>
      <c r="J6" s="95" t="s">
        <v>112</v>
      </c>
      <c r="K6" s="53" t="str">
        <f ca="1">CONCATENATE(WORLDCUP!AA4,"-",WORLDCUP!AF4)</f>
        <v>México-Sudáfrica</v>
      </c>
      <c r="L6" s="53"/>
      <c r="M6" s="53" t="str">
        <f>IF(OR(WORLDCUP!AC4="",WORLDCUP!AD4=""),"-",N6&amp;"|"&amp;O6&amp;"-"&amp;P6)</f>
        <v>1|2-0</v>
      </c>
      <c r="N6" s="25" t="str">
        <f>IF(OR(WORLDCUP!AC4="",WORLDCUP!AD4=""),"",IF(WORLDCUP!AC4&gt;WORLDCUP!AD4,"1",IF(WORLDCUP!AC4&lt;WORLDCUP!AD4,"2","X")))</f>
        <v>1</v>
      </c>
      <c r="O6" s="25">
        <f>WORLDCUP!AC4</f>
        <v>2</v>
      </c>
      <c r="P6" s="25">
        <f>WORLDCUP!AD4</f>
        <v>0</v>
      </c>
      <c r="Q6" s="25">
        <f>ABS(O6-P6)</f>
        <v>2</v>
      </c>
      <c r="R6" s="49"/>
      <c r="S6" s="72" t="s">
        <v>1942</v>
      </c>
      <c r="T6" s="73">
        <f>IFERROR(IF($M6=S6,($D$8+$D$9+$D$10)*$I6,IF($N6=LEFT(S6,1),($D$8+MAX(0,IF($D$50=1,$D$9*(1-(ABS($Q6-ABS(VALUE(MID(S6,FIND("|",S6)+1,FIND("-",S6)-FIND("|",S6)-1))-VALUE(MID(S6,FIND("-",S6)+1,10)))))*$D$50),$D$9*(1-(IF($N6="X",ABS($O6-VALUE(MID(S6,FIND("|",S6)+1,FIND("-",S6)-FIND("|",S6)-1))),ABS($Q6-ABS(VALUE(MID(S6,FIND("|",S6)+1,FIND("-",S6)-FIND("|",S6)-1))-VALUE(MID(S6,FIND("-",S6)+1,10)))))*$D$50)))))*$I6,0)),0)</f>
        <v>1</v>
      </c>
      <c r="U6" s="111"/>
      <c r="V6" s="72" t="s">
        <v>1948</v>
      </c>
      <c r="W6" s="73">
        <f>IFERROR(IF($M6=V6,($D$8+$D$9+$D$10)*$I6,IF($N6=LEFT(V6,1),($D$8+MAX(0,IF($D$50=1,$D$9*(1-(ABS($Q6-ABS(VALUE(MID(V6,FIND("|",V6)+1,FIND("-",V6)-FIND("|",V6)-1))-VALUE(MID(V6,FIND("-",V6)+1,10)))))*$D$50),$D$9*(1-(IF($N6="X",ABS($O6-VALUE(MID(V6,FIND("|",V6)+1,FIND("-",V6)-FIND("|",V6)-1))),ABS($Q6-ABS(VALUE(MID(V6,FIND("|",V6)+1,FIND("-",V6)-FIND("|",V6)-1))-VALUE(MID(V6,FIND("-",V6)+1,10)))))*$D$50)))))*$I6,0)),0)</f>
        <v>1</v>
      </c>
      <c r="X6" s="111"/>
      <c r="Y6" s="72" t="s">
        <v>1954</v>
      </c>
      <c r="Z6" s="73">
        <f t="shared" ref="Z6" si="49">IFERROR(IF($M6=Y6,($D$8+$D$9+$D$10)*$I6,IF($N6=LEFT(Y6,1),($D$8+MAX(0,IF($D$50=1,$D$9*(1-(ABS($Q6-ABS(VALUE(MID(Y6,FIND("|",Y6)+1,FIND("-",Y6)-FIND("|",Y6)-1))-VALUE(MID(Y6,FIND("-",Y6)+1,10)))))*$D$50),$D$9*(1-(IF($N6="X",ABS($O6-VALUE(MID(Y6,FIND("|",Y6)+1,FIND("-",Y6)-FIND("|",Y6)-1))),ABS($Q6-ABS(VALUE(MID(Y6,FIND("|",Y6)+1,FIND("-",Y6)-FIND("|",Y6)-1))-VALUE(MID(Y6,FIND("-",Y6)+1,10)))))*$D$50)))))*$I6,0)),0)</f>
        <v>4</v>
      </c>
      <c r="AA6" s="111"/>
      <c r="AB6" s="72" t="s">
        <v>1954</v>
      </c>
      <c r="AC6" s="73">
        <f t="shared" ref="AC6" si="50">IFERROR(IF($M6=AB6,($D$8+$D$9+$D$10)*$I6,IF($N6=LEFT(AB6,1),($D$8+MAX(0,IF($D$50=1,$D$9*(1-(ABS($Q6-ABS(VALUE(MID(AB6,FIND("|",AB6)+1,FIND("-",AB6)-FIND("|",AB6)-1))-VALUE(MID(AB6,FIND("-",AB6)+1,10)))))*$D$50),$D$9*(1-(IF($N6="X",ABS($O6-VALUE(MID(AB6,FIND("|",AB6)+1,FIND("-",AB6)-FIND("|",AB6)-1))),ABS($Q6-ABS(VALUE(MID(AB6,FIND("|",AB6)+1,FIND("-",AB6)-FIND("|",AB6)-1))-VALUE(MID(AB6,FIND("-",AB6)+1,10)))))*$D$50)))))*$I6,0)),0)</f>
        <v>4</v>
      </c>
      <c r="AD6" s="111"/>
      <c r="AE6" s="72" t="s">
        <v>1954</v>
      </c>
      <c r="AF6" s="73">
        <f t="shared" ref="AF6" si="51">IFERROR(IF($M6=AE6,($D$8+$D$9+$D$10)*$I6,IF($N6=LEFT(AE6,1),($D$8+MAX(0,IF($D$50=1,$D$9*(1-(ABS($Q6-ABS(VALUE(MID(AE6,FIND("|",AE6)+1,FIND("-",AE6)-FIND("|",AE6)-1))-VALUE(MID(AE6,FIND("-",AE6)+1,10)))))*$D$50),$D$9*(1-(IF($N6="X",ABS($O6-VALUE(MID(AE6,FIND("|",AE6)+1,FIND("-",AE6)-FIND("|",AE6)-1))),ABS($Q6-ABS(VALUE(MID(AE6,FIND("|",AE6)+1,FIND("-",AE6)-FIND("|",AE6)-1))-VALUE(MID(AE6,FIND("-",AE6)+1,10)))))*$D$50)))))*$I6,0)),0)</f>
        <v>4</v>
      </c>
      <c r="AG6" s="111"/>
      <c r="AH6" s="72" t="s">
        <v>1954</v>
      </c>
      <c r="AI6" s="73">
        <f t="shared" ref="AI6" si="52">IFERROR(IF($M6=AH6,($D$8+$D$9+$D$10)*$I6,IF($N6=LEFT(AH6,1),($D$8+MAX(0,IF($D$50=1,$D$9*(1-(ABS($Q6-ABS(VALUE(MID(AH6,FIND("|",AH6)+1,FIND("-",AH6)-FIND("|",AH6)-1))-VALUE(MID(AH6,FIND("-",AH6)+1,10)))))*$D$50),$D$9*(1-(IF($N6="X",ABS($O6-VALUE(MID(AH6,FIND("|",AH6)+1,FIND("-",AH6)-FIND("|",AH6)-1))),ABS($Q6-ABS(VALUE(MID(AH6,FIND("|",AH6)+1,FIND("-",AH6)-FIND("|",AH6)-1))-VALUE(MID(AH6,FIND("-",AH6)+1,10)))))*$D$50)))))*$I6,0)),0)</f>
        <v>4</v>
      </c>
      <c r="AJ6" s="111"/>
      <c r="AK6" s="72" t="s">
        <v>1942</v>
      </c>
      <c r="AL6" s="73">
        <f t="shared" ref="AL6" si="53">IFERROR(IF($M6=AK6,($D$8+$D$9+$D$10)*$I6,IF($N6=LEFT(AK6,1),($D$8+MAX(0,IF($D$50=1,$D$9*(1-(ABS($Q6-ABS(VALUE(MID(AK6,FIND("|",AK6)+1,FIND("-",AK6)-FIND("|",AK6)-1))-VALUE(MID(AK6,FIND("-",AK6)+1,10)))))*$D$50),$D$9*(1-(IF($N6="X",ABS($O6-VALUE(MID(AK6,FIND("|",AK6)+1,FIND("-",AK6)-FIND("|",AK6)-1))),ABS($Q6-ABS(VALUE(MID(AK6,FIND("|",AK6)+1,FIND("-",AK6)-FIND("|",AK6)-1))-VALUE(MID(AK6,FIND("-",AK6)+1,10)))))*$D$50)))))*$I6,0)),0)</f>
        <v>1</v>
      </c>
      <c r="AM6" s="111"/>
      <c r="AN6" s="72" t="s">
        <v>1954</v>
      </c>
      <c r="AO6" s="73">
        <f t="shared" ref="AO6" si="54">IFERROR(IF($M6=AN6,($D$8+$D$9+$D$10)*$I6,IF($N6=LEFT(AN6,1),($D$8+MAX(0,IF($D$50=1,$D$9*(1-(ABS($Q6-ABS(VALUE(MID(AN6,FIND("|",AN6)+1,FIND("-",AN6)-FIND("|",AN6)-1))-VALUE(MID(AN6,FIND("-",AN6)+1,10)))))*$D$50),$D$9*(1-(IF($N6="X",ABS($O6-VALUE(MID(AN6,FIND("|",AN6)+1,FIND("-",AN6)-FIND("|",AN6)-1))),ABS($Q6-ABS(VALUE(MID(AN6,FIND("|",AN6)+1,FIND("-",AN6)-FIND("|",AN6)-1))-VALUE(MID(AN6,FIND("-",AN6)+1,10)))))*$D$50)))))*$I6,0)),0)</f>
        <v>4</v>
      </c>
      <c r="AP6" s="111"/>
      <c r="AQ6" s="72" t="s">
        <v>1954</v>
      </c>
      <c r="AR6" s="73">
        <f t="shared" ref="AR6" si="55">IFERROR(IF($M6=AQ6,($D$8+$D$9+$D$10)*$I6,IF($N6=LEFT(AQ6,1),($D$8+MAX(0,IF($D$50=1,$D$9*(1-(ABS($Q6-ABS(VALUE(MID(AQ6,FIND("|",AQ6)+1,FIND("-",AQ6)-FIND("|",AQ6)-1))-VALUE(MID(AQ6,FIND("-",AQ6)+1,10)))))*$D$50),$D$9*(1-(IF($N6="X",ABS($O6-VALUE(MID(AQ6,FIND("|",AQ6)+1,FIND("-",AQ6)-FIND("|",AQ6)-1))),ABS($Q6-ABS(VALUE(MID(AQ6,FIND("|",AQ6)+1,FIND("-",AQ6)-FIND("|",AQ6)-1))-VALUE(MID(AQ6,FIND("-",AQ6)+1,10)))))*$D$50)))))*$I6,0)),0)</f>
        <v>4</v>
      </c>
      <c r="AS6" s="111"/>
      <c r="AT6" s="72" t="s">
        <v>1948</v>
      </c>
      <c r="AU6" s="73">
        <f t="shared" ref="AU6" si="56">IFERROR(IF($M6=AT6,($D$8+$D$9+$D$10)*$I6,IF($N6=LEFT(AT6,1),($D$8+MAX(0,IF($D$50=1,$D$9*(1-(ABS($Q6-ABS(VALUE(MID(AT6,FIND("|",AT6)+1,FIND("-",AT6)-FIND("|",AT6)-1))-VALUE(MID(AT6,FIND("-",AT6)+1,10)))))*$D$50),$D$9*(1-(IF($N6="X",ABS($O6-VALUE(MID(AT6,FIND("|",AT6)+1,FIND("-",AT6)-FIND("|",AT6)-1))),ABS($Q6-ABS(VALUE(MID(AT6,FIND("|",AT6)+1,FIND("-",AT6)-FIND("|",AT6)-1))-VALUE(MID(AT6,FIND("-",AT6)+1,10)))))*$D$50)))))*$I6,0)),0)</f>
        <v>1</v>
      </c>
      <c r="AV6" s="111"/>
      <c r="AW6" s="72" t="s">
        <v>1954</v>
      </c>
      <c r="AX6" s="73">
        <f t="shared" ref="AX6" si="57">IFERROR(IF($M6=AW6,($D$8+$D$9+$D$10)*$I6,IF($N6=LEFT(AW6,1),($D$8+MAX(0,IF($D$50=1,$D$9*(1-(ABS($Q6-ABS(VALUE(MID(AW6,FIND("|",AW6)+1,FIND("-",AW6)-FIND("|",AW6)-1))-VALUE(MID(AW6,FIND("-",AW6)+1,10)))))*$D$50),$D$9*(1-(IF($N6="X",ABS($O6-VALUE(MID(AW6,FIND("|",AW6)+1,FIND("-",AW6)-FIND("|",AW6)-1))),ABS($Q6-ABS(VALUE(MID(AW6,FIND("|",AW6)+1,FIND("-",AW6)-FIND("|",AW6)-1))-VALUE(MID(AW6,FIND("-",AW6)+1,10)))))*$D$50)))))*$I6,0)),0)</f>
        <v>4</v>
      </c>
      <c r="AY6" s="111"/>
      <c r="AZ6" s="72" t="s">
        <v>1942</v>
      </c>
      <c r="BA6" s="73">
        <f t="shared" ref="BA6" si="58">IFERROR(IF($M6=AZ6,($D$8+$D$9+$D$10)*$I6,IF($N6=LEFT(AZ6,1),($D$8+MAX(0,IF($D$50=1,$D$9*(1-(ABS($Q6-ABS(VALUE(MID(AZ6,FIND("|",AZ6)+1,FIND("-",AZ6)-FIND("|",AZ6)-1))-VALUE(MID(AZ6,FIND("-",AZ6)+1,10)))))*$D$50),$D$9*(1-(IF($N6="X",ABS($O6-VALUE(MID(AZ6,FIND("|",AZ6)+1,FIND("-",AZ6)-FIND("|",AZ6)-1))),ABS($Q6-ABS(VALUE(MID(AZ6,FIND("|",AZ6)+1,FIND("-",AZ6)-FIND("|",AZ6)-1))-VALUE(MID(AZ6,FIND("-",AZ6)+1,10)))))*$D$50)))))*$I6,0)),0)</f>
        <v>1</v>
      </c>
      <c r="BB6" s="111"/>
      <c r="BC6" s="72" t="s">
        <v>1948</v>
      </c>
      <c r="BD6" s="73">
        <f t="shared" ref="BD6" si="59">IFERROR(IF($M6=BC6,($D$8+$D$9+$D$10)*$I6,IF($N6=LEFT(BC6,1),($D$8+MAX(0,IF($D$50=1,$D$9*(1-(ABS($Q6-ABS(VALUE(MID(BC6,FIND("|",BC6)+1,FIND("-",BC6)-FIND("|",BC6)-1))-VALUE(MID(BC6,FIND("-",BC6)+1,10)))))*$D$50),$D$9*(1-(IF($N6="X",ABS($O6-VALUE(MID(BC6,FIND("|",BC6)+1,FIND("-",BC6)-FIND("|",BC6)-1))),ABS($Q6-ABS(VALUE(MID(BC6,FIND("|",BC6)+1,FIND("-",BC6)-FIND("|",BC6)-1))-VALUE(MID(BC6,FIND("-",BC6)+1,10)))))*$D$50)))))*$I6,0)),0)</f>
        <v>1</v>
      </c>
      <c r="BE6" s="111"/>
      <c r="BF6" s="72" t="s">
        <v>1954</v>
      </c>
      <c r="BG6" s="73">
        <f t="shared" ref="BG6" si="60">IFERROR(IF($M6=BF6,($D$8+$D$9+$D$10)*$I6,IF($N6=LEFT(BF6,1),($D$8+MAX(0,IF($D$50=1,$D$9*(1-(ABS($Q6-ABS(VALUE(MID(BF6,FIND("|",BF6)+1,FIND("-",BF6)-FIND("|",BF6)-1))-VALUE(MID(BF6,FIND("-",BF6)+1,10)))))*$D$50),$D$9*(1-(IF($N6="X",ABS($O6-VALUE(MID(BF6,FIND("|",BF6)+1,FIND("-",BF6)-FIND("|",BF6)-1))),ABS($Q6-ABS(VALUE(MID(BF6,FIND("|",BF6)+1,FIND("-",BF6)-FIND("|",BF6)-1))-VALUE(MID(BF6,FIND("-",BF6)+1,10)))))*$D$50)))))*$I6,0)),0)</f>
        <v>4</v>
      </c>
      <c r="BH6" s="111"/>
      <c r="BI6" s="72" t="s">
        <v>1954</v>
      </c>
      <c r="BJ6" s="73">
        <f t="shared" ref="BJ6" si="61">IFERROR(IF($M6=BI6,($D$8+$D$9+$D$10)*$I6,IF($N6=LEFT(BI6,1),($D$8+MAX(0,IF($D$50=1,$D$9*(1-(ABS($Q6-ABS(VALUE(MID(BI6,FIND("|",BI6)+1,FIND("-",BI6)-FIND("|",BI6)-1))-VALUE(MID(BI6,FIND("-",BI6)+1,10)))))*$D$50),$D$9*(1-(IF($N6="X",ABS($O6-VALUE(MID(BI6,FIND("|",BI6)+1,FIND("-",BI6)-FIND("|",BI6)-1))),ABS($Q6-ABS(VALUE(MID(BI6,FIND("|",BI6)+1,FIND("-",BI6)-FIND("|",BI6)-1))-VALUE(MID(BI6,FIND("-",BI6)+1,10)))))*$D$50)))))*$I6,0)),0)</f>
        <v>4</v>
      </c>
      <c r="BK6" s="111"/>
      <c r="BL6" s="72" t="s">
        <v>1944</v>
      </c>
      <c r="BM6" s="73">
        <f t="shared" ref="BM6" si="62">IFERROR(IF($M6=BL6,($D$8+$D$9+$D$10)*$I6,IF($N6=LEFT(BL6,1),($D$8+MAX(0,IF($D$50=1,$D$9*(1-(ABS($Q6-ABS(VALUE(MID(BL6,FIND("|",BL6)+1,FIND("-",BL6)-FIND("|",BL6)-1))-VALUE(MID(BL6,FIND("-",BL6)+1,10)))))*$D$50),$D$9*(1-(IF($N6="X",ABS($O6-VALUE(MID(BL6,FIND("|",BL6)+1,FIND("-",BL6)-FIND("|",BL6)-1))),ABS($Q6-ABS(VALUE(MID(BL6,FIND("|",BL6)+1,FIND("-",BL6)-FIND("|",BL6)-1))-VALUE(MID(BL6,FIND("-",BL6)+1,10)))))*$D$50)))))*$I6,0)),0)</f>
        <v>0</v>
      </c>
      <c r="BN6" s="111"/>
      <c r="BO6" s="72" t="s">
        <v>1954</v>
      </c>
      <c r="BP6" s="73">
        <f t="shared" ref="BP6" si="63">IFERROR(IF($M6=BO6,($D$8+$D$9+$D$10)*$I6,IF($N6=LEFT(BO6,1),($D$8+MAX(0,IF($D$50=1,$D$9*(1-(ABS($Q6-ABS(VALUE(MID(BO6,FIND("|",BO6)+1,FIND("-",BO6)-FIND("|",BO6)-1))-VALUE(MID(BO6,FIND("-",BO6)+1,10)))))*$D$50),$D$9*(1-(IF($N6="X",ABS($O6-VALUE(MID(BO6,FIND("|",BO6)+1,FIND("-",BO6)-FIND("|",BO6)-1))),ABS($Q6-ABS(VALUE(MID(BO6,FIND("|",BO6)+1,FIND("-",BO6)-FIND("|",BO6)-1))-VALUE(MID(BO6,FIND("-",BO6)+1,10)))))*$D$50)))))*$I6,0)),0)</f>
        <v>4</v>
      </c>
      <c r="BQ6" s="111"/>
      <c r="BR6" s="72" t="s">
        <v>1954</v>
      </c>
      <c r="BS6" s="73">
        <f t="shared" ref="BS6" si="64">IFERROR(IF($M6=BR6,($D$8+$D$9+$D$10)*$I6,IF($N6=LEFT(BR6,1),($D$8+MAX(0,IF($D$50=1,$D$9*(1-(ABS($Q6-ABS(VALUE(MID(BR6,FIND("|",BR6)+1,FIND("-",BR6)-FIND("|",BR6)-1))-VALUE(MID(BR6,FIND("-",BR6)+1,10)))))*$D$50),$D$9*(1-(IF($N6="X",ABS($O6-VALUE(MID(BR6,FIND("|",BR6)+1,FIND("-",BR6)-FIND("|",BR6)-1))),ABS($Q6-ABS(VALUE(MID(BR6,FIND("|",BR6)+1,FIND("-",BR6)-FIND("|",BR6)-1))-VALUE(MID(BR6,FIND("-",BR6)+1,10)))))*$D$50)))))*$I6,0)),0)</f>
        <v>4</v>
      </c>
      <c r="BT6" s="111"/>
      <c r="BU6" s="72" t="s">
        <v>1958</v>
      </c>
      <c r="BV6" s="73">
        <f t="shared" ref="BV6" si="65">IFERROR(IF($M6=BU6,($D$8+$D$9+$D$10)*$I6,IF($N6=LEFT(BU6,1),($D$8+MAX(0,IF($D$50=1,$D$9*(1-(ABS($Q6-ABS(VALUE(MID(BU6,FIND("|",BU6)+1,FIND("-",BU6)-FIND("|",BU6)-1))-VALUE(MID(BU6,FIND("-",BU6)+1,10)))))*$D$50),$D$9*(1-(IF($N6="X",ABS($O6-VALUE(MID(BU6,FIND("|",BU6)+1,FIND("-",BU6)-FIND("|",BU6)-1))),ABS($Q6-ABS(VALUE(MID(BU6,FIND("|",BU6)+1,FIND("-",BU6)-FIND("|",BU6)-1))-VALUE(MID(BU6,FIND("-",BU6)+1,10)))))*$D$50)))))*$I6,0)),0)</f>
        <v>1</v>
      </c>
      <c r="BW6" s="111"/>
      <c r="BX6" s="72" t="s">
        <v>1954</v>
      </c>
      <c r="BY6" s="73">
        <f t="shared" ref="BY6" si="66">IFERROR(IF($M6=BX6,($D$8+$D$9+$D$10)*$I6,IF($N6=LEFT(BX6,1),($D$8+MAX(0,IF($D$50=1,$D$9*(1-(ABS($Q6-ABS(VALUE(MID(BX6,FIND("|",BX6)+1,FIND("-",BX6)-FIND("|",BX6)-1))-VALUE(MID(BX6,FIND("-",BX6)+1,10)))))*$D$50),$D$9*(1-(IF($N6="X",ABS($O6-VALUE(MID(BX6,FIND("|",BX6)+1,FIND("-",BX6)-FIND("|",BX6)-1))),ABS($Q6-ABS(VALUE(MID(BX6,FIND("|",BX6)+1,FIND("-",BX6)-FIND("|",BX6)-1))-VALUE(MID(BX6,FIND("-",BX6)+1,10)))))*$D$50)))))*$I6,0)),0)</f>
        <v>4</v>
      </c>
      <c r="BZ6" s="111"/>
      <c r="CA6" s="72" t="s">
        <v>1946</v>
      </c>
      <c r="CB6" s="73">
        <f t="shared" ref="CB6" si="67">IFERROR(IF($M6=CA6,($D$8+$D$9+$D$10)*$I6,IF($N6=LEFT(CA6,1),($D$8+MAX(0,IF($D$50=1,$D$9*(1-(ABS($Q6-ABS(VALUE(MID(CA6,FIND("|",CA6)+1,FIND("-",CA6)-FIND("|",CA6)-1))-VALUE(MID(CA6,FIND("-",CA6)+1,10)))))*$D$50),$D$9*(1-(IF($N6="X",ABS($O6-VALUE(MID(CA6,FIND("|",CA6)+1,FIND("-",CA6)-FIND("|",CA6)-1))),ABS($Q6-ABS(VALUE(MID(CA6,FIND("|",CA6)+1,FIND("-",CA6)-FIND("|",CA6)-1))-VALUE(MID(CA6,FIND("-",CA6)+1,10)))))*$D$50)))))*$I6,0)),0)</f>
        <v>0</v>
      </c>
      <c r="CC6" s="111"/>
      <c r="CD6" s="72" t="s">
        <v>1948</v>
      </c>
      <c r="CE6" s="73">
        <f t="shared" ref="CE6" si="68">IFERROR(IF($M6=CD6,($D$8+$D$9+$D$10)*$I6,IF($N6=LEFT(CD6,1),($D$8+MAX(0,IF($D$50=1,$D$9*(1-(ABS($Q6-ABS(VALUE(MID(CD6,FIND("|",CD6)+1,FIND("-",CD6)-FIND("|",CD6)-1))-VALUE(MID(CD6,FIND("-",CD6)+1,10)))))*$D$50),$D$9*(1-(IF($N6="X",ABS($O6-VALUE(MID(CD6,FIND("|",CD6)+1,FIND("-",CD6)-FIND("|",CD6)-1))),ABS($Q6-ABS(VALUE(MID(CD6,FIND("|",CD6)+1,FIND("-",CD6)-FIND("|",CD6)-1))-VALUE(MID(CD6,FIND("-",CD6)+1,10)))))*$D$50)))))*$I6,0)),0)</f>
        <v>1</v>
      </c>
      <c r="CF6" s="111"/>
      <c r="CG6" s="72" t="s">
        <v>1954</v>
      </c>
      <c r="CH6" s="73">
        <f t="shared" ref="CH6" si="69">IFERROR(IF($M6=CG6,($D$8+$D$9+$D$10)*$I6,IF($N6=LEFT(CG6,1),($D$8+MAX(0,IF($D$50=1,$D$9*(1-(ABS($Q6-ABS(VALUE(MID(CG6,FIND("|",CG6)+1,FIND("-",CG6)-FIND("|",CG6)-1))-VALUE(MID(CG6,FIND("-",CG6)+1,10)))))*$D$50),$D$9*(1-(IF($N6="X",ABS($O6-VALUE(MID(CG6,FIND("|",CG6)+1,FIND("-",CG6)-FIND("|",CG6)-1))),ABS($Q6-ABS(VALUE(MID(CG6,FIND("|",CG6)+1,FIND("-",CG6)-FIND("|",CG6)-1))-VALUE(MID(CG6,FIND("-",CG6)+1,10)))))*$D$50)))))*$I6,0)),0)</f>
        <v>4</v>
      </c>
      <c r="CI6" s="111"/>
      <c r="CJ6" s="72" t="s">
        <v>1954</v>
      </c>
      <c r="CK6" s="73">
        <f t="shared" ref="CK6:EV19" si="70">IFERROR(IF($M6=CJ6,($D$8+$D$9+$D$10)*$I6,IF($N6=LEFT(CJ6,1),($D$8+MAX(0,IF($D$50=1,$D$9*(1-(ABS($Q6-ABS(VALUE(MID(CJ6,FIND("|",CJ6)+1,FIND("-",CJ6)-FIND("|",CJ6)-1))-VALUE(MID(CJ6,FIND("-",CJ6)+1,10)))))*$D$50),$D$9*(1-(IF($N6="X",ABS($O6-VALUE(MID(CJ6,FIND("|",CJ6)+1,FIND("-",CJ6)-FIND("|",CJ6)-1))),ABS($Q6-ABS(VALUE(MID(CJ6,FIND("|",CJ6)+1,FIND("-",CJ6)-FIND("|",CJ6)-1))-VALUE(MID(CJ6,FIND("-",CJ6)+1,10)))))*$D$50)))))*$I6,0)),0)</f>
        <v>4</v>
      </c>
      <c r="CL6" s="111"/>
      <c r="CM6" s="72" t="s">
        <v>1954</v>
      </c>
      <c r="CN6" s="73">
        <f t="shared" ref="CN6" si="71">IFERROR(IF($M6=CM6,($D$8+$D$9+$D$10)*$I6,IF($N6=LEFT(CM6,1),($D$8+MAX(0,IF($D$50=1,$D$9*(1-(ABS($Q6-ABS(VALUE(MID(CM6,FIND("|",CM6)+1,FIND("-",CM6)-FIND("|",CM6)-1))-VALUE(MID(CM6,FIND("-",CM6)+1,10)))))*$D$50),$D$9*(1-(IF($N6="X",ABS($O6-VALUE(MID(CM6,FIND("|",CM6)+1,FIND("-",CM6)-FIND("|",CM6)-1))),ABS($Q6-ABS(VALUE(MID(CM6,FIND("|",CM6)+1,FIND("-",CM6)-FIND("|",CM6)-1))-VALUE(MID(CM6,FIND("-",CM6)+1,10)))))*$D$50)))))*$I6,0)),0)</f>
        <v>4</v>
      </c>
      <c r="CO6" s="111"/>
      <c r="CP6" s="72" t="s">
        <v>1948</v>
      </c>
      <c r="CQ6" s="73">
        <f t="shared" ref="CQ6" si="72">IFERROR(IF($M6=CP6,($D$8+$D$9+$D$10)*$I6,IF($N6=LEFT(CP6,1),($D$8+MAX(0,IF($D$50=1,$D$9*(1-(ABS($Q6-ABS(VALUE(MID(CP6,FIND("|",CP6)+1,FIND("-",CP6)-FIND("|",CP6)-1))-VALUE(MID(CP6,FIND("-",CP6)+1,10)))))*$D$50),$D$9*(1-(IF($N6="X",ABS($O6-VALUE(MID(CP6,FIND("|",CP6)+1,FIND("-",CP6)-FIND("|",CP6)-1))),ABS($Q6-ABS(VALUE(MID(CP6,FIND("|",CP6)+1,FIND("-",CP6)-FIND("|",CP6)-1))-VALUE(MID(CP6,FIND("-",CP6)+1,10)))))*$D$50)))))*$I6,0)),0)</f>
        <v>1</v>
      </c>
      <c r="CR6" s="111"/>
      <c r="CS6" s="72" t="s">
        <v>1943</v>
      </c>
      <c r="CT6" s="73">
        <f t="shared" ref="CT6" si="73">IFERROR(IF($M6=CS6,($D$8+$D$9+$D$10)*$I6,IF($N6=LEFT(CS6,1),($D$8+MAX(0,IF($D$50=1,$D$9*(1-(ABS($Q6-ABS(VALUE(MID(CS6,FIND("|",CS6)+1,FIND("-",CS6)-FIND("|",CS6)-1))-VALUE(MID(CS6,FIND("-",CS6)+1,10)))))*$D$50),$D$9*(1-(IF($N6="X",ABS($O6-VALUE(MID(CS6,FIND("|",CS6)+1,FIND("-",CS6)-FIND("|",CS6)-1))),ABS($Q6-ABS(VALUE(MID(CS6,FIND("|",CS6)+1,FIND("-",CS6)-FIND("|",CS6)-1))-VALUE(MID(CS6,FIND("-",CS6)+1,10)))))*$D$50)))))*$I6,0)),0)</f>
        <v>2</v>
      </c>
      <c r="CU6" s="111"/>
      <c r="CV6" s="72" t="s">
        <v>1942</v>
      </c>
      <c r="CW6" s="73">
        <f t="shared" ref="CW6" si="74">IFERROR(IF($M6=CV6,($D$8+$D$9+$D$10)*$I6,IF($N6=LEFT(CV6,1),($D$8+MAX(0,IF($D$50=1,$D$9*(1-(ABS($Q6-ABS(VALUE(MID(CV6,FIND("|",CV6)+1,FIND("-",CV6)-FIND("|",CV6)-1))-VALUE(MID(CV6,FIND("-",CV6)+1,10)))))*$D$50),$D$9*(1-(IF($N6="X",ABS($O6-VALUE(MID(CV6,FIND("|",CV6)+1,FIND("-",CV6)-FIND("|",CV6)-1))),ABS($Q6-ABS(VALUE(MID(CV6,FIND("|",CV6)+1,FIND("-",CV6)-FIND("|",CV6)-1))-VALUE(MID(CV6,FIND("-",CV6)+1,10)))))*$D$50)))))*$I6,0)),0)</f>
        <v>1</v>
      </c>
      <c r="CX6" s="111"/>
      <c r="CY6" s="72" t="s">
        <v>1948</v>
      </c>
      <c r="CZ6" s="73">
        <f t="shared" ref="CZ6" si="75">IFERROR(IF($M6=CY6,($D$8+$D$9+$D$10)*$I6,IF($N6=LEFT(CY6,1),($D$8+MAX(0,IF($D$50=1,$D$9*(1-(ABS($Q6-ABS(VALUE(MID(CY6,FIND("|",CY6)+1,FIND("-",CY6)-FIND("|",CY6)-1))-VALUE(MID(CY6,FIND("-",CY6)+1,10)))))*$D$50),$D$9*(1-(IF($N6="X",ABS($O6-VALUE(MID(CY6,FIND("|",CY6)+1,FIND("-",CY6)-FIND("|",CY6)-1))),ABS($Q6-ABS(VALUE(MID(CY6,FIND("|",CY6)+1,FIND("-",CY6)-FIND("|",CY6)-1))-VALUE(MID(CY6,FIND("-",CY6)+1,10)))))*$D$50)))))*$I6,0)),0)</f>
        <v>1</v>
      </c>
      <c r="DA6" s="111"/>
      <c r="DB6" s="72" t="s">
        <v>1954</v>
      </c>
      <c r="DC6" s="73">
        <f t="shared" ref="DC6" si="76">IFERROR(IF($M6=DB6,($D$8+$D$9+$D$10)*$I6,IF($N6=LEFT(DB6,1),($D$8+MAX(0,IF($D$50=1,$D$9*(1-(ABS($Q6-ABS(VALUE(MID(DB6,FIND("|",DB6)+1,FIND("-",DB6)-FIND("|",DB6)-1))-VALUE(MID(DB6,FIND("-",DB6)+1,10)))))*$D$50),$D$9*(1-(IF($N6="X",ABS($O6-VALUE(MID(DB6,FIND("|",DB6)+1,FIND("-",DB6)-FIND("|",DB6)-1))),ABS($Q6-ABS(VALUE(MID(DB6,FIND("|",DB6)+1,FIND("-",DB6)-FIND("|",DB6)-1))-VALUE(MID(DB6,FIND("-",DB6)+1,10)))))*$D$50)))))*$I6,0)),0)</f>
        <v>4</v>
      </c>
      <c r="DD6" s="111"/>
      <c r="DE6" s="72" t="s">
        <v>1948</v>
      </c>
      <c r="DF6" s="73">
        <f t="shared" ref="DF6" si="77">IFERROR(IF($M6=DE6,($D$8+$D$9+$D$10)*$I6,IF($N6=LEFT(DE6,1),($D$8+MAX(0,IF($D$50=1,$D$9*(1-(ABS($Q6-ABS(VALUE(MID(DE6,FIND("|",DE6)+1,FIND("-",DE6)-FIND("|",DE6)-1))-VALUE(MID(DE6,FIND("-",DE6)+1,10)))))*$D$50),$D$9*(1-(IF($N6="X",ABS($O6-VALUE(MID(DE6,FIND("|",DE6)+1,FIND("-",DE6)-FIND("|",DE6)-1))),ABS($Q6-ABS(VALUE(MID(DE6,FIND("|",DE6)+1,FIND("-",DE6)-FIND("|",DE6)-1))-VALUE(MID(DE6,FIND("-",DE6)+1,10)))))*$D$50)))))*$I6,0)),0)</f>
        <v>1</v>
      </c>
      <c r="DG6" s="111"/>
      <c r="DH6" s="72" t="s">
        <v>1948</v>
      </c>
      <c r="DI6" s="73">
        <f t="shared" ref="DI6" si="78">IFERROR(IF($M6=DH6,($D$8+$D$9+$D$10)*$I6,IF($N6=LEFT(DH6,1),($D$8+MAX(0,IF($D$50=1,$D$9*(1-(ABS($Q6-ABS(VALUE(MID(DH6,FIND("|",DH6)+1,FIND("-",DH6)-FIND("|",DH6)-1))-VALUE(MID(DH6,FIND("-",DH6)+1,10)))))*$D$50),$D$9*(1-(IF($N6="X",ABS($O6-VALUE(MID(DH6,FIND("|",DH6)+1,FIND("-",DH6)-FIND("|",DH6)-1))),ABS($Q6-ABS(VALUE(MID(DH6,FIND("|",DH6)+1,FIND("-",DH6)-FIND("|",DH6)-1))-VALUE(MID(DH6,FIND("-",DH6)+1,10)))))*$D$50)))))*$I6,0)),0)</f>
        <v>1</v>
      </c>
      <c r="DJ6" s="111"/>
      <c r="DK6" s="72" t="s">
        <v>1954</v>
      </c>
      <c r="DL6" s="73">
        <f t="shared" ref="DL6" si="79">IFERROR(IF($M6=DK6,($D$8+$D$9+$D$10)*$I6,IF($N6=LEFT(DK6,1),($D$8+MAX(0,IF($D$50=1,$D$9*(1-(ABS($Q6-ABS(VALUE(MID(DK6,FIND("|",DK6)+1,FIND("-",DK6)-FIND("|",DK6)-1))-VALUE(MID(DK6,FIND("-",DK6)+1,10)))))*$D$50),$D$9*(1-(IF($N6="X",ABS($O6-VALUE(MID(DK6,FIND("|",DK6)+1,FIND("-",DK6)-FIND("|",DK6)-1))),ABS($Q6-ABS(VALUE(MID(DK6,FIND("|",DK6)+1,FIND("-",DK6)-FIND("|",DK6)-1))-VALUE(MID(DK6,FIND("-",DK6)+1,10)))))*$D$50)))))*$I6,0)),0)</f>
        <v>4</v>
      </c>
      <c r="DM6" s="111"/>
      <c r="DN6" s="793" t="s">
        <v>1943</v>
      </c>
      <c r="DO6" s="73">
        <f t="shared" ref="DO6" si="80">IFERROR(IF($M6=DN6,($D$8+$D$9+$D$10)*$I6,IF($N6=LEFT(DN6,1),($D$8+MAX(0,IF($D$50=1,$D$9*(1-(ABS($Q6-ABS(VALUE(MID(DN6,FIND("|",DN6)+1,FIND("-",DN6)-FIND("|",DN6)-1))-VALUE(MID(DN6,FIND("-",DN6)+1,10)))))*$D$50),$D$9*(1-(IF($N6="X",ABS($O6-VALUE(MID(DN6,FIND("|",DN6)+1,FIND("-",DN6)-FIND("|",DN6)-1))),ABS($Q6-ABS(VALUE(MID(DN6,FIND("|",DN6)+1,FIND("-",DN6)-FIND("|",DN6)-1))-VALUE(MID(DN6,FIND("-",DN6)+1,10)))))*$D$50)))))*$I6,0)),0)</f>
        <v>2</v>
      </c>
      <c r="DP6" s="111"/>
      <c r="DQ6" s="793" t="s">
        <v>1948</v>
      </c>
      <c r="DR6" s="73">
        <f t="shared" ref="DR6" si="81">IFERROR(IF($M6=DQ6,($D$8+$D$9+$D$10)*$I6,IF($N6=LEFT(DQ6,1),($D$8+MAX(0,IF($D$50=1,$D$9*(1-(ABS($Q6-ABS(VALUE(MID(DQ6,FIND("|",DQ6)+1,FIND("-",DQ6)-FIND("|",DQ6)-1))-VALUE(MID(DQ6,FIND("-",DQ6)+1,10)))))*$D$50),$D$9*(1-(IF($N6="X",ABS($O6-VALUE(MID(DQ6,FIND("|",DQ6)+1,FIND("-",DQ6)-FIND("|",DQ6)-1))),ABS($Q6-ABS(VALUE(MID(DQ6,FIND("|",DQ6)+1,FIND("-",DQ6)-FIND("|",DQ6)-1))-VALUE(MID(DQ6,FIND("-",DQ6)+1,10)))))*$D$50)))))*$I6,0)),0)</f>
        <v>1</v>
      </c>
      <c r="DS6" s="111"/>
      <c r="DT6" s="72" t="s">
        <v>1943</v>
      </c>
      <c r="DU6" s="73">
        <f t="shared" ref="DU6" si="82">IFERROR(IF($M6=DT6,($D$8+$D$9+$D$10)*$I6,IF($N6=LEFT(DT6,1),($D$8+MAX(0,IF($D$50=1,$D$9*(1-(ABS($Q6-ABS(VALUE(MID(DT6,FIND("|",DT6)+1,FIND("-",DT6)-FIND("|",DT6)-1))-VALUE(MID(DT6,FIND("-",DT6)+1,10)))))*$D$50),$D$9*(1-(IF($N6="X",ABS($O6-VALUE(MID(DT6,FIND("|",DT6)+1,FIND("-",DT6)-FIND("|",DT6)-1))),ABS($Q6-ABS(VALUE(MID(DT6,FIND("|",DT6)+1,FIND("-",DT6)-FIND("|",DT6)-1))-VALUE(MID(DT6,FIND("-",DT6)+1,10)))))*$D$50)))))*$I6,0)),0)</f>
        <v>2</v>
      </c>
      <c r="DV6" s="111"/>
      <c r="DW6" s="72" t="s">
        <v>1954</v>
      </c>
      <c r="DX6" s="73">
        <f t="shared" ref="DX6" si="83">IFERROR(IF($M6=DW6,($D$8+$D$9+$D$10)*$I6,IF($N6=LEFT(DW6,1),($D$8+MAX(0,IF($D$50=1,$D$9*(1-(ABS($Q6-ABS(VALUE(MID(DW6,FIND("|",DW6)+1,FIND("-",DW6)-FIND("|",DW6)-1))-VALUE(MID(DW6,FIND("-",DW6)+1,10)))))*$D$50),$D$9*(1-(IF($N6="X",ABS($O6-VALUE(MID(DW6,FIND("|",DW6)+1,FIND("-",DW6)-FIND("|",DW6)-1))),ABS($Q6-ABS(VALUE(MID(DW6,FIND("|",DW6)+1,FIND("-",DW6)-FIND("|",DW6)-1))-VALUE(MID(DW6,FIND("-",DW6)+1,10)))))*$D$50)))))*$I6,0)),0)</f>
        <v>4</v>
      </c>
      <c r="DY6" s="111"/>
      <c r="DZ6" s="72" t="s">
        <v>1954</v>
      </c>
      <c r="EA6" s="73">
        <f t="shared" ref="EA6" si="84">IFERROR(IF($M6=DZ6,($D$8+$D$9+$D$10)*$I6,IF($N6=LEFT(DZ6,1),($D$8+MAX(0,IF($D$50=1,$D$9*(1-(ABS($Q6-ABS(VALUE(MID(DZ6,FIND("|",DZ6)+1,FIND("-",DZ6)-FIND("|",DZ6)-1))-VALUE(MID(DZ6,FIND("-",DZ6)+1,10)))))*$D$50),$D$9*(1-(IF($N6="X",ABS($O6-VALUE(MID(DZ6,FIND("|",DZ6)+1,FIND("-",DZ6)-FIND("|",DZ6)-1))),ABS($Q6-ABS(VALUE(MID(DZ6,FIND("|",DZ6)+1,FIND("-",DZ6)-FIND("|",DZ6)-1))-VALUE(MID(DZ6,FIND("-",DZ6)+1,10)))))*$D$50)))))*$I6,0)),0)</f>
        <v>4</v>
      </c>
      <c r="EB6" s="111"/>
      <c r="EC6" s="72" t="s">
        <v>1954</v>
      </c>
      <c r="ED6" s="73">
        <f t="shared" ref="ED6" si="85">IFERROR(IF($M6=EC6,($D$8+$D$9+$D$10)*$I6,IF($N6=LEFT(EC6,1),($D$8+MAX(0,IF($D$50=1,$D$9*(1-(ABS($Q6-ABS(VALUE(MID(EC6,FIND("|",EC6)+1,FIND("-",EC6)-FIND("|",EC6)-1))-VALUE(MID(EC6,FIND("-",EC6)+1,10)))))*$D$50),$D$9*(1-(IF($N6="X",ABS($O6-VALUE(MID(EC6,FIND("|",EC6)+1,FIND("-",EC6)-FIND("|",EC6)-1))),ABS($Q6-ABS(VALUE(MID(EC6,FIND("|",EC6)+1,FIND("-",EC6)-FIND("|",EC6)-1))-VALUE(MID(EC6,FIND("-",EC6)+1,10)))))*$D$50)))))*$I6,0)),0)</f>
        <v>4</v>
      </c>
      <c r="EE6" s="111"/>
      <c r="EF6" s="72" t="s">
        <v>1942</v>
      </c>
      <c r="EG6" s="73">
        <f t="shared" ref="EG6" si="86">IFERROR(IF($M6=EF6,($D$8+$D$9+$D$10)*$I6,IF($N6=LEFT(EF6,1),($D$8+MAX(0,IF($D$50=1,$D$9*(1-(ABS($Q6-ABS(VALUE(MID(EF6,FIND("|",EF6)+1,FIND("-",EF6)-FIND("|",EF6)-1))-VALUE(MID(EF6,FIND("-",EF6)+1,10)))))*$D$50),$D$9*(1-(IF($N6="X",ABS($O6-VALUE(MID(EF6,FIND("|",EF6)+1,FIND("-",EF6)-FIND("|",EF6)-1))),ABS($Q6-ABS(VALUE(MID(EF6,FIND("|",EF6)+1,FIND("-",EF6)-FIND("|",EF6)-1))-VALUE(MID(EF6,FIND("-",EF6)+1,10)))))*$D$50)))))*$I6,0)),0)</f>
        <v>1</v>
      </c>
      <c r="EH6" s="111"/>
      <c r="EI6" s="72" t="s">
        <v>1942</v>
      </c>
      <c r="EJ6" s="73">
        <f t="shared" ref="EJ6" si="87">IFERROR(IF($M6=EI6,($D$8+$D$9+$D$10)*$I6,IF($N6=LEFT(EI6,1),($D$8+MAX(0,IF($D$50=1,$D$9*(1-(ABS($Q6-ABS(VALUE(MID(EI6,FIND("|",EI6)+1,FIND("-",EI6)-FIND("|",EI6)-1))-VALUE(MID(EI6,FIND("-",EI6)+1,10)))))*$D$50),$D$9*(1-(IF($N6="X",ABS($O6-VALUE(MID(EI6,FIND("|",EI6)+1,FIND("-",EI6)-FIND("|",EI6)-1))),ABS($Q6-ABS(VALUE(MID(EI6,FIND("|",EI6)+1,FIND("-",EI6)-FIND("|",EI6)-1))-VALUE(MID(EI6,FIND("-",EI6)+1,10)))))*$D$50)))))*$I6,0)),0)</f>
        <v>1</v>
      </c>
      <c r="EK6" s="111"/>
      <c r="EL6" s="72" t="str">
        <f>Idiomas!$D$364</f>
        <v>Pegar Valores (J1)</v>
      </c>
      <c r="EM6" s="73">
        <f t="shared" ref="EM6" si="88">IFERROR(IF($M6=EL6,($D$8+$D$9+$D$10)*$I6,IF($N6=LEFT(EL6,1),($D$8+MAX(0,IF($D$50=1,$D$9*(1-(ABS($Q6-ABS(VALUE(MID(EL6,FIND("|",EL6)+1,FIND("-",EL6)-FIND("|",EL6)-1))-VALUE(MID(EL6,FIND("-",EL6)+1,10)))))*$D$50),$D$9*(1-(IF($N6="X",ABS($O6-VALUE(MID(EL6,FIND("|",EL6)+1,FIND("-",EL6)-FIND("|",EL6)-1))),ABS($Q6-ABS(VALUE(MID(EL6,FIND("|",EL6)+1,FIND("-",EL6)-FIND("|",EL6)-1))-VALUE(MID(EL6,FIND("-",EL6)+1,10)))))*$D$50)))))*$I6,0)),0)</f>
        <v>0</v>
      </c>
      <c r="EN6" s="111"/>
      <c r="EO6" s="72" t="str">
        <f>Idiomas!$D$364</f>
        <v>Pegar Valores (J1)</v>
      </c>
      <c r="EP6" s="73">
        <f t="shared" ref="EP6" si="89">IFERROR(IF($M6=EO6,($D$8+$D$9+$D$10)*$I6,IF($N6=LEFT(EO6,1),($D$8+MAX(0,IF($D$50=1,$D$9*(1-(ABS($Q6-ABS(VALUE(MID(EO6,FIND("|",EO6)+1,FIND("-",EO6)-FIND("|",EO6)-1))-VALUE(MID(EO6,FIND("-",EO6)+1,10)))))*$D$50),$D$9*(1-(IF($N6="X",ABS($O6-VALUE(MID(EO6,FIND("|",EO6)+1,FIND("-",EO6)-FIND("|",EO6)-1))),ABS($Q6-ABS(VALUE(MID(EO6,FIND("|",EO6)+1,FIND("-",EO6)-FIND("|",EO6)-1))-VALUE(MID(EO6,FIND("-",EO6)+1,10)))))*$D$50)))))*$I6,0)),0)</f>
        <v>0</v>
      </c>
      <c r="EQ6" s="111"/>
      <c r="ER6" s="72" t="str">
        <f>Idiomas!$D$364</f>
        <v>Pegar Valores (J1)</v>
      </c>
      <c r="ES6" s="73">
        <f t="shared" ref="ES6" si="90">IFERROR(IF($M6=ER6,($D$8+$D$9+$D$10)*$I6,IF($N6=LEFT(ER6,1),($D$8+MAX(0,IF($D$50=1,$D$9*(1-(ABS($Q6-ABS(VALUE(MID(ER6,FIND("|",ER6)+1,FIND("-",ER6)-FIND("|",ER6)-1))-VALUE(MID(ER6,FIND("-",ER6)+1,10)))))*$D$50),$D$9*(1-(IF($N6="X",ABS($O6-VALUE(MID(ER6,FIND("|",ER6)+1,FIND("-",ER6)-FIND("|",ER6)-1))),ABS($Q6-ABS(VALUE(MID(ER6,FIND("|",ER6)+1,FIND("-",ER6)-FIND("|",ER6)-1))-VALUE(MID(ER6,FIND("-",ER6)+1,10)))))*$D$50)))))*$I6,0)),0)</f>
        <v>0</v>
      </c>
      <c r="ET6" s="111"/>
      <c r="EU6" s="72" t="str">
        <f>Idiomas!$D$364</f>
        <v>Pegar Valores (J1)</v>
      </c>
      <c r="EV6" s="73">
        <f t="shared" ref="EV6" si="91">IFERROR(IF($M6=EU6,($D$8+$D$9+$D$10)*$I6,IF($N6=LEFT(EU6,1),($D$8+MAX(0,IF($D$50=1,$D$9*(1-(ABS($Q6-ABS(VALUE(MID(EU6,FIND("|",EU6)+1,FIND("-",EU6)-FIND("|",EU6)-1))-VALUE(MID(EU6,FIND("-",EU6)+1,10)))))*$D$50),$D$9*(1-(IF($N6="X",ABS($O6-VALUE(MID(EU6,FIND("|",EU6)+1,FIND("-",EU6)-FIND("|",EU6)-1))),ABS($Q6-ABS(VALUE(MID(EU6,FIND("|",EU6)+1,FIND("-",EU6)-FIND("|",EU6)-1))-VALUE(MID(EU6,FIND("-",EU6)+1,10)))))*$D$50)))))*$I6,0)),0)</f>
        <v>0</v>
      </c>
      <c r="EW6" s="111"/>
      <c r="EX6" s="72" t="str">
        <f>Idiomas!$D$364</f>
        <v>Pegar Valores (J1)</v>
      </c>
      <c r="EY6" s="73">
        <f t="shared" ref="EY6:FK18" si="92">IFERROR(IF($M6=EX6,($D$8+$D$9+$D$10)*$I6,IF($N6=LEFT(EX6,1),($D$8+MAX(0,IF($D$50=1,$D$9*(1-(ABS($Q6-ABS(VALUE(MID(EX6,FIND("|",EX6)+1,FIND("-",EX6)-FIND("|",EX6)-1))-VALUE(MID(EX6,FIND("-",EX6)+1,10)))))*$D$50),$D$9*(1-(IF($N6="X",ABS($O6-VALUE(MID(EX6,FIND("|",EX6)+1,FIND("-",EX6)-FIND("|",EX6)-1))),ABS($Q6-ABS(VALUE(MID(EX6,FIND("|",EX6)+1,FIND("-",EX6)-FIND("|",EX6)-1))-VALUE(MID(EX6,FIND("-",EX6)+1,10)))))*$D$50)))))*$I6,0)),0)</f>
        <v>0</v>
      </c>
      <c r="EZ6" s="111"/>
      <c r="FA6" s="72" t="str">
        <f>Idiomas!$D$364</f>
        <v>Pegar Valores (J1)</v>
      </c>
      <c r="FB6" s="73">
        <f t="shared" ref="FB6" si="93">IFERROR(IF($M6=FA6,($D$8+$D$9+$D$10)*$I6,IF($N6=LEFT(FA6,1),($D$8+MAX(0,IF($D$50=1,$D$9*(1-(ABS($Q6-ABS(VALUE(MID(FA6,FIND("|",FA6)+1,FIND("-",FA6)-FIND("|",FA6)-1))-VALUE(MID(FA6,FIND("-",FA6)+1,10)))))*$D$50),$D$9*(1-(IF($N6="X",ABS($O6-VALUE(MID(FA6,FIND("|",FA6)+1,FIND("-",FA6)-FIND("|",FA6)-1))),ABS($Q6-ABS(VALUE(MID(FA6,FIND("|",FA6)+1,FIND("-",FA6)-FIND("|",FA6)-1))-VALUE(MID(FA6,FIND("-",FA6)+1,10)))))*$D$50)))))*$I6,0)),0)</f>
        <v>0</v>
      </c>
      <c r="FC6" s="111"/>
      <c r="FD6" s="72" t="str">
        <f>Idiomas!$D$364</f>
        <v>Pegar Valores (J1)</v>
      </c>
      <c r="FE6" s="73">
        <f t="shared" ref="FE6" si="94">IFERROR(IF($M6=FD6,($D$8+$D$9+$D$10)*$I6,IF($N6=LEFT(FD6,1),($D$8+MAX(0,IF($D$50=1,$D$9*(1-(ABS($Q6-ABS(VALUE(MID(FD6,FIND("|",FD6)+1,FIND("-",FD6)-FIND("|",FD6)-1))-VALUE(MID(FD6,FIND("-",FD6)+1,10)))))*$D$50),$D$9*(1-(IF($N6="X",ABS($O6-VALUE(MID(FD6,FIND("|",FD6)+1,FIND("-",FD6)-FIND("|",FD6)-1))),ABS($Q6-ABS(VALUE(MID(FD6,FIND("|",FD6)+1,FIND("-",FD6)-FIND("|",FD6)-1))-VALUE(MID(FD6,FIND("-",FD6)+1,10)))))*$D$50)))))*$I6,0)),0)</f>
        <v>0</v>
      </c>
      <c r="FF6" s="111"/>
      <c r="FG6" s="72" t="str">
        <f>Idiomas!$D$364</f>
        <v>Pegar Valores (J1)</v>
      </c>
      <c r="FH6" s="73">
        <f t="shared" ref="FH6" si="95">IFERROR(IF($M6=FG6,($D$8+$D$9+$D$10)*$I6,IF($N6=LEFT(FG6,1),($D$8+MAX(0,IF($D$50=1,$D$9*(1-(ABS($Q6-ABS(VALUE(MID(FG6,FIND("|",FG6)+1,FIND("-",FG6)-FIND("|",FG6)-1))-VALUE(MID(FG6,FIND("-",FG6)+1,10)))))*$D$50),$D$9*(1-(IF($N6="X",ABS($O6-VALUE(MID(FG6,FIND("|",FG6)+1,FIND("-",FG6)-FIND("|",FG6)-1))),ABS($Q6-ABS(VALUE(MID(FG6,FIND("|",FG6)+1,FIND("-",FG6)-FIND("|",FG6)-1))-VALUE(MID(FG6,FIND("-",FG6)+1,10)))))*$D$50)))))*$I6,0)),0)</f>
        <v>0</v>
      </c>
      <c r="FI6" s="111"/>
      <c r="FJ6" s="72" t="str">
        <f>Idiomas!$D$364</f>
        <v>Pegar Valores (J1)</v>
      </c>
      <c r="FK6" s="73">
        <f t="shared" ref="FK6" si="96">IFERROR(IF($M6=FJ6,($D$8+$D$9+$D$10)*$I6,IF($N6=LEFT(FJ6,1),($D$8+MAX(0,IF($D$50=1,$D$9*(1-(ABS($Q6-ABS(VALUE(MID(FJ6,FIND("|",FJ6)+1,FIND("-",FJ6)-FIND("|",FJ6)-1))-VALUE(MID(FJ6,FIND("-",FJ6)+1,10)))))*$D$50),$D$9*(1-(IF($N6="X",ABS($O6-VALUE(MID(FJ6,FIND("|",FJ6)+1,FIND("-",FJ6)-FIND("|",FJ6)-1))),ABS($Q6-ABS(VALUE(MID(FJ6,FIND("|",FJ6)+1,FIND("-",FJ6)-FIND("|",FJ6)-1))-VALUE(MID(FJ6,FIND("-",FJ6)+1,10)))))*$D$50)))))*$I6,0)),0)</f>
        <v>0</v>
      </c>
      <c r="FL6" s="111"/>
      <c r="FM6" s="111"/>
    </row>
    <row r="7" spans="1:169">
      <c r="A7" s="49"/>
      <c r="B7" s="49"/>
      <c r="C7" s="769" t="str">
        <f>HYPERLINK(Idiomas!D302,Idiomas!D301)</f>
        <v>Regla* (Click para ver la explicación)</v>
      </c>
      <c r="D7" s="54" t="str">
        <f>Idiomas!D303</f>
        <v>Puntos</v>
      </c>
      <c r="E7" s="111"/>
      <c r="F7" s="445">
        <f t="shared" ref="F7:F70" si="97">SUM($D$8:$D$10)*I7</f>
        <v>4</v>
      </c>
      <c r="G7" s="445">
        <f ca="1">VLOOKUP(H7,Equipos!$Q$1:$R$25,2,0)</f>
        <v>2</v>
      </c>
      <c r="H7" s="446">
        <f ca="1">TRUNC(INDEX(WORLDCUP!$X$4:$X$147,MATCH(ADMIN!K7,WORLDCUP!$DT$4:$DT$147,0))+INDEX(Horarios!$R$3:$R$86,MATCH(Horarios!$C$3,Horarios!$P$3:$P$86,0))/24)</f>
        <v>46185</v>
      </c>
      <c r="I7" s="48">
        <v>1</v>
      </c>
      <c r="J7" s="95" t="s">
        <v>112</v>
      </c>
      <c r="K7" s="53" t="str">
        <f ca="1">CONCATENATE(WORLDCUP!AA5,"-",WORLDCUP!AF5)</f>
        <v>Corea del Sur-República Checa</v>
      </c>
      <c r="L7" s="53"/>
      <c r="M7" s="55" t="str">
        <f>IF(OR(WORLDCUP!AC5="",WORLDCUP!AD5=""),"-",N7&amp;"|"&amp;O7&amp;"-"&amp;P7)</f>
        <v>1|2-1</v>
      </c>
      <c r="N7" s="25" t="str">
        <f>IF(OR(WORLDCUP!AC5="",WORLDCUP!AD5=""),"",IF(WORLDCUP!AC5&gt;WORLDCUP!AD5,"1",IF(WORLDCUP!AC5&lt;WORLDCUP!AD5,"2","X")))</f>
        <v>1</v>
      </c>
      <c r="O7" s="25">
        <f>WORLDCUP!AC5</f>
        <v>2</v>
      </c>
      <c r="P7" s="25">
        <f>WORLDCUP!AD5</f>
        <v>1</v>
      </c>
      <c r="Q7" s="25">
        <f>ABS(O7-P7)</f>
        <v>1</v>
      </c>
      <c r="R7" s="49"/>
      <c r="S7" s="72" t="s">
        <v>1943</v>
      </c>
      <c r="T7" s="73">
        <f t="shared" ref="T7:T70" si="98">IFERROR(IF($M7=S7,($D$8+$D$9+$D$10)*$I7,IF($N7=LEFT(S7,1),($D$8+MAX(0,IF($D$50=1,$D$9*(1-(ABS($Q7-ABS(VALUE(MID(S7,FIND("|",S7)+1,FIND("-",S7)-FIND("|",S7)-1))-VALUE(MID(S7,FIND("-",S7)+1,10)))))*$D$50),$D$9*(1-(IF($N7="X",ABS($O7-VALUE(MID(S7,FIND("|",S7)+1,FIND("-",S7)-FIND("|",S7)-1))),ABS($Q7-ABS(VALUE(MID(S7,FIND("|",S7)+1,FIND("-",S7)-FIND("|",S7)-1))-VALUE(MID(S7,FIND("-",S7)+1,10)))))*$D$50)))))*$I7,0)),0)</f>
        <v>1</v>
      </c>
      <c r="U7" s="111"/>
      <c r="V7" s="72" t="s">
        <v>1960</v>
      </c>
      <c r="W7" s="73">
        <f t="shared" ref="W7:W41" si="99">IFERROR(IF($M7=V7,($D$8+$D$9+$D$10)*$I7,IF($N7=LEFT(V7,1),($D$8+MAX(0,IF($D$50=1,$D$9*(1-(ABS($Q7-ABS(VALUE(MID(V7,FIND("|",V7)+1,FIND("-",V7)-FIND("|",V7)-1))-VALUE(MID(V7,FIND("-",V7)+1,10)))))*$D$50),$D$9*(1-(IF($N7="X",ABS($O7-VALUE(MID(V7,FIND("|",V7)+1,FIND("-",V7)-FIND("|",V7)-1))),ABS($Q7-ABS(VALUE(MID(V7,FIND("|",V7)+1,FIND("-",V7)-FIND("|",V7)-1))-VALUE(MID(V7,FIND("-",V7)+1,10)))))*$D$50)))))*$I7,0)),0)</f>
        <v>0</v>
      </c>
      <c r="X7" s="111"/>
      <c r="Y7" s="72" t="s">
        <v>1944</v>
      </c>
      <c r="Z7" s="73">
        <f t="shared" ref="Z7:CH18" si="100">IFERROR(IF($M7=Y7,($D$8+$D$9+$D$10)*$I7,IF($N7=LEFT(Y7,1),($D$8+MAX(0,IF($D$50=1,$D$9*(1-(ABS($Q7-ABS(VALUE(MID(Y7,FIND("|",Y7)+1,FIND("-",Y7)-FIND("|",Y7)-1))-VALUE(MID(Y7,FIND("-",Y7)+1,10)))))*$D$50),$D$9*(1-(IF($N7="X",ABS($O7-VALUE(MID(Y7,FIND("|",Y7)+1,FIND("-",Y7)-FIND("|",Y7)-1))),ABS($Q7-ABS(VALUE(MID(Y7,FIND("|",Y7)+1,FIND("-",Y7)-FIND("|",Y7)-1))-VALUE(MID(Y7,FIND("-",Y7)+1,10)))))*$D$50)))))*$I7,0)),0)</f>
        <v>0</v>
      </c>
      <c r="AA7" s="111"/>
      <c r="AB7" s="72" t="s">
        <v>1948</v>
      </c>
      <c r="AC7" s="73">
        <f t="shared" si="100"/>
        <v>4</v>
      </c>
      <c r="AD7" s="111"/>
      <c r="AE7" s="72" t="s">
        <v>1946</v>
      </c>
      <c r="AF7" s="73">
        <f t="shared" si="100"/>
        <v>0</v>
      </c>
      <c r="AG7" s="111"/>
      <c r="AH7" s="72" t="s">
        <v>1942</v>
      </c>
      <c r="AI7" s="73">
        <f t="shared" si="100"/>
        <v>2</v>
      </c>
      <c r="AJ7" s="111"/>
      <c r="AK7" s="72" t="s">
        <v>1952</v>
      </c>
      <c r="AL7" s="73">
        <f t="shared" si="100"/>
        <v>0</v>
      </c>
      <c r="AM7" s="111"/>
      <c r="AN7" s="72" t="s">
        <v>1946</v>
      </c>
      <c r="AO7" s="73">
        <f t="shared" si="100"/>
        <v>0</v>
      </c>
      <c r="AP7" s="111"/>
      <c r="AQ7" s="72" t="s">
        <v>1943</v>
      </c>
      <c r="AR7" s="73">
        <f t="shared" si="100"/>
        <v>1</v>
      </c>
      <c r="AS7" s="111"/>
      <c r="AT7" s="72" t="s">
        <v>1946</v>
      </c>
      <c r="AU7" s="73">
        <f t="shared" si="100"/>
        <v>0</v>
      </c>
      <c r="AV7" s="111"/>
      <c r="AW7" s="72" t="s">
        <v>1944</v>
      </c>
      <c r="AX7" s="73">
        <f t="shared" si="100"/>
        <v>0</v>
      </c>
      <c r="AY7" s="111"/>
      <c r="AZ7" s="72" t="s">
        <v>1946</v>
      </c>
      <c r="BA7" s="73">
        <f t="shared" si="100"/>
        <v>0</v>
      </c>
      <c r="BB7" s="111"/>
      <c r="BC7" s="72" t="s">
        <v>1946</v>
      </c>
      <c r="BD7" s="73">
        <f t="shared" si="100"/>
        <v>0</v>
      </c>
      <c r="BE7" s="111"/>
      <c r="BF7" s="72" t="s">
        <v>1960</v>
      </c>
      <c r="BG7" s="73">
        <f t="shared" si="100"/>
        <v>0</v>
      </c>
      <c r="BH7" s="111"/>
      <c r="BI7" s="72" t="s">
        <v>1944</v>
      </c>
      <c r="BJ7" s="73">
        <f t="shared" si="100"/>
        <v>0</v>
      </c>
      <c r="BK7" s="111"/>
      <c r="BL7" s="72" t="s">
        <v>1946</v>
      </c>
      <c r="BM7" s="73">
        <f t="shared" si="100"/>
        <v>0</v>
      </c>
      <c r="BN7" s="111"/>
      <c r="BO7" s="72" t="s">
        <v>1946</v>
      </c>
      <c r="BP7" s="73">
        <f t="shared" si="100"/>
        <v>0</v>
      </c>
      <c r="BQ7" s="111"/>
      <c r="BR7" s="72" t="s">
        <v>1946</v>
      </c>
      <c r="BS7" s="73">
        <f t="shared" si="100"/>
        <v>0</v>
      </c>
      <c r="BT7" s="111"/>
      <c r="BU7" s="72" t="s">
        <v>1944</v>
      </c>
      <c r="BV7" s="73">
        <f t="shared" si="100"/>
        <v>0</v>
      </c>
      <c r="BW7" s="111"/>
      <c r="BX7" s="72" t="s">
        <v>1946</v>
      </c>
      <c r="BY7" s="73">
        <f t="shared" si="100"/>
        <v>0</v>
      </c>
      <c r="BZ7" s="111"/>
      <c r="CA7" s="72" t="s">
        <v>1948</v>
      </c>
      <c r="CB7" s="73">
        <f t="shared" si="100"/>
        <v>4</v>
      </c>
      <c r="CC7" s="111"/>
      <c r="CD7" s="72" t="s">
        <v>1946</v>
      </c>
      <c r="CE7" s="73">
        <f t="shared" si="100"/>
        <v>0</v>
      </c>
      <c r="CF7" s="111"/>
      <c r="CG7" s="72" t="s">
        <v>1942</v>
      </c>
      <c r="CH7" s="73">
        <f t="shared" si="100"/>
        <v>2</v>
      </c>
      <c r="CI7" s="111"/>
      <c r="CJ7" s="72" t="s">
        <v>1946</v>
      </c>
      <c r="CK7" s="73">
        <f t="shared" si="70"/>
        <v>0</v>
      </c>
      <c r="CL7" s="111"/>
      <c r="CM7" s="72" t="s">
        <v>1946</v>
      </c>
      <c r="CN7" s="73">
        <f t="shared" si="70"/>
        <v>0</v>
      </c>
      <c r="CO7" s="111"/>
      <c r="CP7" s="72" t="s">
        <v>1949</v>
      </c>
      <c r="CQ7" s="73">
        <f t="shared" si="70"/>
        <v>0</v>
      </c>
      <c r="CR7" s="111"/>
      <c r="CS7" s="72" t="s">
        <v>1946</v>
      </c>
      <c r="CT7" s="73">
        <f t="shared" si="70"/>
        <v>0</v>
      </c>
      <c r="CU7" s="111"/>
      <c r="CV7" s="72" t="s">
        <v>1948</v>
      </c>
      <c r="CW7" s="73">
        <f t="shared" si="70"/>
        <v>4</v>
      </c>
      <c r="CX7" s="111"/>
      <c r="CY7" s="72" t="s">
        <v>1946</v>
      </c>
      <c r="CZ7" s="73">
        <f t="shared" si="70"/>
        <v>0</v>
      </c>
      <c r="DA7" s="111"/>
      <c r="DB7" s="72" t="s">
        <v>1946</v>
      </c>
      <c r="DC7" s="73">
        <f t="shared" si="70"/>
        <v>0</v>
      </c>
      <c r="DD7" s="111"/>
      <c r="DE7" s="72" t="s">
        <v>1952</v>
      </c>
      <c r="DF7" s="73">
        <f t="shared" si="70"/>
        <v>0</v>
      </c>
      <c r="DG7" s="111"/>
      <c r="DH7" s="72" t="s">
        <v>1954</v>
      </c>
      <c r="DI7" s="73">
        <f t="shared" si="70"/>
        <v>1</v>
      </c>
      <c r="DJ7" s="111"/>
      <c r="DK7" s="72" t="s">
        <v>1946</v>
      </c>
      <c r="DL7" s="73">
        <f t="shared" si="70"/>
        <v>0</v>
      </c>
      <c r="DM7" s="111"/>
      <c r="DN7" s="794" t="s">
        <v>1946</v>
      </c>
      <c r="DO7" s="73">
        <f t="shared" si="70"/>
        <v>0</v>
      </c>
      <c r="DP7" s="111"/>
      <c r="DQ7" s="794" t="s">
        <v>1944</v>
      </c>
      <c r="DR7" s="73">
        <f t="shared" si="70"/>
        <v>0</v>
      </c>
      <c r="DS7" s="111"/>
      <c r="DT7" s="72" t="s">
        <v>1952</v>
      </c>
      <c r="DU7" s="73">
        <f t="shared" si="70"/>
        <v>0</v>
      </c>
      <c r="DV7" s="111"/>
      <c r="DW7" s="72" t="s">
        <v>1942</v>
      </c>
      <c r="DX7" s="73">
        <f t="shared" si="70"/>
        <v>2</v>
      </c>
      <c r="DY7" s="111"/>
      <c r="DZ7" s="72" t="s">
        <v>1946</v>
      </c>
      <c r="EA7" s="73">
        <f t="shared" si="70"/>
        <v>0</v>
      </c>
      <c r="EB7" s="111"/>
      <c r="EC7" s="72" t="s">
        <v>1946</v>
      </c>
      <c r="ED7" s="73">
        <f t="shared" si="70"/>
        <v>0</v>
      </c>
      <c r="EE7" s="111"/>
      <c r="EF7" s="72" t="s">
        <v>1946</v>
      </c>
      <c r="EG7" s="73">
        <f t="shared" si="70"/>
        <v>0</v>
      </c>
      <c r="EH7" s="111"/>
      <c r="EI7" s="72" t="s">
        <v>1942</v>
      </c>
      <c r="EJ7" s="73">
        <f t="shared" si="70"/>
        <v>2</v>
      </c>
      <c r="EK7" s="111"/>
      <c r="EL7" s="72"/>
      <c r="EM7" s="73">
        <f t="shared" si="70"/>
        <v>0</v>
      </c>
      <c r="EN7" s="111"/>
      <c r="EO7" s="72"/>
      <c r="EP7" s="73">
        <f t="shared" si="70"/>
        <v>0</v>
      </c>
      <c r="EQ7" s="111"/>
      <c r="ER7" s="72"/>
      <c r="ES7" s="73">
        <f t="shared" si="70"/>
        <v>0</v>
      </c>
      <c r="ET7" s="111"/>
      <c r="EU7" s="72"/>
      <c r="EV7" s="73">
        <f t="shared" si="70"/>
        <v>0</v>
      </c>
      <c r="EW7" s="111"/>
      <c r="EX7" s="72"/>
      <c r="EY7" s="73">
        <f t="shared" si="92"/>
        <v>0</v>
      </c>
      <c r="EZ7" s="111"/>
      <c r="FA7" s="72"/>
      <c r="FB7" s="73">
        <f t="shared" si="92"/>
        <v>0</v>
      </c>
      <c r="FC7" s="111"/>
      <c r="FD7" s="72"/>
      <c r="FE7" s="73">
        <f t="shared" si="92"/>
        <v>0</v>
      </c>
      <c r="FF7" s="111"/>
      <c r="FG7" s="72"/>
      <c r="FH7" s="73">
        <f t="shared" si="92"/>
        <v>0</v>
      </c>
      <c r="FI7" s="111"/>
      <c r="FJ7" s="72"/>
      <c r="FK7" s="73">
        <f t="shared" si="92"/>
        <v>0</v>
      </c>
      <c r="FL7" s="111"/>
      <c r="FM7" s="111"/>
    </row>
    <row r="8" spans="1:169">
      <c r="A8" s="49"/>
      <c r="B8" s="49"/>
      <c r="C8" s="437" t="str">
        <f>Idiomas!D304</f>
        <v>FASE DE GRUPOS - Signo 1X2 (local, empate, visitante)</v>
      </c>
      <c r="D8" s="62">
        <v>1</v>
      </c>
      <c r="E8" s="111"/>
      <c r="F8" s="445">
        <f t="shared" si="97"/>
        <v>4</v>
      </c>
      <c r="G8" s="445">
        <f ca="1">VLOOKUP(H8,Equipos!$Q$1:$R$25,2,0)</f>
        <v>2</v>
      </c>
      <c r="H8" s="446">
        <f ca="1">TRUNC(INDEX(WORLDCUP!$X$4:$X$147,MATCH(ADMIN!K8,WORLDCUP!$DT$4:$DT$147,0))+INDEX(Horarios!$R$3:$R$86,MATCH(Horarios!$C$3,Horarios!$P$3:$P$86,0))/24)</f>
        <v>46185</v>
      </c>
      <c r="I8" s="48">
        <v>1</v>
      </c>
      <c r="J8" s="96" t="s">
        <v>113</v>
      </c>
      <c r="K8" s="53" t="str">
        <f ca="1">CONCATENATE(WORLDCUP!AA12,"-",WORLDCUP!AF12)</f>
        <v>Canadá-Bosnia y Herzegovina</v>
      </c>
      <c r="L8" s="53"/>
      <c r="M8" s="55" t="str">
        <f>IF(OR(WORLDCUP!AC12="",WORLDCUP!AD12=""),"-",N8&amp;"|"&amp;O8&amp;"-"&amp;P8)</f>
        <v>X|1-1</v>
      </c>
      <c r="N8" s="25" t="str">
        <f>IF(OR(WORLDCUP!AC12="",WORLDCUP!AD12=""),"",IF(WORLDCUP!AC12&gt;WORLDCUP!AD12,"1",IF(WORLDCUP!AC12&lt;WORLDCUP!AD12,"2","X")))</f>
        <v>X</v>
      </c>
      <c r="O8" s="25">
        <f>WORLDCUP!AC12</f>
        <v>1</v>
      </c>
      <c r="P8" s="25">
        <f>WORLDCUP!AD12</f>
        <v>1</v>
      </c>
      <c r="Q8" s="25">
        <f t="shared" ref="Q8:Q70" si="101">ABS(O8-P8)</f>
        <v>0</v>
      </c>
      <c r="R8" s="49"/>
      <c r="S8" s="74" t="s">
        <v>1944</v>
      </c>
      <c r="T8" s="73">
        <f t="shared" si="98"/>
        <v>2</v>
      </c>
      <c r="U8" s="65"/>
      <c r="V8" s="74" t="s">
        <v>1949</v>
      </c>
      <c r="W8" s="73">
        <f t="shared" si="99"/>
        <v>0</v>
      </c>
      <c r="X8" s="65"/>
      <c r="Y8" s="74" t="s">
        <v>1952</v>
      </c>
      <c r="Z8" s="73">
        <f t="shared" si="100"/>
        <v>0</v>
      </c>
      <c r="AA8" s="65"/>
      <c r="AB8" s="74" t="s">
        <v>1944</v>
      </c>
      <c r="AC8" s="73">
        <f t="shared" si="100"/>
        <v>2</v>
      </c>
      <c r="AD8" s="65"/>
      <c r="AE8" s="74" t="s">
        <v>1948</v>
      </c>
      <c r="AF8" s="73">
        <f t="shared" si="100"/>
        <v>0</v>
      </c>
      <c r="AG8" s="65"/>
      <c r="AH8" s="74" t="s">
        <v>1942</v>
      </c>
      <c r="AI8" s="73">
        <f t="shared" si="100"/>
        <v>0</v>
      </c>
      <c r="AJ8" s="65"/>
      <c r="AK8" s="74" t="s">
        <v>1952</v>
      </c>
      <c r="AL8" s="73">
        <f t="shared" si="100"/>
        <v>0</v>
      </c>
      <c r="AM8" s="65"/>
      <c r="AN8" s="74" t="s">
        <v>1948</v>
      </c>
      <c r="AO8" s="73">
        <f t="shared" si="100"/>
        <v>0</v>
      </c>
      <c r="AP8" s="65"/>
      <c r="AQ8" s="74" t="s">
        <v>1946</v>
      </c>
      <c r="AR8" s="73">
        <f t="shared" si="100"/>
        <v>4</v>
      </c>
      <c r="AS8" s="65"/>
      <c r="AT8" s="74" t="s">
        <v>1944</v>
      </c>
      <c r="AU8" s="73">
        <f t="shared" si="100"/>
        <v>2</v>
      </c>
      <c r="AV8" s="65"/>
      <c r="AW8" s="74" t="s">
        <v>1952</v>
      </c>
      <c r="AX8" s="73">
        <f t="shared" si="100"/>
        <v>0</v>
      </c>
      <c r="AY8" s="65"/>
      <c r="AZ8" s="74" t="s">
        <v>1944</v>
      </c>
      <c r="BA8" s="73">
        <f t="shared" si="100"/>
        <v>2</v>
      </c>
      <c r="BB8" s="65"/>
      <c r="BC8" s="74" t="s">
        <v>1943</v>
      </c>
      <c r="BD8" s="73">
        <f t="shared" si="100"/>
        <v>0</v>
      </c>
      <c r="BE8" s="65"/>
      <c r="BF8" s="74" t="s">
        <v>1954</v>
      </c>
      <c r="BG8" s="73">
        <f t="shared" si="100"/>
        <v>0</v>
      </c>
      <c r="BH8" s="65"/>
      <c r="BI8" s="74" t="s">
        <v>1952</v>
      </c>
      <c r="BJ8" s="73">
        <f t="shared" si="100"/>
        <v>0</v>
      </c>
      <c r="BK8" s="65"/>
      <c r="BL8" s="74" t="s">
        <v>1948</v>
      </c>
      <c r="BM8" s="73">
        <f t="shared" si="100"/>
        <v>0</v>
      </c>
      <c r="BN8" s="65"/>
      <c r="BO8" s="74" t="s">
        <v>1954</v>
      </c>
      <c r="BP8" s="73">
        <f t="shared" si="100"/>
        <v>0</v>
      </c>
      <c r="BQ8" s="65"/>
      <c r="BR8" s="74" t="s">
        <v>1946</v>
      </c>
      <c r="BS8" s="73">
        <f t="shared" si="100"/>
        <v>4</v>
      </c>
      <c r="BT8" s="65"/>
      <c r="BU8" s="74" t="s">
        <v>1960</v>
      </c>
      <c r="BV8" s="73">
        <f t="shared" si="100"/>
        <v>0</v>
      </c>
      <c r="BW8" s="65"/>
      <c r="BX8" s="74" t="s">
        <v>1942</v>
      </c>
      <c r="BY8" s="73">
        <f t="shared" si="100"/>
        <v>0</v>
      </c>
      <c r="BZ8" s="65"/>
      <c r="CA8" s="74" t="s">
        <v>1942</v>
      </c>
      <c r="CB8" s="73">
        <f t="shared" si="100"/>
        <v>0</v>
      </c>
      <c r="CC8" s="65"/>
      <c r="CD8" s="74" t="s">
        <v>1946</v>
      </c>
      <c r="CE8" s="73">
        <f t="shared" si="100"/>
        <v>4</v>
      </c>
      <c r="CF8" s="65"/>
      <c r="CG8" s="74" t="s">
        <v>1948</v>
      </c>
      <c r="CH8" s="73">
        <f t="shared" si="100"/>
        <v>0</v>
      </c>
      <c r="CI8" s="65"/>
      <c r="CJ8" s="74" t="s">
        <v>1954</v>
      </c>
      <c r="CK8" s="73">
        <f t="shared" si="70"/>
        <v>0</v>
      </c>
      <c r="CL8" s="65"/>
      <c r="CM8" s="74" t="s">
        <v>1942</v>
      </c>
      <c r="CN8" s="73">
        <f t="shared" si="70"/>
        <v>0</v>
      </c>
      <c r="CO8" s="65"/>
      <c r="CP8" s="74" t="s">
        <v>1943</v>
      </c>
      <c r="CQ8" s="73">
        <f t="shared" si="70"/>
        <v>0</v>
      </c>
      <c r="CR8" s="65"/>
      <c r="CS8" s="74" t="s">
        <v>1946</v>
      </c>
      <c r="CT8" s="73">
        <f t="shared" si="70"/>
        <v>4</v>
      </c>
      <c r="CU8" s="65"/>
      <c r="CV8" s="74" t="s">
        <v>1944</v>
      </c>
      <c r="CW8" s="73">
        <f t="shared" si="70"/>
        <v>2</v>
      </c>
      <c r="CX8" s="65"/>
      <c r="CY8" s="74" t="s">
        <v>1952</v>
      </c>
      <c r="CZ8" s="73">
        <f t="shared" si="70"/>
        <v>0</v>
      </c>
      <c r="DA8" s="65"/>
      <c r="DB8" s="74" t="s">
        <v>1942</v>
      </c>
      <c r="DC8" s="73">
        <f t="shared" si="70"/>
        <v>0</v>
      </c>
      <c r="DD8" s="65"/>
      <c r="DE8" s="74" t="s">
        <v>1942</v>
      </c>
      <c r="DF8" s="73">
        <f t="shared" si="70"/>
        <v>0</v>
      </c>
      <c r="DG8" s="65"/>
      <c r="DH8" s="74" t="s">
        <v>1952</v>
      </c>
      <c r="DI8" s="73">
        <f t="shared" si="70"/>
        <v>0</v>
      </c>
      <c r="DJ8" s="65"/>
      <c r="DK8" s="74" t="s">
        <v>1960</v>
      </c>
      <c r="DL8" s="73">
        <f t="shared" si="70"/>
        <v>0</v>
      </c>
      <c r="DM8" s="65"/>
      <c r="DN8" s="794" t="s">
        <v>1949</v>
      </c>
      <c r="DO8" s="73">
        <f t="shared" si="70"/>
        <v>0</v>
      </c>
      <c r="DP8" s="65"/>
      <c r="DQ8" s="794" t="s">
        <v>1948</v>
      </c>
      <c r="DR8" s="73">
        <f t="shared" si="70"/>
        <v>0</v>
      </c>
      <c r="DS8" s="65"/>
      <c r="DT8" s="74" t="s">
        <v>1948</v>
      </c>
      <c r="DU8" s="73">
        <f t="shared" si="70"/>
        <v>0</v>
      </c>
      <c r="DV8" s="65"/>
      <c r="DW8" s="74" t="s">
        <v>1957</v>
      </c>
      <c r="DX8" s="73">
        <f t="shared" si="70"/>
        <v>2</v>
      </c>
      <c r="DY8" s="65"/>
      <c r="DZ8" s="74" t="s">
        <v>1942</v>
      </c>
      <c r="EA8" s="73">
        <f t="shared" si="70"/>
        <v>0</v>
      </c>
      <c r="EB8" s="65"/>
      <c r="EC8" s="74" t="s">
        <v>1944</v>
      </c>
      <c r="ED8" s="73">
        <f t="shared" si="70"/>
        <v>2</v>
      </c>
      <c r="EE8" s="65"/>
      <c r="EF8" s="74" t="s">
        <v>1948</v>
      </c>
      <c r="EG8" s="73">
        <f t="shared" si="70"/>
        <v>0</v>
      </c>
      <c r="EH8" s="65"/>
      <c r="EI8" s="74" t="s">
        <v>1946</v>
      </c>
      <c r="EJ8" s="73">
        <f t="shared" si="70"/>
        <v>4</v>
      </c>
      <c r="EK8" s="65"/>
      <c r="EL8" s="74"/>
      <c r="EM8" s="73">
        <f t="shared" si="70"/>
        <v>0</v>
      </c>
      <c r="EN8" s="65"/>
      <c r="EO8" s="74"/>
      <c r="EP8" s="73">
        <f t="shared" si="70"/>
        <v>0</v>
      </c>
      <c r="EQ8" s="65"/>
      <c r="ER8" s="74"/>
      <c r="ES8" s="73">
        <f t="shared" si="70"/>
        <v>0</v>
      </c>
      <c r="ET8" s="65"/>
      <c r="EU8" s="74"/>
      <c r="EV8" s="73">
        <f t="shared" si="70"/>
        <v>0</v>
      </c>
      <c r="EW8" s="65"/>
      <c r="EX8" s="74"/>
      <c r="EY8" s="73">
        <f t="shared" si="92"/>
        <v>0</v>
      </c>
      <c r="EZ8" s="65"/>
      <c r="FA8" s="74"/>
      <c r="FB8" s="73">
        <f t="shared" si="92"/>
        <v>0</v>
      </c>
      <c r="FC8" s="65"/>
      <c r="FD8" s="74"/>
      <c r="FE8" s="73">
        <f t="shared" si="92"/>
        <v>0</v>
      </c>
      <c r="FF8" s="65"/>
      <c r="FG8" s="74"/>
      <c r="FH8" s="73">
        <f t="shared" si="92"/>
        <v>0</v>
      </c>
      <c r="FI8" s="65"/>
      <c r="FJ8" s="74"/>
      <c r="FK8" s="73">
        <f t="shared" si="92"/>
        <v>0</v>
      </c>
      <c r="FL8" s="65"/>
      <c r="FM8" s="65"/>
    </row>
    <row r="9" spans="1:169">
      <c r="A9" s="49"/>
      <c r="B9" s="49"/>
      <c r="C9" s="438" t="str">
        <f>Idiomas!D305&amp;"**"</f>
        <v>FASE DE GRUPOS - Diferencia/Distancia de goles (Con 1X2 acertado)**</v>
      </c>
      <c r="D9" s="44">
        <v>1</v>
      </c>
      <c r="E9" s="111"/>
      <c r="F9" s="445">
        <f t="shared" si="97"/>
        <v>4</v>
      </c>
      <c r="G9" s="445">
        <f ca="1">VLOOKUP(H9,Equipos!$Q$1:$R$25,2,0)</f>
        <v>3</v>
      </c>
      <c r="H9" s="446">
        <f ca="1">TRUNC(INDEX(WORLDCUP!$X$4:$X$147,MATCH(ADMIN!K9,WORLDCUP!$DT$4:$DT$147,0))+INDEX(Horarios!$R$3:$R$86,MATCH(Horarios!$C$3,Horarios!$P$3:$P$86,0))/24)</f>
        <v>46186</v>
      </c>
      <c r="I9" s="48">
        <v>1</v>
      </c>
      <c r="J9" s="96" t="s">
        <v>113</v>
      </c>
      <c r="K9" s="53" t="str">
        <f ca="1">CONCATENATE(WORLDCUP!AA13,"-",WORLDCUP!AF13)</f>
        <v>Catar-Suiza</v>
      </c>
      <c r="L9" s="53"/>
      <c r="M9" s="55" t="str">
        <f>IF(OR(WORLDCUP!AC13="",WORLDCUP!AD13=""),"-",N9&amp;"|"&amp;O9&amp;"-"&amp;P9)</f>
        <v>X|1-1</v>
      </c>
      <c r="N9" s="25" t="str">
        <f>IF(OR(WORLDCUP!AC13="",WORLDCUP!AD13=""),"",IF(WORLDCUP!AC13&gt;WORLDCUP!AD13,"1",IF(WORLDCUP!AC13&lt;WORLDCUP!AD13,"2","X")))</f>
        <v>X</v>
      </c>
      <c r="O9" s="25">
        <f>WORLDCUP!AC13</f>
        <v>1</v>
      </c>
      <c r="P9" s="25">
        <f>WORLDCUP!AD13</f>
        <v>1</v>
      </c>
      <c r="Q9" s="25">
        <f t="shared" si="101"/>
        <v>0</v>
      </c>
      <c r="R9" s="49"/>
      <c r="S9" s="75" t="s">
        <v>1945</v>
      </c>
      <c r="T9" s="73">
        <f t="shared" si="98"/>
        <v>0</v>
      </c>
      <c r="U9" s="65"/>
      <c r="V9" s="75" t="s">
        <v>1945</v>
      </c>
      <c r="W9" s="73">
        <f t="shared" si="99"/>
        <v>0</v>
      </c>
      <c r="X9" s="65"/>
      <c r="Y9" s="75" t="s">
        <v>1947</v>
      </c>
      <c r="Z9" s="73">
        <f t="shared" si="100"/>
        <v>0</v>
      </c>
      <c r="AA9" s="65"/>
      <c r="AB9" s="75" t="s">
        <v>1952</v>
      </c>
      <c r="AC9" s="73">
        <f t="shared" si="100"/>
        <v>0</v>
      </c>
      <c r="AD9" s="65"/>
      <c r="AE9" s="75" t="s">
        <v>1949</v>
      </c>
      <c r="AF9" s="73">
        <f t="shared" si="100"/>
        <v>0</v>
      </c>
      <c r="AG9" s="65"/>
      <c r="AH9" s="75" t="s">
        <v>1949</v>
      </c>
      <c r="AI9" s="73">
        <f t="shared" si="100"/>
        <v>0</v>
      </c>
      <c r="AJ9" s="65"/>
      <c r="AK9" s="75" t="s">
        <v>1947</v>
      </c>
      <c r="AL9" s="73">
        <f t="shared" si="100"/>
        <v>0</v>
      </c>
      <c r="AM9" s="65"/>
      <c r="AN9" s="75" t="s">
        <v>1947</v>
      </c>
      <c r="AO9" s="73">
        <f t="shared" si="100"/>
        <v>0</v>
      </c>
      <c r="AP9" s="65"/>
      <c r="AQ9" s="75" t="s">
        <v>1949</v>
      </c>
      <c r="AR9" s="73">
        <f t="shared" si="100"/>
        <v>0</v>
      </c>
      <c r="AS9" s="65"/>
      <c r="AT9" s="75" t="s">
        <v>1949</v>
      </c>
      <c r="AU9" s="73">
        <f t="shared" si="100"/>
        <v>0</v>
      </c>
      <c r="AV9" s="65"/>
      <c r="AW9" s="75" t="s">
        <v>1949</v>
      </c>
      <c r="AX9" s="73">
        <f t="shared" si="100"/>
        <v>0</v>
      </c>
      <c r="AY9" s="65"/>
      <c r="AZ9" s="75" t="s">
        <v>1947</v>
      </c>
      <c r="BA9" s="73">
        <f t="shared" si="100"/>
        <v>0</v>
      </c>
      <c r="BB9" s="65"/>
      <c r="BC9" s="75" t="s">
        <v>1952</v>
      </c>
      <c r="BD9" s="73">
        <f t="shared" si="100"/>
        <v>0</v>
      </c>
      <c r="BE9" s="65"/>
      <c r="BF9" s="75" t="s">
        <v>1949</v>
      </c>
      <c r="BG9" s="73">
        <f t="shared" si="100"/>
        <v>0</v>
      </c>
      <c r="BH9" s="65"/>
      <c r="BI9" s="75" t="s">
        <v>1947</v>
      </c>
      <c r="BJ9" s="73">
        <f t="shared" si="100"/>
        <v>0</v>
      </c>
      <c r="BK9" s="65"/>
      <c r="BL9" s="75" t="s">
        <v>1952</v>
      </c>
      <c r="BM9" s="73">
        <f t="shared" si="100"/>
        <v>0</v>
      </c>
      <c r="BN9" s="65"/>
      <c r="BO9" s="75" t="s">
        <v>1949</v>
      </c>
      <c r="BP9" s="73">
        <f t="shared" si="100"/>
        <v>0</v>
      </c>
      <c r="BQ9" s="65"/>
      <c r="BR9" s="75" t="s">
        <v>1949</v>
      </c>
      <c r="BS9" s="73">
        <f t="shared" si="100"/>
        <v>0</v>
      </c>
      <c r="BT9" s="65"/>
      <c r="BU9" s="75" t="s">
        <v>1947</v>
      </c>
      <c r="BV9" s="73">
        <f t="shared" si="100"/>
        <v>0</v>
      </c>
      <c r="BW9" s="65"/>
      <c r="BX9" s="75" t="s">
        <v>1947</v>
      </c>
      <c r="BY9" s="73">
        <f t="shared" si="100"/>
        <v>0</v>
      </c>
      <c r="BZ9" s="65"/>
      <c r="CA9" s="75" t="s">
        <v>1949</v>
      </c>
      <c r="CB9" s="73">
        <f t="shared" si="100"/>
        <v>0</v>
      </c>
      <c r="CC9" s="65"/>
      <c r="CD9" s="75" t="s">
        <v>1947</v>
      </c>
      <c r="CE9" s="73">
        <f t="shared" si="100"/>
        <v>0</v>
      </c>
      <c r="CF9" s="65"/>
      <c r="CG9" s="75" t="s">
        <v>1949</v>
      </c>
      <c r="CH9" s="73">
        <f t="shared" si="100"/>
        <v>0</v>
      </c>
      <c r="CI9" s="65"/>
      <c r="CJ9" s="75" t="s">
        <v>1952</v>
      </c>
      <c r="CK9" s="73">
        <f t="shared" si="70"/>
        <v>0</v>
      </c>
      <c r="CL9" s="65"/>
      <c r="CM9" s="75" t="s">
        <v>1949</v>
      </c>
      <c r="CN9" s="73">
        <f t="shared" si="70"/>
        <v>0</v>
      </c>
      <c r="CO9" s="65"/>
      <c r="CP9" s="75" t="s">
        <v>1949</v>
      </c>
      <c r="CQ9" s="73">
        <f t="shared" si="70"/>
        <v>0</v>
      </c>
      <c r="CR9" s="65"/>
      <c r="CS9" s="75" t="s">
        <v>1949</v>
      </c>
      <c r="CT9" s="73">
        <f t="shared" si="70"/>
        <v>0</v>
      </c>
      <c r="CU9" s="65"/>
      <c r="CV9" s="75" t="s">
        <v>1947</v>
      </c>
      <c r="CW9" s="73">
        <f t="shared" si="70"/>
        <v>0</v>
      </c>
      <c r="CX9" s="65"/>
      <c r="CY9" s="75" t="s">
        <v>1949</v>
      </c>
      <c r="CZ9" s="73">
        <f t="shared" si="70"/>
        <v>0</v>
      </c>
      <c r="DA9" s="65"/>
      <c r="DB9" s="75" t="s">
        <v>1949</v>
      </c>
      <c r="DC9" s="73">
        <f t="shared" si="70"/>
        <v>0</v>
      </c>
      <c r="DD9" s="65"/>
      <c r="DE9" s="75" t="s">
        <v>1947</v>
      </c>
      <c r="DF9" s="73">
        <f t="shared" si="70"/>
        <v>0</v>
      </c>
      <c r="DG9" s="65"/>
      <c r="DH9" s="75" t="s">
        <v>1949</v>
      </c>
      <c r="DI9" s="73">
        <f t="shared" si="70"/>
        <v>0</v>
      </c>
      <c r="DJ9" s="65"/>
      <c r="DK9" s="75" t="s">
        <v>1949</v>
      </c>
      <c r="DL9" s="73">
        <f t="shared" si="70"/>
        <v>0</v>
      </c>
      <c r="DM9" s="65"/>
      <c r="DN9" s="795" t="s">
        <v>1945</v>
      </c>
      <c r="DO9" s="73">
        <f t="shared" si="70"/>
        <v>0</v>
      </c>
      <c r="DP9" s="65"/>
      <c r="DQ9" s="795" t="s">
        <v>1949</v>
      </c>
      <c r="DR9" s="73">
        <f t="shared" si="70"/>
        <v>0</v>
      </c>
      <c r="DS9" s="65"/>
      <c r="DT9" s="75" t="s">
        <v>1945</v>
      </c>
      <c r="DU9" s="73">
        <f t="shared" si="70"/>
        <v>0</v>
      </c>
      <c r="DV9" s="65"/>
      <c r="DW9" s="75" t="s">
        <v>1949</v>
      </c>
      <c r="DX9" s="73">
        <f t="shared" si="70"/>
        <v>0</v>
      </c>
      <c r="DY9" s="65"/>
      <c r="DZ9" s="75" t="s">
        <v>1949</v>
      </c>
      <c r="EA9" s="73">
        <f t="shared" si="70"/>
        <v>0</v>
      </c>
      <c r="EB9" s="65"/>
      <c r="EC9" s="75" t="s">
        <v>1949</v>
      </c>
      <c r="ED9" s="73">
        <f t="shared" si="70"/>
        <v>0</v>
      </c>
      <c r="EE9" s="65"/>
      <c r="EF9" s="75" t="s">
        <v>1952</v>
      </c>
      <c r="EG9" s="73">
        <f t="shared" si="70"/>
        <v>0</v>
      </c>
      <c r="EH9" s="65"/>
      <c r="EI9" s="75" t="s">
        <v>1947</v>
      </c>
      <c r="EJ9" s="73">
        <f t="shared" si="70"/>
        <v>0</v>
      </c>
      <c r="EK9" s="65"/>
      <c r="EL9" s="75"/>
      <c r="EM9" s="73">
        <f t="shared" si="70"/>
        <v>0</v>
      </c>
      <c r="EN9" s="65"/>
      <c r="EO9" s="75"/>
      <c r="EP9" s="73">
        <f t="shared" si="70"/>
        <v>0</v>
      </c>
      <c r="EQ9" s="65"/>
      <c r="ER9" s="75"/>
      <c r="ES9" s="73">
        <f t="shared" si="70"/>
        <v>0</v>
      </c>
      <c r="ET9" s="65"/>
      <c r="EU9" s="75"/>
      <c r="EV9" s="73">
        <f t="shared" si="70"/>
        <v>0</v>
      </c>
      <c r="EW9" s="65"/>
      <c r="EX9" s="75"/>
      <c r="EY9" s="73">
        <f t="shared" si="92"/>
        <v>0</v>
      </c>
      <c r="EZ9" s="65"/>
      <c r="FA9" s="75"/>
      <c r="FB9" s="73">
        <f t="shared" si="92"/>
        <v>0</v>
      </c>
      <c r="FC9" s="65"/>
      <c r="FD9" s="75"/>
      <c r="FE9" s="73">
        <f t="shared" si="92"/>
        <v>0</v>
      </c>
      <c r="FF9" s="65"/>
      <c r="FG9" s="75"/>
      <c r="FH9" s="73">
        <f t="shared" si="92"/>
        <v>0</v>
      </c>
      <c r="FI9" s="65"/>
      <c r="FJ9" s="75"/>
      <c r="FK9" s="73">
        <f t="shared" si="92"/>
        <v>0</v>
      </c>
      <c r="FL9" s="65"/>
      <c r="FM9" s="65"/>
    </row>
    <row r="10" spans="1:169">
      <c r="A10" s="49"/>
      <c r="B10" s="49"/>
      <c r="C10" s="437" t="str">
        <f>Idiomas!D306</f>
        <v>FASE DE GRUPOS - Resultado exacto</v>
      </c>
      <c r="D10" s="62">
        <v>2</v>
      </c>
      <c r="E10" s="111"/>
      <c r="F10" s="445">
        <f t="shared" si="97"/>
        <v>4</v>
      </c>
      <c r="G10" s="445">
        <f ca="1">VLOOKUP(H10,Equipos!$Q$1:$R$25,2,0)</f>
        <v>4</v>
      </c>
      <c r="H10" s="446">
        <f ca="1">TRUNC(INDEX(WORLDCUP!$X$4:$X$147,MATCH(ADMIN!K10,WORLDCUP!$DT$4:$DT$147,0))+INDEX(Horarios!$R$3:$R$86,MATCH(Horarios!$C$3,Horarios!$P$3:$P$86,0))/24)</f>
        <v>46187</v>
      </c>
      <c r="I10" s="48">
        <v>1</v>
      </c>
      <c r="J10" s="95" t="s">
        <v>114</v>
      </c>
      <c r="K10" s="56" t="str">
        <f ca="1">CONCATENATE(WORLDCUP!AA20,"-",WORLDCUP!AF20)</f>
        <v>Brasil-Marruecos</v>
      </c>
      <c r="L10" s="53"/>
      <c r="M10" s="55" t="str">
        <f>IF(OR(WORLDCUP!AC20="",WORLDCUP!AD20=""),"-",N10&amp;"|"&amp;O10&amp;"-"&amp;P10)</f>
        <v>X|1-1</v>
      </c>
      <c r="N10" s="25" t="str">
        <f>IF(OR(WORLDCUP!AC20="",WORLDCUP!AD20=""),"",IF(WORLDCUP!AC20&gt;WORLDCUP!AD20,"1",IF(WORLDCUP!AC20&lt;WORLDCUP!AD20,"2","X")))</f>
        <v>X</v>
      </c>
      <c r="O10" s="25">
        <f>WORLDCUP!AC20</f>
        <v>1</v>
      </c>
      <c r="P10" s="25">
        <f>WORLDCUP!AD20</f>
        <v>1</v>
      </c>
      <c r="Q10" s="25">
        <f t="shared" si="101"/>
        <v>0</v>
      </c>
      <c r="R10" s="49"/>
      <c r="S10" s="74" t="s">
        <v>1946</v>
      </c>
      <c r="T10" s="73">
        <f t="shared" si="98"/>
        <v>4</v>
      </c>
      <c r="U10" s="65"/>
      <c r="V10" s="74" t="s">
        <v>1942</v>
      </c>
      <c r="W10" s="73">
        <f t="shared" si="99"/>
        <v>0</v>
      </c>
      <c r="X10" s="65"/>
      <c r="Y10" s="74" t="s">
        <v>1948</v>
      </c>
      <c r="Z10" s="73">
        <f t="shared" si="100"/>
        <v>0</v>
      </c>
      <c r="AA10" s="65"/>
      <c r="AB10" s="74" t="s">
        <v>1954</v>
      </c>
      <c r="AC10" s="73">
        <f t="shared" si="100"/>
        <v>0</v>
      </c>
      <c r="AD10" s="65"/>
      <c r="AE10" s="74" t="s">
        <v>1942</v>
      </c>
      <c r="AF10" s="73">
        <f t="shared" si="100"/>
        <v>0</v>
      </c>
      <c r="AG10" s="65"/>
      <c r="AH10" s="74" t="s">
        <v>1944</v>
      </c>
      <c r="AI10" s="73">
        <f t="shared" si="100"/>
        <v>2</v>
      </c>
      <c r="AJ10" s="65"/>
      <c r="AK10" s="74" t="s">
        <v>1948</v>
      </c>
      <c r="AL10" s="73">
        <f t="shared" si="100"/>
        <v>0</v>
      </c>
      <c r="AM10" s="65"/>
      <c r="AN10" s="74" t="s">
        <v>1946</v>
      </c>
      <c r="AO10" s="73">
        <f t="shared" si="100"/>
        <v>4</v>
      </c>
      <c r="AP10" s="65"/>
      <c r="AQ10" s="74" t="s">
        <v>1948</v>
      </c>
      <c r="AR10" s="73">
        <f t="shared" si="100"/>
        <v>0</v>
      </c>
      <c r="AS10" s="65"/>
      <c r="AT10" s="74" t="s">
        <v>1948</v>
      </c>
      <c r="AU10" s="73">
        <f t="shared" si="100"/>
        <v>0</v>
      </c>
      <c r="AV10" s="65"/>
      <c r="AW10" s="74" t="s">
        <v>1944</v>
      </c>
      <c r="AX10" s="73">
        <f t="shared" si="100"/>
        <v>2</v>
      </c>
      <c r="AY10" s="65"/>
      <c r="AZ10" s="74" t="s">
        <v>1948</v>
      </c>
      <c r="BA10" s="73">
        <f t="shared" si="100"/>
        <v>0</v>
      </c>
      <c r="BB10" s="65"/>
      <c r="BC10" s="74" t="s">
        <v>2311</v>
      </c>
      <c r="BD10" s="73">
        <f t="shared" si="100"/>
        <v>0</v>
      </c>
      <c r="BE10" s="65"/>
      <c r="BF10" s="74" t="s">
        <v>1948</v>
      </c>
      <c r="BG10" s="73">
        <f t="shared" si="100"/>
        <v>0</v>
      </c>
      <c r="BH10" s="65"/>
      <c r="BI10" s="74" t="s">
        <v>1948</v>
      </c>
      <c r="BJ10" s="73">
        <f t="shared" si="100"/>
        <v>0</v>
      </c>
      <c r="BK10" s="65"/>
      <c r="BL10" s="74" t="s">
        <v>1948</v>
      </c>
      <c r="BM10" s="73">
        <f t="shared" si="100"/>
        <v>0</v>
      </c>
      <c r="BN10" s="65"/>
      <c r="BO10" s="74" t="s">
        <v>1946</v>
      </c>
      <c r="BP10" s="73">
        <f t="shared" si="100"/>
        <v>4</v>
      </c>
      <c r="BQ10" s="65"/>
      <c r="BR10" s="74" t="s">
        <v>1948</v>
      </c>
      <c r="BS10" s="73">
        <f t="shared" si="100"/>
        <v>0</v>
      </c>
      <c r="BT10" s="65"/>
      <c r="BU10" s="74" t="s">
        <v>1943</v>
      </c>
      <c r="BV10" s="73">
        <f t="shared" si="100"/>
        <v>0</v>
      </c>
      <c r="BW10" s="65"/>
      <c r="BX10" s="74" t="s">
        <v>1956</v>
      </c>
      <c r="BY10" s="73">
        <f t="shared" si="100"/>
        <v>0</v>
      </c>
      <c r="BZ10" s="65"/>
      <c r="CA10" s="74" t="s">
        <v>1956</v>
      </c>
      <c r="CB10" s="73">
        <f t="shared" si="100"/>
        <v>0</v>
      </c>
      <c r="CC10" s="65"/>
      <c r="CD10" s="74" t="s">
        <v>1946</v>
      </c>
      <c r="CE10" s="73">
        <f t="shared" si="100"/>
        <v>4</v>
      </c>
      <c r="CF10" s="65"/>
      <c r="CG10" s="74" t="s">
        <v>1948</v>
      </c>
      <c r="CH10" s="73">
        <f t="shared" si="100"/>
        <v>0</v>
      </c>
      <c r="CI10" s="65"/>
      <c r="CJ10" s="74" t="s">
        <v>1956</v>
      </c>
      <c r="CK10" s="73">
        <f t="shared" si="70"/>
        <v>0</v>
      </c>
      <c r="CL10" s="65"/>
      <c r="CM10" s="74" t="s">
        <v>1944</v>
      </c>
      <c r="CN10" s="73">
        <f t="shared" si="70"/>
        <v>2</v>
      </c>
      <c r="CO10" s="65"/>
      <c r="CP10" s="74" t="s">
        <v>1948</v>
      </c>
      <c r="CQ10" s="73">
        <f t="shared" si="70"/>
        <v>0</v>
      </c>
      <c r="CR10" s="65"/>
      <c r="CS10" s="74" t="s">
        <v>1948</v>
      </c>
      <c r="CT10" s="73">
        <f t="shared" si="70"/>
        <v>0</v>
      </c>
      <c r="CU10" s="65"/>
      <c r="CV10" s="74" t="s">
        <v>1946</v>
      </c>
      <c r="CW10" s="73">
        <f t="shared" si="70"/>
        <v>4</v>
      </c>
      <c r="CX10" s="65"/>
      <c r="CY10" s="74" t="s">
        <v>1942</v>
      </c>
      <c r="CZ10" s="73">
        <f t="shared" si="70"/>
        <v>0</v>
      </c>
      <c r="DA10" s="65"/>
      <c r="DB10" s="74" t="s">
        <v>1948</v>
      </c>
      <c r="DC10" s="73">
        <f t="shared" si="70"/>
        <v>0</v>
      </c>
      <c r="DD10" s="65"/>
      <c r="DE10" s="74" t="s">
        <v>1948</v>
      </c>
      <c r="DF10" s="73">
        <f t="shared" si="70"/>
        <v>0</v>
      </c>
      <c r="DG10" s="65"/>
      <c r="DH10" s="74" t="s">
        <v>1954</v>
      </c>
      <c r="DI10" s="73">
        <f t="shared" si="70"/>
        <v>0</v>
      </c>
      <c r="DJ10" s="65"/>
      <c r="DK10" s="74" t="s">
        <v>1945</v>
      </c>
      <c r="DL10" s="73">
        <f t="shared" si="70"/>
        <v>0</v>
      </c>
      <c r="DM10" s="65"/>
      <c r="DN10" s="795" t="s">
        <v>1948</v>
      </c>
      <c r="DO10" s="73">
        <f t="shared" si="70"/>
        <v>0</v>
      </c>
      <c r="DP10" s="65"/>
      <c r="DQ10" s="795" t="s">
        <v>1952</v>
      </c>
      <c r="DR10" s="73">
        <f t="shared" si="70"/>
        <v>0</v>
      </c>
      <c r="DS10" s="65"/>
      <c r="DT10" s="74" t="s">
        <v>1952</v>
      </c>
      <c r="DU10" s="73">
        <f t="shared" si="70"/>
        <v>0</v>
      </c>
      <c r="DV10" s="65"/>
      <c r="DW10" s="74" t="s">
        <v>1944</v>
      </c>
      <c r="DX10" s="73">
        <f t="shared" si="70"/>
        <v>2</v>
      </c>
      <c r="DY10" s="65"/>
      <c r="DZ10" s="74" t="s">
        <v>1948</v>
      </c>
      <c r="EA10" s="73">
        <f t="shared" si="70"/>
        <v>0</v>
      </c>
      <c r="EB10" s="65"/>
      <c r="EC10" s="74" t="s">
        <v>1948</v>
      </c>
      <c r="ED10" s="73">
        <f t="shared" si="70"/>
        <v>0</v>
      </c>
      <c r="EE10" s="65"/>
      <c r="EF10" s="74" t="s">
        <v>1942</v>
      </c>
      <c r="EG10" s="73">
        <f t="shared" si="70"/>
        <v>0</v>
      </c>
      <c r="EH10" s="65"/>
      <c r="EI10" s="74" t="s">
        <v>1946</v>
      </c>
      <c r="EJ10" s="73">
        <f t="shared" si="70"/>
        <v>4</v>
      </c>
      <c r="EK10" s="65"/>
      <c r="EL10" s="74"/>
      <c r="EM10" s="73">
        <f t="shared" si="70"/>
        <v>0</v>
      </c>
      <c r="EN10" s="65"/>
      <c r="EO10" s="74"/>
      <c r="EP10" s="73">
        <f t="shared" si="70"/>
        <v>0</v>
      </c>
      <c r="EQ10" s="65"/>
      <c r="ER10" s="74"/>
      <c r="ES10" s="73">
        <f t="shared" si="70"/>
        <v>0</v>
      </c>
      <c r="ET10" s="65"/>
      <c r="EU10" s="74"/>
      <c r="EV10" s="73">
        <f t="shared" si="70"/>
        <v>0</v>
      </c>
      <c r="EW10" s="65"/>
      <c r="EX10" s="74"/>
      <c r="EY10" s="73">
        <f t="shared" si="92"/>
        <v>0</v>
      </c>
      <c r="EZ10" s="65"/>
      <c r="FA10" s="74"/>
      <c r="FB10" s="73">
        <f t="shared" si="92"/>
        <v>0</v>
      </c>
      <c r="FC10" s="65"/>
      <c r="FD10" s="74"/>
      <c r="FE10" s="73">
        <f t="shared" si="92"/>
        <v>0</v>
      </c>
      <c r="FF10" s="65"/>
      <c r="FG10" s="74"/>
      <c r="FH10" s="73">
        <f t="shared" si="92"/>
        <v>0</v>
      </c>
      <c r="FI10" s="65"/>
      <c r="FJ10" s="74"/>
      <c r="FK10" s="73">
        <f t="shared" si="92"/>
        <v>0</v>
      </c>
      <c r="FL10" s="65"/>
      <c r="FM10" s="65"/>
    </row>
    <row r="11" spans="1:169">
      <c r="A11" s="49"/>
      <c r="B11" s="49"/>
      <c r="C11" s="438" t="str">
        <f>Idiomas!D307</f>
        <v>FASE DE GRUPOS - Posición exacta (1º)</v>
      </c>
      <c r="D11" s="44">
        <v>2</v>
      </c>
      <c r="E11" s="111"/>
      <c r="F11" s="445">
        <f t="shared" si="97"/>
        <v>4</v>
      </c>
      <c r="G11" s="445">
        <f ca="1">VLOOKUP(H11,Equipos!$Q$1:$R$25,2,0)</f>
        <v>4</v>
      </c>
      <c r="H11" s="446">
        <f ca="1">TRUNC(INDEX(WORLDCUP!$X$4:$X$147,MATCH(ADMIN!K11,WORLDCUP!$DT$4:$DT$147,0))+INDEX(Horarios!$R$3:$R$86,MATCH(Horarios!$C$3,Horarios!$P$3:$P$86,0))/24)</f>
        <v>46187</v>
      </c>
      <c r="I11" s="48">
        <v>1</v>
      </c>
      <c r="J11" s="95" t="s">
        <v>114</v>
      </c>
      <c r="K11" s="53" t="str">
        <f ca="1">CONCATENATE(WORLDCUP!AA21,"-",WORLDCUP!AF21)</f>
        <v>Haití-Escocia</v>
      </c>
      <c r="L11" s="53"/>
      <c r="M11" s="55" t="str">
        <f>IF(OR(WORLDCUP!AC21="",WORLDCUP!AD21=""),"-",N11&amp;"|"&amp;O11&amp;"-"&amp;P11)</f>
        <v>2|0-1</v>
      </c>
      <c r="N11" s="25" t="str">
        <f>IF(OR(WORLDCUP!AC21="",WORLDCUP!AD21=""),"",IF(WORLDCUP!AC21&gt;WORLDCUP!AD21,"1",IF(WORLDCUP!AC21&lt;WORLDCUP!AD21,"2","X")))</f>
        <v>2</v>
      </c>
      <c r="O11" s="25">
        <f>WORLDCUP!AC21</f>
        <v>0</v>
      </c>
      <c r="P11" s="25">
        <f>WORLDCUP!AD21</f>
        <v>1</v>
      </c>
      <c r="Q11" s="25">
        <f t="shared" si="101"/>
        <v>1</v>
      </c>
      <c r="R11" s="49"/>
      <c r="S11" s="74" t="s">
        <v>1947</v>
      </c>
      <c r="T11" s="73">
        <f t="shared" si="98"/>
        <v>1</v>
      </c>
      <c r="U11" s="65"/>
      <c r="V11" s="74" t="s">
        <v>1955</v>
      </c>
      <c r="W11" s="73">
        <f t="shared" si="99"/>
        <v>1</v>
      </c>
      <c r="X11" s="65"/>
      <c r="Y11" s="74" t="s">
        <v>1961</v>
      </c>
      <c r="Z11" s="73">
        <f t="shared" si="100"/>
        <v>1</v>
      </c>
      <c r="AA11" s="65"/>
      <c r="AB11" s="74" t="s">
        <v>1960</v>
      </c>
      <c r="AC11" s="73">
        <f t="shared" si="100"/>
        <v>4</v>
      </c>
      <c r="AD11" s="65"/>
      <c r="AE11" s="74" t="s">
        <v>1952</v>
      </c>
      <c r="AF11" s="73">
        <f t="shared" si="100"/>
        <v>2</v>
      </c>
      <c r="AG11" s="65"/>
      <c r="AH11" s="74" t="s">
        <v>1960</v>
      </c>
      <c r="AI11" s="73">
        <f t="shared" si="100"/>
        <v>4</v>
      </c>
      <c r="AJ11" s="65"/>
      <c r="AK11" s="74" t="s">
        <v>1947</v>
      </c>
      <c r="AL11" s="73">
        <f t="shared" si="100"/>
        <v>1</v>
      </c>
      <c r="AM11" s="65"/>
      <c r="AN11" s="74" t="s">
        <v>1945</v>
      </c>
      <c r="AO11" s="73">
        <f t="shared" si="100"/>
        <v>1</v>
      </c>
      <c r="AP11" s="65"/>
      <c r="AQ11" s="74" t="s">
        <v>1947</v>
      </c>
      <c r="AR11" s="73">
        <f t="shared" si="100"/>
        <v>1</v>
      </c>
      <c r="AS11" s="65"/>
      <c r="AT11" s="74" t="s">
        <v>1949</v>
      </c>
      <c r="AU11" s="73">
        <f t="shared" si="100"/>
        <v>1</v>
      </c>
      <c r="AV11" s="65"/>
      <c r="AW11" s="74" t="s">
        <v>1949</v>
      </c>
      <c r="AX11" s="73">
        <f t="shared" si="100"/>
        <v>1</v>
      </c>
      <c r="AY11" s="65"/>
      <c r="AZ11" s="74" t="s">
        <v>1960</v>
      </c>
      <c r="BA11" s="73">
        <f t="shared" si="100"/>
        <v>4</v>
      </c>
      <c r="BB11" s="65"/>
      <c r="BC11" s="74" t="s">
        <v>1960</v>
      </c>
      <c r="BD11" s="73">
        <f t="shared" si="100"/>
        <v>4</v>
      </c>
      <c r="BE11" s="65"/>
      <c r="BF11" s="74" t="s">
        <v>1960</v>
      </c>
      <c r="BG11" s="73">
        <f t="shared" si="100"/>
        <v>4</v>
      </c>
      <c r="BH11" s="65"/>
      <c r="BI11" s="74" t="s">
        <v>1961</v>
      </c>
      <c r="BJ11" s="73">
        <f t="shared" si="100"/>
        <v>1</v>
      </c>
      <c r="BK11" s="65"/>
      <c r="BL11" s="74" t="s">
        <v>1949</v>
      </c>
      <c r="BM11" s="73">
        <f t="shared" si="100"/>
        <v>1</v>
      </c>
      <c r="BN11" s="65"/>
      <c r="BO11" s="74" t="s">
        <v>1952</v>
      </c>
      <c r="BP11" s="73">
        <f t="shared" si="100"/>
        <v>2</v>
      </c>
      <c r="BQ11" s="65"/>
      <c r="BR11" s="74" t="s">
        <v>1960</v>
      </c>
      <c r="BS11" s="73">
        <f t="shared" si="100"/>
        <v>4</v>
      </c>
      <c r="BT11" s="65"/>
      <c r="BU11" s="74" t="s">
        <v>1949</v>
      </c>
      <c r="BV11" s="73">
        <f t="shared" si="100"/>
        <v>1</v>
      </c>
      <c r="BW11" s="65"/>
      <c r="BX11" s="74" t="s">
        <v>1952</v>
      </c>
      <c r="BY11" s="73">
        <f t="shared" si="100"/>
        <v>2</v>
      </c>
      <c r="BZ11" s="65"/>
      <c r="CA11" s="74" t="s">
        <v>1947</v>
      </c>
      <c r="CB11" s="73">
        <f t="shared" si="100"/>
        <v>1</v>
      </c>
      <c r="CC11" s="65"/>
      <c r="CD11" s="74" t="s">
        <v>1960</v>
      </c>
      <c r="CE11" s="73">
        <f t="shared" si="100"/>
        <v>4</v>
      </c>
      <c r="CF11" s="65"/>
      <c r="CG11" s="74" t="s">
        <v>1946</v>
      </c>
      <c r="CH11" s="73">
        <f t="shared" si="100"/>
        <v>0</v>
      </c>
      <c r="CI11" s="65"/>
      <c r="CJ11" s="74" t="s">
        <v>1949</v>
      </c>
      <c r="CK11" s="73">
        <f t="shared" si="70"/>
        <v>1</v>
      </c>
      <c r="CL11" s="65"/>
      <c r="CM11" s="74" t="s">
        <v>1947</v>
      </c>
      <c r="CN11" s="73">
        <f t="shared" si="70"/>
        <v>1</v>
      </c>
      <c r="CO11" s="65"/>
      <c r="CP11" s="74" t="s">
        <v>1955</v>
      </c>
      <c r="CQ11" s="73">
        <f t="shared" si="70"/>
        <v>1</v>
      </c>
      <c r="CR11" s="65"/>
      <c r="CS11" s="74" t="s">
        <v>1949</v>
      </c>
      <c r="CT11" s="73">
        <f t="shared" si="70"/>
        <v>1</v>
      </c>
      <c r="CU11" s="65"/>
      <c r="CV11" s="74" t="s">
        <v>1947</v>
      </c>
      <c r="CW11" s="73">
        <f t="shared" si="70"/>
        <v>1</v>
      </c>
      <c r="CX11" s="65"/>
      <c r="CY11" s="74" t="s">
        <v>1949</v>
      </c>
      <c r="CZ11" s="73">
        <f t="shared" si="70"/>
        <v>1</v>
      </c>
      <c r="DA11" s="65"/>
      <c r="DB11" s="74" t="s">
        <v>1949</v>
      </c>
      <c r="DC11" s="73">
        <f t="shared" si="70"/>
        <v>1</v>
      </c>
      <c r="DD11" s="65"/>
      <c r="DE11" s="74" t="s">
        <v>1947</v>
      </c>
      <c r="DF11" s="73">
        <f t="shared" si="70"/>
        <v>1</v>
      </c>
      <c r="DG11" s="65"/>
      <c r="DH11" s="74" t="s">
        <v>1949</v>
      </c>
      <c r="DI11" s="73">
        <f t="shared" si="70"/>
        <v>1</v>
      </c>
      <c r="DJ11" s="65"/>
      <c r="DK11" s="74" t="s">
        <v>1947</v>
      </c>
      <c r="DL11" s="73">
        <f t="shared" si="70"/>
        <v>1</v>
      </c>
      <c r="DM11" s="65"/>
      <c r="DN11" s="795" t="s">
        <v>1947</v>
      </c>
      <c r="DO11" s="73">
        <f t="shared" si="70"/>
        <v>1</v>
      </c>
      <c r="DP11" s="65"/>
      <c r="DQ11" s="795" t="s">
        <v>1946</v>
      </c>
      <c r="DR11" s="73">
        <f t="shared" si="70"/>
        <v>0</v>
      </c>
      <c r="DS11" s="65"/>
      <c r="DT11" s="74" t="s">
        <v>1955</v>
      </c>
      <c r="DU11" s="73">
        <f t="shared" si="70"/>
        <v>1</v>
      </c>
      <c r="DV11" s="65"/>
      <c r="DW11" s="74" t="s">
        <v>1949</v>
      </c>
      <c r="DX11" s="73">
        <f t="shared" si="70"/>
        <v>1</v>
      </c>
      <c r="DY11" s="65"/>
      <c r="DZ11" s="74" t="s">
        <v>1949</v>
      </c>
      <c r="EA11" s="73">
        <f t="shared" si="70"/>
        <v>1</v>
      </c>
      <c r="EB11" s="65"/>
      <c r="EC11" s="74" t="s">
        <v>1947</v>
      </c>
      <c r="ED11" s="73">
        <f t="shared" si="70"/>
        <v>1</v>
      </c>
      <c r="EE11" s="65"/>
      <c r="EF11" s="74" t="s">
        <v>1960</v>
      </c>
      <c r="EG11" s="73">
        <f t="shared" si="70"/>
        <v>4</v>
      </c>
      <c r="EH11" s="65"/>
      <c r="EI11" s="74" t="s">
        <v>1949</v>
      </c>
      <c r="EJ11" s="73">
        <f t="shared" si="70"/>
        <v>1</v>
      </c>
      <c r="EK11" s="65"/>
      <c r="EL11" s="74"/>
      <c r="EM11" s="73">
        <f t="shared" si="70"/>
        <v>0</v>
      </c>
      <c r="EN11" s="65"/>
      <c r="EO11" s="74"/>
      <c r="EP11" s="73">
        <f t="shared" si="70"/>
        <v>0</v>
      </c>
      <c r="EQ11" s="65"/>
      <c r="ER11" s="74"/>
      <c r="ES11" s="73">
        <f t="shared" si="70"/>
        <v>0</v>
      </c>
      <c r="ET11" s="65"/>
      <c r="EU11" s="74"/>
      <c r="EV11" s="73">
        <f t="shared" si="70"/>
        <v>0</v>
      </c>
      <c r="EW11" s="65"/>
      <c r="EX11" s="74"/>
      <c r="EY11" s="73">
        <f t="shared" si="92"/>
        <v>0</v>
      </c>
      <c r="EZ11" s="65"/>
      <c r="FA11" s="74"/>
      <c r="FB11" s="73">
        <f t="shared" si="92"/>
        <v>0</v>
      </c>
      <c r="FC11" s="65"/>
      <c r="FD11" s="74"/>
      <c r="FE11" s="73">
        <f t="shared" si="92"/>
        <v>0</v>
      </c>
      <c r="FF11" s="65"/>
      <c r="FG11" s="74"/>
      <c r="FH11" s="73">
        <f t="shared" si="92"/>
        <v>0</v>
      </c>
      <c r="FI11" s="65"/>
      <c r="FJ11" s="74"/>
      <c r="FK11" s="73">
        <f t="shared" si="92"/>
        <v>0</v>
      </c>
      <c r="FL11" s="65"/>
      <c r="FM11" s="65"/>
    </row>
    <row r="12" spans="1:169">
      <c r="A12" s="49"/>
      <c r="B12" s="49"/>
      <c r="C12" s="437" t="str">
        <f>Idiomas!D308</f>
        <v>FASE DE GRUPOS - Posición exacta (2º)</v>
      </c>
      <c r="D12" s="62">
        <v>2</v>
      </c>
      <c r="E12" s="111"/>
      <c r="F12" s="445">
        <f t="shared" si="97"/>
        <v>4</v>
      </c>
      <c r="G12" s="445">
        <f ca="1">VLOOKUP(H12,Equipos!$Q$1:$R$25,2,0)</f>
        <v>3</v>
      </c>
      <c r="H12" s="446">
        <f ca="1">TRUNC(INDEX(WORLDCUP!$X$4:$X$147,MATCH(ADMIN!K12,WORLDCUP!$DT$4:$DT$147,0))+INDEX(Horarios!$R$3:$R$86,MATCH(Horarios!$C$3,Horarios!$P$3:$P$86,0))/24)</f>
        <v>46186</v>
      </c>
      <c r="I12" s="48">
        <v>1</v>
      </c>
      <c r="J12" s="96" t="s">
        <v>115</v>
      </c>
      <c r="K12" s="56" t="str">
        <f ca="1">CONCATENATE(WORLDCUP!AA28,"-",WORLDCUP!AF28)</f>
        <v>Estados Unidos-Paraguay</v>
      </c>
      <c r="L12" s="53"/>
      <c r="M12" s="55" t="str">
        <f>IF(OR(WORLDCUP!AC28="",WORLDCUP!AD28=""),"-",N12&amp;"|"&amp;O12&amp;"-"&amp;P12)</f>
        <v>1|4-1</v>
      </c>
      <c r="N12" s="25" t="str">
        <f>IF(OR(WORLDCUP!AC28="",WORLDCUP!AD28=""),"",IF(WORLDCUP!AC28&gt;WORLDCUP!AD28,"1",IF(WORLDCUP!AC28&lt;WORLDCUP!AD28,"2","X")))</f>
        <v>1</v>
      </c>
      <c r="O12" s="25">
        <f>WORLDCUP!AC28</f>
        <v>4</v>
      </c>
      <c r="P12" s="25">
        <f>WORLDCUP!AD28</f>
        <v>1</v>
      </c>
      <c r="Q12" s="25">
        <f t="shared" si="101"/>
        <v>3</v>
      </c>
      <c r="R12" s="49"/>
      <c r="S12" s="74" t="s">
        <v>1948</v>
      </c>
      <c r="T12" s="73">
        <f t="shared" si="98"/>
        <v>1</v>
      </c>
      <c r="U12" s="65"/>
      <c r="V12" s="74" t="s">
        <v>1954</v>
      </c>
      <c r="W12" s="73">
        <f t="shared" si="99"/>
        <v>1</v>
      </c>
      <c r="X12" s="65"/>
      <c r="Y12" s="74" t="s">
        <v>1946</v>
      </c>
      <c r="Z12" s="73">
        <f t="shared" si="100"/>
        <v>0</v>
      </c>
      <c r="AA12" s="65"/>
      <c r="AB12" s="74" t="s">
        <v>1946</v>
      </c>
      <c r="AC12" s="73">
        <f t="shared" si="100"/>
        <v>0</v>
      </c>
      <c r="AD12" s="65"/>
      <c r="AE12" s="74" t="s">
        <v>1954</v>
      </c>
      <c r="AF12" s="73">
        <f t="shared" si="100"/>
        <v>1</v>
      </c>
      <c r="AG12" s="65"/>
      <c r="AH12" s="74" t="s">
        <v>1948</v>
      </c>
      <c r="AI12" s="73">
        <f t="shared" si="100"/>
        <v>1</v>
      </c>
      <c r="AJ12" s="65"/>
      <c r="AK12" s="74" t="s">
        <v>1946</v>
      </c>
      <c r="AL12" s="73">
        <f t="shared" si="100"/>
        <v>0</v>
      </c>
      <c r="AM12" s="65"/>
      <c r="AN12" s="74" t="s">
        <v>1948</v>
      </c>
      <c r="AO12" s="73">
        <f t="shared" si="100"/>
        <v>1</v>
      </c>
      <c r="AP12" s="65"/>
      <c r="AQ12" s="74" t="s">
        <v>1948</v>
      </c>
      <c r="AR12" s="73">
        <f t="shared" si="100"/>
        <v>1</v>
      </c>
      <c r="AS12" s="65"/>
      <c r="AT12" s="74" t="s">
        <v>1948</v>
      </c>
      <c r="AU12" s="73">
        <f t="shared" si="100"/>
        <v>1</v>
      </c>
      <c r="AV12" s="65"/>
      <c r="AW12" s="74" t="s">
        <v>1946</v>
      </c>
      <c r="AX12" s="73">
        <f t="shared" si="100"/>
        <v>0</v>
      </c>
      <c r="AY12" s="65"/>
      <c r="AZ12" s="74" t="s">
        <v>1946</v>
      </c>
      <c r="BA12" s="73">
        <f t="shared" si="100"/>
        <v>0</v>
      </c>
      <c r="BB12" s="65"/>
      <c r="BC12" s="74" t="s">
        <v>1954</v>
      </c>
      <c r="BD12" s="73">
        <f t="shared" si="100"/>
        <v>1</v>
      </c>
      <c r="BE12" s="65"/>
      <c r="BF12" s="74" t="s">
        <v>1954</v>
      </c>
      <c r="BG12" s="73">
        <f t="shared" si="100"/>
        <v>1</v>
      </c>
      <c r="BH12" s="65"/>
      <c r="BI12" s="74" t="s">
        <v>1946</v>
      </c>
      <c r="BJ12" s="73">
        <f t="shared" si="100"/>
        <v>0</v>
      </c>
      <c r="BK12" s="65"/>
      <c r="BL12" s="74" t="s">
        <v>1948</v>
      </c>
      <c r="BM12" s="73">
        <f t="shared" si="100"/>
        <v>1</v>
      </c>
      <c r="BN12" s="65"/>
      <c r="BO12" s="74" t="s">
        <v>1948</v>
      </c>
      <c r="BP12" s="73">
        <f t="shared" si="100"/>
        <v>1</v>
      </c>
      <c r="BQ12" s="65"/>
      <c r="BR12" s="74" t="s">
        <v>1952</v>
      </c>
      <c r="BS12" s="73">
        <f t="shared" si="100"/>
        <v>0</v>
      </c>
      <c r="BT12" s="65"/>
      <c r="BU12" s="74" t="s">
        <v>1948</v>
      </c>
      <c r="BV12" s="73">
        <f t="shared" si="100"/>
        <v>1</v>
      </c>
      <c r="BW12" s="65"/>
      <c r="BX12" s="74" t="s">
        <v>1946</v>
      </c>
      <c r="BY12" s="73">
        <f t="shared" si="100"/>
        <v>0</v>
      </c>
      <c r="BZ12" s="65"/>
      <c r="CA12" s="74" t="s">
        <v>1942</v>
      </c>
      <c r="CB12" s="73">
        <f t="shared" si="100"/>
        <v>1</v>
      </c>
      <c r="CC12" s="65"/>
      <c r="CD12" s="74" t="s">
        <v>1943</v>
      </c>
      <c r="CE12" s="73">
        <f t="shared" si="100"/>
        <v>1</v>
      </c>
      <c r="CF12" s="65"/>
      <c r="CG12" s="74" t="s">
        <v>1948</v>
      </c>
      <c r="CH12" s="73">
        <f t="shared" si="100"/>
        <v>1</v>
      </c>
      <c r="CI12" s="65"/>
      <c r="CJ12" s="74" t="s">
        <v>1942</v>
      </c>
      <c r="CK12" s="73">
        <f t="shared" si="70"/>
        <v>1</v>
      </c>
      <c r="CL12" s="65"/>
      <c r="CM12" s="74" t="s">
        <v>1957</v>
      </c>
      <c r="CN12" s="73">
        <f t="shared" si="70"/>
        <v>0</v>
      </c>
      <c r="CO12" s="65"/>
      <c r="CP12" s="74" t="s">
        <v>1946</v>
      </c>
      <c r="CQ12" s="73">
        <f t="shared" si="70"/>
        <v>0</v>
      </c>
      <c r="CR12" s="65"/>
      <c r="CS12" s="74" t="s">
        <v>1946</v>
      </c>
      <c r="CT12" s="73">
        <f t="shared" si="70"/>
        <v>0</v>
      </c>
      <c r="CU12" s="65"/>
      <c r="CV12" s="74" t="s">
        <v>1946</v>
      </c>
      <c r="CW12" s="73">
        <f t="shared" si="70"/>
        <v>0</v>
      </c>
      <c r="CX12" s="65"/>
      <c r="CY12" s="74" t="s">
        <v>1948</v>
      </c>
      <c r="CZ12" s="73">
        <f t="shared" si="70"/>
        <v>1</v>
      </c>
      <c r="DA12" s="65"/>
      <c r="DB12" s="74" t="s">
        <v>1946</v>
      </c>
      <c r="DC12" s="73">
        <f t="shared" si="70"/>
        <v>0</v>
      </c>
      <c r="DD12" s="65"/>
      <c r="DE12" s="74" t="s">
        <v>1946</v>
      </c>
      <c r="DF12" s="73">
        <f t="shared" si="70"/>
        <v>0</v>
      </c>
      <c r="DG12" s="65"/>
      <c r="DH12" s="74" t="s">
        <v>1948</v>
      </c>
      <c r="DI12" s="73">
        <f t="shared" si="70"/>
        <v>1</v>
      </c>
      <c r="DJ12" s="65"/>
      <c r="DK12" s="74" t="s">
        <v>1946</v>
      </c>
      <c r="DL12" s="73">
        <f t="shared" si="70"/>
        <v>0</v>
      </c>
      <c r="DM12" s="65"/>
      <c r="DN12" s="795" t="s">
        <v>1946</v>
      </c>
      <c r="DO12" s="73">
        <f t="shared" si="70"/>
        <v>0</v>
      </c>
      <c r="DP12" s="65"/>
      <c r="DQ12" s="795" t="s">
        <v>1946</v>
      </c>
      <c r="DR12" s="73">
        <f t="shared" si="70"/>
        <v>0</v>
      </c>
      <c r="DS12" s="65"/>
      <c r="DT12" s="74" t="s">
        <v>1943</v>
      </c>
      <c r="DU12" s="73">
        <f t="shared" si="70"/>
        <v>1</v>
      </c>
      <c r="DV12" s="65"/>
      <c r="DW12" s="74" t="s">
        <v>1942</v>
      </c>
      <c r="DX12" s="73">
        <f t="shared" si="70"/>
        <v>1</v>
      </c>
      <c r="DY12" s="65"/>
      <c r="DZ12" s="74" t="s">
        <v>1954</v>
      </c>
      <c r="EA12" s="73">
        <f t="shared" si="70"/>
        <v>1</v>
      </c>
      <c r="EB12" s="65"/>
      <c r="EC12" s="74" t="s">
        <v>1960</v>
      </c>
      <c r="ED12" s="73">
        <f t="shared" si="70"/>
        <v>0</v>
      </c>
      <c r="EE12" s="65"/>
      <c r="EF12" s="74" t="s">
        <v>1948</v>
      </c>
      <c r="EG12" s="73">
        <f t="shared" si="70"/>
        <v>1</v>
      </c>
      <c r="EH12" s="65"/>
      <c r="EI12" s="74" t="s">
        <v>1946</v>
      </c>
      <c r="EJ12" s="73">
        <f t="shared" si="70"/>
        <v>0</v>
      </c>
      <c r="EK12" s="65"/>
      <c r="EL12" s="74"/>
      <c r="EM12" s="73">
        <f t="shared" si="70"/>
        <v>0</v>
      </c>
      <c r="EN12" s="65"/>
      <c r="EO12" s="74"/>
      <c r="EP12" s="73">
        <f t="shared" si="70"/>
        <v>0</v>
      </c>
      <c r="EQ12" s="65"/>
      <c r="ER12" s="74"/>
      <c r="ES12" s="73">
        <f t="shared" si="70"/>
        <v>0</v>
      </c>
      <c r="ET12" s="65"/>
      <c r="EU12" s="74"/>
      <c r="EV12" s="73">
        <f t="shared" si="70"/>
        <v>0</v>
      </c>
      <c r="EW12" s="65"/>
      <c r="EX12" s="74"/>
      <c r="EY12" s="73">
        <f t="shared" si="92"/>
        <v>0</v>
      </c>
      <c r="EZ12" s="65"/>
      <c r="FA12" s="74"/>
      <c r="FB12" s="73">
        <f t="shared" si="92"/>
        <v>0</v>
      </c>
      <c r="FC12" s="65"/>
      <c r="FD12" s="74"/>
      <c r="FE12" s="73">
        <f t="shared" si="92"/>
        <v>0</v>
      </c>
      <c r="FF12" s="65"/>
      <c r="FG12" s="74"/>
      <c r="FH12" s="73">
        <f t="shared" si="92"/>
        <v>0</v>
      </c>
      <c r="FI12" s="65"/>
      <c r="FJ12" s="74"/>
      <c r="FK12" s="73">
        <f t="shared" si="92"/>
        <v>0</v>
      </c>
      <c r="FL12" s="65"/>
      <c r="FM12" s="65"/>
    </row>
    <row r="13" spans="1:169">
      <c r="A13" s="49"/>
      <c r="B13" s="49"/>
      <c r="C13" s="438" t="str">
        <f>Idiomas!D309</f>
        <v>FASE DE GRUPOS - Posición exacta (3º)</v>
      </c>
      <c r="D13" s="44">
        <v>2</v>
      </c>
      <c r="E13" s="111"/>
      <c r="F13" s="445">
        <f t="shared" si="97"/>
        <v>4</v>
      </c>
      <c r="G13" s="445">
        <f ca="1">VLOOKUP(H13,Equipos!$Q$1:$R$25,2,0)</f>
        <v>4</v>
      </c>
      <c r="H13" s="446">
        <f ca="1">TRUNC(INDEX(WORLDCUP!$X$4:$X$147,MATCH(ADMIN!K13,WORLDCUP!$DT$4:$DT$147,0))+INDEX(Horarios!$R$3:$R$86,MATCH(Horarios!$C$3,Horarios!$P$3:$P$86,0))/24)</f>
        <v>46187</v>
      </c>
      <c r="I13" s="48">
        <v>1</v>
      </c>
      <c r="J13" s="96" t="s">
        <v>115</v>
      </c>
      <c r="K13" s="53" t="str">
        <f ca="1">CONCATENATE(WORLDCUP!AA29,"-",WORLDCUP!AF29)</f>
        <v>Australia-Turquía</v>
      </c>
      <c r="L13" s="53"/>
      <c r="M13" s="55" t="str">
        <f>IF(OR(WORLDCUP!AC29="",WORLDCUP!AD29=""),"-",N13&amp;"|"&amp;O13&amp;"-"&amp;P13)</f>
        <v>1|2-0</v>
      </c>
      <c r="N13" s="25" t="str">
        <f>IF(OR(WORLDCUP!AC29="",WORLDCUP!AD29=""),"",IF(WORLDCUP!AC29&gt;WORLDCUP!AD29,"1",IF(WORLDCUP!AC29&lt;WORLDCUP!AD29,"2","X")))</f>
        <v>1</v>
      </c>
      <c r="O13" s="25">
        <f>WORLDCUP!AC29</f>
        <v>2</v>
      </c>
      <c r="P13" s="25">
        <f>WORLDCUP!AD29</f>
        <v>0</v>
      </c>
      <c r="Q13" s="25">
        <f t="shared" si="101"/>
        <v>2</v>
      </c>
      <c r="R13" s="49"/>
      <c r="S13" s="74" t="s">
        <v>1949</v>
      </c>
      <c r="T13" s="73">
        <f t="shared" si="98"/>
        <v>0</v>
      </c>
      <c r="U13" s="65"/>
      <c r="V13" s="74" t="s">
        <v>1952</v>
      </c>
      <c r="W13" s="73">
        <f t="shared" si="99"/>
        <v>0</v>
      </c>
      <c r="X13" s="65"/>
      <c r="Y13" s="74" t="s">
        <v>1955</v>
      </c>
      <c r="Z13" s="73">
        <f t="shared" si="100"/>
        <v>0</v>
      </c>
      <c r="AA13" s="65"/>
      <c r="AB13" s="74" t="s">
        <v>1952</v>
      </c>
      <c r="AC13" s="73">
        <f t="shared" si="100"/>
        <v>0</v>
      </c>
      <c r="AD13" s="65"/>
      <c r="AE13" s="74" t="s">
        <v>1946</v>
      </c>
      <c r="AF13" s="73">
        <f t="shared" si="100"/>
        <v>0</v>
      </c>
      <c r="AG13" s="65"/>
      <c r="AH13" s="74" t="s">
        <v>1952</v>
      </c>
      <c r="AI13" s="73">
        <f t="shared" si="100"/>
        <v>0</v>
      </c>
      <c r="AJ13" s="65"/>
      <c r="AK13" s="74" t="s">
        <v>1947</v>
      </c>
      <c r="AL13" s="73">
        <f t="shared" si="100"/>
        <v>0</v>
      </c>
      <c r="AM13" s="65"/>
      <c r="AN13" s="74" t="s">
        <v>1944</v>
      </c>
      <c r="AO13" s="73">
        <f t="shared" si="100"/>
        <v>0</v>
      </c>
      <c r="AP13" s="65"/>
      <c r="AQ13" s="74" t="s">
        <v>1949</v>
      </c>
      <c r="AR13" s="73">
        <f t="shared" si="100"/>
        <v>0</v>
      </c>
      <c r="AS13" s="65"/>
      <c r="AT13" s="74" t="s">
        <v>1949</v>
      </c>
      <c r="AU13" s="73">
        <f t="shared" si="100"/>
        <v>0</v>
      </c>
      <c r="AV13" s="65"/>
      <c r="AW13" s="74" t="s">
        <v>1947</v>
      </c>
      <c r="AX13" s="73">
        <f t="shared" si="100"/>
        <v>0</v>
      </c>
      <c r="AY13" s="65"/>
      <c r="AZ13" s="74" t="s">
        <v>1960</v>
      </c>
      <c r="BA13" s="73">
        <f t="shared" si="100"/>
        <v>0</v>
      </c>
      <c r="BB13" s="65"/>
      <c r="BC13" s="74" t="s">
        <v>1949</v>
      </c>
      <c r="BD13" s="73">
        <f t="shared" si="100"/>
        <v>0</v>
      </c>
      <c r="BE13" s="65"/>
      <c r="BF13" s="74" t="s">
        <v>1960</v>
      </c>
      <c r="BG13" s="73">
        <f t="shared" si="100"/>
        <v>0</v>
      </c>
      <c r="BH13" s="65"/>
      <c r="BI13" s="74" t="s">
        <v>1955</v>
      </c>
      <c r="BJ13" s="73">
        <f t="shared" si="100"/>
        <v>0</v>
      </c>
      <c r="BK13" s="65"/>
      <c r="BL13" s="74" t="s">
        <v>1946</v>
      </c>
      <c r="BM13" s="73">
        <f t="shared" si="100"/>
        <v>0</v>
      </c>
      <c r="BN13" s="65"/>
      <c r="BO13" s="74" t="s">
        <v>1960</v>
      </c>
      <c r="BP13" s="73">
        <f t="shared" si="100"/>
        <v>0</v>
      </c>
      <c r="BQ13" s="65"/>
      <c r="BR13" s="74" t="s">
        <v>1949</v>
      </c>
      <c r="BS13" s="73">
        <f t="shared" si="100"/>
        <v>0</v>
      </c>
      <c r="BT13" s="65"/>
      <c r="BU13" s="74" t="s">
        <v>1949</v>
      </c>
      <c r="BV13" s="73">
        <f t="shared" si="100"/>
        <v>0</v>
      </c>
      <c r="BW13" s="65"/>
      <c r="BX13" s="74" t="s">
        <v>1949</v>
      </c>
      <c r="BY13" s="73">
        <f t="shared" si="100"/>
        <v>0</v>
      </c>
      <c r="BZ13" s="65"/>
      <c r="CA13" s="74" t="s">
        <v>1947</v>
      </c>
      <c r="CB13" s="73">
        <f t="shared" si="100"/>
        <v>0</v>
      </c>
      <c r="CC13" s="65"/>
      <c r="CD13" s="74" t="s">
        <v>1960</v>
      </c>
      <c r="CE13" s="73">
        <f t="shared" si="100"/>
        <v>0</v>
      </c>
      <c r="CF13" s="65"/>
      <c r="CG13" s="74" t="s">
        <v>1944</v>
      </c>
      <c r="CH13" s="73">
        <f t="shared" si="100"/>
        <v>0</v>
      </c>
      <c r="CI13" s="65"/>
      <c r="CJ13" s="74" t="s">
        <v>1960</v>
      </c>
      <c r="CK13" s="73">
        <f t="shared" si="70"/>
        <v>0</v>
      </c>
      <c r="CL13" s="65"/>
      <c r="CM13" s="74" t="s">
        <v>1949</v>
      </c>
      <c r="CN13" s="73">
        <f t="shared" si="70"/>
        <v>0</v>
      </c>
      <c r="CO13" s="65"/>
      <c r="CP13" s="74" t="s">
        <v>1947</v>
      </c>
      <c r="CQ13" s="73">
        <f t="shared" si="70"/>
        <v>0</v>
      </c>
      <c r="CR13" s="65"/>
      <c r="CS13" s="74" t="s">
        <v>1945</v>
      </c>
      <c r="CT13" s="73">
        <f t="shared" si="70"/>
        <v>0</v>
      </c>
      <c r="CU13" s="65"/>
      <c r="CV13" s="74" t="s">
        <v>1949</v>
      </c>
      <c r="CW13" s="73">
        <f t="shared" si="70"/>
        <v>0</v>
      </c>
      <c r="CX13" s="65"/>
      <c r="CY13" s="74" t="s">
        <v>1945</v>
      </c>
      <c r="CZ13" s="73">
        <f t="shared" si="70"/>
        <v>0</v>
      </c>
      <c r="DA13" s="65"/>
      <c r="DB13" s="74" t="s">
        <v>1952</v>
      </c>
      <c r="DC13" s="73">
        <f t="shared" si="70"/>
        <v>0</v>
      </c>
      <c r="DD13" s="65"/>
      <c r="DE13" s="74" t="s">
        <v>1949</v>
      </c>
      <c r="DF13" s="73">
        <f t="shared" si="70"/>
        <v>0</v>
      </c>
      <c r="DG13" s="65"/>
      <c r="DH13" s="74" t="s">
        <v>1945</v>
      </c>
      <c r="DI13" s="73">
        <f t="shared" si="70"/>
        <v>0</v>
      </c>
      <c r="DJ13" s="65"/>
      <c r="DK13" s="74" t="s">
        <v>1949</v>
      </c>
      <c r="DL13" s="73">
        <f t="shared" si="70"/>
        <v>0</v>
      </c>
      <c r="DM13" s="65"/>
      <c r="DN13" s="795" t="s">
        <v>1945</v>
      </c>
      <c r="DO13" s="73">
        <f t="shared" si="70"/>
        <v>0</v>
      </c>
      <c r="DP13" s="65"/>
      <c r="DQ13" s="795" t="s">
        <v>1944</v>
      </c>
      <c r="DR13" s="73">
        <f t="shared" si="70"/>
        <v>0</v>
      </c>
      <c r="DS13" s="65"/>
      <c r="DT13" s="74" t="s">
        <v>1944</v>
      </c>
      <c r="DU13" s="73">
        <f t="shared" si="70"/>
        <v>0</v>
      </c>
      <c r="DV13" s="65"/>
      <c r="DW13" s="74" t="s">
        <v>1949</v>
      </c>
      <c r="DX13" s="73">
        <f t="shared" si="70"/>
        <v>0</v>
      </c>
      <c r="DY13" s="65"/>
      <c r="DZ13" s="74" t="s">
        <v>1946</v>
      </c>
      <c r="EA13" s="73">
        <f t="shared" si="70"/>
        <v>0</v>
      </c>
      <c r="EB13" s="65"/>
      <c r="EC13" s="74" t="s">
        <v>1947</v>
      </c>
      <c r="ED13" s="73">
        <f t="shared" si="70"/>
        <v>0</v>
      </c>
      <c r="EE13" s="65"/>
      <c r="EF13" s="74" t="s">
        <v>1960</v>
      </c>
      <c r="EG13" s="73">
        <f t="shared" si="70"/>
        <v>0</v>
      </c>
      <c r="EH13" s="65"/>
      <c r="EI13" s="74" t="s">
        <v>1947</v>
      </c>
      <c r="EJ13" s="73">
        <f t="shared" si="70"/>
        <v>0</v>
      </c>
      <c r="EK13" s="65"/>
      <c r="EL13" s="74"/>
      <c r="EM13" s="73">
        <f t="shared" si="70"/>
        <v>0</v>
      </c>
      <c r="EN13" s="65"/>
      <c r="EO13" s="74"/>
      <c r="EP13" s="73">
        <f t="shared" si="70"/>
        <v>0</v>
      </c>
      <c r="EQ13" s="65"/>
      <c r="ER13" s="74"/>
      <c r="ES13" s="73">
        <f t="shared" si="70"/>
        <v>0</v>
      </c>
      <c r="ET13" s="65"/>
      <c r="EU13" s="74"/>
      <c r="EV13" s="73">
        <f t="shared" si="70"/>
        <v>0</v>
      </c>
      <c r="EW13" s="65"/>
      <c r="EX13" s="74"/>
      <c r="EY13" s="73">
        <f t="shared" si="92"/>
        <v>0</v>
      </c>
      <c r="EZ13" s="65"/>
      <c r="FA13" s="74"/>
      <c r="FB13" s="73">
        <f t="shared" si="92"/>
        <v>0</v>
      </c>
      <c r="FC13" s="65"/>
      <c r="FD13" s="74"/>
      <c r="FE13" s="73">
        <f t="shared" si="92"/>
        <v>0</v>
      </c>
      <c r="FF13" s="65"/>
      <c r="FG13" s="74"/>
      <c r="FH13" s="73">
        <f t="shared" si="92"/>
        <v>0</v>
      </c>
      <c r="FI13" s="65"/>
      <c r="FJ13" s="74"/>
      <c r="FK13" s="73">
        <f t="shared" si="92"/>
        <v>0</v>
      </c>
      <c r="FL13" s="65"/>
      <c r="FM13" s="65"/>
    </row>
    <row r="14" spans="1:169">
      <c r="A14" s="49"/>
      <c r="B14" s="49"/>
      <c r="C14" s="437" t="str">
        <f>Idiomas!D310</f>
        <v>FASE DE GRUPOS - Posición exacta (4º)</v>
      </c>
      <c r="D14" s="62">
        <v>2</v>
      </c>
      <c r="E14" s="111"/>
      <c r="F14" s="445">
        <f t="shared" si="97"/>
        <v>4</v>
      </c>
      <c r="G14" s="445">
        <f ca="1">VLOOKUP(H14,Equipos!$Q$1:$R$25,2,0)</f>
        <v>4</v>
      </c>
      <c r="H14" s="446">
        <f ca="1">TRUNC(INDEX(WORLDCUP!$X$4:$X$147,MATCH(ADMIN!K14,WORLDCUP!$DT$4:$DT$147,0))+INDEX(Horarios!$R$3:$R$86,MATCH(Horarios!$C$3,Horarios!$P$3:$P$86,0))/24)</f>
        <v>46187</v>
      </c>
      <c r="I14" s="48">
        <v>1</v>
      </c>
      <c r="J14" s="95" t="s">
        <v>116</v>
      </c>
      <c r="K14" s="56" t="str">
        <f ca="1">CONCATENATE(WORLDCUP!AA36,"-",WORLDCUP!AF36)</f>
        <v>Alemania-Curazao</v>
      </c>
      <c r="L14" s="53"/>
      <c r="M14" s="55" t="str">
        <f>IF(OR(WORLDCUP!AC36="",WORLDCUP!AD36=""),"-",N14&amp;"|"&amp;O14&amp;"-"&amp;P14)</f>
        <v>1|7-1</v>
      </c>
      <c r="N14" s="25" t="str">
        <f>IF(OR(WORLDCUP!AC36="",WORLDCUP!AD36=""),"",IF(WORLDCUP!AC36&gt;WORLDCUP!AD36,"1",IF(WORLDCUP!AC36&lt;WORLDCUP!AD36,"2","X")))</f>
        <v>1</v>
      </c>
      <c r="O14" s="25">
        <f>WORLDCUP!AC36</f>
        <v>7</v>
      </c>
      <c r="P14" s="25">
        <f>WORLDCUP!AD36</f>
        <v>1</v>
      </c>
      <c r="Q14" s="25">
        <f t="shared" si="101"/>
        <v>6</v>
      </c>
      <c r="R14" s="49"/>
      <c r="S14" s="74" t="s">
        <v>1950</v>
      </c>
      <c r="T14" s="73">
        <f t="shared" si="98"/>
        <v>2</v>
      </c>
      <c r="U14" s="65"/>
      <c r="V14" s="74" t="s">
        <v>2001</v>
      </c>
      <c r="W14" s="73">
        <f t="shared" si="99"/>
        <v>1</v>
      </c>
      <c r="X14" s="65"/>
      <c r="Y14" s="74" t="s">
        <v>2001</v>
      </c>
      <c r="Z14" s="73">
        <f t="shared" si="100"/>
        <v>1</v>
      </c>
      <c r="AA14" s="65"/>
      <c r="AB14" s="74" t="s">
        <v>1943</v>
      </c>
      <c r="AC14" s="73">
        <f t="shared" si="100"/>
        <v>1</v>
      </c>
      <c r="AD14" s="65"/>
      <c r="AE14" s="74" t="s">
        <v>1951</v>
      </c>
      <c r="AF14" s="73">
        <f t="shared" si="100"/>
        <v>1</v>
      </c>
      <c r="AG14" s="65"/>
      <c r="AH14" s="74" t="s">
        <v>2001</v>
      </c>
      <c r="AI14" s="73">
        <f t="shared" si="100"/>
        <v>1</v>
      </c>
      <c r="AJ14" s="65"/>
      <c r="AK14" s="74" t="s">
        <v>1951</v>
      </c>
      <c r="AL14" s="73">
        <f t="shared" si="100"/>
        <v>1</v>
      </c>
      <c r="AM14" s="65"/>
      <c r="AN14" s="74" t="s">
        <v>2001</v>
      </c>
      <c r="AO14" s="73">
        <f t="shared" si="100"/>
        <v>1</v>
      </c>
      <c r="AP14" s="65"/>
      <c r="AQ14" s="74" t="s">
        <v>1950</v>
      </c>
      <c r="AR14" s="73">
        <f t="shared" si="100"/>
        <v>2</v>
      </c>
      <c r="AS14" s="65"/>
      <c r="AT14" s="74" t="s">
        <v>1954</v>
      </c>
      <c r="AU14" s="73">
        <f t="shared" si="100"/>
        <v>1</v>
      </c>
      <c r="AV14" s="65"/>
      <c r="AW14" s="74" t="s">
        <v>1951</v>
      </c>
      <c r="AX14" s="73">
        <f t="shared" si="100"/>
        <v>1</v>
      </c>
      <c r="AY14" s="65"/>
      <c r="AZ14" s="74" t="s">
        <v>1950</v>
      </c>
      <c r="BA14" s="73">
        <f t="shared" si="100"/>
        <v>2</v>
      </c>
      <c r="BB14" s="65"/>
      <c r="BC14" s="74" t="s">
        <v>1958</v>
      </c>
      <c r="BD14" s="73">
        <f t="shared" si="100"/>
        <v>1</v>
      </c>
      <c r="BE14" s="65"/>
      <c r="BF14" s="74" t="s">
        <v>1958</v>
      </c>
      <c r="BG14" s="73">
        <f t="shared" si="100"/>
        <v>1</v>
      </c>
      <c r="BH14" s="65"/>
      <c r="BI14" s="74" t="s">
        <v>2001</v>
      </c>
      <c r="BJ14" s="73">
        <f t="shared" si="100"/>
        <v>1</v>
      </c>
      <c r="BK14" s="65"/>
      <c r="BL14" s="74" t="s">
        <v>2001</v>
      </c>
      <c r="BM14" s="73">
        <f t="shared" si="100"/>
        <v>1</v>
      </c>
      <c r="BN14" s="65"/>
      <c r="BO14" s="74" t="s">
        <v>2001</v>
      </c>
      <c r="BP14" s="73">
        <f t="shared" si="100"/>
        <v>1</v>
      </c>
      <c r="BQ14" s="65"/>
      <c r="BR14" s="74" t="s">
        <v>1958</v>
      </c>
      <c r="BS14" s="73">
        <f t="shared" si="100"/>
        <v>1</v>
      </c>
      <c r="BT14" s="65"/>
      <c r="BU14" s="74" t="s">
        <v>2001</v>
      </c>
      <c r="BV14" s="73">
        <f t="shared" si="100"/>
        <v>1</v>
      </c>
      <c r="BW14" s="65"/>
      <c r="BX14" s="74" t="s">
        <v>1958</v>
      </c>
      <c r="BY14" s="73">
        <f t="shared" si="100"/>
        <v>1</v>
      </c>
      <c r="BZ14" s="65"/>
      <c r="CA14" s="74" t="s">
        <v>2001</v>
      </c>
      <c r="CB14" s="73">
        <f t="shared" si="100"/>
        <v>1</v>
      </c>
      <c r="CC14" s="65"/>
      <c r="CD14" s="74" t="s">
        <v>1954</v>
      </c>
      <c r="CE14" s="73">
        <f t="shared" si="100"/>
        <v>1</v>
      </c>
      <c r="CF14" s="65"/>
      <c r="CG14" s="74" t="s">
        <v>1958</v>
      </c>
      <c r="CH14" s="73">
        <f t="shared" si="100"/>
        <v>1</v>
      </c>
      <c r="CI14" s="65"/>
      <c r="CJ14" s="74" t="s">
        <v>2001</v>
      </c>
      <c r="CK14" s="73">
        <f t="shared" si="70"/>
        <v>1</v>
      </c>
      <c r="CL14" s="65"/>
      <c r="CM14" s="74" t="s">
        <v>1951</v>
      </c>
      <c r="CN14" s="73">
        <f t="shared" si="70"/>
        <v>1</v>
      </c>
      <c r="CO14" s="65"/>
      <c r="CP14" s="74" t="s">
        <v>1951</v>
      </c>
      <c r="CQ14" s="73">
        <f t="shared" si="70"/>
        <v>1</v>
      </c>
      <c r="CR14" s="65"/>
      <c r="CS14" s="74" t="s">
        <v>1958</v>
      </c>
      <c r="CT14" s="73">
        <f t="shared" si="70"/>
        <v>1</v>
      </c>
      <c r="CU14" s="65"/>
      <c r="CV14" s="74" t="s">
        <v>2001</v>
      </c>
      <c r="CW14" s="73">
        <f t="shared" si="70"/>
        <v>1</v>
      </c>
      <c r="CX14" s="65"/>
      <c r="CY14" s="74" t="s">
        <v>1950</v>
      </c>
      <c r="CZ14" s="73">
        <f t="shared" si="70"/>
        <v>2</v>
      </c>
      <c r="DA14" s="65"/>
      <c r="DB14" s="74" t="s">
        <v>1958</v>
      </c>
      <c r="DC14" s="73">
        <f t="shared" si="70"/>
        <v>1</v>
      </c>
      <c r="DD14" s="65"/>
      <c r="DE14" s="74" t="s">
        <v>2001</v>
      </c>
      <c r="DF14" s="73">
        <f t="shared" si="70"/>
        <v>1</v>
      </c>
      <c r="DG14" s="65"/>
      <c r="DH14" s="74" t="s">
        <v>1958</v>
      </c>
      <c r="DI14" s="73">
        <f t="shared" si="70"/>
        <v>1</v>
      </c>
      <c r="DJ14" s="65"/>
      <c r="DK14" s="74" t="s">
        <v>1951</v>
      </c>
      <c r="DL14" s="73">
        <f t="shared" si="70"/>
        <v>1</v>
      </c>
      <c r="DM14" s="65"/>
      <c r="DN14" s="795" t="s">
        <v>1951</v>
      </c>
      <c r="DO14" s="73">
        <f t="shared" si="70"/>
        <v>1</v>
      </c>
      <c r="DP14" s="65"/>
      <c r="DQ14" s="795" t="s">
        <v>1951</v>
      </c>
      <c r="DR14" s="73">
        <f t="shared" si="70"/>
        <v>1</v>
      </c>
      <c r="DS14" s="65"/>
      <c r="DT14" s="74" t="s">
        <v>2002</v>
      </c>
      <c r="DU14" s="73">
        <f t="shared" si="70"/>
        <v>1</v>
      </c>
      <c r="DV14" s="65"/>
      <c r="DW14" s="74" t="s">
        <v>1950</v>
      </c>
      <c r="DX14" s="73">
        <f t="shared" si="70"/>
        <v>2</v>
      </c>
      <c r="DY14" s="65"/>
      <c r="DZ14" s="74" t="s">
        <v>2001</v>
      </c>
      <c r="EA14" s="73">
        <f t="shared" si="70"/>
        <v>1</v>
      </c>
      <c r="EB14" s="65"/>
      <c r="EC14" s="74" t="s">
        <v>1958</v>
      </c>
      <c r="ED14" s="73">
        <f t="shared" si="70"/>
        <v>1</v>
      </c>
      <c r="EE14" s="65"/>
      <c r="EF14" s="74" t="s">
        <v>1951</v>
      </c>
      <c r="EG14" s="73">
        <f t="shared" si="70"/>
        <v>1</v>
      </c>
      <c r="EH14" s="65"/>
      <c r="EI14" s="74" t="s">
        <v>2001</v>
      </c>
      <c r="EJ14" s="73">
        <f t="shared" si="70"/>
        <v>1</v>
      </c>
      <c r="EK14" s="65"/>
      <c r="EL14" s="74"/>
      <c r="EM14" s="73">
        <f t="shared" si="70"/>
        <v>0</v>
      </c>
      <c r="EN14" s="65"/>
      <c r="EO14" s="74"/>
      <c r="EP14" s="73">
        <f t="shared" si="70"/>
        <v>0</v>
      </c>
      <c r="EQ14" s="65"/>
      <c r="ER14" s="74"/>
      <c r="ES14" s="73">
        <f t="shared" si="70"/>
        <v>0</v>
      </c>
      <c r="ET14" s="65"/>
      <c r="EU14" s="74"/>
      <c r="EV14" s="73">
        <f t="shared" si="70"/>
        <v>0</v>
      </c>
      <c r="EW14" s="65"/>
      <c r="EX14" s="74"/>
      <c r="EY14" s="73">
        <f t="shared" si="92"/>
        <v>0</v>
      </c>
      <c r="EZ14" s="65"/>
      <c r="FA14" s="74"/>
      <c r="FB14" s="73">
        <f t="shared" si="92"/>
        <v>0</v>
      </c>
      <c r="FC14" s="65"/>
      <c r="FD14" s="74"/>
      <c r="FE14" s="73">
        <f t="shared" si="92"/>
        <v>0</v>
      </c>
      <c r="FF14" s="65"/>
      <c r="FG14" s="74"/>
      <c r="FH14" s="73">
        <f t="shared" si="92"/>
        <v>0</v>
      </c>
      <c r="FI14" s="65"/>
      <c r="FJ14" s="74"/>
      <c r="FK14" s="73">
        <f t="shared" si="92"/>
        <v>0</v>
      </c>
      <c r="FL14" s="65"/>
      <c r="FM14" s="65"/>
    </row>
    <row r="15" spans="1:169">
      <c r="A15" s="49"/>
      <c r="B15" s="49"/>
      <c r="C15" s="439" t="str">
        <f>Idiomas!D311</f>
        <v>Equipo clasificado para DIECISEISAVOS</v>
      </c>
      <c r="D15" s="45">
        <v>3</v>
      </c>
      <c r="E15" s="111"/>
      <c r="F15" s="445">
        <f t="shared" si="97"/>
        <v>4</v>
      </c>
      <c r="G15" s="445">
        <f ca="1">VLOOKUP(H15,Equipos!$Q$1:$R$25,2,0)</f>
        <v>5</v>
      </c>
      <c r="H15" s="446">
        <f ca="1">TRUNC(INDEX(WORLDCUP!$X$4:$X$147,MATCH(ADMIN!K15,WORLDCUP!$DT$4:$DT$147,0))+INDEX(Horarios!$R$3:$R$86,MATCH(Horarios!$C$3,Horarios!$P$3:$P$86,0))/24)</f>
        <v>46188</v>
      </c>
      <c r="I15" s="48">
        <v>1</v>
      </c>
      <c r="J15" s="95" t="s">
        <v>116</v>
      </c>
      <c r="K15" s="53" t="str">
        <f ca="1">CONCATENATE(WORLDCUP!AA37,"-",WORLDCUP!AF37)</f>
        <v>Costa de Marfil-Ecuador</v>
      </c>
      <c r="L15" s="53"/>
      <c r="M15" s="55" t="str">
        <f>IF(OR(WORLDCUP!AC37="",WORLDCUP!AD37=""),"-",N15&amp;"|"&amp;O15&amp;"-"&amp;P15)</f>
        <v>1|1-0</v>
      </c>
      <c r="N15" s="25" t="str">
        <f>IF(OR(WORLDCUP!AC37="",WORLDCUP!AD37=""),"",IF(WORLDCUP!AC37&gt;WORLDCUP!AD37,"1",IF(WORLDCUP!AC37&lt;WORLDCUP!AD37,"2","X")))</f>
        <v>1</v>
      </c>
      <c r="O15" s="25">
        <f>WORLDCUP!AC37</f>
        <v>1</v>
      </c>
      <c r="P15" s="25">
        <f>WORLDCUP!AD37</f>
        <v>0</v>
      </c>
      <c r="Q15" s="25">
        <f t="shared" si="101"/>
        <v>1</v>
      </c>
      <c r="R15" s="49"/>
      <c r="S15" s="74" t="s">
        <v>1948</v>
      </c>
      <c r="T15" s="73">
        <f t="shared" si="98"/>
        <v>2</v>
      </c>
      <c r="U15" s="65"/>
      <c r="V15" s="74" t="s">
        <v>1944</v>
      </c>
      <c r="W15" s="73">
        <f t="shared" si="99"/>
        <v>0</v>
      </c>
      <c r="X15" s="65"/>
      <c r="Y15" s="74" t="s">
        <v>1948</v>
      </c>
      <c r="Z15" s="73">
        <f t="shared" si="100"/>
        <v>2</v>
      </c>
      <c r="AA15" s="65"/>
      <c r="AB15" s="74" t="s">
        <v>1944</v>
      </c>
      <c r="AC15" s="73">
        <f t="shared" si="100"/>
        <v>0</v>
      </c>
      <c r="AD15" s="65"/>
      <c r="AE15" s="74" t="s">
        <v>1960</v>
      </c>
      <c r="AF15" s="73">
        <f t="shared" si="100"/>
        <v>0</v>
      </c>
      <c r="AG15" s="65"/>
      <c r="AH15" s="74" t="s">
        <v>1945</v>
      </c>
      <c r="AI15" s="73">
        <f t="shared" si="100"/>
        <v>0</v>
      </c>
      <c r="AJ15" s="65"/>
      <c r="AK15" s="74" t="s">
        <v>1944</v>
      </c>
      <c r="AL15" s="73">
        <f t="shared" si="100"/>
        <v>0</v>
      </c>
      <c r="AM15" s="65"/>
      <c r="AN15" s="74" t="s">
        <v>1946</v>
      </c>
      <c r="AO15" s="73">
        <f t="shared" si="100"/>
        <v>0</v>
      </c>
      <c r="AP15" s="65"/>
      <c r="AQ15" s="74" t="s">
        <v>1960</v>
      </c>
      <c r="AR15" s="73">
        <f t="shared" si="100"/>
        <v>0</v>
      </c>
      <c r="AS15" s="65"/>
      <c r="AT15" s="74" t="s">
        <v>1952</v>
      </c>
      <c r="AU15" s="73">
        <f t="shared" si="100"/>
        <v>0</v>
      </c>
      <c r="AV15" s="65"/>
      <c r="AW15" s="74" t="s">
        <v>1946</v>
      </c>
      <c r="AX15" s="73">
        <f t="shared" si="100"/>
        <v>0</v>
      </c>
      <c r="AY15" s="65"/>
      <c r="AZ15" s="74" t="s">
        <v>1944</v>
      </c>
      <c r="BA15" s="73">
        <f t="shared" si="100"/>
        <v>0</v>
      </c>
      <c r="BB15" s="65"/>
      <c r="BC15" s="74" t="s">
        <v>1952</v>
      </c>
      <c r="BD15" s="73">
        <f t="shared" si="100"/>
        <v>0</v>
      </c>
      <c r="BE15" s="65"/>
      <c r="BF15" s="74" t="s">
        <v>1960</v>
      </c>
      <c r="BG15" s="73">
        <f t="shared" si="100"/>
        <v>0</v>
      </c>
      <c r="BH15" s="65"/>
      <c r="BI15" s="74" t="s">
        <v>1948</v>
      </c>
      <c r="BJ15" s="73">
        <f t="shared" si="100"/>
        <v>2</v>
      </c>
      <c r="BK15" s="65"/>
      <c r="BL15" s="74" t="s">
        <v>1946</v>
      </c>
      <c r="BM15" s="73">
        <f t="shared" si="100"/>
        <v>0</v>
      </c>
      <c r="BN15" s="65"/>
      <c r="BO15" s="74" t="s">
        <v>1948</v>
      </c>
      <c r="BP15" s="73">
        <f t="shared" si="100"/>
        <v>2</v>
      </c>
      <c r="BQ15" s="65"/>
      <c r="BR15" s="74" t="s">
        <v>1952</v>
      </c>
      <c r="BS15" s="73">
        <f t="shared" si="100"/>
        <v>0</v>
      </c>
      <c r="BT15" s="65"/>
      <c r="BU15" s="74" t="s">
        <v>1958</v>
      </c>
      <c r="BV15" s="73">
        <f t="shared" si="100"/>
        <v>1</v>
      </c>
      <c r="BW15" s="65"/>
      <c r="BX15" s="74" t="s">
        <v>1952</v>
      </c>
      <c r="BY15" s="73">
        <f t="shared" si="100"/>
        <v>0</v>
      </c>
      <c r="BZ15" s="65"/>
      <c r="CA15" s="74" t="s">
        <v>1952</v>
      </c>
      <c r="CB15" s="73">
        <f t="shared" si="100"/>
        <v>0</v>
      </c>
      <c r="CC15" s="65"/>
      <c r="CD15" s="74" t="s">
        <v>1946</v>
      </c>
      <c r="CE15" s="73">
        <f t="shared" si="100"/>
        <v>0</v>
      </c>
      <c r="CF15" s="65"/>
      <c r="CG15" s="74" t="s">
        <v>1946</v>
      </c>
      <c r="CH15" s="73">
        <f t="shared" si="100"/>
        <v>0</v>
      </c>
      <c r="CI15" s="65"/>
      <c r="CJ15" s="74" t="s">
        <v>1946</v>
      </c>
      <c r="CK15" s="73">
        <f t="shared" si="70"/>
        <v>0</v>
      </c>
      <c r="CL15" s="65"/>
      <c r="CM15" s="74" t="s">
        <v>1960</v>
      </c>
      <c r="CN15" s="73">
        <f t="shared" si="70"/>
        <v>0</v>
      </c>
      <c r="CO15" s="65"/>
      <c r="CP15" s="74" t="s">
        <v>1957</v>
      </c>
      <c r="CQ15" s="73">
        <f t="shared" si="70"/>
        <v>0</v>
      </c>
      <c r="CR15" s="65"/>
      <c r="CS15" s="74" t="s">
        <v>1946</v>
      </c>
      <c r="CT15" s="73">
        <f t="shared" si="70"/>
        <v>0</v>
      </c>
      <c r="CU15" s="65"/>
      <c r="CV15" s="74" t="s">
        <v>1957</v>
      </c>
      <c r="CW15" s="73">
        <f t="shared" si="70"/>
        <v>0</v>
      </c>
      <c r="CX15" s="65"/>
      <c r="CY15" s="74" t="s">
        <v>1946</v>
      </c>
      <c r="CZ15" s="73">
        <f t="shared" si="70"/>
        <v>0</v>
      </c>
      <c r="DA15" s="65"/>
      <c r="DB15" s="74" t="s">
        <v>1946</v>
      </c>
      <c r="DC15" s="73">
        <f t="shared" si="70"/>
        <v>0</v>
      </c>
      <c r="DD15" s="65"/>
      <c r="DE15" s="74" t="s">
        <v>1946</v>
      </c>
      <c r="DF15" s="73">
        <f t="shared" si="70"/>
        <v>0</v>
      </c>
      <c r="DG15" s="65"/>
      <c r="DH15" s="74" t="s">
        <v>1952</v>
      </c>
      <c r="DI15" s="73">
        <f t="shared" si="70"/>
        <v>0</v>
      </c>
      <c r="DJ15" s="65"/>
      <c r="DK15" s="74" t="s">
        <v>1944</v>
      </c>
      <c r="DL15" s="73">
        <f t="shared" si="70"/>
        <v>0</v>
      </c>
      <c r="DM15" s="65"/>
      <c r="DN15" s="795" t="s">
        <v>1952</v>
      </c>
      <c r="DO15" s="73">
        <f t="shared" si="70"/>
        <v>0</v>
      </c>
      <c r="DP15" s="65"/>
      <c r="DQ15" s="795" t="s">
        <v>1944</v>
      </c>
      <c r="DR15" s="73">
        <f t="shared" si="70"/>
        <v>0</v>
      </c>
      <c r="DS15" s="65"/>
      <c r="DT15" s="74" t="s">
        <v>1957</v>
      </c>
      <c r="DU15" s="73">
        <f t="shared" si="70"/>
        <v>0</v>
      </c>
      <c r="DV15" s="65"/>
      <c r="DW15" s="74" t="s">
        <v>1946</v>
      </c>
      <c r="DX15" s="73">
        <f t="shared" si="70"/>
        <v>0</v>
      </c>
      <c r="DY15" s="65"/>
      <c r="DZ15" s="74" t="s">
        <v>1946</v>
      </c>
      <c r="EA15" s="73">
        <f t="shared" si="70"/>
        <v>0</v>
      </c>
      <c r="EB15" s="65"/>
      <c r="EC15" s="74" t="s">
        <v>1946</v>
      </c>
      <c r="ED15" s="73">
        <f t="shared" si="70"/>
        <v>0</v>
      </c>
      <c r="EE15" s="65"/>
      <c r="EF15" s="74" t="s">
        <v>1952</v>
      </c>
      <c r="EG15" s="73">
        <f t="shared" si="70"/>
        <v>0</v>
      </c>
      <c r="EH15" s="65"/>
      <c r="EI15" s="74" t="s">
        <v>1946</v>
      </c>
      <c r="EJ15" s="73">
        <f t="shared" si="70"/>
        <v>0</v>
      </c>
      <c r="EK15" s="65"/>
      <c r="EL15" s="74"/>
      <c r="EM15" s="73">
        <f t="shared" si="70"/>
        <v>0</v>
      </c>
      <c r="EN15" s="65"/>
      <c r="EO15" s="74"/>
      <c r="EP15" s="73">
        <f t="shared" si="70"/>
        <v>0</v>
      </c>
      <c r="EQ15" s="65"/>
      <c r="ER15" s="74"/>
      <c r="ES15" s="73">
        <f t="shared" si="70"/>
        <v>0</v>
      </c>
      <c r="ET15" s="65"/>
      <c r="EU15" s="74"/>
      <c r="EV15" s="73">
        <f t="shared" si="70"/>
        <v>0</v>
      </c>
      <c r="EW15" s="65"/>
      <c r="EX15" s="74"/>
      <c r="EY15" s="73">
        <f t="shared" si="92"/>
        <v>0</v>
      </c>
      <c r="EZ15" s="65"/>
      <c r="FA15" s="74"/>
      <c r="FB15" s="73">
        <f t="shared" si="92"/>
        <v>0</v>
      </c>
      <c r="FC15" s="65"/>
      <c r="FD15" s="74"/>
      <c r="FE15" s="73">
        <f t="shared" si="92"/>
        <v>0</v>
      </c>
      <c r="FF15" s="65"/>
      <c r="FG15" s="74"/>
      <c r="FH15" s="73">
        <f t="shared" si="92"/>
        <v>0</v>
      </c>
      <c r="FI15" s="65"/>
      <c r="FJ15" s="74"/>
      <c r="FK15" s="73">
        <f t="shared" si="92"/>
        <v>0</v>
      </c>
      <c r="FL15" s="65"/>
      <c r="FM15" s="65"/>
    </row>
    <row r="16" spans="1:169">
      <c r="A16" s="49"/>
      <c r="B16" s="49"/>
      <c r="C16" s="437" t="str">
        <f>Idiomas!D312</f>
        <v>DIECISEISAVOS - Signo 1X2 (local, empate, visitante)</v>
      </c>
      <c r="D16" s="62">
        <v>1</v>
      </c>
      <c r="E16" s="111"/>
      <c r="F16" s="445">
        <f t="shared" si="97"/>
        <v>4</v>
      </c>
      <c r="G16" s="445">
        <f ca="1">VLOOKUP(H16,Equipos!$Q$1:$R$25,2,0)</f>
        <v>5</v>
      </c>
      <c r="H16" s="446">
        <f ca="1">TRUNC(INDEX(WORLDCUP!$X$4:$X$147,MATCH(ADMIN!K16,WORLDCUP!$DT$4:$DT$147,0))+INDEX(Horarios!$R$3:$R$86,MATCH(Horarios!$C$3,Horarios!$P$3:$P$86,0))/24)</f>
        <v>46188</v>
      </c>
      <c r="I16" s="48">
        <v>1</v>
      </c>
      <c r="J16" s="96" t="s">
        <v>117</v>
      </c>
      <c r="K16" s="56" t="str">
        <f ca="1">CONCATENATE(WORLDCUP!AA44,"-",WORLDCUP!AF44)</f>
        <v>Países Bajos-Japón</v>
      </c>
      <c r="L16" s="53"/>
      <c r="M16" s="55" t="str">
        <f>IF(OR(WORLDCUP!AC44="",WORLDCUP!AD44=""),"-",N16&amp;"|"&amp;O16&amp;"-"&amp;P16)</f>
        <v>X|2-2</v>
      </c>
      <c r="N16" s="25" t="str">
        <f>IF(OR(WORLDCUP!AC44="",WORLDCUP!AD44=""),"",IF(WORLDCUP!AC44&gt;WORLDCUP!AD44,"1",IF(WORLDCUP!AC44&lt;WORLDCUP!AD44,"2","X")))</f>
        <v>X</v>
      </c>
      <c r="O16" s="25">
        <f>WORLDCUP!AC44</f>
        <v>2</v>
      </c>
      <c r="P16" s="25">
        <f>WORLDCUP!AD44</f>
        <v>2</v>
      </c>
      <c r="Q16" s="25">
        <f t="shared" si="101"/>
        <v>0</v>
      </c>
      <c r="R16" s="49"/>
      <c r="S16" s="74" t="s">
        <v>1949</v>
      </c>
      <c r="T16" s="73">
        <f t="shared" si="98"/>
        <v>0</v>
      </c>
      <c r="U16" s="65"/>
      <c r="V16" s="74" t="s">
        <v>1948</v>
      </c>
      <c r="W16" s="73">
        <f t="shared" si="99"/>
        <v>0</v>
      </c>
      <c r="X16" s="65"/>
      <c r="Y16" s="74" t="s">
        <v>1948</v>
      </c>
      <c r="Z16" s="73">
        <f t="shared" si="100"/>
        <v>0</v>
      </c>
      <c r="AA16" s="65"/>
      <c r="AB16" s="74" t="s">
        <v>1948</v>
      </c>
      <c r="AC16" s="73">
        <f t="shared" si="100"/>
        <v>0</v>
      </c>
      <c r="AD16" s="65"/>
      <c r="AE16" s="74" t="s">
        <v>1952</v>
      </c>
      <c r="AF16" s="73">
        <f t="shared" si="100"/>
        <v>0</v>
      </c>
      <c r="AG16" s="65"/>
      <c r="AH16" s="74" t="s">
        <v>1948</v>
      </c>
      <c r="AI16" s="73">
        <f t="shared" si="100"/>
        <v>0</v>
      </c>
      <c r="AJ16" s="65"/>
      <c r="AK16" s="74" t="s">
        <v>1954</v>
      </c>
      <c r="AL16" s="73">
        <f t="shared" si="100"/>
        <v>0</v>
      </c>
      <c r="AM16" s="65"/>
      <c r="AN16" s="74" t="s">
        <v>1948</v>
      </c>
      <c r="AO16" s="73">
        <f t="shared" si="100"/>
        <v>0</v>
      </c>
      <c r="AP16" s="65"/>
      <c r="AQ16" s="74" t="s">
        <v>1948</v>
      </c>
      <c r="AR16" s="73">
        <f t="shared" si="100"/>
        <v>0</v>
      </c>
      <c r="AS16" s="65"/>
      <c r="AT16" s="74" t="s">
        <v>1948</v>
      </c>
      <c r="AU16" s="73">
        <f t="shared" si="100"/>
        <v>0</v>
      </c>
      <c r="AV16" s="65"/>
      <c r="AW16" s="74" t="s">
        <v>1948</v>
      </c>
      <c r="AX16" s="73">
        <f t="shared" si="100"/>
        <v>0</v>
      </c>
      <c r="AY16" s="65"/>
      <c r="AZ16" s="74" t="s">
        <v>1946</v>
      </c>
      <c r="BA16" s="73">
        <f t="shared" si="100"/>
        <v>2</v>
      </c>
      <c r="BB16" s="65"/>
      <c r="BC16" s="74" t="s">
        <v>1943</v>
      </c>
      <c r="BD16" s="73">
        <f t="shared" si="100"/>
        <v>0</v>
      </c>
      <c r="BE16" s="65"/>
      <c r="BF16" s="74" t="s">
        <v>1948</v>
      </c>
      <c r="BG16" s="73">
        <f t="shared" si="100"/>
        <v>0</v>
      </c>
      <c r="BH16" s="65"/>
      <c r="BI16" s="74" t="s">
        <v>1948</v>
      </c>
      <c r="BJ16" s="73">
        <f t="shared" si="100"/>
        <v>0</v>
      </c>
      <c r="BK16" s="65"/>
      <c r="BL16" s="74" t="s">
        <v>1946</v>
      </c>
      <c r="BM16" s="73">
        <f t="shared" si="100"/>
        <v>2</v>
      </c>
      <c r="BN16" s="65"/>
      <c r="BO16" s="74" t="s">
        <v>1948</v>
      </c>
      <c r="BP16" s="73">
        <f t="shared" si="100"/>
        <v>0</v>
      </c>
      <c r="BQ16" s="65"/>
      <c r="BR16" s="74" t="s">
        <v>1946</v>
      </c>
      <c r="BS16" s="73">
        <f t="shared" si="100"/>
        <v>2</v>
      </c>
      <c r="BT16" s="65"/>
      <c r="BU16" s="74" t="s">
        <v>1952</v>
      </c>
      <c r="BV16" s="73">
        <f t="shared" si="100"/>
        <v>0</v>
      </c>
      <c r="BW16" s="65"/>
      <c r="BX16" s="74" t="s">
        <v>1948</v>
      </c>
      <c r="BY16" s="73">
        <f t="shared" si="100"/>
        <v>0</v>
      </c>
      <c r="BZ16" s="65"/>
      <c r="CA16" s="74" t="s">
        <v>1946</v>
      </c>
      <c r="CB16" s="73">
        <f t="shared" si="100"/>
        <v>2</v>
      </c>
      <c r="CC16" s="65"/>
      <c r="CD16" s="74" t="s">
        <v>1960</v>
      </c>
      <c r="CE16" s="73">
        <f t="shared" si="100"/>
        <v>0</v>
      </c>
      <c r="CF16" s="65"/>
      <c r="CG16" s="74" t="s">
        <v>1946</v>
      </c>
      <c r="CH16" s="73">
        <f t="shared" si="100"/>
        <v>2</v>
      </c>
      <c r="CI16" s="65"/>
      <c r="CJ16" s="74" t="s">
        <v>1946</v>
      </c>
      <c r="CK16" s="73">
        <f t="shared" si="70"/>
        <v>2</v>
      </c>
      <c r="CL16" s="65"/>
      <c r="CM16" s="74" t="s">
        <v>1945</v>
      </c>
      <c r="CN16" s="73">
        <f t="shared" si="70"/>
        <v>0</v>
      </c>
      <c r="CO16" s="65"/>
      <c r="CP16" s="74" t="s">
        <v>1946</v>
      </c>
      <c r="CQ16" s="73">
        <f t="shared" si="70"/>
        <v>2</v>
      </c>
      <c r="CR16" s="65"/>
      <c r="CS16" s="74" t="s">
        <v>1942</v>
      </c>
      <c r="CT16" s="73">
        <f t="shared" si="70"/>
        <v>0</v>
      </c>
      <c r="CU16" s="65"/>
      <c r="CV16" s="74" t="s">
        <v>1942</v>
      </c>
      <c r="CW16" s="73">
        <f t="shared" si="70"/>
        <v>0</v>
      </c>
      <c r="CX16" s="65"/>
      <c r="CY16" s="74" t="s">
        <v>1946</v>
      </c>
      <c r="CZ16" s="73">
        <f t="shared" si="70"/>
        <v>2</v>
      </c>
      <c r="DA16" s="65"/>
      <c r="DB16" s="74" t="s">
        <v>1948</v>
      </c>
      <c r="DC16" s="73">
        <f t="shared" si="70"/>
        <v>0</v>
      </c>
      <c r="DD16" s="65"/>
      <c r="DE16" s="74" t="s">
        <v>1948</v>
      </c>
      <c r="DF16" s="73">
        <f t="shared" si="70"/>
        <v>0</v>
      </c>
      <c r="DG16" s="65"/>
      <c r="DH16" s="74" t="s">
        <v>1944</v>
      </c>
      <c r="DI16" s="73">
        <f t="shared" si="70"/>
        <v>4</v>
      </c>
      <c r="DJ16" s="65"/>
      <c r="DK16" s="74" t="s">
        <v>1948</v>
      </c>
      <c r="DL16" s="73">
        <f t="shared" si="70"/>
        <v>0</v>
      </c>
      <c r="DM16" s="65"/>
      <c r="DN16" s="795" t="s">
        <v>1948</v>
      </c>
      <c r="DO16" s="73">
        <f t="shared" si="70"/>
        <v>0</v>
      </c>
      <c r="DP16" s="65"/>
      <c r="DQ16" s="795" t="s">
        <v>1962</v>
      </c>
      <c r="DR16" s="73">
        <f t="shared" si="70"/>
        <v>0</v>
      </c>
      <c r="DS16" s="65"/>
      <c r="DT16" s="74" t="s">
        <v>1944</v>
      </c>
      <c r="DU16" s="73">
        <f t="shared" si="70"/>
        <v>4</v>
      </c>
      <c r="DV16" s="65"/>
      <c r="DW16" s="74" t="s">
        <v>1944</v>
      </c>
      <c r="DX16" s="73">
        <f t="shared" si="70"/>
        <v>4</v>
      </c>
      <c r="DY16" s="65"/>
      <c r="DZ16" s="74" t="s">
        <v>1946</v>
      </c>
      <c r="EA16" s="73">
        <f t="shared" si="70"/>
        <v>2</v>
      </c>
      <c r="EB16" s="65"/>
      <c r="EC16" s="74" t="s">
        <v>1958</v>
      </c>
      <c r="ED16" s="73">
        <f t="shared" si="70"/>
        <v>0</v>
      </c>
      <c r="EE16" s="65"/>
      <c r="EF16" s="74" t="s">
        <v>1946</v>
      </c>
      <c r="EG16" s="73">
        <f t="shared" si="70"/>
        <v>2</v>
      </c>
      <c r="EH16" s="65"/>
      <c r="EI16" s="74" t="s">
        <v>1946</v>
      </c>
      <c r="EJ16" s="73">
        <f t="shared" si="70"/>
        <v>2</v>
      </c>
      <c r="EK16" s="65"/>
      <c r="EL16" s="74"/>
      <c r="EM16" s="73">
        <f t="shared" si="70"/>
        <v>0</v>
      </c>
      <c r="EN16" s="65"/>
      <c r="EO16" s="74"/>
      <c r="EP16" s="73">
        <f t="shared" si="70"/>
        <v>0</v>
      </c>
      <c r="EQ16" s="65"/>
      <c r="ER16" s="74"/>
      <c r="ES16" s="73">
        <f t="shared" si="70"/>
        <v>0</v>
      </c>
      <c r="ET16" s="65"/>
      <c r="EU16" s="74"/>
      <c r="EV16" s="73">
        <f t="shared" si="70"/>
        <v>0</v>
      </c>
      <c r="EW16" s="65"/>
      <c r="EX16" s="74"/>
      <c r="EY16" s="73">
        <f t="shared" si="92"/>
        <v>0</v>
      </c>
      <c r="EZ16" s="65"/>
      <c r="FA16" s="74"/>
      <c r="FB16" s="73">
        <f t="shared" si="92"/>
        <v>0</v>
      </c>
      <c r="FC16" s="65"/>
      <c r="FD16" s="74"/>
      <c r="FE16" s="73">
        <f t="shared" si="92"/>
        <v>0</v>
      </c>
      <c r="FF16" s="65"/>
      <c r="FG16" s="74"/>
      <c r="FH16" s="73">
        <f t="shared" si="92"/>
        <v>0</v>
      </c>
      <c r="FI16" s="65"/>
      <c r="FJ16" s="74"/>
      <c r="FK16" s="73">
        <f t="shared" si="92"/>
        <v>0</v>
      </c>
      <c r="FL16" s="65"/>
      <c r="FM16" s="65"/>
    </row>
    <row r="17" spans="1:169">
      <c r="A17" s="49"/>
      <c r="B17" s="49"/>
      <c r="C17" s="438" t="str">
        <f>Idiomas!D313&amp;"**"</f>
        <v>DIECISEISAVOS - Diferencia/Distancia de goles (Con 1X2 acertado)**</v>
      </c>
      <c r="D17" s="44">
        <v>1</v>
      </c>
      <c r="E17" s="111"/>
      <c r="F17" s="445">
        <f t="shared" si="97"/>
        <v>4</v>
      </c>
      <c r="G17" s="445">
        <f ca="1">VLOOKUP(H17,Equipos!$Q$1:$R$25,2,0)</f>
        <v>5</v>
      </c>
      <c r="H17" s="446">
        <f ca="1">TRUNC(INDEX(WORLDCUP!$X$4:$X$147,MATCH(ADMIN!K17,WORLDCUP!$DT$4:$DT$147,0))+INDEX(Horarios!$R$3:$R$86,MATCH(Horarios!$C$3,Horarios!$P$3:$P$86,0))/24)</f>
        <v>46188</v>
      </c>
      <c r="I17" s="48">
        <v>1</v>
      </c>
      <c r="J17" s="96" t="s">
        <v>117</v>
      </c>
      <c r="K17" s="53" t="str">
        <f ca="1">CONCATENATE(WORLDCUP!AA45,"-",WORLDCUP!AF45)</f>
        <v>Suecia-Túnez</v>
      </c>
      <c r="L17" s="53"/>
      <c r="M17" s="55" t="str">
        <f>IF(OR(WORLDCUP!AC45="",WORLDCUP!AD45=""),"-",N17&amp;"|"&amp;O17&amp;"-"&amp;P17)</f>
        <v>1|5-1</v>
      </c>
      <c r="N17" s="25" t="str">
        <f>IF(OR(WORLDCUP!AC45="",WORLDCUP!AD45=""),"",IF(WORLDCUP!AC45&gt;WORLDCUP!AD45,"1",IF(WORLDCUP!AC45&lt;WORLDCUP!AD45,"2","X")))</f>
        <v>1</v>
      </c>
      <c r="O17" s="25">
        <f>WORLDCUP!AC45</f>
        <v>5</v>
      </c>
      <c r="P17" s="25">
        <f>WORLDCUP!AD45</f>
        <v>1</v>
      </c>
      <c r="Q17" s="25">
        <f t="shared" si="101"/>
        <v>4</v>
      </c>
      <c r="R17" s="49"/>
      <c r="S17" s="74" t="s">
        <v>1945</v>
      </c>
      <c r="T17" s="73">
        <f t="shared" si="98"/>
        <v>0</v>
      </c>
      <c r="U17" s="65"/>
      <c r="V17" s="74" t="s">
        <v>1942</v>
      </c>
      <c r="W17" s="73">
        <f t="shared" si="99"/>
        <v>1</v>
      </c>
      <c r="X17" s="65"/>
      <c r="Y17" s="74" t="s">
        <v>1942</v>
      </c>
      <c r="Z17" s="73">
        <f t="shared" si="100"/>
        <v>1</v>
      </c>
      <c r="AA17" s="65"/>
      <c r="AB17" s="74" t="s">
        <v>1942</v>
      </c>
      <c r="AC17" s="73">
        <f t="shared" si="100"/>
        <v>1</v>
      </c>
      <c r="AD17" s="65"/>
      <c r="AE17" s="74" t="s">
        <v>1948</v>
      </c>
      <c r="AF17" s="73">
        <f t="shared" si="100"/>
        <v>1</v>
      </c>
      <c r="AG17" s="65"/>
      <c r="AH17" s="74" t="s">
        <v>1942</v>
      </c>
      <c r="AI17" s="73">
        <f t="shared" si="100"/>
        <v>1</v>
      </c>
      <c r="AJ17" s="65"/>
      <c r="AK17" s="74" t="s">
        <v>1942</v>
      </c>
      <c r="AL17" s="73">
        <f t="shared" si="100"/>
        <v>1</v>
      </c>
      <c r="AM17" s="65"/>
      <c r="AN17" s="74" t="s">
        <v>1946</v>
      </c>
      <c r="AO17" s="73">
        <f t="shared" si="100"/>
        <v>0</v>
      </c>
      <c r="AP17" s="65"/>
      <c r="AQ17" s="74" t="s">
        <v>1954</v>
      </c>
      <c r="AR17" s="73">
        <f t="shared" si="100"/>
        <v>1</v>
      </c>
      <c r="AS17" s="65"/>
      <c r="AT17" s="74" t="s">
        <v>1946</v>
      </c>
      <c r="AU17" s="73">
        <f t="shared" si="100"/>
        <v>0</v>
      </c>
      <c r="AV17" s="65"/>
      <c r="AW17" s="74" t="s">
        <v>1946</v>
      </c>
      <c r="AX17" s="73">
        <f t="shared" si="100"/>
        <v>0</v>
      </c>
      <c r="AY17" s="65"/>
      <c r="AZ17" s="74" t="s">
        <v>1948</v>
      </c>
      <c r="BA17" s="73">
        <f t="shared" si="100"/>
        <v>1</v>
      </c>
      <c r="BB17" s="65"/>
      <c r="BC17" s="74" t="s">
        <v>1942</v>
      </c>
      <c r="BD17" s="73">
        <f t="shared" si="100"/>
        <v>1</v>
      </c>
      <c r="BE17" s="65"/>
      <c r="BF17" s="74" t="s">
        <v>1946</v>
      </c>
      <c r="BG17" s="73">
        <f t="shared" si="100"/>
        <v>0</v>
      </c>
      <c r="BH17" s="65"/>
      <c r="BI17" s="74" t="s">
        <v>1942</v>
      </c>
      <c r="BJ17" s="73">
        <f t="shared" si="100"/>
        <v>1</v>
      </c>
      <c r="BK17" s="65"/>
      <c r="BL17" s="74" t="s">
        <v>1942</v>
      </c>
      <c r="BM17" s="73">
        <f t="shared" si="100"/>
        <v>1</v>
      </c>
      <c r="BN17" s="65"/>
      <c r="BO17" s="74" t="s">
        <v>1948</v>
      </c>
      <c r="BP17" s="73">
        <f t="shared" si="100"/>
        <v>1</v>
      </c>
      <c r="BQ17" s="65"/>
      <c r="BR17" s="74" t="s">
        <v>1942</v>
      </c>
      <c r="BS17" s="73">
        <f t="shared" si="100"/>
        <v>1</v>
      </c>
      <c r="BT17" s="65"/>
      <c r="BU17" s="74" t="s">
        <v>1948</v>
      </c>
      <c r="BV17" s="73">
        <f t="shared" si="100"/>
        <v>1</v>
      </c>
      <c r="BW17" s="65"/>
      <c r="BX17" s="74" t="s">
        <v>1946</v>
      </c>
      <c r="BY17" s="73">
        <f t="shared" si="100"/>
        <v>0</v>
      </c>
      <c r="BZ17" s="65"/>
      <c r="CA17" s="74" t="s">
        <v>1954</v>
      </c>
      <c r="CB17" s="73">
        <f t="shared" si="100"/>
        <v>1</v>
      </c>
      <c r="CC17" s="65"/>
      <c r="CD17" s="74" t="s">
        <v>1957</v>
      </c>
      <c r="CE17" s="73">
        <f t="shared" si="100"/>
        <v>0</v>
      </c>
      <c r="CF17" s="65"/>
      <c r="CG17" s="74" t="s">
        <v>1942</v>
      </c>
      <c r="CH17" s="73">
        <f t="shared" si="100"/>
        <v>1</v>
      </c>
      <c r="CI17" s="65"/>
      <c r="CJ17" s="74" t="s">
        <v>1957</v>
      </c>
      <c r="CK17" s="73">
        <f t="shared" si="70"/>
        <v>0</v>
      </c>
      <c r="CL17" s="65"/>
      <c r="CM17" s="74" t="s">
        <v>1957</v>
      </c>
      <c r="CN17" s="73">
        <f t="shared" si="70"/>
        <v>0</v>
      </c>
      <c r="CO17" s="65"/>
      <c r="CP17" s="74" t="s">
        <v>1942</v>
      </c>
      <c r="CQ17" s="73">
        <f t="shared" si="70"/>
        <v>1</v>
      </c>
      <c r="CR17" s="65"/>
      <c r="CS17" s="74" t="s">
        <v>1946</v>
      </c>
      <c r="CT17" s="73">
        <f t="shared" si="70"/>
        <v>0</v>
      </c>
      <c r="CU17" s="65"/>
      <c r="CV17" s="74" t="s">
        <v>1954</v>
      </c>
      <c r="CW17" s="73">
        <f t="shared" si="70"/>
        <v>1</v>
      </c>
      <c r="CX17" s="65"/>
      <c r="CY17" s="74" t="s">
        <v>1954</v>
      </c>
      <c r="CZ17" s="73">
        <f t="shared" si="70"/>
        <v>1</v>
      </c>
      <c r="DA17" s="65"/>
      <c r="DB17" s="74" t="s">
        <v>1942</v>
      </c>
      <c r="DC17" s="73">
        <f t="shared" si="70"/>
        <v>1</v>
      </c>
      <c r="DD17" s="65"/>
      <c r="DE17" s="74" t="s">
        <v>1948</v>
      </c>
      <c r="DF17" s="73">
        <f t="shared" si="70"/>
        <v>1</v>
      </c>
      <c r="DG17" s="65"/>
      <c r="DH17" s="74" t="s">
        <v>1942</v>
      </c>
      <c r="DI17" s="73">
        <f t="shared" si="70"/>
        <v>1</v>
      </c>
      <c r="DJ17" s="65"/>
      <c r="DK17" s="74" t="s">
        <v>1954</v>
      </c>
      <c r="DL17" s="73">
        <f t="shared" si="70"/>
        <v>1</v>
      </c>
      <c r="DM17" s="65"/>
      <c r="DN17" s="795" t="s">
        <v>1944</v>
      </c>
      <c r="DO17" s="73">
        <f t="shared" si="70"/>
        <v>0</v>
      </c>
      <c r="DP17" s="65"/>
      <c r="DQ17" s="795" t="s">
        <v>1946</v>
      </c>
      <c r="DR17" s="73">
        <f t="shared" si="70"/>
        <v>0</v>
      </c>
      <c r="DS17" s="65"/>
      <c r="DT17" s="74" t="s">
        <v>1956</v>
      </c>
      <c r="DU17" s="73">
        <f t="shared" si="70"/>
        <v>1</v>
      </c>
      <c r="DV17" s="65"/>
      <c r="DW17" s="74" t="s">
        <v>1948</v>
      </c>
      <c r="DX17" s="73">
        <f t="shared" si="70"/>
        <v>1</v>
      </c>
      <c r="DY17" s="65"/>
      <c r="DZ17" s="74" t="s">
        <v>1942</v>
      </c>
      <c r="EA17" s="73">
        <f t="shared" si="70"/>
        <v>1</v>
      </c>
      <c r="EB17" s="65"/>
      <c r="EC17" s="74" t="s">
        <v>1946</v>
      </c>
      <c r="ED17" s="73">
        <f t="shared" si="70"/>
        <v>0</v>
      </c>
      <c r="EE17" s="65"/>
      <c r="EF17" s="74" t="s">
        <v>1948</v>
      </c>
      <c r="EG17" s="73">
        <f t="shared" si="70"/>
        <v>1</v>
      </c>
      <c r="EH17" s="65"/>
      <c r="EI17" s="74" t="s">
        <v>1957</v>
      </c>
      <c r="EJ17" s="73">
        <f t="shared" si="70"/>
        <v>0</v>
      </c>
      <c r="EK17" s="65"/>
      <c r="EL17" s="74"/>
      <c r="EM17" s="73">
        <f t="shared" si="70"/>
        <v>0</v>
      </c>
      <c r="EN17" s="65"/>
      <c r="EO17" s="74"/>
      <c r="EP17" s="73">
        <f t="shared" si="70"/>
        <v>0</v>
      </c>
      <c r="EQ17" s="65"/>
      <c r="ER17" s="74"/>
      <c r="ES17" s="73">
        <f t="shared" si="70"/>
        <v>0</v>
      </c>
      <c r="ET17" s="65"/>
      <c r="EU17" s="74"/>
      <c r="EV17" s="73">
        <f t="shared" si="70"/>
        <v>0</v>
      </c>
      <c r="EW17" s="65"/>
      <c r="EX17" s="74"/>
      <c r="EY17" s="73">
        <f t="shared" si="92"/>
        <v>0</v>
      </c>
      <c r="EZ17" s="65"/>
      <c r="FA17" s="74"/>
      <c r="FB17" s="73">
        <f t="shared" si="92"/>
        <v>0</v>
      </c>
      <c r="FC17" s="65"/>
      <c r="FD17" s="74"/>
      <c r="FE17" s="73">
        <f t="shared" si="92"/>
        <v>0</v>
      </c>
      <c r="FF17" s="65"/>
      <c r="FG17" s="74"/>
      <c r="FH17" s="73">
        <f t="shared" si="92"/>
        <v>0</v>
      </c>
      <c r="FI17" s="65"/>
      <c r="FJ17" s="74"/>
      <c r="FK17" s="73">
        <f t="shared" si="92"/>
        <v>0</v>
      </c>
      <c r="FL17" s="65"/>
      <c r="FM17" s="65"/>
    </row>
    <row r="18" spans="1:169">
      <c r="A18" s="49"/>
      <c r="B18" s="49"/>
      <c r="C18" s="437" t="str">
        <f>Idiomas!D314</f>
        <v>DIECISEISAVOS - Resultado exacto</v>
      </c>
      <c r="D18" s="62">
        <v>2</v>
      </c>
      <c r="E18" s="111"/>
      <c r="F18" s="445">
        <f t="shared" si="97"/>
        <v>4</v>
      </c>
      <c r="G18" s="445">
        <f ca="1">VLOOKUP(H18,Equipos!$Q$1:$R$25,2,0)</f>
        <v>5</v>
      </c>
      <c r="H18" s="446">
        <f ca="1">TRUNC(INDEX(WORLDCUP!$X$4:$X$147,MATCH(ADMIN!K18,WORLDCUP!$DT$4:$DT$147,0))+INDEX(Horarios!$R$3:$R$86,MATCH(Horarios!$C$3,Horarios!$P$3:$P$86,0))/24)</f>
        <v>46188</v>
      </c>
      <c r="I18" s="48">
        <v>1</v>
      </c>
      <c r="J18" s="95" t="s">
        <v>510</v>
      </c>
      <c r="K18" s="56" t="str">
        <f ca="1">CONCATENATE(WORLDCUP!AA52,"-",WORLDCUP!AF52)</f>
        <v>Bélgica-Egipto</v>
      </c>
      <c r="L18" s="53"/>
      <c r="M18" s="55" t="str">
        <f>IF(OR(WORLDCUP!AC52="",WORLDCUP!AD52=""),"-",N18&amp;"|"&amp;O18&amp;"-"&amp;P18)</f>
        <v>X|1-1</v>
      </c>
      <c r="N18" s="25" t="str">
        <f>IF(OR(WORLDCUP!AC52="",WORLDCUP!AD52=""),"",IF(WORLDCUP!AC52&gt;WORLDCUP!AD52,"1",IF(WORLDCUP!AC52&lt;WORLDCUP!AD52,"2","X")))</f>
        <v>X</v>
      </c>
      <c r="O18" s="25">
        <f>WORLDCUP!AC52</f>
        <v>1</v>
      </c>
      <c r="P18" s="25">
        <f>WORLDCUP!AD52</f>
        <v>1</v>
      </c>
      <c r="Q18" s="25">
        <f t="shared" si="101"/>
        <v>0</v>
      </c>
      <c r="R18" s="49"/>
      <c r="S18" s="74" t="s">
        <v>1943</v>
      </c>
      <c r="T18" s="73">
        <f t="shared" si="98"/>
        <v>0</v>
      </c>
      <c r="U18" s="65"/>
      <c r="V18" s="74" t="s">
        <v>1948</v>
      </c>
      <c r="W18" s="73">
        <f t="shared" si="99"/>
        <v>0</v>
      </c>
      <c r="X18" s="65"/>
      <c r="Y18" s="74" t="s">
        <v>1946</v>
      </c>
      <c r="Z18" s="73">
        <f t="shared" si="100"/>
        <v>4</v>
      </c>
      <c r="AA18" s="65"/>
      <c r="AB18" s="74" t="s">
        <v>1946</v>
      </c>
      <c r="AC18" s="73">
        <f t="shared" si="100"/>
        <v>4</v>
      </c>
      <c r="AD18" s="65"/>
      <c r="AE18" s="74" t="s">
        <v>1948</v>
      </c>
      <c r="AF18" s="73">
        <f t="shared" si="100"/>
        <v>0</v>
      </c>
      <c r="AG18" s="65"/>
      <c r="AH18" s="74" t="s">
        <v>1954</v>
      </c>
      <c r="AI18" s="73">
        <f t="shared" si="100"/>
        <v>0</v>
      </c>
      <c r="AJ18" s="65"/>
      <c r="AK18" s="74" t="s">
        <v>1943</v>
      </c>
      <c r="AL18" s="73">
        <f t="shared" si="100"/>
        <v>0</v>
      </c>
      <c r="AM18" s="65"/>
      <c r="AN18" s="74" t="s">
        <v>1948</v>
      </c>
      <c r="AO18" s="73">
        <f t="shared" si="100"/>
        <v>0</v>
      </c>
      <c r="AP18" s="65"/>
      <c r="AQ18" s="74" t="s">
        <v>1946</v>
      </c>
      <c r="AR18" s="73">
        <f t="shared" si="100"/>
        <v>4</v>
      </c>
      <c r="AS18" s="65"/>
      <c r="AT18" s="74" t="s">
        <v>1946</v>
      </c>
      <c r="AU18" s="73">
        <f t="shared" si="100"/>
        <v>4</v>
      </c>
      <c r="AV18" s="65"/>
      <c r="AW18" s="74" t="s">
        <v>1943</v>
      </c>
      <c r="AX18" s="73">
        <f t="shared" si="100"/>
        <v>0</v>
      </c>
      <c r="AY18" s="65"/>
      <c r="AZ18" s="74" t="s">
        <v>1943</v>
      </c>
      <c r="BA18" s="73">
        <f t="shared" si="100"/>
        <v>0</v>
      </c>
      <c r="BB18" s="65"/>
      <c r="BC18" s="74" t="s">
        <v>1944</v>
      </c>
      <c r="BD18" s="73">
        <f t="shared" si="100"/>
        <v>2</v>
      </c>
      <c r="BE18" s="65"/>
      <c r="BF18" s="74" t="s">
        <v>1948</v>
      </c>
      <c r="BG18" s="73">
        <f t="shared" ref="BG18:DR29" si="102">IFERROR(IF($M18=BF18,($D$8+$D$9+$D$10)*$I18,IF($N18=LEFT(BF18,1),($D$8+MAX(0,IF($D$50=1,$D$9*(1-(ABS($Q18-ABS(VALUE(MID(BF18,FIND("|",BF18)+1,FIND("-",BF18)-FIND("|",BF18)-1))-VALUE(MID(BF18,FIND("-",BF18)+1,10)))))*$D$50),$D$9*(1-(IF($N18="X",ABS($O18-VALUE(MID(BF18,FIND("|",BF18)+1,FIND("-",BF18)-FIND("|",BF18)-1))),ABS($Q18-ABS(VALUE(MID(BF18,FIND("|",BF18)+1,FIND("-",BF18)-FIND("|",BF18)-1))-VALUE(MID(BF18,FIND("-",BF18)+1,10)))))*$D$50)))))*$I18,0)),0)</f>
        <v>0</v>
      </c>
      <c r="BH18" s="65"/>
      <c r="BI18" s="74" t="s">
        <v>1946</v>
      </c>
      <c r="BJ18" s="73">
        <f t="shared" si="102"/>
        <v>4</v>
      </c>
      <c r="BK18" s="65"/>
      <c r="BL18" s="74" t="s">
        <v>1954</v>
      </c>
      <c r="BM18" s="73">
        <f t="shared" si="102"/>
        <v>0</v>
      </c>
      <c r="BN18" s="65"/>
      <c r="BO18" s="74" t="s">
        <v>1943</v>
      </c>
      <c r="BP18" s="73">
        <f t="shared" si="102"/>
        <v>0</v>
      </c>
      <c r="BQ18" s="65"/>
      <c r="BR18" s="74" t="s">
        <v>1954</v>
      </c>
      <c r="BS18" s="73">
        <f t="shared" si="102"/>
        <v>0</v>
      </c>
      <c r="BT18" s="65"/>
      <c r="BU18" s="74" t="s">
        <v>1944</v>
      </c>
      <c r="BV18" s="73">
        <f t="shared" si="102"/>
        <v>2</v>
      </c>
      <c r="BW18" s="65"/>
      <c r="BX18" s="74" t="s">
        <v>1960</v>
      </c>
      <c r="BY18" s="73">
        <f t="shared" si="102"/>
        <v>0</v>
      </c>
      <c r="BZ18" s="65"/>
      <c r="CA18" s="74" t="s">
        <v>1946</v>
      </c>
      <c r="CB18" s="73">
        <f t="shared" si="102"/>
        <v>4</v>
      </c>
      <c r="CC18" s="65"/>
      <c r="CD18" s="74" t="s">
        <v>1942</v>
      </c>
      <c r="CE18" s="73">
        <f t="shared" si="102"/>
        <v>0</v>
      </c>
      <c r="CF18" s="65"/>
      <c r="CG18" s="74" t="s">
        <v>1954</v>
      </c>
      <c r="CH18" s="73">
        <f t="shared" si="102"/>
        <v>0</v>
      </c>
      <c r="CI18" s="65"/>
      <c r="CJ18" s="74" t="s">
        <v>1948</v>
      </c>
      <c r="CK18" s="73">
        <f t="shared" si="102"/>
        <v>0</v>
      </c>
      <c r="CL18" s="65"/>
      <c r="CM18" s="74" t="s">
        <v>1948</v>
      </c>
      <c r="CN18" s="73">
        <f t="shared" si="102"/>
        <v>0</v>
      </c>
      <c r="CO18" s="65"/>
      <c r="CP18" s="74" t="s">
        <v>1954</v>
      </c>
      <c r="CQ18" s="73">
        <f t="shared" si="102"/>
        <v>0</v>
      </c>
      <c r="CR18" s="65"/>
      <c r="CS18" s="74" t="s">
        <v>1948</v>
      </c>
      <c r="CT18" s="73">
        <f t="shared" si="102"/>
        <v>0</v>
      </c>
      <c r="CU18" s="65"/>
      <c r="CV18" s="74" t="s">
        <v>1946</v>
      </c>
      <c r="CW18" s="73">
        <f t="shared" si="102"/>
        <v>4</v>
      </c>
      <c r="CX18" s="65"/>
      <c r="CY18" s="74" t="s">
        <v>1946</v>
      </c>
      <c r="CZ18" s="73">
        <f t="shared" si="102"/>
        <v>4</v>
      </c>
      <c r="DA18" s="65"/>
      <c r="DB18" s="74" t="s">
        <v>1948</v>
      </c>
      <c r="DC18" s="73">
        <f t="shared" si="102"/>
        <v>0</v>
      </c>
      <c r="DD18" s="65"/>
      <c r="DE18" s="74" t="s">
        <v>1946</v>
      </c>
      <c r="DF18" s="73">
        <f t="shared" si="102"/>
        <v>4</v>
      </c>
      <c r="DG18" s="65"/>
      <c r="DH18" s="74" t="s">
        <v>1954</v>
      </c>
      <c r="DI18" s="73">
        <f t="shared" si="102"/>
        <v>0</v>
      </c>
      <c r="DJ18" s="65"/>
      <c r="DK18" s="74" t="s">
        <v>1948</v>
      </c>
      <c r="DL18" s="73">
        <f t="shared" si="102"/>
        <v>0</v>
      </c>
      <c r="DM18" s="65"/>
      <c r="DN18" s="795" t="s">
        <v>1948</v>
      </c>
      <c r="DO18" s="73">
        <f t="shared" si="102"/>
        <v>0</v>
      </c>
      <c r="DP18" s="65"/>
      <c r="DQ18" s="795" t="s">
        <v>1949</v>
      </c>
      <c r="DR18" s="73">
        <f t="shared" si="102"/>
        <v>0</v>
      </c>
      <c r="DS18" s="65"/>
      <c r="DT18" s="74" t="s">
        <v>1943</v>
      </c>
      <c r="DU18" s="73">
        <f t="shared" si="70"/>
        <v>0</v>
      </c>
      <c r="DV18" s="65"/>
      <c r="DW18" s="74" t="s">
        <v>1954</v>
      </c>
      <c r="DX18" s="73">
        <f t="shared" si="70"/>
        <v>0</v>
      </c>
      <c r="DY18" s="65"/>
      <c r="DZ18" s="74" t="s">
        <v>1943</v>
      </c>
      <c r="EA18" s="73">
        <f t="shared" si="70"/>
        <v>0</v>
      </c>
      <c r="EB18" s="65"/>
      <c r="EC18" s="74" t="s">
        <v>1954</v>
      </c>
      <c r="ED18" s="73">
        <f t="shared" si="70"/>
        <v>0</v>
      </c>
      <c r="EE18" s="65"/>
      <c r="EF18" s="74" t="s">
        <v>1943</v>
      </c>
      <c r="EG18" s="73">
        <f t="shared" si="70"/>
        <v>0</v>
      </c>
      <c r="EH18" s="65"/>
      <c r="EI18" s="74" t="s">
        <v>1946</v>
      </c>
      <c r="EJ18" s="73">
        <f t="shared" si="70"/>
        <v>4</v>
      </c>
      <c r="EK18" s="65"/>
      <c r="EL18" s="74"/>
      <c r="EM18" s="73">
        <f t="shared" si="70"/>
        <v>0</v>
      </c>
      <c r="EN18" s="65"/>
      <c r="EO18" s="74"/>
      <c r="EP18" s="73">
        <f t="shared" si="70"/>
        <v>0</v>
      </c>
      <c r="EQ18" s="65"/>
      <c r="ER18" s="74"/>
      <c r="ES18" s="73">
        <f t="shared" si="70"/>
        <v>0</v>
      </c>
      <c r="ET18" s="65"/>
      <c r="EU18" s="74"/>
      <c r="EV18" s="73">
        <f t="shared" si="70"/>
        <v>0</v>
      </c>
      <c r="EW18" s="65"/>
      <c r="EX18" s="74"/>
      <c r="EY18" s="73">
        <f t="shared" si="92"/>
        <v>0</v>
      </c>
      <c r="EZ18" s="65"/>
      <c r="FA18" s="74"/>
      <c r="FB18" s="73">
        <f t="shared" si="92"/>
        <v>0</v>
      </c>
      <c r="FC18" s="65"/>
      <c r="FD18" s="74"/>
      <c r="FE18" s="73">
        <f t="shared" si="92"/>
        <v>0</v>
      </c>
      <c r="FF18" s="65"/>
      <c r="FG18" s="74"/>
      <c r="FH18" s="73">
        <f t="shared" si="92"/>
        <v>0</v>
      </c>
      <c r="FI18" s="65"/>
      <c r="FJ18" s="74"/>
      <c r="FK18" s="73">
        <f t="shared" si="92"/>
        <v>0</v>
      </c>
      <c r="FL18" s="65"/>
      <c r="FM18" s="65"/>
    </row>
    <row r="19" spans="1:169">
      <c r="A19" s="49"/>
      <c r="B19" s="49"/>
      <c r="C19" s="439" t="str">
        <f>Idiomas!D315</f>
        <v>Equipo clasificado para OCTAVOS</v>
      </c>
      <c r="D19" s="45">
        <v>4</v>
      </c>
      <c r="E19" s="111"/>
      <c r="F19" s="445">
        <f t="shared" si="97"/>
        <v>4</v>
      </c>
      <c r="G19" s="445">
        <f ca="1">VLOOKUP(H19,Equipos!$Q$1:$R$25,2,0)</f>
        <v>6</v>
      </c>
      <c r="H19" s="446">
        <f ca="1">TRUNC(INDEX(WORLDCUP!$X$4:$X$147,MATCH(ADMIN!K19,WORLDCUP!$DT$4:$DT$147,0))+INDEX(Horarios!$R$3:$R$86,MATCH(Horarios!$C$3,Horarios!$P$3:$P$86,0))/24)</f>
        <v>46189</v>
      </c>
      <c r="I19" s="48">
        <v>1</v>
      </c>
      <c r="J19" s="95" t="s">
        <v>510</v>
      </c>
      <c r="K19" s="53" t="str">
        <f ca="1">CONCATENATE(WORLDCUP!AA53,"-",WORLDCUP!AF53)</f>
        <v>Irán-Nueva Zelanda</v>
      </c>
      <c r="L19" s="53"/>
      <c r="M19" s="55" t="str">
        <f>IF(OR(WORLDCUP!AC53="",WORLDCUP!AD53=""),"-",N19&amp;"|"&amp;O19&amp;"-"&amp;P19)</f>
        <v>X|2-2</v>
      </c>
      <c r="N19" s="25" t="str">
        <f>IF(OR(WORLDCUP!AC53="",WORLDCUP!AD53=""),"",IF(WORLDCUP!AC53&gt;WORLDCUP!AD53,"1",IF(WORLDCUP!AC53&lt;WORLDCUP!AD53,"2","X")))</f>
        <v>X</v>
      </c>
      <c r="O19" s="25">
        <f>WORLDCUP!AC53</f>
        <v>2</v>
      </c>
      <c r="P19" s="25">
        <f>WORLDCUP!AD53</f>
        <v>2</v>
      </c>
      <c r="Q19" s="25">
        <f t="shared" si="101"/>
        <v>0</v>
      </c>
      <c r="R19" s="49"/>
      <c r="S19" s="74" t="s">
        <v>1946</v>
      </c>
      <c r="T19" s="73">
        <f t="shared" si="98"/>
        <v>2</v>
      </c>
      <c r="U19" s="65"/>
      <c r="V19" s="74" t="s">
        <v>1942</v>
      </c>
      <c r="W19" s="73">
        <f t="shared" si="99"/>
        <v>0</v>
      </c>
      <c r="X19" s="65"/>
      <c r="Y19" s="74" t="s">
        <v>1960</v>
      </c>
      <c r="Z19" s="73">
        <f t="shared" ref="Z19:CH30" si="103">IFERROR(IF($M19=Y19,($D$8+$D$9+$D$10)*$I19,IF($N19=LEFT(Y19,1),($D$8+MAX(0,IF($D$50=1,$D$9*(1-(ABS($Q19-ABS(VALUE(MID(Y19,FIND("|",Y19)+1,FIND("-",Y19)-FIND("|",Y19)-1))-VALUE(MID(Y19,FIND("-",Y19)+1,10)))))*$D$50),$D$9*(1-(IF($N19="X",ABS($O19-VALUE(MID(Y19,FIND("|",Y19)+1,FIND("-",Y19)-FIND("|",Y19)-1))),ABS($Q19-ABS(VALUE(MID(Y19,FIND("|",Y19)+1,FIND("-",Y19)-FIND("|",Y19)-1))-VALUE(MID(Y19,FIND("-",Y19)+1,10)))))*$D$50)))))*$I19,0)),0)</f>
        <v>0</v>
      </c>
      <c r="AA19" s="65"/>
      <c r="AB19" s="74" t="s">
        <v>1942</v>
      </c>
      <c r="AC19" s="73">
        <f t="shared" si="103"/>
        <v>0</v>
      </c>
      <c r="AD19" s="65"/>
      <c r="AE19" s="74" t="s">
        <v>1946</v>
      </c>
      <c r="AF19" s="73">
        <f t="shared" si="103"/>
        <v>2</v>
      </c>
      <c r="AG19" s="65"/>
      <c r="AH19" s="74" t="s">
        <v>1944</v>
      </c>
      <c r="AI19" s="73">
        <f t="shared" si="103"/>
        <v>4</v>
      </c>
      <c r="AJ19" s="65"/>
      <c r="AK19" s="74" t="s">
        <v>1946</v>
      </c>
      <c r="AL19" s="73">
        <f t="shared" si="103"/>
        <v>2</v>
      </c>
      <c r="AM19" s="65"/>
      <c r="AN19" s="74" t="s">
        <v>1942</v>
      </c>
      <c r="AO19" s="73">
        <f t="shared" si="103"/>
        <v>0</v>
      </c>
      <c r="AP19" s="65"/>
      <c r="AQ19" s="74" t="s">
        <v>1942</v>
      </c>
      <c r="AR19" s="73">
        <f t="shared" si="103"/>
        <v>0</v>
      </c>
      <c r="AS19" s="65"/>
      <c r="AT19" s="74" t="s">
        <v>1957</v>
      </c>
      <c r="AU19" s="73">
        <f t="shared" si="103"/>
        <v>2</v>
      </c>
      <c r="AV19" s="65"/>
      <c r="AW19" s="74" t="s">
        <v>1948</v>
      </c>
      <c r="AX19" s="73">
        <f t="shared" si="103"/>
        <v>0</v>
      </c>
      <c r="AY19" s="65"/>
      <c r="AZ19" s="74" t="s">
        <v>1949</v>
      </c>
      <c r="BA19" s="73">
        <f t="shared" si="103"/>
        <v>0</v>
      </c>
      <c r="BB19" s="65"/>
      <c r="BC19" s="74" t="s">
        <v>1946</v>
      </c>
      <c r="BD19" s="73">
        <f t="shared" si="103"/>
        <v>2</v>
      </c>
      <c r="BE19" s="65"/>
      <c r="BF19" s="74" t="s">
        <v>1946</v>
      </c>
      <c r="BG19" s="73">
        <f t="shared" si="103"/>
        <v>2</v>
      </c>
      <c r="BH19" s="65"/>
      <c r="BI19" s="74" t="s">
        <v>1960</v>
      </c>
      <c r="BJ19" s="73">
        <f t="shared" si="103"/>
        <v>0</v>
      </c>
      <c r="BK19" s="65"/>
      <c r="BL19" s="74" t="s">
        <v>1942</v>
      </c>
      <c r="BM19" s="73">
        <f t="shared" si="103"/>
        <v>0</v>
      </c>
      <c r="BN19" s="65"/>
      <c r="BO19" s="74" t="s">
        <v>1954</v>
      </c>
      <c r="BP19" s="73">
        <f t="shared" si="103"/>
        <v>0</v>
      </c>
      <c r="BQ19" s="65"/>
      <c r="BR19" s="74" t="s">
        <v>1954</v>
      </c>
      <c r="BS19" s="73">
        <f t="shared" si="103"/>
        <v>0</v>
      </c>
      <c r="BT19" s="65"/>
      <c r="BU19" s="74" t="s">
        <v>1954</v>
      </c>
      <c r="BV19" s="73">
        <f t="shared" si="103"/>
        <v>0</v>
      </c>
      <c r="BW19" s="65"/>
      <c r="BX19" s="74" t="s">
        <v>1946</v>
      </c>
      <c r="BY19" s="73">
        <f t="shared" si="103"/>
        <v>2</v>
      </c>
      <c r="BZ19" s="65"/>
      <c r="CA19" s="74" t="s">
        <v>1942</v>
      </c>
      <c r="CB19" s="73">
        <f t="shared" si="103"/>
        <v>0</v>
      </c>
      <c r="CC19" s="65"/>
      <c r="CD19" s="74" t="s">
        <v>1949</v>
      </c>
      <c r="CE19" s="73">
        <f t="shared" si="103"/>
        <v>0</v>
      </c>
      <c r="CF19" s="65"/>
      <c r="CG19" s="74" t="s">
        <v>1942</v>
      </c>
      <c r="CH19" s="73">
        <f t="shared" si="103"/>
        <v>0</v>
      </c>
      <c r="CI19" s="65"/>
      <c r="CJ19" s="74" t="s">
        <v>1960</v>
      </c>
      <c r="CK19" s="73">
        <f t="shared" si="102"/>
        <v>0</v>
      </c>
      <c r="CL19" s="65"/>
      <c r="CM19" s="74" t="s">
        <v>1957</v>
      </c>
      <c r="CN19" s="73">
        <f t="shared" si="102"/>
        <v>2</v>
      </c>
      <c r="CO19" s="65"/>
      <c r="CP19" s="74" t="s">
        <v>1957</v>
      </c>
      <c r="CQ19" s="73">
        <f t="shared" si="102"/>
        <v>2</v>
      </c>
      <c r="CR19" s="65"/>
      <c r="CS19" s="74" t="s">
        <v>1954</v>
      </c>
      <c r="CT19" s="73">
        <f t="shared" si="102"/>
        <v>0</v>
      </c>
      <c r="CU19" s="65"/>
      <c r="CV19" s="74" t="s">
        <v>1957</v>
      </c>
      <c r="CW19" s="73">
        <f t="shared" si="102"/>
        <v>2</v>
      </c>
      <c r="CX19" s="65"/>
      <c r="CY19" s="74" t="s">
        <v>1942</v>
      </c>
      <c r="CZ19" s="73">
        <f t="shared" si="102"/>
        <v>0</v>
      </c>
      <c r="DA19" s="65"/>
      <c r="DB19" s="74" t="s">
        <v>1954</v>
      </c>
      <c r="DC19" s="73">
        <f t="shared" si="102"/>
        <v>0</v>
      </c>
      <c r="DD19" s="65"/>
      <c r="DE19" s="74" t="s">
        <v>1942</v>
      </c>
      <c r="DF19" s="73">
        <f t="shared" si="102"/>
        <v>0</v>
      </c>
      <c r="DG19" s="65"/>
      <c r="DH19" s="74" t="s">
        <v>1946</v>
      </c>
      <c r="DI19" s="73">
        <f t="shared" si="102"/>
        <v>2</v>
      </c>
      <c r="DJ19" s="65"/>
      <c r="DK19" s="74" t="s">
        <v>1943</v>
      </c>
      <c r="DL19" s="73">
        <f t="shared" si="102"/>
        <v>0</v>
      </c>
      <c r="DM19" s="65"/>
      <c r="DN19" s="795" t="s">
        <v>1942</v>
      </c>
      <c r="DO19" s="73">
        <f t="shared" si="102"/>
        <v>0</v>
      </c>
      <c r="DP19" s="65"/>
      <c r="DQ19" s="795" t="s">
        <v>1946</v>
      </c>
      <c r="DR19" s="73">
        <f t="shared" si="102"/>
        <v>2</v>
      </c>
      <c r="DS19" s="65"/>
      <c r="DT19" s="74" t="s">
        <v>1957</v>
      </c>
      <c r="DU19" s="73">
        <f t="shared" si="70"/>
        <v>2</v>
      </c>
      <c r="DV19" s="65"/>
      <c r="DW19" s="74" t="s">
        <v>1948</v>
      </c>
      <c r="DX19" s="73">
        <f t="shared" si="70"/>
        <v>0</v>
      </c>
      <c r="DY19" s="65"/>
      <c r="DZ19" s="74" t="s">
        <v>1942</v>
      </c>
      <c r="EA19" s="73">
        <f t="shared" ref="EA19:FK19" si="104">IFERROR(IF($M19=DZ19,($D$8+$D$9+$D$10)*$I19,IF($N19=LEFT(DZ19,1),($D$8+MAX(0,IF($D$50=1,$D$9*(1-(ABS($Q19-ABS(VALUE(MID(DZ19,FIND("|",DZ19)+1,FIND("-",DZ19)-FIND("|",DZ19)-1))-VALUE(MID(DZ19,FIND("-",DZ19)+1,10)))))*$D$50),$D$9*(1-(IF($N19="X",ABS($O19-VALUE(MID(DZ19,FIND("|",DZ19)+1,FIND("-",DZ19)-FIND("|",DZ19)-1))),ABS($Q19-ABS(VALUE(MID(DZ19,FIND("|",DZ19)+1,FIND("-",DZ19)-FIND("|",DZ19)-1))-VALUE(MID(DZ19,FIND("-",DZ19)+1,10)))))*$D$50)))))*$I19,0)),0)</f>
        <v>0</v>
      </c>
      <c r="EB19" s="65"/>
      <c r="EC19" s="74" t="s">
        <v>1960</v>
      </c>
      <c r="ED19" s="73">
        <f t="shared" si="104"/>
        <v>0</v>
      </c>
      <c r="EE19" s="65"/>
      <c r="EF19" s="74" t="s">
        <v>1948</v>
      </c>
      <c r="EG19" s="73">
        <f t="shared" si="104"/>
        <v>0</v>
      </c>
      <c r="EH19" s="65"/>
      <c r="EI19" s="74" t="s">
        <v>1942</v>
      </c>
      <c r="EJ19" s="73">
        <f t="shared" si="104"/>
        <v>0</v>
      </c>
      <c r="EK19" s="65"/>
      <c r="EL19" s="74"/>
      <c r="EM19" s="73">
        <f t="shared" si="104"/>
        <v>0</v>
      </c>
      <c r="EN19" s="65"/>
      <c r="EO19" s="74"/>
      <c r="EP19" s="73">
        <f t="shared" si="104"/>
        <v>0</v>
      </c>
      <c r="EQ19" s="65"/>
      <c r="ER19" s="74"/>
      <c r="ES19" s="73">
        <f t="shared" si="104"/>
        <v>0</v>
      </c>
      <c r="ET19" s="65"/>
      <c r="EU19" s="74"/>
      <c r="EV19" s="73">
        <f t="shared" si="104"/>
        <v>0</v>
      </c>
      <c r="EW19" s="65"/>
      <c r="EX19" s="74"/>
      <c r="EY19" s="73">
        <f t="shared" si="104"/>
        <v>0</v>
      </c>
      <c r="EZ19" s="65"/>
      <c r="FA19" s="74"/>
      <c r="FB19" s="73">
        <f t="shared" si="104"/>
        <v>0</v>
      </c>
      <c r="FC19" s="65"/>
      <c r="FD19" s="74"/>
      <c r="FE19" s="73">
        <f t="shared" si="104"/>
        <v>0</v>
      </c>
      <c r="FF19" s="65"/>
      <c r="FG19" s="74"/>
      <c r="FH19" s="73">
        <f t="shared" si="104"/>
        <v>0</v>
      </c>
      <c r="FI19" s="65"/>
      <c r="FJ19" s="74"/>
      <c r="FK19" s="73">
        <f t="shared" si="104"/>
        <v>0</v>
      </c>
      <c r="FL19" s="65"/>
      <c r="FM19" s="65"/>
    </row>
    <row r="20" spans="1:169">
      <c r="A20" s="49"/>
      <c r="B20" s="49"/>
      <c r="C20" s="437" t="str">
        <f>Idiomas!D316</f>
        <v>OCTAVOS - Signo 1X2  (local, empate, visitante)</v>
      </c>
      <c r="D20" s="62">
        <v>1</v>
      </c>
      <c r="E20" s="111"/>
      <c r="F20" s="445">
        <f t="shared" si="97"/>
        <v>4</v>
      </c>
      <c r="G20" s="445">
        <f ca="1">VLOOKUP(H20,Equipos!$Q$1:$R$25,2,0)</f>
        <v>5</v>
      </c>
      <c r="H20" s="446">
        <f ca="1">TRUNC(INDEX(WORLDCUP!$X$4:$X$147,MATCH(ADMIN!K20,WORLDCUP!$DT$4:$DT$147,0))+INDEX(Horarios!$R$3:$R$86,MATCH(Horarios!$C$3,Horarios!$P$3:$P$86,0))/24)</f>
        <v>46188</v>
      </c>
      <c r="I20" s="48">
        <v>1</v>
      </c>
      <c r="J20" s="96" t="s">
        <v>512</v>
      </c>
      <c r="K20" s="56" t="str">
        <f ca="1">CONCATENATE(WORLDCUP!AA60,"-",WORLDCUP!AF60)</f>
        <v>España-Cabo Verde</v>
      </c>
      <c r="L20" s="53"/>
      <c r="M20" s="55" t="str">
        <f>IF(OR(WORLDCUP!AC60="",WORLDCUP!AD60=""),"-",N20&amp;"|"&amp;O20&amp;"-"&amp;P20)</f>
        <v>X|0-0</v>
      </c>
      <c r="N20" s="25" t="str">
        <f>IF(OR(WORLDCUP!AC60="",WORLDCUP!AD60=""),"",IF(WORLDCUP!AC60&gt;WORLDCUP!AD60,"1",IF(WORLDCUP!AC60&lt;WORLDCUP!AD60,"2","X")))</f>
        <v>X</v>
      </c>
      <c r="O20" s="25">
        <f>WORLDCUP!AC60</f>
        <v>0</v>
      </c>
      <c r="P20" s="25">
        <f>WORLDCUP!AD60</f>
        <v>0</v>
      </c>
      <c r="Q20" s="25">
        <f t="shared" si="101"/>
        <v>0</v>
      </c>
      <c r="R20" s="49"/>
      <c r="S20" s="74" t="s">
        <v>1951</v>
      </c>
      <c r="T20" s="73">
        <f t="shared" si="98"/>
        <v>0</v>
      </c>
      <c r="U20" s="65"/>
      <c r="V20" s="74" t="s">
        <v>1958</v>
      </c>
      <c r="W20" s="73">
        <f t="shared" si="99"/>
        <v>0</v>
      </c>
      <c r="X20" s="65"/>
      <c r="Y20" s="74" t="s">
        <v>1958</v>
      </c>
      <c r="Z20" s="73">
        <f t="shared" si="103"/>
        <v>0</v>
      </c>
      <c r="AA20" s="65"/>
      <c r="AB20" s="74" t="s">
        <v>1958</v>
      </c>
      <c r="AC20" s="73">
        <f t="shared" si="103"/>
        <v>0</v>
      </c>
      <c r="AD20" s="65"/>
      <c r="AE20" s="74" t="s">
        <v>1951</v>
      </c>
      <c r="AF20" s="73">
        <f t="shared" si="103"/>
        <v>0</v>
      </c>
      <c r="AG20" s="65"/>
      <c r="AH20" s="74" t="s">
        <v>1943</v>
      </c>
      <c r="AI20" s="73">
        <f t="shared" si="103"/>
        <v>0</v>
      </c>
      <c r="AJ20" s="65"/>
      <c r="AK20" s="74" t="s">
        <v>1950</v>
      </c>
      <c r="AL20" s="73">
        <f t="shared" si="103"/>
        <v>0</v>
      </c>
      <c r="AM20" s="65"/>
      <c r="AN20" s="74" t="s">
        <v>1958</v>
      </c>
      <c r="AO20" s="73">
        <f t="shared" si="103"/>
        <v>0</v>
      </c>
      <c r="AP20" s="65"/>
      <c r="AQ20" s="74" t="s">
        <v>1950</v>
      </c>
      <c r="AR20" s="73">
        <f t="shared" si="103"/>
        <v>0</v>
      </c>
      <c r="AS20" s="65"/>
      <c r="AT20" s="74" t="s">
        <v>1959</v>
      </c>
      <c r="AU20" s="73">
        <f t="shared" si="103"/>
        <v>0</v>
      </c>
      <c r="AV20" s="65"/>
      <c r="AW20" s="74" t="s">
        <v>2001</v>
      </c>
      <c r="AX20" s="73">
        <f t="shared" si="103"/>
        <v>0</v>
      </c>
      <c r="AY20" s="65"/>
      <c r="AZ20" s="74" t="s">
        <v>1951</v>
      </c>
      <c r="BA20" s="73">
        <f t="shared" si="103"/>
        <v>0</v>
      </c>
      <c r="BB20" s="65"/>
      <c r="BC20" s="74" t="s">
        <v>1954</v>
      </c>
      <c r="BD20" s="73">
        <f t="shared" si="103"/>
        <v>0</v>
      </c>
      <c r="BE20" s="65"/>
      <c r="BF20" s="74" t="s">
        <v>1958</v>
      </c>
      <c r="BG20" s="73">
        <f t="shared" si="103"/>
        <v>0</v>
      </c>
      <c r="BH20" s="65"/>
      <c r="BI20" s="74" t="s">
        <v>1958</v>
      </c>
      <c r="BJ20" s="73">
        <f t="shared" si="103"/>
        <v>0</v>
      </c>
      <c r="BK20" s="65"/>
      <c r="BL20" s="74" t="s">
        <v>1958</v>
      </c>
      <c r="BM20" s="73">
        <f t="shared" si="103"/>
        <v>0</v>
      </c>
      <c r="BN20" s="65"/>
      <c r="BO20" s="74" t="s">
        <v>1958</v>
      </c>
      <c r="BP20" s="73">
        <f t="shared" si="103"/>
        <v>0</v>
      </c>
      <c r="BQ20" s="65"/>
      <c r="BR20" s="74" t="s">
        <v>1958</v>
      </c>
      <c r="BS20" s="73">
        <f t="shared" si="103"/>
        <v>0</v>
      </c>
      <c r="BT20" s="65"/>
      <c r="BU20" s="74" t="s">
        <v>2001</v>
      </c>
      <c r="BV20" s="73">
        <f t="shared" si="103"/>
        <v>0</v>
      </c>
      <c r="BW20" s="65"/>
      <c r="BX20" s="74" t="s">
        <v>1958</v>
      </c>
      <c r="BY20" s="73">
        <f t="shared" si="103"/>
        <v>0</v>
      </c>
      <c r="BZ20" s="65"/>
      <c r="CA20" s="74" t="s">
        <v>1959</v>
      </c>
      <c r="CB20" s="73">
        <f t="shared" si="103"/>
        <v>0</v>
      </c>
      <c r="CC20" s="65"/>
      <c r="CD20" s="74" t="s">
        <v>1954</v>
      </c>
      <c r="CE20" s="73">
        <f t="shared" si="103"/>
        <v>0</v>
      </c>
      <c r="CF20" s="65"/>
      <c r="CG20" s="74" t="s">
        <v>2001</v>
      </c>
      <c r="CH20" s="73">
        <f t="shared" si="103"/>
        <v>0</v>
      </c>
      <c r="CI20" s="65"/>
      <c r="CJ20" s="74" t="s">
        <v>1951</v>
      </c>
      <c r="CK20" s="73">
        <f t="shared" si="102"/>
        <v>0</v>
      </c>
      <c r="CL20" s="65"/>
      <c r="CM20" s="74" t="s">
        <v>1951</v>
      </c>
      <c r="CN20" s="73">
        <f t="shared" si="102"/>
        <v>0</v>
      </c>
      <c r="CO20" s="65"/>
      <c r="CP20" s="74" t="s">
        <v>1950</v>
      </c>
      <c r="CQ20" s="73">
        <f t="shared" si="102"/>
        <v>0</v>
      </c>
      <c r="CR20" s="65"/>
      <c r="CS20" s="74" t="s">
        <v>2001</v>
      </c>
      <c r="CT20" s="73">
        <f t="shared" si="102"/>
        <v>0</v>
      </c>
      <c r="CU20" s="65"/>
      <c r="CV20" s="74" t="s">
        <v>2001</v>
      </c>
      <c r="CW20" s="73">
        <f t="shared" si="102"/>
        <v>0</v>
      </c>
      <c r="CX20" s="65"/>
      <c r="CY20" s="74" t="s">
        <v>2586</v>
      </c>
      <c r="CZ20" s="73">
        <f t="shared" si="102"/>
        <v>0</v>
      </c>
      <c r="DA20" s="65"/>
      <c r="DB20" s="74" t="s">
        <v>2001</v>
      </c>
      <c r="DC20" s="73">
        <f t="shared" si="102"/>
        <v>0</v>
      </c>
      <c r="DD20" s="65"/>
      <c r="DE20" s="74" t="s">
        <v>1951</v>
      </c>
      <c r="DF20" s="73">
        <f t="shared" si="102"/>
        <v>0</v>
      </c>
      <c r="DG20" s="65"/>
      <c r="DH20" s="74" t="s">
        <v>1958</v>
      </c>
      <c r="DI20" s="73">
        <f t="shared" si="102"/>
        <v>0</v>
      </c>
      <c r="DJ20" s="65"/>
      <c r="DK20" s="74" t="s">
        <v>2001</v>
      </c>
      <c r="DL20" s="73">
        <f t="shared" si="102"/>
        <v>0</v>
      </c>
      <c r="DM20" s="65"/>
      <c r="DN20" s="795" t="s">
        <v>2002</v>
      </c>
      <c r="DO20" s="73">
        <f t="shared" si="102"/>
        <v>0</v>
      </c>
      <c r="DP20" s="65"/>
      <c r="DQ20" s="795" t="s">
        <v>1943</v>
      </c>
      <c r="DR20" s="73">
        <f t="shared" si="102"/>
        <v>0</v>
      </c>
      <c r="DS20" s="65"/>
      <c r="DT20" s="74" t="s">
        <v>2001</v>
      </c>
      <c r="DU20" s="73">
        <f t="shared" ref="DU20:FK31" si="105">IFERROR(IF($M20=DT20,($D$8+$D$9+$D$10)*$I20,IF($N20=LEFT(DT20,1),($D$8+MAX(0,IF($D$50=1,$D$9*(1-(ABS($Q20-ABS(VALUE(MID(DT20,FIND("|",DT20)+1,FIND("-",DT20)-FIND("|",DT20)-1))-VALUE(MID(DT20,FIND("-",DT20)+1,10)))))*$D$50),$D$9*(1-(IF($N20="X",ABS($O20-VALUE(MID(DT20,FIND("|",DT20)+1,FIND("-",DT20)-FIND("|",DT20)-1))),ABS($Q20-ABS(VALUE(MID(DT20,FIND("|",DT20)+1,FIND("-",DT20)-FIND("|",DT20)-1))-VALUE(MID(DT20,FIND("-",DT20)+1,10)))))*$D$50)))))*$I20,0)),0)</f>
        <v>0</v>
      </c>
      <c r="DV20" s="65"/>
      <c r="DW20" s="74" t="s">
        <v>1959</v>
      </c>
      <c r="DX20" s="73">
        <f t="shared" si="105"/>
        <v>0</v>
      </c>
      <c r="DY20" s="65"/>
      <c r="DZ20" s="74" t="s">
        <v>2001</v>
      </c>
      <c r="EA20" s="73">
        <f t="shared" si="105"/>
        <v>0</v>
      </c>
      <c r="EB20" s="65"/>
      <c r="EC20" s="74" t="s">
        <v>2001</v>
      </c>
      <c r="ED20" s="73">
        <f t="shared" si="105"/>
        <v>0</v>
      </c>
      <c r="EE20" s="65"/>
      <c r="EF20" s="74" t="s">
        <v>1959</v>
      </c>
      <c r="EG20" s="73">
        <f t="shared" si="105"/>
        <v>0</v>
      </c>
      <c r="EH20" s="65"/>
      <c r="EI20" s="74" t="s">
        <v>1951</v>
      </c>
      <c r="EJ20" s="73">
        <f t="shared" si="105"/>
        <v>0</v>
      </c>
      <c r="EK20" s="65"/>
      <c r="EL20" s="74"/>
      <c r="EM20" s="73">
        <f t="shared" si="105"/>
        <v>0</v>
      </c>
      <c r="EN20" s="65"/>
      <c r="EO20" s="74"/>
      <c r="EP20" s="73">
        <f t="shared" si="105"/>
        <v>0</v>
      </c>
      <c r="EQ20" s="65"/>
      <c r="ER20" s="74"/>
      <c r="ES20" s="73">
        <f t="shared" si="105"/>
        <v>0</v>
      </c>
      <c r="ET20" s="65"/>
      <c r="EU20" s="74"/>
      <c r="EV20" s="73">
        <f t="shared" si="105"/>
        <v>0</v>
      </c>
      <c r="EW20" s="65"/>
      <c r="EX20" s="74"/>
      <c r="EY20" s="73">
        <f t="shared" si="105"/>
        <v>0</v>
      </c>
      <c r="EZ20" s="65"/>
      <c r="FA20" s="74"/>
      <c r="FB20" s="73">
        <f t="shared" si="105"/>
        <v>0</v>
      </c>
      <c r="FC20" s="65"/>
      <c r="FD20" s="74"/>
      <c r="FE20" s="73">
        <f t="shared" si="105"/>
        <v>0</v>
      </c>
      <c r="FF20" s="65"/>
      <c r="FG20" s="74"/>
      <c r="FH20" s="73">
        <f t="shared" si="105"/>
        <v>0</v>
      </c>
      <c r="FI20" s="65"/>
      <c r="FJ20" s="74"/>
      <c r="FK20" s="73">
        <f t="shared" si="105"/>
        <v>0</v>
      </c>
      <c r="FL20" s="65"/>
      <c r="FM20" s="65"/>
    </row>
    <row r="21" spans="1:169">
      <c r="A21" s="49"/>
      <c r="B21" s="49"/>
      <c r="C21" s="438" t="str">
        <f>Idiomas!D317&amp;"**"</f>
        <v>OCTAVOS -Diferencia/Distancia de goles (Con 1X2 acertado)**</v>
      </c>
      <c r="D21" s="44">
        <v>1</v>
      </c>
      <c r="E21" s="111"/>
      <c r="F21" s="445">
        <f t="shared" si="97"/>
        <v>4</v>
      </c>
      <c r="G21" s="445">
        <f ca="1">VLOOKUP(H21,Equipos!$Q$1:$R$25,2,0)</f>
        <v>6</v>
      </c>
      <c r="H21" s="446">
        <f ca="1">TRUNC(INDEX(WORLDCUP!$X$4:$X$147,MATCH(ADMIN!K21,WORLDCUP!$DT$4:$DT$147,0))+INDEX(Horarios!$R$3:$R$86,MATCH(Horarios!$C$3,Horarios!$P$3:$P$86,0))/24)</f>
        <v>46189</v>
      </c>
      <c r="I21" s="48">
        <v>1</v>
      </c>
      <c r="J21" s="96" t="s">
        <v>512</v>
      </c>
      <c r="K21" s="53" t="str">
        <f ca="1">CONCATENATE(WORLDCUP!AA61,"-",WORLDCUP!AF61)</f>
        <v>Arabia Saudita-Uruguay</v>
      </c>
      <c r="L21" s="53"/>
      <c r="M21" s="55" t="str">
        <f>IF(OR(WORLDCUP!AC61="",WORLDCUP!AD61=""),"-",N21&amp;"|"&amp;O21&amp;"-"&amp;P21)</f>
        <v>X|1-1</v>
      </c>
      <c r="N21" s="25" t="str">
        <f>IF(OR(WORLDCUP!AC61="",WORLDCUP!AD61=""),"",IF(WORLDCUP!AC61&gt;WORLDCUP!AD61,"1",IF(WORLDCUP!AC61&lt;WORLDCUP!AD61,"2","X")))</f>
        <v>X</v>
      </c>
      <c r="O21" s="25">
        <f>WORLDCUP!AC61</f>
        <v>1</v>
      </c>
      <c r="P21" s="25">
        <f>WORLDCUP!AD61</f>
        <v>1</v>
      </c>
      <c r="Q21" s="25">
        <f t="shared" si="101"/>
        <v>0</v>
      </c>
      <c r="R21" s="49"/>
      <c r="S21" s="74" t="s">
        <v>1952</v>
      </c>
      <c r="T21" s="73">
        <f t="shared" si="98"/>
        <v>0</v>
      </c>
      <c r="U21" s="65"/>
      <c r="V21" s="74" t="s">
        <v>1945</v>
      </c>
      <c r="W21" s="73">
        <f t="shared" si="99"/>
        <v>0</v>
      </c>
      <c r="X21" s="65"/>
      <c r="Y21" s="74" t="s">
        <v>1952</v>
      </c>
      <c r="Z21" s="73">
        <f t="shared" si="103"/>
        <v>0</v>
      </c>
      <c r="AA21" s="65"/>
      <c r="AB21" s="74" t="s">
        <v>1949</v>
      </c>
      <c r="AC21" s="73">
        <f t="shared" si="103"/>
        <v>0</v>
      </c>
      <c r="AD21" s="65"/>
      <c r="AE21" s="74" t="s">
        <v>1949</v>
      </c>
      <c r="AF21" s="73">
        <f t="shared" si="103"/>
        <v>0</v>
      </c>
      <c r="AG21" s="65"/>
      <c r="AH21" s="74" t="s">
        <v>1949</v>
      </c>
      <c r="AI21" s="73">
        <f t="shared" si="103"/>
        <v>0</v>
      </c>
      <c r="AJ21" s="65"/>
      <c r="AK21" s="74" t="s">
        <v>1946</v>
      </c>
      <c r="AL21" s="73">
        <f t="shared" si="103"/>
        <v>4</v>
      </c>
      <c r="AM21" s="65"/>
      <c r="AN21" s="74" t="s">
        <v>1945</v>
      </c>
      <c r="AO21" s="73">
        <f t="shared" si="103"/>
        <v>0</v>
      </c>
      <c r="AP21" s="65"/>
      <c r="AQ21" s="74" t="s">
        <v>1945</v>
      </c>
      <c r="AR21" s="73">
        <f t="shared" si="103"/>
        <v>0</v>
      </c>
      <c r="AS21" s="65"/>
      <c r="AT21" s="74" t="s">
        <v>1960</v>
      </c>
      <c r="AU21" s="73">
        <f t="shared" si="103"/>
        <v>0</v>
      </c>
      <c r="AV21" s="65"/>
      <c r="AW21" s="74" t="s">
        <v>1952</v>
      </c>
      <c r="AX21" s="73">
        <f t="shared" si="103"/>
        <v>0</v>
      </c>
      <c r="AY21" s="65"/>
      <c r="AZ21" s="74" t="s">
        <v>1946</v>
      </c>
      <c r="BA21" s="73">
        <f t="shared" si="103"/>
        <v>4</v>
      </c>
      <c r="BB21" s="65"/>
      <c r="BC21" s="74" t="s">
        <v>1960</v>
      </c>
      <c r="BD21" s="73">
        <f t="shared" si="103"/>
        <v>0</v>
      </c>
      <c r="BE21" s="65"/>
      <c r="BF21" s="74" t="s">
        <v>1949</v>
      </c>
      <c r="BG21" s="73">
        <f t="shared" si="103"/>
        <v>0</v>
      </c>
      <c r="BH21" s="65"/>
      <c r="BI21" s="74" t="s">
        <v>1949</v>
      </c>
      <c r="BJ21" s="73">
        <f t="shared" si="103"/>
        <v>0</v>
      </c>
      <c r="BK21" s="65"/>
      <c r="BL21" s="74" t="s">
        <v>1949</v>
      </c>
      <c r="BM21" s="73">
        <f t="shared" si="103"/>
        <v>0</v>
      </c>
      <c r="BN21" s="65"/>
      <c r="BO21" s="74" t="s">
        <v>1952</v>
      </c>
      <c r="BP21" s="73">
        <f t="shared" si="103"/>
        <v>0</v>
      </c>
      <c r="BQ21" s="65"/>
      <c r="BR21" s="74" t="s">
        <v>1957</v>
      </c>
      <c r="BS21" s="73">
        <f t="shared" si="103"/>
        <v>2</v>
      </c>
      <c r="BT21" s="65"/>
      <c r="BU21" s="74" t="s">
        <v>1949</v>
      </c>
      <c r="BV21" s="73">
        <f t="shared" si="103"/>
        <v>0</v>
      </c>
      <c r="BW21" s="65"/>
      <c r="BX21" s="74" t="s">
        <v>1949</v>
      </c>
      <c r="BY21" s="73">
        <f t="shared" si="103"/>
        <v>0</v>
      </c>
      <c r="BZ21" s="65"/>
      <c r="CA21" s="74" t="s">
        <v>1949</v>
      </c>
      <c r="CB21" s="73">
        <f t="shared" si="103"/>
        <v>0</v>
      </c>
      <c r="CC21" s="65"/>
      <c r="CD21" s="74" t="s">
        <v>1946</v>
      </c>
      <c r="CE21" s="73">
        <f t="shared" si="103"/>
        <v>4</v>
      </c>
      <c r="CF21" s="65"/>
      <c r="CG21" s="74" t="s">
        <v>1946</v>
      </c>
      <c r="CH21" s="73">
        <f t="shared" si="103"/>
        <v>4</v>
      </c>
      <c r="CI21" s="65"/>
      <c r="CJ21" s="74" t="s">
        <v>1952</v>
      </c>
      <c r="CK21" s="73">
        <f t="shared" si="102"/>
        <v>0</v>
      </c>
      <c r="CL21" s="65"/>
      <c r="CM21" s="74" t="s">
        <v>1946</v>
      </c>
      <c r="CN21" s="73">
        <f t="shared" si="102"/>
        <v>4</v>
      </c>
      <c r="CO21" s="65"/>
      <c r="CP21" s="74" t="s">
        <v>1952</v>
      </c>
      <c r="CQ21" s="73">
        <f t="shared" si="102"/>
        <v>0</v>
      </c>
      <c r="CR21" s="65"/>
      <c r="CS21" s="74" t="s">
        <v>1960</v>
      </c>
      <c r="CT21" s="73">
        <f t="shared" si="102"/>
        <v>0</v>
      </c>
      <c r="CU21" s="65"/>
      <c r="CV21" s="74" t="s">
        <v>1960</v>
      </c>
      <c r="CW21" s="73">
        <f t="shared" si="102"/>
        <v>0</v>
      </c>
      <c r="CX21" s="65"/>
      <c r="CY21" s="74" t="s">
        <v>1946</v>
      </c>
      <c r="CZ21" s="73">
        <f t="shared" si="102"/>
        <v>4</v>
      </c>
      <c r="DA21" s="65"/>
      <c r="DB21" s="74" t="s">
        <v>1949</v>
      </c>
      <c r="DC21" s="73">
        <f t="shared" si="102"/>
        <v>0</v>
      </c>
      <c r="DD21" s="65"/>
      <c r="DE21" s="74" t="s">
        <v>1952</v>
      </c>
      <c r="DF21" s="73">
        <f t="shared" si="102"/>
        <v>0</v>
      </c>
      <c r="DG21" s="65"/>
      <c r="DH21" s="74" t="s">
        <v>1952</v>
      </c>
      <c r="DI21" s="73">
        <f t="shared" si="102"/>
        <v>0</v>
      </c>
      <c r="DJ21" s="65"/>
      <c r="DK21" s="74" t="s">
        <v>1952</v>
      </c>
      <c r="DL21" s="73">
        <f t="shared" si="102"/>
        <v>0</v>
      </c>
      <c r="DM21" s="65"/>
      <c r="DN21" s="795" t="s">
        <v>1946</v>
      </c>
      <c r="DO21" s="73">
        <f t="shared" si="102"/>
        <v>4</v>
      </c>
      <c r="DP21" s="65"/>
      <c r="DQ21" s="795" t="s">
        <v>1956</v>
      </c>
      <c r="DR21" s="73">
        <f t="shared" si="102"/>
        <v>0</v>
      </c>
      <c r="DS21" s="65"/>
      <c r="DT21" s="74" t="s">
        <v>1952</v>
      </c>
      <c r="DU21" s="73">
        <f t="shared" si="105"/>
        <v>0</v>
      </c>
      <c r="DV21" s="65"/>
      <c r="DW21" s="74" t="s">
        <v>1946</v>
      </c>
      <c r="DX21" s="73">
        <f t="shared" si="105"/>
        <v>4</v>
      </c>
      <c r="DY21" s="65"/>
      <c r="DZ21" s="74" t="s">
        <v>2751</v>
      </c>
      <c r="EA21" s="73">
        <f t="shared" si="105"/>
        <v>0</v>
      </c>
      <c r="EB21" s="65"/>
      <c r="EC21" s="74" t="s">
        <v>1960</v>
      </c>
      <c r="ED21" s="73">
        <f t="shared" si="105"/>
        <v>0</v>
      </c>
      <c r="EE21" s="65"/>
      <c r="EF21" s="74" t="s">
        <v>1952</v>
      </c>
      <c r="EG21" s="73">
        <f t="shared" si="105"/>
        <v>0</v>
      </c>
      <c r="EH21" s="65"/>
      <c r="EI21" s="74" t="s">
        <v>1960</v>
      </c>
      <c r="EJ21" s="73">
        <f t="shared" si="105"/>
        <v>0</v>
      </c>
      <c r="EK21" s="65"/>
      <c r="EL21" s="74"/>
      <c r="EM21" s="73">
        <f t="shared" si="105"/>
        <v>0</v>
      </c>
      <c r="EN21" s="65"/>
      <c r="EO21" s="74"/>
      <c r="EP21" s="73">
        <f t="shared" si="105"/>
        <v>0</v>
      </c>
      <c r="EQ21" s="65"/>
      <c r="ER21" s="74"/>
      <c r="ES21" s="73">
        <f t="shared" si="105"/>
        <v>0</v>
      </c>
      <c r="ET21" s="65"/>
      <c r="EU21" s="74"/>
      <c r="EV21" s="73">
        <f t="shared" si="105"/>
        <v>0</v>
      </c>
      <c r="EW21" s="65"/>
      <c r="EX21" s="74"/>
      <c r="EY21" s="73">
        <f t="shared" si="105"/>
        <v>0</v>
      </c>
      <c r="EZ21" s="65"/>
      <c r="FA21" s="74"/>
      <c r="FB21" s="73">
        <f t="shared" si="105"/>
        <v>0</v>
      </c>
      <c r="FC21" s="65"/>
      <c r="FD21" s="74"/>
      <c r="FE21" s="73">
        <f t="shared" si="105"/>
        <v>0</v>
      </c>
      <c r="FF21" s="65"/>
      <c r="FG21" s="74"/>
      <c r="FH21" s="73">
        <f t="shared" si="105"/>
        <v>0</v>
      </c>
      <c r="FI21" s="65"/>
      <c r="FJ21" s="74"/>
      <c r="FK21" s="73">
        <f t="shared" si="105"/>
        <v>0</v>
      </c>
      <c r="FL21" s="65"/>
      <c r="FM21" s="65"/>
    </row>
    <row r="22" spans="1:169">
      <c r="A22" s="49"/>
      <c r="B22" s="49"/>
      <c r="C22" s="437" t="str">
        <f>Idiomas!D318</f>
        <v>OCTAVOS - Resultado exacto</v>
      </c>
      <c r="D22" s="62">
        <v>2</v>
      </c>
      <c r="E22" s="111"/>
      <c r="F22" s="445">
        <f t="shared" si="97"/>
        <v>4</v>
      </c>
      <c r="G22" s="445">
        <f ca="1">VLOOKUP(H22,Equipos!$Q$1:$R$25,2,0)</f>
        <v>6</v>
      </c>
      <c r="H22" s="446">
        <f ca="1">TRUNC(INDEX(WORLDCUP!$X$4:$X$147,MATCH(ADMIN!K22,WORLDCUP!$DT$4:$DT$147,0))+INDEX(Horarios!$R$3:$R$86,MATCH(Horarios!$C$3,Horarios!$P$3:$P$86,0))/24)</f>
        <v>46189</v>
      </c>
      <c r="I22" s="48">
        <v>1</v>
      </c>
      <c r="J22" s="95" t="s">
        <v>179</v>
      </c>
      <c r="K22" s="56" t="str">
        <f ca="1">CONCATENATE(WORLDCUP!AA68,"-",WORLDCUP!AF68)</f>
        <v>Francia-Senegal</v>
      </c>
      <c r="L22" s="53"/>
      <c r="M22" s="55" t="str">
        <f>IF(OR(WORLDCUP!AC68="",WORLDCUP!AD68=""),"-",N22&amp;"|"&amp;O22&amp;"-"&amp;P22)</f>
        <v>1|3-1</v>
      </c>
      <c r="N22" s="25" t="str">
        <f>IF(OR(WORLDCUP!AC68="",WORLDCUP!AD68=""),"",IF(WORLDCUP!AC68&gt;WORLDCUP!AD68,"1",IF(WORLDCUP!AC68&lt;WORLDCUP!AD68,"2","X")))</f>
        <v>1</v>
      </c>
      <c r="O22" s="25">
        <f>WORLDCUP!AC68</f>
        <v>3</v>
      </c>
      <c r="P22" s="25">
        <f>WORLDCUP!AD68</f>
        <v>1</v>
      </c>
      <c r="Q22" s="25">
        <f t="shared" si="101"/>
        <v>2</v>
      </c>
      <c r="R22" s="49"/>
      <c r="S22" s="74" t="s">
        <v>1943</v>
      </c>
      <c r="T22" s="73">
        <f t="shared" si="98"/>
        <v>4</v>
      </c>
      <c r="U22" s="65"/>
      <c r="V22" s="74" t="s">
        <v>1943</v>
      </c>
      <c r="W22" s="73">
        <f t="shared" si="99"/>
        <v>4</v>
      </c>
      <c r="X22" s="65"/>
      <c r="Y22" s="74" t="s">
        <v>1954</v>
      </c>
      <c r="Z22" s="73">
        <f t="shared" si="103"/>
        <v>2</v>
      </c>
      <c r="AA22" s="65"/>
      <c r="AB22" s="74" t="s">
        <v>1943</v>
      </c>
      <c r="AC22" s="73">
        <f t="shared" si="103"/>
        <v>4</v>
      </c>
      <c r="AD22" s="65"/>
      <c r="AE22" s="74" t="s">
        <v>1948</v>
      </c>
      <c r="AF22" s="73">
        <f t="shared" si="103"/>
        <v>1</v>
      </c>
      <c r="AG22" s="65"/>
      <c r="AH22" s="74" t="s">
        <v>1943</v>
      </c>
      <c r="AI22" s="73">
        <f t="shared" si="103"/>
        <v>4</v>
      </c>
      <c r="AJ22" s="65"/>
      <c r="AK22" s="74" t="s">
        <v>1946</v>
      </c>
      <c r="AL22" s="73">
        <f t="shared" si="103"/>
        <v>0</v>
      </c>
      <c r="AM22" s="65"/>
      <c r="AN22" s="74" t="s">
        <v>1948</v>
      </c>
      <c r="AO22" s="73">
        <f t="shared" si="103"/>
        <v>1</v>
      </c>
      <c r="AP22" s="65"/>
      <c r="AQ22" s="74" t="s">
        <v>1943</v>
      </c>
      <c r="AR22" s="73">
        <f t="shared" si="103"/>
        <v>4</v>
      </c>
      <c r="AS22" s="65"/>
      <c r="AT22" s="74" t="s">
        <v>1954</v>
      </c>
      <c r="AU22" s="73">
        <f t="shared" si="103"/>
        <v>2</v>
      </c>
      <c r="AV22" s="65"/>
      <c r="AW22" s="74" t="s">
        <v>1943</v>
      </c>
      <c r="AX22" s="73">
        <f t="shared" si="103"/>
        <v>4</v>
      </c>
      <c r="AY22" s="65"/>
      <c r="AZ22" s="74" t="s">
        <v>1948</v>
      </c>
      <c r="BA22" s="73">
        <f t="shared" si="103"/>
        <v>1</v>
      </c>
      <c r="BB22" s="65"/>
      <c r="BC22" s="74" t="s">
        <v>1958</v>
      </c>
      <c r="BD22" s="73">
        <f t="shared" si="103"/>
        <v>1</v>
      </c>
      <c r="BE22" s="65"/>
      <c r="BF22" s="74" t="s">
        <v>1948</v>
      </c>
      <c r="BG22" s="73">
        <f t="shared" si="103"/>
        <v>1</v>
      </c>
      <c r="BH22" s="65"/>
      <c r="BI22" s="74" t="s">
        <v>1954</v>
      </c>
      <c r="BJ22" s="73">
        <f t="shared" si="103"/>
        <v>2</v>
      </c>
      <c r="BK22" s="65"/>
      <c r="BL22" s="74" t="s">
        <v>1948</v>
      </c>
      <c r="BM22" s="73">
        <f t="shared" si="103"/>
        <v>1</v>
      </c>
      <c r="BN22" s="65"/>
      <c r="BO22" s="74" t="s">
        <v>1948</v>
      </c>
      <c r="BP22" s="73">
        <f t="shared" si="103"/>
        <v>1</v>
      </c>
      <c r="BQ22" s="65"/>
      <c r="BR22" s="74" t="s">
        <v>1954</v>
      </c>
      <c r="BS22" s="73">
        <f t="shared" si="103"/>
        <v>2</v>
      </c>
      <c r="BT22" s="65"/>
      <c r="BU22" s="74" t="s">
        <v>1944</v>
      </c>
      <c r="BV22" s="73">
        <f t="shared" si="103"/>
        <v>0</v>
      </c>
      <c r="BW22" s="65"/>
      <c r="BX22" s="74" t="s">
        <v>1948</v>
      </c>
      <c r="BY22" s="73">
        <f t="shared" si="103"/>
        <v>1</v>
      </c>
      <c r="BZ22" s="65"/>
      <c r="CA22" s="74" t="s">
        <v>1946</v>
      </c>
      <c r="CB22" s="73">
        <f t="shared" si="103"/>
        <v>0</v>
      </c>
      <c r="CC22" s="65"/>
      <c r="CD22" s="74" t="s">
        <v>1954</v>
      </c>
      <c r="CE22" s="73">
        <f t="shared" si="103"/>
        <v>2</v>
      </c>
      <c r="CF22" s="65"/>
      <c r="CG22" s="74" t="s">
        <v>1948</v>
      </c>
      <c r="CH22" s="73">
        <f t="shared" si="103"/>
        <v>1</v>
      </c>
      <c r="CI22" s="65"/>
      <c r="CJ22" s="74" t="s">
        <v>1943</v>
      </c>
      <c r="CK22" s="73">
        <f t="shared" si="102"/>
        <v>4</v>
      </c>
      <c r="CL22" s="65"/>
      <c r="CM22" s="74" t="s">
        <v>1944</v>
      </c>
      <c r="CN22" s="73">
        <f t="shared" si="102"/>
        <v>0</v>
      </c>
      <c r="CO22" s="65"/>
      <c r="CP22" s="74" t="s">
        <v>1943</v>
      </c>
      <c r="CQ22" s="73">
        <f t="shared" si="102"/>
        <v>4</v>
      </c>
      <c r="CR22" s="65"/>
      <c r="CS22" s="74" t="s">
        <v>1948</v>
      </c>
      <c r="CT22" s="73">
        <f t="shared" si="102"/>
        <v>1</v>
      </c>
      <c r="CU22" s="65"/>
      <c r="CV22" s="74" t="s">
        <v>1956</v>
      </c>
      <c r="CW22" s="73">
        <f t="shared" si="102"/>
        <v>1</v>
      </c>
      <c r="CX22" s="65"/>
      <c r="CY22" s="74" t="s">
        <v>1959</v>
      </c>
      <c r="CZ22" s="73">
        <f t="shared" si="102"/>
        <v>1</v>
      </c>
      <c r="DA22" s="65"/>
      <c r="DB22" s="74" t="s">
        <v>1954</v>
      </c>
      <c r="DC22" s="73">
        <f t="shared" si="102"/>
        <v>2</v>
      </c>
      <c r="DD22" s="65"/>
      <c r="DE22" s="74" t="s">
        <v>1944</v>
      </c>
      <c r="DF22" s="73">
        <f t="shared" si="102"/>
        <v>0</v>
      </c>
      <c r="DG22" s="65"/>
      <c r="DH22" s="74" t="s">
        <v>1954</v>
      </c>
      <c r="DI22" s="73">
        <f t="shared" si="102"/>
        <v>2</v>
      </c>
      <c r="DJ22" s="65"/>
      <c r="DK22" s="74" t="s">
        <v>1943</v>
      </c>
      <c r="DL22" s="73">
        <f t="shared" si="102"/>
        <v>4</v>
      </c>
      <c r="DM22" s="65"/>
      <c r="DN22" s="795" t="s">
        <v>1956</v>
      </c>
      <c r="DO22" s="73">
        <f t="shared" si="102"/>
        <v>1</v>
      </c>
      <c r="DP22" s="65"/>
      <c r="DQ22" s="795" t="s">
        <v>2001</v>
      </c>
      <c r="DR22" s="73">
        <f t="shared" si="102"/>
        <v>1</v>
      </c>
      <c r="DS22" s="65"/>
      <c r="DT22" s="74" t="s">
        <v>1954</v>
      </c>
      <c r="DU22" s="73">
        <f t="shared" si="105"/>
        <v>2</v>
      </c>
      <c r="DV22" s="65"/>
      <c r="DW22" s="74" t="s">
        <v>1948</v>
      </c>
      <c r="DX22" s="73">
        <f t="shared" si="105"/>
        <v>1</v>
      </c>
      <c r="DY22" s="65"/>
      <c r="DZ22" s="74" t="s">
        <v>1954</v>
      </c>
      <c r="EA22" s="73">
        <f t="shared" si="105"/>
        <v>2</v>
      </c>
      <c r="EB22" s="65"/>
      <c r="EC22" s="74" t="s">
        <v>1958</v>
      </c>
      <c r="ED22" s="73">
        <f t="shared" si="105"/>
        <v>1</v>
      </c>
      <c r="EE22" s="65"/>
      <c r="EF22" s="74" t="s">
        <v>1946</v>
      </c>
      <c r="EG22" s="73">
        <f t="shared" si="105"/>
        <v>0</v>
      </c>
      <c r="EH22" s="65"/>
      <c r="EI22" s="74" t="s">
        <v>1944</v>
      </c>
      <c r="EJ22" s="73">
        <f t="shared" si="105"/>
        <v>0</v>
      </c>
      <c r="EK22" s="65"/>
      <c r="EL22" s="74"/>
      <c r="EM22" s="73">
        <f t="shared" si="105"/>
        <v>0</v>
      </c>
      <c r="EN22" s="65"/>
      <c r="EO22" s="74"/>
      <c r="EP22" s="73">
        <f t="shared" si="105"/>
        <v>0</v>
      </c>
      <c r="EQ22" s="65"/>
      <c r="ER22" s="74"/>
      <c r="ES22" s="73">
        <f t="shared" si="105"/>
        <v>0</v>
      </c>
      <c r="ET22" s="65"/>
      <c r="EU22" s="74"/>
      <c r="EV22" s="73">
        <f t="shared" si="105"/>
        <v>0</v>
      </c>
      <c r="EW22" s="65"/>
      <c r="EX22" s="74"/>
      <c r="EY22" s="73">
        <f t="shared" si="105"/>
        <v>0</v>
      </c>
      <c r="EZ22" s="65"/>
      <c r="FA22" s="74"/>
      <c r="FB22" s="73">
        <f t="shared" si="105"/>
        <v>0</v>
      </c>
      <c r="FC22" s="65"/>
      <c r="FD22" s="74"/>
      <c r="FE22" s="73">
        <f t="shared" si="105"/>
        <v>0</v>
      </c>
      <c r="FF22" s="65"/>
      <c r="FG22" s="74"/>
      <c r="FH22" s="73">
        <f t="shared" si="105"/>
        <v>0</v>
      </c>
      <c r="FI22" s="65"/>
      <c r="FJ22" s="74"/>
      <c r="FK22" s="73">
        <f t="shared" si="105"/>
        <v>0</v>
      </c>
      <c r="FL22" s="65"/>
      <c r="FM22" s="65"/>
    </row>
    <row r="23" spans="1:169">
      <c r="A23" s="49"/>
      <c r="B23" s="49"/>
      <c r="C23" s="439" t="str">
        <f>Idiomas!D319</f>
        <v>Equipo clasificado para CUARTOS</v>
      </c>
      <c r="D23" s="45">
        <v>5</v>
      </c>
      <c r="E23" s="111"/>
      <c r="F23" s="445">
        <f t="shared" si="97"/>
        <v>4</v>
      </c>
      <c r="G23" s="445">
        <f ca="1">VLOOKUP(H23,Equipos!$Q$1:$R$25,2,0)</f>
        <v>7</v>
      </c>
      <c r="H23" s="446">
        <f ca="1">TRUNC(INDEX(WORLDCUP!$X$4:$X$147,MATCH(ADMIN!K23,WORLDCUP!$DT$4:$DT$147,0))+INDEX(Horarios!$R$3:$R$86,MATCH(Horarios!$C$3,Horarios!$P$3:$P$86,0))/24)</f>
        <v>46190</v>
      </c>
      <c r="I23" s="48">
        <v>1</v>
      </c>
      <c r="J23" s="95" t="s">
        <v>179</v>
      </c>
      <c r="K23" s="56" t="str">
        <f ca="1">CONCATENATE(WORLDCUP!AA69,"-",WORLDCUP!AF69)</f>
        <v>Irak-Noruega</v>
      </c>
      <c r="L23" s="53"/>
      <c r="M23" s="55" t="str">
        <f>IF(OR(WORLDCUP!AC69="",WORLDCUP!AD69=""),"-",N23&amp;"|"&amp;O23&amp;"-"&amp;P23)</f>
        <v>2|1-4</v>
      </c>
      <c r="N23" s="25" t="str">
        <f>IF(OR(WORLDCUP!AC69="",WORLDCUP!AD69=""),"",IF(WORLDCUP!AC69&gt;WORLDCUP!AD69,"1",IF(WORLDCUP!AC69&lt;WORLDCUP!AD69,"2","X")))</f>
        <v>2</v>
      </c>
      <c r="O23" s="25">
        <f>WORLDCUP!AC69</f>
        <v>1</v>
      </c>
      <c r="P23" s="25">
        <f>WORLDCUP!AD69</f>
        <v>4</v>
      </c>
      <c r="Q23" s="25">
        <f t="shared" si="101"/>
        <v>3</v>
      </c>
      <c r="R23" s="49"/>
      <c r="S23" s="74" t="s">
        <v>1949</v>
      </c>
      <c r="T23" s="73">
        <f t="shared" si="98"/>
        <v>1</v>
      </c>
      <c r="U23" s="65"/>
      <c r="V23" s="74" t="s">
        <v>1945</v>
      </c>
      <c r="W23" s="73">
        <f t="shared" si="99"/>
        <v>1</v>
      </c>
      <c r="X23" s="65"/>
      <c r="Y23" s="74" t="s">
        <v>1947</v>
      </c>
      <c r="Z23" s="73">
        <f t="shared" si="103"/>
        <v>2</v>
      </c>
      <c r="AA23" s="65"/>
      <c r="AB23" s="74" t="s">
        <v>1945</v>
      </c>
      <c r="AC23" s="73">
        <f t="shared" si="103"/>
        <v>1</v>
      </c>
      <c r="AD23" s="65"/>
      <c r="AE23" s="74" t="s">
        <v>1949</v>
      </c>
      <c r="AF23" s="73">
        <f t="shared" si="103"/>
        <v>1</v>
      </c>
      <c r="AG23" s="65"/>
      <c r="AH23" s="74" t="s">
        <v>1949</v>
      </c>
      <c r="AI23" s="73">
        <f t="shared" si="103"/>
        <v>1</v>
      </c>
      <c r="AJ23" s="65"/>
      <c r="AK23" s="74" t="s">
        <v>1949</v>
      </c>
      <c r="AL23" s="73">
        <f t="shared" si="103"/>
        <v>1</v>
      </c>
      <c r="AM23" s="65"/>
      <c r="AN23" s="74" t="s">
        <v>1949</v>
      </c>
      <c r="AO23" s="73">
        <f t="shared" si="103"/>
        <v>1</v>
      </c>
      <c r="AP23" s="65"/>
      <c r="AQ23" s="74" t="s">
        <v>1945</v>
      </c>
      <c r="AR23" s="73">
        <f t="shared" si="103"/>
        <v>1</v>
      </c>
      <c r="AS23" s="65"/>
      <c r="AT23" s="74" t="s">
        <v>1949</v>
      </c>
      <c r="AU23" s="73">
        <f t="shared" si="103"/>
        <v>1</v>
      </c>
      <c r="AV23" s="65"/>
      <c r="AW23" s="74" t="s">
        <v>1947</v>
      </c>
      <c r="AX23" s="73">
        <f t="shared" si="103"/>
        <v>2</v>
      </c>
      <c r="AY23" s="65"/>
      <c r="AZ23" s="74" t="s">
        <v>1947</v>
      </c>
      <c r="BA23" s="73">
        <f t="shared" si="103"/>
        <v>2</v>
      </c>
      <c r="BB23" s="65"/>
      <c r="BC23" s="74" t="s">
        <v>1949</v>
      </c>
      <c r="BD23" s="73">
        <f t="shared" si="103"/>
        <v>1</v>
      </c>
      <c r="BE23" s="65"/>
      <c r="BF23" s="74" t="s">
        <v>1960</v>
      </c>
      <c r="BG23" s="73">
        <f t="shared" si="103"/>
        <v>1</v>
      </c>
      <c r="BH23" s="65"/>
      <c r="BI23" s="74" t="s">
        <v>1947</v>
      </c>
      <c r="BJ23" s="73">
        <f t="shared" si="103"/>
        <v>2</v>
      </c>
      <c r="BK23" s="65"/>
      <c r="BL23" s="74" t="s">
        <v>1949</v>
      </c>
      <c r="BM23" s="73">
        <f t="shared" si="103"/>
        <v>1</v>
      </c>
      <c r="BN23" s="65"/>
      <c r="BO23" s="74" t="s">
        <v>1949</v>
      </c>
      <c r="BP23" s="73">
        <f t="shared" si="103"/>
        <v>1</v>
      </c>
      <c r="BQ23" s="65"/>
      <c r="BR23" s="74" t="s">
        <v>1960</v>
      </c>
      <c r="BS23" s="73">
        <f t="shared" si="103"/>
        <v>1</v>
      </c>
      <c r="BT23" s="65"/>
      <c r="BU23" s="74" t="s">
        <v>1952</v>
      </c>
      <c r="BV23" s="73">
        <f t="shared" si="103"/>
        <v>1</v>
      </c>
      <c r="BW23" s="65"/>
      <c r="BX23" s="74" t="s">
        <v>1949</v>
      </c>
      <c r="BY23" s="73">
        <f t="shared" si="103"/>
        <v>1</v>
      </c>
      <c r="BZ23" s="65"/>
      <c r="CA23" s="74" t="s">
        <v>1949</v>
      </c>
      <c r="CB23" s="73">
        <f t="shared" si="103"/>
        <v>1</v>
      </c>
      <c r="CC23" s="65"/>
      <c r="CD23" s="74" t="s">
        <v>1952</v>
      </c>
      <c r="CE23" s="73">
        <f t="shared" si="103"/>
        <v>1</v>
      </c>
      <c r="CF23" s="65"/>
      <c r="CG23" s="74" t="s">
        <v>1949</v>
      </c>
      <c r="CH23" s="73">
        <f t="shared" si="103"/>
        <v>1</v>
      </c>
      <c r="CI23" s="65"/>
      <c r="CJ23" s="74" t="s">
        <v>1960</v>
      </c>
      <c r="CK23" s="73">
        <f t="shared" si="102"/>
        <v>1</v>
      </c>
      <c r="CL23" s="65"/>
      <c r="CM23" s="74" t="s">
        <v>1960</v>
      </c>
      <c r="CN23" s="73">
        <f t="shared" si="102"/>
        <v>1</v>
      </c>
      <c r="CO23" s="65"/>
      <c r="CP23" s="74" t="s">
        <v>1962</v>
      </c>
      <c r="CQ23" s="73">
        <f t="shared" si="102"/>
        <v>1</v>
      </c>
      <c r="CR23" s="65"/>
      <c r="CS23" s="74" t="s">
        <v>1947</v>
      </c>
      <c r="CT23" s="73">
        <f t="shared" si="102"/>
        <v>2</v>
      </c>
      <c r="CU23" s="65"/>
      <c r="CV23" s="74" t="s">
        <v>1949</v>
      </c>
      <c r="CW23" s="73">
        <f t="shared" si="102"/>
        <v>1</v>
      </c>
      <c r="CX23" s="65"/>
      <c r="CY23" s="74" t="s">
        <v>1947</v>
      </c>
      <c r="CZ23" s="73">
        <f t="shared" si="102"/>
        <v>2</v>
      </c>
      <c r="DA23" s="65"/>
      <c r="DB23" s="74" t="s">
        <v>1947</v>
      </c>
      <c r="DC23" s="73">
        <f t="shared" si="102"/>
        <v>2</v>
      </c>
      <c r="DD23" s="65"/>
      <c r="DE23" s="74" t="s">
        <v>1949</v>
      </c>
      <c r="DF23" s="73">
        <f t="shared" si="102"/>
        <v>1</v>
      </c>
      <c r="DG23" s="65"/>
      <c r="DH23" s="74" t="s">
        <v>1949</v>
      </c>
      <c r="DI23" s="73">
        <f t="shared" si="102"/>
        <v>1</v>
      </c>
      <c r="DJ23" s="65"/>
      <c r="DK23" s="74" t="s">
        <v>1947</v>
      </c>
      <c r="DL23" s="73">
        <f t="shared" si="102"/>
        <v>2</v>
      </c>
      <c r="DM23" s="65"/>
      <c r="DN23" s="795" t="s">
        <v>1955</v>
      </c>
      <c r="DO23" s="73">
        <f t="shared" si="102"/>
        <v>1</v>
      </c>
      <c r="DP23" s="65"/>
      <c r="DQ23" s="795" t="s">
        <v>1948</v>
      </c>
      <c r="DR23" s="73">
        <f t="shared" si="102"/>
        <v>0</v>
      </c>
      <c r="DS23" s="65"/>
      <c r="DT23" s="74" t="s">
        <v>1952</v>
      </c>
      <c r="DU23" s="73">
        <f t="shared" si="105"/>
        <v>1</v>
      </c>
      <c r="DV23" s="65"/>
      <c r="DW23" s="74" t="s">
        <v>1945</v>
      </c>
      <c r="DX23" s="73">
        <f t="shared" si="105"/>
        <v>1</v>
      </c>
      <c r="DY23" s="65"/>
      <c r="DZ23" s="74" t="s">
        <v>1949</v>
      </c>
      <c r="EA23" s="73">
        <f t="shared" si="105"/>
        <v>1</v>
      </c>
      <c r="EB23" s="65"/>
      <c r="EC23" s="74" t="s">
        <v>1952</v>
      </c>
      <c r="ED23" s="73">
        <f t="shared" si="105"/>
        <v>1</v>
      </c>
      <c r="EE23" s="65"/>
      <c r="EF23" s="74" t="s">
        <v>1952</v>
      </c>
      <c r="EG23" s="73">
        <f t="shared" si="105"/>
        <v>1</v>
      </c>
      <c r="EH23" s="65"/>
      <c r="EI23" s="74" t="s">
        <v>1949</v>
      </c>
      <c r="EJ23" s="73">
        <f t="shared" si="105"/>
        <v>1</v>
      </c>
      <c r="EK23" s="65"/>
      <c r="EL23" s="74"/>
      <c r="EM23" s="73">
        <f t="shared" si="105"/>
        <v>0</v>
      </c>
      <c r="EN23" s="65"/>
      <c r="EO23" s="74"/>
      <c r="EP23" s="73">
        <f t="shared" si="105"/>
        <v>0</v>
      </c>
      <c r="EQ23" s="65"/>
      <c r="ER23" s="74"/>
      <c r="ES23" s="73">
        <f t="shared" si="105"/>
        <v>0</v>
      </c>
      <c r="ET23" s="65"/>
      <c r="EU23" s="74"/>
      <c r="EV23" s="73">
        <f t="shared" si="105"/>
        <v>0</v>
      </c>
      <c r="EW23" s="65"/>
      <c r="EX23" s="74"/>
      <c r="EY23" s="73">
        <f t="shared" si="105"/>
        <v>0</v>
      </c>
      <c r="EZ23" s="65"/>
      <c r="FA23" s="74"/>
      <c r="FB23" s="73">
        <f t="shared" si="105"/>
        <v>0</v>
      </c>
      <c r="FC23" s="65"/>
      <c r="FD23" s="74"/>
      <c r="FE23" s="73">
        <f t="shared" si="105"/>
        <v>0</v>
      </c>
      <c r="FF23" s="65"/>
      <c r="FG23" s="74"/>
      <c r="FH23" s="73">
        <f t="shared" si="105"/>
        <v>0</v>
      </c>
      <c r="FI23" s="65"/>
      <c r="FJ23" s="74"/>
      <c r="FK23" s="73">
        <f t="shared" si="105"/>
        <v>0</v>
      </c>
      <c r="FL23" s="65"/>
      <c r="FM23" s="65"/>
    </row>
    <row r="24" spans="1:169">
      <c r="A24" s="49"/>
      <c r="B24" s="49"/>
      <c r="C24" s="437" t="str">
        <f>Idiomas!D320</f>
        <v>CUARTOS - Signo 1X2  (local, empate, visitante)</v>
      </c>
      <c r="D24" s="62">
        <v>1</v>
      </c>
      <c r="E24" s="111"/>
      <c r="F24" s="445">
        <f t="shared" si="97"/>
        <v>4</v>
      </c>
      <c r="G24" s="445">
        <f ca="1">VLOOKUP(H24,Equipos!$Q$1:$R$25,2,0)</f>
        <v>7</v>
      </c>
      <c r="H24" s="446">
        <f ca="1">TRUNC(INDEX(WORLDCUP!$X$4:$X$147,MATCH(ADMIN!K24,WORLDCUP!$DT$4:$DT$147,0))+INDEX(Horarios!$R$3:$R$86,MATCH(Horarios!$C$3,Horarios!$P$3:$P$86,0))/24)</f>
        <v>46190</v>
      </c>
      <c r="I24" s="48">
        <v>1</v>
      </c>
      <c r="J24" s="96" t="s">
        <v>26</v>
      </c>
      <c r="K24" s="53" t="str">
        <f ca="1">CONCATENATE(WORLDCUP!AA76,"-",WORLDCUP!AF76)</f>
        <v>Argentina-Argelia</v>
      </c>
      <c r="L24" s="53"/>
      <c r="M24" s="55" t="str">
        <f>IF(OR(WORLDCUP!AC76="",WORLDCUP!AD76=""),"-",N24&amp;"|"&amp;O24&amp;"-"&amp;P24)</f>
        <v>1|3-0</v>
      </c>
      <c r="N24" s="25" t="str">
        <f>IF(OR(WORLDCUP!AC76="",WORLDCUP!AD76=""),"",IF(WORLDCUP!AC76&gt;WORLDCUP!AD76,"1",IF(WORLDCUP!AC76&lt;WORLDCUP!AD76,"2","X")))</f>
        <v>1</v>
      </c>
      <c r="O24" s="25">
        <f>WORLDCUP!AC76</f>
        <v>3</v>
      </c>
      <c r="P24" s="25">
        <f>WORLDCUP!AD76</f>
        <v>0</v>
      </c>
      <c r="Q24" s="25">
        <f t="shared" si="101"/>
        <v>3</v>
      </c>
      <c r="R24" s="49"/>
      <c r="S24" s="76" t="s">
        <v>1946</v>
      </c>
      <c r="T24" s="77">
        <f t="shared" si="98"/>
        <v>0</v>
      </c>
      <c r="U24" s="65"/>
      <c r="V24" s="76" t="s">
        <v>1943</v>
      </c>
      <c r="W24" s="77">
        <f t="shared" si="99"/>
        <v>1</v>
      </c>
      <c r="X24" s="65"/>
      <c r="Y24" s="76" t="s">
        <v>1958</v>
      </c>
      <c r="Z24" s="77">
        <f t="shared" si="103"/>
        <v>4</v>
      </c>
      <c r="AA24" s="65"/>
      <c r="AB24" s="76" t="s">
        <v>1954</v>
      </c>
      <c r="AC24" s="77">
        <f t="shared" si="103"/>
        <v>1</v>
      </c>
      <c r="AD24" s="65"/>
      <c r="AE24" s="76" t="s">
        <v>1942</v>
      </c>
      <c r="AF24" s="77">
        <f t="shared" si="103"/>
        <v>1</v>
      </c>
      <c r="AG24" s="65"/>
      <c r="AH24" s="76" t="s">
        <v>1943</v>
      </c>
      <c r="AI24" s="77">
        <f t="shared" si="103"/>
        <v>1</v>
      </c>
      <c r="AJ24" s="65"/>
      <c r="AK24" s="76" t="s">
        <v>1946</v>
      </c>
      <c r="AL24" s="77">
        <f t="shared" si="103"/>
        <v>0</v>
      </c>
      <c r="AM24" s="65"/>
      <c r="AN24" s="76" t="s">
        <v>1944</v>
      </c>
      <c r="AO24" s="77">
        <f t="shared" si="103"/>
        <v>0</v>
      </c>
      <c r="AP24" s="65"/>
      <c r="AQ24" s="76" t="s">
        <v>1958</v>
      </c>
      <c r="AR24" s="77">
        <f t="shared" si="103"/>
        <v>4</v>
      </c>
      <c r="AS24" s="65"/>
      <c r="AT24" s="76" t="s">
        <v>1942</v>
      </c>
      <c r="AU24" s="77">
        <f t="shared" si="103"/>
        <v>1</v>
      </c>
      <c r="AV24" s="65"/>
      <c r="AW24" s="76" t="s">
        <v>1944</v>
      </c>
      <c r="AX24" s="77">
        <f t="shared" si="103"/>
        <v>0</v>
      </c>
      <c r="AY24" s="65"/>
      <c r="AZ24" s="76" t="s">
        <v>1954</v>
      </c>
      <c r="BA24" s="77">
        <f t="shared" si="103"/>
        <v>1</v>
      </c>
      <c r="BB24" s="65"/>
      <c r="BC24" s="76" t="s">
        <v>1942</v>
      </c>
      <c r="BD24" s="77">
        <f t="shared" si="103"/>
        <v>1</v>
      </c>
      <c r="BE24" s="65"/>
      <c r="BF24" s="76" t="s">
        <v>1958</v>
      </c>
      <c r="BG24" s="77">
        <f t="shared" si="103"/>
        <v>4</v>
      </c>
      <c r="BH24" s="65"/>
      <c r="BI24" s="76" t="s">
        <v>1958</v>
      </c>
      <c r="BJ24" s="77">
        <f t="shared" si="103"/>
        <v>4</v>
      </c>
      <c r="BK24" s="65"/>
      <c r="BL24" s="76" t="s">
        <v>1954</v>
      </c>
      <c r="BM24" s="77">
        <f t="shared" si="103"/>
        <v>1</v>
      </c>
      <c r="BN24" s="65"/>
      <c r="BO24" s="76" t="s">
        <v>1954</v>
      </c>
      <c r="BP24" s="77">
        <f t="shared" si="103"/>
        <v>1</v>
      </c>
      <c r="BQ24" s="65"/>
      <c r="BR24" s="76" t="s">
        <v>1954</v>
      </c>
      <c r="BS24" s="77">
        <f t="shared" si="103"/>
        <v>1</v>
      </c>
      <c r="BT24" s="65"/>
      <c r="BU24" s="76" t="s">
        <v>1958</v>
      </c>
      <c r="BV24" s="77">
        <f t="shared" si="103"/>
        <v>4</v>
      </c>
      <c r="BW24" s="65"/>
      <c r="BX24" s="76" t="s">
        <v>1954</v>
      </c>
      <c r="BY24" s="77">
        <f t="shared" si="103"/>
        <v>1</v>
      </c>
      <c r="BZ24" s="65"/>
      <c r="CA24" s="76" t="s">
        <v>1946</v>
      </c>
      <c r="CB24" s="77">
        <f t="shared" si="103"/>
        <v>0</v>
      </c>
      <c r="CC24" s="65"/>
      <c r="CD24" s="76" t="s">
        <v>1954</v>
      </c>
      <c r="CE24" s="77">
        <f t="shared" si="103"/>
        <v>1</v>
      </c>
      <c r="CF24" s="65"/>
      <c r="CG24" s="76" t="s">
        <v>1948</v>
      </c>
      <c r="CH24" s="77">
        <f t="shared" si="103"/>
        <v>1</v>
      </c>
      <c r="CI24" s="65"/>
      <c r="CJ24" s="76" t="s">
        <v>1958</v>
      </c>
      <c r="CK24" s="77">
        <f t="shared" si="102"/>
        <v>4</v>
      </c>
      <c r="CL24" s="65"/>
      <c r="CM24" s="76" t="s">
        <v>1948</v>
      </c>
      <c r="CN24" s="77">
        <f t="shared" si="102"/>
        <v>1</v>
      </c>
      <c r="CO24" s="65"/>
      <c r="CP24" s="76" t="s">
        <v>1954</v>
      </c>
      <c r="CQ24" s="77">
        <f t="shared" si="102"/>
        <v>1</v>
      </c>
      <c r="CR24" s="65"/>
      <c r="CS24" s="76" t="s">
        <v>1954</v>
      </c>
      <c r="CT24" s="77">
        <f t="shared" si="102"/>
        <v>1</v>
      </c>
      <c r="CU24" s="65"/>
      <c r="CV24" s="76" t="s">
        <v>1954</v>
      </c>
      <c r="CW24" s="77">
        <f t="shared" si="102"/>
        <v>1</v>
      </c>
      <c r="CX24" s="65"/>
      <c r="CY24" s="76" t="s">
        <v>1944</v>
      </c>
      <c r="CZ24" s="77">
        <f t="shared" si="102"/>
        <v>0</v>
      </c>
      <c r="DA24" s="65"/>
      <c r="DB24" s="76" t="s">
        <v>1954</v>
      </c>
      <c r="DC24" s="77">
        <f t="shared" si="102"/>
        <v>1</v>
      </c>
      <c r="DD24" s="65"/>
      <c r="DE24" s="76" t="s">
        <v>1943</v>
      </c>
      <c r="DF24" s="77">
        <f t="shared" si="102"/>
        <v>1</v>
      </c>
      <c r="DG24" s="65"/>
      <c r="DH24" s="76" t="s">
        <v>1954</v>
      </c>
      <c r="DI24" s="77">
        <f t="shared" si="102"/>
        <v>1</v>
      </c>
      <c r="DJ24" s="65"/>
      <c r="DK24" s="76" t="s">
        <v>1958</v>
      </c>
      <c r="DL24" s="77">
        <f t="shared" si="102"/>
        <v>4</v>
      </c>
      <c r="DM24" s="65"/>
      <c r="DN24" s="795" t="s">
        <v>1948</v>
      </c>
      <c r="DO24" s="77">
        <f t="shared" si="102"/>
        <v>1</v>
      </c>
      <c r="DP24" s="65"/>
      <c r="DQ24" s="795" t="s">
        <v>1948</v>
      </c>
      <c r="DR24" s="77">
        <f t="shared" si="102"/>
        <v>1</v>
      </c>
      <c r="DS24" s="65"/>
      <c r="DT24" s="76" t="s">
        <v>1946</v>
      </c>
      <c r="DU24" s="77">
        <f t="shared" si="105"/>
        <v>0</v>
      </c>
      <c r="DV24" s="65"/>
      <c r="DW24" s="76" t="s">
        <v>1954</v>
      </c>
      <c r="DX24" s="77">
        <f t="shared" si="105"/>
        <v>1</v>
      </c>
      <c r="DY24" s="65"/>
      <c r="DZ24" s="76" t="s">
        <v>1948</v>
      </c>
      <c r="EA24" s="77">
        <f t="shared" si="105"/>
        <v>1</v>
      </c>
      <c r="EB24" s="65"/>
      <c r="EC24" s="76" t="s">
        <v>1954</v>
      </c>
      <c r="ED24" s="77">
        <f t="shared" si="105"/>
        <v>1</v>
      </c>
      <c r="EE24" s="65"/>
      <c r="EF24" s="76" t="s">
        <v>1957</v>
      </c>
      <c r="EG24" s="77">
        <f t="shared" si="105"/>
        <v>0</v>
      </c>
      <c r="EH24" s="65"/>
      <c r="EI24" s="76" t="s">
        <v>1942</v>
      </c>
      <c r="EJ24" s="77">
        <f t="shared" si="105"/>
        <v>1</v>
      </c>
      <c r="EK24" s="65"/>
      <c r="EL24" s="76"/>
      <c r="EM24" s="77">
        <f t="shared" si="105"/>
        <v>0</v>
      </c>
      <c r="EN24" s="65"/>
      <c r="EO24" s="76"/>
      <c r="EP24" s="77">
        <f t="shared" si="105"/>
        <v>0</v>
      </c>
      <c r="EQ24" s="65"/>
      <c r="ER24" s="76"/>
      <c r="ES24" s="77">
        <f t="shared" si="105"/>
        <v>0</v>
      </c>
      <c r="ET24" s="65"/>
      <c r="EU24" s="76"/>
      <c r="EV24" s="77">
        <f t="shared" si="105"/>
        <v>0</v>
      </c>
      <c r="EW24" s="65"/>
      <c r="EX24" s="76"/>
      <c r="EY24" s="77">
        <f t="shared" si="105"/>
        <v>0</v>
      </c>
      <c r="EZ24" s="65"/>
      <c r="FA24" s="76"/>
      <c r="FB24" s="77">
        <f t="shared" si="105"/>
        <v>0</v>
      </c>
      <c r="FC24" s="65"/>
      <c r="FD24" s="76"/>
      <c r="FE24" s="77">
        <f t="shared" si="105"/>
        <v>0</v>
      </c>
      <c r="FF24" s="65"/>
      <c r="FG24" s="76"/>
      <c r="FH24" s="77">
        <f t="shared" si="105"/>
        <v>0</v>
      </c>
      <c r="FI24" s="65"/>
      <c r="FJ24" s="76"/>
      <c r="FK24" s="77">
        <f t="shared" si="105"/>
        <v>0</v>
      </c>
      <c r="FL24" s="65"/>
      <c r="FM24" s="65"/>
    </row>
    <row r="25" spans="1:169">
      <c r="A25" s="49"/>
      <c r="B25" s="49"/>
      <c r="C25" s="438" t="str">
        <f>Idiomas!D321&amp;"**"</f>
        <v>CUARTOS -Diferencia/Distancia de goles (Con 1X2 acertado)**</v>
      </c>
      <c r="D25" s="44">
        <v>1</v>
      </c>
      <c r="E25" s="111"/>
      <c r="F25" s="445">
        <f t="shared" si="97"/>
        <v>4</v>
      </c>
      <c r="G25" s="445">
        <f ca="1">VLOOKUP(H25,Equipos!$Q$1:$R$25,2,0)</f>
        <v>7</v>
      </c>
      <c r="H25" s="446">
        <f ca="1">TRUNC(INDEX(WORLDCUP!$X$4:$X$147,MATCH(ADMIN!K25,WORLDCUP!$DT$4:$DT$147,0))+INDEX(Horarios!$R$3:$R$86,MATCH(Horarios!$C$3,Horarios!$P$3:$P$86,0))/24)</f>
        <v>46190</v>
      </c>
      <c r="I25" s="48">
        <v>1</v>
      </c>
      <c r="J25" s="96" t="s">
        <v>26</v>
      </c>
      <c r="K25" s="53" t="str">
        <f ca="1">CONCATENATE(WORLDCUP!AA77,"-",WORLDCUP!AF77)</f>
        <v>Austria-Jordania</v>
      </c>
      <c r="L25" s="53"/>
      <c r="M25" s="55" t="str">
        <f>IF(OR(WORLDCUP!AC77="",WORLDCUP!AD77=""),"-",N25&amp;"|"&amp;O25&amp;"-"&amp;P25)</f>
        <v>1|3-1</v>
      </c>
      <c r="N25" s="25" t="str">
        <f>IF(OR(WORLDCUP!AC77="",WORLDCUP!AD77=""),"",IF(WORLDCUP!AC77&gt;WORLDCUP!AD77,"1",IF(WORLDCUP!AC77&lt;WORLDCUP!AD77,"2","X")))</f>
        <v>1</v>
      </c>
      <c r="O25" s="25">
        <f>WORLDCUP!AC77</f>
        <v>3</v>
      </c>
      <c r="P25" s="25">
        <f>WORLDCUP!AD77</f>
        <v>1</v>
      </c>
      <c r="Q25" s="25">
        <f t="shared" si="101"/>
        <v>2</v>
      </c>
      <c r="R25" s="49"/>
      <c r="S25" s="74" t="s">
        <v>1953</v>
      </c>
      <c r="T25" s="73">
        <f t="shared" si="98"/>
        <v>1</v>
      </c>
      <c r="U25" s="65"/>
      <c r="V25" s="74" t="s">
        <v>1954</v>
      </c>
      <c r="W25" s="73">
        <f t="shared" si="99"/>
        <v>2</v>
      </c>
      <c r="X25" s="65"/>
      <c r="Y25" s="74" t="s">
        <v>1958</v>
      </c>
      <c r="Z25" s="73">
        <f t="shared" si="103"/>
        <v>1</v>
      </c>
      <c r="AA25" s="65"/>
      <c r="AB25" s="74" t="s">
        <v>1942</v>
      </c>
      <c r="AC25" s="73">
        <f t="shared" si="103"/>
        <v>1</v>
      </c>
      <c r="AD25" s="65"/>
      <c r="AE25" s="74" t="s">
        <v>1943</v>
      </c>
      <c r="AF25" s="73">
        <f t="shared" si="103"/>
        <v>4</v>
      </c>
      <c r="AG25" s="65"/>
      <c r="AH25" s="74" t="s">
        <v>1957</v>
      </c>
      <c r="AI25" s="73">
        <f t="shared" si="103"/>
        <v>0</v>
      </c>
      <c r="AJ25" s="65"/>
      <c r="AK25" s="74" t="s">
        <v>1954</v>
      </c>
      <c r="AL25" s="73">
        <f t="shared" si="103"/>
        <v>2</v>
      </c>
      <c r="AM25" s="65"/>
      <c r="AN25" s="74" t="s">
        <v>1943</v>
      </c>
      <c r="AO25" s="73">
        <f t="shared" si="103"/>
        <v>4</v>
      </c>
      <c r="AP25" s="65"/>
      <c r="AQ25" s="74" t="s">
        <v>1958</v>
      </c>
      <c r="AR25" s="73">
        <f t="shared" si="103"/>
        <v>1</v>
      </c>
      <c r="AS25" s="65"/>
      <c r="AT25" s="74" t="s">
        <v>1948</v>
      </c>
      <c r="AU25" s="73">
        <f t="shared" si="103"/>
        <v>1</v>
      </c>
      <c r="AV25" s="65"/>
      <c r="AW25" s="74" t="s">
        <v>1951</v>
      </c>
      <c r="AX25" s="73">
        <f t="shared" si="103"/>
        <v>1</v>
      </c>
      <c r="AY25" s="65"/>
      <c r="AZ25" s="74" t="s">
        <v>1946</v>
      </c>
      <c r="BA25" s="73">
        <f t="shared" si="103"/>
        <v>0</v>
      </c>
      <c r="BB25" s="65"/>
      <c r="BC25" s="74" t="s">
        <v>1942</v>
      </c>
      <c r="BD25" s="73">
        <f t="shared" si="103"/>
        <v>1</v>
      </c>
      <c r="BE25" s="65"/>
      <c r="BF25" s="74" t="s">
        <v>1954</v>
      </c>
      <c r="BG25" s="73">
        <f t="shared" si="103"/>
        <v>2</v>
      </c>
      <c r="BH25" s="65"/>
      <c r="BI25" s="74" t="s">
        <v>1958</v>
      </c>
      <c r="BJ25" s="73">
        <f t="shared" si="103"/>
        <v>1</v>
      </c>
      <c r="BK25" s="65"/>
      <c r="BL25" s="74" t="s">
        <v>1954</v>
      </c>
      <c r="BM25" s="73">
        <f t="shared" si="103"/>
        <v>2</v>
      </c>
      <c r="BN25" s="65"/>
      <c r="BO25" s="74" t="s">
        <v>1948</v>
      </c>
      <c r="BP25" s="73">
        <f t="shared" si="103"/>
        <v>1</v>
      </c>
      <c r="BQ25" s="65"/>
      <c r="BR25" s="74" t="s">
        <v>1954</v>
      </c>
      <c r="BS25" s="73">
        <f t="shared" si="103"/>
        <v>2</v>
      </c>
      <c r="BT25" s="65"/>
      <c r="BU25" s="74" t="s">
        <v>1958</v>
      </c>
      <c r="BV25" s="73">
        <f t="shared" si="103"/>
        <v>1</v>
      </c>
      <c r="BW25" s="65"/>
      <c r="BX25" s="74" t="s">
        <v>1942</v>
      </c>
      <c r="BY25" s="73">
        <f t="shared" si="103"/>
        <v>1</v>
      </c>
      <c r="BZ25" s="65"/>
      <c r="CA25" s="74" t="s">
        <v>1954</v>
      </c>
      <c r="CB25" s="73">
        <f t="shared" si="103"/>
        <v>2</v>
      </c>
      <c r="CC25" s="65"/>
      <c r="CD25" s="74" t="s">
        <v>1954</v>
      </c>
      <c r="CE25" s="73">
        <f t="shared" si="103"/>
        <v>2</v>
      </c>
      <c r="CF25" s="65"/>
      <c r="CG25" s="74" t="s">
        <v>1954</v>
      </c>
      <c r="CH25" s="73">
        <f t="shared" si="103"/>
        <v>2</v>
      </c>
      <c r="CI25" s="65"/>
      <c r="CJ25" s="74" t="s">
        <v>1954</v>
      </c>
      <c r="CK25" s="73">
        <f t="shared" si="102"/>
        <v>2</v>
      </c>
      <c r="CL25" s="65"/>
      <c r="CM25" s="74" t="s">
        <v>1942</v>
      </c>
      <c r="CN25" s="73">
        <f t="shared" si="102"/>
        <v>1</v>
      </c>
      <c r="CO25" s="65"/>
      <c r="CP25" s="74" t="s">
        <v>1942</v>
      </c>
      <c r="CQ25" s="73">
        <f t="shared" si="102"/>
        <v>1</v>
      </c>
      <c r="CR25" s="65"/>
      <c r="CS25" s="74" t="s">
        <v>1954</v>
      </c>
      <c r="CT25" s="73">
        <f t="shared" si="102"/>
        <v>2</v>
      </c>
      <c r="CU25" s="65"/>
      <c r="CV25" s="74" t="s">
        <v>1954</v>
      </c>
      <c r="CW25" s="73">
        <f t="shared" si="102"/>
        <v>2</v>
      </c>
      <c r="CX25" s="65"/>
      <c r="CY25" s="74" t="s">
        <v>1954</v>
      </c>
      <c r="CZ25" s="73">
        <f t="shared" si="102"/>
        <v>2</v>
      </c>
      <c r="DA25" s="65"/>
      <c r="DB25" s="74" t="s">
        <v>1954</v>
      </c>
      <c r="DC25" s="73">
        <f t="shared" si="102"/>
        <v>2</v>
      </c>
      <c r="DD25" s="65"/>
      <c r="DE25" s="74" t="s">
        <v>1954</v>
      </c>
      <c r="DF25" s="73">
        <f t="shared" si="102"/>
        <v>2</v>
      </c>
      <c r="DG25" s="65"/>
      <c r="DH25" s="74" t="s">
        <v>1958</v>
      </c>
      <c r="DI25" s="73">
        <f t="shared" si="102"/>
        <v>1</v>
      </c>
      <c r="DJ25" s="65"/>
      <c r="DK25" s="74" t="s">
        <v>1954</v>
      </c>
      <c r="DL25" s="73">
        <f t="shared" si="102"/>
        <v>2</v>
      </c>
      <c r="DM25" s="65"/>
      <c r="DN25" s="795" t="s">
        <v>1943</v>
      </c>
      <c r="DO25" s="73">
        <f t="shared" si="102"/>
        <v>4</v>
      </c>
      <c r="DP25" s="65"/>
      <c r="DQ25" s="795" t="s">
        <v>1948</v>
      </c>
      <c r="DR25" s="73">
        <f t="shared" si="102"/>
        <v>1</v>
      </c>
      <c r="DS25" s="65"/>
      <c r="DT25" s="74" t="s">
        <v>1942</v>
      </c>
      <c r="DU25" s="73">
        <f t="shared" si="105"/>
        <v>1</v>
      </c>
      <c r="DV25" s="65"/>
      <c r="DW25" s="74" t="s">
        <v>1943</v>
      </c>
      <c r="DX25" s="73">
        <f t="shared" si="105"/>
        <v>4</v>
      </c>
      <c r="DY25" s="65"/>
      <c r="DZ25" s="74" t="s">
        <v>1954</v>
      </c>
      <c r="EA25" s="73">
        <f t="shared" si="105"/>
        <v>2</v>
      </c>
      <c r="EB25" s="65"/>
      <c r="EC25" s="74" t="s">
        <v>1942</v>
      </c>
      <c r="ED25" s="73">
        <f t="shared" si="105"/>
        <v>1</v>
      </c>
      <c r="EE25" s="65"/>
      <c r="EF25" s="74" t="s">
        <v>1942</v>
      </c>
      <c r="EG25" s="73">
        <f t="shared" si="105"/>
        <v>1</v>
      </c>
      <c r="EH25" s="65"/>
      <c r="EI25" s="74" t="s">
        <v>1954</v>
      </c>
      <c r="EJ25" s="73">
        <f t="shared" si="105"/>
        <v>2</v>
      </c>
      <c r="EK25" s="65"/>
      <c r="EL25" s="74"/>
      <c r="EM25" s="73">
        <f t="shared" si="105"/>
        <v>0</v>
      </c>
      <c r="EN25" s="65"/>
      <c r="EO25" s="74"/>
      <c r="EP25" s="73">
        <f t="shared" si="105"/>
        <v>0</v>
      </c>
      <c r="EQ25" s="65"/>
      <c r="ER25" s="74"/>
      <c r="ES25" s="73">
        <f t="shared" si="105"/>
        <v>0</v>
      </c>
      <c r="ET25" s="65"/>
      <c r="EU25" s="74"/>
      <c r="EV25" s="73">
        <f t="shared" si="105"/>
        <v>0</v>
      </c>
      <c r="EW25" s="65"/>
      <c r="EX25" s="74"/>
      <c r="EY25" s="73">
        <f t="shared" si="105"/>
        <v>0</v>
      </c>
      <c r="EZ25" s="65"/>
      <c r="FA25" s="74"/>
      <c r="FB25" s="73">
        <f t="shared" si="105"/>
        <v>0</v>
      </c>
      <c r="FC25" s="65"/>
      <c r="FD25" s="74"/>
      <c r="FE25" s="73">
        <f t="shared" si="105"/>
        <v>0</v>
      </c>
      <c r="FF25" s="65"/>
      <c r="FG25" s="74"/>
      <c r="FH25" s="73">
        <f t="shared" si="105"/>
        <v>0</v>
      </c>
      <c r="FI25" s="65"/>
      <c r="FJ25" s="74"/>
      <c r="FK25" s="73">
        <f t="shared" si="105"/>
        <v>0</v>
      </c>
      <c r="FL25" s="65"/>
      <c r="FM25" s="65"/>
    </row>
    <row r="26" spans="1:169">
      <c r="A26" s="49"/>
      <c r="B26" s="49"/>
      <c r="C26" s="437" t="str">
        <f>Idiomas!D322</f>
        <v>CUARTOS - Resultado exacto</v>
      </c>
      <c r="D26" s="62">
        <v>2</v>
      </c>
      <c r="E26" s="111"/>
      <c r="F26" s="445">
        <f t="shared" si="97"/>
        <v>4</v>
      </c>
      <c r="G26" s="445">
        <f ca="1">VLOOKUP(H26,Equipos!$Q$1:$R$25,2,0)</f>
        <v>7</v>
      </c>
      <c r="H26" s="446">
        <f ca="1">TRUNC(INDEX(WORLDCUP!$X$4:$X$147,MATCH(ADMIN!K26,WORLDCUP!$DT$4:$DT$147,0))+INDEX(Horarios!$R$3:$R$86,MATCH(Horarios!$C$3,Horarios!$P$3:$P$86,0))/24)</f>
        <v>46190</v>
      </c>
      <c r="I26" s="48">
        <v>1</v>
      </c>
      <c r="J26" s="95" t="s">
        <v>515</v>
      </c>
      <c r="K26" s="56" t="str">
        <f ca="1">CONCATENATE(WORLDCUP!AA84,"-",WORLDCUP!AF84)</f>
        <v>Portugal-RD Congo</v>
      </c>
      <c r="L26" s="53"/>
      <c r="M26" s="55" t="str">
        <f>IF(OR(WORLDCUP!AC84="",WORLDCUP!AD84=""),"-",N26&amp;"|"&amp;O26&amp;"-"&amp;P26)</f>
        <v>X|1-1</v>
      </c>
      <c r="N26" s="25" t="str">
        <f>IF(OR(WORLDCUP!AC84="",WORLDCUP!AD84=""),"",IF(WORLDCUP!AC84&gt;WORLDCUP!AD84,"1",IF(WORLDCUP!AC84&lt;WORLDCUP!AD84,"2","X")))</f>
        <v>X</v>
      </c>
      <c r="O26" s="25">
        <f>WORLDCUP!AC84</f>
        <v>1</v>
      </c>
      <c r="P26" s="25">
        <f>WORLDCUP!AD84</f>
        <v>1</v>
      </c>
      <c r="Q26" s="25">
        <f t="shared" si="101"/>
        <v>0</v>
      </c>
      <c r="R26" s="49"/>
      <c r="S26" s="74" t="s">
        <v>1954</v>
      </c>
      <c r="T26" s="73">
        <f t="shared" si="98"/>
        <v>0</v>
      </c>
      <c r="U26" s="65"/>
      <c r="V26" s="74" t="s">
        <v>1954</v>
      </c>
      <c r="W26" s="73">
        <f t="shared" si="99"/>
        <v>0</v>
      </c>
      <c r="X26" s="65"/>
      <c r="Y26" s="74" t="s">
        <v>1959</v>
      </c>
      <c r="Z26" s="73">
        <f t="shared" si="103"/>
        <v>0</v>
      </c>
      <c r="AA26" s="65"/>
      <c r="AB26" s="74" t="s">
        <v>1954</v>
      </c>
      <c r="AC26" s="73">
        <f t="shared" si="103"/>
        <v>0</v>
      </c>
      <c r="AD26" s="65"/>
      <c r="AE26" s="74" t="s">
        <v>1948</v>
      </c>
      <c r="AF26" s="73">
        <f t="shared" si="103"/>
        <v>0</v>
      </c>
      <c r="AG26" s="65"/>
      <c r="AH26" s="74" t="s">
        <v>1958</v>
      </c>
      <c r="AI26" s="73">
        <f t="shared" si="103"/>
        <v>0</v>
      </c>
      <c r="AJ26" s="65"/>
      <c r="AK26" s="74" t="s">
        <v>2001</v>
      </c>
      <c r="AL26" s="73">
        <f t="shared" si="103"/>
        <v>0</v>
      </c>
      <c r="AM26" s="65"/>
      <c r="AN26" s="74" t="s">
        <v>1958</v>
      </c>
      <c r="AO26" s="73">
        <f t="shared" si="103"/>
        <v>0</v>
      </c>
      <c r="AP26" s="65"/>
      <c r="AQ26" s="74" t="s">
        <v>1943</v>
      </c>
      <c r="AR26" s="73">
        <f t="shared" si="103"/>
        <v>0</v>
      </c>
      <c r="AS26" s="65"/>
      <c r="AT26" s="74" t="s">
        <v>1954</v>
      </c>
      <c r="AU26" s="73">
        <f t="shared" si="103"/>
        <v>0</v>
      </c>
      <c r="AV26" s="65"/>
      <c r="AW26" s="74" t="s">
        <v>1943</v>
      </c>
      <c r="AX26" s="73">
        <f t="shared" si="103"/>
        <v>0</v>
      </c>
      <c r="AY26" s="65"/>
      <c r="AZ26" s="74" t="s">
        <v>1958</v>
      </c>
      <c r="BA26" s="73">
        <f t="shared" si="103"/>
        <v>0</v>
      </c>
      <c r="BB26" s="65"/>
      <c r="BC26" s="74" t="s">
        <v>1954</v>
      </c>
      <c r="BD26" s="73">
        <f t="shared" si="103"/>
        <v>0</v>
      </c>
      <c r="BE26" s="65"/>
      <c r="BF26" s="74" t="s">
        <v>1954</v>
      </c>
      <c r="BG26" s="73">
        <f t="shared" si="103"/>
        <v>0</v>
      </c>
      <c r="BH26" s="65"/>
      <c r="BI26" s="74" t="s">
        <v>1959</v>
      </c>
      <c r="BJ26" s="73">
        <f t="shared" si="103"/>
        <v>0</v>
      </c>
      <c r="BK26" s="65"/>
      <c r="BL26" s="74" t="s">
        <v>1958</v>
      </c>
      <c r="BM26" s="73">
        <f t="shared" si="103"/>
        <v>0</v>
      </c>
      <c r="BN26" s="65"/>
      <c r="BO26" s="74" t="s">
        <v>1954</v>
      </c>
      <c r="BP26" s="73">
        <f t="shared" si="103"/>
        <v>0</v>
      </c>
      <c r="BQ26" s="65"/>
      <c r="BR26" s="74" t="s">
        <v>1958</v>
      </c>
      <c r="BS26" s="73">
        <f t="shared" si="103"/>
        <v>0</v>
      </c>
      <c r="BT26" s="65"/>
      <c r="BU26" s="74" t="s">
        <v>1954</v>
      </c>
      <c r="BV26" s="73">
        <f t="shared" si="103"/>
        <v>0</v>
      </c>
      <c r="BW26" s="65"/>
      <c r="BX26" s="74" t="s">
        <v>1954</v>
      </c>
      <c r="BY26" s="73">
        <f t="shared" si="103"/>
        <v>0</v>
      </c>
      <c r="BZ26" s="65"/>
      <c r="CA26" s="74" t="s">
        <v>1943</v>
      </c>
      <c r="CB26" s="73">
        <f t="shared" si="103"/>
        <v>0</v>
      </c>
      <c r="CC26" s="65"/>
      <c r="CD26" s="74" t="s">
        <v>1954</v>
      </c>
      <c r="CE26" s="73">
        <f t="shared" si="103"/>
        <v>0</v>
      </c>
      <c r="CF26" s="65"/>
      <c r="CG26" s="74" t="s">
        <v>1948</v>
      </c>
      <c r="CH26" s="73">
        <f t="shared" si="103"/>
        <v>0</v>
      </c>
      <c r="CI26" s="65"/>
      <c r="CJ26" s="74" t="s">
        <v>1958</v>
      </c>
      <c r="CK26" s="73">
        <f t="shared" si="102"/>
        <v>0</v>
      </c>
      <c r="CL26" s="65"/>
      <c r="CM26" s="74" t="s">
        <v>1958</v>
      </c>
      <c r="CN26" s="73">
        <f t="shared" si="102"/>
        <v>0</v>
      </c>
      <c r="CO26" s="65"/>
      <c r="CP26" s="74" t="s">
        <v>2001</v>
      </c>
      <c r="CQ26" s="73">
        <f t="shared" si="102"/>
        <v>0</v>
      </c>
      <c r="CR26" s="65"/>
      <c r="CS26" s="74" t="s">
        <v>2001</v>
      </c>
      <c r="CT26" s="73">
        <f t="shared" si="102"/>
        <v>0</v>
      </c>
      <c r="CU26" s="65"/>
      <c r="CV26" s="74" t="s">
        <v>2001</v>
      </c>
      <c r="CW26" s="73">
        <f t="shared" si="102"/>
        <v>0</v>
      </c>
      <c r="CX26" s="65"/>
      <c r="CY26" s="74" t="s">
        <v>1951</v>
      </c>
      <c r="CZ26" s="73">
        <f t="shared" si="102"/>
        <v>0</v>
      </c>
      <c r="DA26" s="65"/>
      <c r="DB26" s="74" t="s">
        <v>1958</v>
      </c>
      <c r="DC26" s="73">
        <f t="shared" si="102"/>
        <v>0</v>
      </c>
      <c r="DD26" s="65"/>
      <c r="DE26" s="74" t="s">
        <v>1958</v>
      </c>
      <c r="DF26" s="73">
        <f t="shared" si="102"/>
        <v>0</v>
      </c>
      <c r="DG26" s="65"/>
      <c r="DH26" s="74" t="s">
        <v>1954</v>
      </c>
      <c r="DI26" s="73">
        <f t="shared" si="102"/>
        <v>0</v>
      </c>
      <c r="DJ26" s="65"/>
      <c r="DK26" s="74" t="s">
        <v>1951</v>
      </c>
      <c r="DL26" s="73">
        <f t="shared" si="102"/>
        <v>0</v>
      </c>
      <c r="DM26" s="65"/>
      <c r="DN26" s="795" t="s">
        <v>2002</v>
      </c>
      <c r="DO26" s="73">
        <f t="shared" si="102"/>
        <v>0</v>
      </c>
      <c r="DP26" s="65"/>
      <c r="DQ26" s="795" t="s">
        <v>1943</v>
      </c>
      <c r="DR26" s="73">
        <f t="shared" si="102"/>
        <v>0</v>
      </c>
      <c r="DS26" s="65"/>
      <c r="DT26" s="74" t="s">
        <v>1958</v>
      </c>
      <c r="DU26" s="73">
        <f t="shared" si="105"/>
        <v>0</v>
      </c>
      <c r="DV26" s="65"/>
      <c r="DW26" s="74" t="s">
        <v>1958</v>
      </c>
      <c r="DX26" s="73">
        <f t="shared" si="105"/>
        <v>0</v>
      </c>
      <c r="DY26" s="65"/>
      <c r="DZ26" s="74" t="s">
        <v>1954</v>
      </c>
      <c r="EA26" s="73">
        <f t="shared" si="105"/>
        <v>0</v>
      </c>
      <c r="EB26" s="65"/>
      <c r="EC26" s="74" t="s">
        <v>1958</v>
      </c>
      <c r="ED26" s="73">
        <f t="shared" si="105"/>
        <v>0</v>
      </c>
      <c r="EE26" s="65"/>
      <c r="EF26" s="74" t="s">
        <v>1959</v>
      </c>
      <c r="EG26" s="73">
        <f t="shared" si="105"/>
        <v>0</v>
      </c>
      <c r="EH26" s="65"/>
      <c r="EI26" s="74" t="s">
        <v>1958</v>
      </c>
      <c r="EJ26" s="73">
        <f t="shared" si="105"/>
        <v>0</v>
      </c>
      <c r="EK26" s="65"/>
      <c r="EL26" s="74"/>
      <c r="EM26" s="73">
        <f t="shared" si="105"/>
        <v>0</v>
      </c>
      <c r="EN26" s="65"/>
      <c r="EO26" s="74"/>
      <c r="EP26" s="73">
        <f t="shared" si="105"/>
        <v>0</v>
      </c>
      <c r="EQ26" s="65"/>
      <c r="ER26" s="74"/>
      <c r="ES26" s="73">
        <f t="shared" si="105"/>
        <v>0</v>
      </c>
      <c r="ET26" s="65"/>
      <c r="EU26" s="74"/>
      <c r="EV26" s="73">
        <f t="shared" si="105"/>
        <v>0</v>
      </c>
      <c r="EW26" s="65"/>
      <c r="EX26" s="74"/>
      <c r="EY26" s="73">
        <f t="shared" si="105"/>
        <v>0</v>
      </c>
      <c r="EZ26" s="65"/>
      <c r="FA26" s="74"/>
      <c r="FB26" s="73">
        <f t="shared" si="105"/>
        <v>0</v>
      </c>
      <c r="FC26" s="65"/>
      <c r="FD26" s="74"/>
      <c r="FE26" s="73">
        <f t="shared" si="105"/>
        <v>0</v>
      </c>
      <c r="FF26" s="65"/>
      <c r="FG26" s="74"/>
      <c r="FH26" s="73">
        <f t="shared" si="105"/>
        <v>0</v>
      </c>
      <c r="FI26" s="65"/>
      <c r="FJ26" s="74"/>
      <c r="FK26" s="73">
        <f t="shared" si="105"/>
        <v>0</v>
      </c>
      <c r="FL26" s="65"/>
      <c r="FM26" s="65"/>
    </row>
    <row r="27" spans="1:169">
      <c r="A27" s="49"/>
      <c r="B27" s="49"/>
      <c r="C27" s="439" t="str">
        <f>Idiomas!D323</f>
        <v>Equipo clasificado para SEMIFINALES</v>
      </c>
      <c r="D27" s="45">
        <v>5</v>
      </c>
      <c r="E27" s="111"/>
      <c r="F27" s="445">
        <f t="shared" si="97"/>
        <v>4</v>
      </c>
      <c r="G27" s="445">
        <f ca="1">VLOOKUP(H27,Equipos!$Q$1:$R$25,2,0)</f>
        <v>8</v>
      </c>
      <c r="H27" s="446">
        <f ca="1">TRUNC(INDEX(WORLDCUP!$X$4:$X$147,MATCH(ADMIN!K27,WORLDCUP!$DT$4:$DT$147,0))+INDEX(Horarios!$R$3:$R$86,MATCH(Horarios!$C$3,Horarios!$P$3:$P$86,0))/24)</f>
        <v>46191</v>
      </c>
      <c r="I27" s="48">
        <v>1</v>
      </c>
      <c r="J27" s="95" t="s">
        <v>515</v>
      </c>
      <c r="K27" s="53" t="str">
        <f ca="1">CONCATENATE(WORLDCUP!AA85,"-",WORLDCUP!AF85)</f>
        <v>Uzbekistán-Colombia</v>
      </c>
      <c r="L27" s="53"/>
      <c r="M27" s="53" t="str">
        <f>IF(OR(WORLDCUP!AC85="",WORLDCUP!AD85=""),"-",N27&amp;"|"&amp;O27&amp;"-"&amp;P27)</f>
        <v>2|1-3</v>
      </c>
      <c r="N27" s="25" t="str">
        <f>IF(OR(WORLDCUP!AC85="",WORLDCUP!AD85=""),"",IF(WORLDCUP!AC85&gt;WORLDCUP!AD85,"1",IF(WORLDCUP!AC85&lt;WORLDCUP!AD85,"2","X")))</f>
        <v>2</v>
      </c>
      <c r="O27" s="25">
        <f>WORLDCUP!AC85</f>
        <v>1</v>
      </c>
      <c r="P27" s="25">
        <f>WORLDCUP!AD85</f>
        <v>3</v>
      </c>
      <c r="Q27" s="25">
        <f t="shared" si="101"/>
        <v>2</v>
      </c>
      <c r="R27" s="49"/>
      <c r="S27" s="74" t="s">
        <v>1955</v>
      </c>
      <c r="T27" s="73">
        <f t="shared" si="98"/>
        <v>1</v>
      </c>
      <c r="U27" s="65"/>
      <c r="V27" s="74" t="s">
        <v>1952</v>
      </c>
      <c r="W27" s="73">
        <f t="shared" si="99"/>
        <v>1</v>
      </c>
      <c r="X27" s="65"/>
      <c r="Y27" s="74" t="s">
        <v>1949</v>
      </c>
      <c r="Z27" s="73">
        <f t="shared" si="103"/>
        <v>2</v>
      </c>
      <c r="AA27" s="65"/>
      <c r="AB27" s="74" t="s">
        <v>1952</v>
      </c>
      <c r="AC27" s="73">
        <f t="shared" si="103"/>
        <v>1</v>
      </c>
      <c r="AD27" s="65"/>
      <c r="AE27" s="74" t="s">
        <v>1952</v>
      </c>
      <c r="AF27" s="73">
        <f t="shared" si="103"/>
        <v>1</v>
      </c>
      <c r="AG27" s="65"/>
      <c r="AH27" s="74" t="s">
        <v>1949</v>
      </c>
      <c r="AI27" s="73">
        <f t="shared" si="103"/>
        <v>2</v>
      </c>
      <c r="AJ27" s="65"/>
      <c r="AK27" s="74" t="s">
        <v>1947</v>
      </c>
      <c r="AL27" s="73">
        <f t="shared" si="103"/>
        <v>1</v>
      </c>
      <c r="AM27" s="65"/>
      <c r="AN27" s="74" t="s">
        <v>1949</v>
      </c>
      <c r="AO27" s="73">
        <f t="shared" si="103"/>
        <v>2</v>
      </c>
      <c r="AP27" s="65"/>
      <c r="AQ27" s="74" t="s">
        <v>1952</v>
      </c>
      <c r="AR27" s="73">
        <f t="shared" si="103"/>
        <v>1</v>
      </c>
      <c r="AS27" s="65"/>
      <c r="AT27" s="74" t="s">
        <v>1947</v>
      </c>
      <c r="AU27" s="73">
        <f t="shared" si="103"/>
        <v>1</v>
      </c>
      <c r="AV27" s="65"/>
      <c r="AW27" s="74" t="s">
        <v>1949</v>
      </c>
      <c r="AX27" s="73">
        <f t="shared" si="103"/>
        <v>2</v>
      </c>
      <c r="AY27" s="65"/>
      <c r="AZ27" s="74" t="s">
        <v>1949</v>
      </c>
      <c r="BA27" s="73">
        <f t="shared" si="103"/>
        <v>2</v>
      </c>
      <c r="BB27" s="65"/>
      <c r="BC27" s="74" t="s">
        <v>1949</v>
      </c>
      <c r="BD27" s="73">
        <f t="shared" si="103"/>
        <v>2</v>
      </c>
      <c r="BE27" s="65"/>
      <c r="BF27" s="74" t="s">
        <v>1949</v>
      </c>
      <c r="BG27" s="73">
        <f t="shared" si="103"/>
        <v>2</v>
      </c>
      <c r="BH27" s="65"/>
      <c r="BI27" s="74" t="s">
        <v>1949</v>
      </c>
      <c r="BJ27" s="73">
        <f t="shared" si="103"/>
        <v>2</v>
      </c>
      <c r="BK27" s="65"/>
      <c r="BL27" s="74" t="s">
        <v>1949</v>
      </c>
      <c r="BM27" s="73">
        <f t="shared" si="103"/>
        <v>2</v>
      </c>
      <c r="BN27" s="65"/>
      <c r="BO27" s="74" t="s">
        <v>1952</v>
      </c>
      <c r="BP27" s="73">
        <f t="shared" si="103"/>
        <v>1</v>
      </c>
      <c r="BQ27" s="65"/>
      <c r="BR27" s="74" t="s">
        <v>1947</v>
      </c>
      <c r="BS27" s="73">
        <f t="shared" si="103"/>
        <v>1</v>
      </c>
      <c r="BT27" s="65"/>
      <c r="BU27" s="74" t="s">
        <v>1947</v>
      </c>
      <c r="BV27" s="73">
        <f t="shared" si="103"/>
        <v>1</v>
      </c>
      <c r="BW27" s="65"/>
      <c r="BX27" s="74" t="s">
        <v>1947</v>
      </c>
      <c r="BY27" s="73">
        <f t="shared" si="103"/>
        <v>1</v>
      </c>
      <c r="BZ27" s="65"/>
      <c r="CA27" s="74" t="s">
        <v>1957</v>
      </c>
      <c r="CB27" s="73">
        <f t="shared" si="103"/>
        <v>0</v>
      </c>
      <c r="CC27" s="65"/>
      <c r="CD27" s="74" t="s">
        <v>1945</v>
      </c>
      <c r="CE27" s="73">
        <f t="shared" si="103"/>
        <v>4</v>
      </c>
      <c r="CF27" s="65"/>
      <c r="CG27" s="74" t="s">
        <v>1946</v>
      </c>
      <c r="CH27" s="73">
        <f t="shared" si="103"/>
        <v>0</v>
      </c>
      <c r="CI27" s="65"/>
      <c r="CJ27" s="74" t="s">
        <v>1960</v>
      </c>
      <c r="CK27" s="73">
        <f t="shared" si="102"/>
        <v>1</v>
      </c>
      <c r="CL27" s="65"/>
      <c r="CM27" s="74" t="s">
        <v>1960</v>
      </c>
      <c r="CN27" s="73">
        <f t="shared" si="102"/>
        <v>1</v>
      </c>
      <c r="CO27" s="65"/>
      <c r="CP27" s="74" t="s">
        <v>1947</v>
      </c>
      <c r="CQ27" s="73">
        <f t="shared" si="102"/>
        <v>1</v>
      </c>
      <c r="CR27" s="65"/>
      <c r="CS27" s="74" t="s">
        <v>1946</v>
      </c>
      <c r="CT27" s="73">
        <f t="shared" si="102"/>
        <v>0</v>
      </c>
      <c r="CU27" s="65"/>
      <c r="CV27" s="74" t="s">
        <v>1949</v>
      </c>
      <c r="CW27" s="73">
        <f t="shared" si="102"/>
        <v>2</v>
      </c>
      <c r="CX27" s="65"/>
      <c r="CY27" s="74" t="s">
        <v>1949</v>
      </c>
      <c r="CZ27" s="73">
        <f t="shared" si="102"/>
        <v>2</v>
      </c>
      <c r="DA27" s="65"/>
      <c r="DB27" s="74" t="s">
        <v>1949</v>
      </c>
      <c r="DC27" s="73">
        <f t="shared" si="102"/>
        <v>2</v>
      </c>
      <c r="DD27" s="65"/>
      <c r="DE27" s="74" t="s">
        <v>1947</v>
      </c>
      <c r="DF27" s="73">
        <f t="shared" si="102"/>
        <v>1</v>
      </c>
      <c r="DG27" s="65"/>
      <c r="DH27" s="74" t="s">
        <v>1952</v>
      </c>
      <c r="DI27" s="73">
        <f t="shared" si="102"/>
        <v>1</v>
      </c>
      <c r="DJ27" s="65"/>
      <c r="DK27" s="74" t="s">
        <v>1949</v>
      </c>
      <c r="DL27" s="73">
        <f t="shared" si="102"/>
        <v>2</v>
      </c>
      <c r="DM27" s="65"/>
      <c r="DN27" s="795" t="s">
        <v>1945</v>
      </c>
      <c r="DO27" s="73">
        <f t="shared" si="102"/>
        <v>4</v>
      </c>
      <c r="DP27" s="65"/>
      <c r="DQ27" s="795" t="s">
        <v>1949</v>
      </c>
      <c r="DR27" s="73">
        <f t="shared" si="102"/>
        <v>2</v>
      </c>
      <c r="DS27" s="65"/>
      <c r="DT27" s="74" t="s">
        <v>1949</v>
      </c>
      <c r="DU27" s="73">
        <f t="shared" si="105"/>
        <v>2</v>
      </c>
      <c r="DV27" s="65"/>
      <c r="DW27" s="74" t="s">
        <v>1945</v>
      </c>
      <c r="DX27" s="73">
        <f t="shared" si="105"/>
        <v>4</v>
      </c>
      <c r="DY27" s="65"/>
      <c r="DZ27" s="74" t="s">
        <v>1960</v>
      </c>
      <c r="EA27" s="73">
        <f t="shared" si="105"/>
        <v>1</v>
      </c>
      <c r="EB27" s="65"/>
      <c r="EC27" s="74" t="s">
        <v>1949</v>
      </c>
      <c r="ED27" s="73">
        <f t="shared" si="105"/>
        <v>2</v>
      </c>
      <c r="EE27" s="65"/>
      <c r="EF27" s="74" t="s">
        <v>1945</v>
      </c>
      <c r="EG27" s="73">
        <f t="shared" si="105"/>
        <v>4</v>
      </c>
      <c r="EH27" s="65"/>
      <c r="EI27" s="74" t="s">
        <v>1949</v>
      </c>
      <c r="EJ27" s="73">
        <f t="shared" si="105"/>
        <v>2</v>
      </c>
      <c r="EK27" s="65"/>
      <c r="EL27" s="74"/>
      <c r="EM27" s="73">
        <f t="shared" si="105"/>
        <v>0</v>
      </c>
      <c r="EN27" s="65"/>
      <c r="EO27" s="74"/>
      <c r="EP27" s="73">
        <f t="shared" si="105"/>
        <v>0</v>
      </c>
      <c r="EQ27" s="65"/>
      <c r="ER27" s="74"/>
      <c r="ES27" s="73">
        <f t="shared" si="105"/>
        <v>0</v>
      </c>
      <c r="ET27" s="65"/>
      <c r="EU27" s="74"/>
      <c r="EV27" s="73">
        <f t="shared" si="105"/>
        <v>0</v>
      </c>
      <c r="EW27" s="65"/>
      <c r="EX27" s="74"/>
      <c r="EY27" s="73">
        <f t="shared" si="105"/>
        <v>0</v>
      </c>
      <c r="EZ27" s="65"/>
      <c r="FA27" s="74"/>
      <c r="FB27" s="73">
        <f t="shared" si="105"/>
        <v>0</v>
      </c>
      <c r="FC27" s="65"/>
      <c r="FD27" s="74"/>
      <c r="FE27" s="73">
        <f t="shared" si="105"/>
        <v>0</v>
      </c>
      <c r="FF27" s="65"/>
      <c r="FG27" s="74"/>
      <c r="FH27" s="73">
        <f t="shared" si="105"/>
        <v>0</v>
      </c>
      <c r="FI27" s="65"/>
      <c r="FJ27" s="74"/>
      <c r="FK27" s="73">
        <f t="shared" si="105"/>
        <v>0</v>
      </c>
      <c r="FL27" s="65"/>
      <c r="FM27" s="65"/>
    </row>
    <row r="28" spans="1:169">
      <c r="A28" s="49"/>
      <c r="B28" s="49"/>
      <c r="C28" s="437" t="str">
        <f>Idiomas!D324</f>
        <v>SEMIFINALES - Signo 1X2  (local, empate, visitante)</v>
      </c>
      <c r="D28" s="62">
        <v>1</v>
      </c>
      <c r="E28" s="111"/>
      <c r="F28" s="445">
        <f t="shared" si="97"/>
        <v>4</v>
      </c>
      <c r="G28" s="445">
        <f ca="1">VLOOKUP(H28,Equipos!$Q$1:$R$25,2,0)</f>
        <v>8</v>
      </c>
      <c r="H28" s="446">
        <f ca="1">TRUNC(INDEX(WORLDCUP!$X$4:$X$147,MATCH(ADMIN!K28,WORLDCUP!$DT$4:$DT$147,0))+INDEX(Horarios!$R$3:$R$86,MATCH(Horarios!$C$3,Horarios!$P$3:$P$86,0))/24)</f>
        <v>46191</v>
      </c>
      <c r="I28" s="48">
        <v>1</v>
      </c>
      <c r="J28" s="96" t="s">
        <v>1196</v>
      </c>
      <c r="K28" s="53" t="str">
        <f ca="1">CONCATENATE(WORLDCUP!AA92,"-",WORLDCUP!AF92)</f>
        <v>Inglaterra-Croacia</v>
      </c>
      <c r="L28" s="53"/>
      <c r="M28" s="55" t="str">
        <f>IF(OR(WORLDCUP!AC92="",WORLDCUP!AD92=""),"-",N28&amp;"|"&amp;O28&amp;"-"&amp;P28)</f>
        <v>1|4-2</v>
      </c>
      <c r="N28" s="25" t="str">
        <f>IF(OR(WORLDCUP!AC92="",WORLDCUP!AD92=""),"",IF(WORLDCUP!AC92&gt;WORLDCUP!AD92,"1",IF(WORLDCUP!AC92&lt;WORLDCUP!AD92,"2","X")))</f>
        <v>1</v>
      </c>
      <c r="O28" s="25">
        <f>WORLDCUP!AC92</f>
        <v>4</v>
      </c>
      <c r="P28" s="25">
        <f>WORLDCUP!AD92</f>
        <v>2</v>
      </c>
      <c r="Q28" s="25">
        <f t="shared" si="101"/>
        <v>2</v>
      </c>
      <c r="R28" s="49"/>
      <c r="S28" s="74" t="s">
        <v>1956</v>
      </c>
      <c r="T28" s="73">
        <f t="shared" ref="T28:T36" si="106">IFERROR(IF($M28=S28,($D$8+$D$9+$D$10)*$I28,IF($N28=LEFT(S28,1),($D$8+MAX(0,IF($D$50=1,$D$9*(1-(ABS($Q28-ABS(VALUE(MID(S28,FIND("|",S28)+1,FIND("-",S28)-FIND("|",S28)-1))-VALUE(MID(S28,FIND("-",S28)+1,10)))))*$D$50),$D$9*(1-(IF($N28="X",ABS($O28-VALUE(MID(S28,FIND("|",S28)+1,FIND("-",S28)-FIND("|",S28)-1))),ABS($Q28-ABS(VALUE(MID(S28,FIND("|",S28)+1,FIND("-",S28)-FIND("|",S28)-1))-VALUE(MID(S28,FIND("-",S28)+1,10)))))*$D$50)))))*$I28,0)),0)</f>
        <v>1</v>
      </c>
      <c r="U28" s="65"/>
      <c r="V28" s="74" t="s">
        <v>1948</v>
      </c>
      <c r="W28" s="73">
        <f t="shared" si="99"/>
        <v>1</v>
      </c>
      <c r="X28" s="65"/>
      <c r="Y28" s="74" t="s">
        <v>1956</v>
      </c>
      <c r="Z28" s="73">
        <f t="shared" si="103"/>
        <v>1</v>
      </c>
      <c r="AA28" s="65"/>
      <c r="AB28" s="74" t="s">
        <v>1958</v>
      </c>
      <c r="AC28" s="73">
        <f t="shared" si="103"/>
        <v>1</v>
      </c>
      <c r="AD28" s="65"/>
      <c r="AE28" s="74" t="s">
        <v>1946</v>
      </c>
      <c r="AF28" s="73">
        <f t="shared" si="103"/>
        <v>0</v>
      </c>
      <c r="AG28" s="65"/>
      <c r="AH28" s="74" t="s">
        <v>1962</v>
      </c>
      <c r="AI28" s="73">
        <f t="shared" si="103"/>
        <v>0</v>
      </c>
      <c r="AJ28" s="65"/>
      <c r="AK28" s="74" t="s">
        <v>1954</v>
      </c>
      <c r="AL28" s="73">
        <f t="shared" si="103"/>
        <v>2</v>
      </c>
      <c r="AM28" s="65"/>
      <c r="AN28" s="74" t="s">
        <v>1948</v>
      </c>
      <c r="AO28" s="73">
        <f t="shared" si="103"/>
        <v>1</v>
      </c>
      <c r="AP28" s="65"/>
      <c r="AQ28" s="74" t="s">
        <v>1954</v>
      </c>
      <c r="AR28" s="73">
        <f t="shared" si="103"/>
        <v>2</v>
      </c>
      <c r="AS28" s="65"/>
      <c r="AT28" s="74" t="s">
        <v>1948</v>
      </c>
      <c r="AU28" s="73">
        <f t="shared" si="103"/>
        <v>1</v>
      </c>
      <c r="AV28" s="65"/>
      <c r="AW28" s="74" t="s">
        <v>1942</v>
      </c>
      <c r="AX28" s="73">
        <f t="shared" si="103"/>
        <v>1</v>
      </c>
      <c r="AY28" s="65"/>
      <c r="AZ28" s="74" t="s">
        <v>1946</v>
      </c>
      <c r="BA28" s="73">
        <f t="shared" si="103"/>
        <v>0</v>
      </c>
      <c r="BB28" s="65"/>
      <c r="BC28" s="74" t="s">
        <v>1952</v>
      </c>
      <c r="BD28" s="73">
        <f t="shared" si="103"/>
        <v>0</v>
      </c>
      <c r="BE28" s="65"/>
      <c r="BF28" s="74" t="s">
        <v>1948</v>
      </c>
      <c r="BG28" s="73">
        <f t="shared" si="103"/>
        <v>1</v>
      </c>
      <c r="BH28" s="65"/>
      <c r="BI28" s="74" t="s">
        <v>1956</v>
      </c>
      <c r="BJ28" s="73">
        <f t="shared" si="103"/>
        <v>1</v>
      </c>
      <c r="BK28" s="65"/>
      <c r="BL28" s="74" t="s">
        <v>1948</v>
      </c>
      <c r="BM28" s="73">
        <f t="shared" si="103"/>
        <v>1</v>
      </c>
      <c r="BN28" s="65"/>
      <c r="BO28" s="74" t="s">
        <v>1948</v>
      </c>
      <c r="BP28" s="73">
        <f t="shared" si="103"/>
        <v>1</v>
      </c>
      <c r="BQ28" s="65"/>
      <c r="BR28" s="74" t="s">
        <v>1948</v>
      </c>
      <c r="BS28" s="73">
        <f t="shared" si="103"/>
        <v>1</v>
      </c>
      <c r="BT28" s="65"/>
      <c r="BU28" s="74" t="s">
        <v>1944</v>
      </c>
      <c r="BV28" s="73">
        <f t="shared" si="103"/>
        <v>0</v>
      </c>
      <c r="BW28" s="65"/>
      <c r="BX28" s="74" t="s">
        <v>1944</v>
      </c>
      <c r="BY28" s="73">
        <f t="shared" si="103"/>
        <v>0</v>
      </c>
      <c r="BZ28" s="65"/>
      <c r="CA28" s="74" t="s">
        <v>1948</v>
      </c>
      <c r="CB28" s="73">
        <f t="shared" si="103"/>
        <v>1</v>
      </c>
      <c r="CC28" s="65"/>
      <c r="CD28" s="74" t="s">
        <v>1946</v>
      </c>
      <c r="CE28" s="73">
        <f t="shared" si="103"/>
        <v>0</v>
      </c>
      <c r="CF28" s="65"/>
      <c r="CG28" s="74" t="s">
        <v>1944</v>
      </c>
      <c r="CH28" s="73">
        <f t="shared" si="103"/>
        <v>0</v>
      </c>
      <c r="CI28" s="65"/>
      <c r="CJ28" s="74" t="s">
        <v>1954</v>
      </c>
      <c r="CK28" s="73">
        <f t="shared" si="102"/>
        <v>2</v>
      </c>
      <c r="CL28" s="65"/>
      <c r="CM28" s="74" t="s">
        <v>1943</v>
      </c>
      <c r="CN28" s="73">
        <f t="shared" si="102"/>
        <v>2</v>
      </c>
      <c r="CO28" s="65"/>
      <c r="CP28" s="74" t="s">
        <v>1944</v>
      </c>
      <c r="CQ28" s="73">
        <f t="shared" si="102"/>
        <v>0</v>
      </c>
      <c r="CR28" s="65"/>
      <c r="CS28" s="74" t="s">
        <v>1948</v>
      </c>
      <c r="CT28" s="73">
        <f t="shared" si="102"/>
        <v>1</v>
      </c>
      <c r="CU28" s="65"/>
      <c r="CV28" s="74" t="s">
        <v>1954</v>
      </c>
      <c r="CW28" s="73">
        <f t="shared" si="102"/>
        <v>2</v>
      </c>
      <c r="CX28" s="65"/>
      <c r="CY28" s="74" t="s">
        <v>1954</v>
      </c>
      <c r="CZ28" s="73">
        <f t="shared" si="102"/>
        <v>2</v>
      </c>
      <c r="DA28" s="65"/>
      <c r="DB28" s="74" t="s">
        <v>1948</v>
      </c>
      <c r="DC28" s="73">
        <f t="shared" si="102"/>
        <v>1</v>
      </c>
      <c r="DD28" s="65"/>
      <c r="DE28" s="74" t="s">
        <v>1948</v>
      </c>
      <c r="DF28" s="73">
        <f t="shared" si="102"/>
        <v>1</v>
      </c>
      <c r="DG28" s="65"/>
      <c r="DH28" s="74" t="s">
        <v>1946</v>
      </c>
      <c r="DI28" s="73">
        <f t="shared" si="102"/>
        <v>0</v>
      </c>
      <c r="DJ28" s="65"/>
      <c r="DK28" s="74" t="s">
        <v>1942</v>
      </c>
      <c r="DL28" s="73">
        <f t="shared" si="102"/>
        <v>1</v>
      </c>
      <c r="DM28" s="65"/>
      <c r="DN28" s="795" t="s">
        <v>1954</v>
      </c>
      <c r="DO28" s="73">
        <f t="shared" si="102"/>
        <v>2</v>
      </c>
      <c r="DP28" s="65"/>
      <c r="DQ28" s="795" t="s">
        <v>1952</v>
      </c>
      <c r="DR28" s="73">
        <f t="shared" si="102"/>
        <v>0</v>
      </c>
      <c r="DS28" s="65"/>
      <c r="DT28" s="74" t="s">
        <v>1952</v>
      </c>
      <c r="DU28" s="73">
        <f t="shared" si="105"/>
        <v>0</v>
      </c>
      <c r="DV28" s="65"/>
      <c r="DW28" s="74" t="s">
        <v>1943</v>
      </c>
      <c r="DX28" s="73">
        <f t="shared" si="105"/>
        <v>2</v>
      </c>
      <c r="DY28" s="65"/>
      <c r="DZ28" s="74" t="s">
        <v>1946</v>
      </c>
      <c r="EA28" s="73">
        <f t="shared" si="105"/>
        <v>0</v>
      </c>
      <c r="EB28" s="65"/>
      <c r="EC28" s="74" t="s">
        <v>1954</v>
      </c>
      <c r="ED28" s="73">
        <f t="shared" si="105"/>
        <v>2</v>
      </c>
      <c r="EE28" s="65"/>
      <c r="EF28" s="74" t="s">
        <v>1943</v>
      </c>
      <c r="EG28" s="73">
        <f t="shared" si="105"/>
        <v>2</v>
      </c>
      <c r="EH28" s="65"/>
      <c r="EI28" s="74" t="s">
        <v>1942</v>
      </c>
      <c r="EJ28" s="73">
        <f t="shared" si="105"/>
        <v>1</v>
      </c>
      <c r="EK28" s="65"/>
      <c r="EL28" s="74"/>
      <c r="EM28" s="73">
        <f t="shared" si="105"/>
        <v>0</v>
      </c>
      <c r="EN28" s="65"/>
      <c r="EO28" s="74"/>
      <c r="EP28" s="73">
        <f t="shared" si="105"/>
        <v>0</v>
      </c>
      <c r="EQ28" s="65"/>
      <c r="ER28" s="74"/>
      <c r="ES28" s="73">
        <f t="shared" si="105"/>
        <v>0</v>
      </c>
      <c r="ET28" s="65"/>
      <c r="EU28" s="74"/>
      <c r="EV28" s="73">
        <f t="shared" si="105"/>
        <v>0</v>
      </c>
      <c r="EW28" s="65"/>
      <c r="EX28" s="74"/>
      <c r="EY28" s="73">
        <f t="shared" si="105"/>
        <v>0</v>
      </c>
      <c r="EZ28" s="65"/>
      <c r="FA28" s="74"/>
      <c r="FB28" s="73">
        <f t="shared" si="105"/>
        <v>0</v>
      </c>
      <c r="FC28" s="65"/>
      <c r="FD28" s="74"/>
      <c r="FE28" s="73">
        <f t="shared" si="105"/>
        <v>0</v>
      </c>
      <c r="FF28" s="65"/>
      <c r="FG28" s="74"/>
      <c r="FH28" s="73">
        <f t="shared" si="105"/>
        <v>0</v>
      </c>
      <c r="FI28" s="65"/>
      <c r="FJ28" s="74"/>
      <c r="FK28" s="73">
        <f t="shared" si="105"/>
        <v>0</v>
      </c>
      <c r="FL28" s="65"/>
      <c r="FM28" s="65"/>
    </row>
    <row r="29" spans="1:169">
      <c r="A29" s="49"/>
      <c r="B29" s="49"/>
      <c r="C29" s="438" t="str">
        <f>Idiomas!D325&amp;"**"</f>
        <v>SEMIFINALES -Diferencia/Distancia de goles (Con 1X2 acertado)**</v>
      </c>
      <c r="D29" s="44">
        <v>1</v>
      </c>
      <c r="E29" s="111"/>
      <c r="F29" s="445">
        <f t="shared" si="97"/>
        <v>4</v>
      </c>
      <c r="G29" s="445">
        <f ca="1">VLOOKUP(H29,Equipos!$Q$1:$R$25,2,0)</f>
        <v>8</v>
      </c>
      <c r="H29" s="446">
        <f ca="1">TRUNC(INDEX(WORLDCUP!$X$4:$X$147,MATCH(ADMIN!K29,WORLDCUP!$DT$4:$DT$147,0))+INDEX(Horarios!$R$3:$R$86,MATCH(Horarios!$C$3,Horarios!$P$3:$P$86,0))/24)</f>
        <v>46191</v>
      </c>
      <c r="I29" s="48">
        <v>1</v>
      </c>
      <c r="J29" s="96" t="s">
        <v>1196</v>
      </c>
      <c r="K29" s="57" t="str">
        <f ca="1">CONCATENATE(WORLDCUP!AA93,"-",WORLDCUP!AF93)</f>
        <v>Ghana-Panamá</v>
      </c>
      <c r="L29" s="58"/>
      <c r="M29" s="59" t="str">
        <f>IF(OR(WORLDCUP!AC93="",WORLDCUP!AD93=""),"-",N29&amp;"|"&amp;O29&amp;"-"&amp;P29)</f>
        <v>1|1-0</v>
      </c>
      <c r="N29" s="25" t="str">
        <f>IF(OR(WORLDCUP!AC93="",WORLDCUP!AD93=""),"",IF(WORLDCUP!AC93&gt;WORLDCUP!AD93,"1",IF(WORLDCUP!AC93&lt;WORLDCUP!AD93,"2","X")))</f>
        <v>1</v>
      </c>
      <c r="O29" s="25">
        <f>WORLDCUP!AC93</f>
        <v>1</v>
      </c>
      <c r="P29" s="25">
        <f>WORLDCUP!AD93</f>
        <v>0</v>
      </c>
      <c r="Q29" s="25">
        <f t="shared" si="101"/>
        <v>1</v>
      </c>
      <c r="R29" s="49"/>
      <c r="S29" s="78" t="s">
        <v>1957</v>
      </c>
      <c r="T29" s="79">
        <f t="shared" si="106"/>
        <v>0</v>
      </c>
      <c r="U29" s="65"/>
      <c r="V29" s="78" t="s">
        <v>1954</v>
      </c>
      <c r="W29" s="79">
        <f t="shared" si="99"/>
        <v>1</v>
      </c>
      <c r="X29" s="65"/>
      <c r="Y29" s="78" t="s">
        <v>1948</v>
      </c>
      <c r="Z29" s="79">
        <f t="shared" si="103"/>
        <v>2</v>
      </c>
      <c r="AA29" s="65"/>
      <c r="AB29" s="78" t="s">
        <v>1960</v>
      </c>
      <c r="AC29" s="79">
        <f t="shared" si="103"/>
        <v>0</v>
      </c>
      <c r="AD29" s="65"/>
      <c r="AE29" s="78" t="s">
        <v>1952</v>
      </c>
      <c r="AF29" s="79">
        <f t="shared" si="103"/>
        <v>0</v>
      </c>
      <c r="AG29" s="65"/>
      <c r="AH29" s="78" t="s">
        <v>1952</v>
      </c>
      <c r="AI29" s="79">
        <f t="shared" si="103"/>
        <v>0</v>
      </c>
      <c r="AJ29" s="65"/>
      <c r="AK29" s="78" t="s">
        <v>1958</v>
      </c>
      <c r="AL29" s="79">
        <f t="shared" si="103"/>
        <v>1</v>
      </c>
      <c r="AM29" s="65"/>
      <c r="AN29" s="78" t="s">
        <v>1942</v>
      </c>
      <c r="AO29" s="79">
        <f t="shared" si="103"/>
        <v>4</v>
      </c>
      <c r="AP29" s="65"/>
      <c r="AQ29" s="78" t="s">
        <v>1958</v>
      </c>
      <c r="AR29" s="79">
        <f t="shared" si="103"/>
        <v>1</v>
      </c>
      <c r="AS29" s="65"/>
      <c r="AT29" s="78" t="s">
        <v>1954</v>
      </c>
      <c r="AU29" s="79">
        <f t="shared" si="103"/>
        <v>1</v>
      </c>
      <c r="AV29" s="65"/>
      <c r="AW29" s="78" t="s">
        <v>1958</v>
      </c>
      <c r="AX29" s="79">
        <f t="shared" si="103"/>
        <v>1</v>
      </c>
      <c r="AY29" s="65"/>
      <c r="AZ29" s="78" t="s">
        <v>1948</v>
      </c>
      <c r="BA29" s="79">
        <f t="shared" si="103"/>
        <v>2</v>
      </c>
      <c r="BB29" s="65"/>
      <c r="BC29" s="78" t="s">
        <v>1942</v>
      </c>
      <c r="BD29" s="79">
        <f t="shared" si="103"/>
        <v>4</v>
      </c>
      <c r="BE29" s="65"/>
      <c r="BF29" s="78" t="s">
        <v>1946</v>
      </c>
      <c r="BG29" s="79">
        <f t="shared" si="103"/>
        <v>0</v>
      </c>
      <c r="BH29" s="65"/>
      <c r="BI29" s="78" t="s">
        <v>1948</v>
      </c>
      <c r="BJ29" s="79">
        <f t="shared" si="103"/>
        <v>2</v>
      </c>
      <c r="BK29" s="65"/>
      <c r="BL29" s="78" t="s">
        <v>1954</v>
      </c>
      <c r="BM29" s="79">
        <f t="shared" si="103"/>
        <v>1</v>
      </c>
      <c r="BN29" s="65"/>
      <c r="BO29" s="78" t="s">
        <v>1960</v>
      </c>
      <c r="BP29" s="79">
        <f t="shared" si="103"/>
        <v>0</v>
      </c>
      <c r="BQ29" s="65"/>
      <c r="BR29" s="78" t="s">
        <v>1948</v>
      </c>
      <c r="BS29" s="79">
        <f t="shared" si="103"/>
        <v>2</v>
      </c>
      <c r="BT29" s="65"/>
      <c r="BU29" s="78" t="s">
        <v>1948</v>
      </c>
      <c r="BV29" s="79">
        <f t="shared" si="103"/>
        <v>2</v>
      </c>
      <c r="BW29" s="65"/>
      <c r="BX29" s="78" t="s">
        <v>1946</v>
      </c>
      <c r="BY29" s="79">
        <f t="shared" si="103"/>
        <v>0</v>
      </c>
      <c r="BZ29" s="65"/>
      <c r="CA29" s="78" t="s">
        <v>1948</v>
      </c>
      <c r="CB29" s="79">
        <f t="shared" si="103"/>
        <v>2</v>
      </c>
      <c r="CC29" s="65"/>
      <c r="CD29" s="78" t="s">
        <v>1942</v>
      </c>
      <c r="CE29" s="79">
        <f t="shared" si="103"/>
        <v>4</v>
      </c>
      <c r="CF29" s="65"/>
      <c r="CG29" s="78" t="s">
        <v>1962</v>
      </c>
      <c r="CH29" s="79">
        <f t="shared" si="103"/>
        <v>0</v>
      </c>
      <c r="CI29" s="65"/>
      <c r="CJ29" s="78" t="s">
        <v>1942</v>
      </c>
      <c r="CK29" s="79">
        <f t="shared" si="102"/>
        <v>4</v>
      </c>
      <c r="CL29" s="65"/>
      <c r="CM29" s="78" t="s">
        <v>1957</v>
      </c>
      <c r="CN29" s="79">
        <f t="shared" si="102"/>
        <v>0</v>
      </c>
      <c r="CO29" s="65"/>
      <c r="CP29" s="78" t="s">
        <v>1948</v>
      </c>
      <c r="CQ29" s="79">
        <f t="shared" si="102"/>
        <v>2</v>
      </c>
      <c r="CR29" s="65"/>
      <c r="CS29" s="78" t="s">
        <v>1946</v>
      </c>
      <c r="CT29" s="79">
        <f t="shared" si="102"/>
        <v>0</v>
      </c>
      <c r="CU29" s="65"/>
      <c r="CV29" s="78" t="s">
        <v>1954</v>
      </c>
      <c r="CW29" s="79">
        <f t="shared" si="102"/>
        <v>1</v>
      </c>
      <c r="CX29" s="65"/>
      <c r="CY29" s="78" t="s">
        <v>1944</v>
      </c>
      <c r="CZ29" s="79">
        <f t="shared" si="102"/>
        <v>0</v>
      </c>
      <c r="DA29" s="65"/>
      <c r="DB29" s="78" t="s">
        <v>1942</v>
      </c>
      <c r="DC29" s="79">
        <f t="shared" si="102"/>
        <v>4</v>
      </c>
      <c r="DD29" s="65"/>
      <c r="DE29" s="78" t="s">
        <v>1942</v>
      </c>
      <c r="DF29" s="79">
        <f t="shared" si="102"/>
        <v>4</v>
      </c>
      <c r="DG29" s="65"/>
      <c r="DH29" s="78" t="s">
        <v>1946</v>
      </c>
      <c r="DI29" s="79">
        <f t="shared" si="102"/>
        <v>0</v>
      </c>
      <c r="DJ29" s="65"/>
      <c r="DK29" s="78" t="s">
        <v>1948</v>
      </c>
      <c r="DL29" s="79">
        <f t="shared" si="102"/>
        <v>2</v>
      </c>
      <c r="DM29" s="65"/>
      <c r="DN29" s="795" t="s">
        <v>1943</v>
      </c>
      <c r="DO29" s="79">
        <f t="shared" si="102"/>
        <v>1</v>
      </c>
      <c r="DP29" s="65"/>
      <c r="DQ29" s="795" t="s">
        <v>1946</v>
      </c>
      <c r="DR29" s="79">
        <f t="shared" si="102"/>
        <v>0</v>
      </c>
      <c r="DS29" s="65"/>
      <c r="DT29" s="78" t="s">
        <v>1948</v>
      </c>
      <c r="DU29" s="79">
        <f t="shared" si="105"/>
        <v>2</v>
      </c>
      <c r="DV29" s="65"/>
      <c r="DW29" s="78" t="s">
        <v>1954</v>
      </c>
      <c r="DX29" s="79">
        <f t="shared" si="105"/>
        <v>1</v>
      </c>
      <c r="DY29" s="65"/>
      <c r="DZ29" s="78" t="s">
        <v>1942</v>
      </c>
      <c r="EA29" s="79">
        <f t="shared" si="105"/>
        <v>4</v>
      </c>
      <c r="EB29" s="65"/>
      <c r="EC29" s="78" t="s">
        <v>1948</v>
      </c>
      <c r="ED29" s="79">
        <f t="shared" si="105"/>
        <v>2</v>
      </c>
      <c r="EE29" s="65"/>
      <c r="EF29" s="78" t="s">
        <v>1954</v>
      </c>
      <c r="EG29" s="79">
        <f t="shared" si="105"/>
        <v>1</v>
      </c>
      <c r="EH29" s="65"/>
      <c r="EI29" s="78" t="s">
        <v>1946</v>
      </c>
      <c r="EJ29" s="79">
        <f t="shared" si="105"/>
        <v>0</v>
      </c>
      <c r="EK29" s="65"/>
      <c r="EL29" s="78"/>
      <c r="EM29" s="79">
        <f t="shared" si="105"/>
        <v>0</v>
      </c>
      <c r="EN29" s="65"/>
      <c r="EO29" s="78"/>
      <c r="EP29" s="79">
        <f t="shared" si="105"/>
        <v>0</v>
      </c>
      <c r="EQ29" s="65"/>
      <c r="ER29" s="78"/>
      <c r="ES29" s="79">
        <f t="shared" si="105"/>
        <v>0</v>
      </c>
      <c r="ET29" s="65"/>
      <c r="EU29" s="78"/>
      <c r="EV29" s="79">
        <f t="shared" si="105"/>
        <v>0</v>
      </c>
      <c r="EW29" s="65"/>
      <c r="EX29" s="78"/>
      <c r="EY29" s="79">
        <f t="shared" si="105"/>
        <v>0</v>
      </c>
      <c r="EZ29" s="65"/>
      <c r="FA29" s="78"/>
      <c r="FB29" s="79">
        <f t="shared" si="105"/>
        <v>0</v>
      </c>
      <c r="FC29" s="65"/>
      <c r="FD29" s="78"/>
      <c r="FE29" s="79">
        <f t="shared" si="105"/>
        <v>0</v>
      </c>
      <c r="FF29" s="65"/>
      <c r="FG29" s="78"/>
      <c r="FH29" s="79">
        <f t="shared" si="105"/>
        <v>0</v>
      </c>
      <c r="FI29" s="65"/>
      <c r="FJ29" s="78"/>
      <c r="FK29" s="79">
        <f t="shared" si="105"/>
        <v>0</v>
      </c>
      <c r="FL29" s="65"/>
      <c r="FM29" s="65"/>
    </row>
    <row r="30" spans="1:169">
      <c r="A30" s="49"/>
      <c r="B30" s="49"/>
      <c r="C30" s="437" t="str">
        <f>Idiomas!D326</f>
        <v>SEMIFINALES - Resultado exacto</v>
      </c>
      <c r="D30" s="62">
        <v>2</v>
      </c>
      <c r="E30" s="111"/>
      <c r="F30" s="445">
        <f t="shared" si="97"/>
        <v>4</v>
      </c>
      <c r="G30" s="445">
        <f ca="1">VLOOKUP(H30,Equipos!$Q$1:$R$25,2,0)</f>
        <v>8</v>
      </c>
      <c r="H30" s="446">
        <f ca="1">TRUNC(INDEX(WORLDCUP!$X$4:$X$147,MATCH(ADMIN!K30,WORLDCUP!$DT$4:$DT$147,0))+INDEX(Horarios!$R$3:$R$86,MATCH(Horarios!$C$3,Horarios!$P$3:$P$86,0))/24)</f>
        <v>46191</v>
      </c>
      <c r="I30" s="48">
        <v>1</v>
      </c>
      <c r="J30" s="95" t="s">
        <v>118</v>
      </c>
      <c r="K30" s="53" t="str">
        <f ca="1">CONCATENATE(WORLDCUP!AA6,"-",WORLDCUP!AF6)</f>
        <v>República Checa-Sudáfrica</v>
      </c>
      <c r="L30" s="53"/>
      <c r="M30" s="55" t="str">
        <f>IF(OR(WORLDCUP!AC6="",WORLDCUP!AD6=""),"-",N30&amp;"|"&amp;O30&amp;"-"&amp;P30)</f>
        <v>X|1-1</v>
      </c>
      <c r="N30" s="25" t="str">
        <f>IF(OR(WORLDCUP!AC6="",WORLDCUP!AD6=""),"",IF(WORLDCUP!AC6&gt;WORLDCUP!AD6,"1",IF(WORLDCUP!AC6&lt;WORLDCUP!AD6,"2","X")))</f>
        <v>X</v>
      </c>
      <c r="O30" s="25">
        <f>WORLDCUP!AC6</f>
        <v>1</v>
      </c>
      <c r="P30" s="25">
        <f>WORLDCUP!AD6</f>
        <v>1</v>
      </c>
      <c r="Q30" s="25">
        <f t="shared" si="101"/>
        <v>0</v>
      </c>
      <c r="R30" s="49"/>
      <c r="S30" s="76" t="s">
        <v>1958</v>
      </c>
      <c r="T30" s="77">
        <f t="shared" si="106"/>
        <v>0</v>
      </c>
      <c r="U30" s="65"/>
      <c r="V30" s="76" t="s">
        <v>1954</v>
      </c>
      <c r="W30" s="77">
        <f t="shared" si="99"/>
        <v>0</v>
      </c>
      <c r="X30" s="65"/>
      <c r="Y30" s="76" t="s">
        <v>1948</v>
      </c>
      <c r="Z30" s="77">
        <f t="shared" si="103"/>
        <v>0</v>
      </c>
      <c r="AA30" s="65"/>
      <c r="AB30" s="76" t="s">
        <v>1946</v>
      </c>
      <c r="AC30" s="77">
        <f t="shared" si="103"/>
        <v>4</v>
      </c>
      <c r="AD30" s="65"/>
      <c r="AE30" s="76" t="s">
        <v>1942</v>
      </c>
      <c r="AF30" s="77">
        <f t="shared" si="103"/>
        <v>0</v>
      </c>
      <c r="AG30" s="65"/>
      <c r="AH30" s="76" t="s">
        <v>1946</v>
      </c>
      <c r="AI30" s="77">
        <f t="shared" si="103"/>
        <v>4</v>
      </c>
      <c r="AJ30" s="65"/>
      <c r="AK30" s="76" t="s">
        <v>1948</v>
      </c>
      <c r="AL30" s="77">
        <f t="shared" si="103"/>
        <v>0</v>
      </c>
      <c r="AM30" s="65"/>
      <c r="AN30" s="76" t="s">
        <v>1958</v>
      </c>
      <c r="AO30" s="77">
        <f t="shared" si="103"/>
        <v>0</v>
      </c>
      <c r="AP30" s="65"/>
      <c r="AQ30" s="76" t="s">
        <v>1946</v>
      </c>
      <c r="AR30" s="77">
        <f t="shared" si="103"/>
        <v>4</v>
      </c>
      <c r="AS30" s="65"/>
      <c r="AT30" s="76" t="s">
        <v>1946</v>
      </c>
      <c r="AU30" s="77">
        <f t="shared" si="103"/>
        <v>4</v>
      </c>
      <c r="AV30" s="65"/>
      <c r="AW30" s="76" t="s">
        <v>1948</v>
      </c>
      <c r="AX30" s="77">
        <f t="shared" si="103"/>
        <v>0</v>
      </c>
      <c r="AY30" s="65"/>
      <c r="AZ30" s="76" t="s">
        <v>1942</v>
      </c>
      <c r="BA30" s="77">
        <f t="shared" si="103"/>
        <v>0</v>
      </c>
      <c r="BB30" s="65"/>
      <c r="BC30" s="76" t="s">
        <v>1960</v>
      </c>
      <c r="BD30" s="77">
        <f t="shared" si="103"/>
        <v>0</v>
      </c>
      <c r="BE30" s="65"/>
      <c r="BF30" s="76" t="s">
        <v>1954</v>
      </c>
      <c r="BG30" s="77">
        <f t="shared" si="103"/>
        <v>0</v>
      </c>
      <c r="BH30" s="65"/>
      <c r="BI30" s="76" t="s">
        <v>1948</v>
      </c>
      <c r="BJ30" s="77">
        <f t="shared" ref="BJ30:DU41" si="107">IFERROR(IF($M30=BI30,($D$8+$D$9+$D$10)*$I30,IF($N30=LEFT(BI30,1),($D$8+MAX(0,IF($D$50=1,$D$9*(1-(ABS($Q30-ABS(VALUE(MID(BI30,FIND("|",BI30)+1,FIND("-",BI30)-FIND("|",BI30)-1))-VALUE(MID(BI30,FIND("-",BI30)+1,10)))))*$D$50),$D$9*(1-(IF($N30="X",ABS($O30-VALUE(MID(BI30,FIND("|",BI30)+1,FIND("-",BI30)-FIND("|",BI30)-1))),ABS($Q30-ABS(VALUE(MID(BI30,FIND("|",BI30)+1,FIND("-",BI30)-FIND("|",BI30)-1))-VALUE(MID(BI30,FIND("-",BI30)+1,10)))))*$D$50)))))*$I30,0)),0)</f>
        <v>0</v>
      </c>
      <c r="BK30" s="65"/>
      <c r="BL30" s="76" t="s">
        <v>1948</v>
      </c>
      <c r="BM30" s="77">
        <f t="shared" si="107"/>
        <v>0</v>
      </c>
      <c r="BN30" s="65"/>
      <c r="BO30" s="76" t="s">
        <v>1946</v>
      </c>
      <c r="BP30" s="77">
        <f t="shared" si="107"/>
        <v>4</v>
      </c>
      <c r="BQ30" s="65"/>
      <c r="BR30" s="76" t="s">
        <v>1942</v>
      </c>
      <c r="BS30" s="77">
        <f t="shared" si="107"/>
        <v>0</v>
      </c>
      <c r="BT30" s="65"/>
      <c r="BU30" s="76" t="s">
        <v>1948</v>
      </c>
      <c r="BV30" s="77">
        <f t="shared" si="107"/>
        <v>0</v>
      </c>
      <c r="BW30" s="65"/>
      <c r="BX30" s="76" t="s">
        <v>1946</v>
      </c>
      <c r="BY30" s="77">
        <f t="shared" si="107"/>
        <v>4</v>
      </c>
      <c r="BZ30" s="65"/>
      <c r="CA30" s="76" t="s">
        <v>1960</v>
      </c>
      <c r="CB30" s="77">
        <f t="shared" si="107"/>
        <v>0</v>
      </c>
      <c r="CC30" s="65"/>
      <c r="CD30" s="76" t="s">
        <v>1946</v>
      </c>
      <c r="CE30" s="77">
        <f t="shared" si="107"/>
        <v>4</v>
      </c>
      <c r="CF30" s="65"/>
      <c r="CG30" s="76" t="s">
        <v>1954</v>
      </c>
      <c r="CH30" s="77">
        <f t="shared" si="107"/>
        <v>0</v>
      </c>
      <c r="CI30" s="65"/>
      <c r="CJ30" s="76" t="s">
        <v>1942</v>
      </c>
      <c r="CK30" s="77">
        <f t="shared" si="107"/>
        <v>0</v>
      </c>
      <c r="CL30" s="65"/>
      <c r="CM30" s="76" t="s">
        <v>1948</v>
      </c>
      <c r="CN30" s="77">
        <f t="shared" si="107"/>
        <v>0</v>
      </c>
      <c r="CO30" s="65"/>
      <c r="CP30" s="76" t="s">
        <v>1946</v>
      </c>
      <c r="CQ30" s="77">
        <f t="shared" si="107"/>
        <v>4</v>
      </c>
      <c r="CR30" s="65"/>
      <c r="CS30" s="76" t="s">
        <v>1954</v>
      </c>
      <c r="CT30" s="77">
        <f t="shared" si="107"/>
        <v>0</v>
      </c>
      <c r="CU30" s="65"/>
      <c r="CV30" s="76" t="s">
        <v>1948</v>
      </c>
      <c r="CW30" s="77">
        <f t="shared" si="107"/>
        <v>0</v>
      </c>
      <c r="CX30" s="65"/>
      <c r="CY30" s="76" t="s">
        <v>1942</v>
      </c>
      <c r="CZ30" s="77">
        <f t="shared" si="107"/>
        <v>0</v>
      </c>
      <c r="DA30" s="65"/>
      <c r="DB30" s="76" t="s">
        <v>1943</v>
      </c>
      <c r="DC30" s="77">
        <f t="shared" si="107"/>
        <v>0</v>
      </c>
      <c r="DD30" s="65"/>
      <c r="DE30" s="76" t="s">
        <v>1943</v>
      </c>
      <c r="DF30" s="77">
        <f t="shared" si="107"/>
        <v>0</v>
      </c>
      <c r="DG30" s="65"/>
      <c r="DH30" s="76" t="s">
        <v>1942</v>
      </c>
      <c r="DI30" s="77">
        <f t="shared" si="107"/>
        <v>0</v>
      </c>
      <c r="DJ30" s="65"/>
      <c r="DK30" s="76" t="s">
        <v>1954</v>
      </c>
      <c r="DL30" s="77">
        <f t="shared" si="107"/>
        <v>0</v>
      </c>
      <c r="DM30" s="65"/>
      <c r="DN30" s="795" t="s">
        <v>1942</v>
      </c>
      <c r="DO30" s="77">
        <f t="shared" si="107"/>
        <v>0</v>
      </c>
      <c r="DP30" s="65"/>
      <c r="DQ30" s="795" t="s">
        <v>1946</v>
      </c>
      <c r="DR30" s="77">
        <f t="shared" si="107"/>
        <v>4</v>
      </c>
      <c r="DS30" s="65"/>
      <c r="DT30" s="76" t="s">
        <v>1944</v>
      </c>
      <c r="DU30" s="77">
        <f t="shared" si="107"/>
        <v>2</v>
      </c>
      <c r="DV30" s="65"/>
      <c r="DW30" s="76" t="s">
        <v>1948</v>
      </c>
      <c r="DX30" s="77">
        <f t="shared" si="105"/>
        <v>0</v>
      </c>
      <c r="DY30" s="65"/>
      <c r="DZ30" s="76" t="s">
        <v>1942</v>
      </c>
      <c r="EA30" s="77">
        <f t="shared" si="105"/>
        <v>0</v>
      </c>
      <c r="EB30" s="65"/>
      <c r="EC30" s="76" t="s">
        <v>1946</v>
      </c>
      <c r="ED30" s="77">
        <f t="shared" si="105"/>
        <v>4</v>
      </c>
      <c r="EE30" s="65"/>
      <c r="EF30" s="76" t="s">
        <v>1942</v>
      </c>
      <c r="EG30" s="77">
        <f t="shared" si="105"/>
        <v>0</v>
      </c>
      <c r="EH30" s="65"/>
      <c r="EI30" s="76" t="s">
        <v>1948</v>
      </c>
      <c r="EJ30" s="77">
        <f t="shared" si="105"/>
        <v>0</v>
      </c>
      <c r="EK30" s="65"/>
      <c r="EL30" s="76" t="str">
        <f>Idiomas!$D$365</f>
        <v>Pegar Valores (J2)</v>
      </c>
      <c r="EM30" s="77">
        <f t="shared" si="105"/>
        <v>0</v>
      </c>
      <c r="EN30" s="65"/>
      <c r="EO30" s="76" t="str">
        <f>Idiomas!$D$365</f>
        <v>Pegar Valores (J2)</v>
      </c>
      <c r="EP30" s="77">
        <f t="shared" si="105"/>
        <v>0</v>
      </c>
      <c r="EQ30" s="65"/>
      <c r="ER30" s="76" t="str">
        <f>Idiomas!$D$365</f>
        <v>Pegar Valores (J2)</v>
      </c>
      <c r="ES30" s="77">
        <f t="shared" si="105"/>
        <v>0</v>
      </c>
      <c r="ET30" s="65"/>
      <c r="EU30" s="76" t="str">
        <f>Idiomas!$D$365</f>
        <v>Pegar Valores (J2)</v>
      </c>
      <c r="EV30" s="77">
        <f t="shared" si="105"/>
        <v>0</v>
      </c>
      <c r="EW30" s="65"/>
      <c r="EX30" s="76" t="str">
        <f>Idiomas!$D$365</f>
        <v>Pegar Valores (J2)</v>
      </c>
      <c r="EY30" s="77">
        <f t="shared" si="105"/>
        <v>0</v>
      </c>
      <c r="EZ30" s="65"/>
      <c r="FA30" s="76" t="str">
        <f>Idiomas!$D$365</f>
        <v>Pegar Valores (J2)</v>
      </c>
      <c r="FB30" s="77">
        <f t="shared" si="105"/>
        <v>0</v>
      </c>
      <c r="FC30" s="65"/>
      <c r="FD30" s="76" t="str">
        <f>Idiomas!$D$365</f>
        <v>Pegar Valores (J2)</v>
      </c>
      <c r="FE30" s="77">
        <f t="shared" si="105"/>
        <v>0</v>
      </c>
      <c r="FF30" s="65"/>
      <c r="FG30" s="76" t="str">
        <f>Idiomas!$D$365</f>
        <v>Pegar Valores (J2)</v>
      </c>
      <c r="FH30" s="77">
        <f t="shared" si="105"/>
        <v>0</v>
      </c>
      <c r="FI30" s="65"/>
      <c r="FJ30" s="76" t="str">
        <f>Idiomas!$D$365</f>
        <v>Pegar Valores (J2)</v>
      </c>
      <c r="FK30" s="77">
        <f t="shared" si="105"/>
        <v>0</v>
      </c>
      <c r="FL30" s="65"/>
      <c r="FM30" s="65"/>
    </row>
    <row r="31" spans="1:169">
      <c r="A31" s="49"/>
      <c r="B31" s="49"/>
      <c r="C31" s="438" t="str">
        <f>Idiomas!D327</f>
        <v>Equipo clasificado para 3º y 4º puesto</v>
      </c>
      <c r="D31" s="44">
        <v>6</v>
      </c>
      <c r="E31" s="111"/>
      <c r="F31" s="445">
        <f t="shared" si="97"/>
        <v>4</v>
      </c>
      <c r="G31" s="445">
        <f ca="1">VLOOKUP(H31,Equipos!$Q$1:$R$25,2,0)</f>
        <v>9</v>
      </c>
      <c r="H31" s="446">
        <f ca="1">TRUNC(INDEX(WORLDCUP!$X$4:$X$147,MATCH(ADMIN!K31,WORLDCUP!$DT$4:$DT$147,0))+INDEX(Horarios!$R$3:$R$86,MATCH(Horarios!$C$3,Horarios!$P$3:$P$86,0))/24)</f>
        <v>46192</v>
      </c>
      <c r="I31" s="48">
        <v>1</v>
      </c>
      <c r="J31" s="95" t="s">
        <v>118</v>
      </c>
      <c r="K31" s="56" t="str">
        <f ca="1">CONCATENATE(WORLDCUP!AA7,"-",WORLDCUP!AF7)</f>
        <v>México-Corea del Sur</v>
      </c>
      <c r="L31" s="53"/>
      <c r="M31" s="55" t="str">
        <f>IF(OR(WORLDCUP!AC7="",WORLDCUP!AD7=""),"-",N31&amp;"|"&amp;O31&amp;"-"&amp;P31)</f>
        <v>1|1-0</v>
      </c>
      <c r="N31" s="25" t="str">
        <f>IF(OR(WORLDCUP!AC7="",WORLDCUP!AD7=""),"",IF(WORLDCUP!AC7&gt;WORLDCUP!AD7,"1",IF(WORLDCUP!AC7&lt;WORLDCUP!AD7,"2","X")))</f>
        <v>1</v>
      </c>
      <c r="O31" s="25">
        <f>WORLDCUP!AC7</f>
        <v>1</v>
      </c>
      <c r="P31" s="25">
        <f>WORLDCUP!AD7</f>
        <v>0</v>
      </c>
      <c r="Q31" s="25">
        <f t="shared" si="101"/>
        <v>1</v>
      </c>
      <c r="R31" s="49"/>
      <c r="S31" s="74" t="s">
        <v>1948</v>
      </c>
      <c r="T31" s="73">
        <f t="shared" si="106"/>
        <v>2</v>
      </c>
      <c r="U31" s="65"/>
      <c r="V31" s="74" t="s">
        <v>1954</v>
      </c>
      <c r="W31" s="73">
        <f t="shared" si="99"/>
        <v>1</v>
      </c>
      <c r="X31" s="65"/>
      <c r="Y31" s="74" t="s">
        <v>1948</v>
      </c>
      <c r="Z31" s="73">
        <f t="shared" ref="Z31:CH42" si="108">IFERROR(IF($M31=Y31,($D$8+$D$9+$D$10)*$I31,IF($N31=LEFT(Y31,1),($D$8+MAX(0,IF($D$50=1,$D$9*(1-(ABS($Q31-ABS(VALUE(MID(Y31,FIND("|",Y31)+1,FIND("-",Y31)-FIND("|",Y31)-1))-VALUE(MID(Y31,FIND("-",Y31)+1,10)))))*$D$50),$D$9*(1-(IF($N31="X",ABS($O31-VALUE(MID(Y31,FIND("|",Y31)+1,FIND("-",Y31)-FIND("|",Y31)-1))),ABS($Q31-ABS(VALUE(MID(Y31,FIND("|",Y31)+1,FIND("-",Y31)-FIND("|",Y31)-1))-VALUE(MID(Y31,FIND("-",Y31)+1,10)))))*$D$50)))))*$I31,0)),0)</f>
        <v>2</v>
      </c>
      <c r="AA31" s="65"/>
      <c r="AB31" s="74" t="s">
        <v>1948</v>
      </c>
      <c r="AC31" s="73">
        <f t="shared" si="108"/>
        <v>2</v>
      </c>
      <c r="AD31" s="65"/>
      <c r="AE31" s="74" t="s">
        <v>1946</v>
      </c>
      <c r="AF31" s="73">
        <f t="shared" si="108"/>
        <v>0</v>
      </c>
      <c r="AG31" s="65"/>
      <c r="AH31" s="74" t="s">
        <v>1944</v>
      </c>
      <c r="AI31" s="73">
        <f t="shared" si="108"/>
        <v>0</v>
      </c>
      <c r="AJ31" s="65"/>
      <c r="AK31" s="74" t="s">
        <v>1946</v>
      </c>
      <c r="AL31" s="73">
        <f t="shared" si="108"/>
        <v>0</v>
      </c>
      <c r="AM31" s="65"/>
      <c r="AN31" s="74" t="s">
        <v>1944</v>
      </c>
      <c r="AO31" s="73">
        <f t="shared" si="108"/>
        <v>0</v>
      </c>
      <c r="AP31" s="65"/>
      <c r="AQ31" s="74" t="s">
        <v>1948</v>
      </c>
      <c r="AR31" s="73">
        <f t="shared" si="108"/>
        <v>2</v>
      </c>
      <c r="AS31" s="65"/>
      <c r="AT31" s="74" t="s">
        <v>1946</v>
      </c>
      <c r="AU31" s="73">
        <f t="shared" si="108"/>
        <v>0</v>
      </c>
      <c r="AV31" s="65"/>
      <c r="AW31" s="74" t="s">
        <v>1944</v>
      </c>
      <c r="AX31" s="73">
        <f t="shared" si="108"/>
        <v>0</v>
      </c>
      <c r="AY31" s="65"/>
      <c r="AZ31" s="74" t="s">
        <v>1946</v>
      </c>
      <c r="BA31" s="73">
        <f t="shared" si="108"/>
        <v>0</v>
      </c>
      <c r="BB31" s="65"/>
      <c r="BC31" s="74" t="s">
        <v>1960</v>
      </c>
      <c r="BD31" s="73">
        <f t="shared" si="108"/>
        <v>0</v>
      </c>
      <c r="BE31" s="65"/>
      <c r="BF31" s="74" t="s">
        <v>1954</v>
      </c>
      <c r="BG31" s="73">
        <f t="shared" si="108"/>
        <v>1</v>
      </c>
      <c r="BH31" s="65"/>
      <c r="BI31" s="74" t="s">
        <v>1948</v>
      </c>
      <c r="BJ31" s="73">
        <f t="shared" si="108"/>
        <v>2</v>
      </c>
      <c r="BK31" s="65"/>
      <c r="BL31" s="74" t="s">
        <v>1948</v>
      </c>
      <c r="BM31" s="73">
        <f t="shared" si="108"/>
        <v>2</v>
      </c>
      <c r="BN31" s="65"/>
      <c r="BO31" s="74" t="s">
        <v>1948</v>
      </c>
      <c r="BP31" s="73">
        <f t="shared" si="108"/>
        <v>2</v>
      </c>
      <c r="BQ31" s="65"/>
      <c r="BR31" s="74" t="s">
        <v>1942</v>
      </c>
      <c r="BS31" s="73">
        <f t="shared" si="108"/>
        <v>4</v>
      </c>
      <c r="BT31" s="65"/>
      <c r="BU31" s="74" t="s">
        <v>1944</v>
      </c>
      <c r="BV31" s="73">
        <f t="shared" si="108"/>
        <v>0</v>
      </c>
      <c r="BW31" s="65"/>
      <c r="BX31" s="74" t="s">
        <v>1948</v>
      </c>
      <c r="BY31" s="73">
        <f t="shared" si="108"/>
        <v>2</v>
      </c>
      <c r="BZ31" s="65"/>
      <c r="CA31" s="74" t="s">
        <v>1946</v>
      </c>
      <c r="CB31" s="73">
        <f t="shared" si="108"/>
        <v>0</v>
      </c>
      <c r="CC31" s="65"/>
      <c r="CD31" s="74" t="s">
        <v>1954</v>
      </c>
      <c r="CE31" s="73">
        <f t="shared" si="108"/>
        <v>1</v>
      </c>
      <c r="CF31" s="65"/>
      <c r="CG31" s="74" t="s">
        <v>1946</v>
      </c>
      <c r="CH31" s="73">
        <f t="shared" si="108"/>
        <v>0</v>
      </c>
      <c r="CI31" s="65"/>
      <c r="CJ31" s="74" t="s">
        <v>1946</v>
      </c>
      <c r="CK31" s="73">
        <f t="shared" si="107"/>
        <v>0</v>
      </c>
      <c r="CL31" s="65"/>
      <c r="CM31" s="74" t="s">
        <v>1944</v>
      </c>
      <c r="CN31" s="73">
        <f t="shared" si="107"/>
        <v>0</v>
      </c>
      <c r="CO31" s="65"/>
      <c r="CP31" s="74" t="s">
        <v>1942</v>
      </c>
      <c r="CQ31" s="73">
        <f t="shared" si="107"/>
        <v>4</v>
      </c>
      <c r="CR31" s="65"/>
      <c r="CS31" s="74" t="s">
        <v>1954</v>
      </c>
      <c r="CT31" s="73">
        <f t="shared" si="107"/>
        <v>1</v>
      </c>
      <c r="CU31" s="65"/>
      <c r="CV31" s="74" t="s">
        <v>1942</v>
      </c>
      <c r="CW31" s="73">
        <f t="shared" si="107"/>
        <v>4</v>
      </c>
      <c r="CX31" s="65"/>
      <c r="CY31" s="74" t="s">
        <v>1954</v>
      </c>
      <c r="CZ31" s="73">
        <f t="shared" si="107"/>
        <v>1</v>
      </c>
      <c r="DA31" s="65"/>
      <c r="DB31" s="74" t="s">
        <v>1948</v>
      </c>
      <c r="DC31" s="73">
        <f t="shared" si="107"/>
        <v>2</v>
      </c>
      <c r="DD31" s="65"/>
      <c r="DE31" s="74" t="s">
        <v>1948</v>
      </c>
      <c r="DF31" s="73">
        <f t="shared" si="107"/>
        <v>2</v>
      </c>
      <c r="DG31" s="65"/>
      <c r="DH31" s="74" t="s">
        <v>1946</v>
      </c>
      <c r="DI31" s="73">
        <f t="shared" si="107"/>
        <v>0</v>
      </c>
      <c r="DJ31" s="65"/>
      <c r="DK31" s="74" t="s">
        <v>1942</v>
      </c>
      <c r="DL31" s="73">
        <f t="shared" si="107"/>
        <v>4</v>
      </c>
      <c r="DM31" s="65"/>
      <c r="DN31" s="795" t="s">
        <v>1948</v>
      </c>
      <c r="DO31" s="73">
        <f t="shared" si="107"/>
        <v>2</v>
      </c>
      <c r="DP31" s="65"/>
      <c r="DQ31" s="795" t="s">
        <v>1958</v>
      </c>
      <c r="DR31" s="73">
        <f t="shared" si="107"/>
        <v>1</v>
      </c>
      <c r="DS31" s="65"/>
      <c r="DT31" s="74" t="s">
        <v>1956</v>
      </c>
      <c r="DU31" s="73">
        <f t="shared" si="107"/>
        <v>2</v>
      </c>
      <c r="DV31" s="65"/>
      <c r="DW31" s="74" t="s">
        <v>1956</v>
      </c>
      <c r="DX31" s="73">
        <f t="shared" si="105"/>
        <v>2</v>
      </c>
      <c r="DY31" s="65"/>
      <c r="DZ31" s="74" t="s">
        <v>1946</v>
      </c>
      <c r="EA31" s="73">
        <f t="shared" si="105"/>
        <v>0</v>
      </c>
      <c r="EB31" s="65"/>
      <c r="EC31" s="74" t="s">
        <v>1942</v>
      </c>
      <c r="ED31" s="73">
        <f t="shared" si="105"/>
        <v>4</v>
      </c>
      <c r="EE31" s="65"/>
      <c r="EF31" s="74" t="s">
        <v>1946</v>
      </c>
      <c r="EG31" s="73">
        <f t="shared" si="105"/>
        <v>0</v>
      </c>
      <c r="EH31" s="65"/>
      <c r="EI31" s="74" t="s">
        <v>1946</v>
      </c>
      <c r="EJ31" s="73">
        <f t="shared" si="105"/>
        <v>0</v>
      </c>
      <c r="EK31" s="65"/>
      <c r="EL31" s="74"/>
      <c r="EM31" s="73">
        <f t="shared" si="105"/>
        <v>0</v>
      </c>
      <c r="EN31" s="65"/>
      <c r="EO31" s="74"/>
      <c r="EP31" s="73">
        <f t="shared" si="105"/>
        <v>0</v>
      </c>
      <c r="EQ31" s="65"/>
      <c r="ER31" s="74"/>
      <c r="ES31" s="73">
        <f t="shared" si="105"/>
        <v>0</v>
      </c>
      <c r="ET31" s="65"/>
      <c r="EU31" s="74"/>
      <c r="EV31" s="73">
        <f t="shared" si="105"/>
        <v>0</v>
      </c>
      <c r="EW31" s="65"/>
      <c r="EX31" s="74"/>
      <c r="EY31" s="73">
        <f t="shared" si="105"/>
        <v>0</v>
      </c>
      <c r="EZ31" s="65"/>
      <c r="FA31" s="74"/>
      <c r="FB31" s="73">
        <f t="shared" si="105"/>
        <v>0</v>
      </c>
      <c r="FC31" s="65"/>
      <c r="FD31" s="74"/>
      <c r="FE31" s="73">
        <f t="shared" si="105"/>
        <v>0</v>
      </c>
      <c r="FF31" s="65"/>
      <c r="FG31" s="74"/>
      <c r="FH31" s="73">
        <f t="shared" si="105"/>
        <v>0</v>
      </c>
      <c r="FI31" s="65"/>
      <c r="FJ31" s="74"/>
      <c r="FK31" s="73">
        <f t="shared" si="105"/>
        <v>0</v>
      </c>
      <c r="FL31" s="65"/>
      <c r="FM31" s="65"/>
    </row>
    <row r="32" spans="1:169">
      <c r="A32" s="49"/>
      <c r="B32" s="49"/>
      <c r="C32" s="440" t="str">
        <f>Idiomas!D328</f>
        <v>Equipo clasificado para FINAL</v>
      </c>
      <c r="D32" s="63">
        <v>7</v>
      </c>
      <c r="E32" s="111"/>
      <c r="F32" s="445">
        <f t="shared" si="97"/>
        <v>4</v>
      </c>
      <c r="G32" s="445">
        <f ca="1">VLOOKUP(H32,Equipos!$Q$1:$R$25,2,0)</f>
        <v>8</v>
      </c>
      <c r="H32" s="446">
        <f ca="1">TRUNC(INDEX(WORLDCUP!$X$4:$X$147,MATCH(ADMIN!K32,WORLDCUP!$DT$4:$DT$147,0))+INDEX(Horarios!$R$3:$R$86,MATCH(Horarios!$C$3,Horarios!$P$3:$P$86,0))/24)</f>
        <v>46191</v>
      </c>
      <c r="I32" s="48">
        <v>1</v>
      </c>
      <c r="J32" s="96" t="s">
        <v>119</v>
      </c>
      <c r="K32" s="53" t="str">
        <f ca="1">CONCATENATE(WORLDCUP!AA14,"-",WORLDCUP!AF14)</f>
        <v>Suiza-Bosnia y Herzegovina</v>
      </c>
      <c r="L32" s="53"/>
      <c r="M32" s="55" t="str">
        <f>IF(OR(WORLDCUP!AC14="",WORLDCUP!AD14=""),"-",N32&amp;"|"&amp;O32&amp;"-"&amp;P32)</f>
        <v>1|4-1</v>
      </c>
      <c r="N32" s="25" t="str">
        <f>IF(OR(WORLDCUP!AC14="",WORLDCUP!AD14=""),"",IF(WORLDCUP!AC14&gt;WORLDCUP!AD14,"1",IF(WORLDCUP!AC14&lt;WORLDCUP!AD14,"2","X")))</f>
        <v>1</v>
      </c>
      <c r="O32" s="25">
        <f>WORLDCUP!AC14</f>
        <v>4</v>
      </c>
      <c r="P32" s="25">
        <f>WORLDCUP!AD14</f>
        <v>1</v>
      </c>
      <c r="Q32" s="25">
        <f t="shared" si="101"/>
        <v>3</v>
      </c>
      <c r="R32" s="49"/>
      <c r="S32" s="74" t="s">
        <v>1954</v>
      </c>
      <c r="T32" s="73">
        <f t="shared" si="106"/>
        <v>1</v>
      </c>
      <c r="U32" s="65"/>
      <c r="V32" s="74" t="s">
        <v>1942</v>
      </c>
      <c r="W32" s="73">
        <f t="shared" si="99"/>
        <v>1</v>
      </c>
      <c r="X32" s="65"/>
      <c r="Y32" s="74" t="s">
        <v>1957</v>
      </c>
      <c r="Z32" s="73">
        <f t="shared" si="108"/>
        <v>0</v>
      </c>
      <c r="AA32" s="65"/>
      <c r="AB32" s="74" t="s">
        <v>1946</v>
      </c>
      <c r="AC32" s="73">
        <f t="shared" si="108"/>
        <v>0</v>
      </c>
      <c r="AD32" s="65"/>
      <c r="AE32" s="74" t="s">
        <v>1948</v>
      </c>
      <c r="AF32" s="73">
        <f t="shared" si="108"/>
        <v>1</v>
      </c>
      <c r="AG32" s="65"/>
      <c r="AH32" s="74" t="s">
        <v>1943</v>
      </c>
      <c r="AI32" s="73">
        <f t="shared" si="108"/>
        <v>1</v>
      </c>
      <c r="AJ32" s="65"/>
      <c r="AK32" s="74" t="s">
        <v>1944</v>
      </c>
      <c r="AL32" s="73">
        <f t="shared" si="108"/>
        <v>0</v>
      </c>
      <c r="AM32" s="65"/>
      <c r="AN32" s="74" t="s">
        <v>1954</v>
      </c>
      <c r="AO32" s="73">
        <f t="shared" si="108"/>
        <v>1</v>
      </c>
      <c r="AP32" s="65"/>
      <c r="AQ32" s="74" t="s">
        <v>1948</v>
      </c>
      <c r="AR32" s="73">
        <f t="shared" si="108"/>
        <v>1</v>
      </c>
      <c r="AS32" s="65"/>
      <c r="AT32" s="74" t="s">
        <v>1946</v>
      </c>
      <c r="AU32" s="73">
        <f t="shared" si="108"/>
        <v>0</v>
      </c>
      <c r="AV32" s="65"/>
      <c r="AW32" s="74" t="s">
        <v>1944</v>
      </c>
      <c r="AX32" s="73">
        <f t="shared" si="108"/>
        <v>0</v>
      </c>
      <c r="AY32" s="65"/>
      <c r="AZ32" s="74" t="s">
        <v>1948</v>
      </c>
      <c r="BA32" s="73">
        <f t="shared" si="108"/>
        <v>1</v>
      </c>
      <c r="BB32" s="65"/>
      <c r="BC32" s="74" t="s">
        <v>1942</v>
      </c>
      <c r="BD32" s="73">
        <f t="shared" si="108"/>
        <v>1</v>
      </c>
      <c r="BE32" s="65"/>
      <c r="BF32" s="74" t="s">
        <v>1954</v>
      </c>
      <c r="BG32" s="73">
        <f t="shared" si="108"/>
        <v>1</v>
      </c>
      <c r="BH32" s="65"/>
      <c r="BI32" s="74" t="s">
        <v>1957</v>
      </c>
      <c r="BJ32" s="73">
        <f t="shared" si="108"/>
        <v>0</v>
      </c>
      <c r="BK32" s="65"/>
      <c r="BL32" s="74" t="s">
        <v>1958</v>
      </c>
      <c r="BM32" s="73">
        <f t="shared" si="108"/>
        <v>2</v>
      </c>
      <c r="BN32" s="65"/>
      <c r="BO32" s="74" t="s">
        <v>1954</v>
      </c>
      <c r="BP32" s="73">
        <f t="shared" si="108"/>
        <v>1</v>
      </c>
      <c r="BQ32" s="65"/>
      <c r="BR32" s="74" t="s">
        <v>1946</v>
      </c>
      <c r="BS32" s="73">
        <f t="shared" si="108"/>
        <v>0</v>
      </c>
      <c r="BT32" s="65"/>
      <c r="BU32" s="74" t="s">
        <v>1948</v>
      </c>
      <c r="BV32" s="73">
        <f t="shared" si="108"/>
        <v>1</v>
      </c>
      <c r="BW32" s="65"/>
      <c r="BX32" s="74" t="s">
        <v>1942</v>
      </c>
      <c r="BY32" s="73">
        <f t="shared" si="108"/>
        <v>1</v>
      </c>
      <c r="BZ32" s="65"/>
      <c r="CA32" s="74" t="s">
        <v>1948</v>
      </c>
      <c r="CB32" s="73">
        <f t="shared" si="108"/>
        <v>1</v>
      </c>
      <c r="CC32" s="65"/>
      <c r="CD32" s="74" t="s">
        <v>1948</v>
      </c>
      <c r="CE32" s="73">
        <f t="shared" si="108"/>
        <v>1</v>
      </c>
      <c r="CF32" s="65"/>
      <c r="CG32" s="74" t="s">
        <v>1942</v>
      </c>
      <c r="CH32" s="73">
        <f t="shared" si="108"/>
        <v>1</v>
      </c>
      <c r="CI32" s="65"/>
      <c r="CJ32" s="74" t="s">
        <v>1943</v>
      </c>
      <c r="CK32" s="73">
        <f t="shared" si="107"/>
        <v>1</v>
      </c>
      <c r="CL32" s="65"/>
      <c r="CM32" s="74" t="s">
        <v>1943</v>
      </c>
      <c r="CN32" s="73">
        <f t="shared" si="107"/>
        <v>1</v>
      </c>
      <c r="CO32" s="65"/>
      <c r="CP32" s="74" t="s">
        <v>1942</v>
      </c>
      <c r="CQ32" s="73">
        <f t="shared" si="107"/>
        <v>1</v>
      </c>
      <c r="CR32" s="65"/>
      <c r="CS32" s="74" t="s">
        <v>1954</v>
      </c>
      <c r="CT32" s="73">
        <f t="shared" si="107"/>
        <v>1</v>
      </c>
      <c r="CU32" s="65"/>
      <c r="CV32" s="74" t="s">
        <v>1948</v>
      </c>
      <c r="CW32" s="73">
        <f t="shared" si="107"/>
        <v>1</v>
      </c>
      <c r="CX32" s="65"/>
      <c r="CY32" s="74" t="s">
        <v>1948</v>
      </c>
      <c r="CZ32" s="73">
        <f t="shared" si="107"/>
        <v>1</v>
      </c>
      <c r="DA32" s="65"/>
      <c r="DB32" s="74" t="s">
        <v>1954</v>
      </c>
      <c r="DC32" s="73">
        <f t="shared" si="107"/>
        <v>1</v>
      </c>
      <c r="DD32" s="65"/>
      <c r="DE32" s="74" t="s">
        <v>1942</v>
      </c>
      <c r="DF32" s="73">
        <f t="shared" si="107"/>
        <v>1</v>
      </c>
      <c r="DG32" s="65"/>
      <c r="DH32" s="74" t="s">
        <v>1948</v>
      </c>
      <c r="DI32" s="73">
        <f t="shared" si="107"/>
        <v>1</v>
      </c>
      <c r="DJ32" s="65"/>
      <c r="DK32" s="74" t="s">
        <v>1948</v>
      </c>
      <c r="DL32" s="73">
        <f t="shared" si="107"/>
        <v>1</v>
      </c>
      <c r="DM32" s="65"/>
      <c r="DN32" s="795" t="s">
        <v>1948</v>
      </c>
      <c r="DO32" s="73">
        <f t="shared" si="107"/>
        <v>1</v>
      </c>
      <c r="DP32" s="65"/>
      <c r="DQ32" s="795" t="s">
        <v>1946</v>
      </c>
      <c r="DR32" s="73">
        <f t="shared" si="107"/>
        <v>0</v>
      </c>
      <c r="DS32" s="65"/>
      <c r="DT32" s="74" t="s">
        <v>1959</v>
      </c>
      <c r="DU32" s="73">
        <f t="shared" si="107"/>
        <v>4</v>
      </c>
      <c r="DV32" s="65"/>
      <c r="DW32" s="74" t="s">
        <v>1948</v>
      </c>
      <c r="DX32" s="73">
        <f t="shared" ref="DX32:FK43" si="109">IFERROR(IF($M32=DW32,($D$8+$D$9+$D$10)*$I32,IF($N32=LEFT(DW32,1),($D$8+MAX(0,IF($D$50=1,$D$9*(1-(ABS($Q32-ABS(VALUE(MID(DW32,FIND("|",DW32)+1,FIND("-",DW32)-FIND("|",DW32)-1))-VALUE(MID(DW32,FIND("-",DW32)+1,10)))))*$D$50),$D$9*(1-(IF($N32="X",ABS($O32-VALUE(MID(DW32,FIND("|",DW32)+1,FIND("-",DW32)-FIND("|",DW32)-1))),ABS($Q32-ABS(VALUE(MID(DW32,FIND("|",DW32)+1,FIND("-",DW32)-FIND("|",DW32)-1))-VALUE(MID(DW32,FIND("-",DW32)+1,10)))))*$D$50)))))*$I32,0)),0)</f>
        <v>1</v>
      </c>
      <c r="DY32" s="65"/>
      <c r="DZ32" s="74" t="s">
        <v>1946</v>
      </c>
      <c r="EA32" s="73">
        <f t="shared" si="109"/>
        <v>0</v>
      </c>
      <c r="EB32" s="65"/>
      <c r="EC32" s="74" t="s">
        <v>1948</v>
      </c>
      <c r="ED32" s="73">
        <f t="shared" si="109"/>
        <v>1</v>
      </c>
      <c r="EE32" s="65"/>
      <c r="EF32" s="74" t="s">
        <v>1943</v>
      </c>
      <c r="EG32" s="73">
        <f t="shared" si="109"/>
        <v>1</v>
      </c>
      <c r="EH32" s="65"/>
      <c r="EI32" s="74" t="s">
        <v>1942</v>
      </c>
      <c r="EJ32" s="73">
        <f t="shared" si="109"/>
        <v>1</v>
      </c>
      <c r="EK32" s="65"/>
      <c r="EL32" s="74"/>
      <c r="EM32" s="73">
        <f t="shared" si="109"/>
        <v>0</v>
      </c>
      <c r="EN32" s="65"/>
      <c r="EO32" s="74"/>
      <c r="EP32" s="73">
        <f t="shared" si="109"/>
        <v>0</v>
      </c>
      <c r="EQ32" s="65"/>
      <c r="ER32" s="74"/>
      <c r="ES32" s="73">
        <f t="shared" si="109"/>
        <v>0</v>
      </c>
      <c r="ET32" s="65"/>
      <c r="EU32" s="74"/>
      <c r="EV32" s="73">
        <f t="shared" si="109"/>
        <v>0</v>
      </c>
      <c r="EW32" s="65"/>
      <c r="EX32" s="74"/>
      <c r="EY32" s="73">
        <f t="shared" si="109"/>
        <v>0</v>
      </c>
      <c r="EZ32" s="65"/>
      <c r="FA32" s="74"/>
      <c r="FB32" s="73">
        <f t="shared" si="109"/>
        <v>0</v>
      </c>
      <c r="FC32" s="65"/>
      <c r="FD32" s="74"/>
      <c r="FE32" s="73">
        <f t="shared" si="109"/>
        <v>0</v>
      </c>
      <c r="FF32" s="65"/>
      <c r="FG32" s="74"/>
      <c r="FH32" s="73">
        <f t="shared" si="109"/>
        <v>0</v>
      </c>
      <c r="FI32" s="65"/>
      <c r="FJ32" s="74"/>
      <c r="FK32" s="73">
        <f t="shared" si="109"/>
        <v>0</v>
      </c>
      <c r="FL32" s="65"/>
      <c r="FM32" s="65"/>
    </row>
    <row r="33" spans="1:169">
      <c r="A33" s="49"/>
      <c r="B33" s="49"/>
      <c r="C33" s="438" t="str">
        <f>Idiomas!D329</f>
        <v>3ºy4º PUESTO - Signo 1X2  (local, empate, visitante)</v>
      </c>
      <c r="D33" s="44">
        <v>1</v>
      </c>
      <c r="E33" s="111"/>
      <c r="F33" s="445">
        <f t="shared" si="97"/>
        <v>4</v>
      </c>
      <c r="G33" s="445">
        <f ca="1">VLOOKUP(H33,Equipos!$Q$1:$R$25,2,0)</f>
        <v>9</v>
      </c>
      <c r="H33" s="446">
        <f ca="1">TRUNC(INDEX(WORLDCUP!$X$4:$X$147,MATCH(ADMIN!K33,WORLDCUP!$DT$4:$DT$147,0))+INDEX(Horarios!$R$3:$R$86,MATCH(Horarios!$C$3,Horarios!$P$3:$P$86,0))/24)</f>
        <v>46192</v>
      </c>
      <c r="I33" s="48">
        <v>1</v>
      </c>
      <c r="J33" s="96" t="s">
        <v>119</v>
      </c>
      <c r="K33" s="56" t="str">
        <f ca="1">CONCATENATE(WORLDCUP!AA15,"-",WORLDCUP!AF15)</f>
        <v>Canadá-Catar</v>
      </c>
      <c r="L33" s="53"/>
      <c r="M33" s="55" t="str">
        <f>IF(OR(WORLDCUP!AC15="",WORLDCUP!AD15=""),"-",N33&amp;"|"&amp;O33&amp;"-"&amp;P33)</f>
        <v>1|6-0</v>
      </c>
      <c r="N33" s="25" t="str">
        <f>IF(OR(WORLDCUP!AC15="",WORLDCUP!AD15=""),"",IF(WORLDCUP!AC15&gt;WORLDCUP!AD15,"1",IF(WORLDCUP!AC15&lt;WORLDCUP!AD15,"2","X")))</f>
        <v>1</v>
      </c>
      <c r="O33" s="25">
        <f>WORLDCUP!AC15</f>
        <v>6</v>
      </c>
      <c r="P33" s="25">
        <f>WORLDCUP!AD15</f>
        <v>0</v>
      </c>
      <c r="Q33" s="25">
        <f t="shared" si="101"/>
        <v>6</v>
      </c>
      <c r="R33" s="49"/>
      <c r="S33" s="74" t="s">
        <v>1954</v>
      </c>
      <c r="T33" s="73">
        <f t="shared" si="106"/>
        <v>1</v>
      </c>
      <c r="U33" s="65"/>
      <c r="V33" s="74" t="s">
        <v>1942</v>
      </c>
      <c r="W33" s="73">
        <f t="shared" si="99"/>
        <v>1</v>
      </c>
      <c r="X33" s="65"/>
      <c r="Y33" s="74" t="s">
        <v>1954</v>
      </c>
      <c r="Z33" s="73">
        <f t="shared" si="108"/>
        <v>1</v>
      </c>
      <c r="AA33" s="65"/>
      <c r="AB33" s="74" t="s">
        <v>1946</v>
      </c>
      <c r="AC33" s="73">
        <f t="shared" si="108"/>
        <v>0</v>
      </c>
      <c r="AD33" s="65"/>
      <c r="AE33" s="74" t="s">
        <v>1946</v>
      </c>
      <c r="AF33" s="73">
        <f t="shared" si="108"/>
        <v>0</v>
      </c>
      <c r="AG33" s="65"/>
      <c r="AH33" s="74" t="s">
        <v>1958</v>
      </c>
      <c r="AI33" s="73">
        <f t="shared" si="108"/>
        <v>1</v>
      </c>
      <c r="AJ33" s="65"/>
      <c r="AK33" s="74" t="s">
        <v>1954</v>
      </c>
      <c r="AL33" s="73">
        <f t="shared" si="108"/>
        <v>1</v>
      </c>
      <c r="AM33" s="65"/>
      <c r="AN33" s="74" t="s">
        <v>1959</v>
      </c>
      <c r="AO33" s="73">
        <f t="shared" si="108"/>
        <v>1</v>
      </c>
      <c r="AP33" s="65"/>
      <c r="AQ33" s="74" t="s">
        <v>2001</v>
      </c>
      <c r="AR33" s="73">
        <f t="shared" si="108"/>
        <v>1</v>
      </c>
      <c r="AS33" s="65"/>
      <c r="AT33" s="74" t="s">
        <v>1948</v>
      </c>
      <c r="AU33" s="73">
        <f t="shared" si="108"/>
        <v>1</v>
      </c>
      <c r="AV33" s="65"/>
      <c r="AW33" s="74" t="s">
        <v>1954</v>
      </c>
      <c r="AX33" s="73">
        <f t="shared" si="108"/>
        <v>1</v>
      </c>
      <c r="AY33" s="65"/>
      <c r="AZ33" s="74" t="s">
        <v>1943</v>
      </c>
      <c r="BA33" s="73">
        <f t="shared" si="108"/>
        <v>1</v>
      </c>
      <c r="BB33" s="65"/>
      <c r="BC33" s="74" t="s">
        <v>1946</v>
      </c>
      <c r="BD33" s="73">
        <f t="shared" si="108"/>
        <v>0</v>
      </c>
      <c r="BE33" s="65"/>
      <c r="BF33" s="74" t="s">
        <v>1942</v>
      </c>
      <c r="BG33" s="73">
        <f t="shared" si="108"/>
        <v>1</v>
      </c>
      <c r="BH33" s="65"/>
      <c r="BI33" s="74" t="s">
        <v>1954</v>
      </c>
      <c r="BJ33" s="73">
        <f t="shared" si="108"/>
        <v>1</v>
      </c>
      <c r="BK33" s="65"/>
      <c r="BL33" s="74" t="s">
        <v>1954</v>
      </c>
      <c r="BM33" s="73">
        <f t="shared" si="108"/>
        <v>1</v>
      </c>
      <c r="BN33" s="65"/>
      <c r="BO33" s="74" t="s">
        <v>1946</v>
      </c>
      <c r="BP33" s="73">
        <f t="shared" si="108"/>
        <v>0</v>
      </c>
      <c r="BQ33" s="65"/>
      <c r="BR33" s="74" t="s">
        <v>1942</v>
      </c>
      <c r="BS33" s="73">
        <f t="shared" si="108"/>
        <v>1</v>
      </c>
      <c r="BT33" s="65"/>
      <c r="BU33" s="74" t="s">
        <v>1954</v>
      </c>
      <c r="BV33" s="73">
        <f t="shared" si="108"/>
        <v>1</v>
      </c>
      <c r="BW33" s="65"/>
      <c r="BX33" s="74" t="s">
        <v>1954</v>
      </c>
      <c r="BY33" s="73">
        <f t="shared" si="108"/>
        <v>1</v>
      </c>
      <c r="BZ33" s="65"/>
      <c r="CA33" s="74" t="s">
        <v>1954</v>
      </c>
      <c r="CB33" s="73">
        <f t="shared" si="108"/>
        <v>1</v>
      </c>
      <c r="CC33" s="65"/>
      <c r="CD33" s="74" t="s">
        <v>1942</v>
      </c>
      <c r="CE33" s="73">
        <f t="shared" si="108"/>
        <v>1</v>
      </c>
      <c r="CF33" s="65"/>
      <c r="CG33" s="74" t="s">
        <v>1954</v>
      </c>
      <c r="CH33" s="73">
        <f t="shared" si="108"/>
        <v>1</v>
      </c>
      <c r="CI33" s="65"/>
      <c r="CJ33" s="74" t="s">
        <v>1946</v>
      </c>
      <c r="CK33" s="73">
        <f t="shared" si="107"/>
        <v>0</v>
      </c>
      <c r="CL33" s="65"/>
      <c r="CM33" s="74" t="s">
        <v>1946</v>
      </c>
      <c r="CN33" s="73">
        <f t="shared" si="107"/>
        <v>0</v>
      </c>
      <c r="CO33" s="65"/>
      <c r="CP33" s="74" t="s">
        <v>1954</v>
      </c>
      <c r="CQ33" s="73">
        <f t="shared" si="107"/>
        <v>1</v>
      </c>
      <c r="CR33" s="65"/>
      <c r="CS33" s="74" t="s">
        <v>1958</v>
      </c>
      <c r="CT33" s="73">
        <f t="shared" si="107"/>
        <v>1</v>
      </c>
      <c r="CU33" s="65"/>
      <c r="CV33" s="74" t="s">
        <v>1954</v>
      </c>
      <c r="CW33" s="73">
        <f t="shared" si="107"/>
        <v>1</v>
      </c>
      <c r="CX33" s="65"/>
      <c r="CY33" s="74" t="s">
        <v>1946</v>
      </c>
      <c r="CZ33" s="73">
        <f t="shared" si="107"/>
        <v>0</v>
      </c>
      <c r="DA33" s="65"/>
      <c r="DB33" s="74" t="s">
        <v>1954</v>
      </c>
      <c r="DC33" s="73">
        <f t="shared" si="107"/>
        <v>1</v>
      </c>
      <c r="DD33" s="65"/>
      <c r="DE33" s="74" t="s">
        <v>1942</v>
      </c>
      <c r="DF33" s="73">
        <f t="shared" si="107"/>
        <v>1</v>
      </c>
      <c r="DG33" s="65"/>
      <c r="DH33" s="74" t="s">
        <v>1948</v>
      </c>
      <c r="DI33" s="73">
        <f t="shared" si="107"/>
        <v>1</v>
      </c>
      <c r="DJ33" s="65"/>
      <c r="DK33" s="74" t="s">
        <v>1954</v>
      </c>
      <c r="DL33" s="73">
        <f t="shared" si="107"/>
        <v>1</v>
      </c>
      <c r="DM33" s="65"/>
      <c r="DN33" s="795" t="s">
        <v>1952</v>
      </c>
      <c r="DO33" s="73">
        <f t="shared" si="107"/>
        <v>0</v>
      </c>
      <c r="DP33" s="65"/>
      <c r="DQ33" s="795" t="s">
        <v>1960</v>
      </c>
      <c r="DR33" s="73">
        <f t="shared" si="107"/>
        <v>0</v>
      </c>
      <c r="DS33" s="65"/>
      <c r="DT33" s="74" t="s">
        <v>1948</v>
      </c>
      <c r="DU33" s="73">
        <f t="shared" si="107"/>
        <v>1</v>
      </c>
      <c r="DV33" s="65"/>
      <c r="DW33" s="74" t="s">
        <v>1948</v>
      </c>
      <c r="DX33" s="73">
        <f t="shared" si="109"/>
        <v>1</v>
      </c>
      <c r="DY33" s="65"/>
      <c r="DZ33" s="74" t="s">
        <v>1954</v>
      </c>
      <c r="EA33" s="73">
        <f t="shared" si="109"/>
        <v>1</v>
      </c>
      <c r="EB33" s="65"/>
      <c r="EC33" s="74" t="s">
        <v>1960</v>
      </c>
      <c r="ED33" s="73">
        <f t="shared" si="109"/>
        <v>0</v>
      </c>
      <c r="EE33" s="65"/>
      <c r="EF33" s="74" t="s">
        <v>1948</v>
      </c>
      <c r="EG33" s="73">
        <f t="shared" si="109"/>
        <v>1</v>
      </c>
      <c r="EH33" s="65"/>
      <c r="EI33" s="74" t="s">
        <v>1948</v>
      </c>
      <c r="EJ33" s="73">
        <f t="shared" si="109"/>
        <v>1</v>
      </c>
      <c r="EK33" s="65"/>
      <c r="EL33" s="74"/>
      <c r="EM33" s="73">
        <f t="shared" si="109"/>
        <v>0</v>
      </c>
      <c r="EN33" s="65"/>
      <c r="EO33" s="74"/>
      <c r="EP33" s="73">
        <f t="shared" si="109"/>
        <v>0</v>
      </c>
      <c r="EQ33" s="65"/>
      <c r="ER33" s="74"/>
      <c r="ES33" s="73">
        <f t="shared" si="109"/>
        <v>0</v>
      </c>
      <c r="ET33" s="65"/>
      <c r="EU33" s="74"/>
      <c r="EV33" s="73">
        <f t="shared" si="109"/>
        <v>0</v>
      </c>
      <c r="EW33" s="65"/>
      <c r="EX33" s="74"/>
      <c r="EY33" s="73">
        <f t="shared" si="109"/>
        <v>0</v>
      </c>
      <c r="EZ33" s="65"/>
      <c r="FA33" s="74"/>
      <c r="FB33" s="73">
        <f t="shared" si="109"/>
        <v>0</v>
      </c>
      <c r="FC33" s="65"/>
      <c r="FD33" s="74"/>
      <c r="FE33" s="73">
        <f t="shared" si="109"/>
        <v>0</v>
      </c>
      <c r="FF33" s="65"/>
      <c r="FG33" s="74"/>
      <c r="FH33" s="73">
        <f t="shared" si="109"/>
        <v>0</v>
      </c>
      <c r="FI33" s="65"/>
      <c r="FJ33" s="74"/>
      <c r="FK33" s="73">
        <f t="shared" si="109"/>
        <v>0</v>
      </c>
      <c r="FL33" s="65"/>
      <c r="FM33" s="65"/>
    </row>
    <row r="34" spans="1:169">
      <c r="A34" s="49"/>
      <c r="B34" s="49"/>
      <c r="C34" s="437" t="str">
        <f>Idiomas!D330&amp;"**"</f>
        <v>3ºy4º PUESTO - Diferencia/Distancia de goles (Con 1X2 acertado)**</v>
      </c>
      <c r="D34" s="62">
        <v>1</v>
      </c>
      <c r="E34" s="111"/>
      <c r="F34" s="445">
        <f t="shared" si="97"/>
        <v>4</v>
      </c>
      <c r="G34" s="445">
        <f ca="1">VLOOKUP(H34,Equipos!$Q$1:$R$25,2,0)</f>
        <v>10</v>
      </c>
      <c r="H34" s="446">
        <f ca="1">TRUNC(INDEX(WORLDCUP!$X$4:$X$147,MATCH(ADMIN!K34,WORLDCUP!$DT$4:$DT$147,0))+INDEX(Horarios!$R$3:$R$86,MATCH(Horarios!$C$3,Horarios!$P$3:$P$86,0))/24)</f>
        <v>46193</v>
      </c>
      <c r="I34" s="48">
        <v>1</v>
      </c>
      <c r="J34" s="95" t="s">
        <v>120</v>
      </c>
      <c r="K34" s="53" t="str">
        <f ca="1">CONCATENATE(WORLDCUP!AA22,"-",WORLDCUP!AF22)</f>
        <v>Escocia-Marruecos</v>
      </c>
      <c r="L34" s="53"/>
      <c r="M34" s="55" t="str">
        <f>IF(OR(WORLDCUP!AC22="",WORLDCUP!AD22=""),"-",N34&amp;"|"&amp;O34&amp;"-"&amp;P34)</f>
        <v>2|0-1</v>
      </c>
      <c r="N34" s="25" t="str">
        <f>IF(OR(WORLDCUP!AC22="",WORLDCUP!AD22=""),"",IF(WORLDCUP!AC22&gt;WORLDCUP!AD22,"1",IF(WORLDCUP!AC22&lt;WORLDCUP!AD22,"2","X")))</f>
        <v>2</v>
      </c>
      <c r="O34" s="25">
        <f>WORLDCUP!AC22</f>
        <v>0</v>
      </c>
      <c r="P34" s="25">
        <f>WORLDCUP!AD22</f>
        <v>1</v>
      </c>
      <c r="Q34" s="25">
        <f t="shared" si="101"/>
        <v>1</v>
      </c>
      <c r="R34" s="49"/>
      <c r="S34" s="74" t="s">
        <v>1952</v>
      </c>
      <c r="T34" s="73">
        <f t="shared" si="106"/>
        <v>2</v>
      </c>
      <c r="U34" s="65"/>
      <c r="V34" s="74" t="s">
        <v>1945</v>
      </c>
      <c r="W34" s="73">
        <f t="shared" si="99"/>
        <v>1</v>
      </c>
      <c r="X34" s="65"/>
      <c r="Y34" s="74" t="s">
        <v>1952</v>
      </c>
      <c r="Z34" s="73">
        <f t="shared" si="108"/>
        <v>2</v>
      </c>
      <c r="AA34" s="65"/>
      <c r="AB34" s="74" t="s">
        <v>1946</v>
      </c>
      <c r="AC34" s="73">
        <f t="shared" si="108"/>
        <v>0</v>
      </c>
      <c r="AD34" s="65"/>
      <c r="AE34" s="74" t="s">
        <v>1957</v>
      </c>
      <c r="AF34" s="73">
        <f t="shared" si="108"/>
        <v>0</v>
      </c>
      <c r="AG34" s="65"/>
      <c r="AH34" s="74" t="s">
        <v>1949</v>
      </c>
      <c r="AI34" s="73">
        <f t="shared" si="108"/>
        <v>1</v>
      </c>
      <c r="AJ34" s="65"/>
      <c r="AK34" s="74" t="s">
        <v>1946</v>
      </c>
      <c r="AL34" s="73">
        <f t="shared" si="108"/>
        <v>0</v>
      </c>
      <c r="AM34" s="65"/>
      <c r="AN34" s="74" t="s">
        <v>1946</v>
      </c>
      <c r="AO34" s="73">
        <f t="shared" si="108"/>
        <v>0</v>
      </c>
      <c r="AP34" s="65"/>
      <c r="AQ34" s="74" t="s">
        <v>1944</v>
      </c>
      <c r="AR34" s="73">
        <f t="shared" si="108"/>
        <v>0</v>
      </c>
      <c r="AS34" s="65"/>
      <c r="AT34" s="74" t="s">
        <v>1946</v>
      </c>
      <c r="AU34" s="73">
        <f t="shared" si="108"/>
        <v>0</v>
      </c>
      <c r="AV34" s="65"/>
      <c r="AW34" s="74" t="s">
        <v>1945</v>
      </c>
      <c r="AX34" s="73">
        <f t="shared" si="108"/>
        <v>1</v>
      </c>
      <c r="AY34" s="65"/>
      <c r="AZ34" s="74" t="s">
        <v>1946</v>
      </c>
      <c r="BA34" s="73">
        <f t="shared" si="108"/>
        <v>0</v>
      </c>
      <c r="BB34" s="65"/>
      <c r="BC34" s="74" t="s">
        <v>1949</v>
      </c>
      <c r="BD34" s="73">
        <f t="shared" si="108"/>
        <v>1</v>
      </c>
      <c r="BE34" s="65"/>
      <c r="BF34" s="74" t="s">
        <v>1949</v>
      </c>
      <c r="BG34" s="73">
        <f t="shared" si="108"/>
        <v>1</v>
      </c>
      <c r="BH34" s="65"/>
      <c r="BI34" s="74" t="s">
        <v>1952</v>
      </c>
      <c r="BJ34" s="73">
        <f t="shared" si="108"/>
        <v>2</v>
      </c>
      <c r="BK34" s="65"/>
      <c r="BL34" s="74" t="s">
        <v>1952</v>
      </c>
      <c r="BM34" s="73">
        <f t="shared" si="108"/>
        <v>2</v>
      </c>
      <c r="BN34" s="65"/>
      <c r="BO34" s="74" t="s">
        <v>1952</v>
      </c>
      <c r="BP34" s="73">
        <f t="shared" si="108"/>
        <v>2</v>
      </c>
      <c r="BQ34" s="65"/>
      <c r="BR34" s="74" t="s">
        <v>1946</v>
      </c>
      <c r="BS34" s="73">
        <f t="shared" si="108"/>
        <v>0</v>
      </c>
      <c r="BT34" s="65"/>
      <c r="BU34" s="74" t="s">
        <v>1948</v>
      </c>
      <c r="BV34" s="73">
        <f t="shared" si="108"/>
        <v>0</v>
      </c>
      <c r="BW34" s="65"/>
      <c r="BX34" s="74" t="s">
        <v>1952</v>
      </c>
      <c r="BY34" s="73">
        <f t="shared" si="108"/>
        <v>2</v>
      </c>
      <c r="BZ34" s="65"/>
      <c r="CA34" s="74" t="s">
        <v>1948</v>
      </c>
      <c r="CB34" s="73">
        <f t="shared" si="108"/>
        <v>0</v>
      </c>
      <c r="CC34" s="65"/>
      <c r="CD34" s="74" t="s">
        <v>1946</v>
      </c>
      <c r="CE34" s="73">
        <f t="shared" si="108"/>
        <v>0</v>
      </c>
      <c r="CF34" s="65"/>
      <c r="CG34" s="74" t="s">
        <v>1946</v>
      </c>
      <c r="CH34" s="73">
        <f t="shared" si="108"/>
        <v>0</v>
      </c>
      <c r="CI34" s="65"/>
      <c r="CJ34" s="74" t="s">
        <v>1960</v>
      </c>
      <c r="CK34" s="73">
        <f t="shared" si="107"/>
        <v>4</v>
      </c>
      <c r="CL34" s="65"/>
      <c r="CM34" s="74" t="s">
        <v>1952</v>
      </c>
      <c r="CN34" s="73">
        <f t="shared" si="107"/>
        <v>2</v>
      </c>
      <c r="CO34" s="65"/>
      <c r="CP34" s="74" t="s">
        <v>1945</v>
      </c>
      <c r="CQ34" s="73">
        <f t="shared" si="107"/>
        <v>1</v>
      </c>
      <c r="CR34" s="65"/>
      <c r="CS34" s="74" t="s">
        <v>1952</v>
      </c>
      <c r="CT34" s="73">
        <f t="shared" si="107"/>
        <v>2</v>
      </c>
      <c r="CU34" s="65"/>
      <c r="CV34" s="74" t="s">
        <v>1949</v>
      </c>
      <c r="CW34" s="73">
        <f t="shared" si="107"/>
        <v>1</v>
      </c>
      <c r="CX34" s="65"/>
      <c r="CY34" s="74" t="s">
        <v>1949</v>
      </c>
      <c r="CZ34" s="73">
        <f t="shared" si="107"/>
        <v>1</v>
      </c>
      <c r="DA34" s="65"/>
      <c r="DB34" s="74" t="s">
        <v>1952</v>
      </c>
      <c r="DC34" s="73">
        <f t="shared" si="107"/>
        <v>2</v>
      </c>
      <c r="DD34" s="65"/>
      <c r="DE34" s="74" t="s">
        <v>1952</v>
      </c>
      <c r="DF34" s="73">
        <f t="shared" si="107"/>
        <v>2</v>
      </c>
      <c r="DG34" s="65"/>
      <c r="DH34" s="74" t="s">
        <v>1952</v>
      </c>
      <c r="DI34" s="73">
        <f t="shared" si="107"/>
        <v>2</v>
      </c>
      <c r="DJ34" s="65"/>
      <c r="DK34" s="74" t="s">
        <v>1949</v>
      </c>
      <c r="DL34" s="73">
        <f t="shared" si="107"/>
        <v>1</v>
      </c>
      <c r="DM34" s="65"/>
      <c r="DN34" s="795" t="s">
        <v>1946</v>
      </c>
      <c r="DO34" s="73">
        <f t="shared" si="107"/>
        <v>0</v>
      </c>
      <c r="DP34" s="65"/>
      <c r="DQ34" s="795" t="s">
        <v>1946</v>
      </c>
      <c r="DR34" s="73">
        <f t="shared" si="107"/>
        <v>0</v>
      </c>
      <c r="DS34" s="65"/>
      <c r="DT34" s="74" t="s">
        <v>1944</v>
      </c>
      <c r="DU34" s="73">
        <f t="shared" si="107"/>
        <v>0</v>
      </c>
      <c r="DV34" s="65"/>
      <c r="DW34" s="74" t="s">
        <v>1946</v>
      </c>
      <c r="DX34" s="73">
        <f t="shared" si="109"/>
        <v>0</v>
      </c>
      <c r="DY34" s="65"/>
      <c r="DZ34" s="74" t="s">
        <v>1946</v>
      </c>
      <c r="EA34" s="73">
        <f t="shared" si="109"/>
        <v>0</v>
      </c>
      <c r="EB34" s="65"/>
      <c r="EC34" s="74" t="s">
        <v>1949</v>
      </c>
      <c r="ED34" s="73">
        <f t="shared" si="109"/>
        <v>1</v>
      </c>
      <c r="EE34" s="65"/>
      <c r="EF34" s="74" t="s">
        <v>1946</v>
      </c>
      <c r="EG34" s="73">
        <f t="shared" si="109"/>
        <v>0</v>
      </c>
      <c r="EH34" s="65"/>
      <c r="EI34" s="74" t="s">
        <v>1960</v>
      </c>
      <c r="EJ34" s="73">
        <f t="shared" si="109"/>
        <v>4</v>
      </c>
      <c r="EK34" s="65"/>
      <c r="EL34" s="74"/>
      <c r="EM34" s="73">
        <f t="shared" si="109"/>
        <v>0</v>
      </c>
      <c r="EN34" s="65"/>
      <c r="EO34" s="74"/>
      <c r="EP34" s="73">
        <f t="shared" si="109"/>
        <v>0</v>
      </c>
      <c r="EQ34" s="65"/>
      <c r="ER34" s="74"/>
      <c r="ES34" s="73">
        <f t="shared" si="109"/>
        <v>0</v>
      </c>
      <c r="ET34" s="65"/>
      <c r="EU34" s="74"/>
      <c r="EV34" s="73">
        <f t="shared" si="109"/>
        <v>0</v>
      </c>
      <c r="EW34" s="65"/>
      <c r="EX34" s="74"/>
      <c r="EY34" s="73">
        <f t="shared" si="109"/>
        <v>0</v>
      </c>
      <c r="EZ34" s="65"/>
      <c r="FA34" s="74"/>
      <c r="FB34" s="73">
        <f t="shared" si="109"/>
        <v>0</v>
      </c>
      <c r="FC34" s="65"/>
      <c r="FD34" s="74"/>
      <c r="FE34" s="73">
        <f t="shared" si="109"/>
        <v>0</v>
      </c>
      <c r="FF34" s="65"/>
      <c r="FG34" s="74"/>
      <c r="FH34" s="73">
        <f t="shared" si="109"/>
        <v>0</v>
      </c>
      <c r="FI34" s="65"/>
      <c r="FJ34" s="74"/>
      <c r="FK34" s="73">
        <f t="shared" si="109"/>
        <v>0</v>
      </c>
      <c r="FL34" s="65"/>
      <c r="FM34" s="65"/>
    </row>
    <row r="35" spans="1:169">
      <c r="A35" s="49"/>
      <c r="B35" s="49"/>
      <c r="C35" s="439" t="str">
        <f>Idiomas!D331</f>
        <v>3ºy4º PUESTO - Resultado exacto</v>
      </c>
      <c r="D35" s="45">
        <v>2</v>
      </c>
      <c r="E35" s="111"/>
      <c r="F35" s="445">
        <f t="shared" si="97"/>
        <v>4</v>
      </c>
      <c r="G35" s="445">
        <f ca="1">VLOOKUP(H35,Equipos!$Q$1:$R$25,2,0)</f>
        <v>10</v>
      </c>
      <c r="H35" s="446">
        <f ca="1">TRUNC(INDEX(WORLDCUP!$X$4:$X$147,MATCH(ADMIN!K35,WORLDCUP!$DT$4:$DT$147,0))+INDEX(Horarios!$R$3:$R$86,MATCH(Horarios!$C$3,Horarios!$P$3:$P$86,0))/24)</f>
        <v>46193</v>
      </c>
      <c r="I35" s="48">
        <v>1</v>
      </c>
      <c r="J35" s="95" t="s">
        <v>120</v>
      </c>
      <c r="K35" s="56" t="str">
        <f ca="1">CONCATENATE(WORLDCUP!AA23,"-",WORLDCUP!AF23)</f>
        <v>Brasil-Haití</v>
      </c>
      <c r="L35" s="53"/>
      <c r="M35" s="55" t="str">
        <f>IF(OR(WORLDCUP!AC23="",WORLDCUP!AD23=""),"-",N35&amp;"|"&amp;O35&amp;"-"&amp;P35)</f>
        <v>1|3-0</v>
      </c>
      <c r="N35" s="25" t="str">
        <f>IF(OR(WORLDCUP!AC23="",WORLDCUP!AD23=""),"",IF(WORLDCUP!AC23&gt;WORLDCUP!AD23,"1",IF(WORLDCUP!AC23&lt;WORLDCUP!AD23,"2","X")))</f>
        <v>1</v>
      </c>
      <c r="O35" s="25">
        <f>WORLDCUP!AC23</f>
        <v>3</v>
      </c>
      <c r="P35" s="25">
        <f>WORLDCUP!AD23</f>
        <v>0</v>
      </c>
      <c r="Q35" s="25">
        <f t="shared" si="101"/>
        <v>3</v>
      </c>
      <c r="R35" s="49"/>
      <c r="S35" s="74" t="s">
        <v>1951</v>
      </c>
      <c r="T35" s="73">
        <f t="shared" si="106"/>
        <v>1</v>
      </c>
      <c r="U35" s="65"/>
      <c r="V35" s="74" t="s">
        <v>2002</v>
      </c>
      <c r="W35" s="73">
        <f t="shared" si="99"/>
        <v>1</v>
      </c>
      <c r="X35" s="65"/>
      <c r="Y35" s="74" t="s">
        <v>1958</v>
      </c>
      <c r="Z35" s="73">
        <f t="shared" si="108"/>
        <v>4</v>
      </c>
      <c r="AA35" s="65"/>
      <c r="AB35" s="74" t="s">
        <v>1958</v>
      </c>
      <c r="AC35" s="73">
        <f t="shared" si="108"/>
        <v>4</v>
      </c>
      <c r="AD35" s="65"/>
      <c r="AE35" s="74" t="s">
        <v>1958</v>
      </c>
      <c r="AF35" s="73">
        <f t="shared" si="108"/>
        <v>4</v>
      </c>
      <c r="AG35" s="65"/>
      <c r="AH35" s="74" t="s">
        <v>1943</v>
      </c>
      <c r="AI35" s="73">
        <f t="shared" si="108"/>
        <v>1</v>
      </c>
      <c r="AJ35" s="65"/>
      <c r="AK35" s="74" t="s">
        <v>2001</v>
      </c>
      <c r="AL35" s="73">
        <f t="shared" si="108"/>
        <v>1</v>
      </c>
      <c r="AM35" s="65"/>
      <c r="AN35" s="74" t="s">
        <v>2184</v>
      </c>
      <c r="AO35" s="73">
        <f t="shared" si="108"/>
        <v>1</v>
      </c>
      <c r="AP35" s="65"/>
      <c r="AQ35" s="74" t="s">
        <v>1951</v>
      </c>
      <c r="AR35" s="73">
        <f t="shared" si="108"/>
        <v>1</v>
      </c>
      <c r="AS35" s="65"/>
      <c r="AT35" s="74" t="s">
        <v>2001</v>
      </c>
      <c r="AU35" s="73">
        <f t="shared" si="108"/>
        <v>1</v>
      </c>
      <c r="AV35" s="65"/>
      <c r="AW35" s="74" t="s">
        <v>1950</v>
      </c>
      <c r="AX35" s="73">
        <f t="shared" si="108"/>
        <v>1</v>
      </c>
      <c r="AY35" s="65"/>
      <c r="AZ35" s="74" t="s">
        <v>2001</v>
      </c>
      <c r="BA35" s="73">
        <f t="shared" si="108"/>
        <v>1</v>
      </c>
      <c r="BB35" s="65"/>
      <c r="BC35" s="74" t="s">
        <v>1950</v>
      </c>
      <c r="BD35" s="73">
        <f t="shared" si="108"/>
        <v>1</v>
      </c>
      <c r="BE35" s="65"/>
      <c r="BF35" s="74" t="s">
        <v>1958</v>
      </c>
      <c r="BG35" s="73">
        <f t="shared" si="108"/>
        <v>4</v>
      </c>
      <c r="BH35" s="65"/>
      <c r="BI35" s="74" t="s">
        <v>1958</v>
      </c>
      <c r="BJ35" s="73">
        <f t="shared" si="108"/>
        <v>4</v>
      </c>
      <c r="BK35" s="65"/>
      <c r="BL35" s="74" t="s">
        <v>1958</v>
      </c>
      <c r="BM35" s="73">
        <f t="shared" si="108"/>
        <v>4</v>
      </c>
      <c r="BN35" s="65"/>
      <c r="BO35" s="74" t="s">
        <v>1958</v>
      </c>
      <c r="BP35" s="73">
        <f t="shared" si="108"/>
        <v>4</v>
      </c>
      <c r="BQ35" s="65"/>
      <c r="BR35" s="74" t="s">
        <v>1959</v>
      </c>
      <c r="BS35" s="73">
        <f t="shared" si="108"/>
        <v>2</v>
      </c>
      <c r="BT35" s="65"/>
      <c r="BU35" s="74" t="s">
        <v>2001</v>
      </c>
      <c r="BV35" s="73">
        <f t="shared" si="108"/>
        <v>1</v>
      </c>
      <c r="BW35" s="65"/>
      <c r="BX35" s="74" t="s">
        <v>1958</v>
      </c>
      <c r="BY35" s="73">
        <f t="shared" si="108"/>
        <v>4</v>
      </c>
      <c r="BZ35" s="65"/>
      <c r="CA35" s="74" t="s">
        <v>1954</v>
      </c>
      <c r="CB35" s="73">
        <f t="shared" si="108"/>
        <v>1</v>
      </c>
      <c r="CC35" s="65"/>
      <c r="CD35" s="74" t="s">
        <v>2001</v>
      </c>
      <c r="CE35" s="73">
        <f t="shared" si="108"/>
        <v>1</v>
      </c>
      <c r="CF35" s="65"/>
      <c r="CG35" s="74" t="s">
        <v>1954</v>
      </c>
      <c r="CH35" s="73">
        <f t="shared" si="108"/>
        <v>1</v>
      </c>
      <c r="CI35" s="65"/>
      <c r="CJ35" s="74" t="s">
        <v>1951</v>
      </c>
      <c r="CK35" s="73">
        <f t="shared" si="107"/>
        <v>1</v>
      </c>
      <c r="CL35" s="65"/>
      <c r="CM35" s="74" t="s">
        <v>2001</v>
      </c>
      <c r="CN35" s="73">
        <f t="shared" si="107"/>
        <v>1</v>
      </c>
      <c r="CO35" s="65"/>
      <c r="CP35" s="74" t="s">
        <v>1950</v>
      </c>
      <c r="CQ35" s="73">
        <f t="shared" si="107"/>
        <v>1</v>
      </c>
      <c r="CR35" s="65"/>
      <c r="CS35" s="74" t="s">
        <v>2001</v>
      </c>
      <c r="CT35" s="73">
        <f t="shared" si="107"/>
        <v>1</v>
      </c>
      <c r="CU35" s="65"/>
      <c r="CV35" s="74" t="s">
        <v>2001</v>
      </c>
      <c r="CW35" s="73">
        <f t="shared" si="107"/>
        <v>1</v>
      </c>
      <c r="CX35" s="65"/>
      <c r="CY35" s="74" t="s">
        <v>2001</v>
      </c>
      <c r="CZ35" s="73">
        <f t="shared" si="107"/>
        <v>1</v>
      </c>
      <c r="DA35" s="65"/>
      <c r="DB35" s="74" t="s">
        <v>2001</v>
      </c>
      <c r="DC35" s="73">
        <f t="shared" si="107"/>
        <v>1</v>
      </c>
      <c r="DD35" s="65"/>
      <c r="DE35" s="74" t="s">
        <v>1950</v>
      </c>
      <c r="DF35" s="73">
        <f t="shared" si="107"/>
        <v>1</v>
      </c>
      <c r="DG35" s="65"/>
      <c r="DH35" s="74" t="s">
        <v>1958</v>
      </c>
      <c r="DI35" s="73">
        <f t="shared" si="107"/>
        <v>4</v>
      </c>
      <c r="DJ35" s="65"/>
      <c r="DK35" s="74" t="s">
        <v>2001</v>
      </c>
      <c r="DL35" s="73">
        <f t="shared" si="107"/>
        <v>1</v>
      </c>
      <c r="DM35" s="65"/>
      <c r="DN35" s="795" t="s">
        <v>1950</v>
      </c>
      <c r="DO35" s="73">
        <f t="shared" si="107"/>
        <v>1</v>
      </c>
      <c r="DP35" s="65"/>
      <c r="DQ35" s="795" t="s">
        <v>1958</v>
      </c>
      <c r="DR35" s="73">
        <f t="shared" si="107"/>
        <v>4</v>
      </c>
      <c r="DS35" s="65"/>
      <c r="DT35" s="74" t="s">
        <v>1958</v>
      </c>
      <c r="DU35" s="73">
        <f t="shared" si="107"/>
        <v>4</v>
      </c>
      <c r="DV35" s="65"/>
      <c r="DW35" s="74" t="s">
        <v>2001</v>
      </c>
      <c r="DX35" s="73">
        <f t="shared" si="109"/>
        <v>1</v>
      </c>
      <c r="DY35" s="65"/>
      <c r="DZ35" s="74" t="s">
        <v>2001</v>
      </c>
      <c r="EA35" s="73">
        <f t="shared" si="109"/>
        <v>1</v>
      </c>
      <c r="EB35" s="65"/>
      <c r="EC35" s="74" t="s">
        <v>1951</v>
      </c>
      <c r="ED35" s="73">
        <f t="shared" si="109"/>
        <v>1</v>
      </c>
      <c r="EE35" s="65"/>
      <c r="EF35" s="74" t="s">
        <v>1959</v>
      </c>
      <c r="EG35" s="73">
        <f t="shared" si="109"/>
        <v>2</v>
      </c>
      <c r="EH35" s="65"/>
      <c r="EI35" s="74" t="s">
        <v>1958</v>
      </c>
      <c r="EJ35" s="73">
        <f t="shared" si="109"/>
        <v>4</v>
      </c>
      <c r="EK35" s="65"/>
      <c r="EL35" s="74"/>
      <c r="EM35" s="73">
        <f t="shared" si="109"/>
        <v>0</v>
      </c>
      <c r="EN35" s="65"/>
      <c r="EO35" s="74"/>
      <c r="EP35" s="73">
        <f t="shared" si="109"/>
        <v>0</v>
      </c>
      <c r="EQ35" s="65"/>
      <c r="ER35" s="74"/>
      <c r="ES35" s="73">
        <f t="shared" si="109"/>
        <v>0</v>
      </c>
      <c r="ET35" s="65"/>
      <c r="EU35" s="74"/>
      <c r="EV35" s="73">
        <f t="shared" si="109"/>
        <v>0</v>
      </c>
      <c r="EW35" s="65"/>
      <c r="EX35" s="74"/>
      <c r="EY35" s="73">
        <f t="shared" si="109"/>
        <v>0</v>
      </c>
      <c r="EZ35" s="65"/>
      <c r="FA35" s="74"/>
      <c r="FB35" s="73">
        <f t="shared" si="109"/>
        <v>0</v>
      </c>
      <c r="FC35" s="65"/>
      <c r="FD35" s="74"/>
      <c r="FE35" s="73">
        <f t="shared" si="109"/>
        <v>0</v>
      </c>
      <c r="FF35" s="65"/>
      <c r="FG35" s="74"/>
      <c r="FH35" s="73">
        <f t="shared" si="109"/>
        <v>0</v>
      </c>
      <c r="FI35" s="65"/>
      <c r="FJ35" s="74"/>
      <c r="FK35" s="73">
        <f t="shared" si="109"/>
        <v>0</v>
      </c>
      <c r="FL35" s="65"/>
      <c r="FM35" s="65"/>
    </row>
    <row r="36" spans="1:169">
      <c r="A36" s="49"/>
      <c r="B36" s="49"/>
      <c r="C36" s="437" t="str">
        <f>Idiomas!D332</f>
        <v>FINAL - Signo 1X2  (local, empate, visitante)</v>
      </c>
      <c r="D36" s="62">
        <v>1</v>
      </c>
      <c r="E36" s="111"/>
      <c r="F36" s="445">
        <f t="shared" si="97"/>
        <v>4</v>
      </c>
      <c r="G36" s="445">
        <f ca="1">VLOOKUP(H36,Equipos!$Q$1:$R$25,2,0)</f>
        <v>9</v>
      </c>
      <c r="H36" s="446">
        <f ca="1">TRUNC(INDEX(WORLDCUP!$X$4:$X$147,MATCH(ADMIN!K36,WORLDCUP!$DT$4:$DT$147,0))+INDEX(Horarios!$R$3:$R$86,MATCH(Horarios!$C$3,Horarios!$P$3:$P$86,0))/24)</f>
        <v>46192</v>
      </c>
      <c r="I36" s="48">
        <v>1</v>
      </c>
      <c r="J36" s="96" t="s">
        <v>121</v>
      </c>
      <c r="K36" s="53" t="str">
        <f ca="1">CONCATENATE(WORLDCUP!AA30,"-",WORLDCUP!AF30)</f>
        <v>Estados Unidos-Australia</v>
      </c>
      <c r="L36" s="53"/>
      <c r="M36" s="55" t="str">
        <f>IF(OR(WORLDCUP!AC30="",WORLDCUP!AD30=""),"-",N36&amp;"|"&amp;O36&amp;"-"&amp;P36)</f>
        <v>1|2-0</v>
      </c>
      <c r="N36" s="25" t="str">
        <f>IF(OR(WORLDCUP!AC30="",WORLDCUP!AD30=""),"",IF(WORLDCUP!AC30&gt;WORLDCUP!AD30,"1",IF(WORLDCUP!AC30&lt;WORLDCUP!AD30,"2","X")))</f>
        <v>1</v>
      </c>
      <c r="O36" s="25">
        <f>WORLDCUP!AC30</f>
        <v>2</v>
      </c>
      <c r="P36" s="25">
        <f>WORLDCUP!AD30</f>
        <v>0</v>
      </c>
      <c r="Q36" s="25">
        <f t="shared" si="101"/>
        <v>2</v>
      </c>
      <c r="R36" s="49"/>
      <c r="S36" s="74" t="s">
        <v>1946</v>
      </c>
      <c r="T36" s="73">
        <f t="shared" si="106"/>
        <v>0</v>
      </c>
      <c r="U36" s="65"/>
      <c r="V36" s="74" t="s">
        <v>1942</v>
      </c>
      <c r="W36" s="73">
        <f t="shared" si="99"/>
        <v>1</v>
      </c>
      <c r="X36" s="65"/>
      <c r="Y36" s="74" t="s">
        <v>1948</v>
      </c>
      <c r="Z36" s="73">
        <f t="shared" si="108"/>
        <v>1</v>
      </c>
      <c r="AA36" s="65"/>
      <c r="AB36" s="74" t="s">
        <v>1942</v>
      </c>
      <c r="AC36" s="73">
        <f t="shared" si="108"/>
        <v>1</v>
      </c>
      <c r="AD36" s="65"/>
      <c r="AE36" s="74" t="s">
        <v>1946</v>
      </c>
      <c r="AF36" s="73">
        <f t="shared" si="108"/>
        <v>0</v>
      </c>
      <c r="AG36" s="65"/>
      <c r="AH36" s="74" t="s">
        <v>1942</v>
      </c>
      <c r="AI36" s="73">
        <f t="shared" si="108"/>
        <v>1</v>
      </c>
      <c r="AJ36" s="65"/>
      <c r="AK36" s="74" t="s">
        <v>1948</v>
      </c>
      <c r="AL36" s="73">
        <f t="shared" si="108"/>
        <v>1</v>
      </c>
      <c r="AM36" s="65"/>
      <c r="AN36" s="74" t="s">
        <v>1954</v>
      </c>
      <c r="AO36" s="73">
        <f t="shared" si="108"/>
        <v>4</v>
      </c>
      <c r="AP36" s="65"/>
      <c r="AQ36" s="74" t="s">
        <v>1943</v>
      </c>
      <c r="AR36" s="73">
        <f t="shared" si="108"/>
        <v>2</v>
      </c>
      <c r="AS36" s="65"/>
      <c r="AT36" s="74" t="s">
        <v>1946</v>
      </c>
      <c r="AU36" s="73">
        <f t="shared" si="108"/>
        <v>0</v>
      </c>
      <c r="AV36" s="65"/>
      <c r="AW36" s="74" t="s">
        <v>1954</v>
      </c>
      <c r="AX36" s="73">
        <f t="shared" si="108"/>
        <v>4</v>
      </c>
      <c r="AY36" s="65"/>
      <c r="AZ36" s="74" t="s">
        <v>1942</v>
      </c>
      <c r="BA36" s="73">
        <f t="shared" si="108"/>
        <v>1</v>
      </c>
      <c r="BB36" s="65"/>
      <c r="BC36" s="74" t="s">
        <v>1946</v>
      </c>
      <c r="BD36" s="73">
        <f t="shared" si="108"/>
        <v>0</v>
      </c>
      <c r="BE36" s="65"/>
      <c r="BF36" s="74" t="s">
        <v>1954</v>
      </c>
      <c r="BG36" s="73">
        <f t="shared" si="108"/>
        <v>4</v>
      </c>
      <c r="BH36" s="65"/>
      <c r="BI36" s="74" t="s">
        <v>1948</v>
      </c>
      <c r="BJ36" s="73">
        <f t="shared" si="108"/>
        <v>1</v>
      </c>
      <c r="BK36" s="65"/>
      <c r="BL36" s="74" t="s">
        <v>1954</v>
      </c>
      <c r="BM36" s="73">
        <f t="shared" si="108"/>
        <v>4</v>
      </c>
      <c r="BN36" s="65"/>
      <c r="BO36" s="74" t="s">
        <v>1942</v>
      </c>
      <c r="BP36" s="73">
        <f t="shared" si="108"/>
        <v>1</v>
      </c>
      <c r="BQ36" s="65"/>
      <c r="BR36" s="74" t="s">
        <v>1954</v>
      </c>
      <c r="BS36" s="73">
        <f t="shared" si="108"/>
        <v>4</v>
      </c>
      <c r="BT36" s="65"/>
      <c r="BU36" s="74" t="s">
        <v>1954</v>
      </c>
      <c r="BV36" s="73">
        <f t="shared" si="108"/>
        <v>4</v>
      </c>
      <c r="BW36" s="65"/>
      <c r="BX36" s="74" t="s">
        <v>1948</v>
      </c>
      <c r="BY36" s="73">
        <f t="shared" si="108"/>
        <v>1</v>
      </c>
      <c r="BZ36" s="65"/>
      <c r="CA36" s="74" t="s">
        <v>1948</v>
      </c>
      <c r="CB36" s="73">
        <f t="shared" si="108"/>
        <v>1</v>
      </c>
      <c r="CC36" s="65"/>
      <c r="CD36" s="74" t="s">
        <v>1946</v>
      </c>
      <c r="CE36" s="73">
        <f t="shared" si="108"/>
        <v>0</v>
      </c>
      <c r="CF36" s="65"/>
      <c r="CG36" s="74" t="s">
        <v>1942</v>
      </c>
      <c r="CH36" s="73">
        <f t="shared" si="108"/>
        <v>1</v>
      </c>
      <c r="CI36" s="65"/>
      <c r="CJ36" s="74" t="s">
        <v>1954</v>
      </c>
      <c r="CK36" s="73">
        <f t="shared" si="107"/>
        <v>4</v>
      </c>
      <c r="CL36" s="65"/>
      <c r="CM36" s="74" t="s">
        <v>1942</v>
      </c>
      <c r="CN36" s="73">
        <f t="shared" si="107"/>
        <v>1</v>
      </c>
      <c r="CO36" s="65"/>
      <c r="CP36" s="74" t="s">
        <v>1948</v>
      </c>
      <c r="CQ36" s="73">
        <f t="shared" si="107"/>
        <v>1</v>
      </c>
      <c r="CR36" s="65"/>
      <c r="CS36" s="74" t="s">
        <v>1954</v>
      </c>
      <c r="CT36" s="73">
        <f t="shared" si="107"/>
        <v>4</v>
      </c>
      <c r="CU36" s="65"/>
      <c r="CV36" s="74" t="s">
        <v>1942</v>
      </c>
      <c r="CW36" s="73">
        <f t="shared" si="107"/>
        <v>1</v>
      </c>
      <c r="CX36" s="65"/>
      <c r="CY36" s="74" t="s">
        <v>1952</v>
      </c>
      <c r="CZ36" s="73">
        <f t="shared" si="107"/>
        <v>0</v>
      </c>
      <c r="DA36" s="65"/>
      <c r="DB36" s="74" t="s">
        <v>1954</v>
      </c>
      <c r="DC36" s="73">
        <f t="shared" si="107"/>
        <v>4</v>
      </c>
      <c r="DD36" s="65"/>
      <c r="DE36" s="74" t="s">
        <v>1948</v>
      </c>
      <c r="DF36" s="73">
        <f t="shared" si="107"/>
        <v>1</v>
      </c>
      <c r="DG36" s="65"/>
      <c r="DH36" s="74" t="s">
        <v>1942</v>
      </c>
      <c r="DI36" s="73">
        <f t="shared" si="107"/>
        <v>1</v>
      </c>
      <c r="DJ36" s="65"/>
      <c r="DK36" s="74" t="s">
        <v>1954</v>
      </c>
      <c r="DL36" s="73">
        <f t="shared" si="107"/>
        <v>4</v>
      </c>
      <c r="DM36" s="65"/>
      <c r="DN36" s="795" t="s">
        <v>1948</v>
      </c>
      <c r="DO36" s="73">
        <f t="shared" si="107"/>
        <v>1</v>
      </c>
      <c r="DP36" s="65"/>
      <c r="DQ36" s="795" t="s">
        <v>1942</v>
      </c>
      <c r="DR36" s="73">
        <f t="shared" si="107"/>
        <v>1</v>
      </c>
      <c r="DS36" s="65"/>
      <c r="DT36" s="74" t="s">
        <v>1946</v>
      </c>
      <c r="DU36" s="73">
        <f t="shared" si="107"/>
        <v>0</v>
      </c>
      <c r="DV36" s="65"/>
      <c r="DW36" s="74" t="s">
        <v>1948</v>
      </c>
      <c r="DX36" s="73">
        <f t="shared" si="109"/>
        <v>1</v>
      </c>
      <c r="DY36" s="65"/>
      <c r="DZ36" s="74" t="s">
        <v>1948</v>
      </c>
      <c r="EA36" s="73">
        <f t="shared" si="109"/>
        <v>1</v>
      </c>
      <c r="EB36" s="65"/>
      <c r="EC36" s="74" t="s">
        <v>1954</v>
      </c>
      <c r="ED36" s="73">
        <f t="shared" si="109"/>
        <v>4</v>
      </c>
      <c r="EE36" s="65"/>
      <c r="EF36" s="74" t="s">
        <v>1948</v>
      </c>
      <c r="EG36" s="73">
        <f t="shared" si="109"/>
        <v>1</v>
      </c>
      <c r="EH36" s="65"/>
      <c r="EI36" s="74" t="s">
        <v>1948</v>
      </c>
      <c r="EJ36" s="73">
        <f t="shared" si="109"/>
        <v>1</v>
      </c>
      <c r="EK36" s="65"/>
      <c r="EL36" s="74"/>
      <c r="EM36" s="73">
        <f t="shared" si="109"/>
        <v>0</v>
      </c>
      <c r="EN36" s="65"/>
      <c r="EO36" s="74"/>
      <c r="EP36" s="73">
        <f t="shared" si="109"/>
        <v>0</v>
      </c>
      <c r="EQ36" s="65"/>
      <c r="ER36" s="74"/>
      <c r="ES36" s="73">
        <f t="shared" si="109"/>
        <v>0</v>
      </c>
      <c r="ET36" s="65"/>
      <c r="EU36" s="74"/>
      <c r="EV36" s="73">
        <f t="shared" si="109"/>
        <v>0</v>
      </c>
      <c r="EW36" s="65"/>
      <c r="EX36" s="74"/>
      <c r="EY36" s="73">
        <f t="shared" si="109"/>
        <v>0</v>
      </c>
      <c r="EZ36" s="65"/>
      <c r="FA36" s="74"/>
      <c r="FB36" s="73">
        <f t="shared" si="109"/>
        <v>0</v>
      </c>
      <c r="FC36" s="65"/>
      <c r="FD36" s="74"/>
      <c r="FE36" s="73">
        <f t="shared" si="109"/>
        <v>0</v>
      </c>
      <c r="FF36" s="65"/>
      <c r="FG36" s="74"/>
      <c r="FH36" s="73">
        <f t="shared" si="109"/>
        <v>0</v>
      </c>
      <c r="FI36" s="65"/>
      <c r="FJ36" s="74"/>
      <c r="FK36" s="73">
        <f t="shared" si="109"/>
        <v>0</v>
      </c>
      <c r="FL36" s="65"/>
      <c r="FM36" s="65"/>
    </row>
    <row r="37" spans="1:169">
      <c r="A37" s="49"/>
      <c r="B37" s="49"/>
      <c r="C37" s="438" t="str">
        <f>Idiomas!D333&amp;"**"</f>
        <v>FINAL - Diferencia/Distancia de goles (Con 1X2 acertado)**</v>
      </c>
      <c r="D37" s="44">
        <v>1</v>
      </c>
      <c r="E37" s="111"/>
      <c r="F37" s="445">
        <f t="shared" si="97"/>
        <v>4</v>
      </c>
      <c r="G37" s="445">
        <f ca="1">VLOOKUP(H37,Equipos!$Q$1:$R$25,2,0)</f>
        <v>10</v>
      </c>
      <c r="H37" s="446">
        <f ca="1">TRUNC(INDEX(WORLDCUP!$X$4:$X$147,MATCH(ADMIN!K37,WORLDCUP!$DT$4:$DT$147,0))+INDEX(Horarios!$R$3:$R$86,MATCH(Horarios!$C$3,Horarios!$P$3:$P$86,0))/24)</f>
        <v>46193</v>
      </c>
      <c r="I37" s="48">
        <v>1</v>
      </c>
      <c r="J37" s="96" t="s">
        <v>121</v>
      </c>
      <c r="K37" s="56" t="str">
        <f ca="1">CONCATENATE(WORLDCUP!AA31,"-",WORLDCUP!AF31)</f>
        <v>Turquía-Paraguay</v>
      </c>
      <c r="L37" s="53"/>
      <c r="M37" s="55" t="str">
        <f>IF(OR(WORLDCUP!AC31="",WORLDCUP!AD31=""),"-",N37&amp;"|"&amp;O37&amp;"-"&amp;P37)</f>
        <v>2|0-1</v>
      </c>
      <c r="N37" s="25" t="str">
        <f>IF(OR(WORLDCUP!AC31="",WORLDCUP!AD31=""),"",IF(WORLDCUP!AC31&gt;WORLDCUP!AD31,"1",IF(WORLDCUP!AC31&lt;WORLDCUP!AD31,"2","X")))</f>
        <v>2</v>
      </c>
      <c r="O37" s="25">
        <f>WORLDCUP!AC31</f>
        <v>0</v>
      </c>
      <c r="P37" s="25">
        <f>WORLDCUP!AD31</f>
        <v>1</v>
      </c>
      <c r="Q37" s="25">
        <f t="shared" si="101"/>
        <v>1</v>
      </c>
      <c r="R37" s="49"/>
      <c r="S37" s="74" t="s">
        <v>1954</v>
      </c>
      <c r="T37" s="73">
        <f t="shared" si="98"/>
        <v>0</v>
      </c>
      <c r="U37" s="65"/>
      <c r="V37" s="74" t="s">
        <v>1954</v>
      </c>
      <c r="W37" s="73">
        <f t="shared" si="99"/>
        <v>0</v>
      </c>
      <c r="X37" s="65"/>
      <c r="Y37" s="74" t="s">
        <v>1954</v>
      </c>
      <c r="Z37" s="73">
        <f t="shared" si="108"/>
        <v>0</v>
      </c>
      <c r="AA37" s="65"/>
      <c r="AB37" s="74" t="s">
        <v>1946</v>
      </c>
      <c r="AC37" s="73">
        <f t="shared" si="108"/>
        <v>0</v>
      </c>
      <c r="AD37" s="65"/>
      <c r="AE37" s="74" t="s">
        <v>1952</v>
      </c>
      <c r="AF37" s="73">
        <f t="shared" si="108"/>
        <v>2</v>
      </c>
      <c r="AG37" s="65"/>
      <c r="AH37" s="74" t="s">
        <v>1946</v>
      </c>
      <c r="AI37" s="73">
        <f t="shared" si="108"/>
        <v>0</v>
      </c>
      <c r="AJ37" s="65"/>
      <c r="AK37" s="74" t="s">
        <v>1943</v>
      </c>
      <c r="AL37" s="73">
        <f t="shared" si="108"/>
        <v>0</v>
      </c>
      <c r="AM37" s="65"/>
      <c r="AN37" s="74" t="s">
        <v>1942</v>
      </c>
      <c r="AO37" s="73">
        <f t="shared" si="108"/>
        <v>0</v>
      </c>
      <c r="AP37" s="65"/>
      <c r="AQ37" s="74" t="s">
        <v>1960</v>
      </c>
      <c r="AR37" s="73">
        <f t="shared" si="108"/>
        <v>4</v>
      </c>
      <c r="AS37" s="65"/>
      <c r="AT37" s="74" t="s">
        <v>1954</v>
      </c>
      <c r="AU37" s="73">
        <f t="shared" si="108"/>
        <v>0</v>
      </c>
      <c r="AV37" s="65"/>
      <c r="AW37" s="74" t="s">
        <v>1946</v>
      </c>
      <c r="AX37" s="73">
        <f t="shared" si="108"/>
        <v>0</v>
      </c>
      <c r="AY37" s="65"/>
      <c r="AZ37" s="74" t="s">
        <v>1946</v>
      </c>
      <c r="BA37" s="73">
        <f t="shared" si="108"/>
        <v>0</v>
      </c>
      <c r="BB37" s="65"/>
      <c r="BC37" s="74" t="s">
        <v>1958</v>
      </c>
      <c r="BD37" s="73">
        <f t="shared" si="108"/>
        <v>0</v>
      </c>
      <c r="BE37" s="65"/>
      <c r="BF37" s="74" t="s">
        <v>1948</v>
      </c>
      <c r="BG37" s="73">
        <f t="shared" si="108"/>
        <v>0</v>
      </c>
      <c r="BH37" s="65"/>
      <c r="BI37" s="74" t="s">
        <v>1954</v>
      </c>
      <c r="BJ37" s="73">
        <f t="shared" si="108"/>
        <v>0</v>
      </c>
      <c r="BK37" s="65"/>
      <c r="BL37" s="74" t="s">
        <v>1948</v>
      </c>
      <c r="BM37" s="73">
        <f t="shared" si="108"/>
        <v>0</v>
      </c>
      <c r="BN37" s="65"/>
      <c r="BO37" s="74" t="s">
        <v>1957</v>
      </c>
      <c r="BP37" s="73">
        <f t="shared" si="108"/>
        <v>0</v>
      </c>
      <c r="BQ37" s="65"/>
      <c r="BR37" s="74" t="s">
        <v>1944</v>
      </c>
      <c r="BS37" s="73">
        <f t="shared" si="108"/>
        <v>0</v>
      </c>
      <c r="BT37" s="65"/>
      <c r="BU37" s="74" t="s">
        <v>1948</v>
      </c>
      <c r="BV37" s="73">
        <f t="shared" si="108"/>
        <v>0</v>
      </c>
      <c r="BW37" s="65"/>
      <c r="BX37" s="74" t="s">
        <v>1946</v>
      </c>
      <c r="BY37" s="73">
        <f t="shared" si="108"/>
        <v>0</v>
      </c>
      <c r="BZ37" s="65"/>
      <c r="CA37" s="74" t="s">
        <v>1946</v>
      </c>
      <c r="CB37" s="73">
        <f t="shared" si="108"/>
        <v>0</v>
      </c>
      <c r="CC37" s="65"/>
      <c r="CD37" s="74" t="s">
        <v>1948</v>
      </c>
      <c r="CE37" s="73">
        <f t="shared" si="108"/>
        <v>0</v>
      </c>
      <c r="CF37" s="65"/>
      <c r="CG37" s="74" t="s">
        <v>1946</v>
      </c>
      <c r="CH37" s="73">
        <f t="shared" si="108"/>
        <v>0</v>
      </c>
      <c r="CI37" s="65"/>
      <c r="CJ37" s="74" t="s">
        <v>1946</v>
      </c>
      <c r="CK37" s="73">
        <f t="shared" si="107"/>
        <v>0</v>
      </c>
      <c r="CL37" s="65"/>
      <c r="CM37" s="74" t="s">
        <v>1958</v>
      </c>
      <c r="CN37" s="73">
        <f t="shared" si="107"/>
        <v>0</v>
      </c>
      <c r="CO37" s="65"/>
      <c r="CP37" s="74" t="s">
        <v>1948</v>
      </c>
      <c r="CQ37" s="73">
        <f t="shared" si="107"/>
        <v>0</v>
      </c>
      <c r="CR37" s="65"/>
      <c r="CS37" s="74" t="s">
        <v>1948</v>
      </c>
      <c r="CT37" s="73">
        <f t="shared" si="107"/>
        <v>0</v>
      </c>
      <c r="CU37" s="65"/>
      <c r="CV37" s="74" t="s">
        <v>1942</v>
      </c>
      <c r="CW37" s="73">
        <f t="shared" si="107"/>
        <v>0</v>
      </c>
      <c r="CX37" s="65"/>
      <c r="CY37" s="74" t="s">
        <v>1946</v>
      </c>
      <c r="CZ37" s="73">
        <f t="shared" si="107"/>
        <v>0</v>
      </c>
      <c r="DA37" s="65"/>
      <c r="DB37" s="74" t="s">
        <v>1948</v>
      </c>
      <c r="DC37" s="73">
        <f t="shared" si="107"/>
        <v>0</v>
      </c>
      <c r="DD37" s="65"/>
      <c r="DE37" s="74" t="s">
        <v>1958</v>
      </c>
      <c r="DF37" s="73">
        <f t="shared" si="107"/>
        <v>0</v>
      </c>
      <c r="DG37" s="65"/>
      <c r="DH37" s="74" t="s">
        <v>1946</v>
      </c>
      <c r="DI37" s="73">
        <f t="shared" si="107"/>
        <v>0</v>
      </c>
      <c r="DJ37" s="65"/>
      <c r="DK37" s="74" t="s">
        <v>1948</v>
      </c>
      <c r="DL37" s="73">
        <f t="shared" si="107"/>
        <v>0</v>
      </c>
      <c r="DM37" s="65"/>
      <c r="DN37" s="795" t="s">
        <v>1942</v>
      </c>
      <c r="DO37" s="73">
        <f t="shared" si="107"/>
        <v>0</v>
      </c>
      <c r="DP37" s="65"/>
      <c r="DQ37" s="795" t="s">
        <v>2311</v>
      </c>
      <c r="DR37" s="73">
        <f t="shared" si="107"/>
        <v>0</v>
      </c>
      <c r="DS37" s="65"/>
      <c r="DT37" s="74" t="s">
        <v>1954</v>
      </c>
      <c r="DU37" s="73">
        <f t="shared" si="107"/>
        <v>0</v>
      </c>
      <c r="DV37" s="65"/>
      <c r="DW37" s="74" t="s">
        <v>1957</v>
      </c>
      <c r="DX37" s="73">
        <f t="shared" si="109"/>
        <v>0</v>
      </c>
      <c r="DY37" s="65"/>
      <c r="DZ37" s="74" t="s">
        <v>1954</v>
      </c>
      <c r="EA37" s="73">
        <f t="shared" si="109"/>
        <v>0</v>
      </c>
      <c r="EB37" s="65"/>
      <c r="EC37" s="74" t="s">
        <v>1942</v>
      </c>
      <c r="ED37" s="73">
        <f t="shared" si="109"/>
        <v>0</v>
      </c>
      <c r="EE37" s="65"/>
      <c r="EF37" s="74" t="s">
        <v>1946</v>
      </c>
      <c r="EG37" s="73">
        <f t="shared" si="109"/>
        <v>0</v>
      </c>
      <c r="EH37" s="65"/>
      <c r="EI37" s="74" t="s">
        <v>1948</v>
      </c>
      <c r="EJ37" s="73">
        <f t="shared" si="109"/>
        <v>0</v>
      </c>
      <c r="EK37" s="65"/>
      <c r="EL37" s="74"/>
      <c r="EM37" s="73">
        <f t="shared" si="109"/>
        <v>0</v>
      </c>
      <c r="EN37" s="65"/>
      <c r="EO37" s="74"/>
      <c r="EP37" s="73">
        <f t="shared" si="109"/>
        <v>0</v>
      </c>
      <c r="EQ37" s="65"/>
      <c r="ER37" s="74"/>
      <c r="ES37" s="73">
        <f t="shared" si="109"/>
        <v>0</v>
      </c>
      <c r="ET37" s="65"/>
      <c r="EU37" s="74"/>
      <c r="EV37" s="73">
        <f t="shared" si="109"/>
        <v>0</v>
      </c>
      <c r="EW37" s="65"/>
      <c r="EX37" s="74"/>
      <c r="EY37" s="73">
        <f t="shared" si="109"/>
        <v>0</v>
      </c>
      <c r="EZ37" s="65"/>
      <c r="FA37" s="74"/>
      <c r="FB37" s="73">
        <f t="shared" si="109"/>
        <v>0</v>
      </c>
      <c r="FC37" s="65"/>
      <c r="FD37" s="74"/>
      <c r="FE37" s="73">
        <f t="shared" si="109"/>
        <v>0</v>
      </c>
      <c r="FF37" s="65"/>
      <c r="FG37" s="74"/>
      <c r="FH37" s="73">
        <f t="shared" si="109"/>
        <v>0</v>
      </c>
      <c r="FI37" s="65"/>
      <c r="FJ37" s="74"/>
      <c r="FK37" s="73">
        <f t="shared" si="109"/>
        <v>0</v>
      </c>
      <c r="FL37" s="65"/>
      <c r="FM37" s="65"/>
    </row>
    <row r="38" spans="1:169">
      <c r="A38" s="49"/>
      <c r="B38" s="49"/>
      <c r="C38" s="440" t="str">
        <f>Idiomas!D334</f>
        <v>FINAL - Resultado exacto</v>
      </c>
      <c r="D38" s="63">
        <v>2</v>
      </c>
      <c r="E38" s="111"/>
      <c r="F38" s="445">
        <f t="shared" si="97"/>
        <v>4</v>
      </c>
      <c r="G38" s="445">
        <f ca="1">VLOOKUP(H38,Equipos!$Q$1:$R$25,2,0)</f>
        <v>11</v>
      </c>
      <c r="H38" s="446">
        <f ca="1">TRUNC(INDEX(WORLDCUP!$X$4:$X$147,MATCH(ADMIN!K38,WORLDCUP!$DT$4:$DT$147,0))+INDEX(Horarios!$R$3:$R$86,MATCH(Horarios!$C$3,Horarios!$P$3:$P$86,0))/24)</f>
        <v>46194</v>
      </c>
      <c r="I38" s="48">
        <v>1</v>
      </c>
      <c r="J38" s="95" t="s">
        <v>122</v>
      </c>
      <c r="K38" s="53" t="str">
        <f ca="1">CONCATENATE(WORLDCUP!AA38,"-",WORLDCUP!AF38)</f>
        <v>Alemania-Costa de Marfil</v>
      </c>
      <c r="L38" s="53"/>
      <c r="M38" s="55" t="str">
        <f>IF(OR(WORLDCUP!AC38="",WORLDCUP!AD38=""),"-",N38&amp;"|"&amp;O38&amp;"-"&amp;P38)</f>
        <v>-</v>
      </c>
      <c r="N38" s="25" t="str">
        <f>IF(OR(WORLDCUP!AC38="",WORLDCUP!AD38=""),"",IF(WORLDCUP!AC38&gt;WORLDCUP!AD38,"1",IF(WORLDCUP!AC38&lt;WORLDCUP!AD38,"2","X")))</f>
        <v/>
      </c>
      <c r="O38" s="25">
        <f>WORLDCUP!AC38</f>
        <v>0</v>
      </c>
      <c r="P38" s="25">
        <f>WORLDCUP!AD38</f>
        <v>0</v>
      </c>
      <c r="Q38" s="25">
        <f t="shared" si="101"/>
        <v>0</v>
      </c>
      <c r="R38" s="49"/>
      <c r="S38" s="74" t="s">
        <v>1944</v>
      </c>
      <c r="T38" s="73">
        <f t="shared" si="98"/>
        <v>0</v>
      </c>
      <c r="U38" s="65"/>
      <c r="V38" s="74" t="s">
        <v>1948</v>
      </c>
      <c r="W38" s="73">
        <f t="shared" si="99"/>
        <v>0</v>
      </c>
      <c r="X38" s="65"/>
      <c r="Y38" s="74" t="s">
        <v>1948</v>
      </c>
      <c r="Z38" s="73">
        <f t="shared" si="108"/>
        <v>0</v>
      </c>
      <c r="AA38" s="65"/>
      <c r="AB38" s="74" t="s">
        <v>1942</v>
      </c>
      <c r="AC38" s="73">
        <f t="shared" si="108"/>
        <v>0</v>
      </c>
      <c r="AD38" s="65"/>
      <c r="AE38" s="74" t="s">
        <v>1943</v>
      </c>
      <c r="AF38" s="73">
        <f t="shared" si="108"/>
        <v>0</v>
      </c>
      <c r="AG38" s="65"/>
      <c r="AH38" s="74" t="s">
        <v>1958</v>
      </c>
      <c r="AI38" s="73">
        <f t="shared" si="108"/>
        <v>0</v>
      </c>
      <c r="AJ38" s="65"/>
      <c r="AK38" s="74" t="s">
        <v>1948</v>
      </c>
      <c r="AL38" s="73">
        <f t="shared" si="108"/>
        <v>0</v>
      </c>
      <c r="AM38" s="65"/>
      <c r="AN38" s="74" t="s">
        <v>1948</v>
      </c>
      <c r="AO38" s="73">
        <f t="shared" si="108"/>
        <v>0</v>
      </c>
      <c r="AP38" s="65"/>
      <c r="AQ38" s="74" t="s">
        <v>1942</v>
      </c>
      <c r="AR38" s="73">
        <f t="shared" si="108"/>
        <v>0</v>
      </c>
      <c r="AS38" s="65"/>
      <c r="AT38" s="74" t="s">
        <v>1946</v>
      </c>
      <c r="AU38" s="73">
        <f t="shared" si="108"/>
        <v>0</v>
      </c>
      <c r="AV38" s="65"/>
      <c r="AW38" s="74" t="s">
        <v>1944</v>
      </c>
      <c r="AX38" s="73">
        <f t="shared" si="108"/>
        <v>0</v>
      </c>
      <c r="AY38" s="65"/>
      <c r="AZ38" s="74" t="s">
        <v>1948</v>
      </c>
      <c r="BA38" s="73">
        <f t="shared" si="108"/>
        <v>0</v>
      </c>
      <c r="BB38" s="65"/>
      <c r="BC38" s="74" t="s">
        <v>1954</v>
      </c>
      <c r="BD38" s="73">
        <f t="shared" si="108"/>
        <v>0</v>
      </c>
      <c r="BE38" s="65"/>
      <c r="BF38" s="74" t="s">
        <v>1954</v>
      </c>
      <c r="BG38" s="73">
        <f t="shared" si="108"/>
        <v>0</v>
      </c>
      <c r="BH38" s="65"/>
      <c r="BI38" s="74" t="s">
        <v>1948</v>
      </c>
      <c r="BJ38" s="73">
        <f t="shared" si="108"/>
        <v>0</v>
      </c>
      <c r="BK38" s="65"/>
      <c r="BL38" s="74" t="s">
        <v>1948</v>
      </c>
      <c r="BM38" s="73">
        <f t="shared" si="108"/>
        <v>0</v>
      </c>
      <c r="BN38" s="65"/>
      <c r="BO38" s="74" t="s">
        <v>1948</v>
      </c>
      <c r="BP38" s="73">
        <f t="shared" si="108"/>
        <v>0</v>
      </c>
      <c r="BQ38" s="65"/>
      <c r="BR38" s="74" t="s">
        <v>1954</v>
      </c>
      <c r="BS38" s="73">
        <f t="shared" si="108"/>
        <v>0</v>
      </c>
      <c r="BT38" s="65"/>
      <c r="BU38" s="74" t="s">
        <v>1944</v>
      </c>
      <c r="BV38" s="73">
        <f t="shared" si="108"/>
        <v>0</v>
      </c>
      <c r="BW38" s="65"/>
      <c r="BX38" s="74" t="s">
        <v>1954</v>
      </c>
      <c r="BY38" s="73">
        <f t="shared" si="108"/>
        <v>0</v>
      </c>
      <c r="BZ38" s="65"/>
      <c r="CA38" s="74" t="s">
        <v>1948</v>
      </c>
      <c r="CB38" s="73">
        <f t="shared" si="108"/>
        <v>0</v>
      </c>
      <c r="CC38" s="65"/>
      <c r="CD38" s="74" t="s">
        <v>1948</v>
      </c>
      <c r="CE38" s="73">
        <f t="shared" si="108"/>
        <v>0</v>
      </c>
      <c r="CF38" s="65"/>
      <c r="CG38" s="74" t="s">
        <v>1943</v>
      </c>
      <c r="CH38" s="73">
        <f t="shared" si="108"/>
        <v>0</v>
      </c>
      <c r="CI38" s="65"/>
      <c r="CJ38" s="74" t="s">
        <v>1948</v>
      </c>
      <c r="CK38" s="73">
        <f t="shared" si="107"/>
        <v>0</v>
      </c>
      <c r="CL38" s="65"/>
      <c r="CM38" s="74" t="s">
        <v>1943</v>
      </c>
      <c r="CN38" s="73">
        <f t="shared" si="107"/>
        <v>0</v>
      </c>
      <c r="CO38" s="65"/>
      <c r="CP38" s="74" t="s">
        <v>1943</v>
      </c>
      <c r="CQ38" s="73">
        <f t="shared" si="107"/>
        <v>0</v>
      </c>
      <c r="CR38" s="65"/>
      <c r="CS38" s="74" t="s">
        <v>1948</v>
      </c>
      <c r="CT38" s="73">
        <f t="shared" si="107"/>
        <v>0</v>
      </c>
      <c r="CU38" s="65"/>
      <c r="CV38" s="74" t="s">
        <v>1946</v>
      </c>
      <c r="CW38" s="73">
        <f t="shared" si="107"/>
        <v>0</v>
      </c>
      <c r="CX38" s="65"/>
      <c r="CY38" s="74" t="s">
        <v>1946</v>
      </c>
      <c r="CZ38" s="73">
        <f t="shared" si="107"/>
        <v>0</v>
      </c>
      <c r="DA38" s="65"/>
      <c r="DB38" s="74" t="s">
        <v>1948</v>
      </c>
      <c r="DC38" s="73">
        <f t="shared" si="107"/>
        <v>0</v>
      </c>
      <c r="DD38" s="65"/>
      <c r="DE38" s="74" t="s">
        <v>1948</v>
      </c>
      <c r="DF38" s="73">
        <f t="shared" si="107"/>
        <v>0</v>
      </c>
      <c r="DG38" s="65"/>
      <c r="DH38" s="74" t="s">
        <v>1948</v>
      </c>
      <c r="DI38" s="73">
        <f t="shared" si="107"/>
        <v>0</v>
      </c>
      <c r="DJ38" s="65"/>
      <c r="DK38" s="74" t="s">
        <v>1948</v>
      </c>
      <c r="DL38" s="73">
        <f t="shared" si="107"/>
        <v>0</v>
      </c>
      <c r="DM38" s="65"/>
      <c r="DN38" s="795" t="s">
        <v>1944</v>
      </c>
      <c r="DO38" s="73">
        <f t="shared" si="107"/>
        <v>0</v>
      </c>
      <c r="DP38" s="65"/>
      <c r="DQ38" s="795" t="s">
        <v>1956</v>
      </c>
      <c r="DR38" s="73">
        <f t="shared" si="107"/>
        <v>0</v>
      </c>
      <c r="DS38" s="65"/>
      <c r="DT38" s="74" t="s">
        <v>1948</v>
      </c>
      <c r="DU38" s="73">
        <f t="shared" si="107"/>
        <v>0</v>
      </c>
      <c r="DV38" s="65"/>
      <c r="DW38" s="74" t="s">
        <v>1948</v>
      </c>
      <c r="DX38" s="73">
        <f t="shared" si="109"/>
        <v>0</v>
      </c>
      <c r="DY38" s="65"/>
      <c r="DZ38" s="74" t="s">
        <v>1954</v>
      </c>
      <c r="EA38" s="73">
        <f t="shared" si="109"/>
        <v>0</v>
      </c>
      <c r="EB38" s="65"/>
      <c r="EC38" s="74" t="s">
        <v>1943</v>
      </c>
      <c r="ED38" s="73">
        <f t="shared" si="109"/>
        <v>0</v>
      </c>
      <c r="EE38" s="65"/>
      <c r="EF38" s="74" t="s">
        <v>1954</v>
      </c>
      <c r="EG38" s="73">
        <f t="shared" si="109"/>
        <v>0</v>
      </c>
      <c r="EH38" s="65"/>
      <c r="EI38" s="74" t="s">
        <v>1946</v>
      </c>
      <c r="EJ38" s="73">
        <f t="shared" si="109"/>
        <v>0</v>
      </c>
      <c r="EK38" s="65"/>
      <c r="EL38" s="74"/>
      <c r="EM38" s="73">
        <f t="shared" si="109"/>
        <v>0</v>
      </c>
      <c r="EN38" s="65"/>
      <c r="EO38" s="74"/>
      <c r="EP38" s="73">
        <f t="shared" si="109"/>
        <v>0</v>
      </c>
      <c r="EQ38" s="65"/>
      <c r="ER38" s="74"/>
      <c r="ES38" s="73">
        <f t="shared" si="109"/>
        <v>0</v>
      </c>
      <c r="ET38" s="65"/>
      <c r="EU38" s="74"/>
      <c r="EV38" s="73">
        <f t="shared" si="109"/>
        <v>0</v>
      </c>
      <c r="EW38" s="65"/>
      <c r="EX38" s="74"/>
      <c r="EY38" s="73">
        <f t="shared" si="109"/>
        <v>0</v>
      </c>
      <c r="EZ38" s="65"/>
      <c r="FA38" s="74"/>
      <c r="FB38" s="73">
        <f t="shared" si="109"/>
        <v>0</v>
      </c>
      <c r="FC38" s="65"/>
      <c r="FD38" s="74"/>
      <c r="FE38" s="73">
        <f t="shared" si="109"/>
        <v>0</v>
      </c>
      <c r="FF38" s="65"/>
      <c r="FG38" s="74"/>
      <c r="FH38" s="73">
        <f t="shared" si="109"/>
        <v>0</v>
      </c>
      <c r="FI38" s="65"/>
      <c r="FJ38" s="74"/>
      <c r="FK38" s="73">
        <f t="shared" si="109"/>
        <v>0</v>
      </c>
      <c r="FL38" s="65"/>
      <c r="FM38" s="65"/>
    </row>
    <row r="39" spans="1:169">
      <c r="A39" s="49"/>
      <c r="B39" s="49"/>
      <c r="C39" s="438" t="str">
        <f>Idiomas!D335</f>
        <v>Campeón</v>
      </c>
      <c r="D39" s="44">
        <v>20</v>
      </c>
      <c r="E39" s="111"/>
      <c r="F39" s="445">
        <f t="shared" si="97"/>
        <v>4</v>
      </c>
      <c r="G39" s="445">
        <f ca="1">VLOOKUP(H39,Equipos!$Q$1:$R$25,2,0)</f>
        <v>11</v>
      </c>
      <c r="H39" s="446">
        <f ca="1">TRUNC(INDEX(WORLDCUP!$X$4:$X$147,MATCH(ADMIN!K39,WORLDCUP!$DT$4:$DT$147,0))+INDEX(Horarios!$R$3:$R$86,MATCH(Horarios!$C$3,Horarios!$P$3:$P$86,0))/24)</f>
        <v>46194</v>
      </c>
      <c r="I39" s="48">
        <v>1</v>
      </c>
      <c r="J39" s="95" t="s">
        <v>122</v>
      </c>
      <c r="K39" s="56" t="str">
        <f ca="1">CONCATENATE(WORLDCUP!AA39,"-",WORLDCUP!AF39)</f>
        <v>Ecuador-Curazao</v>
      </c>
      <c r="L39" s="53"/>
      <c r="M39" s="55" t="str">
        <f>IF(OR(WORLDCUP!AC39="",WORLDCUP!AD39=""),"-",N39&amp;"|"&amp;O39&amp;"-"&amp;P39)</f>
        <v>-</v>
      </c>
      <c r="N39" s="25" t="str">
        <f>IF(OR(WORLDCUP!AC39="",WORLDCUP!AD39=""),"",IF(WORLDCUP!AC39&gt;WORLDCUP!AD39,"1",IF(WORLDCUP!AC39&lt;WORLDCUP!AD39,"2","X")))</f>
        <v/>
      </c>
      <c r="O39" s="25">
        <f>WORLDCUP!AC39</f>
        <v>0</v>
      </c>
      <c r="P39" s="25">
        <f>WORLDCUP!AD39</f>
        <v>0</v>
      </c>
      <c r="Q39" s="25">
        <f t="shared" si="101"/>
        <v>0</v>
      </c>
      <c r="R39" s="49"/>
      <c r="S39" s="74" t="s">
        <v>1954</v>
      </c>
      <c r="T39" s="73">
        <f t="shared" si="98"/>
        <v>0</v>
      </c>
      <c r="U39" s="65"/>
      <c r="V39" s="74" t="s">
        <v>1958</v>
      </c>
      <c r="W39" s="73">
        <f t="shared" si="99"/>
        <v>0</v>
      </c>
      <c r="X39" s="65"/>
      <c r="Y39" s="74" t="s">
        <v>1958</v>
      </c>
      <c r="Z39" s="73">
        <f t="shared" si="108"/>
        <v>0</v>
      </c>
      <c r="AA39" s="65"/>
      <c r="AB39" s="74" t="s">
        <v>1954</v>
      </c>
      <c r="AC39" s="73">
        <f t="shared" si="108"/>
        <v>0</v>
      </c>
      <c r="AD39" s="65"/>
      <c r="AE39" s="74" t="s">
        <v>1954</v>
      </c>
      <c r="AF39" s="73">
        <f t="shared" si="108"/>
        <v>0</v>
      </c>
      <c r="AG39" s="65"/>
      <c r="AH39" s="74" t="s">
        <v>1948</v>
      </c>
      <c r="AI39" s="73">
        <f t="shared" si="108"/>
        <v>0</v>
      </c>
      <c r="AJ39" s="65"/>
      <c r="AK39" s="74" t="s">
        <v>2001</v>
      </c>
      <c r="AL39" s="73">
        <f t="shared" si="108"/>
        <v>0</v>
      </c>
      <c r="AM39" s="65"/>
      <c r="AN39" s="74" t="s">
        <v>1954</v>
      </c>
      <c r="AO39" s="73">
        <f t="shared" si="108"/>
        <v>0</v>
      </c>
      <c r="AP39" s="65"/>
      <c r="AQ39" s="74" t="s">
        <v>1958</v>
      </c>
      <c r="AR39" s="73">
        <f t="shared" si="108"/>
        <v>0</v>
      </c>
      <c r="AS39" s="65"/>
      <c r="AT39" s="74" t="s">
        <v>1958</v>
      </c>
      <c r="AU39" s="73">
        <f t="shared" si="108"/>
        <v>0</v>
      </c>
      <c r="AV39" s="65"/>
      <c r="AW39" s="74" t="s">
        <v>2001</v>
      </c>
      <c r="AX39" s="73">
        <f t="shared" si="108"/>
        <v>0</v>
      </c>
      <c r="AY39" s="65"/>
      <c r="AZ39" s="74" t="s">
        <v>1958</v>
      </c>
      <c r="BA39" s="73">
        <f t="shared" si="108"/>
        <v>0</v>
      </c>
      <c r="BB39" s="65"/>
      <c r="BC39" s="74" t="s">
        <v>1942</v>
      </c>
      <c r="BD39" s="73">
        <f t="shared" si="108"/>
        <v>0</v>
      </c>
      <c r="BE39" s="65"/>
      <c r="BF39" s="74" t="s">
        <v>1954</v>
      </c>
      <c r="BG39" s="73">
        <f t="shared" si="108"/>
        <v>0</v>
      </c>
      <c r="BH39" s="65"/>
      <c r="BI39" s="74" t="s">
        <v>1958</v>
      </c>
      <c r="BJ39" s="73">
        <f t="shared" si="108"/>
        <v>0</v>
      </c>
      <c r="BK39" s="65"/>
      <c r="BL39" s="74" t="s">
        <v>1958</v>
      </c>
      <c r="BM39" s="73">
        <f t="shared" si="108"/>
        <v>0</v>
      </c>
      <c r="BN39" s="65"/>
      <c r="BO39" s="74" t="s">
        <v>1942</v>
      </c>
      <c r="BP39" s="73">
        <f t="shared" si="108"/>
        <v>0</v>
      </c>
      <c r="BQ39" s="65"/>
      <c r="BR39" s="74" t="s">
        <v>1958</v>
      </c>
      <c r="BS39" s="73">
        <f t="shared" si="108"/>
        <v>0</v>
      </c>
      <c r="BT39" s="65"/>
      <c r="BU39" s="74" t="s">
        <v>1948</v>
      </c>
      <c r="BV39" s="73">
        <f t="shared" si="108"/>
        <v>0</v>
      </c>
      <c r="BW39" s="65"/>
      <c r="BX39" s="74" t="s">
        <v>1942</v>
      </c>
      <c r="BY39" s="73">
        <f t="shared" si="108"/>
        <v>0</v>
      </c>
      <c r="BZ39" s="65"/>
      <c r="CA39" s="74" t="s">
        <v>1954</v>
      </c>
      <c r="CB39" s="73">
        <f t="shared" si="108"/>
        <v>0</v>
      </c>
      <c r="CC39" s="65"/>
      <c r="CD39" s="74" t="s">
        <v>1942</v>
      </c>
      <c r="CE39" s="73">
        <f t="shared" si="108"/>
        <v>0</v>
      </c>
      <c r="CF39" s="65"/>
      <c r="CG39" s="74" t="s">
        <v>1954</v>
      </c>
      <c r="CH39" s="73">
        <f t="shared" si="108"/>
        <v>0</v>
      </c>
      <c r="CI39" s="65"/>
      <c r="CJ39" s="74" t="s">
        <v>1958</v>
      </c>
      <c r="CK39" s="73">
        <f t="shared" si="107"/>
        <v>0</v>
      </c>
      <c r="CL39" s="65"/>
      <c r="CM39" s="74" t="s">
        <v>1954</v>
      </c>
      <c r="CN39" s="73">
        <f t="shared" si="107"/>
        <v>0</v>
      </c>
      <c r="CO39" s="65"/>
      <c r="CP39" s="74" t="s">
        <v>2001</v>
      </c>
      <c r="CQ39" s="73">
        <f t="shared" si="107"/>
        <v>0</v>
      </c>
      <c r="CR39" s="65"/>
      <c r="CS39" s="74" t="s">
        <v>1954</v>
      </c>
      <c r="CT39" s="73">
        <f t="shared" si="107"/>
        <v>0</v>
      </c>
      <c r="CU39" s="65"/>
      <c r="CV39" s="74" t="s">
        <v>1954</v>
      </c>
      <c r="CW39" s="73">
        <f t="shared" si="107"/>
        <v>0</v>
      </c>
      <c r="CX39" s="65"/>
      <c r="CY39" s="74" t="s">
        <v>1959</v>
      </c>
      <c r="CZ39" s="73">
        <f t="shared" si="107"/>
        <v>0</v>
      </c>
      <c r="DA39" s="65"/>
      <c r="DB39" s="74" t="s">
        <v>1958</v>
      </c>
      <c r="DC39" s="73">
        <f t="shared" si="107"/>
        <v>0</v>
      </c>
      <c r="DD39" s="65"/>
      <c r="DE39" s="74" t="s">
        <v>1958</v>
      </c>
      <c r="DF39" s="73">
        <f t="shared" si="107"/>
        <v>0</v>
      </c>
      <c r="DG39" s="65"/>
      <c r="DH39" s="74" t="s">
        <v>1954</v>
      </c>
      <c r="DI39" s="73">
        <f t="shared" si="107"/>
        <v>0</v>
      </c>
      <c r="DJ39" s="65"/>
      <c r="DK39" s="74" t="s">
        <v>1958</v>
      </c>
      <c r="DL39" s="73">
        <f t="shared" si="107"/>
        <v>0</v>
      </c>
      <c r="DM39" s="65"/>
      <c r="DN39" s="795" t="s">
        <v>1959</v>
      </c>
      <c r="DO39" s="73">
        <f t="shared" si="107"/>
        <v>0</v>
      </c>
      <c r="DP39" s="65"/>
      <c r="DQ39" s="795" t="s">
        <v>1942</v>
      </c>
      <c r="DR39" s="73">
        <f t="shared" si="107"/>
        <v>0</v>
      </c>
      <c r="DS39" s="65"/>
      <c r="DT39" s="74" t="s">
        <v>1958</v>
      </c>
      <c r="DU39" s="73">
        <f t="shared" si="107"/>
        <v>0</v>
      </c>
      <c r="DV39" s="65"/>
      <c r="DW39" s="74" t="s">
        <v>1958</v>
      </c>
      <c r="DX39" s="73">
        <f t="shared" si="109"/>
        <v>0</v>
      </c>
      <c r="DY39" s="65"/>
      <c r="DZ39" s="74" t="s">
        <v>1958</v>
      </c>
      <c r="EA39" s="73">
        <f t="shared" si="109"/>
        <v>0</v>
      </c>
      <c r="EB39" s="65"/>
      <c r="EC39" s="74" t="s">
        <v>1954</v>
      </c>
      <c r="ED39" s="73">
        <f t="shared" si="109"/>
        <v>0</v>
      </c>
      <c r="EE39" s="65"/>
      <c r="EF39" s="74" t="s">
        <v>1954</v>
      </c>
      <c r="EG39" s="73">
        <f t="shared" si="109"/>
        <v>0</v>
      </c>
      <c r="EH39" s="65"/>
      <c r="EI39" s="74" t="s">
        <v>1958</v>
      </c>
      <c r="EJ39" s="73">
        <f t="shared" si="109"/>
        <v>0</v>
      </c>
      <c r="EK39" s="65"/>
      <c r="EL39" s="74"/>
      <c r="EM39" s="73">
        <f t="shared" si="109"/>
        <v>0</v>
      </c>
      <c r="EN39" s="65"/>
      <c r="EO39" s="74"/>
      <c r="EP39" s="73">
        <f t="shared" si="109"/>
        <v>0</v>
      </c>
      <c r="EQ39" s="65"/>
      <c r="ER39" s="74"/>
      <c r="ES39" s="73">
        <f t="shared" si="109"/>
        <v>0</v>
      </c>
      <c r="ET39" s="65"/>
      <c r="EU39" s="74"/>
      <c r="EV39" s="73">
        <f t="shared" si="109"/>
        <v>0</v>
      </c>
      <c r="EW39" s="65"/>
      <c r="EX39" s="74"/>
      <c r="EY39" s="73">
        <f t="shared" si="109"/>
        <v>0</v>
      </c>
      <c r="EZ39" s="65"/>
      <c r="FA39" s="74"/>
      <c r="FB39" s="73">
        <f t="shared" si="109"/>
        <v>0</v>
      </c>
      <c r="FC39" s="65"/>
      <c r="FD39" s="74"/>
      <c r="FE39" s="73">
        <f t="shared" si="109"/>
        <v>0</v>
      </c>
      <c r="FF39" s="65"/>
      <c r="FG39" s="74"/>
      <c r="FH39" s="73">
        <f t="shared" si="109"/>
        <v>0</v>
      </c>
      <c r="FI39" s="65"/>
      <c r="FJ39" s="74"/>
      <c r="FK39" s="73">
        <f t="shared" si="109"/>
        <v>0</v>
      </c>
      <c r="FL39" s="65"/>
      <c r="FM39" s="65"/>
    </row>
    <row r="40" spans="1:169">
      <c r="A40" s="49"/>
      <c r="B40" s="49"/>
      <c r="C40" s="437" t="str">
        <f>Idiomas!D336</f>
        <v>Subcampeón</v>
      </c>
      <c r="D40" s="62">
        <v>15</v>
      </c>
      <c r="E40" s="111"/>
      <c r="F40" s="445">
        <f t="shared" si="97"/>
        <v>4</v>
      </c>
      <c r="G40" s="445">
        <f ca="1">VLOOKUP(H40,Equipos!$Q$1:$R$25,2,0)</f>
        <v>10</v>
      </c>
      <c r="H40" s="446">
        <f ca="1">TRUNC(INDEX(WORLDCUP!$X$4:$X$147,MATCH(ADMIN!K40,WORLDCUP!$DT$4:$DT$147,0))+INDEX(Horarios!$R$3:$R$86,MATCH(Horarios!$C$3,Horarios!$P$3:$P$86,0))/24)</f>
        <v>46193</v>
      </c>
      <c r="I40" s="48">
        <v>1</v>
      </c>
      <c r="J40" s="96" t="s">
        <v>123</v>
      </c>
      <c r="K40" s="53" t="str">
        <f ca="1">CONCATENATE(WORLDCUP!AA46,"-",WORLDCUP!AF46)</f>
        <v>Países Bajos-Suecia</v>
      </c>
      <c r="L40" s="53"/>
      <c r="M40" s="55" t="str">
        <f>IF(OR(WORLDCUP!AC46="",WORLDCUP!AD46=""),"-",N40&amp;"|"&amp;O40&amp;"-"&amp;P40)</f>
        <v>-</v>
      </c>
      <c r="N40" s="25" t="str">
        <f>IF(OR(WORLDCUP!AC46="",WORLDCUP!AD46=""),"",IF(WORLDCUP!AC46&gt;WORLDCUP!AD46,"1",IF(WORLDCUP!AC46&lt;WORLDCUP!AD46,"2","X")))</f>
        <v/>
      </c>
      <c r="O40" s="25">
        <f>WORLDCUP!AC46</f>
        <v>0</v>
      </c>
      <c r="P40" s="25">
        <f>WORLDCUP!AD46</f>
        <v>0</v>
      </c>
      <c r="Q40" s="25">
        <f t="shared" si="101"/>
        <v>0</v>
      </c>
      <c r="R40" s="49"/>
      <c r="S40" s="74" t="s">
        <v>1954</v>
      </c>
      <c r="T40" s="73">
        <f t="shared" si="98"/>
        <v>0</v>
      </c>
      <c r="U40" s="65"/>
      <c r="V40" s="74" t="s">
        <v>1948</v>
      </c>
      <c r="W40" s="73">
        <f t="shared" si="99"/>
        <v>0</v>
      </c>
      <c r="X40" s="65"/>
      <c r="Y40" s="74" t="s">
        <v>1954</v>
      </c>
      <c r="Z40" s="73">
        <f t="shared" si="108"/>
        <v>0</v>
      </c>
      <c r="AA40" s="65"/>
      <c r="AB40" s="74" t="s">
        <v>1948</v>
      </c>
      <c r="AC40" s="73">
        <f t="shared" si="108"/>
        <v>0</v>
      </c>
      <c r="AD40" s="65"/>
      <c r="AE40" s="74" t="s">
        <v>1954</v>
      </c>
      <c r="AF40" s="73">
        <f t="shared" si="108"/>
        <v>0</v>
      </c>
      <c r="AG40" s="65"/>
      <c r="AH40" s="74" t="s">
        <v>1956</v>
      </c>
      <c r="AI40" s="73">
        <f t="shared" si="108"/>
        <v>0</v>
      </c>
      <c r="AJ40" s="65"/>
      <c r="AK40" s="74" t="s">
        <v>1954</v>
      </c>
      <c r="AL40" s="73">
        <f t="shared" si="108"/>
        <v>0</v>
      </c>
      <c r="AM40" s="65"/>
      <c r="AN40" s="74" t="s">
        <v>1954</v>
      </c>
      <c r="AO40" s="73">
        <f t="shared" si="108"/>
        <v>0</v>
      </c>
      <c r="AP40" s="65"/>
      <c r="AQ40" s="74" t="s">
        <v>1946</v>
      </c>
      <c r="AR40" s="73">
        <f t="shared" si="108"/>
        <v>0</v>
      </c>
      <c r="AS40" s="65"/>
      <c r="AT40" s="74" t="s">
        <v>1946</v>
      </c>
      <c r="AU40" s="73">
        <f t="shared" si="108"/>
        <v>0</v>
      </c>
      <c r="AV40" s="65"/>
      <c r="AW40" s="74" t="s">
        <v>1954</v>
      </c>
      <c r="AX40" s="73">
        <f t="shared" si="108"/>
        <v>0</v>
      </c>
      <c r="AY40" s="65"/>
      <c r="AZ40" s="74" t="s">
        <v>1954</v>
      </c>
      <c r="BA40" s="73">
        <f t="shared" si="108"/>
        <v>0</v>
      </c>
      <c r="BB40" s="65"/>
      <c r="BC40" s="74" t="s">
        <v>1948</v>
      </c>
      <c r="BD40" s="73">
        <f t="shared" si="108"/>
        <v>0</v>
      </c>
      <c r="BE40" s="65"/>
      <c r="BF40" s="74" t="s">
        <v>1954</v>
      </c>
      <c r="BG40" s="73">
        <f t="shared" si="108"/>
        <v>0</v>
      </c>
      <c r="BH40" s="65"/>
      <c r="BI40" s="74" t="s">
        <v>1954</v>
      </c>
      <c r="BJ40" s="73">
        <f t="shared" si="108"/>
        <v>0</v>
      </c>
      <c r="BK40" s="65"/>
      <c r="BL40" s="74" t="s">
        <v>1948</v>
      </c>
      <c r="BM40" s="73">
        <f t="shared" si="108"/>
        <v>0</v>
      </c>
      <c r="BN40" s="65"/>
      <c r="BO40" s="74" t="s">
        <v>1946</v>
      </c>
      <c r="BP40" s="73">
        <f t="shared" si="108"/>
        <v>0</v>
      </c>
      <c r="BQ40" s="65"/>
      <c r="BR40" s="74" t="s">
        <v>1954</v>
      </c>
      <c r="BS40" s="73">
        <f t="shared" si="108"/>
        <v>0</v>
      </c>
      <c r="BT40" s="65"/>
      <c r="BU40" s="74" t="s">
        <v>1944</v>
      </c>
      <c r="BV40" s="73">
        <f t="shared" si="108"/>
        <v>0</v>
      </c>
      <c r="BW40" s="65"/>
      <c r="BX40" s="74" t="s">
        <v>1942</v>
      </c>
      <c r="BY40" s="73">
        <f t="shared" si="108"/>
        <v>0</v>
      </c>
      <c r="BZ40" s="65"/>
      <c r="CA40" s="74" t="s">
        <v>1948</v>
      </c>
      <c r="CB40" s="73">
        <f t="shared" si="108"/>
        <v>0</v>
      </c>
      <c r="CC40" s="65"/>
      <c r="CD40" s="74" t="s">
        <v>1942</v>
      </c>
      <c r="CE40" s="73">
        <f t="shared" si="108"/>
        <v>0</v>
      </c>
      <c r="CF40" s="65"/>
      <c r="CG40" s="74" t="s">
        <v>1948</v>
      </c>
      <c r="CH40" s="73">
        <f t="shared" si="108"/>
        <v>0</v>
      </c>
      <c r="CI40" s="65"/>
      <c r="CJ40" s="74" t="s">
        <v>1942</v>
      </c>
      <c r="CK40" s="73">
        <f t="shared" si="107"/>
        <v>0</v>
      </c>
      <c r="CL40" s="65"/>
      <c r="CM40" s="74" t="s">
        <v>1948</v>
      </c>
      <c r="CN40" s="73">
        <f t="shared" si="107"/>
        <v>0</v>
      </c>
      <c r="CO40" s="65"/>
      <c r="CP40" s="74" t="s">
        <v>1948</v>
      </c>
      <c r="CQ40" s="73">
        <f t="shared" si="107"/>
        <v>0</v>
      </c>
      <c r="CR40" s="65"/>
      <c r="CS40" s="74" t="s">
        <v>1954</v>
      </c>
      <c r="CT40" s="73">
        <f t="shared" si="107"/>
        <v>0</v>
      </c>
      <c r="CU40" s="65"/>
      <c r="CV40" s="74" t="s">
        <v>1948</v>
      </c>
      <c r="CW40" s="73">
        <f t="shared" si="107"/>
        <v>0</v>
      </c>
      <c r="CX40" s="65"/>
      <c r="CY40" s="74" t="s">
        <v>1946</v>
      </c>
      <c r="CZ40" s="73">
        <f t="shared" si="107"/>
        <v>0</v>
      </c>
      <c r="DA40" s="65"/>
      <c r="DB40" s="74" t="s">
        <v>1946</v>
      </c>
      <c r="DC40" s="73">
        <f t="shared" si="107"/>
        <v>0</v>
      </c>
      <c r="DD40" s="65"/>
      <c r="DE40" s="74" t="s">
        <v>1948</v>
      </c>
      <c r="DF40" s="73">
        <f t="shared" si="107"/>
        <v>0</v>
      </c>
      <c r="DG40" s="65"/>
      <c r="DH40" s="74" t="s">
        <v>1948</v>
      </c>
      <c r="DI40" s="73">
        <f t="shared" si="107"/>
        <v>0</v>
      </c>
      <c r="DJ40" s="65"/>
      <c r="DK40" s="74" t="s">
        <v>1948</v>
      </c>
      <c r="DL40" s="73">
        <f t="shared" si="107"/>
        <v>0</v>
      </c>
      <c r="DM40" s="65"/>
      <c r="DN40" s="795" t="s">
        <v>1942</v>
      </c>
      <c r="DO40" s="73">
        <f t="shared" si="107"/>
        <v>0</v>
      </c>
      <c r="DP40" s="65"/>
      <c r="DQ40" s="795" t="s">
        <v>1946</v>
      </c>
      <c r="DR40" s="73">
        <f t="shared" si="107"/>
        <v>0</v>
      </c>
      <c r="DS40" s="65"/>
      <c r="DT40" s="74" t="s">
        <v>1946</v>
      </c>
      <c r="DU40" s="73">
        <f t="shared" si="107"/>
        <v>0</v>
      </c>
      <c r="DV40" s="65"/>
      <c r="DW40" s="74" t="s">
        <v>1948</v>
      </c>
      <c r="DX40" s="73">
        <f t="shared" si="109"/>
        <v>0</v>
      </c>
      <c r="DY40" s="65"/>
      <c r="DZ40" s="74" t="s">
        <v>1954</v>
      </c>
      <c r="EA40" s="73">
        <f t="shared" si="109"/>
        <v>0</v>
      </c>
      <c r="EB40" s="65"/>
      <c r="EC40" s="74" t="s">
        <v>1948</v>
      </c>
      <c r="ED40" s="73">
        <f t="shared" si="109"/>
        <v>0</v>
      </c>
      <c r="EE40" s="65"/>
      <c r="EF40" s="74" t="s">
        <v>1948</v>
      </c>
      <c r="EG40" s="73">
        <f t="shared" si="109"/>
        <v>0</v>
      </c>
      <c r="EH40" s="65"/>
      <c r="EI40" s="74" t="s">
        <v>1948</v>
      </c>
      <c r="EJ40" s="73">
        <f t="shared" si="109"/>
        <v>0</v>
      </c>
      <c r="EK40" s="65"/>
      <c r="EL40" s="74"/>
      <c r="EM40" s="73">
        <f t="shared" si="109"/>
        <v>0</v>
      </c>
      <c r="EN40" s="65"/>
      <c r="EO40" s="74"/>
      <c r="EP40" s="73">
        <f t="shared" si="109"/>
        <v>0</v>
      </c>
      <c r="EQ40" s="65"/>
      <c r="ER40" s="74"/>
      <c r="ES40" s="73">
        <f t="shared" si="109"/>
        <v>0</v>
      </c>
      <c r="ET40" s="65"/>
      <c r="EU40" s="74"/>
      <c r="EV40" s="73">
        <f t="shared" si="109"/>
        <v>0</v>
      </c>
      <c r="EW40" s="65"/>
      <c r="EX40" s="74"/>
      <c r="EY40" s="73">
        <f t="shared" si="109"/>
        <v>0</v>
      </c>
      <c r="EZ40" s="65"/>
      <c r="FA40" s="74"/>
      <c r="FB40" s="73">
        <f t="shared" si="109"/>
        <v>0</v>
      </c>
      <c r="FC40" s="65"/>
      <c r="FD40" s="74"/>
      <c r="FE40" s="73">
        <f t="shared" si="109"/>
        <v>0</v>
      </c>
      <c r="FF40" s="65"/>
      <c r="FG40" s="74"/>
      <c r="FH40" s="73">
        <f t="shared" si="109"/>
        <v>0</v>
      </c>
      <c r="FI40" s="65"/>
      <c r="FJ40" s="74"/>
      <c r="FK40" s="73">
        <f t="shared" si="109"/>
        <v>0</v>
      </c>
      <c r="FL40" s="65"/>
      <c r="FM40" s="65"/>
    </row>
    <row r="41" spans="1:169">
      <c r="A41" s="49"/>
      <c r="B41" s="49"/>
      <c r="C41" s="438" t="str">
        <f>Idiomas!D337</f>
        <v>3º puesto</v>
      </c>
      <c r="D41" s="44">
        <v>10</v>
      </c>
      <c r="E41" s="111"/>
      <c r="F41" s="445">
        <f t="shared" si="97"/>
        <v>4</v>
      </c>
      <c r="G41" s="445">
        <f ca="1">VLOOKUP(H41,Equipos!$Q$1:$R$25,2,0)</f>
        <v>11</v>
      </c>
      <c r="H41" s="446">
        <f ca="1">TRUNC(INDEX(WORLDCUP!$X$4:$X$147,MATCH(ADMIN!K41,WORLDCUP!$DT$4:$DT$147,0))+INDEX(Horarios!$R$3:$R$86,MATCH(Horarios!$C$3,Horarios!$P$3:$P$86,0))/24)</f>
        <v>46194</v>
      </c>
      <c r="I41" s="48">
        <v>1</v>
      </c>
      <c r="J41" s="96" t="s">
        <v>123</v>
      </c>
      <c r="K41" s="56" t="str">
        <f ca="1">CONCATENATE(WORLDCUP!AA47,"-",WORLDCUP!AF47)</f>
        <v>Túnez-Japón</v>
      </c>
      <c r="L41" s="53"/>
      <c r="M41" s="55" t="str">
        <f>IF(OR(WORLDCUP!AC47="",WORLDCUP!AD47=""),"-",N41&amp;"|"&amp;O41&amp;"-"&amp;P41)</f>
        <v>-</v>
      </c>
      <c r="N41" s="25" t="str">
        <f>IF(OR(WORLDCUP!AC47="",WORLDCUP!AD47=""),"",IF(WORLDCUP!AC47&gt;WORLDCUP!AD47,"1",IF(WORLDCUP!AC47&lt;WORLDCUP!AD47,"2","X")))</f>
        <v/>
      </c>
      <c r="O41" s="25">
        <f>WORLDCUP!AC47</f>
        <v>0</v>
      </c>
      <c r="P41" s="25">
        <f>WORLDCUP!AD47</f>
        <v>0</v>
      </c>
      <c r="Q41" s="25">
        <f t="shared" si="101"/>
        <v>0</v>
      </c>
      <c r="R41" s="49"/>
      <c r="S41" s="74" t="s">
        <v>1944</v>
      </c>
      <c r="T41" s="73">
        <f t="shared" si="98"/>
        <v>0</v>
      </c>
      <c r="U41" s="65"/>
      <c r="V41" s="74" t="s">
        <v>1960</v>
      </c>
      <c r="W41" s="73">
        <f t="shared" si="99"/>
        <v>0</v>
      </c>
      <c r="X41" s="65"/>
      <c r="Y41" s="74" t="s">
        <v>1946</v>
      </c>
      <c r="Z41" s="73">
        <f t="shared" si="108"/>
        <v>0</v>
      </c>
      <c r="AA41" s="65"/>
      <c r="AB41" s="74" t="s">
        <v>1946</v>
      </c>
      <c r="AC41" s="73">
        <f t="shared" si="108"/>
        <v>0</v>
      </c>
      <c r="AD41" s="65"/>
      <c r="AE41" s="74" t="s">
        <v>1960</v>
      </c>
      <c r="AF41" s="73">
        <f t="shared" si="108"/>
        <v>0</v>
      </c>
      <c r="AG41" s="65"/>
      <c r="AH41" s="74" t="s">
        <v>1945</v>
      </c>
      <c r="AI41" s="73">
        <f t="shared" si="108"/>
        <v>0</v>
      </c>
      <c r="AJ41" s="65"/>
      <c r="AK41" s="74" t="s">
        <v>1949</v>
      </c>
      <c r="AL41" s="73">
        <f t="shared" si="108"/>
        <v>0</v>
      </c>
      <c r="AM41" s="65"/>
      <c r="AN41" s="74" t="s">
        <v>1957</v>
      </c>
      <c r="AO41" s="73">
        <f t="shared" si="108"/>
        <v>0</v>
      </c>
      <c r="AP41" s="65"/>
      <c r="AQ41" s="74" t="s">
        <v>1960</v>
      </c>
      <c r="AR41" s="73">
        <f t="shared" si="108"/>
        <v>0</v>
      </c>
      <c r="AS41" s="65"/>
      <c r="AT41" s="74" t="s">
        <v>1952</v>
      </c>
      <c r="AU41" s="73">
        <f t="shared" si="108"/>
        <v>0</v>
      </c>
      <c r="AV41" s="65"/>
      <c r="AW41" s="74" t="s">
        <v>1960</v>
      </c>
      <c r="AX41" s="73">
        <f t="shared" si="108"/>
        <v>0</v>
      </c>
      <c r="AY41" s="65"/>
      <c r="AZ41" s="74" t="s">
        <v>1952</v>
      </c>
      <c r="BA41" s="73">
        <f t="shared" si="108"/>
        <v>0</v>
      </c>
      <c r="BB41" s="65"/>
      <c r="BC41" s="74" t="s">
        <v>1960</v>
      </c>
      <c r="BD41" s="73">
        <f t="shared" si="108"/>
        <v>0</v>
      </c>
      <c r="BE41" s="65"/>
      <c r="BF41" s="74" t="s">
        <v>1949</v>
      </c>
      <c r="BG41" s="73">
        <f t="shared" si="108"/>
        <v>0</v>
      </c>
      <c r="BH41" s="65"/>
      <c r="BI41" s="74" t="s">
        <v>1946</v>
      </c>
      <c r="BJ41" s="73">
        <f t="shared" si="108"/>
        <v>0</v>
      </c>
      <c r="BK41" s="65"/>
      <c r="BL41" s="74" t="s">
        <v>1949</v>
      </c>
      <c r="BM41" s="73">
        <f t="shared" si="108"/>
        <v>0</v>
      </c>
      <c r="BN41" s="65"/>
      <c r="BO41" s="74" t="s">
        <v>1952</v>
      </c>
      <c r="BP41" s="73">
        <f t="shared" si="108"/>
        <v>0</v>
      </c>
      <c r="BQ41" s="65"/>
      <c r="BR41" s="74" t="s">
        <v>1949</v>
      </c>
      <c r="BS41" s="73">
        <f t="shared" si="108"/>
        <v>0</v>
      </c>
      <c r="BT41" s="65"/>
      <c r="BU41" s="74" t="s">
        <v>1945</v>
      </c>
      <c r="BV41" s="73">
        <f t="shared" si="108"/>
        <v>0</v>
      </c>
      <c r="BW41" s="65"/>
      <c r="BX41" s="74" t="s">
        <v>1944</v>
      </c>
      <c r="BY41" s="73">
        <f t="shared" si="108"/>
        <v>0</v>
      </c>
      <c r="BZ41" s="65"/>
      <c r="CA41" s="74" t="s">
        <v>1960</v>
      </c>
      <c r="CB41" s="73">
        <f t="shared" si="108"/>
        <v>0</v>
      </c>
      <c r="CC41" s="65"/>
      <c r="CD41" s="74" t="s">
        <v>1949</v>
      </c>
      <c r="CE41" s="73">
        <f t="shared" si="108"/>
        <v>0</v>
      </c>
      <c r="CF41" s="65"/>
      <c r="CG41" s="74" t="s">
        <v>1960</v>
      </c>
      <c r="CH41" s="73">
        <f t="shared" si="108"/>
        <v>0</v>
      </c>
      <c r="CI41" s="65"/>
      <c r="CJ41" s="74" t="s">
        <v>1960</v>
      </c>
      <c r="CK41" s="73">
        <f t="shared" si="107"/>
        <v>0</v>
      </c>
      <c r="CL41" s="65"/>
      <c r="CM41" s="74" t="s">
        <v>1952</v>
      </c>
      <c r="CN41" s="73">
        <f t="shared" si="107"/>
        <v>0</v>
      </c>
      <c r="CO41" s="65"/>
      <c r="CP41" s="74" t="s">
        <v>1952</v>
      </c>
      <c r="CQ41" s="73">
        <f t="shared" si="107"/>
        <v>0</v>
      </c>
      <c r="CR41" s="65"/>
      <c r="CS41" s="74" t="s">
        <v>1949</v>
      </c>
      <c r="CT41" s="73">
        <f t="shared" si="107"/>
        <v>0</v>
      </c>
      <c r="CU41" s="65"/>
      <c r="CV41" s="74" t="s">
        <v>1946</v>
      </c>
      <c r="CW41" s="73">
        <f t="shared" si="107"/>
        <v>0</v>
      </c>
      <c r="CX41" s="65"/>
      <c r="CY41" s="74" t="s">
        <v>1946</v>
      </c>
      <c r="CZ41" s="73">
        <f t="shared" si="107"/>
        <v>0</v>
      </c>
      <c r="DA41" s="65"/>
      <c r="DB41" s="74" t="s">
        <v>1949</v>
      </c>
      <c r="DC41" s="73">
        <f t="shared" si="107"/>
        <v>0</v>
      </c>
      <c r="DD41" s="65"/>
      <c r="DE41" s="74" t="s">
        <v>1960</v>
      </c>
      <c r="DF41" s="73">
        <f t="shared" si="107"/>
        <v>0</v>
      </c>
      <c r="DG41" s="65"/>
      <c r="DH41" s="74" t="s">
        <v>1960</v>
      </c>
      <c r="DI41" s="73">
        <f t="shared" si="107"/>
        <v>0</v>
      </c>
      <c r="DJ41" s="65"/>
      <c r="DK41" s="74" t="s">
        <v>1946</v>
      </c>
      <c r="DL41" s="73">
        <f t="shared" si="107"/>
        <v>0</v>
      </c>
      <c r="DM41" s="65"/>
      <c r="DN41" s="795" t="s">
        <v>1945</v>
      </c>
      <c r="DO41" s="73">
        <f t="shared" si="107"/>
        <v>0</v>
      </c>
      <c r="DP41" s="65"/>
      <c r="DQ41" s="795" t="s">
        <v>1949</v>
      </c>
      <c r="DR41" s="73">
        <f t="shared" si="107"/>
        <v>0</v>
      </c>
      <c r="DS41" s="65"/>
      <c r="DT41" s="74" t="s">
        <v>1949</v>
      </c>
      <c r="DU41" s="73">
        <f t="shared" si="107"/>
        <v>0</v>
      </c>
      <c r="DV41" s="65"/>
      <c r="DW41" s="74" t="s">
        <v>1945</v>
      </c>
      <c r="DX41" s="73">
        <f t="shared" si="109"/>
        <v>0</v>
      </c>
      <c r="DY41" s="65"/>
      <c r="DZ41" s="74" t="s">
        <v>1949</v>
      </c>
      <c r="EA41" s="73">
        <f t="shared" si="109"/>
        <v>0</v>
      </c>
      <c r="EB41" s="65"/>
      <c r="EC41" s="74" t="s">
        <v>1942</v>
      </c>
      <c r="ED41" s="73">
        <f t="shared" si="109"/>
        <v>0</v>
      </c>
      <c r="EE41" s="65"/>
      <c r="EF41" s="74" t="s">
        <v>1957</v>
      </c>
      <c r="EG41" s="73">
        <f t="shared" si="109"/>
        <v>0</v>
      </c>
      <c r="EH41" s="65"/>
      <c r="EI41" s="74" t="s">
        <v>1949</v>
      </c>
      <c r="EJ41" s="73">
        <f t="shared" si="109"/>
        <v>0</v>
      </c>
      <c r="EK41" s="65"/>
      <c r="EL41" s="74"/>
      <c r="EM41" s="73">
        <f t="shared" si="109"/>
        <v>0</v>
      </c>
      <c r="EN41" s="65"/>
      <c r="EO41" s="74"/>
      <c r="EP41" s="73">
        <f t="shared" si="109"/>
        <v>0</v>
      </c>
      <c r="EQ41" s="65"/>
      <c r="ER41" s="74"/>
      <c r="ES41" s="73">
        <f t="shared" si="109"/>
        <v>0</v>
      </c>
      <c r="ET41" s="65"/>
      <c r="EU41" s="74"/>
      <c r="EV41" s="73">
        <f t="shared" si="109"/>
        <v>0</v>
      </c>
      <c r="EW41" s="65"/>
      <c r="EX41" s="74"/>
      <c r="EY41" s="73">
        <f t="shared" si="109"/>
        <v>0</v>
      </c>
      <c r="EZ41" s="65"/>
      <c r="FA41" s="74"/>
      <c r="FB41" s="73">
        <f t="shared" si="109"/>
        <v>0</v>
      </c>
      <c r="FC41" s="65"/>
      <c r="FD41" s="74"/>
      <c r="FE41" s="73">
        <f t="shared" si="109"/>
        <v>0</v>
      </c>
      <c r="FF41" s="65"/>
      <c r="FG41" s="74"/>
      <c r="FH41" s="73">
        <f t="shared" si="109"/>
        <v>0</v>
      </c>
      <c r="FI41" s="65"/>
      <c r="FJ41" s="74"/>
      <c r="FK41" s="73">
        <f t="shared" si="109"/>
        <v>0</v>
      </c>
      <c r="FL41" s="65"/>
      <c r="FM41" s="65"/>
    </row>
    <row r="42" spans="1:169">
      <c r="A42" s="49"/>
      <c r="B42" s="49"/>
      <c r="C42" s="437" t="str">
        <f>Idiomas!D338</f>
        <v>Bota de Oro  (máximo goleador)</v>
      </c>
      <c r="D42" s="62">
        <v>20</v>
      </c>
      <c r="E42" s="111"/>
      <c r="F42" s="445">
        <f t="shared" si="97"/>
        <v>4</v>
      </c>
      <c r="G42" s="445">
        <f ca="1">VLOOKUP(H42,Equipos!$Q$1:$R$25,2,0)</f>
        <v>11</v>
      </c>
      <c r="H42" s="446">
        <f ca="1">TRUNC(INDEX(WORLDCUP!$X$4:$X$147,MATCH(ADMIN!K42,WORLDCUP!$DT$4:$DT$147,0))+INDEX(Horarios!$R$3:$R$86,MATCH(Horarios!$C$3,Horarios!$P$3:$P$86,0))/24)</f>
        <v>46194</v>
      </c>
      <c r="I42" s="48">
        <v>1</v>
      </c>
      <c r="J42" s="95" t="s">
        <v>511</v>
      </c>
      <c r="K42" s="53" t="str">
        <f ca="1">CONCATENATE(WORLDCUP!AA54,"-",WORLDCUP!AF54)</f>
        <v>Bélgica-Irán</v>
      </c>
      <c r="L42" s="53"/>
      <c r="M42" s="55" t="str">
        <f>IF(OR(WORLDCUP!AC54="",WORLDCUP!AD54=""),"-",N42&amp;"|"&amp;O42&amp;"-"&amp;P42)</f>
        <v>-</v>
      </c>
      <c r="N42" s="25" t="str">
        <f>IF(OR(WORLDCUP!AC54="",WORLDCUP!AD54=""),"",IF(WORLDCUP!AC54&gt;WORLDCUP!AD54,"1",IF(WORLDCUP!AC54&lt;WORLDCUP!AD54,"2","X")))</f>
        <v/>
      </c>
      <c r="O42" s="25">
        <f>WORLDCUP!AC54</f>
        <v>0</v>
      </c>
      <c r="P42" s="25">
        <f>WORLDCUP!AD54</f>
        <v>0</v>
      </c>
      <c r="Q42" s="25">
        <f t="shared" si="101"/>
        <v>0</v>
      </c>
      <c r="R42" s="49"/>
      <c r="S42" s="76" t="s">
        <v>1954</v>
      </c>
      <c r="T42" s="77">
        <f>IFERROR(IF($M42=S42,($D$8+$D$9+$D$10)*$I42,IF($N42=LEFT(S42,1),($D$8+MAX(0,IF($D$50=1,$D$9*(1-(ABS($Q42-ABS(VALUE(MID(S42,FIND("|",S42)+1,FIND("-",S42)-FIND("|",S42)-1))-VALUE(MID(S42,FIND("-",S42)+1,10)))))*$D$50),$D$9*(1-(IF($N42="X",ABS($O42-VALUE(MID(S42,FIND("|",S42)+1,FIND("-",S42)-FIND("|",S42)-1))),ABS($Q42-ABS(VALUE(MID(S42,FIND("|",S42)+1,FIND("-",S42)-FIND("|",S42)-1))-VALUE(MID(S42,FIND("-",S42)+1,10)))))*$D$50)))))*$I42,0)),0)</f>
        <v>0</v>
      </c>
      <c r="U42" s="65"/>
      <c r="V42" s="76" t="s">
        <v>1954</v>
      </c>
      <c r="W42" s="77">
        <f>IFERROR(IF($M42=V42,($D$8+$D$9+$D$10)*$I42,IF($N42=LEFT(V42,1),($D$8+MAX(0,IF($D$50=1,$D$9*(1-(ABS($Q42-ABS(VALUE(MID(V42,FIND("|",V42)+1,FIND("-",V42)-FIND("|",V42)-1))-VALUE(MID(V42,FIND("-",V42)+1,10)))))*$D$50),$D$9*(1-(IF($N42="X",ABS($O42-VALUE(MID(V42,FIND("|",V42)+1,FIND("-",V42)-FIND("|",V42)-1))),ABS($Q42-ABS(VALUE(MID(V42,FIND("|",V42)+1,FIND("-",V42)-FIND("|",V42)-1))-VALUE(MID(V42,FIND("-",V42)+1,10)))))*$D$50)))))*$I42,0)),0)</f>
        <v>0</v>
      </c>
      <c r="X42" s="65"/>
      <c r="Y42" s="76" t="s">
        <v>1943</v>
      </c>
      <c r="Z42" s="77">
        <f t="shared" si="108"/>
        <v>0</v>
      </c>
      <c r="AA42" s="65"/>
      <c r="AB42" s="76" t="s">
        <v>1942</v>
      </c>
      <c r="AC42" s="77">
        <f t="shared" si="108"/>
        <v>0</v>
      </c>
      <c r="AD42" s="65"/>
      <c r="AE42" s="76" t="s">
        <v>1946</v>
      </c>
      <c r="AF42" s="77">
        <f t="shared" si="108"/>
        <v>0</v>
      </c>
      <c r="AG42" s="65"/>
      <c r="AH42" s="76" t="s">
        <v>1943</v>
      </c>
      <c r="AI42" s="77">
        <f t="shared" si="108"/>
        <v>0</v>
      </c>
      <c r="AJ42" s="65"/>
      <c r="AK42" s="76" t="s">
        <v>1954</v>
      </c>
      <c r="AL42" s="77">
        <f t="shared" si="108"/>
        <v>0</v>
      </c>
      <c r="AM42" s="65"/>
      <c r="AN42" s="76" t="s">
        <v>1942</v>
      </c>
      <c r="AO42" s="77">
        <f t="shared" si="108"/>
        <v>0</v>
      </c>
      <c r="AP42" s="65"/>
      <c r="AQ42" s="76" t="s">
        <v>1958</v>
      </c>
      <c r="AR42" s="77">
        <f t="shared" si="108"/>
        <v>0</v>
      </c>
      <c r="AS42" s="65"/>
      <c r="AT42" s="76" t="s">
        <v>1954</v>
      </c>
      <c r="AU42" s="77">
        <f t="shared" si="108"/>
        <v>0</v>
      </c>
      <c r="AV42" s="65"/>
      <c r="AW42" s="76" t="s">
        <v>1958</v>
      </c>
      <c r="AX42" s="77">
        <f t="shared" si="108"/>
        <v>0</v>
      </c>
      <c r="AY42" s="65"/>
      <c r="AZ42" s="76" t="s">
        <v>1958</v>
      </c>
      <c r="BA42" s="77">
        <f t="shared" si="108"/>
        <v>0</v>
      </c>
      <c r="BB42" s="65"/>
      <c r="BC42" s="76" t="s">
        <v>1954</v>
      </c>
      <c r="BD42" s="77">
        <f t="shared" si="108"/>
        <v>0</v>
      </c>
      <c r="BE42" s="65"/>
      <c r="BF42" s="76" t="s">
        <v>1954</v>
      </c>
      <c r="BG42" s="77">
        <f t="shared" si="108"/>
        <v>0</v>
      </c>
      <c r="BH42" s="65"/>
      <c r="BI42" s="76" t="s">
        <v>1943</v>
      </c>
      <c r="BJ42" s="77">
        <f t="shared" ref="BJ42:DU53" si="110">IFERROR(IF($M42=BI42,($D$8+$D$9+$D$10)*$I42,IF($N42=LEFT(BI42,1),($D$8+MAX(0,IF($D$50=1,$D$9*(1-(ABS($Q42-ABS(VALUE(MID(BI42,FIND("|",BI42)+1,FIND("-",BI42)-FIND("|",BI42)-1))-VALUE(MID(BI42,FIND("-",BI42)+1,10)))))*$D$50),$D$9*(1-(IF($N42="X",ABS($O42-VALUE(MID(BI42,FIND("|",BI42)+1,FIND("-",BI42)-FIND("|",BI42)-1))),ABS($Q42-ABS(VALUE(MID(BI42,FIND("|",BI42)+1,FIND("-",BI42)-FIND("|",BI42)-1))-VALUE(MID(BI42,FIND("-",BI42)+1,10)))))*$D$50)))))*$I42,0)),0)</f>
        <v>0</v>
      </c>
      <c r="BK42" s="65"/>
      <c r="BL42" s="76" t="s">
        <v>1948</v>
      </c>
      <c r="BM42" s="77">
        <f t="shared" si="110"/>
        <v>0</v>
      </c>
      <c r="BN42" s="65"/>
      <c r="BO42" s="76" t="s">
        <v>1954</v>
      </c>
      <c r="BP42" s="77">
        <f t="shared" si="110"/>
        <v>0</v>
      </c>
      <c r="BQ42" s="65"/>
      <c r="BR42" s="76" t="s">
        <v>1954</v>
      </c>
      <c r="BS42" s="77">
        <f t="shared" si="110"/>
        <v>0</v>
      </c>
      <c r="BT42" s="65"/>
      <c r="BU42" s="76" t="s">
        <v>1958</v>
      </c>
      <c r="BV42" s="77">
        <f t="shared" si="110"/>
        <v>0</v>
      </c>
      <c r="BW42" s="65"/>
      <c r="BX42" s="76" t="s">
        <v>1954</v>
      </c>
      <c r="BY42" s="77">
        <f t="shared" si="110"/>
        <v>0</v>
      </c>
      <c r="BZ42" s="65"/>
      <c r="CA42" s="76" t="s">
        <v>1954</v>
      </c>
      <c r="CB42" s="77">
        <f t="shared" si="110"/>
        <v>0</v>
      </c>
      <c r="CC42" s="65"/>
      <c r="CD42" s="76" t="s">
        <v>1942</v>
      </c>
      <c r="CE42" s="77">
        <f t="shared" si="110"/>
        <v>0</v>
      </c>
      <c r="CF42" s="65"/>
      <c r="CG42" s="76" t="s">
        <v>1946</v>
      </c>
      <c r="CH42" s="77">
        <f t="shared" si="110"/>
        <v>0</v>
      </c>
      <c r="CI42" s="65"/>
      <c r="CJ42" s="76" t="s">
        <v>1958</v>
      </c>
      <c r="CK42" s="77">
        <f t="shared" si="110"/>
        <v>0</v>
      </c>
      <c r="CL42" s="65"/>
      <c r="CM42" s="76" t="s">
        <v>1943</v>
      </c>
      <c r="CN42" s="77">
        <f t="shared" si="110"/>
        <v>0</v>
      </c>
      <c r="CO42" s="65"/>
      <c r="CP42" s="76" t="s">
        <v>1954</v>
      </c>
      <c r="CQ42" s="77">
        <f t="shared" si="110"/>
        <v>0</v>
      </c>
      <c r="CR42" s="65"/>
      <c r="CS42" s="76" t="s">
        <v>1954</v>
      </c>
      <c r="CT42" s="77">
        <f t="shared" si="110"/>
        <v>0</v>
      </c>
      <c r="CU42" s="65"/>
      <c r="CV42" s="76" t="s">
        <v>1954</v>
      </c>
      <c r="CW42" s="77">
        <f t="shared" si="110"/>
        <v>0</v>
      </c>
      <c r="CX42" s="65"/>
      <c r="CY42" s="76" t="s">
        <v>1942</v>
      </c>
      <c r="CZ42" s="77">
        <f t="shared" si="110"/>
        <v>0</v>
      </c>
      <c r="DA42" s="65"/>
      <c r="DB42" s="76" t="s">
        <v>1948</v>
      </c>
      <c r="DC42" s="77">
        <f t="shared" si="110"/>
        <v>0</v>
      </c>
      <c r="DD42" s="65"/>
      <c r="DE42" s="76" t="s">
        <v>1942</v>
      </c>
      <c r="DF42" s="77">
        <f t="shared" si="110"/>
        <v>0</v>
      </c>
      <c r="DG42" s="65"/>
      <c r="DH42" s="76" t="s">
        <v>1958</v>
      </c>
      <c r="DI42" s="77">
        <f t="shared" si="110"/>
        <v>0</v>
      </c>
      <c r="DJ42" s="65"/>
      <c r="DK42" s="76" t="s">
        <v>1942</v>
      </c>
      <c r="DL42" s="77">
        <f t="shared" si="110"/>
        <v>0</v>
      </c>
      <c r="DM42" s="65"/>
      <c r="DN42" s="795" t="s">
        <v>1959</v>
      </c>
      <c r="DO42" s="77">
        <f t="shared" si="110"/>
        <v>0</v>
      </c>
      <c r="DP42" s="65"/>
      <c r="DQ42" s="795" t="s">
        <v>1948</v>
      </c>
      <c r="DR42" s="77">
        <f t="shared" si="110"/>
        <v>0</v>
      </c>
      <c r="DS42" s="65"/>
      <c r="DT42" s="76" t="s">
        <v>1958</v>
      </c>
      <c r="DU42" s="77">
        <f t="shared" si="110"/>
        <v>0</v>
      </c>
      <c r="DV42" s="65"/>
      <c r="DW42" s="76" t="s">
        <v>1948</v>
      </c>
      <c r="DX42" s="77">
        <f t="shared" si="109"/>
        <v>0</v>
      </c>
      <c r="DY42" s="65"/>
      <c r="DZ42" s="76" t="s">
        <v>1942</v>
      </c>
      <c r="EA42" s="77">
        <f t="shared" si="109"/>
        <v>0</v>
      </c>
      <c r="EB42" s="65"/>
      <c r="EC42" s="76" t="s">
        <v>1958</v>
      </c>
      <c r="ED42" s="77">
        <f t="shared" si="109"/>
        <v>0</v>
      </c>
      <c r="EE42" s="65"/>
      <c r="EF42" s="76" t="s">
        <v>1942</v>
      </c>
      <c r="EG42" s="77">
        <f t="shared" si="109"/>
        <v>0</v>
      </c>
      <c r="EH42" s="65"/>
      <c r="EI42" s="76" t="s">
        <v>1954</v>
      </c>
      <c r="EJ42" s="77">
        <f t="shared" si="109"/>
        <v>0</v>
      </c>
      <c r="EK42" s="65"/>
      <c r="EL42" s="76"/>
      <c r="EM42" s="77">
        <f t="shared" si="109"/>
        <v>0</v>
      </c>
      <c r="EN42" s="65"/>
      <c r="EO42" s="76"/>
      <c r="EP42" s="77">
        <f t="shared" si="109"/>
        <v>0</v>
      </c>
      <c r="EQ42" s="65"/>
      <c r="ER42" s="76"/>
      <c r="ES42" s="77">
        <f t="shared" si="109"/>
        <v>0</v>
      </c>
      <c r="ET42" s="65"/>
      <c r="EU42" s="76"/>
      <c r="EV42" s="77">
        <f t="shared" si="109"/>
        <v>0</v>
      </c>
      <c r="EW42" s="65"/>
      <c r="EX42" s="76"/>
      <c r="EY42" s="77">
        <f t="shared" si="109"/>
        <v>0</v>
      </c>
      <c r="EZ42" s="65"/>
      <c r="FA42" s="76"/>
      <c r="FB42" s="77">
        <f t="shared" si="109"/>
        <v>0</v>
      </c>
      <c r="FC42" s="65"/>
      <c r="FD42" s="76"/>
      <c r="FE42" s="77">
        <f t="shared" si="109"/>
        <v>0</v>
      </c>
      <c r="FF42" s="65"/>
      <c r="FG42" s="76"/>
      <c r="FH42" s="77">
        <f t="shared" si="109"/>
        <v>0</v>
      </c>
      <c r="FI42" s="65"/>
      <c r="FJ42" s="76"/>
      <c r="FK42" s="77">
        <f t="shared" si="109"/>
        <v>0</v>
      </c>
      <c r="FL42" s="65"/>
      <c r="FM42" s="65"/>
    </row>
    <row r="43" spans="1:169">
      <c r="A43" s="49"/>
      <c r="B43" s="49"/>
      <c r="C43" s="438" t="str">
        <f>Idiomas!D339</f>
        <v>Bota de Plata (2º máximo goleador)</v>
      </c>
      <c r="D43" s="44">
        <v>10</v>
      </c>
      <c r="E43" s="111"/>
      <c r="F43" s="445">
        <f t="shared" si="97"/>
        <v>4</v>
      </c>
      <c r="G43" s="445">
        <f ca="1">VLOOKUP(H43,Equipos!$Q$1:$R$25,2,0)</f>
        <v>12</v>
      </c>
      <c r="H43" s="446">
        <f ca="1">TRUNC(INDEX(WORLDCUP!$X$4:$X$147,MATCH(ADMIN!K43,WORLDCUP!$DT$4:$DT$147,0))+INDEX(Horarios!$R$3:$R$86,MATCH(Horarios!$C$3,Horarios!$P$3:$P$86,0))/24)</f>
        <v>46195</v>
      </c>
      <c r="I43" s="48">
        <v>1</v>
      </c>
      <c r="J43" s="95" t="s">
        <v>511</v>
      </c>
      <c r="K43" s="56" t="str">
        <f ca="1">CONCATENATE(WORLDCUP!AA55,"-",WORLDCUP!AF55)</f>
        <v>Nueva Zelanda-Egipto</v>
      </c>
      <c r="L43" s="53"/>
      <c r="M43" s="55" t="str">
        <f>IF(OR(WORLDCUP!AC55="",WORLDCUP!AD55=""),"-",N43&amp;"|"&amp;O43&amp;"-"&amp;P43)</f>
        <v>-</v>
      </c>
      <c r="N43" s="25" t="str">
        <f>IF(OR(WORLDCUP!AC55="",WORLDCUP!AD55=""),"",IF(WORLDCUP!AC55&gt;WORLDCUP!AD55,"1",IF(WORLDCUP!AC55&lt;WORLDCUP!AD55,"2","X")))</f>
        <v/>
      </c>
      <c r="O43" s="25">
        <f>WORLDCUP!AC55</f>
        <v>0</v>
      </c>
      <c r="P43" s="25">
        <f>WORLDCUP!AD55</f>
        <v>0</v>
      </c>
      <c r="Q43" s="25">
        <f t="shared" si="101"/>
        <v>0</v>
      </c>
      <c r="R43" s="49"/>
      <c r="S43" s="74" t="s">
        <v>1947</v>
      </c>
      <c r="T43" s="73">
        <f t="shared" si="98"/>
        <v>0</v>
      </c>
      <c r="U43" s="65"/>
      <c r="V43" s="74" t="s">
        <v>1945</v>
      </c>
      <c r="W43" s="73">
        <f t="shared" ref="W43:W73" si="111">IFERROR(IF($M43=V43,($D$8+$D$9+$D$10)*$I43,IF($N43=LEFT(V43,1),($D$8+MAX(0,IF($D$50=1,$D$9*(1-(ABS($Q43-ABS(VALUE(MID(V43,FIND("|",V43)+1,FIND("-",V43)-FIND("|",V43)-1))-VALUE(MID(V43,FIND("-",V43)+1,10)))))*$D$50),$D$9*(1-(IF($N43="X",ABS($O43-VALUE(MID(V43,FIND("|",V43)+1,FIND("-",V43)-FIND("|",V43)-1))),ABS($Q43-ABS(VALUE(MID(V43,FIND("|",V43)+1,FIND("-",V43)-FIND("|",V43)-1))-VALUE(MID(V43,FIND("-",V43)+1,10)))))*$D$50)))))*$I43,0)),0)</f>
        <v>0</v>
      </c>
      <c r="X43" s="65"/>
      <c r="Y43" s="74" t="s">
        <v>1952</v>
      </c>
      <c r="Z43" s="73">
        <f t="shared" ref="Z43:CH54" si="112">IFERROR(IF($M43=Y43,($D$8+$D$9+$D$10)*$I43,IF($N43=LEFT(Y43,1),($D$8+MAX(0,IF($D$50=1,$D$9*(1-(ABS($Q43-ABS(VALUE(MID(Y43,FIND("|",Y43)+1,FIND("-",Y43)-FIND("|",Y43)-1))-VALUE(MID(Y43,FIND("-",Y43)+1,10)))))*$D$50),$D$9*(1-(IF($N43="X",ABS($O43-VALUE(MID(Y43,FIND("|",Y43)+1,FIND("-",Y43)-FIND("|",Y43)-1))),ABS($Q43-ABS(VALUE(MID(Y43,FIND("|",Y43)+1,FIND("-",Y43)-FIND("|",Y43)-1))-VALUE(MID(Y43,FIND("-",Y43)+1,10)))))*$D$50)))))*$I43,0)),0)</f>
        <v>0</v>
      </c>
      <c r="AA43" s="65"/>
      <c r="AB43" s="74" t="s">
        <v>1952</v>
      </c>
      <c r="AC43" s="73">
        <f t="shared" si="112"/>
        <v>0</v>
      </c>
      <c r="AD43" s="65"/>
      <c r="AE43" s="74" t="s">
        <v>1952</v>
      </c>
      <c r="AF43" s="73">
        <f t="shared" si="112"/>
        <v>0</v>
      </c>
      <c r="AG43" s="65"/>
      <c r="AH43" s="74" t="s">
        <v>1952</v>
      </c>
      <c r="AI43" s="73">
        <f t="shared" si="112"/>
        <v>0</v>
      </c>
      <c r="AJ43" s="65"/>
      <c r="AK43" s="74" t="s">
        <v>1960</v>
      </c>
      <c r="AL43" s="73">
        <f t="shared" si="112"/>
        <v>0</v>
      </c>
      <c r="AM43" s="65"/>
      <c r="AN43" s="74" t="s">
        <v>1952</v>
      </c>
      <c r="AO43" s="73">
        <f t="shared" si="112"/>
        <v>0</v>
      </c>
      <c r="AP43" s="65"/>
      <c r="AQ43" s="74" t="s">
        <v>1945</v>
      </c>
      <c r="AR43" s="73">
        <f t="shared" si="112"/>
        <v>0</v>
      </c>
      <c r="AS43" s="65"/>
      <c r="AT43" s="74" t="s">
        <v>1945</v>
      </c>
      <c r="AU43" s="73">
        <f t="shared" si="112"/>
        <v>0</v>
      </c>
      <c r="AV43" s="65"/>
      <c r="AW43" s="74" t="s">
        <v>1949</v>
      </c>
      <c r="AX43" s="73">
        <f t="shared" si="112"/>
        <v>0</v>
      </c>
      <c r="AY43" s="65"/>
      <c r="AZ43" s="74" t="s">
        <v>1946</v>
      </c>
      <c r="BA43" s="73">
        <f t="shared" si="112"/>
        <v>0</v>
      </c>
      <c r="BB43" s="65"/>
      <c r="BC43" s="74" t="s">
        <v>1960</v>
      </c>
      <c r="BD43" s="73">
        <f t="shared" si="112"/>
        <v>0</v>
      </c>
      <c r="BE43" s="65"/>
      <c r="BF43" s="74" t="s">
        <v>1949</v>
      </c>
      <c r="BG43" s="73">
        <f t="shared" si="112"/>
        <v>0</v>
      </c>
      <c r="BH43" s="65"/>
      <c r="BI43" s="74" t="s">
        <v>1952</v>
      </c>
      <c r="BJ43" s="73">
        <f t="shared" si="112"/>
        <v>0</v>
      </c>
      <c r="BK43" s="65"/>
      <c r="BL43" s="74" t="s">
        <v>1960</v>
      </c>
      <c r="BM43" s="73">
        <f t="shared" si="112"/>
        <v>0</v>
      </c>
      <c r="BN43" s="65"/>
      <c r="BO43" s="74" t="s">
        <v>1960</v>
      </c>
      <c r="BP43" s="73">
        <f t="shared" si="112"/>
        <v>0</v>
      </c>
      <c r="BQ43" s="65"/>
      <c r="BR43" s="74" t="s">
        <v>1949</v>
      </c>
      <c r="BS43" s="73">
        <f t="shared" si="112"/>
        <v>0</v>
      </c>
      <c r="BT43" s="65"/>
      <c r="BU43" s="74" t="s">
        <v>1949</v>
      </c>
      <c r="BV43" s="73">
        <f t="shared" si="112"/>
        <v>0</v>
      </c>
      <c r="BW43" s="65"/>
      <c r="BX43" s="74" t="s">
        <v>1949</v>
      </c>
      <c r="BY43" s="73">
        <f t="shared" si="112"/>
        <v>0</v>
      </c>
      <c r="BZ43" s="65"/>
      <c r="CA43" s="74" t="s">
        <v>1961</v>
      </c>
      <c r="CB43" s="73">
        <f t="shared" si="112"/>
        <v>0</v>
      </c>
      <c r="CC43" s="65"/>
      <c r="CD43" s="74" t="s">
        <v>1946</v>
      </c>
      <c r="CE43" s="73">
        <f t="shared" si="112"/>
        <v>0</v>
      </c>
      <c r="CF43" s="65"/>
      <c r="CG43" s="74" t="s">
        <v>1948</v>
      </c>
      <c r="CH43" s="73">
        <f t="shared" si="112"/>
        <v>0</v>
      </c>
      <c r="CI43" s="65"/>
      <c r="CJ43" s="74" t="s">
        <v>1960</v>
      </c>
      <c r="CK43" s="73">
        <f t="shared" si="110"/>
        <v>0</v>
      </c>
      <c r="CL43" s="65"/>
      <c r="CM43" s="74" t="s">
        <v>1949</v>
      </c>
      <c r="CN43" s="73">
        <f t="shared" si="110"/>
        <v>0</v>
      </c>
      <c r="CO43" s="65"/>
      <c r="CP43" s="74" t="s">
        <v>1952</v>
      </c>
      <c r="CQ43" s="73">
        <f t="shared" si="110"/>
        <v>0</v>
      </c>
      <c r="CR43" s="65"/>
      <c r="CS43" s="74" t="s">
        <v>1952</v>
      </c>
      <c r="CT43" s="73">
        <f t="shared" si="110"/>
        <v>0</v>
      </c>
      <c r="CU43" s="65"/>
      <c r="CV43" s="74" t="s">
        <v>1960</v>
      </c>
      <c r="CW43" s="73">
        <f t="shared" si="110"/>
        <v>0</v>
      </c>
      <c r="CX43" s="65"/>
      <c r="CY43" s="74" t="s">
        <v>1945</v>
      </c>
      <c r="CZ43" s="73">
        <f t="shared" si="110"/>
        <v>0</v>
      </c>
      <c r="DA43" s="65"/>
      <c r="DB43" s="74" t="s">
        <v>1949</v>
      </c>
      <c r="DC43" s="73">
        <f t="shared" si="110"/>
        <v>0</v>
      </c>
      <c r="DD43" s="65"/>
      <c r="DE43" s="74" t="s">
        <v>1949</v>
      </c>
      <c r="DF43" s="73">
        <f t="shared" si="110"/>
        <v>0</v>
      </c>
      <c r="DG43" s="65"/>
      <c r="DH43" s="74" t="s">
        <v>1949</v>
      </c>
      <c r="DI43" s="73">
        <f t="shared" si="110"/>
        <v>0</v>
      </c>
      <c r="DJ43" s="65"/>
      <c r="DK43" s="74" t="s">
        <v>1947</v>
      </c>
      <c r="DL43" s="73">
        <f t="shared" si="110"/>
        <v>0</v>
      </c>
      <c r="DM43" s="65"/>
      <c r="DN43" s="795" t="s">
        <v>1957</v>
      </c>
      <c r="DO43" s="73">
        <f t="shared" si="110"/>
        <v>0</v>
      </c>
      <c r="DP43" s="65"/>
      <c r="DQ43" s="795" t="s">
        <v>1946</v>
      </c>
      <c r="DR43" s="73">
        <f t="shared" si="110"/>
        <v>0</v>
      </c>
      <c r="DS43" s="65"/>
      <c r="DT43" s="74" t="s">
        <v>1946</v>
      </c>
      <c r="DU43" s="73">
        <f t="shared" si="110"/>
        <v>0</v>
      </c>
      <c r="DV43" s="65"/>
      <c r="DW43" s="74" t="s">
        <v>1945</v>
      </c>
      <c r="DX43" s="73">
        <f t="shared" si="109"/>
        <v>0</v>
      </c>
      <c r="DY43" s="65"/>
      <c r="DZ43" s="74" t="s">
        <v>1946</v>
      </c>
      <c r="EA43" s="73">
        <f t="shared" si="109"/>
        <v>0</v>
      </c>
      <c r="EB43" s="65"/>
      <c r="EC43" s="74" t="s">
        <v>1960</v>
      </c>
      <c r="ED43" s="73">
        <f t="shared" si="109"/>
        <v>0</v>
      </c>
      <c r="EE43" s="65"/>
      <c r="EF43" s="74" t="s">
        <v>1945</v>
      </c>
      <c r="EG43" s="73">
        <f t="shared" si="109"/>
        <v>0</v>
      </c>
      <c r="EH43" s="65"/>
      <c r="EI43" s="74" t="s">
        <v>1960</v>
      </c>
      <c r="EJ43" s="73">
        <f t="shared" si="109"/>
        <v>0</v>
      </c>
      <c r="EK43" s="65"/>
      <c r="EL43" s="74"/>
      <c r="EM43" s="73">
        <f t="shared" si="109"/>
        <v>0</v>
      </c>
      <c r="EN43" s="65"/>
      <c r="EO43" s="74"/>
      <c r="EP43" s="73">
        <f t="shared" si="109"/>
        <v>0</v>
      </c>
      <c r="EQ43" s="65"/>
      <c r="ER43" s="74"/>
      <c r="ES43" s="73">
        <f t="shared" si="109"/>
        <v>0</v>
      </c>
      <c r="ET43" s="65"/>
      <c r="EU43" s="74"/>
      <c r="EV43" s="73">
        <f t="shared" si="109"/>
        <v>0</v>
      </c>
      <c r="EW43" s="65"/>
      <c r="EX43" s="74"/>
      <c r="EY43" s="73">
        <f t="shared" si="109"/>
        <v>0</v>
      </c>
      <c r="EZ43" s="65"/>
      <c r="FA43" s="74"/>
      <c r="FB43" s="73">
        <f t="shared" si="109"/>
        <v>0</v>
      </c>
      <c r="FC43" s="65"/>
      <c r="FD43" s="74"/>
      <c r="FE43" s="73">
        <f t="shared" si="109"/>
        <v>0</v>
      </c>
      <c r="FF43" s="65"/>
      <c r="FG43" s="74"/>
      <c r="FH43" s="73">
        <f t="shared" si="109"/>
        <v>0</v>
      </c>
      <c r="FI43" s="65"/>
      <c r="FJ43" s="74"/>
      <c r="FK43" s="73">
        <f t="shared" ref="FK43" si="113">IFERROR(IF($M43=FJ43,($D$8+$D$9+$D$10)*$I43,IF($N43=LEFT(FJ43,1),($D$8+MAX(0,IF($D$50=1,$D$9*(1-(ABS($Q43-ABS(VALUE(MID(FJ43,FIND("|",FJ43)+1,FIND("-",FJ43)-FIND("|",FJ43)-1))-VALUE(MID(FJ43,FIND("-",FJ43)+1,10)))))*$D$50),$D$9*(1-(IF($N43="X",ABS($O43-VALUE(MID(FJ43,FIND("|",FJ43)+1,FIND("-",FJ43)-FIND("|",FJ43)-1))),ABS($Q43-ABS(VALUE(MID(FJ43,FIND("|",FJ43)+1,FIND("-",FJ43)-FIND("|",FJ43)-1))-VALUE(MID(FJ43,FIND("-",FJ43)+1,10)))))*$D$50)))))*$I43,0)),0)</f>
        <v>0</v>
      </c>
      <c r="FL43" s="65"/>
      <c r="FM43" s="65"/>
    </row>
    <row r="44" spans="1:169">
      <c r="A44" s="49"/>
      <c r="B44" s="49"/>
      <c r="C44" s="437" t="str">
        <f>Idiomas!D340</f>
        <v>Bota de Bronce (3º máximo goleador)</v>
      </c>
      <c r="D44" s="62">
        <v>5</v>
      </c>
      <c r="E44" s="111"/>
      <c r="F44" s="445">
        <f t="shared" si="97"/>
        <v>4</v>
      </c>
      <c r="G44" s="445">
        <f ca="1">VLOOKUP(H44,Equipos!$Q$1:$R$25,2,0)</f>
        <v>11</v>
      </c>
      <c r="H44" s="446">
        <f ca="1">TRUNC(INDEX(WORLDCUP!$X$4:$X$147,MATCH(ADMIN!K44,WORLDCUP!$DT$4:$DT$147,0))+INDEX(Horarios!$R$3:$R$86,MATCH(Horarios!$C$3,Horarios!$P$3:$P$86,0))/24)</f>
        <v>46194</v>
      </c>
      <c r="I44" s="48">
        <v>1</v>
      </c>
      <c r="J44" s="96" t="s">
        <v>513</v>
      </c>
      <c r="K44" s="56" t="str">
        <f ca="1">CONCATENATE(WORLDCUP!AA62,"-",WORLDCUP!AF62)</f>
        <v>España-Arabia Saudita</v>
      </c>
      <c r="L44" s="53"/>
      <c r="M44" s="55" t="str">
        <f>IF(OR(WORLDCUP!AC62="",WORLDCUP!AD62=""),"-",N44&amp;"|"&amp;O44&amp;"-"&amp;P44)</f>
        <v>-</v>
      </c>
      <c r="N44" s="25" t="str">
        <f>IF(OR(WORLDCUP!AC62="",WORLDCUP!AD62=""),"",IF(WORLDCUP!AC62&gt;WORLDCUP!AD62,"1",IF(WORLDCUP!AC62&lt;WORLDCUP!AD62,"2","X")))</f>
        <v/>
      </c>
      <c r="O44" s="25">
        <f>WORLDCUP!AC62</f>
        <v>0</v>
      </c>
      <c r="P44" s="25">
        <f>WORLDCUP!AD62</f>
        <v>0</v>
      </c>
      <c r="Q44" s="25">
        <f t="shared" si="101"/>
        <v>0</v>
      </c>
      <c r="R44" s="49"/>
      <c r="S44" s="74" t="s">
        <v>1958</v>
      </c>
      <c r="T44" s="73">
        <f t="shared" si="98"/>
        <v>0</v>
      </c>
      <c r="U44" s="65"/>
      <c r="V44" s="74" t="s">
        <v>1954</v>
      </c>
      <c r="W44" s="73">
        <f t="shared" si="111"/>
        <v>0</v>
      </c>
      <c r="X44" s="65"/>
      <c r="Y44" s="74" t="s">
        <v>1958</v>
      </c>
      <c r="Z44" s="73">
        <f t="shared" si="112"/>
        <v>0</v>
      </c>
      <c r="AA44" s="65"/>
      <c r="AB44" s="74" t="s">
        <v>1943</v>
      </c>
      <c r="AC44" s="73">
        <f t="shared" si="112"/>
        <v>0</v>
      </c>
      <c r="AD44" s="65"/>
      <c r="AE44" s="74" t="s">
        <v>1958</v>
      </c>
      <c r="AF44" s="73">
        <f t="shared" si="112"/>
        <v>0</v>
      </c>
      <c r="AG44" s="65"/>
      <c r="AH44" s="74" t="s">
        <v>1954</v>
      </c>
      <c r="AI44" s="73">
        <f t="shared" si="112"/>
        <v>0</v>
      </c>
      <c r="AJ44" s="65"/>
      <c r="AK44" s="74" t="s">
        <v>1954</v>
      </c>
      <c r="AL44" s="73">
        <f t="shared" si="112"/>
        <v>0</v>
      </c>
      <c r="AM44" s="65"/>
      <c r="AN44" s="74" t="s">
        <v>1948</v>
      </c>
      <c r="AO44" s="73">
        <f t="shared" si="112"/>
        <v>0</v>
      </c>
      <c r="AP44" s="65"/>
      <c r="AQ44" s="74" t="s">
        <v>2001</v>
      </c>
      <c r="AR44" s="73">
        <f t="shared" si="112"/>
        <v>0</v>
      </c>
      <c r="AS44" s="65"/>
      <c r="AT44" s="74" t="s">
        <v>1954</v>
      </c>
      <c r="AU44" s="73">
        <f t="shared" si="112"/>
        <v>0</v>
      </c>
      <c r="AV44" s="65"/>
      <c r="AW44" s="74" t="s">
        <v>1958</v>
      </c>
      <c r="AX44" s="73">
        <f t="shared" si="112"/>
        <v>0</v>
      </c>
      <c r="AY44" s="65"/>
      <c r="AZ44" s="74" t="s">
        <v>1948</v>
      </c>
      <c r="BA44" s="73">
        <f t="shared" si="112"/>
        <v>0</v>
      </c>
      <c r="BB44" s="65"/>
      <c r="BC44" s="74" t="s">
        <v>1958</v>
      </c>
      <c r="BD44" s="73">
        <f t="shared" si="112"/>
        <v>0</v>
      </c>
      <c r="BE44" s="65"/>
      <c r="BF44" s="74" t="s">
        <v>1954</v>
      </c>
      <c r="BG44" s="73">
        <f t="shared" si="112"/>
        <v>0</v>
      </c>
      <c r="BH44" s="65"/>
      <c r="BI44" s="74" t="s">
        <v>1958</v>
      </c>
      <c r="BJ44" s="73">
        <f t="shared" si="112"/>
        <v>0</v>
      </c>
      <c r="BK44" s="65"/>
      <c r="BL44" s="74" t="s">
        <v>1954</v>
      </c>
      <c r="BM44" s="73">
        <f t="shared" si="112"/>
        <v>0</v>
      </c>
      <c r="BN44" s="65"/>
      <c r="BO44" s="74" t="s">
        <v>1954</v>
      </c>
      <c r="BP44" s="73">
        <f t="shared" si="112"/>
        <v>0</v>
      </c>
      <c r="BQ44" s="65"/>
      <c r="BR44" s="74" t="s">
        <v>1954</v>
      </c>
      <c r="BS44" s="73">
        <f t="shared" si="112"/>
        <v>0</v>
      </c>
      <c r="BT44" s="65"/>
      <c r="BU44" s="74" t="s">
        <v>1954</v>
      </c>
      <c r="BV44" s="73">
        <f t="shared" si="112"/>
        <v>0</v>
      </c>
      <c r="BW44" s="65"/>
      <c r="BX44" s="74" t="s">
        <v>1954</v>
      </c>
      <c r="BY44" s="73">
        <f t="shared" si="112"/>
        <v>0</v>
      </c>
      <c r="BZ44" s="65"/>
      <c r="CA44" s="74" t="s">
        <v>1958</v>
      </c>
      <c r="CB44" s="73">
        <f t="shared" si="112"/>
        <v>0</v>
      </c>
      <c r="CC44" s="65"/>
      <c r="CD44" s="74" t="s">
        <v>1942</v>
      </c>
      <c r="CE44" s="73">
        <f t="shared" si="112"/>
        <v>0</v>
      </c>
      <c r="CF44" s="65"/>
      <c r="CG44" s="74" t="s">
        <v>1954</v>
      </c>
      <c r="CH44" s="73">
        <f t="shared" si="112"/>
        <v>0</v>
      </c>
      <c r="CI44" s="65"/>
      <c r="CJ44" s="74" t="s">
        <v>1948</v>
      </c>
      <c r="CK44" s="73">
        <f t="shared" si="110"/>
        <v>0</v>
      </c>
      <c r="CL44" s="65"/>
      <c r="CM44" s="74" t="s">
        <v>1954</v>
      </c>
      <c r="CN44" s="73">
        <f t="shared" si="110"/>
        <v>0</v>
      </c>
      <c r="CO44" s="65"/>
      <c r="CP44" s="74" t="s">
        <v>1958</v>
      </c>
      <c r="CQ44" s="73">
        <f t="shared" si="110"/>
        <v>0</v>
      </c>
      <c r="CR44" s="65"/>
      <c r="CS44" s="74" t="s">
        <v>1958</v>
      </c>
      <c r="CT44" s="73">
        <f t="shared" si="110"/>
        <v>0</v>
      </c>
      <c r="CU44" s="65"/>
      <c r="CV44" s="74" t="s">
        <v>1942</v>
      </c>
      <c r="CW44" s="73">
        <f t="shared" si="110"/>
        <v>0</v>
      </c>
      <c r="CX44" s="65"/>
      <c r="CY44" s="74" t="s">
        <v>1943</v>
      </c>
      <c r="CZ44" s="73">
        <f t="shared" si="110"/>
        <v>0</v>
      </c>
      <c r="DA44" s="65"/>
      <c r="DB44" s="74" t="s">
        <v>1958</v>
      </c>
      <c r="DC44" s="73">
        <f t="shared" si="110"/>
        <v>0</v>
      </c>
      <c r="DD44" s="65"/>
      <c r="DE44" s="74" t="s">
        <v>1942</v>
      </c>
      <c r="DF44" s="73">
        <f t="shared" si="110"/>
        <v>0</v>
      </c>
      <c r="DG44" s="65"/>
      <c r="DH44" s="74" t="s">
        <v>1954</v>
      </c>
      <c r="DI44" s="73">
        <f t="shared" si="110"/>
        <v>0</v>
      </c>
      <c r="DJ44" s="65"/>
      <c r="DK44" s="74" t="s">
        <v>1954</v>
      </c>
      <c r="DL44" s="73">
        <f t="shared" si="110"/>
        <v>0</v>
      </c>
      <c r="DM44" s="65"/>
      <c r="DN44" s="795" t="s">
        <v>1943</v>
      </c>
      <c r="DO44" s="73">
        <f t="shared" si="110"/>
        <v>0</v>
      </c>
      <c r="DP44" s="65"/>
      <c r="DQ44" s="795" t="s">
        <v>1944</v>
      </c>
      <c r="DR44" s="73">
        <f t="shared" si="110"/>
        <v>0</v>
      </c>
      <c r="DS44" s="65"/>
      <c r="DT44" s="74" t="s">
        <v>1959</v>
      </c>
      <c r="DU44" s="73">
        <f t="shared" si="110"/>
        <v>0</v>
      </c>
      <c r="DV44" s="65"/>
      <c r="DW44" s="74" t="s">
        <v>1954</v>
      </c>
      <c r="DX44" s="73">
        <f t="shared" ref="DX44:FK55" si="114">IFERROR(IF($M44=DW44,($D$8+$D$9+$D$10)*$I44,IF($N44=LEFT(DW44,1),($D$8+MAX(0,IF($D$50=1,$D$9*(1-(ABS($Q44-ABS(VALUE(MID(DW44,FIND("|",DW44)+1,FIND("-",DW44)-FIND("|",DW44)-1))-VALUE(MID(DW44,FIND("-",DW44)+1,10)))))*$D$50),$D$9*(1-(IF($N44="X",ABS($O44-VALUE(MID(DW44,FIND("|",DW44)+1,FIND("-",DW44)-FIND("|",DW44)-1))),ABS($Q44-ABS(VALUE(MID(DW44,FIND("|",DW44)+1,FIND("-",DW44)-FIND("|",DW44)-1))-VALUE(MID(DW44,FIND("-",DW44)+1,10)))))*$D$50)))))*$I44,0)),0)</f>
        <v>0</v>
      </c>
      <c r="DY44" s="65"/>
      <c r="DZ44" s="74" t="s">
        <v>1954</v>
      </c>
      <c r="EA44" s="73">
        <f t="shared" si="114"/>
        <v>0</v>
      </c>
      <c r="EB44" s="65"/>
      <c r="EC44" s="74" t="s">
        <v>1954</v>
      </c>
      <c r="ED44" s="73">
        <f t="shared" si="114"/>
        <v>0</v>
      </c>
      <c r="EE44" s="65"/>
      <c r="EF44" s="74" t="s">
        <v>1943</v>
      </c>
      <c r="EG44" s="73">
        <f t="shared" si="114"/>
        <v>0</v>
      </c>
      <c r="EH44" s="65"/>
      <c r="EI44" s="74" t="s">
        <v>1943</v>
      </c>
      <c r="EJ44" s="73">
        <f t="shared" si="114"/>
        <v>0</v>
      </c>
      <c r="EK44" s="65"/>
      <c r="EL44" s="74"/>
      <c r="EM44" s="73">
        <f t="shared" si="114"/>
        <v>0</v>
      </c>
      <c r="EN44" s="65"/>
      <c r="EO44" s="74"/>
      <c r="EP44" s="73">
        <f t="shared" si="114"/>
        <v>0</v>
      </c>
      <c r="EQ44" s="65"/>
      <c r="ER44" s="74"/>
      <c r="ES44" s="73">
        <f t="shared" si="114"/>
        <v>0</v>
      </c>
      <c r="ET44" s="65"/>
      <c r="EU44" s="74"/>
      <c r="EV44" s="73">
        <f t="shared" si="114"/>
        <v>0</v>
      </c>
      <c r="EW44" s="65"/>
      <c r="EX44" s="74"/>
      <c r="EY44" s="73">
        <f t="shared" si="114"/>
        <v>0</v>
      </c>
      <c r="EZ44" s="65"/>
      <c r="FA44" s="74"/>
      <c r="FB44" s="73">
        <f t="shared" si="114"/>
        <v>0</v>
      </c>
      <c r="FC44" s="65"/>
      <c r="FD44" s="74"/>
      <c r="FE44" s="73">
        <f t="shared" si="114"/>
        <v>0</v>
      </c>
      <c r="FF44" s="65"/>
      <c r="FG44" s="74"/>
      <c r="FH44" s="73">
        <f t="shared" si="114"/>
        <v>0</v>
      </c>
      <c r="FI44" s="65"/>
      <c r="FJ44" s="74"/>
      <c r="FK44" s="73">
        <f t="shared" si="114"/>
        <v>0</v>
      </c>
      <c r="FL44" s="65"/>
      <c r="FM44" s="65"/>
    </row>
    <row r="45" spans="1:169">
      <c r="A45" s="49"/>
      <c r="B45" s="49"/>
      <c r="C45" s="438" t="str">
        <f>Idiomas!D341</f>
        <v>Balón de Oro  (mejor jugador)</v>
      </c>
      <c r="D45" s="44">
        <v>20</v>
      </c>
      <c r="E45" s="111"/>
      <c r="F45" s="445">
        <f t="shared" si="97"/>
        <v>4</v>
      </c>
      <c r="G45" s="445">
        <f ca="1">VLOOKUP(H45,Equipos!$Q$1:$R$25,2,0)</f>
        <v>12</v>
      </c>
      <c r="H45" s="446">
        <f ca="1">TRUNC(INDEX(WORLDCUP!$X$4:$X$147,MATCH(ADMIN!K45,WORLDCUP!$DT$4:$DT$147,0))+INDEX(Horarios!$R$3:$R$86,MATCH(Horarios!$C$3,Horarios!$P$3:$P$86,0))/24)</f>
        <v>46195</v>
      </c>
      <c r="I45" s="48">
        <v>1</v>
      </c>
      <c r="J45" s="96" t="s">
        <v>513</v>
      </c>
      <c r="K45" s="53" t="str">
        <f ca="1">CONCATENATE(WORLDCUP!AA63,"-",WORLDCUP!AF63)</f>
        <v>Uruguay-Cabo Verde</v>
      </c>
      <c r="L45" s="53"/>
      <c r="M45" s="55" t="str">
        <f>IF(OR(WORLDCUP!AC63="",WORLDCUP!AD63=""),"-",N45&amp;"|"&amp;O45&amp;"-"&amp;P45)</f>
        <v>-</v>
      </c>
      <c r="N45" s="25" t="str">
        <f>IF(OR(WORLDCUP!AC63="",WORLDCUP!AD63=""),"",IF(WORLDCUP!AC63&gt;WORLDCUP!AD63,"1",IF(WORLDCUP!AC63&lt;WORLDCUP!AD63,"2","X")))</f>
        <v/>
      </c>
      <c r="O45" s="25">
        <f>WORLDCUP!AC63</f>
        <v>0</v>
      </c>
      <c r="P45" s="25">
        <f>WORLDCUP!AD63</f>
        <v>0</v>
      </c>
      <c r="Q45" s="25">
        <f t="shared" si="101"/>
        <v>0</v>
      </c>
      <c r="R45" s="49"/>
      <c r="S45" s="74" t="s">
        <v>1948</v>
      </c>
      <c r="T45" s="73">
        <f t="shared" si="98"/>
        <v>0</v>
      </c>
      <c r="U45" s="65"/>
      <c r="V45" s="74" t="s">
        <v>1959</v>
      </c>
      <c r="W45" s="73">
        <f t="shared" si="111"/>
        <v>0</v>
      </c>
      <c r="X45" s="65"/>
      <c r="Y45" s="74" t="s">
        <v>1943</v>
      </c>
      <c r="Z45" s="73">
        <f t="shared" si="112"/>
        <v>0</v>
      </c>
      <c r="AA45" s="65"/>
      <c r="AB45" s="74" t="s">
        <v>1954</v>
      </c>
      <c r="AC45" s="73">
        <f t="shared" si="112"/>
        <v>0</v>
      </c>
      <c r="AD45" s="65"/>
      <c r="AE45" s="74" t="s">
        <v>1958</v>
      </c>
      <c r="AF45" s="73">
        <f t="shared" si="112"/>
        <v>0</v>
      </c>
      <c r="AG45" s="65"/>
      <c r="AH45" s="74" t="s">
        <v>1942</v>
      </c>
      <c r="AI45" s="73">
        <f t="shared" si="112"/>
        <v>0</v>
      </c>
      <c r="AJ45" s="65"/>
      <c r="AK45" s="74" t="s">
        <v>2001</v>
      </c>
      <c r="AL45" s="73">
        <f t="shared" si="112"/>
        <v>0</v>
      </c>
      <c r="AM45" s="65"/>
      <c r="AN45" s="74" t="s">
        <v>2001</v>
      </c>
      <c r="AO45" s="73">
        <f t="shared" si="112"/>
        <v>0</v>
      </c>
      <c r="AP45" s="65"/>
      <c r="AQ45" s="74" t="s">
        <v>1958</v>
      </c>
      <c r="AR45" s="73">
        <f t="shared" si="112"/>
        <v>0</v>
      </c>
      <c r="AS45" s="65"/>
      <c r="AT45" s="74" t="s">
        <v>1958</v>
      </c>
      <c r="AU45" s="73">
        <f t="shared" si="112"/>
        <v>0</v>
      </c>
      <c r="AV45" s="65"/>
      <c r="AW45" s="74" t="s">
        <v>1954</v>
      </c>
      <c r="AX45" s="73">
        <f t="shared" si="112"/>
        <v>0</v>
      </c>
      <c r="AY45" s="65"/>
      <c r="AZ45" s="74" t="s">
        <v>2001</v>
      </c>
      <c r="BA45" s="73">
        <f t="shared" si="112"/>
        <v>0</v>
      </c>
      <c r="BB45" s="65"/>
      <c r="BC45" s="74" t="s">
        <v>1954</v>
      </c>
      <c r="BD45" s="73">
        <f t="shared" si="112"/>
        <v>0</v>
      </c>
      <c r="BE45" s="65"/>
      <c r="BF45" s="74" t="s">
        <v>1954</v>
      </c>
      <c r="BG45" s="73">
        <f t="shared" si="112"/>
        <v>0</v>
      </c>
      <c r="BH45" s="65"/>
      <c r="BI45" s="74" t="s">
        <v>1943</v>
      </c>
      <c r="BJ45" s="73">
        <f t="shared" si="112"/>
        <v>0</v>
      </c>
      <c r="BK45" s="65"/>
      <c r="BL45" s="74" t="s">
        <v>1948</v>
      </c>
      <c r="BM45" s="73">
        <f t="shared" si="112"/>
        <v>0</v>
      </c>
      <c r="BN45" s="65"/>
      <c r="BO45" s="74" t="s">
        <v>1954</v>
      </c>
      <c r="BP45" s="73">
        <f t="shared" si="112"/>
        <v>0</v>
      </c>
      <c r="BQ45" s="65"/>
      <c r="BR45" s="74" t="s">
        <v>1958</v>
      </c>
      <c r="BS45" s="73">
        <f t="shared" si="112"/>
        <v>0</v>
      </c>
      <c r="BT45" s="65"/>
      <c r="BU45" s="74" t="s">
        <v>1954</v>
      </c>
      <c r="BV45" s="73">
        <f t="shared" si="112"/>
        <v>0</v>
      </c>
      <c r="BW45" s="65"/>
      <c r="BX45" s="74" t="s">
        <v>1958</v>
      </c>
      <c r="BY45" s="73">
        <f t="shared" si="112"/>
        <v>0</v>
      </c>
      <c r="BZ45" s="65"/>
      <c r="CA45" s="74" t="s">
        <v>1958</v>
      </c>
      <c r="CB45" s="73">
        <f t="shared" si="112"/>
        <v>0</v>
      </c>
      <c r="CC45" s="65"/>
      <c r="CD45" s="74" t="s">
        <v>1948</v>
      </c>
      <c r="CE45" s="73">
        <f t="shared" si="112"/>
        <v>0</v>
      </c>
      <c r="CF45" s="65"/>
      <c r="CG45" s="74" t="s">
        <v>1954</v>
      </c>
      <c r="CH45" s="73">
        <f t="shared" si="112"/>
        <v>0</v>
      </c>
      <c r="CI45" s="65"/>
      <c r="CJ45" s="74" t="s">
        <v>1943</v>
      </c>
      <c r="CK45" s="73">
        <f t="shared" si="110"/>
        <v>0</v>
      </c>
      <c r="CL45" s="65"/>
      <c r="CM45" s="74" t="s">
        <v>1958</v>
      </c>
      <c r="CN45" s="73">
        <f t="shared" si="110"/>
        <v>0</v>
      </c>
      <c r="CO45" s="65"/>
      <c r="CP45" s="74" t="s">
        <v>1954</v>
      </c>
      <c r="CQ45" s="73">
        <f t="shared" si="110"/>
        <v>0</v>
      </c>
      <c r="CR45" s="65"/>
      <c r="CS45" s="74" t="s">
        <v>1954</v>
      </c>
      <c r="CT45" s="73">
        <f t="shared" si="110"/>
        <v>0</v>
      </c>
      <c r="CU45" s="65"/>
      <c r="CV45" s="74" t="s">
        <v>1954</v>
      </c>
      <c r="CW45" s="73">
        <f t="shared" si="110"/>
        <v>0</v>
      </c>
      <c r="CX45" s="65"/>
      <c r="CY45" s="74" t="s">
        <v>1943</v>
      </c>
      <c r="CZ45" s="73">
        <f t="shared" si="110"/>
        <v>0</v>
      </c>
      <c r="DA45" s="65"/>
      <c r="DB45" s="74" t="s">
        <v>1954</v>
      </c>
      <c r="DC45" s="73">
        <f t="shared" si="110"/>
        <v>0</v>
      </c>
      <c r="DD45" s="65"/>
      <c r="DE45" s="74" t="s">
        <v>1959</v>
      </c>
      <c r="DF45" s="73">
        <f t="shared" si="110"/>
        <v>0</v>
      </c>
      <c r="DG45" s="65"/>
      <c r="DH45" s="74" t="s">
        <v>1954</v>
      </c>
      <c r="DI45" s="73">
        <f t="shared" si="110"/>
        <v>0</v>
      </c>
      <c r="DJ45" s="65"/>
      <c r="DK45" s="74" t="s">
        <v>1954</v>
      </c>
      <c r="DL45" s="73">
        <f t="shared" si="110"/>
        <v>0</v>
      </c>
      <c r="DM45" s="65"/>
      <c r="DN45" s="795" t="s">
        <v>1958</v>
      </c>
      <c r="DO45" s="73">
        <f t="shared" si="110"/>
        <v>0</v>
      </c>
      <c r="DP45" s="65"/>
      <c r="DQ45" s="795" t="s">
        <v>1942</v>
      </c>
      <c r="DR45" s="73">
        <f t="shared" si="110"/>
        <v>0</v>
      </c>
      <c r="DS45" s="65"/>
      <c r="DT45" s="74" t="s">
        <v>1958</v>
      </c>
      <c r="DU45" s="73">
        <f t="shared" si="110"/>
        <v>0</v>
      </c>
      <c r="DV45" s="65"/>
      <c r="DW45" s="74" t="s">
        <v>1943</v>
      </c>
      <c r="DX45" s="73">
        <f t="shared" si="114"/>
        <v>0</v>
      </c>
      <c r="DY45" s="65"/>
      <c r="DZ45" s="74" t="s">
        <v>1954</v>
      </c>
      <c r="EA45" s="73">
        <f t="shared" si="114"/>
        <v>0</v>
      </c>
      <c r="EB45" s="65"/>
      <c r="EC45" s="74" t="s">
        <v>1943</v>
      </c>
      <c r="ED45" s="73">
        <f t="shared" si="114"/>
        <v>0</v>
      </c>
      <c r="EE45" s="65"/>
      <c r="EF45" s="74" t="s">
        <v>1959</v>
      </c>
      <c r="EG45" s="73">
        <f t="shared" si="114"/>
        <v>0</v>
      </c>
      <c r="EH45" s="65"/>
      <c r="EI45" s="74" t="s">
        <v>1958</v>
      </c>
      <c r="EJ45" s="73">
        <f t="shared" si="114"/>
        <v>0</v>
      </c>
      <c r="EK45" s="65"/>
      <c r="EL45" s="74"/>
      <c r="EM45" s="73">
        <f t="shared" si="114"/>
        <v>0</v>
      </c>
      <c r="EN45" s="65"/>
      <c r="EO45" s="74"/>
      <c r="EP45" s="73">
        <f t="shared" si="114"/>
        <v>0</v>
      </c>
      <c r="EQ45" s="65"/>
      <c r="ER45" s="74"/>
      <c r="ES45" s="73">
        <f t="shared" si="114"/>
        <v>0</v>
      </c>
      <c r="ET45" s="65"/>
      <c r="EU45" s="74"/>
      <c r="EV45" s="73">
        <f t="shared" si="114"/>
        <v>0</v>
      </c>
      <c r="EW45" s="65"/>
      <c r="EX45" s="74"/>
      <c r="EY45" s="73">
        <f t="shared" si="114"/>
        <v>0</v>
      </c>
      <c r="EZ45" s="65"/>
      <c r="FA45" s="74"/>
      <c r="FB45" s="73">
        <f t="shared" si="114"/>
        <v>0</v>
      </c>
      <c r="FC45" s="65"/>
      <c r="FD45" s="74"/>
      <c r="FE45" s="73">
        <f t="shared" si="114"/>
        <v>0</v>
      </c>
      <c r="FF45" s="65"/>
      <c r="FG45" s="74"/>
      <c r="FH45" s="73">
        <f t="shared" si="114"/>
        <v>0</v>
      </c>
      <c r="FI45" s="65"/>
      <c r="FJ45" s="74"/>
      <c r="FK45" s="73">
        <f t="shared" si="114"/>
        <v>0</v>
      </c>
      <c r="FL45" s="65"/>
      <c r="FM45" s="65"/>
    </row>
    <row r="46" spans="1:169">
      <c r="A46" s="49"/>
      <c r="B46" s="49"/>
      <c r="C46" s="437" t="str">
        <f>Idiomas!D342</f>
        <v>Balón de Plata (2º mejor jugador)</v>
      </c>
      <c r="D46" s="62">
        <v>10</v>
      </c>
      <c r="E46" s="111"/>
      <c r="F46" s="445">
        <f t="shared" si="97"/>
        <v>4</v>
      </c>
      <c r="G46" s="445">
        <f ca="1">VLOOKUP(H46,Equipos!$Q$1:$R$25,2,0)</f>
        <v>13</v>
      </c>
      <c r="H46" s="446">
        <f ca="1">TRUNC(INDEX(WORLDCUP!$X$4:$X$147,MATCH(ADMIN!K46,WORLDCUP!$DT$4:$DT$147,0))+INDEX(Horarios!$R$3:$R$86,MATCH(Horarios!$C$3,Horarios!$P$3:$P$86,0))/24)</f>
        <v>46196</v>
      </c>
      <c r="I46" s="48">
        <v>1</v>
      </c>
      <c r="J46" s="95" t="s">
        <v>514</v>
      </c>
      <c r="K46" s="53" t="str">
        <f ca="1">CONCATENATE(WORLDCUP!AA70,"-",WORLDCUP!AF70)</f>
        <v>Francia-Irak</v>
      </c>
      <c r="L46" s="53"/>
      <c r="M46" s="55" t="str">
        <f>IF(OR(WORLDCUP!AC70="",WORLDCUP!AD70=""),"-",N46&amp;"|"&amp;O46&amp;"-"&amp;P46)</f>
        <v>-</v>
      </c>
      <c r="N46" s="25" t="str">
        <f>IF(OR(WORLDCUP!AC70="",WORLDCUP!AD70=""),"",IF(WORLDCUP!AC70&gt;WORLDCUP!AD70,"1",IF(WORLDCUP!AC70&lt;WORLDCUP!AD70,"2","X")))</f>
        <v/>
      </c>
      <c r="O46" s="25">
        <f>WORLDCUP!AC70</f>
        <v>0</v>
      </c>
      <c r="P46" s="25">
        <f>WORLDCUP!AD70</f>
        <v>0</v>
      </c>
      <c r="Q46" s="25">
        <f t="shared" si="101"/>
        <v>0</v>
      </c>
      <c r="R46" s="49"/>
      <c r="S46" s="74" t="s">
        <v>1959</v>
      </c>
      <c r="T46" s="73">
        <f t="shared" si="98"/>
        <v>0</v>
      </c>
      <c r="U46" s="65"/>
      <c r="V46" s="74" t="s">
        <v>2001</v>
      </c>
      <c r="W46" s="73">
        <f t="shared" si="111"/>
        <v>0</v>
      </c>
      <c r="X46" s="65"/>
      <c r="Y46" s="74" t="s">
        <v>1951</v>
      </c>
      <c r="Z46" s="73">
        <f t="shared" si="112"/>
        <v>0</v>
      </c>
      <c r="AA46" s="65"/>
      <c r="AB46" s="74" t="s">
        <v>1959</v>
      </c>
      <c r="AC46" s="73">
        <f t="shared" si="112"/>
        <v>0</v>
      </c>
      <c r="AD46" s="65"/>
      <c r="AE46" s="74" t="s">
        <v>1943</v>
      </c>
      <c r="AF46" s="73">
        <f t="shared" si="112"/>
        <v>0</v>
      </c>
      <c r="AG46" s="65"/>
      <c r="AH46" s="74" t="s">
        <v>1959</v>
      </c>
      <c r="AI46" s="73">
        <f t="shared" si="112"/>
        <v>0</v>
      </c>
      <c r="AJ46" s="65"/>
      <c r="AK46" s="74" t="s">
        <v>1958</v>
      </c>
      <c r="AL46" s="73">
        <f t="shared" si="112"/>
        <v>0</v>
      </c>
      <c r="AM46" s="65"/>
      <c r="AN46" s="74" t="s">
        <v>1958</v>
      </c>
      <c r="AO46" s="73">
        <f t="shared" si="112"/>
        <v>0</v>
      </c>
      <c r="AP46" s="65"/>
      <c r="AQ46" s="74" t="s">
        <v>2001</v>
      </c>
      <c r="AR46" s="73">
        <f t="shared" si="112"/>
        <v>0</v>
      </c>
      <c r="AS46" s="65"/>
      <c r="AT46" s="74" t="s">
        <v>2001</v>
      </c>
      <c r="AU46" s="73">
        <f t="shared" si="112"/>
        <v>0</v>
      </c>
      <c r="AV46" s="65"/>
      <c r="AW46" s="74" t="s">
        <v>1951</v>
      </c>
      <c r="AX46" s="73">
        <f t="shared" si="112"/>
        <v>0</v>
      </c>
      <c r="AY46" s="65"/>
      <c r="AZ46" s="74" t="s">
        <v>2001</v>
      </c>
      <c r="BA46" s="73">
        <f t="shared" si="112"/>
        <v>0</v>
      </c>
      <c r="BB46" s="65"/>
      <c r="BC46" s="74" t="s">
        <v>1958</v>
      </c>
      <c r="BD46" s="73">
        <f t="shared" si="112"/>
        <v>0</v>
      </c>
      <c r="BE46" s="65"/>
      <c r="BF46" s="74" t="s">
        <v>1954</v>
      </c>
      <c r="BG46" s="73">
        <f t="shared" si="112"/>
        <v>0</v>
      </c>
      <c r="BH46" s="65"/>
      <c r="BI46" s="74" t="s">
        <v>1951</v>
      </c>
      <c r="BJ46" s="73">
        <f t="shared" si="112"/>
        <v>0</v>
      </c>
      <c r="BK46" s="65"/>
      <c r="BL46" s="74" t="s">
        <v>1958</v>
      </c>
      <c r="BM46" s="73">
        <f t="shared" si="112"/>
        <v>0</v>
      </c>
      <c r="BN46" s="65"/>
      <c r="BO46" s="74" t="s">
        <v>1958</v>
      </c>
      <c r="BP46" s="73">
        <f t="shared" si="112"/>
        <v>0</v>
      </c>
      <c r="BQ46" s="65"/>
      <c r="BR46" s="74" t="s">
        <v>1958</v>
      </c>
      <c r="BS46" s="73">
        <f t="shared" si="112"/>
        <v>0</v>
      </c>
      <c r="BT46" s="65"/>
      <c r="BU46" s="74" t="s">
        <v>2001</v>
      </c>
      <c r="BV46" s="73">
        <f t="shared" si="112"/>
        <v>0</v>
      </c>
      <c r="BW46" s="65"/>
      <c r="BX46" s="74" t="s">
        <v>1958</v>
      </c>
      <c r="BY46" s="73">
        <f t="shared" si="112"/>
        <v>0</v>
      </c>
      <c r="BZ46" s="65"/>
      <c r="CA46" s="74" t="s">
        <v>2001</v>
      </c>
      <c r="CB46" s="73">
        <f t="shared" si="112"/>
        <v>0</v>
      </c>
      <c r="CC46" s="65"/>
      <c r="CD46" s="74" t="s">
        <v>1942</v>
      </c>
      <c r="CE46" s="73">
        <f t="shared" si="112"/>
        <v>0</v>
      </c>
      <c r="CF46" s="65"/>
      <c r="CG46" s="74" t="s">
        <v>1958</v>
      </c>
      <c r="CH46" s="73">
        <f t="shared" si="112"/>
        <v>0</v>
      </c>
      <c r="CI46" s="65"/>
      <c r="CJ46" s="74" t="s">
        <v>1943</v>
      </c>
      <c r="CK46" s="73">
        <f t="shared" si="110"/>
        <v>0</v>
      </c>
      <c r="CL46" s="65"/>
      <c r="CM46" s="74" t="s">
        <v>2001</v>
      </c>
      <c r="CN46" s="73">
        <f t="shared" si="110"/>
        <v>0</v>
      </c>
      <c r="CO46" s="65"/>
      <c r="CP46" s="74" t="s">
        <v>2001</v>
      </c>
      <c r="CQ46" s="73">
        <f t="shared" si="110"/>
        <v>0</v>
      </c>
      <c r="CR46" s="65"/>
      <c r="CS46" s="74" t="s">
        <v>2001</v>
      </c>
      <c r="CT46" s="73">
        <f t="shared" si="110"/>
        <v>0</v>
      </c>
      <c r="CU46" s="65"/>
      <c r="CV46" s="74" t="s">
        <v>2001</v>
      </c>
      <c r="CW46" s="73">
        <f t="shared" si="110"/>
        <v>0</v>
      </c>
      <c r="CX46" s="65"/>
      <c r="CY46" s="74" t="s">
        <v>2001</v>
      </c>
      <c r="CZ46" s="73">
        <f t="shared" si="110"/>
        <v>0</v>
      </c>
      <c r="DA46" s="65"/>
      <c r="DB46" s="74" t="s">
        <v>1958</v>
      </c>
      <c r="DC46" s="73">
        <f t="shared" si="110"/>
        <v>0</v>
      </c>
      <c r="DD46" s="65"/>
      <c r="DE46" s="74" t="s">
        <v>2001</v>
      </c>
      <c r="DF46" s="73">
        <f t="shared" si="110"/>
        <v>0</v>
      </c>
      <c r="DG46" s="65"/>
      <c r="DH46" s="74" t="s">
        <v>1943</v>
      </c>
      <c r="DI46" s="73">
        <f t="shared" si="110"/>
        <v>0</v>
      </c>
      <c r="DJ46" s="65"/>
      <c r="DK46" s="74" t="s">
        <v>2001</v>
      </c>
      <c r="DL46" s="73">
        <f t="shared" si="110"/>
        <v>0</v>
      </c>
      <c r="DM46" s="65"/>
      <c r="DN46" s="795" t="s">
        <v>2184</v>
      </c>
      <c r="DO46" s="73">
        <f t="shared" si="110"/>
        <v>0</v>
      </c>
      <c r="DP46" s="65"/>
      <c r="DQ46" s="795" t="s">
        <v>1943</v>
      </c>
      <c r="DR46" s="73">
        <f t="shared" si="110"/>
        <v>0</v>
      </c>
      <c r="DS46" s="65"/>
      <c r="DT46" s="74" t="s">
        <v>1948</v>
      </c>
      <c r="DU46" s="73">
        <f t="shared" si="110"/>
        <v>0</v>
      </c>
      <c r="DV46" s="65"/>
      <c r="DW46" s="74" t="s">
        <v>1954</v>
      </c>
      <c r="DX46" s="73">
        <f t="shared" si="114"/>
        <v>0</v>
      </c>
      <c r="DY46" s="65"/>
      <c r="DZ46" s="74" t="s">
        <v>1958</v>
      </c>
      <c r="EA46" s="73">
        <f t="shared" si="114"/>
        <v>0</v>
      </c>
      <c r="EB46" s="65"/>
      <c r="EC46" s="74" t="s">
        <v>1959</v>
      </c>
      <c r="ED46" s="73">
        <f t="shared" si="114"/>
        <v>0</v>
      </c>
      <c r="EE46" s="65"/>
      <c r="EF46" s="74" t="s">
        <v>1943</v>
      </c>
      <c r="EG46" s="73">
        <f t="shared" si="114"/>
        <v>0</v>
      </c>
      <c r="EH46" s="65"/>
      <c r="EI46" s="74" t="s">
        <v>2001</v>
      </c>
      <c r="EJ46" s="73">
        <f t="shared" si="114"/>
        <v>0</v>
      </c>
      <c r="EK46" s="65"/>
      <c r="EL46" s="74"/>
      <c r="EM46" s="73">
        <f t="shared" si="114"/>
        <v>0</v>
      </c>
      <c r="EN46" s="65"/>
      <c r="EO46" s="74"/>
      <c r="EP46" s="73">
        <f t="shared" si="114"/>
        <v>0</v>
      </c>
      <c r="EQ46" s="65"/>
      <c r="ER46" s="74"/>
      <c r="ES46" s="73">
        <f t="shared" si="114"/>
        <v>0</v>
      </c>
      <c r="ET46" s="65"/>
      <c r="EU46" s="74"/>
      <c r="EV46" s="73">
        <f t="shared" si="114"/>
        <v>0</v>
      </c>
      <c r="EW46" s="65"/>
      <c r="EX46" s="74"/>
      <c r="EY46" s="73">
        <f t="shared" si="114"/>
        <v>0</v>
      </c>
      <c r="EZ46" s="65"/>
      <c r="FA46" s="74"/>
      <c r="FB46" s="73">
        <f t="shared" si="114"/>
        <v>0</v>
      </c>
      <c r="FC46" s="65"/>
      <c r="FD46" s="74"/>
      <c r="FE46" s="73">
        <f t="shared" si="114"/>
        <v>0</v>
      </c>
      <c r="FF46" s="65"/>
      <c r="FG46" s="74"/>
      <c r="FH46" s="73">
        <f t="shared" si="114"/>
        <v>0</v>
      </c>
      <c r="FI46" s="65"/>
      <c r="FJ46" s="74"/>
      <c r="FK46" s="73">
        <f t="shared" si="114"/>
        <v>0</v>
      </c>
      <c r="FL46" s="65"/>
      <c r="FM46" s="65"/>
    </row>
    <row r="47" spans="1:169">
      <c r="A47" s="49"/>
      <c r="B47" s="49"/>
      <c r="C47" s="439" t="str">
        <f>Idiomas!D343</f>
        <v>Balón de Bronce (3º mejor jugador)</v>
      </c>
      <c r="D47" s="45">
        <v>5</v>
      </c>
      <c r="E47" s="111"/>
      <c r="F47" s="445">
        <f t="shared" si="97"/>
        <v>4</v>
      </c>
      <c r="G47" s="445">
        <f ca="1">VLOOKUP(H47,Equipos!$Q$1:$R$25,2,0)</f>
        <v>13</v>
      </c>
      <c r="H47" s="446">
        <f ca="1">TRUNC(INDEX(WORLDCUP!$X$4:$X$147,MATCH(ADMIN!K47,WORLDCUP!$DT$4:$DT$147,0))+INDEX(Horarios!$R$3:$R$86,MATCH(Horarios!$C$3,Horarios!$P$3:$P$86,0))/24)</f>
        <v>46196</v>
      </c>
      <c r="I47" s="48">
        <v>1</v>
      </c>
      <c r="J47" s="95" t="s">
        <v>514</v>
      </c>
      <c r="K47" s="56" t="str">
        <f ca="1">CONCATENATE(WORLDCUP!AA71,"-",WORLDCUP!AF71)</f>
        <v>Noruega-Senegal</v>
      </c>
      <c r="L47" s="53"/>
      <c r="M47" s="55" t="str">
        <f>IF(OR(WORLDCUP!AC71="",WORLDCUP!AD71=""),"-",N47&amp;"|"&amp;O47&amp;"-"&amp;P47)</f>
        <v>-</v>
      </c>
      <c r="N47" s="25" t="str">
        <f>IF(OR(WORLDCUP!AC71="",WORLDCUP!AD71=""),"",IF(WORLDCUP!AC71&gt;WORLDCUP!AD71,"1",IF(WORLDCUP!AC71&lt;WORLDCUP!AD71,"2","X")))</f>
        <v/>
      </c>
      <c r="O47" s="25">
        <f>WORLDCUP!AC71</f>
        <v>0</v>
      </c>
      <c r="P47" s="25">
        <f>WORLDCUP!AD71</f>
        <v>0</v>
      </c>
      <c r="Q47" s="25">
        <f t="shared" si="101"/>
        <v>0</v>
      </c>
      <c r="R47" s="49"/>
      <c r="S47" s="74" t="s">
        <v>1954</v>
      </c>
      <c r="T47" s="73">
        <f t="shared" si="98"/>
        <v>0</v>
      </c>
      <c r="U47" s="65"/>
      <c r="V47" s="74" t="s">
        <v>1962</v>
      </c>
      <c r="W47" s="73">
        <f t="shared" si="111"/>
        <v>0</v>
      </c>
      <c r="X47" s="65"/>
      <c r="Y47" s="74" t="s">
        <v>1943</v>
      </c>
      <c r="Z47" s="73">
        <f t="shared" si="112"/>
        <v>0</v>
      </c>
      <c r="AA47" s="65"/>
      <c r="AB47" s="74" t="s">
        <v>1946</v>
      </c>
      <c r="AC47" s="73">
        <f t="shared" si="112"/>
        <v>0</v>
      </c>
      <c r="AD47" s="65"/>
      <c r="AE47" s="74" t="s">
        <v>1946</v>
      </c>
      <c r="AF47" s="73">
        <f t="shared" si="112"/>
        <v>0</v>
      </c>
      <c r="AG47" s="65"/>
      <c r="AH47" s="74" t="s">
        <v>1944</v>
      </c>
      <c r="AI47" s="73">
        <f t="shared" si="112"/>
        <v>0</v>
      </c>
      <c r="AJ47" s="65"/>
      <c r="AK47" s="74" t="s">
        <v>1944</v>
      </c>
      <c r="AL47" s="73">
        <f t="shared" si="112"/>
        <v>0</v>
      </c>
      <c r="AM47" s="65"/>
      <c r="AN47" s="74" t="s">
        <v>1942</v>
      </c>
      <c r="AO47" s="73">
        <f t="shared" si="112"/>
        <v>0</v>
      </c>
      <c r="AP47" s="65"/>
      <c r="AQ47" s="74" t="s">
        <v>1944</v>
      </c>
      <c r="AR47" s="73">
        <f t="shared" si="112"/>
        <v>0</v>
      </c>
      <c r="AS47" s="65"/>
      <c r="AT47" s="74" t="s">
        <v>1946</v>
      </c>
      <c r="AU47" s="73">
        <f t="shared" si="112"/>
        <v>0</v>
      </c>
      <c r="AV47" s="65"/>
      <c r="AW47" s="74" t="s">
        <v>1944</v>
      </c>
      <c r="AX47" s="73">
        <f t="shared" si="112"/>
        <v>0</v>
      </c>
      <c r="AY47" s="65"/>
      <c r="AZ47" s="74" t="s">
        <v>1944</v>
      </c>
      <c r="BA47" s="73">
        <f t="shared" si="112"/>
        <v>0</v>
      </c>
      <c r="BB47" s="65"/>
      <c r="BC47" s="74" t="s">
        <v>1942</v>
      </c>
      <c r="BD47" s="73">
        <f t="shared" si="112"/>
        <v>0</v>
      </c>
      <c r="BE47" s="65"/>
      <c r="BF47" s="74" t="s">
        <v>1954</v>
      </c>
      <c r="BG47" s="73">
        <f t="shared" si="112"/>
        <v>0</v>
      </c>
      <c r="BH47" s="65"/>
      <c r="BI47" s="74" t="s">
        <v>1943</v>
      </c>
      <c r="BJ47" s="73">
        <f t="shared" si="112"/>
        <v>0</v>
      </c>
      <c r="BK47" s="65"/>
      <c r="BL47" s="74" t="s">
        <v>1946</v>
      </c>
      <c r="BM47" s="73">
        <f t="shared" si="112"/>
        <v>0</v>
      </c>
      <c r="BN47" s="65"/>
      <c r="BO47" s="74" t="s">
        <v>1946</v>
      </c>
      <c r="BP47" s="73">
        <f t="shared" si="112"/>
        <v>0</v>
      </c>
      <c r="BQ47" s="65"/>
      <c r="BR47" s="74" t="s">
        <v>1946</v>
      </c>
      <c r="BS47" s="73">
        <f t="shared" si="112"/>
        <v>0</v>
      </c>
      <c r="BT47" s="65"/>
      <c r="BU47" s="74" t="s">
        <v>1952</v>
      </c>
      <c r="BV47" s="73">
        <f t="shared" si="112"/>
        <v>0</v>
      </c>
      <c r="BW47" s="65"/>
      <c r="BX47" s="74" t="s">
        <v>1946</v>
      </c>
      <c r="BY47" s="73">
        <f t="shared" si="112"/>
        <v>0</v>
      </c>
      <c r="BZ47" s="65"/>
      <c r="CA47" s="74" t="s">
        <v>1945</v>
      </c>
      <c r="CB47" s="73">
        <f t="shared" si="112"/>
        <v>0</v>
      </c>
      <c r="CC47" s="65"/>
      <c r="CD47" s="74" t="s">
        <v>1946</v>
      </c>
      <c r="CE47" s="73">
        <f t="shared" si="112"/>
        <v>0</v>
      </c>
      <c r="CF47" s="65"/>
      <c r="CG47" s="74" t="s">
        <v>1946</v>
      </c>
      <c r="CH47" s="73">
        <f t="shared" si="112"/>
        <v>0</v>
      </c>
      <c r="CI47" s="65"/>
      <c r="CJ47" s="74" t="s">
        <v>1948</v>
      </c>
      <c r="CK47" s="73">
        <f t="shared" si="110"/>
        <v>0</v>
      </c>
      <c r="CL47" s="65"/>
      <c r="CM47" s="74" t="s">
        <v>1948</v>
      </c>
      <c r="CN47" s="73">
        <f t="shared" si="110"/>
        <v>0</v>
      </c>
      <c r="CO47" s="65"/>
      <c r="CP47" s="74" t="s">
        <v>1944</v>
      </c>
      <c r="CQ47" s="73">
        <f t="shared" si="110"/>
        <v>0</v>
      </c>
      <c r="CR47" s="65"/>
      <c r="CS47" s="74" t="s">
        <v>1946</v>
      </c>
      <c r="CT47" s="73">
        <f t="shared" si="110"/>
        <v>0</v>
      </c>
      <c r="CU47" s="65"/>
      <c r="CV47" s="74" t="s">
        <v>1946</v>
      </c>
      <c r="CW47" s="73">
        <f t="shared" si="110"/>
        <v>0</v>
      </c>
      <c r="CX47" s="65"/>
      <c r="CY47" s="74" t="s">
        <v>1943</v>
      </c>
      <c r="CZ47" s="73">
        <f t="shared" si="110"/>
        <v>0</v>
      </c>
      <c r="DA47" s="65"/>
      <c r="DB47" s="74" t="s">
        <v>1946</v>
      </c>
      <c r="DC47" s="73">
        <f t="shared" si="110"/>
        <v>0</v>
      </c>
      <c r="DD47" s="65"/>
      <c r="DE47" s="74" t="s">
        <v>1946</v>
      </c>
      <c r="DF47" s="73">
        <f t="shared" si="110"/>
        <v>0</v>
      </c>
      <c r="DG47" s="65"/>
      <c r="DH47" s="74" t="s">
        <v>1944</v>
      </c>
      <c r="DI47" s="73">
        <f t="shared" si="110"/>
        <v>0</v>
      </c>
      <c r="DJ47" s="65"/>
      <c r="DK47" s="74" t="s">
        <v>1942</v>
      </c>
      <c r="DL47" s="73">
        <f t="shared" si="110"/>
        <v>0</v>
      </c>
      <c r="DM47" s="65"/>
      <c r="DN47" s="795" t="s">
        <v>1948</v>
      </c>
      <c r="DO47" s="73">
        <f t="shared" si="110"/>
        <v>0</v>
      </c>
      <c r="DP47" s="65"/>
      <c r="DQ47" s="795" t="s">
        <v>1954</v>
      </c>
      <c r="DR47" s="73">
        <f t="shared" si="110"/>
        <v>0</v>
      </c>
      <c r="DS47" s="65"/>
      <c r="DT47" s="74" t="s">
        <v>1956</v>
      </c>
      <c r="DU47" s="73">
        <f t="shared" si="110"/>
        <v>0</v>
      </c>
      <c r="DV47" s="65"/>
      <c r="DW47" s="74" t="s">
        <v>1946</v>
      </c>
      <c r="DX47" s="73">
        <f t="shared" si="114"/>
        <v>0</v>
      </c>
      <c r="DY47" s="65"/>
      <c r="DZ47" s="74" t="s">
        <v>1948</v>
      </c>
      <c r="EA47" s="73">
        <f t="shared" si="114"/>
        <v>0</v>
      </c>
      <c r="EB47" s="65"/>
      <c r="EC47" s="74" t="s">
        <v>1944</v>
      </c>
      <c r="ED47" s="73">
        <f t="shared" si="114"/>
        <v>0</v>
      </c>
      <c r="EE47" s="65"/>
      <c r="EF47" s="74" t="s">
        <v>1960</v>
      </c>
      <c r="EG47" s="73">
        <f t="shared" si="114"/>
        <v>0</v>
      </c>
      <c r="EH47" s="65"/>
      <c r="EI47" s="74" t="s">
        <v>1944</v>
      </c>
      <c r="EJ47" s="73">
        <f t="shared" si="114"/>
        <v>0</v>
      </c>
      <c r="EK47" s="65"/>
      <c r="EL47" s="74"/>
      <c r="EM47" s="73">
        <f t="shared" si="114"/>
        <v>0</v>
      </c>
      <c r="EN47" s="65"/>
      <c r="EO47" s="74"/>
      <c r="EP47" s="73">
        <f t="shared" si="114"/>
        <v>0</v>
      </c>
      <c r="EQ47" s="65"/>
      <c r="ER47" s="74"/>
      <c r="ES47" s="73">
        <f t="shared" si="114"/>
        <v>0</v>
      </c>
      <c r="ET47" s="65"/>
      <c r="EU47" s="74"/>
      <c r="EV47" s="73">
        <f t="shared" si="114"/>
        <v>0</v>
      </c>
      <c r="EW47" s="65"/>
      <c r="EX47" s="74"/>
      <c r="EY47" s="73">
        <f t="shared" si="114"/>
        <v>0</v>
      </c>
      <c r="EZ47" s="65"/>
      <c r="FA47" s="74"/>
      <c r="FB47" s="73">
        <f t="shared" si="114"/>
        <v>0</v>
      </c>
      <c r="FC47" s="65"/>
      <c r="FD47" s="74"/>
      <c r="FE47" s="73">
        <f t="shared" si="114"/>
        <v>0</v>
      </c>
      <c r="FF47" s="65"/>
      <c r="FG47" s="74"/>
      <c r="FH47" s="73">
        <f t="shared" si="114"/>
        <v>0</v>
      </c>
      <c r="FI47" s="65"/>
      <c r="FJ47" s="74"/>
      <c r="FK47" s="73">
        <f t="shared" si="114"/>
        <v>0</v>
      </c>
      <c r="FL47" s="65"/>
      <c r="FM47" s="65"/>
    </row>
    <row r="48" spans="1:169">
      <c r="A48" s="49"/>
      <c r="B48" s="49"/>
      <c r="C48" s="17"/>
      <c r="D48" s="17"/>
      <c r="E48" s="89"/>
      <c r="F48" s="445">
        <f t="shared" si="97"/>
        <v>4</v>
      </c>
      <c r="G48" s="445">
        <f ca="1">VLOOKUP(H48,Equipos!$Q$1:$R$25,2,0)</f>
        <v>12</v>
      </c>
      <c r="H48" s="446">
        <f ca="1">TRUNC(INDEX(WORLDCUP!$X$4:$X$147,MATCH(ADMIN!K48,WORLDCUP!$DT$4:$DT$147,0))+INDEX(Horarios!$R$3:$R$86,MATCH(Horarios!$C$3,Horarios!$P$3:$P$86,0))/24)</f>
        <v>46195</v>
      </c>
      <c r="I48" s="48">
        <v>1</v>
      </c>
      <c r="J48" s="96" t="s">
        <v>27</v>
      </c>
      <c r="K48" s="53" t="str">
        <f ca="1">CONCATENATE(WORLDCUP!AA78,"-",WORLDCUP!AF78)</f>
        <v>Argentina-Austria</v>
      </c>
      <c r="L48" s="53"/>
      <c r="M48" s="53" t="str">
        <f>IF(OR(WORLDCUP!AC78="",WORLDCUP!AD78=""),"-",N48&amp;"|"&amp;O48&amp;"-"&amp;P48)</f>
        <v>-</v>
      </c>
      <c r="N48" s="25" t="str">
        <f>IF(OR(WORLDCUP!AC78="",WORLDCUP!AD78=""),"",IF(WORLDCUP!AC78&gt;WORLDCUP!AD78,"1",IF(WORLDCUP!AC78&lt;WORLDCUP!AD78,"2","X")))</f>
        <v/>
      </c>
      <c r="O48" s="25">
        <f>WORLDCUP!AC78</f>
        <v>0</v>
      </c>
      <c r="P48" s="25">
        <f>WORLDCUP!AD78</f>
        <v>0</v>
      </c>
      <c r="Q48" s="25">
        <f t="shared" si="101"/>
        <v>0</v>
      </c>
      <c r="R48" s="49"/>
      <c r="S48" s="74" t="s">
        <v>1943</v>
      </c>
      <c r="T48" s="73">
        <f t="shared" si="98"/>
        <v>0</v>
      </c>
      <c r="U48" s="65"/>
      <c r="V48" s="74" t="s">
        <v>1954</v>
      </c>
      <c r="W48" s="73">
        <f t="shared" si="111"/>
        <v>0</v>
      </c>
      <c r="X48" s="65"/>
      <c r="Y48" s="74" t="s">
        <v>1948</v>
      </c>
      <c r="Z48" s="73">
        <f t="shared" si="112"/>
        <v>0</v>
      </c>
      <c r="AA48" s="65"/>
      <c r="AB48" s="74" t="s">
        <v>1946</v>
      </c>
      <c r="AC48" s="73">
        <f t="shared" si="112"/>
        <v>0</v>
      </c>
      <c r="AD48" s="65"/>
      <c r="AE48" s="74" t="s">
        <v>1944</v>
      </c>
      <c r="AF48" s="73">
        <f t="shared" si="112"/>
        <v>0</v>
      </c>
      <c r="AG48" s="65"/>
      <c r="AH48" s="74" t="s">
        <v>1948</v>
      </c>
      <c r="AI48" s="73">
        <f t="shared" si="112"/>
        <v>0</v>
      </c>
      <c r="AJ48" s="65"/>
      <c r="AK48" s="74" t="s">
        <v>1942</v>
      </c>
      <c r="AL48" s="73">
        <f t="shared" si="112"/>
        <v>0</v>
      </c>
      <c r="AM48" s="65"/>
      <c r="AN48" s="74" t="s">
        <v>1946</v>
      </c>
      <c r="AO48" s="73">
        <f t="shared" si="112"/>
        <v>0</v>
      </c>
      <c r="AP48" s="65"/>
      <c r="AQ48" s="74" t="s">
        <v>1943</v>
      </c>
      <c r="AR48" s="73">
        <f t="shared" si="112"/>
        <v>0</v>
      </c>
      <c r="AS48" s="65"/>
      <c r="AT48" s="74" t="s">
        <v>1946</v>
      </c>
      <c r="AU48" s="73">
        <f t="shared" si="112"/>
        <v>0</v>
      </c>
      <c r="AV48" s="65"/>
      <c r="AW48" s="74" t="s">
        <v>1948</v>
      </c>
      <c r="AX48" s="73">
        <f t="shared" si="112"/>
        <v>0</v>
      </c>
      <c r="AY48" s="65"/>
      <c r="AZ48" s="74" t="s">
        <v>1948</v>
      </c>
      <c r="BA48" s="73">
        <f t="shared" si="112"/>
        <v>0</v>
      </c>
      <c r="BB48" s="65"/>
      <c r="BC48" s="74" t="s">
        <v>1954</v>
      </c>
      <c r="BD48" s="73">
        <f t="shared" si="112"/>
        <v>0</v>
      </c>
      <c r="BE48" s="65"/>
      <c r="BF48" s="74" t="s">
        <v>1954</v>
      </c>
      <c r="BG48" s="73">
        <f t="shared" si="112"/>
        <v>0</v>
      </c>
      <c r="BH48" s="65"/>
      <c r="BI48" s="74" t="s">
        <v>1948</v>
      </c>
      <c r="BJ48" s="73">
        <f t="shared" si="112"/>
        <v>0</v>
      </c>
      <c r="BK48" s="65"/>
      <c r="BL48" s="74" t="s">
        <v>1954</v>
      </c>
      <c r="BM48" s="73">
        <f t="shared" si="112"/>
        <v>0</v>
      </c>
      <c r="BN48" s="65"/>
      <c r="BO48" s="74" t="s">
        <v>1948</v>
      </c>
      <c r="BP48" s="73">
        <f t="shared" si="112"/>
        <v>0</v>
      </c>
      <c r="BQ48" s="65"/>
      <c r="BR48" s="74" t="s">
        <v>1942</v>
      </c>
      <c r="BS48" s="73">
        <f t="shared" si="112"/>
        <v>0</v>
      </c>
      <c r="BT48" s="65"/>
      <c r="BU48" s="74" t="s">
        <v>1948</v>
      </c>
      <c r="BV48" s="73">
        <f t="shared" si="112"/>
        <v>0</v>
      </c>
      <c r="BW48" s="65"/>
      <c r="BX48" s="74" t="s">
        <v>1948</v>
      </c>
      <c r="BY48" s="73">
        <f t="shared" si="112"/>
        <v>0</v>
      </c>
      <c r="BZ48" s="65"/>
      <c r="CA48" s="74" t="s">
        <v>1942</v>
      </c>
      <c r="CB48" s="73">
        <f t="shared" si="112"/>
        <v>0</v>
      </c>
      <c r="CC48" s="65"/>
      <c r="CD48" s="74" t="s">
        <v>1944</v>
      </c>
      <c r="CE48" s="73">
        <f t="shared" si="112"/>
        <v>0</v>
      </c>
      <c r="CF48" s="65"/>
      <c r="CG48" s="74" t="s">
        <v>1948</v>
      </c>
      <c r="CH48" s="73">
        <f t="shared" si="112"/>
        <v>0</v>
      </c>
      <c r="CI48" s="65"/>
      <c r="CJ48" s="74" t="s">
        <v>1942</v>
      </c>
      <c r="CK48" s="73">
        <f t="shared" si="110"/>
        <v>0</v>
      </c>
      <c r="CL48" s="65"/>
      <c r="CM48" s="74" t="s">
        <v>1954</v>
      </c>
      <c r="CN48" s="73">
        <f t="shared" si="110"/>
        <v>0</v>
      </c>
      <c r="CO48" s="65"/>
      <c r="CP48" s="74" t="s">
        <v>1948</v>
      </c>
      <c r="CQ48" s="73">
        <f t="shared" si="110"/>
        <v>0</v>
      </c>
      <c r="CR48" s="65"/>
      <c r="CS48" s="74" t="s">
        <v>1948</v>
      </c>
      <c r="CT48" s="73">
        <f t="shared" si="110"/>
        <v>0</v>
      </c>
      <c r="CU48" s="65"/>
      <c r="CV48" s="74" t="s">
        <v>1943</v>
      </c>
      <c r="CW48" s="73">
        <f t="shared" si="110"/>
        <v>0</v>
      </c>
      <c r="CX48" s="65"/>
      <c r="CY48" s="74" t="s">
        <v>1942</v>
      </c>
      <c r="CZ48" s="73">
        <f t="shared" si="110"/>
        <v>0</v>
      </c>
      <c r="DA48" s="65"/>
      <c r="DB48" s="74" t="s">
        <v>1948</v>
      </c>
      <c r="DC48" s="73">
        <f t="shared" si="110"/>
        <v>0</v>
      </c>
      <c r="DD48" s="65"/>
      <c r="DE48" s="74" t="s">
        <v>1957</v>
      </c>
      <c r="DF48" s="73">
        <f t="shared" si="110"/>
        <v>0</v>
      </c>
      <c r="DG48" s="65"/>
      <c r="DH48" s="74" t="s">
        <v>1948</v>
      </c>
      <c r="DI48" s="73">
        <f t="shared" si="110"/>
        <v>0</v>
      </c>
      <c r="DJ48" s="65"/>
      <c r="DK48" s="74" t="s">
        <v>1948</v>
      </c>
      <c r="DL48" s="73">
        <f t="shared" si="110"/>
        <v>0</v>
      </c>
      <c r="DM48" s="65"/>
      <c r="DN48" s="795" t="s">
        <v>1957</v>
      </c>
      <c r="DO48" s="73">
        <f t="shared" si="110"/>
        <v>0</v>
      </c>
      <c r="DP48" s="65"/>
      <c r="DQ48" s="795" t="s">
        <v>1946</v>
      </c>
      <c r="DR48" s="73">
        <f t="shared" si="110"/>
        <v>0</v>
      </c>
      <c r="DS48" s="65"/>
      <c r="DT48" s="74" t="s">
        <v>1948</v>
      </c>
      <c r="DU48" s="73">
        <f t="shared" si="110"/>
        <v>0</v>
      </c>
      <c r="DV48" s="65"/>
      <c r="DW48" s="74" t="s">
        <v>1948</v>
      </c>
      <c r="DX48" s="73">
        <f t="shared" si="114"/>
        <v>0</v>
      </c>
      <c r="DY48" s="65"/>
      <c r="DZ48" s="74" t="s">
        <v>1948</v>
      </c>
      <c r="EA48" s="73">
        <f t="shared" si="114"/>
        <v>0</v>
      </c>
      <c r="EB48" s="65"/>
      <c r="EC48" s="74" t="s">
        <v>1942</v>
      </c>
      <c r="ED48" s="73">
        <f t="shared" si="114"/>
        <v>0</v>
      </c>
      <c r="EE48" s="65"/>
      <c r="EF48" s="74" t="s">
        <v>1942</v>
      </c>
      <c r="EG48" s="73">
        <f t="shared" si="114"/>
        <v>0</v>
      </c>
      <c r="EH48" s="65"/>
      <c r="EI48" s="74" t="s">
        <v>1946</v>
      </c>
      <c r="EJ48" s="73">
        <f t="shared" si="114"/>
        <v>0</v>
      </c>
      <c r="EK48" s="65"/>
      <c r="EL48" s="74"/>
      <c r="EM48" s="73">
        <f t="shared" si="114"/>
        <v>0</v>
      </c>
      <c r="EN48" s="65"/>
      <c r="EO48" s="74"/>
      <c r="EP48" s="73">
        <f t="shared" si="114"/>
        <v>0</v>
      </c>
      <c r="EQ48" s="65"/>
      <c r="ER48" s="74"/>
      <c r="ES48" s="73">
        <f t="shared" si="114"/>
        <v>0</v>
      </c>
      <c r="ET48" s="65"/>
      <c r="EU48" s="74"/>
      <c r="EV48" s="73">
        <f t="shared" si="114"/>
        <v>0</v>
      </c>
      <c r="EW48" s="65"/>
      <c r="EX48" s="74"/>
      <c r="EY48" s="73">
        <f t="shared" si="114"/>
        <v>0</v>
      </c>
      <c r="EZ48" s="65"/>
      <c r="FA48" s="74"/>
      <c r="FB48" s="73">
        <f t="shared" si="114"/>
        <v>0</v>
      </c>
      <c r="FC48" s="65"/>
      <c r="FD48" s="74"/>
      <c r="FE48" s="73">
        <f t="shared" si="114"/>
        <v>0</v>
      </c>
      <c r="FF48" s="65"/>
      <c r="FG48" s="74"/>
      <c r="FH48" s="73">
        <f t="shared" si="114"/>
        <v>0</v>
      </c>
      <c r="FI48" s="65"/>
      <c r="FJ48" s="74"/>
      <c r="FK48" s="73">
        <f t="shared" si="114"/>
        <v>0</v>
      </c>
      <c r="FL48" s="65"/>
      <c r="FM48" s="65"/>
    </row>
    <row r="49" spans="1:169" ht="15" thickBot="1">
      <c r="A49" s="49"/>
      <c r="B49" s="436"/>
      <c r="C49" s="667" t="str">
        <f>"**"&amp;Idiomas!D441&amp;": -&gt;"</f>
        <v>**% Ajuste por desvío en Diferencia/Distancia de goles: -&gt;</v>
      </c>
      <c r="D49" s="668" t="s">
        <v>1927</v>
      </c>
      <c r="E49" s="89"/>
      <c r="F49" s="445">
        <f t="shared" si="97"/>
        <v>4</v>
      </c>
      <c r="G49" s="445">
        <f ca="1">VLOOKUP(H49,Equipos!$Q$1:$R$25,2,0)</f>
        <v>13</v>
      </c>
      <c r="H49" s="446">
        <f ca="1">TRUNC(INDEX(WORLDCUP!$X$4:$X$147,MATCH(ADMIN!K49,WORLDCUP!$DT$4:$DT$147,0))+INDEX(Horarios!$R$3:$R$86,MATCH(Horarios!$C$3,Horarios!$P$3:$P$86,0))/24)</f>
        <v>46196</v>
      </c>
      <c r="I49" s="48">
        <v>1</v>
      </c>
      <c r="J49" s="96" t="s">
        <v>27</v>
      </c>
      <c r="K49" s="53" t="str">
        <f ca="1">CONCATENATE(WORLDCUP!AA79,"-",WORLDCUP!AF79)</f>
        <v>Jordania-Argelia</v>
      </c>
      <c r="L49" s="53"/>
      <c r="M49" s="55" t="str">
        <f>IF(OR(WORLDCUP!AC79="",WORLDCUP!AD79=""),"-",N49&amp;"|"&amp;O49&amp;"-"&amp;P49)</f>
        <v>-</v>
      </c>
      <c r="N49" s="25" t="str">
        <f>IF(OR(WORLDCUP!AC79="",WORLDCUP!AD79=""),"",IF(WORLDCUP!AC79&gt;WORLDCUP!AD79,"1",IF(WORLDCUP!AC79&lt;WORLDCUP!AD79,"2","X")))</f>
        <v/>
      </c>
      <c r="O49" s="25">
        <f>WORLDCUP!AC79</f>
        <v>0</v>
      </c>
      <c r="P49" s="25">
        <f>WORLDCUP!AD79</f>
        <v>0</v>
      </c>
      <c r="Q49" s="25">
        <f t="shared" si="101"/>
        <v>0</v>
      </c>
      <c r="R49" s="49"/>
      <c r="S49" s="74" t="s">
        <v>1960</v>
      </c>
      <c r="T49" s="73">
        <f t="shared" si="98"/>
        <v>0</v>
      </c>
      <c r="U49" s="65"/>
      <c r="V49" s="74" t="s">
        <v>1952</v>
      </c>
      <c r="W49" s="73">
        <f t="shared" si="111"/>
        <v>0</v>
      </c>
      <c r="X49" s="65"/>
      <c r="Y49" s="74" t="s">
        <v>1952</v>
      </c>
      <c r="Z49" s="73">
        <f t="shared" si="112"/>
        <v>0</v>
      </c>
      <c r="AA49" s="65"/>
      <c r="AB49" s="74" t="s">
        <v>1957</v>
      </c>
      <c r="AC49" s="73">
        <f t="shared" si="112"/>
        <v>0</v>
      </c>
      <c r="AD49" s="65"/>
      <c r="AE49" s="74" t="s">
        <v>1946</v>
      </c>
      <c r="AF49" s="73">
        <f t="shared" si="112"/>
        <v>0</v>
      </c>
      <c r="AG49" s="65"/>
      <c r="AH49" s="74" t="s">
        <v>1960</v>
      </c>
      <c r="AI49" s="73">
        <f t="shared" si="112"/>
        <v>0</v>
      </c>
      <c r="AJ49" s="65"/>
      <c r="AK49" s="74" t="s">
        <v>1949</v>
      </c>
      <c r="AL49" s="73">
        <f t="shared" si="112"/>
        <v>0</v>
      </c>
      <c r="AM49" s="65"/>
      <c r="AN49" s="74" t="s">
        <v>1945</v>
      </c>
      <c r="AO49" s="73">
        <f t="shared" si="112"/>
        <v>0</v>
      </c>
      <c r="AP49" s="65"/>
      <c r="AQ49" s="74" t="s">
        <v>1945</v>
      </c>
      <c r="AR49" s="73">
        <f t="shared" si="112"/>
        <v>0</v>
      </c>
      <c r="AS49" s="65"/>
      <c r="AT49" s="74" t="s">
        <v>1949</v>
      </c>
      <c r="AU49" s="73">
        <f t="shared" si="112"/>
        <v>0</v>
      </c>
      <c r="AV49" s="65"/>
      <c r="AW49" s="74" t="s">
        <v>1949</v>
      </c>
      <c r="AX49" s="73">
        <f t="shared" si="112"/>
        <v>0</v>
      </c>
      <c r="AY49" s="65"/>
      <c r="AZ49" s="74" t="s">
        <v>1960</v>
      </c>
      <c r="BA49" s="73">
        <f t="shared" si="112"/>
        <v>0</v>
      </c>
      <c r="BB49" s="65"/>
      <c r="BC49" s="74" t="s">
        <v>1957</v>
      </c>
      <c r="BD49" s="73">
        <f t="shared" si="112"/>
        <v>0</v>
      </c>
      <c r="BE49" s="65"/>
      <c r="BF49" s="74" t="s">
        <v>1946</v>
      </c>
      <c r="BG49" s="73">
        <f t="shared" si="112"/>
        <v>0</v>
      </c>
      <c r="BH49" s="65"/>
      <c r="BI49" s="74" t="s">
        <v>1952</v>
      </c>
      <c r="BJ49" s="73">
        <f t="shared" si="112"/>
        <v>0</v>
      </c>
      <c r="BK49" s="65"/>
      <c r="BL49" s="74" t="s">
        <v>1960</v>
      </c>
      <c r="BM49" s="73">
        <f t="shared" si="112"/>
        <v>0</v>
      </c>
      <c r="BN49" s="65"/>
      <c r="BO49" s="74" t="s">
        <v>1949</v>
      </c>
      <c r="BP49" s="73">
        <f t="shared" si="112"/>
        <v>0</v>
      </c>
      <c r="BQ49" s="65"/>
      <c r="BR49" s="74" t="s">
        <v>1946</v>
      </c>
      <c r="BS49" s="73">
        <f t="shared" si="112"/>
        <v>0</v>
      </c>
      <c r="BT49" s="65"/>
      <c r="BU49" s="74" t="s">
        <v>1952</v>
      </c>
      <c r="BV49" s="73">
        <f t="shared" si="112"/>
        <v>0</v>
      </c>
      <c r="BW49" s="65"/>
      <c r="BX49" s="74" t="s">
        <v>1960</v>
      </c>
      <c r="BY49" s="73">
        <f t="shared" si="112"/>
        <v>0</v>
      </c>
      <c r="BZ49" s="65"/>
      <c r="CA49" s="74" t="s">
        <v>1957</v>
      </c>
      <c r="CB49" s="73">
        <f t="shared" si="112"/>
        <v>0</v>
      </c>
      <c r="CC49" s="65"/>
      <c r="CD49" s="74" t="s">
        <v>1946</v>
      </c>
      <c r="CE49" s="73">
        <f t="shared" si="112"/>
        <v>0</v>
      </c>
      <c r="CF49" s="65"/>
      <c r="CG49" s="74" t="s">
        <v>1948</v>
      </c>
      <c r="CH49" s="73">
        <f t="shared" si="112"/>
        <v>0</v>
      </c>
      <c r="CI49" s="65"/>
      <c r="CJ49" s="74" t="s">
        <v>1957</v>
      </c>
      <c r="CK49" s="73">
        <f t="shared" si="110"/>
        <v>0</v>
      </c>
      <c r="CL49" s="65"/>
      <c r="CM49" s="74" t="s">
        <v>1957</v>
      </c>
      <c r="CN49" s="73">
        <f t="shared" si="110"/>
        <v>0</v>
      </c>
      <c r="CO49" s="65"/>
      <c r="CP49" s="74" t="s">
        <v>1949</v>
      </c>
      <c r="CQ49" s="73">
        <f t="shared" si="110"/>
        <v>0</v>
      </c>
      <c r="CR49" s="65"/>
      <c r="CS49" s="74" t="s">
        <v>1949</v>
      </c>
      <c r="CT49" s="73">
        <f t="shared" si="110"/>
        <v>0</v>
      </c>
      <c r="CU49" s="65"/>
      <c r="CV49" s="74" t="s">
        <v>1960</v>
      </c>
      <c r="CW49" s="73">
        <f t="shared" si="110"/>
        <v>0</v>
      </c>
      <c r="CX49" s="65"/>
      <c r="CY49" s="74" t="s">
        <v>1960</v>
      </c>
      <c r="CZ49" s="73">
        <f t="shared" si="110"/>
        <v>0</v>
      </c>
      <c r="DA49" s="65"/>
      <c r="DB49" s="74" t="s">
        <v>1960</v>
      </c>
      <c r="DC49" s="73">
        <f t="shared" si="110"/>
        <v>0</v>
      </c>
      <c r="DD49" s="65"/>
      <c r="DE49" s="74" t="s">
        <v>1960</v>
      </c>
      <c r="DF49" s="73">
        <f t="shared" si="110"/>
        <v>0</v>
      </c>
      <c r="DG49" s="65"/>
      <c r="DH49" s="74" t="s">
        <v>1949</v>
      </c>
      <c r="DI49" s="73">
        <f t="shared" si="110"/>
        <v>0</v>
      </c>
      <c r="DJ49" s="65"/>
      <c r="DK49" s="74" t="s">
        <v>1952</v>
      </c>
      <c r="DL49" s="73">
        <f t="shared" si="110"/>
        <v>0</v>
      </c>
      <c r="DM49" s="65"/>
      <c r="DN49" s="795" t="s">
        <v>1947</v>
      </c>
      <c r="DO49" s="73">
        <f t="shared" si="110"/>
        <v>0</v>
      </c>
      <c r="DP49" s="65"/>
      <c r="DQ49" s="795" t="s">
        <v>1945</v>
      </c>
      <c r="DR49" s="73">
        <f t="shared" si="110"/>
        <v>0</v>
      </c>
      <c r="DS49" s="65"/>
      <c r="DT49" s="74" t="s">
        <v>1960</v>
      </c>
      <c r="DU49" s="73">
        <f t="shared" si="110"/>
        <v>0</v>
      </c>
      <c r="DV49" s="65"/>
      <c r="DW49" s="74" t="s">
        <v>1949</v>
      </c>
      <c r="DX49" s="73">
        <f t="shared" si="114"/>
        <v>0</v>
      </c>
      <c r="DY49" s="65"/>
      <c r="DZ49" s="74" t="s">
        <v>1960</v>
      </c>
      <c r="EA49" s="73">
        <f t="shared" si="114"/>
        <v>0</v>
      </c>
      <c r="EB49" s="65"/>
      <c r="EC49" s="74" t="s">
        <v>1945</v>
      </c>
      <c r="ED49" s="73">
        <f t="shared" si="114"/>
        <v>0</v>
      </c>
      <c r="EE49" s="65"/>
      <c r="EF49" s="74" t="s">
        <v>1952</v>
      </c>
      <c r="EG49" s="73">
        <f t="shared" si="114"/>
        <v>0</v>
      </c>
      <c r="EH49" s="65"/>
      <c r="EI49" s="74" t="s">
        <v>1949</v>
      </c>
      <c r="EJ49" s="73">
        <f t="shared" si="114"/>
        <v>0</v>
      </c>
      <c r="EK49" s="65"/>
      <c r="EL49" s="74"/>
      <c r="EM49" s="73">
        <f t="shared" si="114"/>
        <v>0</v>
      </c>
      <c r="EN49" s="65"/>
      <c r="EO49" s="74"/>
      <c r="EP49" s="73">
        <f t="shared" si="114"/>
        <v>0</v>
      </c>
      <c r="EQ49" s="65"/>
      <c r="ER49" s="74"/>
      <c r="ES49" s="73">
        <f t="shared" si="114"/>
        <v>0</v>
      </c>
      <c r="ET49" s="65"/>
      <c r="EU49" s="74"/>
      <c r="EV49" s="73">
        <f t="shared" si="114"/>
        <v>0</v>
      </c>
      <c r="EW49" s="65"/>
      <c r="EX49" s="74"/>
      <c r="EY49" s="73">
        <f t="shared" si="114"/>
        <v>0</v>
      </c>
      <c r="EZ49" s="65"/>
      <c r="FA49" s="74"/>
      <c r="FB49" s="73">
        <f t="shared" si="114"/>
        <v>0</v>
      </c>
      <c r="FC49" s="65"/>
      <c r="FD49" s="74"/>
      <c r="FE49" s="73">
        <f t="shared" si="114"/>
        <v>0</v>
      </c>
      <c r="FF49" s="65"/>
      <c r="FG49" s="74"/>
      <c r="FH49" s="73">
        <f t="shared" si="114"/>
        <v>0</v>
      </c>
      <c r="FI49" s="65"/>
      <c r="FJ49" s="74"/>
      <c r="FK49" s="73">
        <f t="shared" si="114"/>
        <v>0</v>
      </c>
      <c r="FL49" s="65"/>
      <c r="FM49" s="65"/>
    </row>
    <row r="50" spans="1:169" ht="15" thickBot="1">
      <c r="A50" s="49"/>
      <c r="B50" s="49"/>
      <c r="C50" s="671" t="str">
        <f>HYPERLINK(Idiomas!D444,Idiomas!D443)</f>
        <v>**¿Qué es esto y cómo funciona?</v>
      </c>
      <c r="D50" s="429">
        <f>IF(D49=Idiomas!$D$442,1,D49)</f>
        <v>1</v>
      </c>
      <c r="E50" s="89"/>
      <c r="F50" s="445">
        <f t="shared" si="97"/>
        <v>4</v>
      </c>
      <c r="G50" s="445">
        <f ca="1">VLOOKUP(H50,Equipos!$Q$1:$R$25,2,0)</f>
        <v>13</v>
      </c>
      <c r="H50" s="446">
        <f ca="1">TRUNC(INDEX(WORLDCUP!$X$4:$X$147,MATCH(ADMIN!K50,WORLDCUP!$DT$4:$DT$147,0))+INDEX(Horarios!$R$3:$R$86,MATCH(Horarios!$C$3,Horarios!$P$3:$P$86,0))/24)</f>
        <v>46196</v>
      </c>
      <c r="I50" s="48">
        <v>1</v>
      </c>
      <c r="J50" s="95" t="s">
        <v>300</v>
      </c>
      <c r="K50" s="56" t="str">
        <f ca="1">CONCATENATE(WORLDCUP!AA86,"-",WORLDCUP!AF86)</f>
        <v>Portugal-Uzbekistán</v>
      </c>
      <c r="L50" s="53"/>
      <c r="M50" s="55" t="str">
        <f>IF(OR(WORLDCUP!AC86="",WORLDCUP!AD86=""),"-",N50&amp;"|"&amp;O50&amp;"-"&amp;P50)</f>
        <v>-</v>
      </c>
      <c r="N50" s="25" t="str">
        <f>IF(OR(WORLDCUP!AC86="",WORLDCUP!AD86=""),"",IF(WORLDCUP!AC86&gt;WORLDCUP!AD86,"1",IF(WORLDCUP!AC86&lt;WORLDCUP!AD86,"2","X")))</f>
        <v/>
      </c>
      <c r="O50" s="25">
        <f>WORLDCUP!AC86</f>
        <v>0</v>
      </c>
      <c r="P50" s="25">
        <f>WORLDCUP!AD86</f>
        <v>0</v>
      </c>
      <c r="Q50" s="25">
        <f t="shared" si="101"/>
        <v>0</v>
      </c>
      <c r="R50" s="49"/>
      <c r="S50" s="74" t="s">
        <v>1943</v>
      </c>
      <c r="T50" s="73">
        <f t="shared" si="98"/>
        <v>0</v>
      </c>
      <c r="U50" s="65"/>
      <c r="V50" s="74" t="s">
        <v>1943</v>
      </c>
      <c r="W50" s="73">
        <f t="shared" si="111"/>
        <v>0</v>
      </c>
      <c r="X50" s="65"/>
      <c r="Y50" s="74" t="s">
        <v>1954</v>
      </c>
      <c r="Z50" s="73">
        <f t="shared" si="112"/>
        <v>0</v>
      </c>
      <c r="AA50" s="65"/>
      <c r="AB50" s="74" t="s">
        <v>1948</v>
      </c>
      <c r="AC50" s="73">
        <f t="shared" si="112"/>
        <v>0</v>
      </c>
      <c r="AD50" s="65"/>
      <c r="AE50" s="74" t="s">
        <v>1948</v>
      </c>
      <c r="AF50" s="73">
        <f t="shared" si="112"/>
        <v>0</v>
      </c>
      <c r="AG50" s="65"/>
      <c r="AH50" s="74" t="s">
        <v>1943</v>
      </c>
      <c r="AI50" s="73">
        <f t="shared" si="112"/>
        <v>0</v>
      </c>
      <c r="AJ50" s="65"/>
      <c r="AK50" s="74" t="s">
        <v>1951</v>
      </c>
      <c r="AL50" s="73">
        <f t="shared" si="112"/>
        <v>0</v>
      </c>
      <c r="AM50" s="65"/>
      <c r="AN50" s="74" t="s">
        <v>1948</v>
      </c>
      <c r="AO50" s="73">
        <f t="shared" si="112"/>
        <v>0</v>
      </c>
      <c r="AP50" s="65"/>
      <c r="AQ50" s="74" t="s">
        <v>2001</v>
      </c>
      <c r="AR50" s="73">
        <f t="shared" si="112"/>
        <v>0</v>
      </c>
      <c r="AS50" s="65"/>
      <c r="AT50" s="74" t="s">
        <v>1943</v>
      </c>
      <c r="AU50" s="73">
        <f t="shared" si="112"/>
        <v>0</v>
      </c>
      <c r="AV50" s="65"/>
      <c r="AW50" s="74" t="s">
        <v>2001</v>
      </c>
      <c r="AX50" s="73">
        <f t="shared" si="112"/>
        <v>0</v>
      </c>
      <c r="AY50" s="65"/>
      <c r="AZ50" s="74" t="s">
        <v>1958</v>
      </c>
      <c r="BA50" s="73">
        <f t="shared" si="112"/>
        <v>0</v>
      </c>
      <c r="BB50" s="65"/>
      <c r="BC50" s="74" t="s">
        <v>1958</v>
      </c>
      <c r="BD50" s="73">
        <f t="shared" si="112"/>
        <v>0</v>
      </c>
      <c r="BE50" s="65"/>
      <c r="BF50" s="74" t="s">
        <v>1954</v>
      </c>
      <c r="BG50" s="73">
        <f t="shared" si="112"/>
        <v>0</v>
      </c>
      <c r="BH50" s="65"/>
      <c r="BI50" s="74" t="s">
        <v>1954</v>
      </c>
      <c r="BJ50" s="73">
        <f t="shared" si="112"/>
        <v>0</v>
      </c>
      <c r="BK50" s="65"/>
      <c r="BL50" s="74" t="s">
        <v>1954</v>
      </c>
      <c r="BM50" s="73">
        <f t="shared" si="112"/>
        <v>0</v>
      </c>
      <c r="BN50" s="65"/>
      <c r="BO50" s="74" t="s">
        <v>1942</v>
      </c>
      <c r="BP50" s="73">
        <f t="shared" si="112"/>
        <v>0</v>
      </c>
      <c r="BQ50" s="65"/>
      <c r="BR50" s="74" t="s">
        <v>1954</v>
      </c>
      <c r="BS50" s="73">
        <f t="shared" si="112"/>
        <v>0</v>
      </c>
      <c r="BT50" s="65"/>
      <c r="BU50" s="74" t="s">
        <v>2001</v>
      </c>
      <c r="BV50" s="73">
        <f t="shared" si="112"/>
        <v>0</v>
      </c>
      <c r="BW50" s="65"/>
      <c r="BX50" s="74" t="s">
        <v>1948</v>
      </c>
      <c r="BY50" s="73">
        <f t="shared" si="112"/>
        <v>0</v>
      </c>
      <c r="BZ50" s="65"/>
      <c r="CA50" s="74" t="s">
        <v>1942</v>
      </c>
      <c r="CB50" s="73">
        <f t="shared" si="112"/>
        <v>0</v>
      </c>
      <c r="CC50" s="65"/>
      <c r="CD50" s="74" t="s">
        <v>1958</v>
      </c>
      <c r="CE50" s="73">
        <f t="shared" si="112"/>
        <v>0</v>
      </c>
      <c r="CF50" s="65"/>
      <c r="CG50" s="74" t="s">
        <v>1943</v>
      </c>
      <c r="CH50" s="73">
        <f t="shared" si="112"/>
        <v>0</v>
      </c>
      <c r="CI50" s="65"/>
      <c r="CJ50" s="74" t="s">
        <v>1954</v>
      </c>
      <c r="CK50" s="73">
        <f t="shared" si="110"/>
        <v>0</v>
      </c>
      <c r="CL50" s="65"/>
      <c r="CM50" s="74" t="s">
        <v>1951</v>
      </c>
      <c r="CN50" s="73">
        <f t="shared" si="110"/>
        <v>0</v>
      </c>
      <c r="CO50" s="65"/>
      <c r="CP50" s="74" t="s">
        <v>1958</v>
      </c>
      <c r="CQ50" s="73">
        <f t="shared" si="110"/>
        <v>0</v>
      </c>
      <c r="CR50" s="65"/>
      <c r="CS50" s="74" t="s">
        <v>1943</v>
      </c>
      <c r="CT50" s="73">
        <f t="shared" si="110"/>
        <v>0</v>
      </c>
      <c r="CU50" s="65"/>
      <c r="CV50" s="74" t="s">
        <v>1954</v>
      </c>
      <c r="CW50" s="73">
        <f t="shared" si="110"/>
        <v>0</v>
      </c>
      <c r="CX50" s="65"/>
      <c r="CY50" s="74" t="s">
        <v>1943</v>
      </c>
      <c r="CZ50" s="73">
        <f t="shared" si="110"/>
        <v>0</v>
      </c>
      <c r="DA50" s="65"/>
      <c r="DB50" s="74" t="s">
        <v>1954</v>
      </c>
      <c r="DC50" s="73">
        <f t="shared" si="110"/>
        <v>0</v>
      </c>
      <c r="DD50" s="65"/>
      <c r="DE50" s="74" t="s">
        <v>1954</v>
      </c>
      <c r="DF50" s="73">
        <f t="shared" si="110"/>
        <v>0</v>
      </c>
      <c r="DG50" s="65"/>
      <c r="DH50" s="74" t="s">
        <v>1943</v>
      </c>
      <c r="DI50" s="73">
        <f t="shared" si="110"/>
        <v>0</v>
      </c>
      <c r="DJ50" s="65"/>
      <c r="DK50" s="74" t="s">
        <v>1958</v>
      </c>
      <c r="DL50" s="73">
        <f t="shared" si="110"/>
        <v>0</v>
      </c>
      <c r="DM50" s="65"/>
      <c r="DN50" s="795" t="s">
        <v>2001</v>
      </c>
      <c r="DO50" s="73">
        <f t="shared" si="110"/>
        <v>0</v>
      </c>
      <c r="DP50" s="65"/>
      <c r="DQ50" s="795" t="s">
        <v>1942</v>
      </c>
      <c r="DR50" s="73">
        <f t="shared" si="110"/>
        <v>0</v>
      </c>
      <c r="DS50" s="65"/>
      <c r="DT50" s="74" t="s">
        <v>1943</v>
      </c>
      <c r="DU50" s="73">
        <f t="shared" si="110"/>
        <v>0</v>
      </c>
      <c r="DV50" s="65"/>
      <c r="DW50" s="74" t="s">
        <v>2001</v>
      </c>
      <c r="DX50" s="73">
        <f t="shared" si="114"/>
        <v>0</v>
      </c>
      <c r="DY50" s="65"/>
      <c r="DZ50" s="74" t="s">
        <v>1958</v>
      </c>
      <c r="EA50" s="73">
        <f t="shared" si="114"/>
        <v>0</v>
      </c>
      <c r="EB50" s="65"/>
      <c r="EC50" s="74" t="s">
        <v>1958</v>
      </c>
      <c r="ED50" s="73">
        <f t="shared" si="114"/>
        <v>0</v>
      </c>
      <c r="EE50" s="65"/>
      <c r="EF50" s="74" t="s">
        <v>1948</v>
      </c>
      <c r="EG50" s="73">
        <f t="shared" si="114"/>
        <v>0</v>
      </c>
      <c r="EH50" s="65"/>
      <c r="EI50" s="74" t="s">
        <v>1954</v>
      </c>
      <c r="EJ50" s="73">
        <f t="shared" si="114"/>
        <v>0</v>
      </c>
      <c r="EK50" s="65"/>
      <c r="EL50" s="74"/>
      <c r="EM50" s="73">
        <f t="shared" si="114"/>
        <v>0</v>
      </c>
      <c r="EN50" s="65"/>
      <c r="EO50" s="74"/>
      <c r="EP50" s="73">
        <f t="shared" si="114"/>
        <v>0</v>
      </c>
      <c r="EQ50" s="65"/>
      <c r="ER50" s="74"/>
      <c r="ES50" s="73">
        <f t="shared" si="114"/>
        <v>0</v>
      </c>
      <c r="ET50" s="65"/>
      <c r="EU50" s="74"/>
      <c r="EV50" s="73">
        <f t="shared" si="114"/>
        <v>0</v>
      </c>
      <c r="EW50" s="65"/>
      <c r="EX50" s="74"/>
      <c r="EY50" s="73">
        <f t="shared" si="114"/>
        <v>0</v>
      </c>
      <c r="EZ50" s="65"/>
      <c r="FA50" s="74"/>
      <c r="FB50" s="73">
        <f t="shared" si="114"/>
        <v>0</v>
      </c>
      <c r="FC50" s="65"/>
      <c r="FD50" s="74"/>
      <c r="FE50" s="73">
        <f t="shared" si="114"/>
        <v>0</v>
      </c>
      <c r="FF50" s="65"/>
      <c r="FG50" s="74"/>
      <c r="FH50" s="73">
        <f t="shared" si="114"/>
        <v>0</v>
      </c>
      <c r="FI50" s="65"/>
      <c r="FJ50" s="74"/>
      <c r="FK50" s="73">
        <f t="shared" si="114"/>
        <v>0</v>
      </c>
      <c r="FL50" s="65"/>
      <c r="FM50" s="65"/>
    </row>
    <row r="51" spans="1:169">
      <c r="A51" s="49"/>
      <c r="B51" s="49"/>
      <c r="C51" s="17"/>
      <c r="D51" s="17"/>
      <c r="E51" s="89"/>
      <c r="F51" s="445">
        <f t="shared" si="97"/>
        <v>4</v>
      </c>
      <c r="G51" s="445">
        <f ca="1">VLOOKUP(H51,Equipos!$Q$1:$R$25,2,0)</f>
        <v>14</v>
      </c>
      <c r="H51" s="446">
        <f ca="1">TRUNC(INDEX(WORLDCUP!$X$4:$X$147,MATCH(ADMIN!K51,WORLDCUP!$DT$4:$DT$147,0))+INDEX(Horarios!$R$3:$R$86,MATCH(Horarios!$C$3,Horarios!$P$3:$P$86,0))/24)</f>
        <v>46197</v>
      </c>
      <c r="I51" s="48">
        <v>1</v>
      </c>
      <c r="J51" s="95" t="s">
        <v>300</v>
      </c>
      <c r="K51" s="53" t="str">
        <f ca="1">CONCATENATE(WORLDCUP!AA87,"-",WORLDCUP!AF87)</f>
        <v>Colombia-RD Congo</v>
      </c>
      <c r="L51" s="53"/>
      <c r="M51" s="55" t="str">
        <f>IF(OR(WORLDCUP!AC87="",WORLDCUP!AD87=""),"-",N51&amp;"|"&amp;O51&amp;"-"&amp;P51)</f>
        <v>-</v>
      </c>
      <c r="N51" s="25" t="str">
        <f>IF(OR(WORLDCUP!AC87="",WORLDCUP!AD87=""),"",IF(WORLDCUP!AC87&gt;WORLDCUP!AD87,"1",IF(WORLDCUP!AC87&lt;WORLDCUP!AD87,"2","X")))</f>
        <v/>
      </c>
      <c r="O51" s="25">
        <f>WORLDCUP!AC87</f>
        <v>0</v>
      </c>
      <c r="P51" s="25">
        <f>WORLDCUP!AD87</f>
        <v>0</v>
      </c>
      <c r="Q51" s="25">
        <f t="shared" si="101"/>
        <v>0</v>
      </c>
      <c r="R51" s="49"/>
      <c r="S51" s="74" t="s">
        <v>1948</v>
      </c>
      <c r="T51" s="73">
        <f t="shared" si="98"/>
        <v>0</v>
      </c>
      <c r="U51" s="65"/>
      <c r="V51" s="74" t="s">
        <v>1946</v>
      </c>
      <c r="W51" s="73">
        <f t="shared" si="111"/>
        <v>0</v>
      </c>
      <c r="X51" s="65"/>
      <c r="Y51" s="74" t="s">
        <v>1958</v>
      </c>
      <c r="Z51" s="73">
        <f t="shared" si="112"/>
        <v>0</v>
      </c>
      <c r="AA51" s="65"/>
      <c r="AB51" s="74" t="s">
        <v>1942</v>
      </c>
      <c r="AC51" s="73">
        <f t="shared" si="112"/>
        <v>0</v>
      </c>
      <c r="AD51" s="65"/>
      <c r="AE51" s="74" t="s">
        <v>1942</v>
      </c>
      <c r="AF51" s="73">
        <f t="shared" si="112"/>
        <v>0</v>
      </c>
      <c r="AG51" s="65"/>
      <c r="AH51" s="74" t="s">
        <v>1957</v>
      </c>
      <c r="AI51" s="73">
        <f t="shared" si="112"/>
        <v>0</v>
      </c>
      <c r="AJ51" s="65"/>
      <c r="AK51" s="74" t="s">
        <v>1943</v>
      </c>
      <c r="AL51" s="73">
        <f t="shared" si="112"/>
        <v>0</v>
      </c>
      <c r="AM51" s="65"/>
      <c r="AN51" s="74" t="s">
        <v>1946</v>
      </c>
      <c r="AO51" s="73">
        <f t="shared" si="112"/>
        <v>0</v>
      </c>
      <c r="AP51" s="65"/>
      <c r="AQ51" s="74" t="s">
        <v>1943</v>
      </c>
      <c r="AR51" s="73">
        <f t="shared" si="112"/>
        <v>0</v>
      </c>
      <c r="AS51" s="65"/>
      <c r="AT51" s="74" t="s">
        <v>1942</v>
      </c>
      <c r="AU51" s="73">
        <f t="shared" si="112"/>
        <v>0</v>
      </c>
      <c r="AV51" s="65"/>
      <c r="AW51" s="74" t="s">
        <v>1952</v>
      </c>
      <c r="AX51" s="73">
        <f t="shared" si="112"/>
        <v>0</v>
      </c>
      <c r="AY51" s="65"/>
      <c r="AZ51" s="74" t="s">
        <v>1943</v>
      </c>
      <c r="BA51" s="73">
        <f t="shared" si="112"/>
        <v>0</v>
      </c>
      <c r="BB51" s="65"/>
      <c r="BC51" s="74" t="s">
        <v>1942</v>
      </c>
      <c r="BD51" s="73">
        <f t="shared" si="112"/>
        <v>0</v>
      </c>
      <c r="BE51" s="65"/>
      <c r="BF51" s="74" t="s">
        <v>1954</v>
      </c>
      <c r="BG51" s="73">
        <f t="shared" si="112"/>
        <v>0</v>
      </c>
      <c r="BH51" s="65"/>
      <c r="BI51" s="74" t="s">
        <v>1958</v>
      </c>
      <c r="BJ51" s="73">
        <f t="shared" si="112"/>
        <v>0</v>
      </c>
      <c r="BK51" s="65"/>
      <c r="BL51" s="74" t="s">
        <v>1948</v>
      </c>
      <c r="BM51" s="73">
        <f t="shared" si="112"/>
        <v>0</v>
      </c>
      <c r="BN51" s="65"/>
      <c r="BO51" s="74" t="s">
        <v>1942</v>
      </c>
      <c r="BP51" s="73">
        <f t="shared" si="112"/>
        <v>0</v>
      </c>
      <c r="BQ51" s="65"/>
      <c r="BR51" s="74" t="s">
        <v>1954</v>
      </c>
      <c r="BS51" s="73">
        <f t="shared" si="112"/>
        <v>0</v>
      </c>
      <c r="BT51" s="65"/>
      <c r="BU51" s="74" t="s">
        <v>1948</v>
      </c>
      <c r="BV51" s="73">
        <f t="shared" si="112"/>
        <v>0</v>
      </c>
      <c r="BW51" s="65"/>
      <c r="BX51" s="74" t="s">
        <v>1954</v>
      </c>
      <c r="BY51" s="73">
        <f t="shared" si="112"/>
        <v>0</v>
      </c>
      <c r="BZ51" s="65"/>
      <c r="CA51" s="74" t="s">
        <v>1942</v>
      </c>
      <c r="CB51" s="73">
        <f t="shared" si="112"/>
        <v>0</v>
      </c>
      <c r="CC51" s="65"/>
      <c r="CD51" s="74" t="s">
        <v>1948</v>
      </c>
      <c r="CE51" s="73">
        <f t="shared" si="112"/>
        <v>0</v>
      </c>
      <c r="CF51" s="65"/>
      <c r="CG51" s="74" t="s">
        <v>1943</v>
      </c>
      <c r="CH51" s="73">
        <f t="shared" si="112"/>
        <v>0</v>
      </c>
      <c r="CI51" s="65"/>
      <c r="CJ51" s="74" t="s">
        <v>1954</v>
      </c>
      <c r="CK51" s="73">
        <f t="shared" si="110"/>
        <v>0</v>
      </c>
      <c r="CL51" s="65"/>
      <c r="CM51" s="74" t="s">
        <v>1954</v>
      </c>
      <c r="CN51" s="73">
        <f t="shared" si="110"/>
        <v>0</v>
      </c>
      <c r="CO51" s="65"/>
      <c r="CP51" s="74" t="s">
        <v>1959</v>
      </c>
      <c r="CQ51" s="73">
        <f t="shared" si="110"/>
        <v>0</v>
      </c>
      <c r="CR51" s="65"/>
      <c r="CS51" s="74" t="s">
        <v>1954</v>
      </c>
      <c r="CT51" s="73">
        <f t="shared" si="110"/>
        <v>0</v>
      </c>
      <c r="CU51" s="65"/>
      <c r="CV51" s="74" t="s">
        <v>1954</v>
      </c>
      <c r="CW51" s="73">
        <f t="shared" si="110"/>
        <v>0</v>
      </c>
      <c r="CX51" s="65"/>
      <c r="CY51" s="74" t="s">
        <v>1954</v>
      </c>
      <c r="CZ51" s="73">
        <f t="shared" si="110"/>
        <v>0</v>
      </c>
      <c r="DA51" s="65"/>
      <c r="DB51" s="74" t="s">
        <v>1948</v>
      </c>
      <c r="DC51" s="73">
        <f t="shared" si="110"/>
        <v>0</v>
      </c>
      <c r="DD51" s="65"/>
      <c r="DE51" s="74" t="s">
        <v>1948</v>
      </c>
      <c r="DF51" s="73">
        <f t="shared" si="110"/>
        <v>0</v>
      </c>
      <c r="DG51" s="65"/>
      <c r="DH51" s="74" t="s">
        <v>1954</v>
      </c>
      <c r="DI51" s="73">
        <f t="shared" si="110"/>
        <v>0</v>
      </c>
      <c r="DJ51" s="65"/>
      <c r="DK51" s="74" t="s">
        <v>1954</v>
      </c>
      <c r="DL51" s="73">
        <f t="shared" si="110"/>
        <v>0</v>
      </c>
      <c r="DM51" s="65"/>
      <c r="DN51" s="795" t="s">
        <v>1946</v>
      </c>
      <c r="DO51" s="73">
        <f t="shared" si="110"/>
        <v>0</v>
      </c>
      <c r="DP51" s="65"/>
      <c r="DQ51" s="795" t="s">
        <v>1944</v>
      </c>
      <c r="DR51" s="73">
        <f t="shared" si="110"/>
        <v>0</v>
      </c>
      <c r="DS51" s="65"/>
      <c r="DT51" s="74" t="s">
        <v>1943</v>
      </c>
      <c r="DU51" s="73">
        <f t="shared" si="110"/>
        <v>0</v>
      </c>
      <c r="DV51" s="65"/>
      <c r="DW51" s="74" t="s">
        <v>1943</v>
      </c>
      <c r="DX51" s="73">
        <f t="shared" si="114"/>
        <v>0</v>
      </c>
      <c r="DY51" s="65"/>
      <c r="DZ51" s="74" t="s">
        <v>1948</v>
      </c>
      <c r="EA51" s="73">
        <f t="shared" si="114"/>
        <v>0</v>
      </c>
      <c r="EB51" s="65"/>
      <c r="EC51" s="74" t="s">
        <v>1942</v>
      </c>
      <c r="ED51" s="73">
        <f t="shared" si="114"/>
        <v>0</v>
      </c>
      <c r="EE51" s="65"/>
      <c r="EF51" s="74" t="s">
        <v>1942</v>
      </c>
      <c r="EG51" s="73">
        <f t="shared" si="114"/>
        <v>0</v>
      </c>
      <c r="EH51" s="65"/>
      <c r="EI51" s="74" t="s">
        <v>1943</v>
      </c>
      <c r="EJ51" s="73">
        <f t="shared" si="114"/>
        <v>0</v>
      </c>
      <c r="EK51" s="65"/>
      <c r="EL51" s="74"/>
      <c r="EM51" s="73">
        <f t="shared" si="114"/>
        <v>0</v>
      </c>
      <c r="EN51" s="65"/>
      <c r="EO51" s="74"/>
      <c r="EP51" s="73">
        <f t="shared" si="114"/>
        <v>0</v>
      </c>
      <c r="EQ51" s="65"/>
      <c r="ER51" s="74"/>
      <c r="ES51" s="73">
        <f t="shared" si="114"/>
        <v>0</v>
      </c>
      <c r="ET51" s="65"/>
      <c r="EU51" s="74"/>
      <c r="EV51" s="73">
        <f t="shared" si="114"/>
        <v>0</v>
      </c>
      <c r="EW51" s="65"/>
      <c r="EX51" s="74"/>
      <c r="EY51" s="73">
        <f t="shared" si="114"/>
        <v>0</v>
      </c>
      <c r="EZ51" s="65"/>
      <c r="FA51" s="74"/>
      <c r="FB51" s="73">
        <f t="shared" si="114"/>
        <v>0</v>
      </c>
      <c r="FC51" s="65"/>
      <c r="FD51" s="74"/>
      <c r="FE51" s="73">
        <f t="shared" si="114"/>
        <v>0</v>
      </c>
      <c r="FF51" s="65"/>
      <c r="FG51" s="74"/>
      <c r="FH51" s="73">
        <f t="shared" si="114"/>
        <v>0</v>
      </c>
      <c r="FI51" s="65"/>
      <c r="FJ51" s="74"/>
      <c r="FK51" s="73">
        <f t="shared" si="114"/>
        <v>0</v>
      </c>
      <c r="FL51" s="65"/>
      <c r="FM51" s="65"/>
    </row>
    <row r="52" spans="1:169">
      <c r="A52" s="49"/>
      <c r="B52" s="49"/>
      <c r="C52" s="17"/>
      <c r="D52" s="17"/>
      <c r="E52" s="89"/>
      <c r="F52" s="445">
        <f t="shared" si="97"/>
        <v>4</v>
      </c>
      <c r="G52" s="445">
        <f ca="1">VLOOKUP(H52,Equipos!$Q$1:$R$25,2,0)</f>
        <v>14</v>
      </c>
      <c r="H52" s="446">
        <f ca="1">TRUNC(INDEX(WORLDCUP!$X$4:$X$147,MATCH(ADMIN!K52,WORLDCUP!$DT$4:$DT$147,0))+INDEX(Horarios!$R$3:$R$86,MATCH(Horarios!$C$3,Horarios!$P$3:$P$86,0))/24)</f>
        <v>46197</v>
      </c>
      <c r="I52" s="48">
        <v>1</v>
      </c>
      <c r="J52" s="96" t="s">
        <v>1197</v>
      </c>
      <c r="K52" s="56" t="str">
        <f ca="1">CONCATENATE(WORLDCUP!AA94,"-",WORLDCUP!AF94)</f>
        <v>Inglaterra-Ghana</v>
      </c>
      <c r="L52" s="53"/>
      <c r="M52" s="55" t="str">
        <f>IF(OR(WORLDCUP!AC94="",WORLDCUP!AD94=""),"-",N52&amp;"|"&amp;O52&amp;"-"&amp;P52)</f>
        <v>-</v>
      </c>
      <c r="N52" s="25" t="str">
        <f>IF(OR(WORLDCUP!AC94="",WORLDCUP!AD94=""),"",IF(WORLDCUP!AC94&gt;WORLDCUP!AD94,"1",IF(WORLDCUP!AC94&lt;WORLDCUP!AD94,"2","X")))</f>
        <v/>
      </c>
      <c r="O52" s="25">
        <f>WORLDCUP!AC94</f>
        <v>0</v>
      </c>
      <c r="P52" s="25">
        <f>WORLDCUP!AD94</f>
        <v>0</v>
      </c>
      <c r="Q52" s="25">
        <f t="shared" si="101"/>
        <v>0</v>
      </c>
      <c r="R52" s="49"/>
      <c r="S52" s="74" t="s">
        <v>1954</v>
      </c>
      <c r="T52" s="73">
        <f t="shared" si="98"/>
        <v>0</v>
      </c>
      <c r="U52" s="65"/>
      <c r="V52" s="74" t="s">
        <v>1942</v>
      </c>
      <c r="W52" s="73">
        <f t="shared" si="111"/>
        <v>0</v>
      </c>
      <c r="X52" s="65"/>
      <c r="Y52" s="74" t="s">
        <v>1943</v>
      </c>
      <c r="Z52" s="73">
        <f t="shared" si="112"/>
        <v>0</v>
      </c>
      <c r="AA52" s="65"/>
      <c r="AB52" s="74" t="s">
        <v>1954</v>
      </c>
      <c r="AC52" s="73">
        <f t="shared" si="112"/>
        <v>0</v>
      </c>
      <c r="AD52" s="65"/>
      <c r="AE52" s="74" t="s">
        <v>1958</v>
      </c>
      <c r="AF52" s="73">
        <f t="shared" si="112"/>
        <v>0</v>
      </c>
      <c r="AG52" s="65"/>
      <c r="AH52" s="74" t="s">
        <v>1948</v>
      </c>
      <c r="AI52" s="73">
        <f t="shared" si="112"/>
        <v>0</v>
      </c>
      <c r="AJ52" s="65"/>
      <c r="AK52" s="74" t="s">
        <v>1946</v>
      </c>
      <c r="AL52" s="73">
        <f t="shared" si="112"/>
        <v>0</v>
      </c>
      <c r="AM52" s="65"/>
      <c r="AN52" s="74" t="s">
        <v>1954</v>
      </c>
      <c r="AO52" s="73">
        <f t="shared" si="112"/>
        <v>0</v>
      </c>
      <c r="AP52" s="65"/>
      <c r="AQ52" s="74" t="s">
        <v>1943</v>
      </c>
      <c r="AR52" s="73">
        <f t="shared" si="112"/>
        <v>0</v>
      </c>
      <c r="AS52" s="65"/>
      <c r="AT52" s="74" t="s">
        <v>1942</v>
      </c>
      <c r="AU52" s="73">
        <f t="shared" si="112"/>
        <v>0</v>
      </c>
      <c r="AV52" s="65"/>
      <c r="AW52" s="74" t="s">
        <v>1944</v>
      </c>
      <c r="AX52" s="73">
        <f t="shared" si="112"/>
        <v>0</v>
      </c>
      <c r="AY52" s="65"/>
      <c r="AZ52" s="74" t="s">
        <v>1948</v>
      </c>
      <c r="BA52" s="73">
        <f t="shared" si="112"/>
        <v>0</v>
      </c>
      <c r="BB52" s="65"/>
      <c r="BC52" s="74" t="s">
        <v>1942</v>
      </c>
      <c r="BD52" s="73">
        <f t="shared" si="112"/>
        <v>0</v>
      </c>
      <c r="BE52" s="65"/>
      <c r="BF52" s="74" t="s">
        <v>1958</v>
      </c>
      <c r="BG52" s="73">
        <f t="shared" si="112"/>
        <v>0</v>
      </c>
      <c r="BH52" s="65"/>
      <c r="BI52" s="74" t="s">
        <v>1943</v>
      </c>
      <c r="BJ52" s="73">
        <f t="shared" si="112"/>
        <v>0</v>
      </c>
      <c r="BK52" s="65"/>
      <c r="BL52" s="74" t="s">
        <v>1954</v>
      </c>
      <c r="BM52" s="73">
        <f t="shared" si="112"/>
        <v>0</v>
      </c>
      <c r="BN52" s="65"/>
      <c r="BO52" s="74" t="s">
        <v>1954</v>
      </c>
      <c r="BP52" s="73">
        <f t="shared" si="112"/>
        <v>0</v>
      </c>
      <c r="BQ52" s="65"/>
      <c r="BR52" s="74" t="s">
        <v>1954</v>
      </c>
      <c r="BS52" s="73">
        <f t="shared" si="112"/>
        <v>0</v>
      </c>
      <c r="BT52" s="65"/>
      <c r="BU52" s="74" t="s">
        <v>1943</v>
      </c>
      <c r="BV52" s="73">
        <f t="shared" si="112"/>
        <v>0</v>
      </c>
      <c r="BW52" s="65"/>
      <c r="BX52" s="74" t="s">
        <v>1948</v>
      </c>
      <c r="BY52" s="73">
        <f t="shared" si="112"/>
        <v>0</v>
      </c>
      <c r="BZ52" s="65"/>
      <c r="CA52" s="74" t="s">
        <v>1959</v>
      </c>
      <c r="CB52" s="73">
        <f t="shared" si="112"/>
        <v>0</v>
      </c>
      <c r="CC52" s="65"/>
      <c r="CD52" s="74" t="s">
        <v>1954</v>
      </c>
      <c r="CE52" s="73">
        <f t="shared" si="112"/>
        <v>0</v>
      </c>
      <c r="CF52" s="65"/>
      <c r="CG52" s="74" t="s">
        <v>1948</v>
      </c>
      <c r="CH52" s="73">
        <f t="shared" si="112"/>
        <v>0</v>
      </c>
      <c r="CI52" s="65"/>
      <c r="CJ52" s="74" t="s">
        <v>1948</v>
      </c>
      <c r="CK52" s="73">
        <f t="shared" si="110"/>
        <v>0</v>
      </c>
      <c r="CL52" s="65"/>
      <c r="CM52" s="74" t="s">
        <v>1948</v>
      </c>
      <c r="CN52" s="73">
        <f t="shared" si="110"/>
        <v>0</v>
      </c>
      <c r="CO52" s="65"/>
      <c r="CP52" s="74" t="s">
        <v>1948</v>
      </c>
      <c r="CQ52" s="73">
        <f t="shared" si="110"/>
        <v>0</v>
      </c>
      <c r="CR52" s="65"/>
      <c r="CS52" s="74" t="s">
        <v>1943</v>
      </c>
      <c r="CT52" s="73">
        <f t="shared" si="110"/>
        <v>0</v>
      </c>
      <c r="CU52" s="65"/>
      <c r="CV52" s="74" t="s">
        <v>1943</v>
      </c>
      <c r="CW52" s="73">
        <f t="shared" si="110"/>
        <v>0</v>
      </c>
      <c r="CX52" s="65"/>
      <c r="CY52" s="74" t="s">
        <v>1942</v>
      </c>
      <c r="CZ52" s="73">
        <f t="shared" si="110"/>
        <v>0</v>
      </c>
      <c r="DA52" s="65"/>
      <c r="DB52" s="74" t="s">
        <v>1958</v>
      </c>
      <c r="DC52" s="73">
        <f t="shared" si="110"/>
        <v>0</v>
      </c>
      <c r="DD52" s="65"/>
      <c r="DE52" s="74" t="s">
        <v>1943</v>
      </c>
      <c r="DF52" s="73">
        <f t="shared" si="110"/>
        <v>0</v>
      </c>
      <c r="DG52" s="65"/>
      <c r="DH52" s="74" t="s">
        <v>1954</v>
      </c>
      <c r="DI52" s="73">
        <f t="shared" si="110"/>
        <v>0</v>
      </c>
      <c r="DJ52" s="65"/>
      <c r="DK52" s="74" t="s">
        <v>1952</v>
      </c>
      <c r="DL52" s="73">
        <f t="shared" si="110"/>
        <v>0</v>
      </c>
      <c r="DM52" s="65"/>
      <c r="DN52" s="795" t="s">
        <v>1942</v>
      </c>
      <c r="DO52" s="73">
        <f t="shared" si="110"/>
        <v>0</v>
      </c>
      <c r="DP52" s="65"/>
      <c r="DQ52" s="795" t="s">
        <v>1944</v>
      </c>
      <c r="DR52" s="73">
        <f t="shared" si="110"/>
        <v>0</v>
      </c>
      <c r="DS52" s="65"/>
      <c r="DT52" s="74" t="s">
        <v>1944</v>
      </c>
      <c r="DU52" s="73">
        <f t="shared" si="110"/>
        <v>0</v>
      </c>
      <c r="DV52" s="65"/>
      <c r="DW52" s="74" t="s">
        <v>1948</v>
      </c>
      <c r="DX52" s="73">
        <f t="shared" si="114"/>
        <v>0</v>
      </c>
      <c r="DY52" s="65"/>
      <c r="DZ52" s="74" t="s">
        <v>1942</v>
      </c>
      <c r="EA52" s="73">
        <f t="shared" si="114"/>
        <v>0</v>
      </c>
      <c r="EB52" s="65"/>
      <c r="EC52" s="74" t="s">
        <v>1943</v>
      </c>
      <c r="ED52" s="73">
        <f t="shared" si="114"/>
        <v>0</v>
      </c>
      <c r="EE52" s="65"/>
      <c r="EF52" s="74" t="s">
        <v>1948</v>
      </c>
      <c r="EG52" s="73">
        <f t="shared" si="114"/>
        <v>0</v>
      </c>
      <c r="EH52" s="65"/>
      <c r="EI52" s="74" t="s">
        <v>1954</v>
      </c>
      <c r="EJ52" s="73">
        <f t="shared" si="114"/>
        <v>0</v>
      </c>
      <c r="EK52" s="65"/>
      <c r="EL52" s="74"/>
      <c r="EM52" s="73">
        <f t="shared" si="114"/>
        <v>0</v>
      </c>
      <c r="EN52" s="65"/>
      <c r="EO52" s="74"/>
      <c r="EP52" s="73">
        <f t="shared" si="114"/>
        <v>0</v>
      </c>
      <c r="EQ52" s="65"/>
      <c r="ER52" s="74"/>
      <c r="ES52" s="73">
        <f t="shared" si="114"/>
        <v>0</v>
      </c>
      <c r="ET52" s="65"/>
      <c r="EU52" s="74"/>
      <c r="EV52" s="73">
        <f t="shared" si="114"/>
        <v>0</v>
      </c>
      <c r="EW52" s="65"/>
      <c r="EX52" s="74"/>
      <c r="EY52" s="73">
        <f t="shared" si="114"/>
        <v>0</v>
      </c>
      <c r="EZ52" s="65"/>
      <c r="FA52" s="74"/>
      <c r="FB52" s="73">
        <f t="shared" si="114"/>
        <v>0</v>
      </c>
      <c r="FC52" s="65"/>
      <c r="FD52" s="74"/>
      <c r="FE52" s="73">
        <f t="shared" si="114"/>
        <v>0</v>
      </c>
      <c r="FF52" s="65"/>
      <c r="FG52" s="74"/>
      <c r="FH52" s="73">
        <f t="shared" si="114"/>
        <v>0</v>
      </c>
      <c r="FI52" s="65"/>
      <c r="FJ52" s="74"/>
      <c r="FK52" s="73">
        <f t="shared" si="114"/>
        <v>0</v>
      </c>
      <c r="FL52" s="65"/>
      <c r="FM52" s="65"/>
    </row>
    <row r="53" spans="1:169">
      <c r="A53" s="49"/>
      <c r="B53" s="49"/>
      <c r="C53" s="17"/>
      <c r="D53" s="203"/>
      <c r="E53" s="89"/>
      <c r="F53" s="445">
        <f t="shared" si="97"/>
        <v>4</v>
      </c>
      <c r="G53" s="445">
        <f ca="1">VLOOKUP(H53,Equipos!$Q$1:$R$25,2,0)</f>
        <v>14</v>
      </c>
      <c r="H53" s="446">
        <f ca="1">TRUNC(INDEX(WORLDCUP!$X$4:$X$147,MATCH(ADMIN!K53,WORLDCUP!$DT$4:$DT$147,0))+INDEX(Horarios!$R$3:$R$86,MATCH(Horarios!$C$3,Horarios!$P$3:$P$86,0))/24)</f>
        <v>46197</v>
      </c>
      <c r="I53" s="48">
        <v>1</v>
      </c>
      <c r="J53" s="96" t="s">
        <v>1197</v>
      </c>
      <c r="K53" s="57" t="str">
        <f ca="1">CONCATENATE(WORLDCUP!AA95,"-",WORLDCUP!AF95)</f>
        <v>Panamá-Croacia</v>
      </c>
      <c r="L53" s="58"/>
      <c r="M53" s="59" t="str">
        <f>IF(OR(WORLDCUP!AC95="",WORLDCUP!AD95=""),"-",N53&amp;"|"&amp;O53&amp;"-"&amp;P53)</f>
        <v>-</v>
      </c>
      <c r="N53" s="25" t="str">
        <f>IF(OR(WORLDCUP!AC95="",WORLDCUP!AD95=""),"",IF(WORLDCUP!AC95&gt;WORLDCUP!AD95,"1",IF(WORLDCUP!AC95&lt;WORLDCUP!AD95,"2","X")))</f>
        <v/>
      </c>
      <c r="O53" s="25">
        <f>WORLDCUP!AC95</f>
        <v>0</v>
      </c>
      <c r="P53" s="25">
        <f>WORLDCUP!AD95</f>
        <v>0</v>
      </c>
      <c r="Q53" s="25">
        <f t="shared" si="101"/>
        <v>0</v>
      </c>
      <c r="R53" s="49"/>
      <c r="S53" s="78" t="s">
        <v>1945</v>
      </c>
      <c r="T53" s="79">
        <f t="shared" si="98"/>
        <v>0</v>
      </c>
      <c r="U53" s="65"/>
      <c r="V53" s="78" t="s">
        <v>1945</v>
      </c>
      <c r="W53" s="79">
        <f t="shared" si="111"/>
        <v>0</v>
      </c>
      <c r="X53" s="65"/>
      <c r="Y53" s="78" t="s">
        <v>1945</v>
      </c>
      <c r="Z53" s="79">
        <f t="shared" si="112"/>
        <v>0</v>
      </c>
      <c r="AA53" s="65"/>
      <c r="AB53" s="78" t="s">
        <v>1960</v>
      </c>
      <c r="AC53" s="79">
        <f t="shared" si="112"/>
        <v>0</v>
      </c>
      <c r="AD53" s="65"/>
      <c r="AE53" s="78" t="s">
        <v>1952</v>
      </c>
      <c r="AF53" s="79">
        <f t="shared" si="112"/>
        <v>0</v>
      </c>
      <c r="AG53" s="65"/>
      <c r="AH53" s="78" t="s">
        <v>1947</v>
      </c>
      <c r="AI53" s="79">
        <f t="shared" si="112"/>
        <v>0</v>
      </c>
      <c r="AJ53" s="65"/>
      <c r="AK53" s="78" t="s">
        <v>1949</v>
      </c>
      <c r="AL53" s="79">
        <f t="shared" si="112"/>
        <v>0</v>
      </c>
      <c r="AM53" s="65"/>
      <c r="AN53" s="78" t="s">
        <v>1947</v>
      </c>
      <c r="AO53" s="79">
        <f t="shared" si="112"/>
        <v>0</v>
      </c>
      <c r="AP53" s="65"/>
      <c r="AQ53" s="78" t="s">
        <v>1947</v>
      </c>
      <c r="AR53" s="79">
        <f t="shared" si="112"/>
        <v>0</v>
      </c>
      <c r="AS53" s="65"/>
      <c r="AT53" s="78" t="s">
        <v>1949</v>
      </c>
      <c r="AU53" s="79">
        <f t="shared" si="112"/>
        <v>0</v>
      </c>
      <c r="AV53" s="65"/>
      <c r="AW53" s="78" t="s">
        <v>1947</v>
      </c>
      <c r="AX53" s="79">
        <f t="shared" si="112"/>
        <v>0</v>
      </c>
      <c r="AY53" s="65"/>
      <c r="AZ53" s="78" t="s">
        <v>1947</v>
      </c>
      <c r="BA53" s="79">
        <f t="shared" si="112"/>
        <v>0</v>
      </c>
      <c r="BB53" s="65"/>
      <c r="BC53" s="78" t="s">
        <v>1952</v>
      </c>
      <c r="BD53" s="79">
        <f t="shared" si="112"/>
        <v>0</v>
      </c>
      <c r="BE53" s="65"/>
      <c r="BF53" s="78" t="s">
        <v>1949</v>
      </c>
      <c r="BG53" s="79">
        <f t="shared" si="112"/>
        <v>0</v>
      </c>
      <c r="BH53" s="65"/>
      <c r="BI53" s="78" t="s">
        <v>1945</v>
      </c>
      <c r="BJ53" s="79">
        <f t="shared" si="112"/>
        <v>0</v>
      </c>
      <c r="BK53" s="65"/>
      <c r="BL53" s="78" t="s">
        <v>1949</v>
      </c>
      <c r="BM53" s="79">
        <f t="shared" si="112"/>
        <v>0</v>
      </c>
      <c r="BN53" s="65"/>
      <c r="BO53" s="78" t="s">
        <v>1952</v>
      </c>
      <c r="BP53" s="79">
        <f t="shared" si="112"/>
        <v>0</v>
      </c>
      <c r="BQ53" s="65"/>
      <c r="BR53" s="78" t="s">
        <v>1960</v>
      </c>
      <c r="BS53" s="79">
        <f t="shared" si="112"/>
        <v>0</v>
      </c>
      <c r="BT53" s="65"/>
      <c r="BU53" s="78" t="s">
        <v>1947</v>
      </c>
      <c r="BV53" s="79">
        <f t="shared" si="112"/>
        <v>0</v>
      </c>
      <c r="BW53" s="65"/>
      <c r="BX53" s="78" t="s">
        <v>1960</v>
      </c>
      <c r="BY53" s="79">
        <f t="shared" si="112"/>
        <v>0</v>
      </c>
      <c r="BZ53" s="65"/>
      <c r="CA53" s="78" t="s">
        <v>1960</v>
      </c>
      <c r="CB53" s="79">
        <f t="shared" si="112"/>
        <v>0</v>
      </c>
      <c r="CC53" s="65"/>
      <c r="CD53" s="78" t="s">
        <v>1952</v>
      </c>
      <c r="CE53" s="79">
        <f t="shared" si="112"/>
        <v>0</v>
      </c>
      <c r="CF53" s="65"/>
      <c r="CG53" s="78" t="s">
        <v>1946</v>
      </c>
      <c r="CH53" s="79">
        <f t="shared" si="112"/>
        <v>0</v>
      </c>
      <c r="CI53" s="65"/>
      <c r="CJ53" s="78" t="s">
        <v>1960</v>
      </c>
      <c r="CK53" s="79">
        <f t="shared" si="110"/>
        <v>0</v>
      </c>
      <c r="CL53" s="65"/>
      <c r="CM53" s="78" t="s">
        <v>1946</v>
      </c>
      <c r="CN53" s="79">
        <f t="shared" si="110"/>
        <v>0</v>
      </c>
      <c r="CO53" s="65"/>
      <c r="CP53" s="78" t="s">
        <v>1960</v>
      </c>
      <c r="CQ53" s="79">
        <f t="shared" si="110"/>
        <v>0</v>
      </c>
      <c r="CR53" s="65"/>
      <c r="CS53" s="78" t="s">
        <v>1952</v>
      </c>
      <c r="CT53" s="79">
        <f t="shared" si="110"/>
        <v>0</v>
      </c>
      <c r="CU53" s="65"/>
      <c r="CV53" s="78" t="s">
        <v>1960</v>
      </c>
      <c r="CW53" s="79">
        <f t="shared" si="110"/>
        <v>0</v>
      </c>
      <c r="CX53" s="65"/>
      <c r="CY53" s="78" t="s">
        <v>1946</v>
      </c>
      <c r="CZ53" s="79">
        <f t="shared" si="110"/>
        <v>0</v>
      </c>
      <c r="DA53" s="65"/>
      <c r="DB53" s="78" t="s">
        <v>1944</v>
      </c>
      <c r="DC53" s="79">
        <f t="shared" si="110"/>
        <v>0</v>
      </c>
      <c r="DD53" s="65"/>
      <c r="DE53" s="78" t="s">
        <v>1952</v>
      </c>
      <c r="DF53" s="79">
        <f t="shared" si="110"/>
        <v>0</v>
      </c>
      <c r="DG53" s="65"/>
      <c r="DH53" s="78" t="s">
        <v>1949</v>
      </c>
      <c r="DI53" s="79">
        <f t="shared" si="110"/>
        <v>0</v>
      </c>
      <c r="DJ53" s="65"/>
      <c r="DK53" s="78" t="s">
        <v>1960</v>
      </c>
      <c r="DL53" s="79">
        <f t="shared" si="110"/>
        <v>0</v>
      </c>
      <c r="DM53" s="65"/>
      <c r="DN53" s="795" t="s">
        <v>1949</v>
      </c>
      <c r="DO53" s="79">
        <f t="shared" si="110"/>
        <v>0</v>
      </c>
      <c r="DP53" s="65"/>
      <c r="DQ53" s="795" t="s">
        <v>1956</v>
      </c>
      <c r="DR53" s="79">
        <f t="shared" si="110"/>
        <v>0</v>
      </c>
      <c r="DS53" s="65"/>
      <c r="DT53" s="78" t="s">
        <v>1949</v>
      </c>
      <c r="DU53" s="79">
        <f t="shared" si="110"/>
        <v>0</v>
      </c>
      <c r="DV53" s="65"/>
      <c r="DW53" s="78" t="s">
        <v>1949</v>
      </c>
      <c r="DX53" s="79">
        <f t="shared" si="114"/>
        <v>0</v>
      </c>
      <c r="DY53" s="65"/>
      <c r="DZ53" s="78" t="s">
        <v>1949</v>
      </c>
      <c r="EA53" s="79">
        <f t="shared" si="114"/>
        <v>0</v>
      </c>
      <c r="EB53" s="65"/>
      <c r="EC53" s="78" t="s">
        <v>1949</v>
      </c>
      <c r="ED53" s="79">
        <f t="shared" si="114"/>
        <v>0</v>
      </c>
      <c r="EE53" s="65"/>
      <c r="EF53" s="78" t="s">
        <v>1960</v>
      </c>
      <c r="EG53" s="79">
        <f t="shared" si="114"/>
        <v>0</v>
      </c>
      <c r="EH53" s="65"/>
      <c r="EI53" s="78" t="s">
        <v>1960</v>
      </c>
      <c r="EJ53" s="79">
        <f t="shared" si="114"/>
        <v>0</v>
      </c>
      <c r="EK53" s="65"/>
      <c r="EL53" s="78"/>
      <c r="EM53" s="79">
        <f t="shared" si="114"/>
        <v>0</v>
      </c>
      <c r="EN53" s="65"/>
      <c r="EO53" s="78"/>
      <c r="EP53" s="79">
        <f t="shared" si="114"/>
        <v>0</v>
      </c>
      <c r="EQ53" s="65"/>
      <c r="ER53" s="78"/>
      <c r="ES53" s="79">
        <f t="shared" si="114"/>
        <v>0</v>
      </c>
      <c r="ET53" s="65"/>
      <c r="EU53" s="78"/>
      <c r="EV53" s="79">
        <f t="shared" si="114"/>
        <v>0</v>
      </c>
      <c r="EW53" s="65"/>
      <c r="EX53" s="78"/>
      <c r="EY53" s="79">
        <f t="shared" si="114"/>
        <v>0</v>
      </c>
      <c r="EZ53" s="65"/>
      <c r="FA53" s="78"/>
      <c r="FB53" s="79">
        <f t="shared" si="114"/>
        <v>0</v>
      </c>
      <c r="FC53" s="65"/>
      <c r="FD53" s="78"/>
      <c r="FE53" s="79">
        <f t="shared" si="114"/>
        <v>0</v>
      </c>
      <c r="FF53" s="65"/>
      <c r="FG53" s="78"/>
      <c r="FH53" s="79">
        <f t="shared" si="114"/>
        <v>0</v>
      </c>
      <c r="FI53" s="65"/>
      <c r="FJ53" s="78"/>
      <c r="FK53" s="79">
        <f t="shared" si="114"/>
        <v>0</v>
      </c>
      <c r="FL53" s="65"/>
      <c r="FM53" s="65"/>
    </row>
    <row r="54" spans="1:169">
      <c r="A54" s="49"/>
      <c r="B54" s="49"/>
      <c r="C54" s="17"/>
      <c r="D54" s="203"/>
      <c r="E54" s="89"/>
      <c r="F54" s="445">
        <f t="shared" si="97"/>
        <v>4</v>
      </c>
      <c r="G54" s="445">
        <f ca="1">VLOOKUP(H54,Equipos!$Q$1:$R$25,2,0)</f>
        <v>15</v>
      </c>
      <c r="H54" s="446">
        <f ca="1">TRUNC(INDEX(WORLDCUP!$X$4:$X$147,MATCH(ADMIN!K54,WORLDCUP!$DT$4:$DT$147,0))+INDEX(Horarios!$R$3:$R$86,MATCH(Horarios!$C$3,Horarios!$P$3:$P$86,0))/24)</f>
        <v>46198</v>
      </c>
      <c r="I54" s="48">
        <v>1</v>
      </c>
      <c r="J54" s="95" t="s">
        <v>124</v>
      </c>
      <c r="K54" s="53" t="str">
        <f ca="1">CONCATENATE(WORLDCUP!AA8,"-",WORLDCUP!AF8)</f>
        <v>República Checa-México</v>
      </c>
      <c r="L54" s="53"/>
      <c r="M54" s="55" t="str">
        <f>IF(OR(WORLDCUP!AC8="",WORLDCUP!AD8=""),"-",N54&amp;"|"&amp;O54&amp;"-"&amp;P54)</f>
        <v>-</v>
      </c>
      <c r="N54" s="25" t="str">
        <f>IF(OR(WORLDCUP!AC8="",WORLDCUP!AD8=""),"",IF(WORLDCUP!AC8&gt;WORLDCUP!AD8,"1",IF(WORLDCUP!AC8&lt;WORLDCUP!AD8,"2","X")))</f>
        <v/>
      </c>
      <c r="O54" s="25">
        <f>WORLDCUP!AC8</f>
        <v>0</v>
      </c>
      <c r="P54" s="25">
        <f>WORLDCUP!AD8</f>
        <v>0</v>
      </c>
      <c r="Q54" s="25">
        <f t="shared" si="101"/>
        <v>0</v>
      </c>
      <c r="R54" s="49"/>
      <c r="S54" s="76" t="s">
        <v>1946</v>
      </c>
      <c r="T54" s="77">
        <f t="shared" si="98"/>
        <v>0</v>
      </c>
      <c r="U54" s="65"/>
      <c r="V54" s="76" t="s">
        <v>1946</v>
      </c>
      <c r="W54" s="77">
        <f t="shared" si="111"/>
        <v>0</v>
      </c>
      <c r="X54" s="65"/>
      <c r="Y54" s="76" t="s">
        <v>1944</v>
      </c>
      <c r="Z54" s="77">
        <f t="shared" si="112"/>
        <v>0</v>
      </c>
      <c r="AA54" s="65"/>
      <c r="AB54" s="76" t="s">
        <v>1944</v>
      </c>
      <c r="AC54" s="77">
        <f t="shared" si="112"/>
        <v>0</v>
      </c>
      <c r="AD54" s="65"/>
      <c r="AE54" s="76" t="s">
        <v>1952</v>
      </c>
      <c r="AF54" s="77">
        <f t="shared" si="112"/>
        <v>0</v>
      </c>
      <c r="AG54" s="65"/>
      <c r="AH54" s="76" t="s">
        <v>1952</v>
      </c>
      <c r="AI54" s="77">
        <f t="shared" si="112"/>
        <v>0</v>
      </c>
      <c r="AJ54" s="65"/>
      <c r="AK54" s="76" t="s">
        <v>1949</v>
      </c>
      <c r="AL54" s="77">
        <f t="shared" si="112"/>
        <v>0</v>
      </c>
      <c r="AM54" s="65"/>
      <c r="AN54" s="76" t="s">
        <v>1946</v>
      </c>
      <c r="AO54" s="77">
        <f t="shared" si="112"/>
        <v>0</v>
      </c>
      <c r="AP54" s="65"/>
      <c r="AQ54" s="76" t="s">
        <v>1942</v>
      </c>
      <c r="AR54" s="77">
        <f t="shared" si="112"/>
        <v>0</v>
      </c>
      <c r="AS54" s="65"/>
      <c r="AT54" s="76" t="s">
        <v>1944</v>
      </c>
      <c r="AU54" s="77">
        <f t="shared" si="112"/>
        <v>0</v>
      </c>
      <c r="AV54" s="65"/>
      <c r="AW54" s="76" t="s">
        <v>1960</v>
      </c>
      <c r="AX54" s="77">
        <f t="shared" si="112"/>
        <v>0</v>
      </c>
      <c r="AY54" s="65"/>
      <c r="AZ54" s="76" t="s">
        <v>1960</v>
      </c>
      <c r="BA54" s="77">
        <f t="shared" si="112"/>
        <v>0</v>
      </c>
      <c r="BB54" s="65"/>
      <c r="BC54" s="76" t="s">
        <v>1947</v>
      </c>
      <c r="BD54" s="77">
        <f t="shared" si="112"/>
        <v>0</v>
      </c>
      <c r="BE54" s="65"/>
      <c r="BF54" s="76" t="s">
        <v>1960</v>
      </c>
      <c r="BG54" s="77">
        <f t="shared" si="112"/>
        <v>0</v>
      </c>
      <c r="BH54" s="65"/>
      <c r="BI54" s="76" t="s">
        <v>1944</v>
      </c>
      <c r="BJ54" s="77">
        <f t="shared" ref="BJ54:DU65" si="115">IFERROR(IF($M54=BI54,($D$8+$D$9+$D$10)*$I54,IF($N54=LEFT(BI54,1),($D$8+MAX(0,IF($D$50=1,$D$9*(1-(ABS($Q54-ABS(VALUE(MID(BI54,FIND("|",BI54)+1,FIND("-",BI54)-FIND("|",BI54)-1))-VALUE(MID(BI54,FIND("-",BI54)+1,10)))))*$D$50),$D$9*(1-(IF($N54="X",ABS($O54-VALUE(MID(BI54,FIND("|",BI54)+1,FIND("-",BI54)-FIND("|",BI54)-1))),ABS($Q54-ABS(VALUE(MID(BI54,FIND("|",BI54)+1,FIND("-",BI54)-FIND("|",BI54)-1))-VALUE(MID(BI54,FIND("-",BI54)+1,10)))))*$D$50)))))*$I54,0)),0)</f>
        <v>0</v>
      </c>
      <c r="BK54" s="65"/>
      <c r="BL54" s="76" t="s">
        <v>1952</v>
      </c>
      <c r="BM54" s="77">
        <f t="shared" si="115"/>
        <v>0</v>
      </c>
      <c r="BN54" s="65"/>
      <c r="BO54" s="76" t="s">
        <v>1946</v>
      </c>
      <c r="BP54" s="77">
        <f t="shared" si="115"/>
        <v>0</v>
      </c>
      <c r="BQ54" s="65"/>
      <c r="BR54" s="76" t="s">
        <v>1944</v>
      </c>
      <c r="BS54" s="77">
        <f t="shared" si="115"/>
        <v>0</v>
      </c>
      <c r="BT54" s="65"/>
      <c r="BU54" s="76" t="s">
        <v>1946</v>
      </c>
      <c r="BV54" s="77">
        <f t="shared" si="115"/>
        <v>0</v>
      </c>
      <c r="BW54" s="65"/>
      <c r="BX54" s="76" t="s">
        <v>1952</v>
      </c>
      <c r="BY54" s="77">
        <f t="shared" si="115"/>
        <v>0</v>
      </c>
      <c r="BZ54" s="65"/>
      <c r="CA54" s="76" t="s">
        <v>1952</v>
      </c>
      <c r="CB54" s="77">
        <f t="shared" si="115"/>
        <v>0</v>
      </c>
      <c r="CC54" s="65"/>
      <c r="CD54" s="76" t="s">
        <v>1946</v>
      </c>
      <c r="CE54" s="77">
        <f t="shared" si="115"/>
        <v>0</v>
      </c>
      <c r="CF54" s="65"/>
      <c r="CG54" s="76" t="s">
        <v>1952</v>
      </c>
      <c r="CH54" s="77">
        <f t="shared" si="115"/>
        <v>0</v>
      </c>
      <c r="CI54" s="65"/>
      <c r="CJ54" s="76" t="s">
        <v>1945</v>
      </c>
      <c r="CK54" s="77">
        <f t="shared" si="115"/>
        <v>0</v>
      </c>
      <c r="CL54" s="65"/>
      <c r="CM54" s="76" t="s">
        <v>1960</v>
      </c>
      <c r="CN54" s="77">
        <f t="shared" si="115"/>
        <v>0</v>
      </c>
      <c r="CO54" s="65"/>
      <c r="CP54" s="76" t="s">
        <v>1944</v>
      </c>
      <c r="CQ54" s="77">
        <f t="shared" si="115"/>
        <v>0</v>
      </c>
      <c r="CR54" s="65"/>
      <c r="CS54" s="76" t="s">
        <v>1946</v>
      </c>
      <c r="CT54" s="77">
        <f t="shared" si="115"/>
        <v>0</v>
      </c>
      <c r="CU54" s="65"/>
      <c r="CV54" s="76" t="s">
        <v>1946</v>
      </c>
      <c r="CW54" s="77">
        <f t="shared" si="115"/>
        <v>0</v>
      </c>
      <c r="CX54" s="65"/>
      <c r="CY54" s="76" t="s">
        <v>1944</v>
      </c>
      <c r="CZ54" s="77">
        <f t="shared" si="115"/>
        <v>0</v>
      </c>
      <c r="DA54" s="65"/>
      <c r="DB54" s="76" t="s">
        <v>1957</v>
      </c>
      <c r="DC54" s="77">
        <f t="shared" si="115"/>
        <v>0</v>
      </c>
      <c r="DD54" s="65"/>
      <c r="DE54" s="76" t="s">
        <v>1960</v>
      </c>
      <c r="DF54" s="77">
        <f t="shared" si="115"/>
        <v>0</v>
      </c>
      <c r="DG54" s="65"/>
      <c r="DH54" s="76" t="s">
        <v>1960</v>
      </c>
      <c r="DI54" s="77">
        <f t="shared" si="115"/>
        <v>0</v>
      </c>
      <c r="DJ54" s="65"/>
      <c r="DK54" s="76" t="s">
        <v>1948</v>
      </c>
      <c r="DL54" s="77">
        <f t="shared" si="115"/>
        <v>0</v>
      </c>
      <c r="DM54" s="65"/>
      <c r="DN54" s="795" t="s">
        <v>1957</v>
      </c>
      <c r="DO54" s="77">
        <f t="shared" si="115"/>
        <v>0</v>
      </c>
      <c r="DP54" s="65"/>
      <c r="DQ54" s="795" t="s">
        <v>1946</v>
      </c>
      <c r="DR54" s="77">
        <f t="shared" si="115"/>
        <v>0</v>
      </c>
      <c r="DS54" s="65"/>
      <c r="DT54" s="76" t="s">
        <v>1944</v>
      </c>
      <c r="DU54" s="77">
        <f t="shared" si="115"/>
        <v>0</v>
      </c>
      <c r="DV54" s="65"/>
      <c r="DW54" s="76" t="s">
        <v>1946</v>
      </c>
      <c r="DX54" s="77">
        <f t="shared" si="114"/>
        <v>0</v>
      </c>
      <c r="DY54" s="65"/>
      <c r="DZ54" s="76" t="s">
        <v>1952</v>
      </c>
      <c r="EA54" s="77">
        <f t="shared" si="114"/>
        <v>0</v>
      </c>
      <c r="EB54" s="65"/>
      <c r="EC54" s="76" t="s">
        <v>1946</v>
      </c>
      <c r="ED54" s="77">
        <f t="shared" si="114"/>
        <v>0</v>
      </c>
      <c r="EE54" s="65"/>
      <c r="EF54" s="76" t="s">
        <v>1952</v>
      </c>
      <c r="EG54" s="77">
        <f t="shared" si="114"/>
        <v>0</v>
      </c>
      <c r="EH54" s="65"/>
      <c r="EI54" s="76" t="s">
        <v>1952</v>
      </c>
      <c r="EJ54" s="77">
        <f t="shared" si="114"/>
        <v>0</v>
      </c>
      <c r="EK54" s="65"/>
      <c r="EL54" s="76" t="str">
        <f>Idiomas!$D$366</f>
        <v>Pegar Valores (J3)</v>
      </c>
      <c r="EM54" s="77">
        <f t="shared" si="114"/>
        <v>0</v>
      </c>
      <c r="EN54" s="65"/>
      <c r="EO54" s="76" t="str">
        <f>Idiomas!$D$366</f>
        <v>Pegar Valores (J3)</v>
      </c>
      <c r="EP54" s="77">
        <f t="shared" si="114"/>
        <v>0</v>
      </c>
      <c r="EQ54" s="65"/>
      <c r="ER54" s="76" t="str">
        <f>Idiomas!$D$366</f>
        <v>Pegar Valores (J3)</v>
      </c>
      <c r="ES54" s="77">
        <f t="shared" si="114"/>
        <v>0</v>
      </c>
      <c r="ET54" s="65"/>
      <c r="EU54" s="76" t="str">
        <f>Idiomas!$D$366</f>
        <v>Pegar Valores (J3)</v>
      </c>
      <c r="EV54" s="77">
        <f t="shared" si="114"/>
        <v>0</v>
      </c>
      <c r="EW54" s="65"/>
      <c r="EX54" s="76" t="str">
        <f>Idiomas!$D$366</f>
        <v>Pegar Valores (J3)</v>
      </c>
      <c r="EY54" s="77">
        <f t="shared" si="114"/>
        <v>0</v>
      </c>
      <c r="EZ54" s="65"/>
      <c r="FA54" s="76" t="str">
        <f>Idiomas!$D$366</f>
        <v>Pegar Valores (J3)</v>
      </c>
      <c r="FB54" s="77">
        <f t="shared" si="114"/>
        <v>0</v>
      </c>
      <c r="FC54" s="65"/>
      <c r="FD54" s="76" t="str">
        <f>Idiomas!$D$366</f>
        <v>Pegar Valores (J3)</v>
      </c>
      <c r="FE54" s="77">
        <f t="shared" si="114"/>
        <v>0</v>
      </c>
      <c r="FF54" s="65"/>
      <c r="FG54" s="76" t="str">
        <f>Idiomas!$D$366</f>
        <v>Pegar Valores (J3)</v>
      </c>
      <c r="FH54" s="77">
        <f t="shared" si="114"/>
        <v>0</v>
      </c>
      <c r="FI54" s="65"/>
      <c r="FJ54" s="76" t="str">
        <f>Idiomas!$D$366</f>
        <v>Pegar Valores (J3)</v>
      </c>
      <c r="FK54" s="77">
        <f t="shared" si="114"/>
        <v>0</v>
      </c>
      <c r="FL54" s="65"/>
      <c r="FM54" s="65"/>
    </row>
    <row r="55" spans="1:169">
      <c r="A55" s="49"/>
      <c r="B55" s="49"/>
      <c r="C55" s="17"/>
      <c r="D55" s="17"/>
      <c r="E55" s="89"/>
      <c r="F55" s="445">
        <f t="shared" si="97"/>
        <v>4</v>
      </c>
      <c r="G55" s="445">
        <f ca="1">VLOOKUP(H55,Equipos!$Q$1:$R$25,2,0)</f>
        <v>15</v>
      </c>
      <c r="H55" s="446">
        <f ca="1">TRUNC(INDEX(WORLDCUP!$X$4:$X$147,MATCH(ADMIN!K55,WORLDCUP!$DT$4:$DT$147,0))+INDEX(Horarios!$R$3:$R$86,MATCH(Horarios!$C$3,Horarios!$P$3:$P$86,0))/24)</f>
        <v>46198</v>
      </c>
      <c r="I55" s="48">
        <v>1</v>
      </c>
      <c r="J55" s="95" t="s">
        <v>124</v>
      </c>
      <c r="K55" s="53" t="str">
        <f ca="1">CONCATENATE(WORLDCUP!AA9,"-",WORLDCUP!AF9)</f>
        <v>Sudáfrica-Corea del Sur</v>
      </c>
      <c r="L55" s="53"/>
      <c r="M55" s="55" t="str">
        <f>IF(OR(WORLDCUP!AC9="",WORLDCUP!AD9=""),"-",N55&amp;"|"&amp;O55&amp;"-"&amp;P55)</f>
        <v>-</v>
      </c>
      <c r="N55" s="25" t="str">
        <f>IF(OR(WORLDCUP!AC9="",WORLDCUP!AD9=""),"",IF(WORLDCUP!AC9&gt;WORLDCUP!AD9,"1",IF(WORLDCUP!AC9&lt;WORLDCUP!AD9,"2","X")))</f>
        <v/>
      </c>
      <c r="O55" s="25">
        <f>WORLDCUP!AC9</f>
        <v>0</v>
      </c>
      <c r="P55" s="25">
        <f>WORLDCUP!AD9</f>
        <v>0</v>
      </c>
      <c r="Q55" s="25">
        <f t="shared" si="101"/>
        <v>0</v>
      </c>
      <c r="R55" s="49"/>
      <c r="S55" s="74" t="s">
        <v>1960</v>
      </c>
      <c r="T55" s="73">
        <f t="shared" si="98"/>
        <v>0</v>
      </c>
      <c r="U55" s="65"/>
      <c r="V55" s="74" t="s">
        <v>1960</v>
      </c>
      <c r="W55" s="73">
        <f t="shared" si="111"/>
        <v>0</v>
      </c>
      <c r="X55" s="65"/>
      <c r="Y55" s="74" t="s">
        <v>1945</v>
      </c>
      <c r="Z55" s="73">
        <f t="shared" ref="Z55:CH66" si="116">IFERROR(IF($M55=Y55,($D$8+$D$9+$D$10)*$I55,IF($N55=LEFT(Y55,1),($D$8+MAX(0,IF($D$50=1,$D$9*(1-(ABS($Q55-ABS(VALUE(MID(Y55,FIND("|",Y55)+1,FIND("-",Y55)-FIND("|",Y55)-1))-VALUE(MID(Y55,FIND("-",Y55)+1,10)))))*$D$50),$D$9*(1-(IF($N55="X",ABS($O55-VALUE(MID(Y55,FIND("|",Y55)+1,FIND("-",Y55)-FIND("|",Y55)-1))),ABS($Q55-ABS(VALUE(MID(Y55,FIND("|",Y55)+1,FIND("-",Y55)-FIND("|",Y55)-1))-VALUE(MID(Y55,FIND("-",Y55)+1,10)))))*$D$50)))))*$I55,0)),0)</f>
        <v>0</v>
      </c>
      <c r="AA55" s="65"/>
      <c r="AB55" s="74" t="s">
        <v>1962</v>
      </c>
      <c r="AC55" s="73">
        <f t="shared" si="116"/>
        <v>0</v>
      </c>
      <c r="AD55" s="65"/>
      <c r="AE55" s="74" t="s">
        <v>1952</v>
      </c>
      <c r="AF55" s="73">
        <f t="shared" si="116"/>
        <v>0</v>
      </c>
      <c r="AG55" s="65"/>
      <c r="AH55" s="74" t="s">
        <v>1949</v>
      </c>
      <c r="AI55" s="73">
        <f t="shared" si="116"/>
        <v>0</v>
      </c>
      <c r="AJ55" s="65"/>
      <c r="AK55" s="74" t="s">
        <v>1946</v>
      </c>
      <c r="AL55" s="73">
        <f t="shared" si="116"/>
        <v>0</v>
      </c>
      <c r="AM55" s="65"/>
      <c r="AN55" s="74" t="s">
        <v>1952</v>
      </c>
      <c r="AO55" s="73">
        <f t="shared" si="116"/>
        <v>0</v>
      </c>
      <c r="AP55" s="65"/>
      <c r="AQ55" s="74" t="s">
        <v>1945</v>
      </c>
      <c r="AR55" s="73">
        <f t="shared" si="116"/>
        <v>0</v>
      </c>
      <c r="AS55" s="65"/>
      <c r="AT55" s="74" t="s">
        <v>1960</v>
      </c>
      <c r="AU55" s="73">
        <f t="shared" si="116"/>
        <v>0</v>
      </c>
      <c r="AV55" s="65"/>
      <c r="AW55" s="74" t="s">
        <v>1949</v>
      </c>
      <c r="AX55" s="73">
        <f t="shared" si="116"/>
        <v>0</v>
      </c>
      <c r="AY55" s="65"/>
      <c r="AZ55" s="74" t="s">
        <v>1960</v>
      </c>
      <c r="BA55" s="73">
        <f t="shared" si="116"/>
        <v>0</v>
      </c>
      <c r="BB55" s="65"/>
      <c r="BC55" s="74" t="s">
        <v>1952</v>
      </c>
      <c r="BD55" s="73">
        <f t="shared" si="116"/>
        <v>0</v>
      </c>
      <c r="BE55" s="65"/>
      <c r="BF55" s="74" t="s">
        <v>1946</v>
      </c>
      <c r="BG55" s="73">
        <f t="shared" si="116"/>
        <v>0</v>
      </c>
      <c r="BH55" s="65"/>
      <c r="BI55" s="74" t="s">
        <v>1945</v>
      </c>
      <c r="BJ55" s="73">
        <f t="shared" si="116"/>
        <v>0</v>
      </c>
      <c r="BK55" s="65"/>
      <c r="BL55" s="74" t="s">
        <v>1946</v>
      </c>
      <c r="BM55" s="73">
        <f t="shared" si="116"/>
        <v>0</v>
      </c>
      <c r="BN55" s="65"/>
      <c r="BO55" s="74" t="s">
        <v>1952</v>
      </c>
      <c r="BP55" s="73">
        <f t="shared" si="116"/>
        <v>0</v>
      </c>
      <c r="BQ55" s="65"/>
      <c r="BR55" s="74" t="s">
        <v>1949</v>
      </c>
      <c r="BS55" s="73">
        <f t="shared" si="116"/>
        <v>0</v>
      </c>
      <c r="BT55" s="65"/>
      <c r="BU55" s="74" t="s">
        <v>1949</v>
      </c>
      <c r="BV55" s="73">
        <f t="shared" si="116"/>
        <v>0</v>
      </c>
      <c r="BW55" s="65"/>
      <c r="BX55" s="74" t="s">
        <v>1945</v>
      </c>
      <c r="BY55" s="73">
        <f t="shared" si="116"/>
        <v>0</v>
      </c>
      <c r="BZ55" s="65"/>
      <c r="CA55" s="74" t="s">
        <v>1962</v>
      </c>
      <c r="CB55" s="73">
        <f t="shared" si="116"/>
        <v>0</v>
      </c>
      <c r="CC55" s="65"/>
      <c r="CD55" s="74" t="s">
        <v>1949</v>
      </c>
      <c r="CE55" s="73">
        <f t="shared" si="116"/>
        <v>0</v>
      </c>
      <c r="CF55" s="65"/>
      <c r="CG55" s="74" t="s">
        <v>1949</v>
      </c>
      <c r="CH55" s="73">
        <f t="shared" si="116"/>
        <v>0</v>
      </c>
      <c r="CI55" s="65"/>
      <c r="CJ55" s="74" t="s">
        <v>1952</v>
      </c>
      <c r="CK55" s="73">
        <f t="shared" si="115"/>
        <v>0</v>
      </c>
      <c r="CL55" s="65"/>
      <c r="CM55" s="74" t="s">
        <v>1945</v>
      </c>
      <c r="CN55" s="73">
        <f t="shared" si="115"/>
        <v>0</v>
      </c>
      <c r="CO55" s="65"/>
      <c r="CP55" s="74" t="s">
        <v>1942</v>
      </c>
      <c r="CQ55" s="73">
        <f t="shared" si="115"/>
        <v>0</v>
      </c>
      <c r="CR55" s="65"/>
      <c r="CS55" s="74" t="s">
        <v>1952</v>
      </c>
      <c r="CT55" s="73">
        <f t="shared" si="115"/>
        <v>0</v>
      </c>
      <c r="CU55" s="65"/>
      <c r="CV55" s="74" t="s">
        <v>1962</v>
      </c>
      <c r="CW55" s="73">
        <f t="shared" si="115"/>
        <v>0</v>
      </c>
      <c r="CX55" s="65"/>
      <c r="CY55" s="74" t="s">
        <v>1949</v>
      </c>
      <c r="CZ55" s="73">
        <f t="shared" si="115"/>
        <v>0</v>
      </c>
      <c r="DA55" s="65"/>
      <c r="DB55" s="74" t="s">
        <v>1952</v>
      </c>
      <c r="DC55" s="73">
        <f t="shared" si="115"/>
        <v>0</v>
      </c>
      <c r="DD55" s="65"/>
      <c r="DE55" s="74" t="s">
        <v>1947</v>
      </c>
      <c r="DF55" s="73">
        <f t="shared" si="115"/>
        <v>0</v>
      </c>
      <c r="DG55" s="65"/>
      <c r="DH55" s="74" t="s">
        <v>1949</v>
      </c>
      <c r="DI55" s="73">
        <f t="shared" si="115"/>
        <v>0</v>
      </c>
      <c r="DJ55" s="65"/>
      <c r="DK55" s="74" t="s">
        <v>1960</v>
      </c>
      <c r="DL55" s="73">
        <f t="shared" si="115"/>
        <v>0</v>
      </c>
      <c r="DM55" s="65"/>
      <c r="DN55" s="795" t="s">
        <v>1962</v>
      </c>
      <c r="DO55" s="73">
        <f t="shared" si="115"/>
        <v>0</v>
      </c>
      <c r="DP55" s="65"/>
      <c r="DQ55" s="795" t="s">
        <v>1944</v>
      </c>
      <c r="DR55" s="73">
        <f t="shared" si="115"/>
        <v>0</v>
      </c>
      <c r="DS55" s="65"/>
      <c r="DT55" s="74" t="s">
        <v>1946</v>
      </c>
      <c r="DU55" s="73">
        <f t="shared" si="115"/>
        <v>0</v>
      </c>
      <c r="DV55" s="65"/>
      <c r="DW55" s="74" t="s">
        <v>1949</v>
      </c>
      <c r="DX55" s="73">
        <f t="shared" si="114"/>
        <v>0</v>
      </c>
      <c r="DY55" s="65"/>
      <c r="DZ55" s="74" t="s">
        <v>1949</v>
      </c>
      <c r="EA55" s="73">
        <f t="shared" si="114"/>
        <v>0</v>
      </c>
      <c r="EB55" s="65"/>
      <c r="EC55" s="74" t="s">
        <v>1946</v>
      </c>
      <c r="ED55" s="73">
        <f t="shared" si="114"/>
        <v>0</v>
      </c>
      <c r="EE55" s="65"/>
      <c r="EF55" s="74" t="s">
        <v>1952</v>
      </c>
      <c r="EG55" s="73">
        <f t="shared" si="114"/>
        <v>0</v>
      </c>
      <c r="EH55" s="65"/>
      <c r="EI55" s="74" t="s">
        <v>1960</v>
      </c>
      <c r="EJ55" s="73">
        <f t="shared" si="114"/>
        <v>0</v>
      </c>
      <c r="EK55" s="65"/>
      <c r="EL55" s="74"/>
      <c r="EM55" s="73">
        <f t="shared" si="114"/>
        <v>0</v>
      </c>
      <c r="EN55" s="65"/>
      <c r="EO55" s="74"/>
      <c r="EP55" s="73">
        <f t="shared" si="114"/>
        <v>0</v>
      </c>
      <c r="EQ55" s="65"/>
      <c r="ER55" s="74"/>
      <c r="ES55" s="73">
        <f t="shared" si="114"/>
        <v>0</v>
      </c>
      <c r="ET55" s="65"/>
      <c r="EU55" s="74"/>
      <c r="EV55" s="73">
        <f t="shared" si="114"/>
        <v>0</v>
      </c>
      <c r="EW55" s="65"/>
      <c r="EX55" s="74"/>
      <c r="EY55" s="73">
        <f t="shared" si="114"/>
        <v>0</v>
      </c>
      <c r="EZ55" s="65"/>
      <c r="FA55" s="74"/>
      <c r="FB55" s="73">
        <f t="shared" si="114"/>
        <v>0</v>
      </c>
      <c r="FC55" s="65"/>
      <c r="FD55" s="74"/>
      <c r="FE55" s="73">
        <f t="shared" si="114"/>
        <v>0</v>
      </c>
      <c r="FF55" s="65"/>
      <c r="FG55" s="74"/>
      <c r="FH55" s="73">
        <f t="shared" si="114"/>
        <v>0</v>
      </c>
      <c r="FI55" s="65"/>
      <c r="FJ55" s="74"/>
      <c r="FK55" s="73">
        <f t="shared" ref="FK55" si="117">IFERROR(IF($M55=FJ55,($D$8+$D$9+$D$10)*$I55,IF($N55=LEFT(FJ55,1),($D$8+MAX(0,IF($D$50=1,$D$9*(1-(ABS($Q55-ABS(VALUE(MID(FJ55,FIND("|",FJ55)+1,FIND("-",FJ55)-FIND("|",FJ55)-1))-VALUE(MID(FJ55,FIND("-",FJ55)+1,10)))))*$D$50),$D$9*(1-(IF($N55="X",ABS($O55-VALUE(MID(FJ55,FIND("|",FJ55)+1,FIND("-",FJ55)-FIND("|",FJ55)-1))),ABS($Q55-ABS(VALUE(MID(FJ55,FIND("|",FJ55)+1,FIND("-",FJ55)-FIND("|",FJ55)-1))-VALUE(MID(FJ55,FIND("-",FJ55)+1,10)))))*$D$50)))))*$I55,0)),0)</f>
        <v>0</v>
      </c>
      <c r="FL55" s="65"/>
      <c r="FM55" s="65"/>
    </row>
    <row r="56" spans="1:169">
      <c r="A56" s="49"/>
      <c r="B56" s="49"/>
      <c r="C56" s="119" t="str">
        <f>"MAX. "&amp;K5</f>
        <v>MAX. FASE DE GRUPOS</v>
      </c>
      <c r="D56" s="122">
        <f>SUM($D$8:$D$10)*SUM($I$6:$I$77)+SUM($D$11:$D$14)*12+$D$15*32</f>
        <v>480</v>
      </c>
      <c r="E56" s="111"/>
      <c r="F56" s="445">
        <f t="shared" si="97"/>
        <v>4</v>
      </c>
      <c r="G56" s="445">
        <f ca="1">VLOOKUP(H56,Equipos!$Q$1:$R$25,2,0)</f>
        <v>14</v>
      </c>
      <c r="H56" s="446">
        <f ca="1">TRUNC(INDEX(WORLDCUP!$X$4:$X$147,MATCH(ADMIN!K56,WORLDCUP!$DT$4:$DT$147,0))+INDEX(Horarios!$R$3:$R$86,MATCH(Horarios!$C$3,Horarios!$P$3:$P$86,0))/24)</f>
        <v>46197</v>
      </c>
      <c r="I56" s="48">
        <v>1</v>
      </c>
      <c r="J56" s="96" t="s">
        <v>125</v>
      </c>
      <c r="K56" s="56" t="str">
        <f ca="1">CONCATENATE(WORLDCUP!AA16,"-",WORLDCUP!AF16)</f>
        <v>Suiza-Canadá</v>
      </c>
      <c r="L56" s="53"/>
      <c r="M56" s="55" t="str">
        <f>IF(OR(WORLDCUP!AC16="",WORLDCUP!AD16=""),"-",N56&amp;"|"&amp;O56&amp;"-"&amp;P56)</f>
        <v>-</v>
      </c>
      <c r="N56" s="25" t="str">
        <f>IF(OR(WORLDCUP!AC16="",WORLDCUP!AD16=""),"",IF(WORLDCUP!AC16&gt;WORLDCUP!AD16,"1",IF(WORLDCUP!AC16&lt;WORLDCUP!AD16,"2","X")))</f>
        <v/>
      </c>
      <c r="O56" s="25">
        <f>WORLDCUP!AC16</f>
        <v>0</v>
      </c>
      <c r="P56" s="25">
        <f>WORLDCUP!AD16</f>
        <v>0</v>
      </c>
      <c r="Q56" s="25">
        <f t="shared" si="101"/>
        <v>0</v>
      </c>
      <c r="R56" s="49"/>
      <c r="S56" s="74" t="s">
        <v>1952</v>
      </c>
      <c r="T56" s="73">
        <f t="shared" si="98"/>
        <v>0</v>
      </c>
      <c r="U56" s="65"/>
      <c r="V56" s="74" t="s">
        <v>1943</v>
      </c>
      <c r="W56" s="73">
        <f t="shared" si="111"/>
        <v>0</v>
      </c>
      <c r="X56" s="65"/>
      <c r="Y56" s="74" t="s">
        <v>1942</v>
      </c>
      <c r="Z56" s="73">
        <f t="shared" si="116"/>
        <v>0</v>
      </c>
      <c r="AA56" s="65"/>
      <c r="AB56" s="74" t="s">
        <v>1948</v>
      </c>
      <c r="AC56" s="73">
        <f t="shared" si="116"/>
        <v>0</v>
      </c>
      <c r="AD56" s="65"/>
      <c r="AE56" s="74" t="s">
        <v>1946</v>
      </c>
      <c r="AF56" s="73">
        <f t="shared" si="116"/>
        <v>0</v>
      </c>
      <c r="AG56" s="65"/>
      <c r="AH56" s="74" t="s">
        <v>1948</v>
      </c>
      <c r="AI56" s="73">
        <f t="shared" si="116"/>
        <v>0</v>
      </c>
      <c r="AJ56" s="65"/>
      <c r="AK56" s="74" t="s">
        <v>1943</v>
      </c>
      <c r="AL56" s="73">
        <f t="shared" si="116"/>
        <v>0</v>
      </c>
      <c r="AM56" s="65"/>
      <c r="AN56" s="74" t="s">
        <v>1957</v>
      </c>
      <c r="AO56" s="73">
        <f t="shared" si="116"/>
        <v>0</v>
      </c>
      <c r="AP56" s="65"/>
      <c r="AQ56" s="74" t="s">
        <v>1957</v>
      </c>
      <c r="AR56" s="73">
        <f t="shared" si="116"/>
        <v>0</v>
      </c>
      <c r="AS56" s="65"/>
      <c r="AT56" s="74" t="s">
        <v>1943</v>
      </c>
      <c r="AU56" s="73">
        <f t="shared" si="116"/>
        <v>0</v>
      </c>
      <c r="AV56" s="65"/>
      <c r="AW56" s="74" t="s">
        <v>1946</v>
      </c>
      <c r="AX56" s="73">
        <f t="shared" si="116"/>
        <v>0</v>
      </c>
      <c r="AY56" s="65"/>
      <c r="AZ56" s="74" t="s">
        <v>1946</v>
      </c>
      <c r="BA56" s="73">
        <f t="shared" si="116"/>
        <v>0</v>
      </c>
      <c r="BB56" s="65"/>
      <c r="BC56" s="74" t="s">
        <v>1943</v>
      </c>
      <c r="BD56" s="73">
        <f t="shared" si="116"/>
        <v>0</v>
      </c>
      <c r="BE56" s="65"/>
      <c r="BF56" s="74" t="s">
        <v>1948</v>
      </c>
      <c r="BG56" s="73">
        <f t="shared" si="116"/>
        <v>0</v>
      </c>
      <c r="BH56" s="65"/>
      <c r="BI56" s="74" t="s">
        <v>1942</v>
      </c>
      <c r="BJ56" s="73">
        <f t="shared" si="116"/>
        <v>0</v>
      </c>
      <c r="BK56" s="65"/>
      <c r="BL56" s="74" t="s">
        <v>1946</v>
      </c>
      <c r="BM56" s="73">
        <f t="shared" si="116"/>
        <v>0</v>
      </c>
      <c r="BN56" s="65"/>
      <c r="BO56" s="74" t="s">
        <v>1946</v>
      </c>
      <c r="BP56" s="73">
        <f t="shared" si="116"/>
        <v>0</v>
      </c>
      <c r="BQ56" s="65"/>
      <c r="BR56" s="74" t="s">
        <v>1954</v>
      </c>
      <c r="BS56" s="73">
        <f t="shared" si="116"/>
        <v>0</v>
      </c>
      <c r="BT56" s="65"/>
      <c r="BU56" s="74" t="s">
        <v>1946</v>
      </c>
      <c r="BV56" s="73">
        <f t="shared" si="116"/>
        <v>0</v>
      </c>
      <c r="BW56" s="65"/>
      <c r="BX56" s="74" t="s">
        <v>1954</v>
      </c>
      <c r="BY56" s="73">
        <f t="shared" si="116"/>
        <v>0</v>
      </c>
      <c r="BZ56" s="65"/>
      <c r="CA56" s="74" t="s">
        <v>1957</v>
      </c>
      <c r="CB56" s="73">
        <f t="shared" si="116"/>
        <v>0</v>
      </c>
      <c r="CC56" s="65"/>
      <c r="CD56" s="74" t="s">
        <v>1946</v>
      </c>
      <c r="CE56" s="73">
        <f t="shared" si="116"/>
        <v>0</v>
      </c>
      <c r="CF56" s="65"/>
      <c r="CG56" s="74" t="s">
        <v>1946</v>
      </c>
      <c r="CH56" s="73">
        <f t="shared" si="116"/>
        <v>0</v>
      </c>
      <c r="CI56" s="65"/>
      <c r="CJ56" s="74" t="s">
        <v>1946</v>
      </c>
      <c r="CK56" s="73">
        <f t="shared" si="115"/>
        <v>0</v>
      </c>
      <c r="CL56" s="65"/>
      <c r="CM56" s="74" t="s">
        <v>1946</v>
      </c>
      <c r="CN56" s="73">
        <f t="shared" si="115"/>
        <v>0</v>
      </c>
      <c r="CO56" s="65"/>
      <c r="CP56" s="74" t="s">
        <v>1948</v>
      </c>
      <c r="CQ56" s="73">
        <f t="shared" si="115"/>
        <v>0</v>
      </c>
      <c r="CR56" s="65"/>
      <c r="CS56" s="74" t="s">
        <v>1954</v>
      </c>
      <c r="CT56" s="73">
        <f t="shared" si="115"/>
        <v>0</v>
      </c>
      <c r="CU56" s="65"/>
      <c r="CV56" s="74" t="s">
        <v>1954</v>
      </c>
      <c r="CW56" s="73">
        <f t="shared" si="115"/>
        <v>0</v>
      </c>
      <c r="CX56" s="65"/>
      <c r="CY56" s="74" t="s">
        <v>1944</v>
      </c>
      <c r="CZ56" s="73">
        <f t="shared" si="115"/>
        <v>0</v>
      </c>
      <c r="DA56" s="65"/>
      <c r="DB56" s="74" t="s">
        <v>1946</v>
      </c>
      <c r="DC56" s="73">
        <f t="shared" si="115"/>
        <v>0</v>
      </c>
      <c r="DD56" s="65"/>
      <c r="DE56" s="74" t="s">
        <v>1946</v>
      </c>
      <c r="DF56" s="73">
        <f t="shared" si="115"/>
        <v>0</v>
      </c>
      <c r="DG56" s="65"/>
      <c r="DH56" s="74" t="s">
        <v>1944</v>
      </c>
      <c r="DI56" s="73">
        <f t="shared" si="115"/>
        <v>0</v>
      </c>
      <c r="DJ56" s="65"/>
      <c r="DK56" s="74" t="s">
        <v>1946</v>
      </c>
      <c r="DL56" s="73">
        <f t="shared" si="115"/>
        <v>0</v>
      </c>
      <c r="DM56" s="65"/>
      <c r="DN56" s="795" t="s">
        <v>1954</v>
      </c>
      <c r="DO56" s="73">
        <f t="shared" si="115"/>
        <v>0</v>
      </c>
      <c r="DP56" s="65"/>
      <c r="DQ56" s="795" t="s">
        <v>1948</v>
      </c>
      <c r="DR56" s="73">
        <f t="shared" si="115"/>
        <v>0</v>
      </c>
      <c r="DS56" s="65"/>
      <c r="DT56" s="74" t="s">
        <v>1944</v>
      </c>
      <c r="DU56" s="73">
        <f t="shared" si="115"/>
        <v>0</v>
      </c>
      <c r="DV56" s="65"/>
      <c r="DW56" s="74" t="s">
        <v>1944</v>
      </c>
      <c r="DX56" s="73">
        <f t="shared" ref="DX56:FK67" si="118">IFERROR(IF($M56=DW56,($D$8+$D$9+$D$10)*$I56,IF($N56=LEFT(DW56,1),($D$8+MAX(0,IF($D$50=1,$D$9*(1-(ABS($Q56-ABS(VALUE(MID(DW56,FIND("|",DW56)+1,FIND("-",DW56)-FIND("|",DW56)-1))-VALUE(MID(DW56,FIND("-",DW56)+1,10)))))*$D$50),$D$9*(1-(IF($N56="X",ABS($O56-VALUE(MID(DW56,FIND("|",DW56)+1,FIND("-",DW56)-FIND("|",DW56)-1))),ABS($Q56-ABS(VALUE(MID(DW56,FIND("|",DW56)+1,FIND("-",DW56)-FIND("|",DW56)-1))-VALUE(MID(DW56,FIND("-",DW56)+1,10)))))*$D$50)))))*$I56,0)),0)</f>
        <v>0</v>
      </c>
      <c r="DY56" s="65"/>
      <c r="DZ56" s="74" t="s">
        <v>1946</v>
      </c>
      <c r="EA56" s="73">
        <f t="shared" si="118"/>
        <v>0</v>
      </c>
      <c r="EB56" s="65"/>
      <c r="EC56" s="74" t="s">
        <v>1948</v>
      </c>
      <c r="ED56" s="73">
        <f t="shared" si="118"/>
        <v>0</v>
      </c>
      <c r="EE56" s="65"/>
      <c r="EF56" s="74" t="s">
        <v>1946</v>
      </c>
      <c r="EG56" s="73">
        <f t="shared" si="118"/>
        <v>0</v>
      </c>
      <c r="EH56" s="65"/>
      <c r="EI56" s="74" t="s">
        <v>1948</v>
      </c>
      <c r="EJ56" s="73">
        <f t="shared" si="118"/>
        <v>0</v>
      </c>
      <c r="EK56" s="65"/>
      <c r="EL56" s="74"/>
      <c r="EM56" s="73">
        <f t="shared" si="118"/>
        <v>0</v>
      </c>
      <c r="EN56" s="65"/>
      <c r="EO56" s="74"/>
      <c r="EP56" s="73">
        <f t="shared" si="118"/>
        <v>0</v>
      </c>
      <c r="EQ56" s="65"/>
      <c r="ER56" s="74"/>
      <c r="ES56" s="73">
        <f t="shared" si="118"/>
        <v>0</v>
      </c>
      <c r="ET56" s="65"/>
      <c r="EU56" s="74"/>
      <c r="EV56" s="73">
        <f t="shared" si="118"/>
        <v>0</v>
      </c>
      <c r="EW56" s="65"/>
      <c r="EX56" s="74"/>
      <c r="EY56" s="73">
        <f t="shared" si="118"/>
        <v>0</v>
      </c>
      <c r="EZ56" s="65"/>
      <c r="FA56" s="74"/>
      <c r="FB56" s="73">
        <f t="shared" si="118"/>
        <v>0</v>
      </c>
      <c r="FC56" s="65"/>
      <c r="FD56" s="74"/>
      <c r="FE56" s="73">
        <f t="shared" si="118"/>
        <v>0</v>
      </c>
      <c r="FF56" s="65"/>
      <c r="FG56" s="74"/>
      <c r="FH56" s="73">
        <f t="shared" si="118"/>
        <v>0</v>
      </c>
      <c r="FI56" s="65"/>
      <c r="FJ56" s="74"/>
      <c r="FK56" s="73">
        <f t="shared" si="118"/>
        <v>0</v>
      </c>
      <c r="FL56" s="65"/>
      <c r="FM56" s="65"/>
    </row>
    <row r="57" spans="1:169">
      <c r="A57" s="49"/>
      <c r="B57" s="49"/>
      <c r="C57" s="120" t="str">
        <f>"MAX. "&amp;UPPER(Idiomas!D260)</f>
        <v>MAX. DIECISEISAVOS DE FINAL</v>
      </c>
      <c r="D57" s="123">
        <f>SUM($D$16:$D$18)*SUM($I$164:$I$179)+$D$19*16</f>
        <v>128</v>
      </c>
      <c r="E57" s="111"/>
      <c r="F57" s="445">
        <f t="shared" si="97"/>
        <v>4</v>
      </c>
      <c r="G57" s="445">
        <f ca="1">VLOOKUP(H57,Equipos!$Q$1:$R$25,2,0)</f>
        <v>14</v>
      </c>
      <c r="H57" s="446">
        <f ca="1">TRUNC(INDEX(WORLDCUP!$X$4:$X$147,MATCH(ADMIN!K57,WORLDCUP!$DT$4:$DT$147,0))+INDEX(Horarios!$R$3:$R$86,MATCH(Horarios!$C$3,Horarios!$P$3:$P$86,0))/24)</f>
        <v>46197</v>
      </c>
      <c r="I57" s="48">
        <v>1</v>
      </c>
      <c r="J57" s="96" t="s">
        <v>125</v>
      </c>
      <c r="K57" s="53" t="str">
        <f ca="1">CONCATENATE(WORLDCUP!AA17,"-",WORLDCUP!AF17)</f>
        <v>Bosnia y Herzegovina-Catar</v>
      </c>
      <c r="L57" s="53"/>
      <c r="M57" s="55" t="str">
        <f>IF(OR(WORLDCUP!AC17="",WORLDCUP!AD17=""),"-",N57&amp;"|"&amp;O57&amp;"-"&amp;P57)</f>
        <v>-</v>
      </c>
      <c r="N57" s="25" t="str">
        <f>IF(OR(WORLDCUP!AC17="",WORLDCUP!AD17=""),"",IF(WORLDCUP!AC17&gt;WORLDCUP!AD17,"1",IF(WORLDCUP!AC17&lt;WORLDCUP!AD17,"2","X")))</f>
        <v/>
      </c>
      <c r="O57" s="25">
        <f>WORLDCUP!AC17</f>
        <v>0</v>
      </c>
      <c r="P57" s="25">
        <f>WORLDCUP!AD17</f>
        <v>0</v>
      </c>
      <c r="Q57" s="25">
        <f t="shared" si="101"/>
        <v>0</v>
      </c>
      <c r="R57" s="49"/>
      <c r="S57" s="74" t="s">
        <v>1954</v>
      </c>
      <c r="T57" s="73">
        <f t="shared" si="98"/>
        <v>0</v>
      </c>
      <c r="U57" s="65"/>
      <c r="V57" s="74" t="s">
        <v>2001</v>
      </c>
      <c r="W57" s="73">
        <f t="shared" si="111"/>
        <v>0</v>
      </c>
      <c r="X57" s="65"/>
      <c r="Y57" s="74" t="s">
        <v>1954</v>
      </c>
      <c r="Z57" s="73">
        <f t="shared" si="116"/>
        <v>0</v>
      </c>
      <c r="AA57" s="65"/>
      <c r="AB57" s="74" t="s">
        <v>1944</v>
      </c>
      <c r="AC57" s="73">
        <f t="shared" si="116"/>
        <v>0</v>
      </c>
      <c r="AD57" s="65"/>
      <c r="AE57" s="74" t="s">
        <v>1942</v>
      </c>
      <c r="AF57" s="73">
        <f t="shared" si="116"/>
        <v>0</v>
      </c>
      <c r="AG57" s="65"/>
      <c r="AH57" s="74" t="s">
        <v>1957</v>
      </c>
      <c r="AI57" s="73">
        <f t="shared" si="116"/>
        <v>0</v>
      </c>
      <c r="AJ57" s="65"/>
      <c r="AK57" s="74" t="s">
        <v>1959</v>
      </c>
      <c r="AL57" s="73">
        <f t="shared" si="116"/>
        <v>0</v>
      </c>
      <c r="AM57" s="65"/>
      <c r="AN57" s="74" t="s">
        <v>1946</v>
      </c>
      <c r="AO57" s="73">
        <f t="shared" si="116"/>
        <v>0</v>
      </c>
      <c r="AP57" s="65"/>
      <c r="AQ57" s="74" t="s">
        <v>1943</v>
      </c>
      <c r="AR57" s="73">
        <f t="shared" si="116"/>
        <v>0</v>
      </c>
      <c r="AS57" s="65"/>
      <c r="AT57" s="74" t="s">
        <v>1954</v>
      </c>
      <c r="AU57" s="73">
        <f t="shared" si="116"/>
        <v>0</v>
      </c>
      <c r="AV57" s="65"/>
      <c r="AW57" s="74" t="s">
        <v>1958</v>
      </c>
      <c r="AX57" s="73">
        <f t="shared" si="116"/>
        <v>0</v>
      </c>
      <c r="AY57" s="65"/>
      <c r="AZ57" s="74" t="s">
        <v>1954</v>
      </c>
      <c r="BA57" s="73">
        <f t="shared" si="116"/>
        <v>0</v>
      </c>
      <c r="BB57" s="65"/>
      <c r="BC57" s="74" t="s">
        <v>1952</v>
      </c>
      <c r="BD57" s="73">
        <f t="shared" si="116"/>
        <v>0</v>
      </c>
      <c r="BE57" s="65"/>
      <c r="BF57" s="74" t="s">
        <v>1946</v>
      </c>
      <c r="BG57" s="73">
        <f t="shared" si="116"/>
        <v>0</v>
      </c>
      <c r="BH57" s="65"/>
      <c r="BI57" s="74" t="s">
        <v>1954</v>
      </c>
      <c r="BJ57" s="73">
        <f t="shared" si="116"/>
        <v>0</v>
      </c>
      <c r="BK57" s="65"/>
      <c r="BL57" s="74" t="s">
        <v>1946</v>
      </c>
      <c r="BM57" s="73">
        <f t="shared" si="116"/>
        <v>0</v>
      </c>
      <c r="BN57" s="65"/>
      <c r="BO57" s="74" t="s">
        <v>1946</v>
      </c>
      <c r="BP57" s="73">
        <f t="shared" si="116"/>
        <v>0</v>
      </c>
      <c r="BQ57" s="65"/>
      <c r="BR57" s="74" t="s">
        <v>1954</v>
      </c>
      <c r="BS57" s="73">
        <f t="shared" si="116"/>
        <v>0</v>
      </c>
      <c r="BT57" s="65"/>
      <c r="BU57" s="74" t="s">
        <v>1954</v>
      </c>
      <c r="BV57" s="73">
        <f t="shared" si="116"/>
        <v>0</v>
      </c>
      <c r="BW57" s="65"/>
      <c r="BX57" s="74" t="s">
        <v>1948</v>
      </c>
      <c r="BY57" s="73">
        <f t="shared" si="116"/>
        <v>0</v>
      </c>
      <c r="BZ57" s="65"/>
      <c r="CA57" s="74" t="s">
        <v>1942</v>
      </c>
      <c r="CB57" s="73">
        <f t="shared" si="116"/>
        <v>0</v>
      </c>
      <c r="CC57" s="65"/>
      <c r="CD57" s="74" t="s">
        <v>1948</v>
      </c>
      <c r="CE57" s="73">
        <f t="shared" si="116"/>
        <v>0</v>
      </c>
      <c r="CF57" s="65"/>
      <c r="CG57" s="74" t="s">
        <v>1942</v>
      </c>
      <c r="CH57" s="73">
        <f t="shared" si="116"/>
        <v>0</v>
      </c>
      <c r="CI57" s="65"/>
      <c r="CJ57" s="74" t="s">
        <v>1960</v>
      </c>
      <c r="CK57" s="73">
        <f t="shared" si="115"/>
        <v>0</v>
      </c>
      <c r="CL57" s="65"/>
      <c r="CM57" s="74" t="s">
        <v>1942</v>
      </c>
      <c r="CN57" s="73">
        <f t="shared" si="115"/>
        <v>0</v>
      </c>
      <c r="CO57" s="65"/>
      <c r="CP57" s="74" t="s">
        <v>1942</v>
      </c>
      <c r="CQ57" s="73">
        <f t="shared" si="115"/>
        <v>0</v>
      </c>
      <c r="CR57" s="65"/>
      <c r="CS57" s="74" t="s">
        <v>1948</v>
      </c>
      <c r="CT57" s="73">
        <f t="shared" si="115"/>
        <v>0</v>
      </c>
      <c r="CU57" s="65"/>
      <c r="CV57" s="74" t="s">
        <v>1954</v>
      </c>
      <c r="CW57" s="73">
        <f t="shared" si="115"/>
        <v>0</v>
      </c>
      <c r="CX57" s="65"/>
      <c r="CY57" s="74" t="s">
        <v>1942</v>
      </c>
      <c r="CZ57" s="73">
        <f t="shared" si="115"/>
        <v>0</v>
      </c>
      <c r="DA57" s="65"/>
      <c r="DB57" s="74" t="s">
        <v>1954</v>
      </c>
      <c r="DC57" s="73">
        <f t="shared" si="115"/>
        <v>0</v>
      </c>
      <c r="DD57" s="65"/>
      <c r="DE57" s="74" t="s">
        <v>1958</v>
      </c>
      <c r="DF57" s="73">
        <f t="shared" si="115"/>
        <v>0</v>
      </c>
      <c r="DG57" s="65"/>
      <c r="DH57" s="74" t="s">
        <v>1960</v>
      </c>
      <c r="DI57" s="73">
        <f t="shared" si="115"/>
        <v>0</v>
      </c>
      <c r="DJ57" s="65"/>
      <c r="DK57" s="74" t="s">
        <v>1946</v>
      </c>
      <c r="DL57" s="73">
        <f t="shared" si="115"/>
        <v>0</v>
      </c>
      <c r="DM57" s="65"/>
      <c r="DN57" s="795" t="s">
        <v>1943</v>
      </c>
      <c r="DO57" s="73">
        <f t="shared" si="115"/>
        <v>0</v>
      </c>
      <c r="DP57" s="65"/>
      <c r="DQ57" s="795" t="s">
        <v>1942</v>
      </c>
      <c r="DR57" s="73">
        <f t="shared" si="115"/>
        <v>0</v>
      </c>
      <c r="DS57" s="65"/>
      <c r="DT57" s="74" t="s">
        <v>1942</v>
      </c>
      <c r="DU57" s="73">
        <f t="shared" si="115"/>
        <v>0</v>
      </c>
      <c r="DV57" s="65"/>
      <c r="DW57" s="74" t="s">
        <v>1942</v>
      </c>
      <c r="DX57" s="73">
        <f t="shared" si="118"/>
        <v>0</v>
      </c>
      <c r="DY57" s="65"/>
      <c r="DZ57" s="74" t="s">
        <v>1954</v>
      </c>
      <c r="EA57" s="73">
        <f t="shared" si="118"/>
        <v>0</v>
      </c>
      <c r="EB57" s="65"/>
      <c r="EC57" s="74" t="s">
        <v>1942</v>
      </c>
      <c r="ED57" s="73">
        <f t="shared" si="118"/>
        <v>0</v>
      </c>
      <c r="EE57" s="65"/>
      <c r="EF57" s="74" t="s">
        <v>1946</v>
      </c>
      <c r="EG57" s="73">
        <f t="shared" si="118"/>
        <v>0</v>
      </c>
      <c r="EH57" s="65"/>
      <c r="EI57" s="74" t="s">
        <v>1954</v>
      </c>
      <c r="EJ57" s="73">
        <f t="shared" si="118"/>
        <v>0</v>
      </c>
      <c r="EK57" s="65"/>
      <c r="EL57" s="74"/>
      <c r="EM57" s="73">
        <f t="shared" si="118"/>
        <v>0</v>
      </c>
      <c r="EN57" s="65"/>
      <c r="EO57" s="74"/>
      <c r="EP57" s="73">
        <f t="shared" si="118"/>
        <v>0</v>
      </c>
      <c r="EQ57" s="65"/>
      <c r="ER57" s="74"/>
      <c r="ES57" s="73">
        <f t="shared" si="118"/>
        <v>0</v>
      </c>
      <c r="ET57" s="65"/>
      <c r="EU57" s="74"/>
      <c r="EV57" s="73">
        <f t="shared" si="118"/>
        <v>0</v>
      </c>
      <c r="EW57" s="65"/>
      <c r="EX57" s="74"/>
      <c r="EY57" s="73">
        <f t="shared" si="118"/>
        <v>0</v>
      </c>
      <c r="EZ57" s="65"/>
      <c r="FA57" s="74"/>
      <c r="FB57" s="73">
        <f t="shared" si="118"/>
        <v>0</v>
      </c>
      <c r="FC57" s="65"/>
      <c r="FD57" s="74"/>
      <c r="FE57" s="73">
        <f t="shared" si="118"/>
        <v>0</v>
      </c>
      <c r="FF57" s="65"/>
      <c r="FG57" s="74"/>
      <c r="FH57" s="73">
        <f t="shared" si="118"/>
        <v>0</v>
      </c>
      <c r="FI57" s="65"/>
      <c r="FJ57" s="74"/>
      <c r="FK57" s="73">
        <f t="shared" si="118"/>
        <v>0</v>
      </c>
      <c r="FL57" s="65"/>
      <c r="FM57" s="65"/>
    </row>
    <row r="58" spans="1:169">
      <c r="A58" s="49"/>
      <c r="B58" s="49"/>
      <c r="C58" s="121" t="str">
        <f>"MAX. "&amp;UPPER(Idiomas!D261)</f>
        <v>MAX. OCTAVOS DE FINAL</v>
      </c>
      <c r="D58" s="124">
        <f>SUM($D$20:$D$22)*SUM($I$200:$I$207)+$D$23*8</f>
        <v>72</v>
      </c>
      <c r="E58" s="111"/>
      <c r="F58" s="445">
        <f t="shared" si="97"/>
        <v>4</v>
      </c>
      <c r="G58" s="445">
        <f ca="1">VLOOKUP(H58,Equipos!$Q$1:$R$25,2,0)</f>
        <v>15</v>
      </c>
      <c r="H58" s="446">
        <f ca="1">TRUNC(INDEX(WORLDCUP!$X$4:$X$147,MATCH(ADMIN!K58,WORLDCUP!$DT$4:$DT$147,0))+INDEX(Horarios!$R$3:$R$86,MATCH(Horarios!$C$3,Horarios!$P$3:$P$86,0))/24)</f>
        <v>46198</v>
      </c>
      <c r="I58" s="48">
        <v>1</v>
      </c>
      <c r="J58" s="95" t="s">
        <v>126</v>
      </c>
      <c r="K58" s="56" t="str">
        <f ca="1">CONCATENATE(WORLDCUP!AA24,"-",WORLDCUP!AF24)</f>
        <v>Escocia-Brasil</v>
      </c>
      <c r="L58" s="53"/>
      <c r="M58" s="55" t="str">
        <f>IF(OR(WORLDCUP!AC24="",WORLDCUP!AD24=""),"-",N58&amp;"|"&amp;O58&amp;"-"&amp;P58)</f>
        <v>-</v>
      </c>
      <c r="N58" s="25" t="str">
        <f>IF(OR(WORLDCUP!AC24="",WORLDCUP!AD24=""),"",IF(WORLDCUP!AC24&gt;WORLDCUP!AD24,"1",IF(WORLDCUP!AC24&lt;WORLDCUP!AD24,"2","X")))</f>
        <v/>
      </c>
      <c r="O58" s="25">
        <f>WORLDCUP!AC24</f>
        <v>0</v>
      </c>
      <c r="P58" s="25">
        <f>WORLDCUP!AD24</f>
        <v>0</v>
      </c>
      <c r="Q58" s="25">
        <f t="shared" si="101"/>
        <v>0</v>
      </c>
      <c r="R58" s="49"/>
      <c r="S58" s="74" t="s">
        <v>1949</v>
      </c>
      <c r="T58" s="73">
        <f t="shared" si="98"/>
        <v>0</v>
      </c>
      <c r="U58" s="65"/>
      <c r="V58" s="74" t="s">
        <v>1962</v>
      </c>
      <c r="W58" s="73">
        <f t="shared" si="111"/>
        <v>0</v>
      </c>
      <c r="X58" s="65"/>
      <c r="Y58" s="74" t="s">
        <v>1944</v>
      </c>
      <c r="Z58" s="73">
        <f t="shared" si="116"/>
        <v>0</v>
      </c>
      <c r="AA58" s="65"/>
      <c r="AB58" s="74" t="s">
        <v>1960</v>
      </c>
      <c r="AC58" s="73">
        <f t="shared" si="116"/>
        <v>0</v>
      </c>
      <c r="AD58" s="65"/>
      <c r="AE58" s="74" t="s">
        <v>1960</v>
      </c>
      <c r="AF58" s="73">
        <f t="shared" si="116"/>
        <v>0</v>
      </c>
      <c r="AG58" s="65"/>
      <c r="AH58" s="74" t="s">
        <v>1945</v>
      </c>
      <c r="AI58" s="73">
        <f t="shared" si="116"/>
        <v>0</v>
      </c>
      <c r="AJ58" s="65"/>
      <c r="AK58" s="74" t="s">
        <v>1952</v>
      </c>
      <c r="AL58" s="73">
        <f t="shared" si="116"/>
        <v>0</v>
      </c>
      <c r="AM58" s="65"/>
      <c r="AN58" s="74" t="s">
        <v>1945</v>
      </c>
      <c r="AO58" s="73">
        <f t="shared" si="116"/>
        <v>0</v>
      </c>
      <c r="AP58" s="65"/>
      <c r="AQ58" s="74" t="s">
        <v>1949</v>
      </c>
      <c r="AR58" s="73">
        <f t="shared" si="116"/>
        <v>0</v>
      </c>
      <c r="AS58" s="65"/>
      <c r="AT58" s="74" t="s">
        <v>1952</v>
      </c>
      <c r="AU58" s="73">
        <f t="shared" si="116"/>
        <v>0</v>
      </c>
      <c r="AV58" s="65"/>
      <c r="AW58" s="74" t="s">
        <v>1961</v>
      </c>
      <c r="AX58" s="73">
        <f t="shared" si="116"/>
        <v>0</v>
      </c>
      <c r="AY58" s="65"/>
      <c r="AZ58" s="74" t="s">
        <v>1945</v>
      </c>
      <c r="BA58" s="73">
        <f t="shared" si="116"/>
        <v>0</v>
      </c>
      <c r="BB58" s="65"/>
      <c r="BC58" s="74" t="s">
        <v>1949</v>
      </c>
      <c r="BD58" s="73">
        <f t="shared" si="116"/>
        <v>0</v>
      </c>
      <c r="BE58" s="65"/>
      <c r="BF58" s="74" t="s">
        <v>1949</v>
      </c>
      <c r="BG58" s="73">
        <f t="shared" si="116"/>
        <v>0</v>
      </c>
      <c r="BH58" s="65"/>
      <c r="BI58" s="74" t="s">
        <v>1944</v>
      </c>
      <c r="BJ58" s="73">
        <f t="shared" si="116"/>
        <v>0</v>
      </c>
      <c r="BK58" s="65"/>
      <c r="BL58" s="74" t="s">
        <v>1952</v>
      </c>
      <c r="BM58" s="73">
        <f t="shared" si="116"/>
        <v>0</v>
      </c>
      <c r="BN58" s="65"/>
      <c r="BO58" s="74" t="s">
        <v>1945</v>
      </c>
      <c r="BP58" s="73">
        <f t="shared" si="116"/>
        <v>0</v>
      </c>
      <c r="BQ58" s="65"/>
      <c r="BR58" s="74" t="s">
        <v>1949</v>
      </c>
      <c r="BS58" s="73">
        <f t="shared" si="116"/>
        <v>0</v>
      </c>
      <c r="BT58" s="65"/>
      <c r="BU58" s="74" t="s">
        <v>1947</v>
      </c>
      <c r="BV58" s="73">
        <f t="shared" si="116"/>
        <v>0</v>
      </c>
      <c r="BW58" s="65"/>
      <c r="BX58" s="74" t="s">
        <v>1952</v>
      </c>
      <c r="BY58" s="73">
        <f t="shared" si="116"/>
        <v>0</v>
      </c>
      <c r="BZ58" s="65"/>
      <c r="CA58" s="74" t="s">
        <v>1946</v>
      </c>
      <c r="CB58" s="73">
        <f t="shared" si="116"/>
        <v>0</v>
      </c>
      <c r="CC58" s="65"/>
      <c r="CD58" s="74" t="s">
        <v>1952</v>
      </c>
      <c r="CE58" s="73">
        <f t="shared" si="116"/>
        <v>0</v>
      </c>
      <c r="CF58" s="65"/>
      <c r="CG58" s="74" t="s">
        <v>1952</v>
      </c>
      <c r="CH58" s="73">
        <f t="shared" si="116"/>
        <v>0</v>
      </c>
      <c r="CI58" s="65"/>
      <c r="CJ58" s="74" t="s">
        <v>1952</v>
      </c>
      <c r="CK58" s="73">
        <f t="shared" si="115"/>
        <v>0</v>
      </c>
      <c r="CL58" s="65"/>
      <c r="CM58" s="74" t="s">
        <v>1945</v>
      </c>
      <c r="CN58" s="73">
        <f t="shared" si="115"/>
        <v>0</v>
      </c>
      <c r="CO58" s="65"/>
      <c r="CP58" s="74" t="s">
        <v>1945</v>
      </c>
      <c r="CQ58" s="73">
        <f t="shared" si="115"/>
        <v>0</v>
      </c>
      <c r="CR58" s="65"/>
      <c r="CS58" s="74" t="s">
        <v>1947</v>
      </c>
      <c r="CT58" s="73">
        <f t="shared" si="115"/>
        <v>0</v>
      </c>
      <c r="CU58" s="65"/>
      <c r="CV58" s="74" t="s">
        <v>1952</v>
      </c>
      <c r="CW58" s="73">
        <f t="shared" si="115"/>
        <v>0</v>
      </c>
      <c r="CX58" s="65"/>
      <c r="CY58" s="74" t="s">
        <v>1946</v>
      </c>
      <c r="CZ58" s="73">
        <f t="shared" si="115"/>
        <v>0</v>
      </c>
      <c r="DA58" s="65"/>
      <c r="DB58" s="74" t="s">
        <v>1947</v>
      </c>
      <c r="DC58" s="73">
        <f t="shared" si="115"/>
        <v>0</v>
      </c>
      <c r="DD58" s="65"/>
      <c r="DE58" s="74" t="s">
        <v>1949</v>
      </c>
      <c r="DF58" s="73">
        <f t="shared" si="115"/>
        <v>0</v>
      </c>
      <c r="DG58" s="65"/>
      <c r="DH58" s="74" t="s">
        <v>1947</v>
      </c>
      <c r="DI58" s="73">
        <f t="shared" si="115"/>
        <v>0</v>
      </c>
      <c r="DJ58" s="65"/>
      <c r="DK58" s="74" t="s">
        <v>1949</v>
      </c>
      <c r="DL58" s="73">
        <f t="shared" si="115"/>
        <v>0</v>
      </c>
      <c r="DM58" s="65"/>
      <c r="DN58" s="795" t="s">
        <v>1945</v>
      </c>
      <c r="DO58" s="73">
        <f t="shared" si="115"/>
        <v>0</v>
      </c>
      <c r="DP58" s="65"/>
      <c r="DQ58" s="795" t="s">
        <v>1952</v>
      </c>
      <c r="DR58" s="73">
        <f t="shared" si="115"/>
        <v>0</v>
      </c>
      <c r="DS58" s="65"/>
      <c r="DT58" s="74" t="s">
        <v>1944</v>
      </c>
      <c r="DU58" s="73">
        <f t="shared" si="115"/>
        <v>0</v>
      </c>
      <c r="DV58" s="65"/>
      <c r="DW58" s="74" t="s">
        <v>1945</v>
      </c>
      <c r="DX58" s="73">
        <f t="shared" si="118"/>
        <v>0</v>
      </c>
      <c r="DY58" s="65"/>
      <c r="DZ58" s="74" t="s">
        <v>1946</v>
      </c>
      <c r="EA58" s="73">
        <f t="shared" si="118"/>
        <v>0</v>
      </c>
      <c r="EB58" s="65"/>
      <c r="EC58" s="74" t="s">
        <v>1945</v>
      </c>
      <c r="ED58" s="73">
        <f t="shared" si="118"/>
        <v>0</v>
      </c>
      <c r="EE58" s="65"/>
      <c r="EF58" s="74" t="s">
        <v>1960</v>
      </c>
      <c r="EG58" s="73">
        <f t="shared" si="118"/>
        <v>0</v>
      </c>
      <c r="EH58" s="65"/>
      <c r="EI58" s="74" t="s">
        <v>1960</v>
      </c>
      <c r="EJ58" s="73">
        <f t="shared" si="118"/>
        <v>0</v>
      </c>
      <c r="EK58" s="65"/>
      <c r="EL58" s="74"/>
      <c r="EM58" s="73">
        <f t="shared" si="118"/>
        <v>0</v>
      </c>
      <c r="EN58" s="65"/>
      <c r="EO58" s="74"/>
      <c r="EP58" s="73">
        <f t="shared" si="118"/>
        <v>0</v>
      </c>
      <c r="EQ58" s="65"/>
      <c r="ER58" s="74"/>
      <c r="ES58" s="73">
        <f t="shared" si="118"/>
        <v>0</v>
      </c>
      <c r="ET58" s="65"/>
      <c r="EU58" s="74"/>
      <c r="EV58" s="73">
        <f t="shared" si="118"/>
        <v>0</v>
      </c>
      <c r="EW58" s="65"/>
      <c r="EX58" s="74"/>
      <c r="EY58" s="73">
        <f t="shared" si="118"/>
        <v>0</v>
      </c>
      <c r="EZ58" s="65"/>
      <c r="FA58" s="74"/>
      <c r="FB58" s="73">
        <f t="shared" si="118"/>
        <v>0</v>
      </c>
      <c r="FC58" s="65"/>
      <c r="FD58" s="74"/>
      <c r="FE58" s="73">
        <f t="shared" si="118"/>
        <v>0</v>
      </c>
      <c r="FF58" s="65"/>
      <c r="FG58" s="74"/>
      <c r="FH58" s="73">
        <f t="shared" si="118"/>
        <v>0</v>
      </c>
      <c r="FI58" s="65"/>
      <c r="FJ58" s="74"/>
      <c r="FK58" s="73">
        <f t="shared" si="118"/>
        <v>0</v>
      </c>
      <c r="FL58" s="65"/>
      <c r="FM58" s="65"/>
    </row>
    <row r="59" spans="1:169">
      <c r="A59" s="49"/>
      <c r="B59" s="49"/>
      <c r="C59" s="120" t="str">
        <f>"MAX. "&amp;UPPER(Idiomas!D262)</f>
        <v>MAX. CUARTOS DE FINAL</v>
      </c>
      <c r="D59" s="123">
        <f>SUM($D$24:$D$26)*SUM($I$220:$I$223)+$D$27*4</f>
        <v>36</v>
      </c>
      <c r="E59" s="111"/>
      <c r="F59" s="445">
        <f t="shared" si="97"/>
        <v>4</v>
      </c>
      <c r="G59" s="445">
        <f ca="1">VLOOKUP(H59,Equipos!$Q$1:$R$25,2,0)</f>
        <v>15</v>
      </c>
      <c r="H59" s="446">
        <f ca="1">TRUNC(INDEX(WORLDCUP!$X$4:$X$147,MATCH(ADMIN!K59,WORLDCUP!$DT$4:$DT$147,0))+INDEX(Horarios!$R$3:$R$86,MATCH(Horarios!$C$3,Horarios!$P$3:$P$86,0))/24)</f>
        <v>46198</v>
      </c>
      <c r="I59" s="48">
        <v>1</v>
      </c>
      <c r="J59" s="95" t="s">
        <v>126</v>
      </c>
      <c r="K59" s="53" t="str">
        <f ca="1">CONCATENATE(WORLDCUP!AA25,"-",WORLDCUP!AF25)</f>
        <v>Marruecos-Haití</v>
      </c>
      <c r="L59" s="53"/>
      <c r="M59" s="55" t="str">
        <f>IF(OR(WORLDCUP!AC25="",WORLDCUP!AD25=""),"-",N59&amp;"|"&amp;O59&amp;"-"&amp;P59)</f>
        <v>-</v>
      </c>
      <c r="N59" s="25" t="str">
        <f>IF(OR(WORLDCUP!AC25="",WORLDCUP!AD25=""),"",IF(WORLDCUP!AC25&gt;WORLDCUP!AD25,"1",IF(WORLDCUP!AC25&lt;WORLDCUP!AD25,"2","X")))</f>
        <v/>
      </c>
      <c r="O59" s="25">
        <f>WORLDCUP!AC25</f>
        <v>0</v>
      </c>
      <c r="P59" s="25">
        <f>WORLDCUP!AD25</f>
        <v>0</v>
      </c>
      <c r="Q59" s="25">
        <f t="shared" si="101"/>
        <v>0</v>
      </c>
      <c r="R59" s="49"/>
      <c r="S59" s="74" t="s">
        <v>1943</v>
      </c>
      <c r="T59" s="73">
        <f t="shared" si="98"/>
        <v>0</v>
      </c>
      <c r="U59" s="65"/>
      <c r="V59" s="74" t="s">
        <v>1958</v>
      </c>
      <c r="W59" s="73">
        <f t="shared" si="111"/>
        <v>0</v>
      </c>
      <c r="X59" s="65"/>
      <c r="Y59" s="74" t="s">
        <v>1958</v>
      </c>
      <c r="Z59" s="73">
        <f t="shared" si="116"/>
        <v>0</v>
      </c>
      <c r="AA59" s="65"/>
      <c r="AB59" s="74" t="s">
        <v>1958</v>
      </c>
      <c r="AC59" s="73">
        <f t="shared" si="116"/>
        <v>0</v>
      </c>
      <c r="AD59" s="65"/>
      <c r="AE59" s="74" t="s">
        <v>1954</v>
      </c>
      <c r="AF59" s="73">
        <f t="shared" si="116"/>
        <v>0</v>
      </c>
      <c r="AG59" s="65"/>
      <c r="AH59" s="74" t="s">
        <v>1958</v>
      </c>
      <c r="AI59" s="73">
        <f t="shared" si="116"/>
        <v>0</v>
      </c>
      <c r="AJ59" s="65"/>
      <c r="AK59" s="74" t="s">
        <v>1951</v>
      </c>
      <c r="AL59" s="73">
        <f t="shared" si="116"/>
        <v>0</v>
      </c>
      <c r="AM59" s="65"/>
      <c r="AN59" s="74" t="s">
        <v>1959</v>
      </c>
      <c r="AO59" s="73">
        <f t="shared" si="116"/>
        <v>0</v>
      </c>
      <c r="AP59" s="65"/>
      <c r="AQ59" s="74" t="s">
        <v>2001</v>
      </c>
      <c r="AR59" s="73">
        <f t="shared" si="116"/>
        <v>0</v>
      </c>
      <c r="AS59" s="65"/>
      <c r="AT59" s="74" t="s">
        <v>1958</v>
      </c>
      <c r="AU59" s="73">
        <f t="shared" si="116"/>
        <v>0</v>
      </c>
      <c r="AV59" s="65"/>
      <c r="AW59" s="74" t="s">
        <v>2001</v>
      </c>
      <c r="AX59" s="73">
        <f t="shared" si="116"/>
        <v>0</v>
      </c>
      <c r="AY59" s="65"/>
      <c r="AZ59" s="74" t="s">
        <v>1948</v>
      </c>
      <c r="BA59" s="73">
        <f t="shared" si="116"/>
        <v>0</v>
      </c>
      <c r="BB59" s="65"/>
      <c r="BC59" s="74" t="s">
        <v>1958</v>
      </c>
      <c r="BD59" s="73">
        <f t="shared" si="116"/>
        <v>0</v>
      </c>
      <c r="BE59" s="65"/>
      <c r="BF59" s="74" t="s">
        <v>1954</v>
      </c>
      <c r="BG59" s="73">
        <f t="shared" si="116"/>
        <v>0</v>
      </c>
      <c r="BH59" s="65"/>
      <c r="BI59" s="74" t="s">
        <v>1958</v>
      </c>
      <c r="BJ59" s="73">
        <f t="shared" si="116"/>
        <v>0</v>
      </c>
      <c r="BK59" s="65"/>
      <c r="BL59" s="74" t="s">
        <v>1954</v>
      </c>
      <c r="BM59" s="73">
        <f t="shared" si="116"/>
        <v>0</v>
      </c>
      <c r="BN59" s="65"/>
      <c r="BO59" s="74" t="s">
        <v>1954</v>
      </c>
      <c r="BP59" s="73">
        <f t="shared" si="116"/>
        <v>0</v>
      </c>
      <c r="BQ59" s="65"/>
      <c r="BR59" s="74" t="s">
        <v>1954</v>
      </c>
      <c r="BS59" s="73">
        <f t="shared" si="116"/>
        <v>0</v>
      </c>
      <c r="BT59" s="65"/>
      <c r="BU59" s="74" t="s">
        <v>1958</v>
      </c>
      <c r="BV59" s="73">
        <f t="shared" si="116"/>
        <v>0</v>
      </c>
      <c r="BW59" s="65"/>
      <c r="BX59" s="74" t="s">
        <v>1954</v>
      </c>
      <c r="BY59" s="73">
        <f t="shared" si="116"/>
        <v>0</v>
      </c>
      <c r="BZ59" s="65"/>
      <c r="CA59" s="74" t="s">
        <v>1954</v>
      </c>
      <c r="CB59" s="73">
        <f t="shared" si="116"/>
        <v>0</v>
      </c>
      <c r="CC59" s="65"/>
      <c r="CD59" s="74" t="s">
        <v>1958</v>
      </c>
      <c r="CE59" s="73">
        <f t="shared" si="116"/>
        <v>0</v>
      </c>
      <c r="CF59" s="65"/>
      <c r="CG59" s="74" t="s">
        <v>1948</v>
      </c>
      <c r="CH59" s="73">
        <f t="shared" si="116"/>
        <v>0</v>
      </c>
      <c r="CI59" s="65"/>
      <c r="CJ59" s="74" t="s">
        <v>1958</v>
      </c>
      <c r="CK59" s="73">
        <f t="shared" si="115"/>
        <v>0</v>
      </c>
      <c r="CL59" s="65"/>
      <c r="CM59" s="74" t="s">
        <v>1942</v>
      </c>
      <c r="CN59" s="73">
        <f t="shared" si="115"/>
        <v>0</v>
      </c>
      <c r="CO59" s="65"/>
      <c r="CP59" s="74" t="s">
        <v>2001</v>
      </c>
      <c r="CQ59" s="73">
        <f t="shared" si="115"/>
        <v>0</v>
      </c>
      <c r="CR59" s="65"/>
      <c r="CS59" s="74" t="s">
        <v>1958</v>
      </c>
      <c r="CT59" s="73">
        <f t="shared" si="115"/>
        <v>0</v>
      </c>
      <c r="CU59" s="65"/>
      <c r="CV59" s="74" t="s">
        <v>1954</v>
      </c>
      <c r="CW59" s="73">
        <f t="shared" si="115"/>
        <v>0</v>
      </c>
      <c r="CX59" s="65"/>
      <c r="CY59" s="74" t="s">
        <v>1948</v>
      </c>
      <c r="CZ59" s="73">
        <f t="shared" si="115"/>
        <v>0</v>
      </c>
      <c r="DA59" s="65"/>
      <c r="DB59" s="74" t="s">
        <v>1954</v>
      </c>
      <c r="DC59" s="73">
        <f t="shared" si="115"/>
        <v>0</v>
      </c>
      <c r="DD59" s="65"/>
      <c r="DE59" s="74" t="s">
        <v>1954</v>
      </c>
      <c r="DF59" s="73">
        <f t="shared" si="115"/>
        <v>0</v>
      </c>
      <c r="DG59" s="65"/>
      <c r="DH59" s="74" t="s">
        <v>1954</v>
      </c>
      <c r="DI59" s="73">
        <f t="shared" si="115"/>
        <v>0</v>
      </c>
      <c r="DJ59" s="65"/>
      <c r="DK59" s="74" t="s">
        <v>1958</v>
      </c>
      <c r="DL59" s="73">
        <f t="shared" si="115"/>
        <v>0</v>
      </c>
      <c r="DM59" s="65"/>
      <c r="DN59" s="795" t="s">
        <v>1959</v>
      </c>
      <c r="DO59" s="73">
        <f t="shared" si="115"/>
        <v>0</v>
      </c>
      <c r="DP59" s="65"/>
      <c r="DQ59" s="795" t="s">
        <v>1954</v>
      </c>
      <c r="DR59" s="73">
        <f t="shared" si="115"/>
        <v>0</v>
      </c>
      <c r="DS59" s="65"/>
      <c r="DT59" s="74" t="s">
        <v>1959</v>
      </c>
      <c r="DU59" s="73">
        <f t="shared" si="115"/>
        <v>0</v>
      </c>
      <c r="DV59" s="65"/>
      <c r="DW59" s="74" t="s">
        <v>1958</v>
      </c>
      <c r="DX59" s="73">
        <f t="shared" si="118"/>
        <v>0</v>
      </c>
      <c r="DY59" s="65"/>
      <c r="DZ59" s="74" t="s">
        <v>1954</v>
      </c>
      <c r="EA59" s="73">
        <f t="shared" si="118"/>
        <v>0</v>
      </c>
      <c r="EB59" s="65"/>
      <c r="EC59" s="74" t="s">
        <v>2001</v>
      </c>
      <c r="ED59" s="73">
        <f t="shared" si="118"/>
        <v>0</v>
      </c>
      <c r="EE59" s="65"/>
      <c r="EF59" s="74" t="s">
        <v>1954</v>
      </c>
      <c r="EG59" s="73">
        <f t="shared" si="118"/>
        <v>0</v>
      </c>
      <c r="EH59" s="65"/>
      <c r="EI59" s="74" t="s">
        <v>1943</v>
      </c>
      <c r="EJ59" s="73">
        <f t="shared" si="118"/>
        <v>0</v>
      </c>
      <c r="EK59" s="65"/>
      <c r="EL59" s="74"/>
      <c r="EM59" s="73">
        <f t="shared" si="118"/>
        <v>0</v>
      </c>
      <c r="EN59" s="65"/>
      <c r="EO59" s="74"/>
      <c r="EP59" s="73">
        <f t="shared" si="118"/>
        <v>0</v>
      </c>
      <c r="EQ59" s="65"/>
      <c r="ER59" s="74"/>
      <c r="ES59" s="73">
        <f t="shared" si="118"/>
        <v>0</v>
      </c>
      <c r="ET59" s="65"/>
      <c r="EU59" s="74"/>
      <c r="EV59" s="73">
        <f t="shared" si="118"/>
        <v>0</v>
      </c>
      <c r="EW59" s="65"/>
      <c r="EX59" s="74"/>
      <c r="EY59" s="73">
        <f t="shared" si="118"/>
        <v>0</v>
      </c>
      <c r="EZ59" s="65"/>
      <c r="FA59" s="74"/>
      <c r="FB59" s="73">
        <f t="shared" si="118"/>
        <v>0</v>
      </c>
      <c r="FC59" s="65"/>
      <c r="FD59" s="74"/>
      <c r="FE59" s="73">
        <f t="shared" si="118"/>
        <v>0</v>
      </c>
      <c r="FF59" s="65"/>
      <c r="FG59" s="74"/>
      <c r="FH59" s="73">
        <f t="shared" si="118"/>
        <v>0</v>
      </c>
      <c r="FI59" s="65"/>
      <c r="FJ59" s="74"/>
      <c r="FK59" s="73">
        <f t="shared" si="118"/>
        <v>0</v>
      </c>
      <c r="FL59" s="65"/>
      <c r="FM59" s="65"/>
    </row>
    <row r="60" spans="1:169">
      <c r="A60" s="49"/>
      <c r="B60" s="49"/>
      <c r="C60" s="121" t="str">
        <f>"MAX. "&amp;UPPER(Idiomas!D263)</f>
        <v>MAX. SEMIFINALES</v>
      </c>
      <c r="D60" s="124">
        <f>SUM($D$28:$D$30)*SUM($I$232:$I$233)+$D$31*2+$D$32*2</f>
        <v>34</v>
      </c>
      <c r="E60" s="111"/>
      <c r="F60" s="445">
        <f t="shared" si="97"/>
        <v>4</v>
      </c>
      <c r="G60" s="445">
        <f ca="1">VLOOKUP(H60,Equipos!$Q$1:$R$25,2,0)</f>
        <v>16</v>
      </c>
      <c r="H60" s="446">
        <f ca="1">TRUNC(INDEX(WORLDCUP!$X$4:$X$147,MATCH(ADMIN!K60,WORLDCUP!$DT$4:$DT$147,0))+INDEX(Horarios!$R$3:$R$86,MATCH(Horarios!$C$3,Horarios!$P$3:$P$86,0))/24)</f>
        <v>46199</v>
      </c>
      <c r="I60" s="48">
        <v>1</v>
      </c>
      <c r="J60" s="96" t="s">
        <v>127</v>
      </c>
      <c r="K60" s="56" t="str">
        <f ca="1">CONCATENATE(WORLDCUP!AA32,"-",WORLDCUP!AF32)</f>
        <v>Turquía-Estados Unidos</v>
      </c>
      <c r="L60" s="53"/>
      <c r="M60" s="55" t="str">
        <f>IF(OR(WORLDCUP!AC32="",WORLDCUP!AD32=""),"-",N60&amp;"|"&amp;O60&amp;"-"&amp;P60)</f>
        <v>-</v>
      </c>
      <c r="N60" s="25" t="str">
        <f>IF(OR(WORLDCUP!AC32="",WORLDCUP!AD32=""),"",IF(WORLDCUP!AC32&gt;WORLDCUP!AD32,"1",IF(WORLDCUP!AC32&lt;WORLDCUP!AD32,"2","X")))</f>
        <v/>
      </c>
      <c r="O60" s="25">
        <f>WORLDCUP!AC32</f>
        <v>0</v>
      </c>
      <c r="P60" s="25">
        <f>WORLDCUP!AD32</f>
        <v>0</v>
      </c>
      <c r="Q60" s="25">
        <f t="shared" si="101"/>
        <v>0</v>
      </c>
      <c r="R60" s="49"/>
      <c r="S60" s="76" t="s">
        <v>1945</v>
      </c>
      <c r="T60" s="77">
        <f t="shared" si="98"/>
        <v>0</v>
      </c>
      <c r="U60" s="65"/>
      <c r="V60" s="76" t="s">
        <v>1946</v>
      </c>
      <c r="W60" s="77">
        <f t="shared" si="111"/>
        <v>0</v>
      </c>
      <c r="X60" s="65"/>
      <c r="Y60" s="76" t="s">
        <v>1943</v>
      </c>
      <c r="Z60" s="77">
        <f t="shared" si="116"/>
        <v>0</v>
      </c>
      <c r="AA60" s="65"/>
      <c r="AB60" s="76" t="s">
        <v>1948</v>
      </c>
      <c r="AC60" s="77">
        <f t="shared" si="116"/>
        <v>0</v>
      </c>
      <c r="AD60" s="65"/>
      <c r="AE60" s="76" t="s">
        <v>1948</v>
      </c>
      <c r="AF60" s="77">
        <f t="shared" si="116"/>
        <v>0</v>
      </c>
      <c r="AG60" s="65"/>
      <c r="AH60" s="76" t="s">
        <v>1944</v>
      </c>
      <c r="AI60" s="77">
        <f t="shared" si="116"/>
        <v>0</v>
      </c>
      <c r="AJ60" s="65"/>
      <c r="AK60" s="76" t="s">
        <v>1954</v>
      </c>
      <c r="AL60" s="77">
        <f t="shared" si="116"/>
        <v>0</v>
      </c>
      <c r="AM60" s="65"/>
      <c r="AN60" s="76" t="s">
        <v>1948</v>
      </c>
      <c r="AO60" s="77">
        <f t="shared" si="116"/>
        <v>0</v>
      </c>
      <c r="AP60" s="65"/>
      <c r="AQ60" s="76" t="s">
        <v>1948</v>
      </c>
      <c r="AR60" s="77">
        <f t="shared" si="116"/>
        <v>0</v>
      </c>
      <c r="AS60" s="65"/>
      <c r="AT60" s="76" t="s">
        <v>1943</v>
      </c>
      <c r="AU60" s="77">
        <f t="shared" si="116"/>
        <v>0</v>
      </c>
      <c r="AV60" s="65"/>
      <c r="AW60" s="76" t="s">
        <v>1948</v>
      </c>
      <c r="AX60" s="77">
        <f t="shared" si="116"/>
        <v>0</v>
      </c>
      <c r="AY60" s="65"/>
      <c r="AZ60" s="76" t="s">
        <v>1948</v>
      </c>
      <c r="BA60" s="77">
        <f t="shared" si="116"/>
        <v>0</v>
      </c>
      <c r="BB60" s="65"/>
      <c r="BC60" s="76" t="s">
        <v>1946</v>
      </c>
      <c r="BD60" s="77">
        <f t="shared" si="116"/>
        <v>0</v>
      </c>
      <c r="BE60" s="65"/>
      <c r="BF60" s="76" t="s">
        <v>1960</v>
      </c>
      <c r="BG60" s="77">
        <f t="shared" si="116"/>
        <v>0</v>
      </c>
      <c r="BH60" s="65"/>
      <c r="BI60" s="76" t="s">
        <v>1943</v>
      </c>
      <c r="BJ60" s="77">
        <f t="shared" si="116"/>
        <v>0</v>
      </c>
      <c r="BK60" s="65"/>
      <c r="BL60" s="76" t="s">
        <v>1946</v>
      </c>
      <c r="BM60" s="77">
        <f t="shared" si="116"/>
        <v>0</v>
      </c>
      <c r="BN60" s="65"/>
      <c r="BO60" s="76" t="s">
        <v>1942</v>
      </c>
      <c r="BP60" s="77">
        <f t="shared" si="116"/>
        <v>0</v>
      </c>
      <c r="BQ60" s="65"/>
      <c r="BR60" s="76" t="s">
        <v>1948</v>
      </c>
      <c r="BS60" s="77">
        <f t="shared" si="116"/>
        <v>0</v>
      </c>
      <c r="BT60" s="65"/>
      <c r="BU60" s="76" t="s">
        <v>1954</v>
      </c>
      <c r="BV60" s="77">
        <f t="shared" si="116"/>
        <v>0</v>
      </c>
      <c r="BW60" s="65"/>
      <c r="BX60" s="76" t="s">
        <v>1944</v>
      </c>
      <c r="BY60" s="77">
        <f t="shared" si="116"/>
        <v>0</v>
      </c>
      <c r="BZ60" s="65"/>
      <c r="CA60" s="76" t="s">
        <v>1954</v>
      </c>
      <c r="CB60" s="77">
        <f t="shared" si="116"/>
        <v>0</v>
      </c>
      <c r="CC60" s="65"/>
      <c r="CD60" s="76" t="s">
        <v>1942</v>
      </c>
      <c r="CE60" s="77">
        <f t="shared" si="116"/>
        <v>0</v>
      </c>
      <c r="CF60" s="65"/>
      <c r="CG60" s="76" t="s">
        <v>1946</v>
      </c>
      <c r="CH60" s="77">
        <f t="shared" si="116"/>
        <v>0</v>
      </c>
      <c r="CI60" s="65"/>
      <c r="CJ60" s="76" t="s">
        <v>1946</v>
      </c>
      <c r="CK60" s="77">
        <f t="shared" si="115"/>
        <v>0</v>
      </c>
      <c r="CL60" s="65"/>
      <c r="CM60" s="76" t="s">
        <v>1948</v>
      </c>
      <c r="CN60" s="77">
        <f t="shared" si="115"/>
        <v>0</v>
      </c>
      <c r="CO60" s="65"/>
      <c r="CP60" s="76" t="s">
        <v>1954</v>
      </c>
      <c r="CQ60" s="77">
        <f t="shared" si="115"/>
        <v>0</v>
      </c>
      <c r="CR60" s="65"/>
      <c r="CS60" s="76" t="s">
        <v>1946</v>
      </c>
      <c r="CT60" s="77">
        <f t="shared" si="115"/>
        <v>0</v>
      </c>
      <c r="CU60" s="65"/>
      <c r="CV60" s="76" t="s">
        <v>1948</v>
      </c>
      <c r="CW60" s="77">
        <f t="shared" si="115"/>
        <v>0</v>
      </c>
      <c r="CX60" s="65"/>
      <c r="CY60" s="76" t="s">
        <v>1944</v>
      </c>
      <c r="CZ60" s="77">
        <f t="shared" si="115"/>
        <v>0</v>
      </c>
      <c r="DA60" s="65"/>
      <c r="DB60" s="76" t="s">
        <v>1946</v>
      </c>
      <c r="DC60" s="77">
        <f t="shared" si="115"/>
        <v>0</v>
      </c>
      <c r="DD60" s="65"/>
      <c r="DE60" s="76" t="s">
        <v>1946</v>
      </c>
      <c r="DF60" s="77">
        <f t="shared" si="115"/>
        <v>0</v>
      </c>
      <c r="DG60" s="65"/>
      <c r="DH60" s="76" t="s">
        <v>1948</v>
      </c>
      <c r="DI60" s="77">
        <f t="shared" si="115"/>
        <v>0</v>
      </c>
      <c r="DJ60" s="65"/>
      <c r="DK60" s="76" t="s">
        <v>1948</v>
      </c>
      <c r="DL60" s="77">
        <f t="shared" si="115"/>
        <v>0</v>
      </c>
      <c r="DM60" s="65"/>
      <c r="DN60" s="795" t="s">
        <v>1959</v>
      </c>
      <c r="DO60" s="77">
        <f t="shared" si="115"/>
        <v>0</v>
      </c>
      <c r="DP60" s="65"/>
      <c r="DQ60" s="795" t="s">
        <v>1960</v>
      </c>
      <c r="DR60" s="77">
        <f t="shared" si="115"/>
        <v>0</v>
      </c>
      <c r="DS60" s="65"/>
      <c r="DT60" s="76" t="s">
        <v>2264</v>
      </c>
      <c r="DU60" s="77">
        <f t="shared" si="115"/>
        <v>0</v>
      </c>
      <c r="DV60" s="65"/>
      <c r="DW60" s="76" t="s">
        <v>1948</v>
      </c>
      <c r="DX60" s="77">
        <f t="shared" si="118"/>
        <v>0</v>
      </c>
      <c r="DY60" s="65"/>
      <c r="DZ60" s="76" t="s">
        <v>1946</v>
      </c>
      <c r="EA60" s="77">
        <f t="shared" si="118"/>
        <v>0</v>
      </c>
      <c r="EB60" s="65"/>
      <c r="EC60" s="76" t="s">
        <v>1958</v>
      </c>
      <c r="ED60" s="77">
        <f t="shared" si="118"/>
        <v>0</v>
      </c>
      <c r="EE60" s="65"/>
      <c r="EF60" s="76" t="s">
        <v>1946</v>
      </c>
      <c r="EG60" s="77">
        <f t="shared" si="118"/>
        <v>0</v>
      </c>
      <c r="EH60" s="65"/>
      <c r="EI60" s="76" t="s">
        <v>1946</v>
      </c>
      <c r="EJ60" s="77">
        <f t="shared" si="118"/>
        <v>0</v>
      </c>
      <c r="EK60" s="65"/>
      <c r="EL60" s="76"/>
      <c r="EM60" s="77">
        <f t="shared" si="118"/>
        <v>0</v>
      </c>
      <c r="EN60" s="65"/>
      <c r="EO60" s="76"/>
      <c r="EP60" s="77">
        <f t="shared" si="118"/>
        <v>0</v>
      </c>
      <c r="EQ60" s="65"/>
      <c r="ER60" s="76"/>
      <c r="ES60" s="77">
        <f t="shared" si="118"/>
        <v>0</v>
      </c>
      <c r="ET60" s="65"/>
      <c r="EU60" s="76"/>
      <c r="EV60" s="77">
        <f t="shared" si="118"/>
        <v>0</v>
      </c>
      <c r="EW60" s="65"/>
      <c r="EX60" s="76"/>
      <c r="EY60" s="77">
        <f t="shared" si="118"/>
        <v>0</v>
      </c>
      <c r="EZ60" s="65"/>
      <c r="FA60" s="76"/>
      <c r="FB60" s="77">
        <f t="shared" si="118"/>
        <v>0</v>
      </c>
      <c r="FC60" s="65"/>
      <c r="FD60" s="76"/>
      <c r="FE60" s="77">
        <f t="shared" si="118"/>
        <v>0</v>
      </c>
      <c r="FF60" s="65"/>
      <c r="FG60" s="76"/>
      <c r="FH60" s="77">
        <f t="shared" si="118"/>
        <v>0</v>
      </c>
      <c r="FI60" s="65"/>
      <c r="FJ60" s="76"/>
      <c r="FK60" s="77">
        <f t="shared" si="118"/>
        <v>0</v>
      </c>
      <c r="FL60" s="65"/>
      <c r="FM60" s="65"/>
    </row>
    <row r="61" spans="1:169">
      <c r="A61" s="49"/>
      <c r="B61" s="49"/>
      <c r="C61" s="120" t="str">
        <f>"MAX. "&amp;UPPER(Idiomas!D264)</f>
        <v>MAX. 3-4 &amp; FINAL</v>
      </c>
      <c r="D61" s="123">
        <f>SUM($D$33:$D$35)*$I$244+SUM($D$36:$D$38)*$I$247</f>
        <v>8</v>
      </c>
      <c r="E61" s="111"/>
      <c r="F61" s="445">
        <f t="shared" si="97"/>
        <v>4</v>
      </c>
      <c r="G61" s="445">
        <f ca="1">VLOOKUP(H61,Equipos!$Q$1:$R$25,2,0)</f>
        <v>16</v>
      </c>
      <c r="H61" s="446">
        <f ca="1">TRUNC(INDEX(WORLDCUP!$X$4:$X$147,MATCH(ADMIN!K61,WORLDCUP!$DT$4:$DT$147,0))+INDEX(Horarios!$R$3:$R$86,MATCH(Horarios!$C$3,Horarios!$P$3:$P$86,0))/24)</f>
        <v>46199</v>
      </c>
      <c r="I61" s="48">
        <v>1</v>
      </c>
      <c r="J61" s="96" t="s">
        <v>127</v>
      </c>
      <c r="K61" s="53" t="str">
        <f ca="1">CONCATENATE(WORLDCUP!AA33,"-",WORLDCUP!AF33)</f>
        <v>Paraguay-Australia</v>
      </c>
      <c r="L61" s="53"/>
      <c r="M61" s="55" t="str">
        <f>IF(OR(WORLDCUP!AC33="",WORLDCUP!AD33=""),"-",N61&amp;"|"&amp;O61&amp;"-"&amp;P61)</f>
        <v>-</v>
      </c>
      <c r="N61" s="25" t="str">
        <f>IF(OR(WORLDCUP!AC33="",WORLDCUP!AD33=""),"",IF(WORLDCUP!AC33&gt;WORLDCUP!AD33,"1",IF(WORLDCUP!AC33&lt;WORLDCUP!AD33,"2","X")))</f>
        <v/>
      </c>
      <c r="O61" s="25">
        <f>WORLDCUP!AC33</f>
        <v>0</v>
      </c>
      <c r="P61" s="25">
        <f>WORLDCUP!AD33</f>
        <v>0</v>
      </c>
      <c r="Q61" s="25">
        <f t="shared" si="101"/>
        <v>0</v>
      </c>
      <c r="R61" s="49"/>
      <c r="S61" s="74" t="s">
        <v>1946</v>
      </c>
      <c r="T61" s="73">
        <f t="shared" si="98"/>
        <v>0</v>
      </c>
      <c r="U61" s="65"/>
      <c r="V61" s="74" t="s">
        <v>1942</v>
      </c>
      <c r="W61" s="73">
        <f t="shared" si="111"/>
        <v>0</v>
      </c>
      <c r="X61" s="65"/>
      <c r="Y61" s="74" t="s">
        <v>1944</v>
      </c>
      <c r="Z61" s="73">
        <f t="shared" si="116"/>
        <v>0</v>
      </c>
      <c r="AA61" s="65"/>
      <c r="AB61" s="74" t="s">
        <v>1946</v>
      </c>
      <c r="AC61" s="73">
        <f t="shared" si="116"/>
        <v>0</v>
      </c>
      <c r="AD61" s="65"/>
      <c r="AE61" s="74" t="s">
        <v>1946</v>
      </c>
      <c r="AF61" s="73">
        <f t="shared" si="116"/>
        <v>0</v>
      </c>
      <c r="AG61" s="65"/>
      <c r="AH61" s="74" t="s">
        <v>1954</v>
      </c>
      <c r="AI61" s="73">
        <f t="shared" si="116"/>
        <v>0</v>
      </c>
      <c r="AJ61" s="65"/>
      <c r="AK61" s="74" t="s">
        <v>1954</v>
      </c>
      <c r="AL61" s="73">
        <f t="shared" si="116"/>
        <v>0</v>
      </c>
      <c r="AM61" s="65"/>
      <c r="AN61" s="74" t="s">
        <v>1957</v>
      </c>
      <c r="AO61" s="73">
        <f t="shared" si="116"/>
        <v>0</v>
      </c>
      <c r="AP61" s="65"/>
      <c r="AQ61" s="74" t="s">
        <v>1948</v>
      </c>
      <c r="AR61" s="73">
        <f t="shared" si="116"/>
        <v>0</v>
      </c>
      <c r="AS61" s="65"/>
      <c r="AT61" s="74" t="s">
        <v>1948</v>
      </c>
      <c r="AU61" s="73">
        <f t="shared" si="116"/>
        <v>0</v>
      </c>
      <c r="AV61" s="65"/>
      <c r="AW61" s="74" t="s">
        <v>1954</v>
      </c>
      <c r="AX61" s="73">
        <f t="shared" si="116"/>
        <v>0</v>
      </c>
      <c r="AY61" s="65"/>
      <c r="AZ61" s="74" t="s">
        <v>1960</v>
      </c>
      <c r="BA61" s="73">
        <f t="shared" si="116"/>
        <v>0</v>
      </c>
      <c r="BB61" s="65"/>
      <c r="BC61" s="74" t="s">
        <v>1954</v>
      </c>
      <c r="BD61" s="73">
        <f t="shared" si="116"/>
        <v>0</v>
      </c>
      <c r="BE61" s="65"/>
      <c r="BF61" s="74" t="s">
        <v>1946</v>
      </c>
      <c r="BG61" s="73">
        <f t="shared" si="116"/>
        <v>0</v>
      </c>
      <c r="BH61" s="65"/>
      <c r="BI61" s="74" t="s">
        <v>1943</v>
      </c>
      <c r="BJ61" s="73">
        <f t="shared" si="116"/>
        <v>0</v>
      </c>
      <c r="BK61" s="65"/>
      <c r="BL61" s="74" t="s">
        <v>1948</v>
      </c>
      <c r="BM61" s="73">
        <f t="shared" si="116"/>
        <v>0</v>
      </c>
      <c r="BN61" s="65"/>
      <c r="BO61" s="74" t="s">
        <v>1946</v>
      </c>
      <c r="BP61" s="73">
        <f t="shared" si="116"/>
        <v>0</v>
      </c>
      <c r="BQ61" s="65"/>
      <c r="BR61" s="74" t="s">
        <v>1942</v>
      </c>
      <c r="BS61" s="73">
        <f t="shared" si="116"/>
        <v>0</v>
      </c>
      <c r="BT61" s="65"/>
      <c r="BU61" s="74" t="s">
        <v>1946</v>
      </c>
      <c r="BV61" s="73">
        <f t="shared" si="116"/>
        <v>0</v>
      </c>
      <c r="BW61" s="65"/>
      <c r="BX61" s="74" t="s">
        <v>1946</v>
      </c>
      <c r="BY61" s="73">
        <f t="shared" si="116"/>
        <v>0</v>
      </c>
      <c r="BZ61" s="65"/>
      <c r="CA61" s="74" t="s">
        <v>1954</v>
      </c>
      <c r="CB61" s="73">
        <f t="shared" si="116"/>
        <v>0</v>
      </c>
      <c r="CC61" s="65"/>
      <c r="CD61" s="74" t="s">
        <v>1952</v>
      </c>
      <c r="CE61" s="73">
        <f t="shared" si="116"/>
        <v>0</v>
      </c>
      <c r="CF61" s="65"/>
      <c r="CG61" s="74" t="s">
        <v>1946</v>
      </c>
      <c r="CH61" s="73">
        <f t="shared" si="116"/>
        <v>0</v>
      </c>
      <c r="CI61" s="65"/>
      <c r="CJ61" s="74" t="s">
        <v>1957</v>
      </c>
      <c r="CK61" s="73">
        <f t="shared" si="115"/>
        <v>0</v>
      </c>
      <c r="CL61" s="65"/>
      <c r="CM61" s="74" t="s">
        <v>1942</v>
      </c>
      <c r="CN61" s="73">
        <f t="shared" si="115"/>
        <v>0</v>
      </c>
      <c r="CO61" s="65"/>
      <c r="CP61" s="74" t="s">
        <v>1946</v>
      </c>
      <c r="CQ61" s="73">
        <f t="shared" si="115"/>
        <v>0</v>
      </c>
      <c r="CR61" s="65"/>
      <c r="CS61" s="74" t="s">
        <v>1942</v>
      </c>
      <c r="CT61" s="73">
        <f t="shared" si="115"/>
        <v>0</v>
      </c>
      <c r="CU61" s="65"/>
      <c r="CV61" s="74" t="s">
        <v>1942</v>
      </c>
      <c r="CW61" s="73">
        <f t="shared" si="115"/>
        <v>0</v>
      </c>
      <c r="CX61" s="65"/>
      <c r="CY61" s="74" t="s">
        <v>1942</v>
      </c>
      <c r="CZ61" s="73">
        <f t="shared" si="115"/>
        <v>0</v>
      </c>
      <c r="DA61" s="65"/>
      <c r="DB61" s="74" t="s">
        <v>1942</v>
      </c>
      <c r="DC61" s="73">
        <f t="shared" si="115"/>
        <v>0</v>
      </c>
      <c r="DD61" s="65"/>
      <c r="DE61" s="74" t="s">
        <v>1963</v>
      </c>
      <c r="DF61" s="73">
        <f t="shared" si="115"/>
        <v>0</v>
      </c>
      <c r="DG61" s="65"/>
      <c r="DH61" s="74" t="s">
        <v>1946</v>
      </c>
      <c r="DI61" s="73">
        <f t="shared" si="115"/>
        <v>0</v>
      </c>
      <c r="DJ61" s="65"/>
      <c r="DK61" s="74" t="s">
        <v>1946</v>
      </c>
      <c r="DL61" s="73">
        <f t="shared" si="115"/>
        <v>0</v>
      </c>
      <c r="DM61" s="65"/>
      <c r="DN61" s="795" t="s">
        <v>1954</v>
      </c>
      <c r="DO61" s="73">
        <f t="shared" si="115"/>
        <v>0</v>
      </c>
      <c r="DP61" s="65"/>
      <c r="DQ61" s="795" t="s">
        <v>1944</v>
      </c>
      <c r="DR61" s="73">
        <f t="shared" si="115"/>
        <v>0</v>
      </c>
      <c r="DS61" s="65"/>
      <c r="DT61" s="74" t="s">
        <v>1942</v>
      </c>
      <c r="DU61" s="73">
        <f t="shared" si="115"/>
        <v>0</v>
      </c>
      <c r="DV61" s="65"/>
      <c r="DW61" s="74" t="s">
        <v>1954</v>
      </c>
      <c r="DX61" s="73">
        <f t="shared" si="118"/>
        <v>0</v>
      </c>
      <c r="DY61" s="65"/>
      <c r="DZ61" s="74" t="s">
        <v>1946</v>
      </c>
      <c r="EA61" s="73">
        <f t="shared" si="118"/>
        <v>0</v>
      </c>
      <c r="EB61" s="65"/>
      <c r="EC61" s="74" t="s">
        <v>1954</v>
      </c>
      <c r="ED61" s="73">
        <f t="shared" si="118"/>
        <v>0</v>
      </c>
      <c r="EE61" s="65"/>
      <c r="EF61" s="74" t="s">
        <v>1952</v>
      </c>
      <c r="EG61" s="73">
        <f t="shared" si="118"/>
        <v>0</v>
      </c>
      <c r="EH61" s="65"/>
      <c r="EI61" s="74" t="s">
        <v>1948</v>
      </c>
      <c r="EJ61" s="73">
        <f t="shared" si="118"/>
        <v>0</v>
      </c>
      <c r="EK61" s="65"/>
      <c r="EL61" s="74"/>
      <c r="EM61" s="73">
        <f t="shared" si="118"/>
        <v>0</v>
      </c>
      <c r="EN61" s="65"/>
      <c r="EO61" s="74"/>
      <c r="EP61" s="73">
        <f t="shared" si="118"/>
        <v>0</v>
      </c>
      <c r="EQ61" s="65"/>
      <c r="ER61" s="74"/>
      <c r="ES61" s="73">
        <f t="shared" si="118"/>
        <v>0</v>
      </c>
      <c r="ET61" s="65"/>
      <c r="EU61" s="74"/>
      <c r="EV61" s="73">
        <f t="shared" si="118"/>
        <v>0</v>
      </c>
      <c r="EW61" s="65"/>
      <c r="EX61" s="74"/>
      <c r="EY61" s="73">
        <f t="shared" si="118"/>
        <v>0</v>
      </c>
      <c r="EZ61" s="65"/>
      <c r="FA61" s="74"/>
      <c r="FB61" s="73">
        <f t="shared" si="118"/>
        <v>0</v>
      </c>
      <c r="FC61" s="65"/>
      <c r="FD61" s="74"/>
      <c r="FE61" s="73">
        <f t="shared" si="118"/>
        <v>0</v>
      </c>
      <c r="FF61" s="65"/>
      <c r="FG61" s="74"/>
      <c r="FH61" s="73">
        <f t="shared" si="118"/>
        <v>0</v>
      </c>
      <c r="FI61" s="65"/>
      <c r="FJ61" s="74"/>
      <c r="FK61" s="73">
        <f t="shared" si="118"/>
        <v>0</v>
      </c>
      <c r="FL61" s="65"/>
      <c r="FM61" s="65"/>
    </row>
    <row r="62" spans="1:169">
      <c r="A62" s="49"/>
      <c r="B62" s="49"/>
      <c r="C62" s="47" t="str">
        <f>"MAX. "&amp;$K$249</f>
        <v>MAX. CUADRO DE HONOR</v>
      </c>
      <c r="D62" s="126">
        <f>SUM($D$39:$D$47)</f>
        <v>115</v>
      </c>
      <c r="E62" s="111"/>
      <c r="F62" s="445">
        <f t="shared" si="97"/>
        <v>4</v>
      </c>
      <c r="G62" s="445">
        <f ca="1">VLOOKUP(H62,Equipos!$Q$1:$R$25,2,0)</f>
        <v>16</v>
      </c>
      <c r="H62" s="446">
        <f ca="1">TRUNC(INDEX(WORLDCUP!$X$4:$X$147,MATCH(ADMIN!K62,WORLDCUP!$DT$4:$DT$147,0))+INDEX(Horarios!$R$3:$R$86,MATCH(Horarios!$C$3,Horarios!$P$3:$P$86,0))/24)</f>
        <v>46199</v>
      </c>
      <c r="I62" s="48">
        <v>1</v>
      </c>
      <c r="J62" s="95" t="s">
        <v>128</v>
      </c>
      <c r="K62" s="56" t="str">
        <f ca="1">CONCATENATE(WORLDCUP!AA40,"-",WORLDCUP!AF40)</f>
        <v>Curazao-Costa de Marfil</v>
      </c>
      <c r="L62" s="53"/>
      <c r="M62" s="55" t="str">
        <f>IF(OR(WORLDCUP!AC40="",WORLDCUP!AD40=""),"-",N62&amp;"|"&amp;O62&amp;"-"&amp;P62)</f>
        <v>-</v>
      </c>
      <c r="N62" s="25" t="str">
        <f>IF(OR(WORLDCUP!AC40="",WORLDCUP!AD40=""),"",IF(WORLDCUP!AC40&gt;WORLDCUP!AD40,"1",IF(WORLDCUP!AC40&lt;WORLDCUP!AD40,"2","X")))</f>
        <v/>
      </c>
      <c r="O62" s="25">
        <f>WORLDCUP!AC40</f>
        <v>0</v>
      </c>
      <c r="P62" s="25">
        <f>WORLDCUP!AD40</f>
        <v>0</v>
      </c>
      <c r="Q62" s="25">
        <f t="shared" si="101"/>
        <v>0</v>
      </c>
      <c r="R62" s="49"/>
      <c r="S62" s="74" t="s">
        <v>1947</v>
      </c>
      <c r="T62" s="73">
        <f t="shared" si="98"/>
        <v>0</v>
      </c>
      <c r="U62" s="65"/>
      <c r="V62" s="74" t="s">
        <v>1955</v>
      </c>
      <c r="W62" s="73">
        <f t="shared" si="111"/>
        <v>0</v>
      </c>
      <c r="X62" s="65"/>
      <c r="Y62" s="74" t="s">
        <v>1952</v>
      </c>
      <c r="Z62" s="73">
        <f t="shared" si="116"/>
        <v>0</v>
      </c>
      <c r="AA62" s="65"/>
      <c r="AB62" s="74" t="s">
        <v>1960</v>
      </c>
      <c r="AC62" s="73">
        <f t="shared" si="116"/>
        <v>0</v>
      </c>
      <c r="AD62" s="65"/>
      <c r="AE62" s="74" t="s">
        <v>1945</v>
      </c>
      <c r="AF62" s="73">
        <f t="shared" si="116"/>
        <v>0</v>
      </c>
      <c r="AG62" s="65"/>
      <c r="AH62" s="74" t="s">
        <v>1944</v>
      </c>
      <c r="AI62" s="73">
        <f t="shared" si="116"/>
        <v>0</v>
      </c>
      <c r="AJ62" s="65"/>
      <c r="AK62" s="74" t="s">
        <v>1947</v>
      </c>
      <c r="AL62" s="73">
        <f t="shared" si="116"/>
        <v>0</v>
      </c>
      <c r="AM62" s="65"/>
      <c r="AN62" s="74" t="s">
        <v>1955</v>
      </c>
      <c r="AO62" s="73">
        <f t="shared" si="116"/>
        <v>0</v>
      </c>
      <c r="AP62" s="65"/>
      <c r="AQ62" s="74" t="s">
        <v>1961</v>
      </c>
      <c r="AR62" s="73">
        <f t="shared" si="116"/>
        <v>0</v>
      </c>
      <c r="AS62" s="65"/>
      <c r="AT62" s="74" t="s">
        <v>1960</v>
      </c>
      <c r="AU62" s="73">
        <f t="shared" si="116"/>
        <v>0</v>
      </c>
      <c r="AV62" s="65"/>
      <c r="AW62" s="74" t="s">
        <v>1955</v>
      </c>
      <c r="AX62" s="73">
        <f t="shared" si="116"/>
        <v>0</v>
      </c>
      <c r="AY62" s="65"/>
      <c r="AZ62" s="74" t="s">
        <v>1945</v>
      </c>
      <c r="BA62" s="73">
        <f t="shared" si="116"/>
        <v>0</v>
      </c>
      <c r="BB62" s="65"/>
      <c r="BC62" s="74" t="s">
        <v>1960</v>
      </c>
      <c r="BD62" s="73">
        <f t="shared" si="116"/>
        <v>0</v>
      </c>
      <c r="BE62" s="65"/>
      <c r="BF62" s="74" t="s">
        <v>1960</v>
      </c>
      <c r="BG62" s="73">
        <f t="shared" si="116"/>
        <v>0</v>
      </c>
      <c r="BH62" s="65"/>
      <c r="BI62" s="74" t="s">
        <v>1952</v>
      </c>
      <c r="BJ62" s="73">
        <f t="shared" si="116"/>
        <v>0</v>
      </c>
      <c r="BK62" s="65"/>
      <c r="BL62" s="74" t="s">
        <v>1949</v>
      </c>
      <c r="BM62" s="73">
        <f t="shared" si="116"/>
        <v>0</v>
      </c>
      <c r="BN62" s="65"/>
      <c r="BO62" s="74" t="s">
        <v>1946</v>
      </c>
      <c r="BP62" s="73">
        <f t="shared" si="116"/>
        <v>0</v>
      </c>
      <c r="BQ62" s="65"/>
      <c r="BR62" s="74" t="s">
        <v>1960</v>
      </c>
      <c r="BS62" s="73">
        <f t="shared" si="116"/>
        <v>0</v>
      </c>
      <c r="BT62" s="65"/>
      <c r="BU62" s="74" t="s">
        <v>1947</v>
      </c>
      <c r="BV62" s="73">
        <f t="shared" si="116"/>
        <v>0</v>
      </c>
      <c r="BW62" s="65"/>
      <c r="BX62" s="74" t="s">
        <v>1944</v>
      </c>
      <c r="BY62" s="73">
        <f t="shared" si="116"/>
        <v>0</v>
      </c>
      <c r="BZ62" s="65"/>
      <c r="CA62" s="74" t="s">
        <v>1949</v>
      </c>
      <c r="CB62" s="73">
        <f t="shared" si="116"/>
        <v>0</v>
      </c>
      <c r="CC62" s="65"/>
      <c r="CD62" s="74" t="s">
        <v>1949</v>
      </c>
      <c r="CE62" s="73">
        <f t="shared" si="116"/>
        <v>0</v>
      </c>
      <c r="CF62" s="65"/>
      <c r="CG62" s="74" t="s">
        <v>1949</v>
      </c>
      <c r="CH62" s="73">
        <f t="shared" si="116"/>
        <v>0</v>
      </c>
      <c r="CI62" s="65"/>
      <c r="CJ62" s="74" t="s">
        <v>1952</v>
      </c>
      <c r="CK62" s="73">
        <f t="shared" si="115"/>
        <v>0</v>
      </c>
      <c r="CL62" s="65"/>
      <c r="CM62" s="74" t="s">
        <v>1960</v>
      </c>
      <c r="CN62" s="73">
        <f t="shared" si="115"/>
        <v>0</v>
      </c>
      <c r="CO62" s="65"/>
      <c r="CP62" s="74" t="s">
        <v>1947</v>
      </c>
      <c r="CQ62" s="73">
        <f t="shared" si="115"/>
        <v>0</v>
      </c>
      <c r="CR62" s="65"/>
      <c r="CS62" s="74" t="s">
        <v>1952</v>
      </c>
      <c r="CT62" s="73">
        <f t="shared" si="115"/>
        <v>0</v>
      </c>
      <c r="CU62" s="65"/>
      <c r="CV62" s="74" t="s">
        <v>1952</v>
      </c>
      <c r="CW62" s="73">
        <f t="shared" si="115"/>
        <v>0</v>
      </c>
      <c r="CX62" s="65"/>
      <c r="CY62" s="74" t="s">
        <v>1949</v>
      </c>
      <c r="CZ62" s="73">
        <f t="shared" si="115"/>
        <v>0</v>
      </c>
      <c r="DA62" s="65"/>
      <c r="DB62" s="74" t="s">
        <v>1949</v>
      </c>
      <c r="DC62" s="73">
        <f t="shared" si="115"/>
        <v>0</v>
      </c>
      <c r="DD62" s="65"/>
      <c r="DE62" s="74" t="s">
        <v>1949</v>
      </c>
      <c r="DF62" s="73">
        <f t="shared" si="115"/>
        <v>0</v>
      </c>
      <c r="DG62" s="65"/>
      <c r="DH62" s="74" t="s">
        <v>1952</v>
      </c>
      <c r="DI62" s="73">
        <f t="shared" si="115"/>
        <v>0</v>
      </c>
      <c r="DJ62" s="65"/>
      <c r="DK62" s="74" t="s">
        <v>1947</v>
      </c>
      <c r="DL62" s="73">
        <f t="shared" si="115"/>
        <v>0</v>
      </c>
      <c r="DM62" s="65"/>
      <c r="DN62" s="795" t="s">
        <v>1949</v>
      </c>
      <c r="DO62" s="73">
        <f t="shared" si="115"/>
        <v>0</v>
      </c>
      <c r="DP62" s="65"/>
      <c r="DQ62" s="795" t="s">
        <v>1949</v>
      </c>
      <c r="DR62" s="73">
        <f t="shared" si="115"/>
        <v>0</v>
      </c>
      <c r="DS62" s="65"/>
      <c r="DT62" s="74" t="s">
        <v>1946</v>
      </c>
      <c r="DU62" s="73">
        <f t="shared" si="115"/>
        <v>0</v>
      </c>
      <c r="DV62" s="65"/>
      <c r="DW62" s="74" t="s">
        <v>1961</v>
      </c>
      <c r="DX62" s="73">
        <f t="shared" si="118"/>
        <v>0</v>
      </c>
      <c r="DY62" s="65"/>
      <c r="DZ62" s="74" t="s">
        <v>1949</v>
      </c>
      <c r="EA62" s="73">
        <f t="shared" si="118"/>
        <v>0</v>
      </c>
      <c r="EB62" s="65"/>
      <c r="EC62" s="74" t="s">
        <v>1949</v>
      </c>
      <c r="ED62" s="73">
        <f t="shared" si="118"/>
        <v>0</v>
      </c>
      <c r="EE62" s="65"/>
      <c r="EF62" s="74" t="s">
        <v>1947</v>
      </c>
      <c r="EG62" s="73">
        <f t="shared" si="118"/>
        <v>0</v>
      </c>
      <c r="EH62" s="65"/>
      <c r="EI62" s="74" t="s">
        <v>1947</v>
      </c>
      <c r="EJ62" s="73">
        <f t="shared" si="118"/>
        <v>0</v>
      </c>
      <c r="EK62" s="65"/>
      <c r="EL62" s="74"/>
      <c r="EM62" s="73">
        <f t="shared" si="118"/>
        <v>0</v>
      </c>
      <c r="EN62" s="65"/>
      <c r="EO62" s="74"/>
      <c r="EP62" s="73">
        <f t="shared" si="118"/>
        <v>0</v>
      </c>
      <c r="EQ62" s="65"/>
      <c r="ER62" s="74"/>
      <c r="ES62" s="73">
        <f t="shared" si="118"/>
        <v>0</v>
      </c>
      <c r="ET62" s="65"/>
      <c r="EU62" s="74"/>
      <c r="EV62" s="73">
        <f t="shared" si="118"/>
        <v>0</v>
      </c>
      <c r="EW62" s="65"/>
      <c r="EX62" s="74"/>
      <c r="EY62" s="73">
        <f t="shared" si="118"/>
        <v>0</v>
      </c>
      <c r="EZ62" s="65"/>
      <c r="FA62" s="74"/>
      <c r="FB62" s="73">
        <f t="shared" si="118"/>
        <v>0</v>
      </c>
      <c r="FC62" s="65"/>
      <c r="FD62" s="74"/>
      <c r="FE62" s="73">
        <f t="shared" si="118"/>
        <v>0</v>
      </c>
      <c r="FF62" s="65"/>
      <c r="FG62" s="74"/>
      <c r="FH62" s="73">
        <f t="shared" si="118"/>
        <v>0</v>
      </c>
      <c r="FI62" s="65"/>
      <c r="FJ62" s="74"/>
      <c r="FK62" s="73">
        <f t="shared" si="118"/>
        <v>0</v>
      </c>
      <c r="FL62" s="65"/>
      <c r="FM62" s="65"/>
    </row>
    <row r="63" spans="1:169">
      <c r="A63" s="49"/>
      <c r="B63" s="49"/>
      <c r="C63" s="49"/>
      <c r="D63" s="49"/>
      <c r="E63" s="111"/>
      <c r="F63" s="445">
        <f t="shared" si="97"/>
        <v>4</v>
      </c>
      <c r="G63" s="445">
        <f ca="1">VLOOKUP(H63,Equipos!$Q$1:$R$25,2,0)</f>
        <v>16</v>
      </c>
      <c r="H63" s="446">
        <f ca="1">TRUNC(INDEX(WORLDCUP!$X$4:$X$147,MATCH(ADMIN!K63,WORLDCUP!$DT$4:$DT$147,0))+INDEX(Horarios!$R$3:$R$86,MATCH(Horarios!$C$3,Horarios!$P$3:$P$86,0))/24)</f>
        <v>46199</v>
      </c>
      <c r="I63" s="48">
        <v>1</v>
      </c>
      <c r="J63" s="95" t="s">
        <v>128</v>
      </c>
      <c r="K63" s="53" t="str">
        <f ca="1">CONCATENATE(WORLDCUP!AA41,"-",WORLDCUP!AF41)</f>
        <v>Ecuador-Alemania</v>
      </c>
      <c r="L63" s="53"/>
      <c r="M63" s="55" t="str">
        <f>IF(OR(WORLDCUP!AC41="",WORLDCUP!AD41=""),"-",N63&amp;"|"&amp;O63&amp;"-"&amp;P63)</f>
        <v>-</v>
      </c>
      <c r="N63" s="25" t="str">
        <f>IF(OR(WORLDCUP!AC41="",WORLDCUP!AD41=""),"",IF(WORLDCUP!AC41&gt;WORLDCUP!AD41,"1",IF(WORLDCUP!AC41&lt;WORLDCUP!AD41,"2","X")))</f>
        <v/>
      </c>
      <c r="O63" s="25">
        <f>WORLDCUP!AC41</f>
        <v>0</v>
      </c>
      <c r="P63" s="25">
        <f>WORLDCUP!AD41</f>
        <v>0</v>
      </c>
      <c r="Q63" s="25">
        <f t="shared" si="101"/>
        <v>0</v>
      </c>
      <c r="R63" s="49"/>
      <c r="S63" s="74" t="s">
        <v>1961</v>
      </c>
      <c r="T63" s="73">
        <f t="shared" si="98"/>
        <v>0</v>
      </c>
      <c r="U63" s="65"/>
      <c r="V63" s="74" t="s">
        <v>1946</v>
      </c>
      <c r="W63" s="73">
        <f t="shared" si="111"/>
        <v>0</v>
      </c>
      <c r="X63" s="65"/>
      <c r="Y63" s="74" t="s">
        <v>1952</v>
      </c>
      <c r="Z63" s="73">
        <f t="shared" si="116"/>
        <v>0</v>
      </c>
      <c r="AA63" s="65"/>
      <c r="AB63" s="74" t="s">
        <v>1952</v>
      </c>
      <c r="AC63" s="73">
        <f t="shared" si="116"/>
        <v>0</v>
      </c>
      <c r="AD63" s="65"/>
      <c r="AE63" s="74" t="s">
        <v>1946</v>
      </c>
      <c r="AF63" s="73">
        <f t="shared" si="116"/>
        <v>0</v>
      </c>
      <c r="AG63" s="65"/>
      <c r="AH63" s="74" t="s">
        <v>1949</v>
      </c>
      <c r="AI63" s="73">
        <f t="shared" si="116"/>
        <v>0</v>
      </c>
      <c r="AJ63" s="65"/>
      <c r="AK63" s="74" t="s">
        <v>1946</v>
      </c>
      <c r="AL63" s="73">
        <f t="shared" si="116"/>
        <v>0</v>
      </c>
      <c r="AM63" s="65"/>
      <c r="AN63" s="74" t="s">
        <v>1952</v>
      </c>
      <c r="AO63" s="73">
        <f t="shared" si="116"/>
        <v>0</v>
      </c>
      <c r="AP63" s="65"/>
      <c r="AQ63" s="74" t="s">
        <v>1945</v>
      </c>
      <c r="AR63" s="73">
        <f t="shared" si="116"/>
        <v>0</v>
      </c>
      <c r="AS63" s="65"/>
      <c r="AT63" s="74" t="s">
        <v>1952</v>
      </c>
      <c r="AU63" s="73">
        <f t="shared" si="116"/>
        <v>0</v>
      </c>
      <c r="AV63" s="65"/>
      <c r="AW63" s="74" t="s">
        <v>1946</v>
      </c>
      <c r="AX63" s="73">
        <f t="shared" si="116"/>
        <v>0</v>
      </c>
      <c r="AY63" s="65"/>
      <c r="AZ63" s="74" t="s">
        <v>1952</v>
      </c>
      <c r="BA63" s="73">
        <f t="shared" si="116"/>
        <v>0</v>
      </c>
      <c r="BB63" s="65"/>
      <c r="BC63" s="74" t="s">
        <v>1962</v>
      </c>
      <c r="BD63" s="73">
        <f t="shared" si="116"/>
        <v>0</v>
      </c>
      <c r="BE63" s="65"/>
      <c r="BF63" s="74" t="s">
        <v>1960</v>
      </c>
      <c r="BG63" s="73">
        <f t="shared" si="116"/>
        <v>0</v>
      </c>
      <c r="BH63" s="65"/>
      <c r="BI63" s="74" t="s">
        <v>1952</v>
      </c>
      <c r="BJ63" s="73">
        <f t="shared" si="116"/>
        <v>0</v>
      </c>
      <c r="BK63" s="65"/>
      <c r="BL63" s="74" t="s">
        <v>1952</v>
      </c>
      <c r="BM63" s="73">
        <f t="shared" si="116"/>
        <v>0</v>
      </c>
      <c r="BN63" s="65"/>
      <c r="BO63" s="74" t="s">
        <v>1945</v>
      </c>
      <c r="BP63" s="73">
        <f t="shared" si="116"/>
        <v>0</v>
      </c>
      <c r="BQ63" s="65"/>
      <c r="BR63" s="74" t="s">
        <v>1946</v>
      </c>
      <c r="BS63" s="73">
        <f t="shared" si="116"/>
        <v>0</v>
      </c>
      <c r="BT63" s="65"/>
      <c r="BU63" s="74" t="s">
        <v>1947</v>
      </c>
      <c r="BV63" s="73">
        <f t="shared" si="116"/>
        <v>0</v>
      </c>
      <c r="BW63" s="65"/>
      <c r="BX63" s="74" t="s">
        <v>1946</v>
      </c>
      <c r="BY63" s="73">
        <f t="shared" si="116"/>
        <v>0</v>
      </c>
      <c r="BZ63" s="65"/>
      <c r="CA63" s="74" t="s">
        <v>1945</v>
      </c>
      <c r="CB63" s="73">
        <f t="shared" si="116"/>
        <v>0</v>
      </c>
      <c r="CC63" s="65"/>
      <c r="CD63" s="74" t="s">
        <v>1946</v>
      </c>
      <c r="CE63" s="73">
        <f t="shared" si="116"/>
        <v>0</v>
      </c>
      <c r="CF63" s="65"/>
      <c r="CG63" s="74" t="s">
        <v>1945</v>
      </c>
      <c r="CH63" s="73">
        <f t="shared" si="116"/>
        <v>0</v>
      </c>
      <c r="CI63" s="65"/>
      <c r="CJ63" s="74" t="s">
        <v>1952</v>
      </c>
      <c r="CK63" s="73">
        <f t="shared" si="115"/>
        <v>0</v>
      </c>
      <c r="CL63" s="65"/>
      <c r="CM63" s="74" t="s">
        <v>1946</v>
      </c>
      <c r="CN63" s="73">
        <f t="shared" si="115"/>
        <v>0</v>
      </c>
      <c r="CO63" s="65"/>
      <c r="CP63" s="74" t="s">
        <v>1946</v>
      </c>
      <c r="CQ63" s="73">
        <f t="shared" si="115"/>
        <v>0</v>
      </c>
      <c r="CR63" s="65"/>
      <c r="CS63" s="74" t="s">
        <v>1949</v>
      </c>
      <c r="CT63" s="73">
        <f t="shared" si="115"/>
        <v>0</v>
      </c>
      <c r="CU63" s="65"/>
      <c r="CV63" s="74" t="s">
        <v>1946</v>
      </c>
      <c r="CW63" s="73">
        <f t="shared" si="115"/>
        <v>0</v>
      </c>
      <c r="CX63" s="65"/>
      <c r="CY63" s="74" t="s">
        <v>1954</v>
      </c>
      <c r="CZ63" s="73">
        <f t="shared" si="115"/>
        <v>0</v>
      </c>
      <c r="DA63" s="65"/>
      <c r="DB63" s="74" t="s">
        <v>1946</v>
      </c>
      <c r="DC63" s="73">
        <f t="shared" si="115"/>
        <v>0</v>
      </c>
      <c r="DD63" s="65"/>
      <c r="DE63" s="74" t="s">
        <v>1952</v>
      </c>
      <c r="DF63" s="73">
        <f t="shared" si="115"/>
        <v>0</v>
      </c>
      <c r="DG63" s="65"/>
      <c r="DH63" s="74" t="s">
        <v>1952</v>
      </c>
      <c r="DI63" s="73">
        <f t="shared" si="115"/>
        <v>0</v>
      </c>
      <c r="DJ63" s="65"/>
      <c r="DK63" s="74" t="s">
        <v>1946</v>
      </c>
      <c r="DL63" s="73">
        <f t="shared" si="115"/>
        <v>0</v>
      </c>
      <c r="DM63" s="65"/>
      <c r="DN63" s="795" t="s">
        <v>1960</v>
      </c>
      <c r="DO63" s="73">
        <f t="shared" si="115"/>
        <v>0</v>
      </c>
      <c r="DP63" s="65"/>
      <c r="DQ63" s="795" t="s">
        <v>1944</v>
      </c>
      <c r="DR63" s="73">
        <f t="shared" si="115"/>
        <v>0</v>
      </c>
      <c r="DS63" s="65"/>
      <c r="DT63" s="74" t="s">
        <v>1962</v>
      </c>
      <c r="DU63" s="73">
        <f t="shared" si="115"/>
        <v>0</v>
      </c>
      <c r="DV63" s="65"/>
      <c r="DW63" s="74" t="s">
        <v>1957</v>
      </c>
      <c r="DX63" s="73">
        <f t="shared" si="118"/>
        <v>0</v>
      </c>
      <c r="DY63" s="65"/>
      <c r="DZ63" s="74" t="s">
        <v>1946</v>
      </c>
      <c r="EA63" s="73">
        <f t="shared" si="118"/>
        <v>0</v>
      </c>
      <c r="EB63" s="65"/>
      <c r="EC63" s="74" t="s">
        <v>1952</v>
      </c>
      <c r="ED63" s="73">
        <f t="shared" si="118"/>
        <v>0</v>
      </c>
      <c r="EE63" s="65"/>
      <c r="EF63" s="74" t="s">
        <v>1946</v>
      </c>
      <c r="EG63" s="73">
        <f t="shared" si="118"/>
        <v>0</v>
      </c>
      <c r="EH63" s="65"/>
      <c r="EI63" s="74" t="s">
        <v>1946</v>
      </c>
      <c r="EJ63" s="73">
        <f t="shared" si="118"/>
        <v>0</v>
      </c>
      <c r="EK63" s="65"/>
      <c r="EL63" s="74"/>
      <c r="EM63" s="73">
        <f t="shared" si="118"/>
        <v>0</v>
      </c>
      <c r="EN63" s="65"/>
      <c r="EO63" s="74"/>
      <c r="EP63" s="73">
        <f t="shared" si="118"/>
        <v>0</v>
      </c>
      <c r="EQ63" s="65"/>
      <c r="ER63" s="74"/>
      <c r="ES63" s="73">
        <f t="shared" si="118"/>
        <v>0</v>
      </c>
      <c r="ET63" s="65"/>
      <c r="EU63" s="74"/>
      <c r="EV63" s="73">
        <f t="shared" si="118"/>
        <v>0</v>
      </c>
      <c r="EW63" s="65"/>
      <c r="EX63" s="74"/>
      <c r="EY63" s="73">
        <f t="shared" si="118"/>
        <v>0</v>
      </c>
      <c r="EZ63" s="65"/>
      <c r="FA63" s="74"/>
      <c r="FB63" s="73">
        <f t="shared" si="118"/>
        <v>0</v>
      </c>
      <c r="FC63" s="65"/>
      <c r="FD63" s="74"/>
      <c r="FE63" s="73">
        <f t="shared" si="118"/>
        <v>0</v>
      </c>
      <c r="FF63" s="65"/>
      <c r="FG63" s="74"/>
      <c r="FH63" s="73">
        <f t="shared" si="118"/>
        <v>0</v>
      </c>
      <c r="FI63" s="65"/>
      <c r="FJ63" s="74"/>
      <c r="FK63" s="73">
        <f t="shared" si="118"/>
        <v>0</v>
      </c>
      <c r="FL63" s="65"/>
      <c r="FM63" s="65"/>
    </row>
    <row r="64" spans="1:169">
      <c r="A64" s="49"/>
      <c r="B64" s="49"/>
      <c r="C64" s="119" t="str">
        <f>"MAX. "&amp;K5</f>
        <v>MAX. FASE DE GRUPOS</v>
      </c>
      <c r="D64" s="122">
        <f>D56</f>
        <v>480</v>
      </c>
      <c r="E64" s="111"/>
      <c r="F64" s="445">
        <f t="shared" si="97"/>
        <v>4</v>
      </c>
      <c r="G64" s="445">
        <f ca="1">VLOOKUP(H64,Equipos!$Q$1:$R$25,2,0)</f>
        <v>16</v>
      </c>
      <c r="H64" s="446">
        <f ca="1">TRUNC(INDEX(WORLDCUP!$X$4:$X$147,MATCH(ADMIN!K64,WORLDCUP!$DT$4:$DT$147,0))+INDEX(Horarios!$R$3:$R$86,MATCH(Horarios!$C$3,Horarios!$P$3:$P$86,0))/24)</f>
        <v>46199</v>
      </c>
      <c r="I64" s="48">
        <v>1</v>
      </c>
      <c r="J64" s="96" t="s">
        <v>129</v>
      </c>
      <c r="K64" s="56" t="str">
        <f ca="1">CONCATENATE(WORLDCUP!AA48,"-",WORLDCUP!AF48)</f>
        <v>Japón-Suecia</v>
      </c>
      <c r="L64" s="53"/>
      <c r="M64" s="55" t="str">
        <f>IF(OR(WORLDCUP!AC48="",WORLDCUP!AD48=""),"-",N64&amp;"|"&amp;O64&amp;"-"&amp;P64)</f>
        <v>-</v>
      </c>
      <c r="N64" s="25" t="str">
        <f>IF(OR(WORLDCUP!AC48="",WORLDCUP!AD48=""),"",IF(WORLDCUP!AC48&gt;WORLDCUP!AD48,"1",IF(WORLDCUP!AC48&lt;WORLDCUP!AD48,"2","X")))</f>
        <v/>
      </c>
      <c r="O64" s="25">
        <f>WORLDCUP!AC48</f>
        <v>0</v>
      </c>
      <c r="P64" s="25">
        <f>WORLDCUP!AD48</f>
        <v>0</v>
      </c>
      <c r="Q64" s="25">
        <f t="shared" si="101"/>
        <v>0</v>
      </c>
      <c r="R64" s="49"/>
      <c r="S64" s="74" t="s">
        <v>1948</v>
      </c>
      <c r="T64" s="73">
        <f t="shared" si="98"/>
        <v>0</v>
      </c>
      <c r="U64" s="65"/>
      <c r="V64" s="74" t="s">
        <v>1943</v>
      </c>
      <c r="W64" s="73">
        <f t="shared" si="111"/>
        <v>0</v>
      </c>
      <c r="X64" s="65"/>
      <c r="Y64" s="74" t="s">
        <v>1948</v>
      </c>
      <c r="Z64" s="73">
        <f t="shared" si="116"/>
        <v>0</v>
      </c>
      <c r="AA64" s="65"/>
      <c r="AB64" s="74" t="s">
        <v>1948</v>
      </c>
      <c r="AC64" s="73">
        <f t="shared" si="116"/>
        <v>0</v>
      </c>
      <c r="AD64" s="65"/>
      <c r="AE64" s="74" t="s">
        <v>1946</v>
      </c>
      <c r="AF64" s="73">
        <f t="shared" si="116"/>
        <v>0</v>
      </c>
      <c r="AG64" s="65"/>
      <c r="AH64" s="74" t="s">
        <v>1949</v>
      </c>
      <c r="AI64" s="73">
        <f t="shared" si="116"/>
        <v>0</v>
      </c>
      <c r="AJ64" s="65"/>
      <c r="AK64" s="74" t="s">
        <v>1957</v>
      </c>
      <c r="AL64" s="73">
        <f t="shared" si="116"/>
        <v>0</v>
      </c>
      <c r="AM64" s="65"/>
      <c r="AN64" s="74" t="s">
        <v>1942</v>
      </c>
      <c r="AO64" s="73">
        <f t="shared" si="116"/>
        <v>0</v>
      </c>
      <c r="AP64" s="65"/>
      <c r="AQ64" s="74" t="s">
        <v>1946</v>
      </c>
      <c r="AR64" s="73">
        <f t="shared" si="116"/>
        <v>0</v>
      </c>
      <c r="AS64" s="65"/>
      <c r="AT64" s="74" t="s">
        <v>1948</v>
      </c>
      <c r="AU64" s="73">
        <f t="shared" si="116"/>
        <v>0</v>
      </c>
      <c r="AV64" s="65"/>
      <c r="AW64" s="74" t="s">
        <v>1948</v>
      </c>
      <c r="AX64" s="73">
        <f t="shared" si="116"/>
        <v>0</v>
      </c>
      <c r="AY64" s="65"/>
      <c r="AZ64" s="74" t="s">
        <v>1946</v>
      </c>
      <c r="BA64" s="73">
        <f t="shared" si="116"/>
        <v>0</v>
      </c>
      <c r="BB64" s="65"/>
      <c r="BC64" s="74" t="s">
        <v>1957</v>
      </c>
      <c r="BD64" s="73">
        <f t="shared" si="116"/>
        <v>0</v>
      </c>
      <c r="BE64" s="65"/>
      <c r="BF64" s="74" t="s">
        <v>1954</v>
      </c>
      <c r="BG64" s="73">
        <f t="shared" si="116"/>
        <v>0</v>
      </c>
      <c r="BH64" s="65"/>
      <c r="BI64" s="74" t="s">
        <v>1948</v>
      </c>
      <c r="BJ64" s="73">
        <f t="shared" si="116"/>
        <v>0</v>
      </c>
      <c r="BK64" s="65"/>
      <c r="BL64" s="74" t="s">
        <v>1946</v>
      </c>
      <c r="BM64" s="73">
        <f t="shared" si="116"/>
        <v>0</v>
      </c>
      <c r="BN64" s="65"/>
      <c r="BO64" s="74" t="s">
        <v>1948</v>
      </c>
      <c r="BP64" s="73">
        <f t="shared" si="116"/>
        <v>0</v>
      </c>
      <c r="BQ64" s="65"/>
      <c r="BR64" s="74" t="s">
        <v>1954</v>
      </c>
      <c r="BS64" s="73">
        <f t="shared" si="116"/>
        <v>0</v>
      </c>
      <c r="BT64" s="65"/>
      <c r="BU64" s="74" t="s">
        <v>1948</v>
      </c>
      <c r="BV64" s="73">
        <f t="shared" si="116"/>
        <v>0</v>
      </c>
      <c r="BW64" s="65"/>
      <c r="BX64" s="74" t="s">
        <v>1948</v>
      </c>
      <c r="BY64" s="73">
        <f t="shared" si="116"/>
        <v>0</v>
      </c>
      <c r="BZ64" s="65"/>
      <c r="CA64" s="74" t="s">
        <v>1945</v>
      </c>
      <c r="CB64" s="73">
        <f t="shared" si="116"/>
        <v>0</v>
      </c>
      <c r="CC64" s="65"/>
      <c r="CD64" s="74" t="s">
        <v>1952</v>
      </c>
      <c r="CE64" s="73">
        <f t="shared" si="116"/>
        <v>0</v>
      </c>
      <c r="CF64" s="65"/>
      <c r="CG64" s="74" t="s">
        <v>1944</v>
      </c>
      <c r="CH64" s="73">
        <f t="shared" si="116"/>
        <v>0</v>
      </c>
      <c r="CI64" s="65"/>
      <c r="CJ64" s="74" t="s">
        <v>1946</v>
      </c>
      <c r="CK64" s="73">
        <f t="shared" si="115"/>
        <v>0</v>
      </c>
      <c r="CL64" s="65"/>
      <c r="CM64" s="74" t="s">
        <v>1958</v>
      </c>
      <c r="CN64" s="73">
        <f t="shared" si="115"/>
        <v>0</v>
      </c>
      <c r="CO64" s="65"/>
      <c r="CP64" s="74" t="s">
        <v>1943</v>
      </c>
      <c r="CQ64" s="73">
        <f t="shared" si="115"/>
        <v>0</v>
      </c>
      <c r="CR64" s="65"/>
      <c r="CS64" s="74" t="s">
        <v>1946</v>
      </c>
      <c r="CT64" s="73">
        <f t="shared" si="115"/>
        <v>0</v>
      </c>
      <c r="CU64" s="65"/>
      <c r="CV64" s="74" t="s">
        <v>1948</v>
      </c>
      <c r="CW64" s="73">
        <f t="shared" si="115"/>
        <v>0</v>
      </c>
      <c r="CX64" s="65"/>
      <c r="CY64" s="74" t="s">
        <v>1952</v>
      </c>
      <c r="CZ64" s="73">
        <f t="shared" si="115"/>
        <v>0</v>
      </c>
      <c r="DA64" s="65"/>
      <c r="DB64" s="74" t="s">
        <v>1948</v>
      </c>
      <c r="DC64" s="73">
        <f t="shared" si="115"/>
        <v>0</v>
      </c>
      <c r="DD64" s="65"/>
      <c r="DE64" s="74" t="s">
        <v>1948</v>
      </c>
      <c r="DF64" s="73">
        <f t="shared" si="115"/>
        <v>0</v>
      </c>
      <c r="DG64" s="65"/>
      <c r="DH64" s="74" t="s">
        <v>1946</v>
      </c>
      <c r="DI64" s="73">
        <f t="shared" si="115"/>
        <v>0</v>
      </c>
      <c r="DJ64" s="65"/>
      <c r="DK64" s="74" t="s">
        <v>1946</v>
      </c>
      <c r="DL64" s="73">
        <f t="shared" si="115"/>
        <v>0</v>
      </c>
      <c r="DM64" s="65"/>
      <c r="DN64" s="795" t="s">
        <v>1946</v>
      </c>
      <c r="DO64" s="73">
        <f t="shared" si="115"/>
        <v>0</v>
      </c>
      <c r="DP64" s="65"/>
      <c r="DQ64" s="795" t="s">
        <v>2264</v>
      </c>
      <c r="DR64" s="73">
        <f t="shared" si="115"/>
        <v>0</v>
      </c>
      <c r="DS64" s="65"/>
      <c r="DT64" s="74" t="s">
        <v>1945</v>
      </c>
      <c r="DU64" s="73">
        <f t="shared" si="115"/>
        <v>0</v>
      </c>
      <c r="DV64" s="65"/>
      <c r="DW64" s="74" t="s">
        <v>1946</v>
      </c>
      <c r="DX64" s="73">
        <f t="shared" si="118"/>
        <v>0</v>
      </c>
      <c r="DY64" s="65"/>
      <c r="DZ64" s="74" t="s">
        <v>1942</v>
      </c>
      <c r="EA64" s="73">
        <f t="shared" si="118"/>
        <v>0</v>
      </c>
      <c r="EB64" s="65"/>
      <c r="EC64" s="74" t="s">
        <v>1952</v>
      </c>
      <c r="ED64" s="73">
        <f t="shared" si="118"/>
        <v>0</v>
      </c>
      <c r="EE64" s="65"/>
      <c r="EF64" s="74" t="s">
        <v>1959</v>
      </c>
      <c r="EG64" s="73">
        <f t="shared" si="118"/>
        <v>0</v>
      </c>
      <c r="EH64" s="65"/>
      <c r="EI64" s="74" t="s">
        <v>1944</v>
      </c>
      <c r="EJ64" s="73">
        <f t="shared" si="118"/>
        <v>0</v>
      </c>
      <c r="EK64" s="65"/>
      <c r="EL64" s="74"/>
      <c r="EM64" s="73">
        <f t="shared" si="118"/>
        <v>0</v>
      </c>
      <c r="EN64" s="65"/>
      <c r="EO64" s="74"/>
      <c r="EP64" s="73">
        <f t="shared" si="118"/>
        <v>0</v>
      </c>
      <c r="EQ64" s="65"/>
      <c r="ER64" s="74"/>
      <c r="ES64" s="73">
        <f t="shared" si="118"/>
        <v>0</v>
      </c>
      <c r="ET64" s="65"/>
      <c r="EU64" s="74"/>
      <c r="EV64" s="73">
        <f t="shared" si="118"/>
        <v>0</v>
      </c>
      <c r="EW64" s="65"/>
      <c r="EX64" s="74"/>
      <c r="EY64" s="73">
        <f t="shared" si="118"/>
        <v>0</v>
      </c>
      <c r="EZ64" s="65"/>
      <c r="FA64" s="74"/>
      <c r="FB64" s="73">
        <f t="shared" si="118"/>
        <v>0</v>
      </c>
      <c r="FC64" s="65"/>
      <c r="FD64" s="74"/>
      <c r="FE64" s="73">
        <f t="shared" si="118"/>
        <v>0</v>
      </c>
      <c r="FF64" s="65"/>
      <c r="FG64" s="74"/>
      <c r="FH64" s="73">
        <f t="shared" si="118"/>
        <v>0</v>
      </c>
      <c r="FI64" s="65"/>
      <c r="FJ64" s="74"/>
      <c r="FK64" s="73">
        <f t="shared" si="118"/>
        <v>0</v>
      </c>
      <c r="FL64" s="65"/>
      <c r="FM64" s="65"/>
    </row>
    <row r="65" spans="1:169">
      <c r="A65" s="49"/>
      <c r="B65" s="49"/>
      <c r="C65" s="46" t="s">
        <v>1646</v>
      </c>
      <c r="D65" s="125">
        <f>SUM($D$57:$D$62)</f>
        <v>393</v>
      </c>
      <c r="E65" s="111"/>
      <c r="F65" s="445">
        <f t="shared" si="97"/>
        <v>4</v>
      </c>
      <c r="G65" s="445">
        <f ca="1">VLOOKUP(H65,Equipos!$Q$1:$R$25,2,0)</f>
        <v>16</v>
      </c>
      <c r="H65" s="446">
        <f ca="1">TRUNC(INDEX(WORLDCUP!$X$4:$X$147,MATCH(ADMIN!K65,WORLDCUP!$DT$4:$DT$147,0))+INDEX(Horarios!$R$3:$R$86,MATCH(Horarios!$C$3,Horarios!$P$3:$P$86,0))/24)</f>
        <v>46199</v>
      </c>
      <c r="I65" s="48">
        <v>1</v>
      </c>
      <c r="J65" s="96" t="s">
        <v>129</v>
      </c>
      <c r="K65" s="56" t="str">
        <f ca="1">CONCATENATE(WORLDCUP!AA49,"-",WORLDCUP!AF49)</f>
        <v>Túnez-Países Bajos</v>
      </c>
      <c r="L65" s="53"/>
      <c r="M65" s="55" t="str">
        <f>IF(OR(WORLDCUP!AC49="",WORLDCUP!AD49=""),"-",N65&amp;"|"&amp;O65&amp;"-"&amp;P65)</f>
        <v>-</v>
      </c>
      <c r="N65" s="25" t="str">
        <f>IF(OR(WORLDCUP!AC49="",WORLDCUP!AD49=""),"",IF(WORLDCUP!AC49&gt;WORLDCUP!AD49,"1",IF(WORLDCUP!AC49&lt;WORLDCUP!AD49,"2","X")))</f>
        <v/>
      </c>
      <c r="O65" s="25">
        <f>WORLDCUP!AC49</f>
        <v>0</v>
      </c>
      <c r="P65" s="25">
        <f>WORLDCUP!AD49</f>
        <v>0</v>
      </c>
      <c r="Q65" s="25">
        <f t="shared" si="101"/>
        <v>0</v>
      </c>
      <c r="R65" s="49"/>
      <c r="S65" s="74" t="s">
        <v>1960</v>
      </c>
      <c r="T65" s="73">
        <f t="shared" si="98"/>
        <v>0</v>
      </c>
      <c r="U65" s="65"/>
      <c r="V65" s="74" t="s">
        <v>1952</v>
      </c>
      <c r="W65" s="73">
        <f t="shared" si="111"/>
        <v>0</v>
      </c>
      <c r="X65" s="65"/>
      <c r="Y65" s="74" t="s">
        <v>1949</v>
      </c>
      <c r="Z65" s="73">
        <f t="shared" si="116"/>
        <v>0</v>
      </c>
      <c r="AA65" s="65"/>
      <c r="AB65" s="74" t="s">
        <v>1949</v>
      </c>
      <c r="AC65" s="73">
        <f t="shared" si="116"/>
        <v>0</v>
      </c>
      <c r="AD65" s="65"/>
      <c r="AE65" s="74" t="s">
        <v>1947</v>
      </c>
      <c r="AF65" s="73">
        <f t="shared" si="116"/>
        <v>0</v>
      </c>
      <c r="AG65" s="65"/>
      <c r="AH65" s="74" t="s">
        <v>1960</v>
      </c>
      <c r="AI65" s="73">
        <f t="shared" si="116"/>
        <v>0</v>
      </c>
      <c r="AJ65" s="65"/>
      <c r="AK65" s="74" t="s">
        <v>1945</v>
      </c>
      <c r="AL65" s="73">
        <f t="shared" si="116"/>
        <v>0</v>
      </c>
      <c r="AM65" s="65"/>
      <c r="AN65" s="74" t="s">
        <v>1962</v>
      </c>
      <c r="AO65" s="73">
        <f t="shared" si="116"/>
        <v>0</v>
      </c>
      <c r="AP65" s="65"/>
      <c r="AQ65" s="74" t="s">
        <v>1945</v>
      </c>
      <c r="AR65" s="73">
        <f t="shared" si="116"/>
        <v>0</v>
      </c>
      <c r="AS65" s="65"/>
      <c r="AT65" s="74" t="s">
        <v>1952</v>
      </c>
      <c r="AU65" s="73">
        <f t="shared" si="116"/>
        <v>0</v>
      </c>
      <c r="AV65" s="65"/>
      <c r="AW65" s="74" t="s">
        <v>1949</v>
      </c>
      <c r="AX65" s="73">
        <f t="shared" si="116"/>
        <v>0</v>
      </c>
      <c r="AY65" s="65"/>
      <c r="AZ65" s="74" t="s">
        <v>1947</v>
      </c>
      <c r="BA65" s="73">
        <f t="shared" si="116"/>
        <v>0</v>
      </c>
      <c r="BB65" s="65"/>
      <c r="BC65" s="74" t="s">
        <v>1957</v>
      </c>
      <c r="BD65" s="73">
        <f t="shared" si="116"/>
        <v>0</v>
      </c>
      <c r="BE65" s="65"/>
      <c r="BF65" s="74" t="s">
        <v>1949</v>
      </c>
      <c r="BG65" s="73">
        <f t="shared" si="116"/>
        <v>0</v>
      </c>
      <c r="BH65" s="65"/>
      <c r="BI65" s="74" t="s">
        <v>1949</v>
      </c>
      <c r="BJ65" s="73">
        <f t="shared" si="116"/>
        <v>0</v>
      </c>
      <c r="BK65" s="65"/>
      <c r="BL65" s="74" t="s">
        <v>1949</v>
      </c>
      <c r="BM65" s="73">
        <f t="shared" si="116"/>
        <v>0</v>
      </c>
      <c r="BN65" s="65"/>
      <c r="BO65" s="74" t="s">
        <v>1952</v>
      </c>
      <c r="BP65" s="73">
        <f t="shared" si="116"/>
        <v>0</v>
      </c>
      <c r="BQ65" s="65"/>
      <c r="BR65" s="74" t="s">
        <v>1949</v>
      </c>
      <c r="BS65" s="73">
        <f t="shared" si="116"/>
        <v>0</v>
      </c>
      <c r="BT65" s="65"/>
      <c r="BU65" s="74" t="s">
        <v>1949</v>
      </c>
      <c r="BV65" s="73">
        <f t="shared" si="116"/>
        <v>0</v>
      </c>
      <c r="BW65" s="65"/>
      <c r="BX65" s="74" t="s">
        <v>1949</v>
      </c>
      <c r="BY65" s="73">
        <f t="shared" si="116"/>
        <v>0</v>
      </c>
      <c r="BZ65" s="65"/>
      <c r="CA65" s="74" t="s">
        <v>1949</v>
      </c>
      <c r="CB65" s="73">
        <f t="shared" si="116"/>
        <v>0</v>
      </c>
      <c r="CC65" s="65"/>
      <c r="CD65" s="74" t="s">
        <v>1952</v>
      </c>
      <c r="CE65" s="73">
        <f t="shared" si="116"/>
        <v>0</v>
      </c>
      <c r="CF65" s="65"/>
      <c r="CG65" s="74" t="s">
        <v>1952</v>
      </c>
      <c r="CH65" s="73">
        <f t="shared" si="116"/>
        <v>0</v>
      </c>
      <c r="CI65" s="65"/>
      <c r="CJ65" s="74" t="s">
        <v>1949</v>
      </c>
      <c r="CK65" s="73">
        <f t="shared" si="115"/>
        <v>0</v>
      </c>
      <c r="CL65" s="65"/>
      <c r="CM65" s="74" t="s">
        <v>1949</v>
      </c>
      <c r="CN65" s="73">
        <f t="shared" si="115"/>
        <v>0</v>
      </c>
      <c r="CO65" s="65"/>
      <c r="CP65" s="74" t="s">
        <v>1949</v>
      </c>
      <c r="CQ65" s="73">
        <f t="shared" si="115"/>
        <v>0</v>
      </c>
      <c r="CR65" s="65"/>
      <c r="CS65" s="74" t="s">
        <v>1945</v>
      </c>
      <c r="CT65" s="73">
        <f t="shared" si="115"/>
        <v>0</v>
      </c>
      <c r="CU65" s="65"/>
      <c r="CV65" s="74" t="s">
        <v>1949</v>
      </c>
      <c r="CW65" s="73">
        <f t="shared" si="115"/>
        <v>0</v>
      </c>
      <c r="CX65" s="65"/>
      <c r="CY65" s="74" t="s">
        <v>1960</v>
      </c>
      <c r="CZ65" s="73">
        <f t="shared" si="115"/>
        <v>0</v>
      </c>
      <c r="DA65" s="65"/>
      <c r="DB65" s="74" t="s">
        <v>1949</v>
      </c>
      <c r="DC65" s="73">
        <f t="shared" si="115"/>
        <v>0</v>
      </c>
      <c r="DD65" s="65"/>
      <c r="DE65" s="74" t="s">
        <v>1962</v>
      </c>
      <c r="DF65" s="73">
        <f t="shared" si="115"/>
        <v>0</v>
      </c>
      <c r="DG65" s="65"/>
      <c r="DH65" s="74" t="s">
        <v>1945</v>
      </c>
      <c r="DI65" s="73">
        <f t="shared" si="115"/>
        <v>0</v>
      </c>
      <c r="DJ65" s="65"/>
      <c r="DK65" s="74" t="s">
        <v>1947</v>
      </c>
      <c r="DL65" s="73">
        <f t="shared" si="115"/>
        <v>0</v>
      </c>
      <c r="DM65" s="65"/>
      <c r="DN65" s="795" t="s">
        <v>1962</v>
      </c>
      <c r="DO65" s="73">
        <f t="shared" si="115"/>
        <v>0</v>
      </c>
      <c r="DP65" s="65"/>
      <c r="DQ65" s="795" t="s">
        <v>1949</v>
      </c>
      <c r="DR65" s="73">
        <f t="shared" si="115"/>
        <v>0</v>
      </c>
      <c r="DS65" s="65"/>
      <c r="DT65" s="74" t="s">
        <v>1960</v>
      </c>
      <c r="DU65" s="73">
        <f t="shared" si="115"/>
        <v>0</v>
      </c>
      <c r="DV65" s="65"/>
      <c r="DW65" s="74" t="s">
        <v>1949</v>
      </c>
      <c r="DX65" s="73">
        <f t="shared" si="118"/>
        <v>0</v>
      </c>
      <c r="DY65" s="65"/>
      <c r="DZ65" s="74" t="s">
        <v>1949</v>
      </c>
      <c r="EA65" s="73">
        <f t="shared" si="118"/>
        <v>0</v>
      </c>
      <c r="EB65" s="65"/>
      <c r="EC65" s="74" t="s">
        <v>1944</v>
      </c>
      <c r="ED65" s="73">
        <f t="shared" si="118"/>
        <v>0</v>
      </c>
      <c r="EE65" s="65"/>
      <c r="EF65" s="74" t="s">
        <v>1952</v>
      </c>
      <c r="EG65" s="73">
        <f t="shared" si="118"/>
        <v>0</v>
      </c>
      <c r="EH65" s="65"/>
      <c r="EI65" s="74" t="s">
        <v>1945</v>
      </c>
      <c r="EJ65" s="73">
        <f t="shared" si="118"/>
        <v>0</v>
      </c>
      <c r="EK65" s="65"/>
      <c r="EL65" s="74"/>
      <c r="EM65" s="73">
        <f t="shared" si="118"/>
        <v>0</v>
      </c>
      <c r="EN65" s="65"/>
      <c r="EO65" s="74"/>
      <c r="EP65" s="73">
        <f t="shared" si="118"/>
        <v>0</v>
      </c>
      <c r="EQ65" s="65"/>
      <c r="ER65" s="74"/>
      <c r="ES65" s="73">
        <f t="shared" si="118"/>
        <v>0</v>
      </c>
      <c r="ET65" s="65"/>
      <c r="EU65" s="74"/>
      <c r="EV65" s="73">
        <f t="shared" si="118"/>
        <v>0</v>
      </c>
      <c r="EW65" s="65"/>
      <c r="EX65" s="74"/>
      <c r="EY65" s="73">
        <f t="shared" si="118"/>
        <v>0</v>
      </c>
      <c r="EZ65" s="65"/>
      <c r="FA65" s="74"/>
      <c r="FB65" s="73">
        <f t="shared" si="118"/>
        <v>0</v>
      </c>
      <c r="FC65" s="65"/>
      <c r="FD65" s="74"/>
      <c r="FE65" s="73">
        <f t="shared" si="118"/>
        <v>0</v>
      </c>
      <c r="FF65" s="65"/>
      <c r="FG65" s="74"/>
      <c r="FH65" s="73">
        <f t="shared" si="118"/>
        <v>0</v>
      </c>
      <c r="FI65" s="65"/>
      <c r="FJ65" s="74"/>
      <c r="FK65" s="73">
        <f t="shared" si="118"/>
        <v>0</v>
      </c>
      <c r="FL65" s="65"/>
      <c r="FM65" s="65"/>
    </row>
    <row r="66" spans="1:169">
      <c r="A66" s="49"/>
      <c r="B66" s="49"/>
      <c r="C66" s="17"/>
      <c r="D66" s="17"/>
      <c r="E66" s="111"/>
      <c r="F66" s="445">
        <f t="shared" si="97"/>
        <v>4</v>
      </c>
      <c r="G66" s="445">
        <f ca="1">VLOOKUP(H66,Equipos!$Q$1:$R$25,2,0)</f>
        <v>17</v>
      </c>
      <c r="H66" s="446">
        <f ca="1">TRUNC(INDEX(WORLDCUP!$X$4:$X$147,MATCH(ADMIN!K66,WORLDCUP!$DT$4:$DT$147,0))+INDEX(Horarios!$R$3:$R$86,MATCH(Horarios!$C$3,Horarios!$P$3:$P$86,0))/24)</f>
        <v>46200</v>
      </c>
      <c r="I66" s="48">
        <v>1</v>
      </c>
      <c r="J66" s="95" t="s">
        <v>180</v>
      </c>
      <c r="K66" s="53" t="str">
        <f ca="1">CONCATENATE(WORLDCUP!AA56,"-",WORLDCUP!AF56)</f>
        <v>Egipto-Irán</v>
      </c>
      <c r="L66" s="53"/>
      <c r="M66" s="55" t="str">
        <f>IF(OR(WORLDCUP!AC56="",WORLDCUP!AD56=""),"-",N66&amp;"|"&amp;O66&amp;"-"&amp;P66)</f>
        <v>-</v>
      </c>
      <c r="N66" s="25" t="str">
        <f>IF(OR(WORLDCUP!AC56="",WORLDCUP!AD56=""),"",IF(WORLDCUP!AC56&gt;WORLDCUP!AD56,"1",IF(WORLDCUP!AC56&lt;WORLDCUP!AD56,"2","X")))</f>
        <v/>
      </c>
      <c r="O66" s="25">
        <f>WORLDCUP!AC56</f>
        <v>0</v>
      </c>
      <c r="P66" s="25">
        <f>WORLDCUP!AD56</f>
        <v>0</v>
      </c>
      <c r="Q66" s="25">
        <f t="shared" si="101"/>
        <v>0</v>
      </c>
      <c r="R66" s="49"/>
      <c r="S66" s="74" t="s">
        <v>1948</v>
      </c>
      <c r="T66" s="73">
        <f t="shared" si="98"/>
        <v>0</v>
      </c>
      <c r="U66" s="65"/>
      <c r="V66" s="74" t="s">
        <v>1948</v>
      </c>
      <c r="W66" s="73">
        <f t="shared" si="111"/>
        <v>0</v>
      </c>
      <c r="X66" s="65"/>
      <c r="Y66" s="74" t="s">
        <v>1948</v>
      </c>
      <c r="Z66" s="73">
        <f t="shared" si="116"/>
        <v>0</v>
      </c>
      <c r="AA66" s="65"/>
      <c r="AB66" s="74" t="s">
        <v>1946</v>
      </c>
      <c r="AC66" s="73">
        <f t="shared" si="116"/>
        <v>0</v>
      </c>
      <c r="AD66" s="65"/>
      <c r="AE66" s="74" t="s">
        <v>1957</v>
      </c>
      <c r="AF66" s="73">
        <f t="shared" si="116"/>
        <v>0</v>
      </c>
      <c r="AG66" s="65"/>
      <c r="AH66" s="74" t="s">
        <v>1946</v>
      </c>
      <c r="AI66" s="73">
        <f t="shared" si="116"/>
        <v>0</v>
      </c>
      <c r="AJ66" s="65"/>
      <c r="AK66" s="74" t="s">
        <v>1957</v>
      </c>
      <c r="AL66" s="73">
        <f t="shared" si="116"/>
        <v>0</v>
      </c>
      <c r="AM66" s="65"/>
      <c r="AN66" s="74" t="s">
        <v>1946</v>
      </c>
      <c r="AO66" s="73">
        <f t="shared" si="116"/>
        <v>0</v>
      </c>
      <c r="AP66" s="65"/>
      <c r="AQ66" s="74" t="s">
        <v>1959</v>
      </c>
      <c r="AR66" s="73">
        <f t="shared" si="116"/>
        <v>0</v>
      </c>
      <c r="AS66" s="65"/>
      <c r="AT66" s="74" t="s">
        <v>1948</v>
      </c>
      <c r="AU66" s="73">
        <f t="shared" si="116"/>
        <v>0</v>
      </c>
      <c r="AV66" s="65"/>
      <c r="AW66" s="74" t="s">
        <v>1954</v>
      </c>
      <c r="AX66" s="73">
        <f t="shared" si="116"/>
        <v>0</v>
      </c>
      <c r="AY66" s="65"/>
      <c r="AZ66" s="74" t="s">
        <v>1954</v>
      </c>
      <c r="BA66" s="73">
        <f t="shared" si="116"/>
        <v>0</v>
      </c>
      <c r="BB66" s="65"/>
      <c r="BC66" s="74" t="s">
        <v>1942</v>
      </c>
      <c r="BD66" s="73">
        <f t="shared" si="116"/>
        <v>0</v>
      </c>
      <c r="BE66" s="65"/>
      <c r="BF66" s="74" t="s">
        <v>1948</v>
      </c>
      <c r="BG66" s="73">
        <f t="shared" si="116"/>
        <v>0</v>
      </c>
      <c r="BH66" s="65"/>
      <c r="BI66" s="74" t="s">
        <v>1948</v>
      </c>
      <c r="BJ66" s="73">
        <f t="shared" ref="BJ66:DU77" si="119">IFERROR(IF($M66=BI66,($D$8+$D$9+$D$10)*$I66,IF($N66=LEFT(BI66,1),($D$8+MAX(0,IF($D$50=1,$D$9*(1-(ABS($Q66-ABS(VALUE(MID(BI66,FIND("|",BI66)+1,FIND("-",BI66)-FIND("|",BI66)-1))-VALUE(MID(BI66,FIND("-",BI66)+1,10)))))*$D$50),$D$9*(1-(IF($N66="X",ABS($O66-VALUE(MID(BI66,FIND("|",BI66)+1,FIND("-",BI66)-FIND("|",BI66)-1))),ABS($Q66-ABS(VALUE(MID(BI66,FIND("|",BI66)+1,FIND("-",BI66)-FIND("|",BI66)-1))-VALUE(MID(BI66,FIND("-",BI66)+1,10)))))*$D$50)))))*$I66,0)),0)</f>
        <v>0</v>
      </c>
      <c r="BK66" s="65"/>
      <c r="BL66" s="74" t="s">
        <v>1946</v>
      </c>
      <c r="BM66" s="73">
        <f t="shared" si="119"/>
        <v>0</v>
      </c>
      <c r="BN66" s="65"/>
      <c r="BO66" s="74" t="s">
        <v>1946</v>
      </c>
      <c r="BP66" s="73">
        <f t="shared" si="119"/>
        <v>0</v>
      </c>
      <c r="BQ66" s="65"/>
      <c r="BR66" s="74" t="s">
        <v>1942</v>
      </c>
      <c r="BS66" s="73">
        <f t="shared" si="119"/>
        <v>0</v>
      </c>
      <c r="BT66" s="65"/>
      <c r="BU66" s="74" t="s">
        <v>1948</v>
      </c>
      <c r="BV66" s="73">
        <f t="shared" si="119"/>
        <v>0</v>
      </c>
      <c r="BW66" s="65"/>
      <c r="BX66" s="74" t="s">
        <v>1946</v>
      </c>
      <c r="BY66" s="73">
        <f t="shared" si="119"/>
        <v>0</v>
      </c>
      <c r="BZ66" s="65"/>
      <c r="CA66" s="74" t="s">
        <v>1946</v>
      </c>
      <c r="CB66" s="73">
        <f t="shared" si="119"/>
        <v>0</v>
      </c>
      <c r="CC66" s="65"/>
      <c r="CD66" s="74" t="s">
        <v>1942</v>
      </c>
      <c r="CE66" s="73">
        <f t="shared" si="119"/>
        <v>0</v>
      </c>
      <c r="CF66" s="65"/>
      <c r="CG66" s="74" t="s">
        <v>1944</v>
      </c>
      <c r="CH66" s="73">
        <f t="shared" si="119"/>
        <v>0</v>
      </c>
      <c r="CI66" s="65"/>
      <c r="CJ66" s="74" t="s">
        <v>1943</v>
      </c>
      <c r="CK66" s="73">
        <f t="shared" si="119"/>
        <v>0</v>
      </c>
      <c r="CL66" s="65"/>
      <c r="CM66" s="74" t="s">
        <v>1946</v>
      </c>
      <c r="CN66" s="73">
        <f t="shared" si="119"/>
        <v>0</v>
      </c>
      <c r="CO66" s="65"/>
      <c r="CP66" s="74" t="s">
        <v>1958</v>
      </c>
      <c r="CQ66" s="73">
        <f t="shared" si="119"/>
        <v>0</v>
      </c>
      <c r="CR66" s="65"/>
      <c r="CS66" s="74" t="s">
        <v>1946</v>
      </c>
      <c r="CT66" s="73">
        <f t="shared" si="119"/>
        <v>0</v>
      </c>
      <c r="CU66" s="65"/>
      <c r="CV66" s="74" t="s">
        <v>1946</v>
      </c>
      <c r="CW66" s="73">
        <f t="shared" si="119"/>
        <v>0</v>
      </c>
      <c r="CX66" s="65"/>
      <c r="CY66" s="74" t="s">
        <v>1957</v>
      </c>
      <c r="CZ66" s="73">
        <f t="shared" si="119"/>
        <v>0</v>
      </c>
      <c r="DA66" s="65"/>
      <c r="DB66" s="74" t="s">
        <v>1948</v>
      </c>
      <c r="DC66" s="73">
        <f t="shared" si="119"/>
        <v>0</v>
      </c>
      <c r="DD66" s="65"/>
      <c r="DE66" s="74" t="s">
        <v>1944</v>
      </c>
      <c r="DF66" s="73">
        <f t="shared" si="119"/>
        <v>0</v>
      </c>
      <c r="DG66" s="65"/>
      <c r="DH66" s="74" t="s">
        <v>1946</v>
      </c>
      <c r="DI66" s="73">
        <f t="shared" si="119"/>
        <v>0</v>
      </c>
      <c r="DJ66" s="65"/>
      <c r="DK66" s="74" t="s">
        <v>1948</v>
      </c>
      <c r="DL66" s="73">
        <f t="shared" si="119"/>
        <v>0</v>
      </c>
      <c r="DM66" s="65"/>
      <c r="DN66" s="795" t="s">
        <v>1954</v>
      </c>
      <c r="DO66" s="73">
        <f t="shared" si="119"/>
        <v>0</v>
      </c>
      <c r="DP66" s="65"/>
      <c r="DQ66" s="795" t="s">
        <v>1954</v>
      </c>
      <c r="DR66" s="73">
        <f t="shared" si="119"/>
        <v>0</v>
      </c>
      <c r="DS66" s="65"/>
      <c r="DT66" s="74" t="s">
        <v>1948</v>
      </c>
      <c r="DU66" s="73">
        <f t="shared" si="119"/>
        <v>0</v>
      </c>
      <c r="DV66" s="65"/>
      <c r="DW66" s="74" t="s">
        <v>1946</v>
      </c>
      <c r="DX66" s="73">
        <f t="shared" si="118"/>
        <v>0</v>
      </c>
      <c r="DY66" s="65"/>
      <c r="DZ66" s="74" t="s">
        <v>1946</v>
      </c>
      <c r="EA66" s="73">
        <f t="shared" si="118"/>
        <v>0</v>
      </c>
      <c r="EB66" s="65"/>
      <c r="EC66" s="74" t="s">
        <v>1948</v>
      </c>
      <c r="ED66" s="73">
        <f t="shared" si="118"/>
        <v>0</v>
      </c>
      <c r="EE66" s="65"/>
      <c r="EF66" s="74" t="s">
        <v>1946</v>
      </c>
      <c r="EG66" s="73">
        <f t="shared" si="118"/>
        <v>0</v>
      </c>
      <c r="EH66" s="65"/>
      <c r="EI66" s="74" t="s">
        <v>1957</v>
      </c>
      <c r="EJ66" s="73">
        <f t="shared" si="118"/>
        <v>0</v>
      </c>
      <c r="EK66" s="65"/>
      <c r="EL66" s="74"/>
      <c r="EM66" s="73">
        <f t="shared" si="118"/>
        <v>0</v>
      </c>
      <c r="EN66" s="65"/>
      <c r="EO66" s="74"/>
      <c r="EP66" s="73">
        <f t="shared" si="118"/>
        <v>0</v>
      </c>
      <c r="EQ66" s="65"/>
      <c r="ER66" s="74"/>
      <c r="ES66" s="73">
        <f t="shared" si="118"/>
        <v>0</v>
      </c>
      <c r="ET66" s="65"/>
      <c r="EU66" s="74"/>
      <c r="EV66" s="73">
        <f t="shared" si="118"/>
        <v>0</v>
      </c>
      <c r="EW66" s="65"/>
      <c r="EX66" s="74"/>
      <c r="EY66" s="73">
        <f t="shared" si="118"/>
        <v>0</v>
      </c>
      <c r="EZ66" s="65"/>
      <c r="FA66" s="74"/>
      <c r="FB66" s="73">
        <f t="shared" si="118"/>
        <v>0</v>
      </c>
      <c r="FC66" s="65"/>
      <c r="FD66" s="74"/>
      <c r="FE66" s="73">
        <f t="shared" si="118"/>
        <v>0</v>
      </c>
      <c r="FF66" s="65"/>
      <c r="FG66" s="74"/>
      <c r="FH66" s="73">
        <f t="shared" si="118"/>
        <v>0</v>
      </c>
      <c r="FI66" s="65"/>
      <c r="FJ66" s="74"/>
      <c r="FK66" s="73">
        <f t="shared" si="118"/>
        <v>0</v>
      </c>
      <c r="FL66" s="65"/>
      <c r="FM66" s="65"/>
    </row>
    <row r="67" spans="1:169">
      <c r="A67" s="49"/>
      <c r="B67" s="49"/>
      <c r="C67" s="17"/>
      <c r="D67" s="17"/>
      <c r="E67" s="111"/>
      <c r="F67" s="445">
        <f t="shared" si="97"/>
        <v>4</v>
      </c>
      <c r="G67" s="445">
        <f ca="1">VLOOKUP(H67,Equipos!$Q$1:$R$25,2,0)</f>
        <v>17</v>
      </c>
      <c r="H67" s="446">
        <f ca="1">TRUNC(INDEX(WORLDCUP!$X$4:$X$147,MATCH(ADMIN!K67,WORLDCUP!$DT$4:$DT$147,0))+INDEX(Horarios!$R$3:$R$86,MATCH(Horarios!$C$3,Horarios!$P$3:$P$86,0))/24)</f>
        <v>46200</v>
      </c>
      <c r="I67" s="48">
        <v>1</v>
      </c>
      <c r="J67" s="95" t="s">
        <v>180</v>
      </c>
      <c r="K67" s="53" t="str">
        <f ca="1">CONCATENATE(WORLDCUP!AA57,"-",WORLDCUP!AF57)</f>
        <v>Nueva Zelanda-Bélgica</v>
      </c>
      <c r="L67" s="53"/>
      <c r="M67" s="55" t="str">
        <f>IF(OR(WORLDCUP!AC57="",WORLDCUP!AD57=""),"-",N67&amp;"|"&amp;O67&amp;"-"&amp;P67)</f>
        <v>-</v>
      </c>
      <c r="N67" s="25" t="str">
        <f>IF(OR(WORLDCUP!AC57="",WORLDCUP!AD57=""),"",IF(WORLDCUP!AC57&gt;WORLDCUP!AD57,"1",IF(WORLDCUP!AC57&lt;WORLDCUP!AD57,"2","X")))</f>
        <v/>
      </c>
      <c r="O67" s="25">
        <f>WORLDCUP!AC57</f>
        <v>0</v>
      </c>
      <c r="P67" s="25">
        <f>WORLDCUP!AD57</f>
        <v>0</v>
      </c>
      <c r="Q67" s="25">
        <f t="shared" si="101"/>
        <v>0</v>
      </c>
      <c r="R67" s="49"/>
      <c r="S67" s="74" t="s">
        <v>1946</v>
      </c>
      <c r="T67" s="73">
        <f t="shared" si="98"/>
        <v>0</v>
      </c>
      <c r="U67" s="65"/>
      <c r="V67" s="74" t="s">
        <v>1945</v>
      </c>
      <c r="W67" s="73">
        <f t="shared" si="111"/>
        <v>0</v>
      </c>
      <c r="X67" s="65"/>
      <c r="Y67" s="74" t="s">
        <v>1949</v>
      </c>
      <c r="Z67" s="73">
        <f t="shared" ref="Z67:CH77" si="120">IFERROR(IF($M67=Y67,($D$8+$D$9+$D$10)*$I67,IF($N67=LEFT(Y67,1),($D$8+MAX(0,IF($D$50=1,$D$9*(1-(ABS($Q67-ABS(VALUE(MID(Y67,FIND("|",Y67)+1,FIND("-",Y67)-FIND("|",Y67)-1))-VALUE(MID(Y67,FIND("-",Y67)+1,10)))))*$D$50),$D$9*(1-(IF($N67="X",ABS($O67-VALUE(MID(Y67,FIND("|",Y67)+1,FIND("-",Y67)-FIND("|",Y67)-1))),ABS($Q67-ABS(VALUE(MID(Y67,FIND("|",Y67)+1,FIND("-",Y67)-FIND("|",Y67)-1))-VALUE(MID(Y67,FIND("-",Y67)+1,10)))))*$D$50)))))*$I67,0)),0)</f>
        <v>0</v>
      </c>
      <c r="AA67" s="65"/>
      <c r="AB67" s="74" t="s">
        <v>1949</v>
      </c>
      <c r="AC67" s="73">
        <f t="shared" si="120"/>
        <v>0</v>
      </c>
      <c r="AD67" s="65"/>
      <c r="AE67" s="74" t="s">
        <v>1952</v>
      </c>
      <c r="AF67" s="73">
        <f t="shared" si="120"/>
        <v>0</v>
      </c>
      <c r="AG67" s="65"/>
      <c r="AH67" s="74" t="s">
        <v>1947</v>
      </c>
      <c r="AI67" s="73">
        <f t="shared" si="120"/>
        <v>0</v>
      </c>
      <c r="AJ67" s="65"/>
      <c r="AK67" s="74" t="s">
        <v>1945</v>
      </c>
      <c r="AL67" s="73">
        <f t="shared" si="120"/>
        <v>0</v>
      </c>
      <c r="AM67" s="65"/>
      <c r="AN67" s="74" t="s">
        <v>1947</v>
      </c>
      <c r="AO67" s="73">
        <f t="shared" si="120"/>
        <v>0</v>
      </c>
      <c r="AP67" s="65"/>
      <c r="AQ67" s="74" t="s">
        <v>1947</v>
      </c>
      <c r="AR67" s="73">
        <f t="shared" si="120"/>
        <v>0</v>
      </c>
      <c r="AS67" s="65"/>
      <c r="AT67" s="74" t="s">
        <v>1949</v>
      </c>
      <c r="AU67" s="73">
        <f t="shared" si="120"/>
        <v>0</v>
      </c>
      <c r="AV67" s="65"/>
      <c r="AW67" s="74" t="s">
        <v>1955</v>
      </c>
      <c r="AX67" s="73">
        <f t="shared" si="120"/>
        <v>0</v>
      </c>
      <c r="AY67" s="65"/>
      <c r="AZ67" s="74" t="s">
        <v>1949</v>
      </c>
      <c r="BA67" s="73">
        <f t="shared" si="120"/>
        <v>0</v>
      </c>
      <c r="BB67" s="65"/>
      <c r="BC67" s="74" t="s">
        <v>1952</v>
      </c>
      <c r="BD67" s="73">
        <f t="shared" si="120"/>
        <v>0</v>
      </c>
      <c r="BE67" s="65"/>
      <c r="BF67" s="74" t="s">
        <v>1947</v>
      </c>
      <c r="BG67" s="73">
        <f t="shared" si="120"/>
        <v>0</v>
      </c>
      <c r="BH67" s="65"/>
      <c r="BI67" s="74" t="s">
        <v>1952</v>
      </c>
      <c r="BJ67" s="73">
        <f t="shared" si="120"/>
        <v>0</v>
      </c>
      <c r="BK67" s="65"/>
      <c r="BL67" s="74" t="s">
        <v>1947</v>
      </c>
      <c r="BM67" s="73">
        <f t="shared" si="120"/>
        <v>0</v>
      </c>
      <c r="BN67" s="65"/>
      <c r="BO67" s="74" t="s">
        <v>1947</v>
      </c>
      <c r="BP67" s="73">
        <f t="shared" si="120"/>
        <v>0</v>
      </c>
      <c r="BQ67" s="65"/>
      <c r="BR67" s="74" t="s">
        <v>1955</v>
      </c>
      <c r="BS67" s="73">
        <f t="shared" si="120"/>
        <v>0</v>
      </c>
      <c r="BT67" s="65"/>
      <c r="BU67" s="74" t="s">
        <v>1955</v>
      </c>
      <c r="BV67" s="73">
        <f t="shared" si="120"/>
        <v>0</v>
      </c>
      <c r="BW67" s="65"/>
      <c r="BX67" s="74" t="s">
        <v>1949</v>
      </c>
      <c r="BY67" s="73">
        <f t="shared" si="120"/>
        <v>0</v>
      </c>
      <c r="BZ67" s="65"/>
      <c r="CA67" s="74" t="s">
        <v>1949</v>
      </c>
      <c r="CB67" s="73">
        <f t="shared" si="120"/>
        <v>0</v>
      </c>
      <c r="CC67" s="65"/>
      <c r="CD67" s="74" t="s">
        <v>1946</v>
      </c>
      <c r="CE67" s="73">
        <f t="shared" si="120"/>
        <v>0</v>
      </c>
      <c r="CF67" s="65"/>
      <c r="CG67" s="74" t="s">
        <v>1960</v>
      </c>
      <c r="CH67" s="73">
        <f t="shared" si="120"/>
        <v>0</v>
      </c>
      <c r="CI67" s="65"/>
      <c r="CJ67" s="74" t="s">
        <v>1949</v>
      </c>
      <c r="CK67" s="73">
        <f t="shared" si="119"/>
        <v>0</v>
      </c>
      <c r="CL67" s="65"/>
      <c r="CM67" s="74" t="s">
        <v>1960</v>
      </c>
      <c r="CN67" s="73">
        <f t="shared" si="119"/>
        <v>0</v>
      </c>
      <c r="CO67" s="65"/>
      <c r="CP67" s="74" t="s">
        <v>1961</v>
      </c>
      <c r="CQ67" s="73">
        <f t="shared" si="119"/>
        <v>0</v>
      </c>
      <c r="CR67" s="65"/>
      <c r="CS67" s="74" t="s">
        <v>1958</v>
      </c>
      <c r="CT67" s="73">
        <f t="shared" si="119"/>
        <v>0</v>
      </c>
      <c r="CU67" s="65"/>
      <c r="CV67" s="74" t="s">
        <v>1947</v>
      </c>
      <c r="CW67" s="73">
        <f t="shared" si="119"/>
        <v>0</v>
      </c>
      <c r="CX67" s="65"/>
      <c r="CY67" s="74" t="s">
        <v>2215</v>
      </c>
      <c r="CZ67" s="73">
        <f t="shared" si="119"/>
        <v>0</v>
      </c>
      <c r="DA67" s="65"/>
      <c r="DB67" s="74" t="s">
        <v>1947</v>
      </c>
      <c r="DC67" s="73">
        <f t="shared" si="119"/>
        <v>0</v>
      </c>
      <c r="DD67" s="65"/>
      <c r="DE67" s="74" t="s">
        <v>1952</v>
      </c>
      <c r="DF67" s="73">
        <f t="shared" si="119"/>
        <v>0</v>
      </c>
      <c r="DG67" s="65"/>
      <c r="DH67" s="74" t="s">
        <v>1949</v>
      </c>
      <c r="DI67" s="73">
        <f t="shared" si="119"/>
        <v>0</v>
      </c>
      <c r="DJ67" s="65"/>
      <c r="DK67" s="74" t="s">
        <v>1960</v>
      </c>
      <c r="DL67" s="73">
        <f t="shared" si="119"/>
        <v>0</v>
      </c>
      <c r="DM67" s="65"/>
      <c r="DN67" s="795" t="s">
        <v>1945</v>
      </c>
      <c r="DO67" s="73">
        <f t="shared" si="119"/>
        <v>0</v>
      </c>
      <c r="DP67" s="65"/>
      <c r="DQ67" s="795" t="s">
        <v>1945</v>
      </c>
      <c r="DR67" s="73">
        <f t="shared" si="119"/>
        <v>0</v>
      </c>
      <c r="DS67" s="65"/>
      <c r="DT67" s="74" t="s">
        <v>1945</v>
      </c>
      <c r="DU67" s="73">
        <f t="shared" si="119"/>
        <v>0</v>
      </c>
      <c r="DV67" s="65"/>
      <c r="DW67" s="74" t="s">
        <v>1949</v>
      </c>
      <c r="DX67" s="73">
        <f t="shared" si="118"/>
        <v>0</v>
      </c>
      <c r="DY67" s="65"/>
      <c r="DZ67" s="74" t="s">
        <v>1949</v>
      </c>
      <c r="EA67" s="73">
        <f t="shared" si="118"/>
        <v>0</v>
      </c>
      <c r="EB67" s="65"/>
      <c r="EC67" s="74" t="s">
        <v>1949</v>
      </c>
      <c r="ED67" s="73">
        <f t="shared" si="118"/>
        <v>0</v>
      </c>
      <c r="EE67" s="65"/>
      <c r="EF67" s="74" t="s">
        <v>1952</v>
      </c>
      <c r="EG67" s="73">
        <f t="shared" si="118"/>
        <v>0</v>
      </c>
      <c r="EH67" s="65"/>
      <c r="EI67" s="74" t="s">
        <v>1949</v>
      </c>
      <c r="EJ67" s="73">
        <f t="shared" si="118"/>
        <v>0</v>
      </c>
      <c r="EK67" s="65"/>
      <c r="EL67" s="74"/>
      <c r="EM67" s="73">
        <f t="shared" si="118"/>
        <v>0</v>
      </c>
      <c r="EN67" s="65"/>
      <c r="EO67" s="74"/>
      <c r="EP67" s="73">
        <f t="shared" si="118"/>
        <v>0</v>
      </c>
      <c r="EQ67" s="65"/>
      <c r="ER67" s="74"/>
      <c r="ES67" s="73">
        <f t="shared" si="118"/>
        <v>0</v>
      </c>
      <c r="ET67" s="65"/>
      <c r="EU67" s="74"/>
      <c r="EV67" s="73">
        <f t="shared" si="118"/>
        <v>0</v>
      </c>
      <c r="EW67" s="65"/>
      <c r="EX67" s="74"/>
      <c r="EY67" s="73">
        <f t="shared" si="118"/>
        <v>0</v>
      </c>
      <c r="EZ67" s="65"/>
      <c r="FA67" s="74"/>
      <c r="FB67" s="73">
        <f t="shared" si="118"/>
        <v>0</v>
      </c>
      <c r="FC67" s="65"/>
      <c r="FD67" s="74"/>
      <c r="FE67" s="73">
        <f t="shared" si="118"/>
        <v>0</v>
      </c>
      <c r="FF67" s="65"/>
      <c r="FG67" s="74"/>
      <c r="FH67" s="73">
        <f t="shared" si="118"/>
        <v>0</v>
      </c>
      <c r="FI67" s="65"/>
      <c r="FJ67" s="74"/>
      <c r="FK67" s="73">
        <f t="shared" ref="FK67" si="121">IFERROR(IF($M67=FJ67,($D$8+$D$9+$D$10)*$I67,IF($N67=LEFT(FJ67,1),($D$8+MAX(0,IF($D$50=1,$D$9*(1-(ABS($Q67-ABS(VALUE(MID(FJ67,FIND("|",FJ67)+1,FIND("-",FJ67)-FIND("|",FJ67)-1))-VALUE(MID(FJ67,FIND("-",FJ67)+1,10)))))*$D$50),$D$9*(1-(IF($N67="X",ABS($O67-VALUE(MID(FJ67,FIND("|",FJ67)+1,FIND("-",FJ67)-FIND("|",FJ67)-1))),ABS($Q67-ABS(VALUE(MID(FJ67,FIND("|",FJ67)+1,FIND("-",FJ67)-FIND("|",FJ67)-1))-VALUE(MID(FJ67,FIND("-",FJ67)+1,10)))))*$D$50)))))*$I67,0)),0)</f>
        <v>0</v>
      </c>
      <c r="FL67" s="65"/>
      <c r="FM67" s="65"/>
    </row>
    <row r="68" spans="1:169">
      <c r="A68" s="49"/>
      <c r="B68" s="49"/>
      <c r="C68" s="17"/>
      <c r="D68" s="17"/>
      <c r="E68" s="111"/>
      <c r="F68" s="445">
        <f t="shared" si="97"/>
        <v>4</v>
      </c>
      <c r="G68" s="445">
        <f ca="1">VLOOKUP(H68,Equipos!$Q$1:$R$25,2,0)</f>
        <v>17</v>
      </c>
      <c r="H68" s="446">
        <f ca="1">TRUNC(INDEX(WORLDCUP!$X$4:$X$147,MATCH(ADMIN!K68,WORLDCUP!$DT$4:$DT$147,0))+INDEX(Horarios!$R$3:$R$86,MATCH(Horarios!$C$3,Horarios!$P$3:$P$86,0))/24)</f>
        <v>46200</v>
      </c>
      <c r="I68" s="48">
        <v>1</v>
      </c>
      <c r="J68" s="96" t="s">
        <v>181</v>
      </c>
      <c r="K68" s="56" t="str">
        <f ca="1">CONCATENATE(WORLDCUP!AA64,"-",WORLDCUP!AF64)</f>
        <v>Cabo Verde-Arabia Saudita</v>
      </c>
      <c r="L68" s="53"/>
      <c r="M68" s="55" t="str">
        <f>IF(OR(WORLDCUP!AC64="",WORLDCUP!AD64=""),"-",N68&amp;"|"&amp;O68&amp;"-"&amp;P68)</f>
        <v>-</v>
      </c>
      <c r="N68" s="25" t="str">
        <f>IF(OR(WORLDCUP!AC64="",WORLDCUP!AD64=""),"",IF(WORLDCUP!AC64&gt;WORLDCUP!AD64,"1",IF(WORLDCUP!AC64&lt;WORLDCUP!AD64,"2","X")))</f>
        <v/>
      </c>
      <c r="O68" s="25">
        <f>WORLDCUP!AC64</f>
        <v>0</v>
      </c>
      <c r="P68" s="25">
        <f>WORLDCUP!AD64</f>
        <v>0</v>
      </c>
      <c r="Q68" s="25">
        <f t="shared" si="101"/>
        <v>0</v>
      </c>
      <c r="R68" s="49"/>
      <c r="S68" s="74" t="s">
        <v>1960</v>
      </c>
      <c r="T68" s="73">
        <f t="shared" si="98"/>
        <v>0</v>
      </c>
      <c r="U68" s="65"/>
      <c r="V68" s="74" t="s">
        <v>1949</v>
      </c>
      <c r="W68" s="73">
        <f t="shared" si="111"/>
        <v>0</v>
      </c>
      <c r="X68" s="65"/>
      <c r="Y68" s="74" t="s">
        <v>1947</v>
      </c>
      <c r="Z68" s="73">
        <f t="shared" si="120"/>
        <v>0</v>
      </c>
      <c r="AA68" s="65"/>
      <c r="AB68" s="74" t="s">
        <v>1949</v>
      </c>
      <c r="AC68" s="73">
        <f t="shared" si="120"/>
        <v>0</v>
      </c>
      <c r="AD68" s="65"/>
      <c r="AE68" s="74" t="s">
        <v>1952</v>
      </c>
      <c r="AF68" s="73">
        <f t="shared" si="120"/>
        <v>0</v>
      </c>
      <c r="AG68" s="65"/>
      <c r="AH68" s="74" t="s">
        <v>1960</v>
      </c>
      <c r="AI68" s="73">
        <f t="shared" si="120"/>
        <v>0</v>
      </c>
      <c r="AJ68" s="65"/>
      <c r="AK68" s="74" t="s">
        <v>1947</v>
      </c>
      <c r="AL68" s="73">
        <f t="shared" si="120"/>
        <v>0</v>
      </c>
      <c r="AM68" s="65"/>
      <c r="AN68" s="74" t="s">
        <v>1946</v>
      </c>
      <c r="AO68" s="73">
        <f t="shared" si="120"/>
        <v>0</v>
      </c>
      <c r="AP68" s="65"/>
      <c r="AQ68" s="74" t="s">
        <v>1961</v>
      </c>
      <c r="AR68" s="73">
        <f t="shared" si="120"/>
        <v>0</v>
      </c>
      <c r="AS68" s="65"/>
      <c r="AT68" s="74" t="s">
        <v>1960</v>
      </c>
      <c r="AU68" s="73">
        <f t="shared" si="120"/>
        <v>0</v>
      </c>
      <c r="AV68" s="65"/>
      <c r="AW68" s="74" t="s">
        <v>2264</v>
      </c>
      <c r="AX68" s="73">
        <f t="shared" si="120"/>
        <v>0</v>
      </c>
      <c r="AY68" s="65"/>
      <c r="AZ68" s="74" t="s">
        <v>1945</v>
      </c>
      <c r="BA68" s="73">
        <f t="shared" si="120"/>
        <v>0</v>
      </c>
      <c r="BB68" s="65"/>
      <c r="BC68" s="74" t="s">
        <v>1957</v>
      </c>
      <c r="BD68" s="73">
        <f t="shared" si="120"/>
        <v>0</v>
      </c>
      <c r="BE68" s="65"/>
      <c r="BF68" s="74" t="s">
        <v>1946</v>
      </c>
      <c r="BG68" s="73">
        <f t="shared" si="120"/>
        <v>0</v>
      </c>
      <c r="BH68" s="65"/>
      <c r="BI68" s="74" t="s">
        <v>1947</v>
      </c>
      <c r="BJ68" s="73">
        <f t="shared" si="120"/>
        <v>0</v>
      </c>
      <c r="BK68" s="65"/>
      <c r="BL68" s="74" t="s">
        <v>1946</v>
      </c>
      <c r="BM68" s="73">
        <f t="shared" si="120"/>
        <v>0</v>
      </c>
      <c r="BN68" s="65"/>
      <c r="BO68" s="74" t="s">
        <v>1949</v>
      </c>
      <c r="BP68" s="73">
        <f t="shared" si="120"/>
        <v>0</v>
      </c>
      <c r="BQ68" s="65"/>
      <c r="BR68" s="74" t="s">
        <v>1952</v>
      </c>
      <c r="BS68" s="73">
        <f t="shared" si="120"/>
        <v>0</v>
      </c>
      <c r="BT68" s="65"/>
      <c r="BU68" s="74" t="s">
        <v>1952</v>
      </c>
      <c r="BV68" s="73">
        <f t="shared" si="120"/>
        <v>0</v>
      </c>
      <c r="BW68" s="65"/>
      <c r="BX68" s="74" t="s">
        <v>1952</v>
      </c>
      <c r="BY68" s="73">
        <f t="shared" si="120"/>
        <v>0</v>
      </c>
      <c r="BZ68" s="65"/>
      <c r="CA68" s="74" t="s">
        <v>1952</v>
      </c>
      <c r="CB68" s="73">
        <f t="shared" si="120"/>
        <v>0</v>
      </c>
      <c r="CC68" s="65"/>
      <c r="CD68" s="74" t="s">
        <v>1960</v>
      </c>
      <c r="CE68" s="73">
        <f t="shared" si="120"/>
        <v>0</v>
      </c>
      <c r="CF68" s="65"/>
      <c r="CG68" s="74" t="s">
        <v>1946</v>
      </c>
      <c r="CH68" s="73">
        <f t="shared" si="120"/>
        <v>0</v>
      </c>
      <c r="CI68" s="65"/>
      <c r="CJ68" s="74" t="s">
        <v>1949</v>
      </c>
      <c r="CK68" s="73">
        <f t="shared" si="119"/>
        <v>0</v>
      </c>
      <c r="CL68" s="65"/>
      <c r="CM68" s="74" t="s">
        <v>1960</v>
      </c>
      <c r="CN68" s="73">
        <f t="shared" si="119"/>
        <v>0</v>
      </c>
      <c r="CO68" s="65"/>
      <c r="CP68" s="74" t="s">
        <v>1948</v>
      </c>
      <c r="CQ68" s="73">
        <f t="shared" si="119"/>
        <v>0</v>
      </c>
      <c r="CR68" s="65"/>
      <c r="CS68" s="74" t="s">
        <v>1946</v>
      </c>
      <c r="CT68" s="73">
        <f t="shared" si="119"/>
        <v>0</v>
      </c>
      <c r="CU68" s="65"/>
      <c r="CV68" s="74" t="s">
        <v>1955</v>
      </c>
      <c r="CW68" s="73">
        <f t="shared" si="119"/>
        <v>0</v>
      </c>
      <c r="CX68" s="65"/>
      <c r="CY68" s="74" t="s">
        <v>1949</v>
      </c>
      <c r="CZ68" s="73">
        <f t="shared" si="119"/>
        <v>0</v>
      </c>
      <c r="DA68" s="65"/>
      <c r="DB68" s="74" t="s">
        <v>1949</v>
      </c>
      <c r="DC68" s="73">
        <f t="shared" si="119"/>
        <v>0</v>
      </c>
      <c r="DD68" s="65"/>
      <c r="DE68" s="74" t="s">
        <v>1945</v>
      </c>
      <c r="DF68" s="73">
        <f t="shared" si="119"/>
        <v>0</v>
      </c>
      <c r="DG68" s="65"/>
      <c r="DH68" s="74" t="s">
        <v>1946</v>
      </c>
      <c r="DI68" s="73">
        <f t="shared" si="119"/>
        <v>0</v>
      </c>
      <c r="DJ68" s="65"/>
      <c r="DK68" s="74" t="s">
        <v>1947</v>
      </c>
      <c r="DL68" s="73">
        <f t="shared" si="119"/>
        <v>0</v>
      </c>
      <c r="DM68" s="65"/>
      <c r="DN68" s="795" t="s">
        <v>1961</v>
      </c>
      <c r="DO68" s="73">
        <f t="shared" si="119"/>
        <v>0</v>
      </c>
      <c r="DP68" s="65"/>
      <c r="DQ68" s="795" t="s">
        <v>1945</v>
      </c>
      <c r="DR68" s="73">
        <f t="shared" si="119"/>
        <v>0</v>
      </c>
      <c r="DS68" s="65"/>
      <c r="DT68" s="74" t="s">
        <v>1946</v>
      </c>
      <c r="DU68" s="73">
        <f t="shared" si="119"/>
        <v>0</v>
      </c>
      <c r="DV68" s="65"/>
      <c r="DW68" s="74" t="s">
        <v>1949</v>
      </c>
      <c r="DX68" s="73">
        <f t="shared" ref="DX68:FK77" si="122">IFERROR(IF($M68=DW68,($D$8+$D$9+$D$10)*$I68,IF($N68=LEFT(DW68,1),($D$8+MAX(0,IF($D$50=1,$D$9*(1-(ABS($Q68-ABS(VALUE(MID(DW68,FIND("|",DW68)+1,FIND("-",DW68)-FIND("|",DW68)-1))-VALUE(MID(DW68,FIND("-",DW68)+1,10)))))*$D$50),$D$9*(1-(IF($N68="X",ABS($O68-VALUE(MID(DW68,FIND("|",DW68)+1,FIND("-",DW68)-FIND("|",DW68)-1))),ABS($Q68-ABS(VALUE(MID(DW68,FIND("|",DW68)+1,FIND("-",DW68)-FIND("|",DW68)-1))-VALUE(MID(DW68,FIND("-",DW68)+1,10)))))*$D$50)))))*$I68,0)),0)</f>
        <v>0</v>
      </c>
      <c r="DY68" s="65"/>
      <c r="DZ68" s="74" t="s">
        <v>1949</v>
      </c>
      <c r="EA68" s="73">
        <f t="shared" si="122"/>
        <v>0</v>
      </c>
      <c r="EB68" s="65"/>
      <c r="EC68" s="74" t="s">
        <v>1945</v>
      </c>
      <c r="ED68" s="73">
        <f t="shared" si="122"/>
        <v>0</v>
      </c>
      <c r="EE68" s="65"/>
      <c r="EF68" s="74" t="s">
        <v>1960</v>
      </c>
      <c r="EG68" s="73">
        <f t="shared" si="122"/>
        <v>0</v>
      </c>
      <c r="EH68" s="65"/>
      <c r="EI68" s="74" t="s">
        <v>1952</v>
      </c>
      <c r="EJ68" s="73">
        <f t="shared" si="122"/>
        <v>0</v>
      </c>
      <c r="EK68" s="65"/>
      <c r="EL68" s="74"/>
      <c r="EM68" s="73">
        <f t="shared" si="122"/>
        <v>0</v>
      </c>
      <c r="EN68" s="65"/>
      <c r="EO68" s="74"/>
      <c r="EP68" s="73">
        <f t="shared" si="122"/>
        <v>0</v>
      </c>
      <c r="EQ68" s="65"/>
      <c r="ER68" s="74"/>
      <c r="ES68" s="73">
        <f t="shared" si="122"/>
        <v>0</v>
      </c>
      <c r="ET68" s="65"/>
      <c r="EU68" s="74"/>
      <c r="EV68" s="73">
        <f t="shared" si="122"/>
        <v>0</v>
      </c>
      <c r="EW68" s="65"/>
      <c r="EX68" s="74"/>
      <c r="EY68" s="73">
        <f t="shared" si="122"/>
        <v>0</v>
      </c>
      <c r="EZ68" s="65"/>
      <c r="FA68" s="74"/>
      <c r="FB68" s="73">
        <f t="shared" si="122"/>
        <v>0</v>
      </c>
      <c r="FC68" s="65"/>
      <c r="FD68" s="74"/>
      <c r="FE68" s="73">
        <f t="shared" si="122"/>
        <v>0</v>
      </c>
      <c r="FF68" s="65"/>
      <c r="FG68" s="74"/>
      <c r="FH68" s="73">
        <f t="shared" si="122"/>
        <v>0</v>
      </c>
      <c r="FI68" s="65"/>
      <c r="FJ68" s="74"/>
      <c r="FK68" s="73">
        <f t="shared" si="122"/>
        <v>0</v>
      </c>
      <c r="FL68" s="65"/>
      <c r="FM68" s="65"/>
    </row>
    <row r="69" spans="1:169">
      <c r="A69" s="49"/>
      <c r="B69" s="49"/>
      <c r="C69" s="17"/>
      <c r="D69" s="17"/>
      <c r="E69" s="111"/>
      <c r="F69" s="445">
        <f t="shared" si="97"/>
        <v>4</v>
      </c>
      <c r="G69" s="445">
        <f ca="1">VLOOKUP(H69,Equipos!$Q$1:$R$25,2,0)</f>
        <v>17</v>
      </c>
      <c r="H69" s="446">
        <f ca="1">TRUNC(INDEX(WORLDCUP!$X$4:$X$147,MATCH(ADMIN!K69,WORLDCUP!$DT$4:$DT$147,0))+INDEX(Horarios!$R$3:$R$86,MATCH(Horarios!$C$3,Horarios!$P$3:$P$86,0))/24)</f>
        <v>46200</v>
      </c>
      <c r="I69" s="48">
        <v>1</v>
      </c>
      <c r="J69" s="96" t="s">
        <v>181</v>
      </c>
      <c r="K69" s="53" t="str">
        <f ca="1">CONCATENATE(WORLDCUP!AA65,"-",WORLDCUP!AF65)</f>
        <v>Uruguay-España</v>
      </c>
      <c r="L69" s="53"/>
      <c r="M69" s="53" t="str">
        <f>IF(OR(WORLDCUP!AC65="",WORLDCUP!AD65=""),"-",N69&amp;"|"&amp;O69&amp;"-"&amp;P69)</f>
        <v>-</v>
      </c>
      <c r="N69" s="25" t="str">
        <f>IF(OR(WORLDCUP!AC65="",WORLDCUP!AD65=""),"",IF(WORLDCUP!AC65&gt;WORLDCUP!AD65,"1",IF(WORLDCUP!AC65&lt;WORLDCUP!AD65,"2","X")))</f>
        <v/>
      </c>
      <c r="O69" s="25">
        <f>WORLDCUP!AC65</f>
        <v>0</v>
      </c>
      <c r="P69" s="25">
        <f>WORLDCUP!AD65</f>
        <v>0</v>
      </c>
      <c r="Q69" s="25">
        <f t="shared" si="101"/>
        <v>0</v>
      </c>
      <c r="R69" s="49"/>
      <c r="S69" s="74" t="s">
        <v>1962</v>
      </c>
      <c r="T69" s="73">
        <f t="shared" si="98"/>
        <v>0</v>
      </c>
      <c r="U69" s="65"/>
      <c r="V69" s="74" t="s">
        <v>1952</v>
      </c>
      <c r="W69" s="73">
        <f t="shared" si="111"/>
        <v>0</v>
      </c>
      <c r="X69" s="65"/>
      <c r="Y69" s="74" t="s">
        <v>1945</v>
      </c>
      <c r="Z69" s="73">
        <f t="shared" si="120"/>
        <v>0</v>
      </c>
      <c r="AA69" s="65"/>
      <c r="AB69" s="74" t="s">
        <v>1960</v>
      </c>
      <c r="AC69" s="73">
        <f t="shared" si="120"/>
        <v>0</v>
      </c>
      <c r="AD69" s="65"/>
      <c r="AE69" s="74" t="s">
        <v>1952</v>
      </c>
      <c r="AF69" s="73">
        <f t="shared" si="120"/>
        <v>0</v>
      </c>
      <c r="AG69" s="65"/>
      <c r="AH69" s="74" t="s">
        <v>1944</v>
      </c>
      <c r="AI69" s="73">
        <f t="shared" si="120"/>
        <v>0</v>
      </c>
      <c r="AJ69" s="65"/>
      <c r="AK69" s="74" t="s">
        <v>1945</v>
      </c>
      <c r="AL69" s="73">
        <f t="shared" si="120"/>
        <v>0</v>
      </c>
      <c r="AM69" s="65"/>
      <c r="AN69" s="74" t="s">
        <v>1945</v>
      </c>
      <c r="AO69" s="73">
        <f t="shared" si="120"/>
        <v>0</v>
      </c>
      <c r="AP69" s="65"/>
      <c r="AQ69" s="74" t="s">
        <v>1960</v>
      </c>
      <c r="AR69" s="73">
        <f t="shared" si="120"/>
        <v>0</v>
      </c>
      <c r="AS69" s="65"/>
      <c r="AT69" s="74" t="s">
        <v>1952</v>
      </c>
      <c r="AU69" s="73">
        <f t="shared" si="120"/>
        <v>0</v>
      </c>
      <c r="AV69" s="65"/>
      <c r="AW69" s="74" t="s">
        <v>1945</v>
      </c>
      <c r="AX69" s="73">
        <f t="shared" si="120"/>
        <v>0</v>
      </c>
      <c r="AY69" s="65"/>
      <c r="AZ69" s="74" t="s">
        <v>1946</v>
      </c>
      <c r="BA69" s="73">
        <f t="shared" si="120"/>
        <v>0</v>
      </c>
      <c r="BB69" s="65"/>
      <c r="BC69" s="74" t="s">
        <v>1962</v>
      </c>
      <c r="BD69" s="73">
        <f t="shared" si="120"/>
        <v>0</v>
      </c>
      <c r="BE69" s="65"/>
      <c r="BF69" s="74" t="s">
        <v>1949</v>
      </c>
      <c r="BG69" s="73">
        <f t="shared" si="120"/>
        <v>0</v>
      </c>
      <c r="BH69" s="65"/>
      <c r="BI69" s="74" t="s">
        <v>1945</v>
      </c>
      <c r="BJ69" s="73">
        <f t="shared" si="120"/>
        <v>0</v>
      </c>
      <c r="BK69" s="65"/>
      <c r="BL69" s="74" t="s">
        <v>1945</v>
      </c>
      <c r="BM69" s="73">
        <f t="shared" si="120"/>
        <v>0</v>
      </c>
      <c r="BN69" s="65"/>
      <c r="BO69" s="74" t="s">
        <v>1952</v>
      </c>
      <c r="BP69" s="73">
        <f t="shared" si="120"/>
        <v>0</v>
      </c>
      <c r="BQ69" s="65"/>
      <c r="BR69" s="74" t="s">
        <v>1952</v>
      </c>
      <c r="BS69" s="73">
        <f t="shared" si="120"/>
        <v>0</v>
      </c>
      <c r="BT69" s="65"/>
      <c r="BU69" s="74" t="s">
        <v>1952</v>
      </c>
      <c r="BV69" s="73">
        <f t="shared" si="120"/>
        <v>0</v>
      </c>
      <c r="BW69" s="65"/>
      <c r="BX69" s="74" t="s">
        <v>1952</v>
      </c>
      <c r="BY69" s="73">
        <f t="shared" si="120"/>
        <v>0</v>
      </c>
      <c r="BZ69" s="65"/>
      <c r="CA69" s="74" t="s">
        <v>1949</v>
      </c>
      <c r="CB69" s="73">
        <f t="shared" si="120"/>
        <v>0</v>
      </c>
      <c r="CC69" s="65"/>
      <c r="CD69" s="74" t="s">
        <v>1946</v>
      </c>
      <c r="CE69" s="73">
        <f t="shared" si="120"/>
        <v>0</v>
      </c>
      <c r="CF69" s="65"/>
      <c r="CG69" s="74" t="s">
        <v>1945</v>
      </c>
      <c r="CH69" s="73">
        <f t="shared" si="120"/>
        <v>0</v>
      </c>
      <c r="CI69" s="65"/>
      <c r="CJ69" s="74" t="s">
        <v>1952</v>
      </c>
      <c r="CK69" s="73">
        <f t="shared" si="119"/>
        <v>0</v>
      </c>
      <c r="CL69" s="65"/>
      <c r="CM69" s="74" t="s">
        <v>1946</v>
      </c>
      <c r="CN69" s="73">
        <f t="shared" si="119"/>
        <v>0</v>
      </c>
      <c r="CO69" s="65"/>
      <c r="CP69" s="74" t="s">
        <v>1945</v>
      </c>
      <c r="CQ69" s="73">
        <f t="shared" si="119"/>
        <v>0</v>
      </c>
      <c r="CR69" s="65"/>
      <c r="CS69" s="74" t="s">
        <v>1946</v>
      </c>
      <c r="CT69" s="73">
        <f t="shared" si="119"/>
        <v>0</v>
      </c>
      <c r="CU69" s="65"/>
      <c r="CV69" s="74" t="s">
        <v>1945</v>
      </c>
      <c r="CW69" s="73">
        <f t="shared" si="119"/>
        <v>0</v>
      </c>
      <c r="CX69" s="65"/>
      <c r="CY69" s="74" t="s">
        <v>1949</v>
      </c>
      <c r="CZ69" s="73">
        <f t="shared" si="119"/>
        <v>0</v>
      </c>
      <c r="DA69" s="65"/>
      <c r="DB69" s="74" t="s">
        <v>1957</v>
      </c>
      <c r="DC69" s="73">
        <f t="shared" si="119"/>
        <v>0</v>
      </c>
      <c r="DD69" s="65"/>
      <c r="DE69" s="74" t="s">
        <v>1946</v>
      </c>
      <c r="DF69" s="73">
        <f t="shared" si="119"/>
        <v>0</v>
      </c>
      <c r="DG69" s="65"/>
      <c r="DH69" s="74" t="s">
        <v>1946</v>
      </c>
      <c r="DI69" s="73">
        <f t="shared" si="119"/>
        <v>0</v>
      </c>
      <c r="DJ69" s="65"/>
      <c r="DK69" s="74" t="s">
        <v>1952</v>
      </c>
      <c r="DL69" s="73">
        <f t="shared" si="119"/>
        <v>0</v>
      </c>
      <c r="DM69" s="65"/>
      <c r="DN69" s="795" t="s">
        <v>1952</v>
      </c>
      <c r="DO69" s="73">
        <f t="shared" si="119"/>
        <v>0</v>
      </c>
      <c r="DP69" s="65"/>
      <c r="DQ69" s="795" t="s">
        <v>1963</v>
      </c>
      <c r="DR69" s="73">
        <f t="shared" si="119"/>
        <v>0</v>
      </c>
      <c r="DS69" s="65"/>
      <c r="DT69" s="74" t="s">
        <v>1952</v>
      </c>
      <c r="DU69" s="73">
        <f t="shared" si="119"/>
        <v>0</v>
      </c>
      <c r="DV69" s="65"/>
      <c r="DW69" s="74" t="s">
        <v>1960</v>
      </c>
      <c r="DX69" s="73">
        <f t="shared" si="122"/>
        <v>0</v>
      </c>
      <c r="DY69" s="65"/>
      <c r="DZ69" s="74" t="s">
        <v>1952</v>
      </c>
      <c r="EA69" s="73">
        <f t="shared" si="122"/>
        <v>0</v>
      </c>
      <c r="EB69" s="65"/>
      <c r="EC69" s="74" t="s">
        <v>1949</v>
      </c>
      <c r="ED69" s="73">
        <f t="shared" si="122"/>
        <v>0</v>
      </c>
      <c r="EE69" s="65"/>
      <c r="EF69" s="74" t="s">
        <v>1946</v>
      </c>
      <c r="EG69" s="73">
        <f t="shared" si="122"/>
        <v>0</v>
      </c>
      <c r="EH69" s="65"/>
      <c r="EI69" s="74" t="s">
        <v>1952</v>
      </c>
      <c r="EJ69" s="73">
        <f t="shared" si="122"/>
        <v>0</v>
      </c>
      <c r="EK69" s="65"/>
      <c r="EL69" s="74"/>
      <c r="EM69" s="73">
        <f t="shared" si="122"/>
        <v>0</v>
      </c>
      <c r="EN69" s="65"/>
      <c r="EO69" s="74"/>
      <c r="EP69" s="73">
        <f t="shared" si="122"/>
        <v>0</v>
      </c>
      <c r="EQ69" s="65"/>
      <c r="ER69" s="74"/>
      <c r="ES69" s="73">
        <f t="shared" si="122"/>
        <v>0</v>
      </c>
      <c r="ET69" s="65"/>
      <c r="EU69" s="74"/>
      <c r="EV69" s="73">
        <f t="shared" si="122"/>
        <v>0</v>
      </c>
      <c r="EW69" s="65"/>
      <c r="EX69" s="74"/>
      <c r="EY69" s="73">
        <f t="shared" si="122"/>
        <v>0</v>
      </c>
      <c r="EZ69" s="65"/>
      <c r="FA69" s="74"/>
      <c r="FB69" s="73">
        <f t="shared" si="122"/>
        <v>0</v>
      </c>
      <c r="FC69" s="65"/>
      <c r="FD69" s="74"/>
      <c r="FE69" s="73">
        <f t="shared" si="122"/>
        <v>0</v>
      </c>
      <c r="FF69" s="65"/>
      <c r="FG69" s="74"/>
      <c r="FH69" s="73">
        <f t="shared" si="122"/>
        <v>0</v>
      </c>
      <c r="FI69" s="65"/>
      <c r="FJ69" s="74"/>
      <c r="FK69" s="73">
        <f t="shared" si="122"/>
        <v>0</v>
      </c>
      <c r="FL69" s="65"/>
      <c r="FM69" s="65"/>
    </row>
    <row r="70" spans="1:169">
      <c r="A70" s="49"/>
      <c r="B70" s="49"/>
      <c r="C70" s="17"/>
      <c r="D70" s="17"/>
      <c r="E70" s="111"/>
      <c r="F70" s="445">
        <f t="shared" si="97"/>
        <v>4</v>
      </c>
      <c r="G70" s="445">
        <f ca="1">VLOOKUP(H70,Equipos!$Q$1:$R$25,2,0)</f>
        <v>16</v>
      </c>
      <c r="H70" s="446">
        <f ca="1">TRUNC(INDEX(WORLDCUP!$X$4:$X$147,MATCH(ADMIN!K70,WORLDCUP!$DT$4:$DT$147,0))+INDEX(Horarios!$R$3:$R$86,MATCH(Horarios!$C$3,Horarios!$P$3:$P$86,0))/24)</f>
        <v>46199</v>
      </c>
      <c r="I70" s="48">
        <v>1</v>
      </c>
      <c r="J70" s="95" t="s">
        <v>182</v>
      </c>
      <c r="K70" s="53" t="str">
        <f ca="1">CONCATENATE(WORLDCUP!AA72,"-",WORLDCUP!AF72)</f>
        <v>Noruega-Francia</v>
      </c>
      <c r="L70" s="53"/>
      <c r="M70" s="55" t="str">
        <f>IF(OR(WORLDCUP!AC72="",WORLDCUP!AD72=""),"-",N70&amp;"|"&amp;O70&amp;"-"&amp;P70)</f>
        <v>-</v>
      </c>
      <c r="N70" s="25" t="str">
        <f>IF(OR(WORLDCUP!AC72="",WORLDCUP!AD72=""),"",IF(WORLDCUP!AC72&gt;WORLDCUP!AD72,"1",IF(WORLDCUP!AC72&lt;WORLDCUP!AD72,"2","X")))</f>
        <v/>
      </c>
      <c r="O70" s="25">
        <f>WORLDCUP!AC72</f>
        <v>0</v>
      </c>
      <c r="P70" s="25">
        <f>WORLDCUP!AD72</f>
        <v>0</v>
      </c>
      <c r="Q70" s="25">
        <f t="shared" si="101"/>
        <v>0</v>
      </c>
      <c r="R70" s="49"/>
      <c r="S70" s="74" t="s">
        <v>1946</v>
      </c>
      <c r="T70" s="73">
        <f t="shared" si="98"/>
        <v>0</v>
      </c>
      <c r="U70" s="65"/>
      <c r="V70" s="74" t="s">
        <v>1944</v>
      </c>
      <c r="W70" s="73">
        <f t="shared" si="111"/>
        <v>0</v>
      </c>
      <c r="X70" s="65"/>
      <c r="Y70" s="74" t="s">
        <v>1947</v>
      </c>
      <c r="Z70" s="73">
        <f t="shared" si="120"/>
        <v>0</v>
      </c>
      <c r="AA70" s="65"/>
      <c r="AB70" s="74" t="s">
        <v>1960</v>
      </c>
      <c r="AC70" s="73">
        <f t="shared" si="120"/>
        <v>0</v>
      </c>
      <c r="AD70" s="65"/>
      <c r="AE70" s="74" t="s">
        <v>1946</v>
      </c>
      <c r="AF70" s="73">
        <f t="shared" si="120"/>
        <v>0</v>
      </c>
      <c r="AG70" s="65"/>
      <c r="AH70" s="74" t="s">
        <v>1963</v>
      </c>
      <c r="AI70" s="73">
        <f t="shared" si="120"/>
        <v>0</v>
      </c>
      <c r="AJ70" s="65"/>
      <c r="AK70" s="74" t="s">
        <v>1952</v>
      </c>
      <c r="AL70" s="73">
        <f t="shared" si="120"/>
        <v>0</v>
      </c>
      <c r="AM70" s="65"/>
      <c r="AN70" s="74" t="s">
        <v>1944</v>
      </c>
      <c r="AO70" s="73">
        <f t="shared" si="120"/>
        <v>0</v>
      </c>
      <c r="AP70" s="65"/>
      <c r="AQ70" s="74" t="s">
        <v>1952</v>
      </c>
      <c r="AR70" s="73">
        <f t="shared" si="120"/>
        <v>0</v>
      </c>
      <c r="AS70" s="65"/>
      <c r="AT70" s="74" t="s">
        <v>1946</v>
      </c>
      <c r="AU70" s="73">
        <f t="shared" si="120"/>
        <v>0</v>
      </c>
      <c r="AV70" s="65"/>
      <c r="AW70" s="74" t="s">
        <v>1945</v>
      </c>
      <c r="AX70" s="73">
        <f t="shared" si="120"/>
        <v>0</v>
      </c>
      <c r="AY70" s="65"/>
      <c r="AZ70" s="74" t="s">
        <v>1952</v>
      </c>
      <c r="BA70" s="73">
        <f t="shared" si="120"/>
        <v>0</v>
      </c>
      <c r="BB70" s="65"/>
      <c r="BC70" s="74" t="s">
        <v>1945</v>
      </c>
      <c r="BD70" s="73">
        <f t="shared" si="120"/>
        <v>0</v>
      </c>
      <c r="BE70" s="65"/>
      <c r="BF70" s="74" t="s">
        <v>1960</v>
      </c>
      <c r="BG70" s="73">
        <f t="shared" si="120"/>
        <v>0</v>
      </c>
      <c r="BH70" s="65"/>
      <c r="BI70" s="74" t="s">
        <v>1947</v>
      </c>
      <c r="BJ70" s="73">
        <f t="shared" si="120"/>
        <v>0</v>
      </c>
      <c r="BK70" s="65"/>
      <c r="BL70" s="74" t="s">
        <v>1945</v>
      </c>
      <c r="BM70" s="73">
        <f t="shared" si="120"/>
        <v>0</v>
      </c>
      <c r="BN70" s="65"/>
      <c r="BO70" s="74" t="s">
        <v>1945</v>
      </c>
      <c r="BP70" s="73">
        <f t="shared" si="120"/>
        <v>0</v>
      </c>
      <c r="BQ70" s="65"/>
      <c r="BR70" s="74" t="s">
        <v>1952</v>
      </c>
      <c r="BS70" s="73">
        <f t="shared" si="120"/>
        <v>0</v>
      </c>
      <c r="BT70" s="65"/>
      <c r="BU70" s="74" t="s">
        <v>1952</v>
      </c>
      <c r="BV70" s="73">
        <f t="shared" si="120"/>
        <v>0</v>
      </c>
      <c r="BW70" s="65"/>
      <c r="BX70" s="74" t="s">
        <v>1952</v>
      </c>
      <c r="BY70" s="73">
        <f t="shared" si="120"/>
        <v>0</v>
      </c>
      <c r="BZ70" s="65"/>
      <c r="CA70" s="74" t="s">
        <v>1949</v>
      </c>
      <c r="CB70" s="73">
        <f t="shared" si="120"/>
        <v>0</v>
      </c>
      <c r="CC70" s="65"/>
      <c r="CD70" s="74" t="s">
        <v>1946</v>
      </c>
      <c r="CE70" s="73">
        <f t="shared" si="120"/>
        <v>0</v>
      </c>
      <c r="CF70" s="65"/>
      <c r="CG70" s="74" t="s">
        <v>1952</v>
      </c>
      <c r="CH70" s="73">
        <f t="shared" si="120"/>
        <v>0</v>
      </c>
      <c r="CI70" s="65"/>
      <c r="CJ70" s="74" t="s">
        <v>1945</v>
      </c>
      <c r="CK70" s="73">
        <f t="shared" si="119"/>
        <v>0</v>
      </c>
      <c r="CL70" s="65"/>
      <c r="CM70" s="74" t="s">
        <v>1945</v>
      </c>
      <c r="CN70" s="73">
        <f t="shared" si="119"/>
        <v>0</v>
      </c>
      <c r="CO70" s="65"/>
      <c r="CP70" s="74" t="s">
        <v>1952</v>
      </c>
      <c r="CQ70" s="73">
        <f t="shared" si="119"/>
        <v>0</v>
      </c>
      <c r="CR70" s="65"/>
      <c r="CS70" s="74" t="s">
        <v>1952</v>
      </c>
      <c r="CT70" s="73">
        <f t="shared" si="119"/>
        <v>0</v>
      </c>
      <c r="CU70" s="65"/>
      <c r="CV70" s="74" t="s">
        <v>1946</v>
      </c>
      <c r="CW70" s="73">
        <f t="shared" si="119"/>
        <v>0</v>
      </c>
      <c r="CX70" s="65"/>
      <c r="CY70" s="74" t="s">
        <v>1944</v>
      </c>
      <c r="CZ70" s="73">
        <f t="shared" si="119"/>
        <v>0</v>
      </c>
      <c r="DA70" s="65"/>
      <c r="DB70" s="74" t="s">
        <v>1944</v>
      </c>
      <c r="DC70" s="73">
        <f t="shared" si="119"/>
        <v>0</v>
      </c>
      <c r="DD70" s="65"/>
      <c r="DE70" s="74" t="s">
        <v>1962</v>
      </c>
      <c r="DF70" s="73">
        <f t="shared" si="119"/>
        <v>0</v>
      </c>
      <c r="DG70" s="65"/>
      <c r="DH70" s="74" t="s">
        <v>1952</v>
      </c>
      <c r="DI70" s="73">
        <f t="shared" si="119"/>
        <v>0</v>
      </c>
      <c r="DJ70" s="65"/>
      <c r="DK70" s="74" t="s">
        <v>1944</v>
      </c>
      <c r="DL70" s="73">
        <f t="shared" si="119"/>
        <v>0</v>
      </c>
      <c r="DM70" s="65"/>
      <c r="DN70" s="795" t="s">
        <v>1944</v>
      </c>
      <c r="DO70" s="73">
        <f t="shared" si="119"/>
        <v>0</v>
      </c>
      <c r="DP70" s="65"/>
      <c r="DQ70" s="795" t="s">
        <v>1949</v>
      </c>
      <c r="DR70" s="73">
        <f t="shared" si="119"/>
        <v>0</v>
      </c>
      <c r="DS70" s="65"/>
      <c r="DT70" s="74" t="s">
        <v>1963</v>
      </c>
      <c r="DU70" s="73">
        <f t="shared" si="119"/>
        <v>0</v>
      </c>
      <c r="DV70" s="65"/>
      <c r="DW70" s="74" t="s">
        <v>1944</v>
      </c>
      <c r="DX70" s="73">
        <f t="shared" si="122"/>
        <v>0</v>
      </c>
      <c r="DY70" s="65"/>
      <c r="DZ70" s="74" t="s">
        <v>1952</v>
      </c>
      <c r="EA70" s="73">
        <f t="shared" si="122"/>
        <v>0</v>
      </c>
      <c r="EB70" s="65"/>
      <c r="EC70" s="74" t="s">
        <v>1945</v>
      </c>
      <c r="ED70" s="73">
        <f t="shared" si="122"/>
        <v>0</v>
      </c>
      <c r="EE70" s="65"/>
      <c r="EF70" s="74" t="s">
        <v>1946</v>
      </c>
      <c r="EG70" s="73">
        <f t="shared" si="122"/>
        <v>0</v>
      </c>
      <c r="EH70" s="65"/>
      <c r="EI70" s="74" t="s">
        <v>1945</v>
      </c>
      <c r="EJ70" s="73">
        <f t="shared" si="122"/>
        <v>0</v>
      </c>
      <c r="EK70" s="65"/>
      <c r="EL70" s="74"/>
      <c r="EM70" s="73">
        <f t="shared" si="122"/>
        <v>0</v>
      </c>
      <c r="EN70" s="65"/>
      <c r="EO70" s="74"/>
      <c r="EP70" s="73">
        <f t="shared" si="122"/>
        <v>0</v>
      </c>
      <c r="EQ70" s="65"/>
      <c r="ER70" s="74"/>
      <c r="ES70" s="73">
        <f t="shared" si="122"/>
        <v>0</v>
      </c>
      <c r="ET70" s="65"/>
      <c r="EU70" s="74"/>
      <c r="EV70" s="73">
        <f t="shared" si="122"/>
        <v>0</v>
      </c>
      <c r="EW70" s="65"/>
      <c r="EX70" s="74"/>
      <c r="EY70" s="73">
        <f t="shared" si="122"/>
        <v>0</v>
      </c>
      <c r="EZ70" s="65"/>
      <c r="FA70" s="74"/>
      <c r="FB70" s="73">
        <f t="shared" si="122"/>
        <v>0</v>
      </c>
      <c r="FC70" s="65"/>
      <c r="FD70" s="74"/>
      <c r="FE70" s="73">
        <f t="shared" si="122"/>
        <v>0</v>
      </c>
      <c r="FF70" s="65"/>
      <c r="FG70" s="74"/>
      <c r="FH70" s="73">
        <f t="shared" si="122"/>
        <v>0</v>
      </c>
      <c r="FI70" s="65"/>
      <c r="FJ70" s="74"/>
      <c r="FK70" s="73">
        <f t="shared" si="122"/>
        <v>0</v>
      </c>
      <c r="FL70" s="65"/>
      <c r="FM70" s="65"/>
    </row>
    <row r="71" spans="1:169">
      <c r="A71" s="49"/>
      <c r="B71" s="49"/>
      <c r="C71" s="17"/>
      <c r="D71" s="17"/>
      <c r="E71" s="111"/>
      <c r="F71" s="445">
        <f t="shared" ref="F71:F77" si="123">SUM($D$8:$D$10)*I71</f>
        <v>4</v>
      </c>
      <c r="G71" s="445">
        <f ca="1">VLOOKUP(H71,Equipos!$Q$1:$R$25,2,0)</f>
        <v>16</v>
      </c>
      <c r="H71" s="446">
        <f ca="1">TRUNC(INDEX(WORLDCUP!$X$4:$X$147,MATCH(ADMIN!K71,WORLDCUP!$DT$4:$DT$147,0))+INDEX(Horarios!$R$3:$R$86,MATCH(Horarios!$C$3,Horarios!$P$3:$P$86,0))/24)</f>
        <v>46199</v>
      </c>
      <c r="I71" s="48">
        <v>1</v>
      </c>
      <c r="J71" s="95" t="s">
        <v>182</v>
      </c>
      <c r="K71" s="56" t="str">
        <f ca="1">CONCATENATE(WORLDCUP!AA73,"-",WORLDCUP!AF73)</f>
        <v>Senegal-Irak</v>
      </c>
      <c r="L71" s="53"/>
      <c r="M71" s="55" t="str">
        <f>IF(OR(WORLDCUP!AC73="",WORLDCUP!AD73=""),"-",N71&amp;"|"&amp;O71&amp;"-"&amp;P71)</f>
        <v>-</v>
      </c>
      <c r="N71" s="25" t="str">
        <f>IF(OR(WORLDCUP!AC73="",WORLDCUP!AD73=""),"",IF(WORLDCUP!AC73&gt;WORLDCUP!AD73,"1",IF(WORLDCUP!AC73&lt;WORLDCUP!AD73,"2","X")))</f>
        <v/>
      </c>
      <c r="O71" s="25">
        <f>WORLDCUP!AC73</f>
        <v>0</v>
      </c>
      <c r="P71" s="25">
        <f>WORLDCUP!AD73</f>
        <v>0</v>
      </c>
      <c r="Q71" s="25">
        <f t="shared" ref="Q71:Q77" si="124">ABS(O71-P71)</f>
        <v>0</v>
      </c>
      <c r="R71" s="49"/>
      <c r="S71" s="74" t="s">
        <v>1954</v>
      </c>
      <c r="T71" s="73">
        <f t="shared" ref="T71:T77" si="125">IFERROR(IF($M71=S71,($D$8+$D$9+$D$10)*$I71,IF($N71=LEFT(S71,1),($D$8+MAX(0,IF($D$50=1,$D$9*(1-(ABS($Q71-ABS(VALUE(MID(S71,FIND("|",S71)+1,FIND("-",S71)-FIND("|",S71)-1))-VALUE(MID(S71,FIND("-",S71)+1,10)))))*$D$50),$D$9*(1-(IF($N71="X",ABS($O71-VALUE(MID(S71,FIND("|",S71)+1,FIND("-",S71)-FIND("|",S71)-1))),ABS($Q71-ABS(VALUE(MID(S71,FIND("|",S71)+1,FIND("-",S71)-FIND("|",S71)-1))-VALUE(MID(S71,FIND("-",S71)+1,10)))))*$D$50)))))*$I71,0)),0)</f>
        <v>0</v>
      </c>
      <c r="U71" s="65"/>
      <c r="V71" s="74" t="s">
        <v>1958</v>
      </c>
      <c r="W71" s="73">
        <f t="shared" si="111"/>
        <v>0</v>
      </c>
      <c r="X71" s="65"/>
      <c r="Y71" s="74" t="s">
        <v>1958</v>
      </c>
      <c r="Z71" s="73">
        <f t="shared" si="120"/>
        <v>0</v>
      </c>
      <c r="AA71" s="65"/>
      <c r="AB71" s="74" t="s">
        <v>1954</v>
      </c>
      <c r="AC71" s="73">
        <f t="shared" si="120"/>
        <v>0</v>
      </c>
      <c r="AD71" s="65"/>
      <c r="AE71" s="74" t="s">
        <v>1943</v>
      </c>
      <c r="AF71" s="73">
        <f t="shared" si="120"/>
        <v>0</v>
      </c>
      <c r="AG71" s="65"/>
      <c r="AH71" s="74" t="s">
        <v>1954</v>
      </c>
      <c r="AI71" s="73">
        <f t="shared" si="120"/>
        <v>0</v>
      </c>
      <c r="AJ71" s="65"/>
      <c r="AK71" s="74" t="s">
        <v>1958</v>
      </c>
      <c r="AL71" s="73">
        <f t="shared" si="120"/>
        <v>0</v>
      </c>
      <c r="AM71" s="65"/>
      <c r="AN71" s="74" t="s">
        <v>1954</v>
      </c>
      <c r="AO71" s="73">
        <f t="shared" si="120"/>
        <v>0</v>
      </c>
      <c r="AP71" s="65"/>
      <c r="AQ71" s="74" t="s">
        <v>1948</v>
      </c>
      <c r="AR71" s="73">
        <f t="shared" si="120"/>
        <v>0</v>
      </c>
      <c r="AS71" s="65"/>
      <c r="AT71" s="74" t="s">
        <v>1954</v>
      </c>
      <c r="AU71" s="73">
        <f t="shared" si="120"/>
        <v>0</v>
      </c>
      <c r="AV71" s="65"/>
      <c r="AW71" s="74" t="s">
        <v>1954</v>
      </c>
      <c r="AX71" s="73">
        <f t="shared" si="120"/>
        <v>0</v>
      </c>
      <c r="AY71" s="65"/>
      <c r="AZ71" s="74" t="s">
        <v>1943</v>
      </c>
      <c r="BA71" s="73">
        <f t="shared" si="120"/>
        <v>0</v>
      </c>
      <c r="BB71" s="65"/>
      <c r="BC71" s="74" t="s">
        <v>1942</v>
      </c>
      <c r="BD71" s="73">
        <f t="shared" si="120"/>
        <v>0</v>
      </c>
      <c r="BE71" s="65"/>
      <c r="BF71" s="74" t="s">
        <v>1946</v>
      </c>
      <c r="BG71" s="73">
        <f t="shared" si="120"/>
        <v>0</v>
      </c>
      <c r="BH71" s="65"/>
      <c r="BI71" s="74" t="s">
        <v>1958</v>
      </c>
      <c r="BJ71" s="73">
        <f t="shared" si="120"/>
        <v>0</v>
      </c>
      <c r="BK71" s="65"/>
      <c r="BL71" s="74" t="s">
        <v>1954</v>
      </c>
      <c r="BM71" s="73">
        <f t="shared" si="120"/>
        <v>0</v>
      </c>
      <c r="BN71" s="65"/>
      <c r="BO71" s="74" t="s">
        <v>1954</v>
      </c>
      <c r="BP71" s="73">
        <f t="shared" si="120"/>
        <v>0</v>
      </c>
      <c r="BQ71" s="65"/>
      <c r="BR71" s="74" t="s">
        <v>1954</v>
      </c>
      <c r="BS71" s="73">
        <f t="shared" si="120"/>
        <v>0</v>
      </c>
      <c r="BT71" s="65"/>
      <c r="BU71" s="74" t="s">
        <v>1958</v>
      </c>
      <c r="BV71" s="73">
        <f t="shared" si="120"/>
        <v>0</v>
      </c>
      <c r="BW71" s="65"/>
      <c r="BX71" s="74" t="s">
        <v>1954</v>
      </c>
      <c r="BY71" s="73">
        <f t="shared" si="120"/>
        <v>0</v>
      </c>
      <c r="BZ71" s="65"/>
      <c r="CA71" s="74" t="s">
        <v>1942</v>
      </c>
      <c r="CB71" s="73">
        <f t="shared" si="120"/>
        <v>0</v>
      </c>
      <c r="CC71" s="65"/>
      <c r="CD71" s="74" t="s">
        <v>1942</v>
      </c>
      <c r="CE71" s="73">
        <f t="shared" si="120"/>
        <v>0</v>
      </c>
      <c r="CF71" s="65"/>
      <c r="CG71" s="74" t="s">
        <v>1943</v>
      </c>
      <c r="CH71" s="73">
        <f t="shared" si="120"/>
        <v>0</v>
      </c>
      <c r="CI71" s="65"/>
      <c r="CJ71" s="74" t="s">
        <v>1942</v>
      </c>
      <c r="CK71" s="73">
        <f t="shared" si="119"/>
        <v>0</v>
      </c>
      <c r="CL71" s="65"/>
      <c r="CM71" s="74" t="s">
        <v>1954</v>
      </c>
      <c r="CN71" s="73">
        <f t="shared" si="119"/>
        <v>0</v>
      </c>
      <c r="CO71" s="65"/>
      <c r="CP71" s="74" t="s">
        <v>1954</v>
      </c>
      <c r="CQ71" s="73">
        <f t="shared" si="119"/>
        <v>0</v>
      </c>
      <c r="CR71" s="65"/>
      <c r="CS71" s="74" t="s">
        <v>1954</v>
      </c>
      <c r="CT71" s="73">
        <f t="shared" si="119"/>
        <v>0</v>
      </c>
      <c r="CU71" s="65"/>
      <c r="CV71" s="74" t="s">
        <v>1954</v>
      </c>
      <c r="CW71" s="73">
        <f t="shared" si="119"/>
        <v>0</v>
      </c>
      <c r="CX71" s="65"/>
      <c r="CY71" s="74" t="s">
        <v>1948</v>
      </c>
      <c r="CZ71" s="73">
        <f t="shared" si="119"/>
        <v>0</v>
      </c>
      <c r="DA71" s="65"/>
      <c r="DB71" s="74" t="s">
        <v>1954</v>
      </c>
      <c r="DC71" s="73">
        <f t="shared" si="119"/>
        <v>0</v>
      </c>
      <c r="DD71" s="65"/>
      <c r="DE71" s="74" t="s">
        <v>1943</v>
      </c>
      <c r="DF71" s="73">
        <f t="shared" si="119"/>
        <v>0</v>
      </c>
      <c r="DG71" s="65"/>
      <c r="DH71" s="74" t="s">
        <v>1954</v>
      </c>
      <c r="DI71" s="73">
        <f t="shared" si="119"/>
        <v>0</v>
      </c>
      <c r="DJ71" s="65"/>
      <c r="DK71" s="74" t="s">
        <v>1958</v>
      </c>
      <c r="DL71" s="73">
        <f t="shared" si="119"/>
        <v>0</v>
      </c>
      <c r="DM71" s="65"/>
      <c r="DN71" s="795" t="s">
        <v>1943</v>
      </c>
      <c r="DO71" s="73">
        <f t="shared" si="119"/>
        <v>0</v>
      </c>
      <c r="DP71" s="65"/>
      <c r="DQ71" s="795" t="s">
        <v>1957</v>
      </c>
      <c r="DR71" s="73">
        <f t="shared" si="119"/>
        <v>0</v>
      </c>
      <c r="DS71" s="65"/>
      <c r="DT71" s="74" t="s">
        <v>1944</v>
      </c>
      <c r="DU71" s="73">
        <f t="shared" si="119"/>
        <v>0</v>
      </c>
      <c r="DV71" s="65"/>
      <c r="DW71" s="74" t="s">
        <v>1948</v>
      </c>
      <c r="DX71" s="73">
        <f t="shared" si="122"/>
        <v>0</v>
      </c>
      <c r="DY71" s="65"/>
      <c r="DZ71" s="74" t="s">
        <v>1954</v>
      </c>
      <c r="EA71" s="73">
        <f t="shared" si="122"/>
        <v>0</v>
      </c>
      <c r="EB71" s="65"/>
      <c r="EC71" s="74" t="s">
        <v>1958</v>
      </c>
      <c r="ED71" s="73">
        <f t="shared" si="122"/>
        <v>0</v>
      </c>
      <c r="EE71" s="65"/>
      <c r="EF71" s="74" t="s">
        <v>1942</v>
      </c>
      <c r="EG71" s="73">
        <f t="shared" si="122"/>
        <v>0</v>
      </c>
      <c r="EH71" s="65"/>
      <c r="EI71" s="74" t="s">
        <v>1954</v>
      </c>
      <c r="EJ71" s="73">
        <f t="shared" si="122"/>
        <v>0</v>
      </c>
      <c r="EK71" s="65"/>
      <c r="EL71" s="74"/>
      <c r="EM71" s="73">
        <f t="shared" si="122"/>
        <v>0</v>
      </c>
      <c r="EN71" s="65"/>
      <c r="EO71" s="74"/>
      <c r="EP71" s="73">
        <f t="shared" si="122"/>
        <v>0</v>
      </c>
      <c r="EQ71" s="65"/>
      <c r="ER71" s="74"/>
      <c r="ES71" s="73">
        <f t="shared" si="122"/>
        <v>0</v>
      </c>
      <c r="ET71" s="65"/>
      <c r="EU71" s="74"/>
      <c r="EV71" s="73">
        <f t="shared" si="122"/>
        <v>0</v>
      </c>
      <c r="EW71" s="65"/>
      <c r="EX71" s="74"/>
      <c r="EY71" s="73">
        <f t="shared" si="122"/>
        <v>0</v>
      </c>
      <c r="EZ71" s="65"/>
      <c r="FA71" s="74"/>
      <c r="FB71" s="73">
        <f t="shared" si="122"/>
        <v>0</v>
      </c>
      <c r="FC71" s="65"/>
      <c r="FD71" s="74"/>
      <c r="FE71" s="73">
        <f t="shared" si="122"/>
        <v>0</v>
      </c>
      <c r="FF71" s="65"/>
      <c r="FG71" s="74"/>
      <c r="FH71" s="73">
        <f t="shared" si="122"/>
        <v>0</v>
      </c>
      <c r="FI71" s="65"/>
      <c r="FJ71" s="74"/>
      <c r="FK71" s="73">
        <f t="shared" si="122"/>
        <v>0</v>
      </c>
      <c r="FL71" s="65"/>
      <c r="FM71" s="65"/>
    </row>
    <row r="72" spans="1:169">
      <c r="A72" s="49"/>
      <c r="B72" s="49"/>
      <c r="C72" s="17"/>
      <c r="D72" s="17"/>
      <c r="E72" s="111"/>
      <c r="F72" s="445">
        <f t="shared" si="123"/>
        <v>4</v>
      </c>
      <c r="G72" s="445">
        <f ca="1">VLOOKUP(H72,Equipos!$Q$1:$R$25,2,0)</f>
        <v>18</v>
      </c>
      <c r="H72" s="446">
        <f ca="1">TRUNC(INDEX(WORLDCUP!$X$4:$X$147,MATCH(ADMIN!K72,WORLDCUP!$DT$4:$DT$147,0))+INDEX(Horarios!$R$3:$R$86,MATCH(Horarios!$C$3,Horarios!$P$3:$P$86,0))/24)</f>
        <v>46201</v>
      </c>
      <c r="I72" s="48">
        <v>1</v>
      </c>
      <c r="J72" s="96" t="s">
        <v>28</v>
      </c>
      <c r="K72" s="53" t="str">
        <f ca="1">CONCATENATE(WORLDCUP!AA80,"-",WORLDCUP!AF80)</f>
        <v>Argelia-Austria</v>
      </c>
      <c r="L72" s="53"/>
      <c r="M72" s="55" t="str">
        <f>IF(OR(WORLDCUP!AC80="",WORLDCUP!AD80=""),"-",N72&amp;"|"&amp;O72&amp;"-"&amp;P72)</f>
        <v>-</v>
      </c>
      <c r="N72" s="25" t="str">
        <f>IF(OR(WORLDCUP!AC80="",WORLDCUP!AD80=""),"",IF(WORLDCUP!AC80&gt;WORLDCUP!AD80,"1",IF(WORLDCUP!AC80&lt;WORLDCUP!AD80,"2","X")))</f>
        <v/>
      </c>
      <c r="O72" s="25">
        <f>WORLDCUP!AC80</f>
        <v>0</v>
      </c>
      <c r="P72" s="25">
        <f>WORLDCUP!AD80</f>
        <v>0</v>
      </c>
      <c r="Q72" s="25">
        <f t="shared" si="124"/>
        <v>0</v>
      </c>
      <c r="R72" s="49"/>
      <c r="S72" s="74" t="s">
        <v>1952</v>
      </c>
      <c r="T72" s="73">
        <f t="shared" si="125"/>
        <v>0</v>
      </c>
      <c r="U72" s="65"/>
      <c r="V72" s="74" t="s">
        <v>1962</v>
      </c>
      <c r="W72" s="73">
        <f t="shared" si="111"/>
        <v>0</v>
      </c>
      <c r="X72" s="65"/>
      <c r="Y72" s="74" t="s">
        <v>1945</v>
      </c>
      <c r="Z72" s="73">
        <f t="shared" si="120"/>
        <v>0</v>
      </c>
      <c r="AA72" s="65"/>
      <c r="AB72" s="74" t="s">
        <v>1946</v>
      </c>
      <c r="AC72" s="73">
        <f t="shared" si="120"/>
        <v>0</v>
      </c>
      <c r="AD72" s="65"/>
      <c r="AE72" s="74" t="s">
        <v>1946</v>
      </c>
      <c r="AF72" s="73">
        <f t="shared" si="120"/>
        <v>0</v>
      </c>
      <c r="AG72" s="65"/>
      <c r="AH72" s="74" t="s">
        <v>1946</v>
      </c>
      <c r="AI72" s="73">
        <f t="shared" si="120"/>
        <v>0</v>
      </c>
      <c r="AJ72" s="65"/>
      <c r="AK72" s="74" t="s">
        <v>1952</v>
      </c>
      <c r="AL72" s="73">
        <f t="shared" si="120"/>
        <v>0</v>
      </c>
      <c r="AM72" s="65"/>
      <c r="AN72" s="74" t="s">
        <v>1957</v>
      </c>
      <c r="AO72" s="73">
        <f t="shared" si="120"/>
        <v>0</v>
      </c>
      <c r="AP72" s="65"/>
      <c r="AQ72" s="74" t="s">
        <v>1946</v>
      </c>
      <c r="AR72" s="73">
        <f t="shared" si="120"/>
        <v>0</v>
      </c>
      <c r="AS72" s="65"/>
      <c r="AT72" s="74" t="s">
        <v>1960</v>
      </c>
      <c r="AU72" s="73">
        <f t="shared" si="120"/>
        <v>0</v>
      </c>
      <c r="AV72" s="65"/>
      <c r="AW72" s="74" t="s">
        <v>1946</v>
      </c>
      <c r="AX72" s="73">
        <f t="shared" si="120"/>
        <v>0</v>
      </c>
      <c r="AY72" s="65"/>
      <c r="AZ72" s="74" t="s">
        <v>1952</v>
      </c>
      <c r="BA72" s="73">
        <f t="shared" si="120"/>
        <v>0</v>
      </c>
      <c r="BB72" s="65"/>
      <c r="BC72" s="74" t="s">
        <v>1960</v>
      </c>
      <c r="BD72" s="73">
        <f t="shared" si="120"/>
        <v>0</v>
      </c>
      <c r="BE72" s="65"/>
      <c r="BF72" s="74" t="s">
        <v>1960</v>
      </c>
      <c r="BG72" s="73">
        <f t="shared" si="120"/>
        <v>0</v>
      </c>
      <c r="BH72" s="65"/>
      <c r="BI72" s="74" t="s">
        <v>1945</v>
      </c>
      <c r="BJ72" s="73">
        <f t="shared" si="120"/>
        <v>0</v>
      </c>
      <c r="BK72" s="65"/>
      <c r="BL72" s="74" t="s">
        <v>1946</v>
      </c>
      <c r="BM72" s="73">
        <f t="shared" si="120"/>
        <v>0</v>
      </c>
      <c r="BN72" s="65"/>
      <c r="BO72" s="74" t="s">
        <v>1948</v>
      </c>
      <c r="BP72" s="73">
        <f t="shared" si="120"/>
        <v>0</v>
      </c>
      <c r="BQ72" s="65"/>
      <c r="BR72" s="74" t="s">
        <v>1952</v>
      </c>
      <c r="BS72" s="73">
        <f t="shared" si="120"/>
        <v>0</v>
      </c>
      <c r="BT72" s="65"/>
      <c r="BU72" s="74" t="s">
        <v>1952</v>
      </c>
      <c r="BV72" s="73">
        <f t="shared" si="120"/>
        <v>0</v>
      </c>
      <c r="BW72" s="65"/>
      <c r="BX72" s="74" t="s">
        <v>1942</v>
      </c>
      <c r="BY72" s="73">
        <f t="shared" si="120"/>
        <v>0</v>
      </c>
      <c r="BZ72" s="65"/>
      <c r="CA72" s="74" t="s">
        <v>1952</v>
      </c>
      <c r="CB72" s="73">
        <f t="shared" si="120"/>
        <v>0</v>
      </c>
      <c r="CC72" s="65"/>
      <c r="CD72" s="74" t="s">
        <v>1960</v>
      </c>
      <c r="CE72" s="73">
        <f t="shared" si="120"/>
        <v>0</v>
      </c>
      <c r="CF72" s="65"/>
      <c r="CG72" s="74" t="s">
        <v>1952</v>
      </c>
      <c r="CH72" s="73">
        <f t="shared" si="120"/>
        <v>0</v>
      </c>
      <c r="CI72" s="65"/>
      <c r="CJ72" s="74" t="s">
        <v>1960</v>
      </c>
      <c r="CK72" s="73">
        <f t="shared" si="119"/>
        <v>0</v>
      </c>
      <c r="CL72" s="65"/>
      <c r="CM72" s="74" t="s">
        <v>1952</v>
      </c>
      <c r="CN72" s="73">
        <f t="shared" si="119"/>
        <v>0</v>
      </c>
      <c r="CO72" s="65"/>
      <c r="CP72" s="74" t="s">
        <v>1946</v>
      </c>
      <c r="CQ72" s="73">
        <f t="shared" si="119"/>
        <v>0</v>
      </c>
      <c r="CR72" s="65"/>
      <c r="CS72" s="74" t="s">
        <v>1946</v>
      </c>
      <c r="CT72" s="73">
        <f t="shared" si="119"/>
        <v>0</v>
      </c>
      <c r="CU72" s="65"/>
      <c r="CV72" s="74" t="s">
        <v>1960</v>
      </c>
      <c r="CW72" s="73">
        <f t="shared" si="119"/>
        <v>0</v>
      </c>
      <c r="CX72" s="65"/>
      <c r="CY72" s="74" t="s">
        <v>1952</v>
      </c>
      <c r="CZ72" s="73">
        <f t="shared" si="119"/>
        <v>0</v>
      </c>
      <c r="DA72" s="65"/>
      <c r="DB72" s="74" t="s">
        <v>1946</v>
      </c>
      <c r="DC72" s="73">
        <f t="shared" si="119"/>
        <v>0</v>
      </c>
      <c r="DD72" s="65"/>
      <c r="DE72" s="74" t="s">
        <v>1952</v>
      </c>
      <c r="DF72" s="73">
        <f t="shared" si="119"/>
        <v>0</v>
      </c>
      <c r="DG72" s="65"/>
      <c r="DH72" s="74" t="s">
        <v>1960</v>
      </c>
      <c r="DI72" s="73">
        <f t="shared" si="119"/>
        <v>0</v>
      </c>
      <c r="DJ72" s="65"/>
      <c r="DK72" s="74" t="s">
        <v>1947</v>
      </c>
      <c r="DL72" s="73">
        <f t="shared" si="119"/>
        <v>0</v>
      </c>
      <c r="DM72" s="65"/>
      <c r="DN72" s="795" t="s">
        <v>1944</v>
      </c>
      <c r="DO72" s="73">
        <f t="shared" si="119"/>
        <v>0</v>
      </c>
      <c r="DP72" s="65"/>
      <c r="DQ72" s="795" t="s">
        <v>1944</v>
      </c>
      <c r="DR72" s="73">
        <f t="shared" si="119"/>
        <v>0</v>
      </c>
      <c r="DS72" s="65"/>
      <c r="DT72" s="74" t="s">
        <v>1946</v>
      </c>
      <c r="DU72" s="73">
        <f t="shared" si="119"/>
        <v>0</v>
      </c>
      <c r="DV72" s="65"/>
      <c r="DW72" s="74" t="s">
        <v>1946</v>
      </c>
      <c r="DX72" s="73">
        <f t="shared" si="122"/>
        <v>0</v>
      </c>
      <c r="DY72" s="65"/>
      <c r="DZ72" s="74" t="s">
        <v>1952</v>
      </c>
      <c r="EA72" s="73">
        <f t="shared" si="122"/>
        <v>0</v>
      </c>
      <c r="EB72" s="65"/>
      <c r="EC72" s="74" t="s">
        <v>1952</v>
      </c>
      <c r="ED72" s="73">
        <f t="shared" si="122"/>
        <v>0</v>
      </c>
      <c r="EE72" s="65"/>
      <c r="EF72" s="74" t="s">
        <v>1944</v>
      </c>
      <c r="EG72" s="73">
        <f t="shared" si="122"/>
        <v>0</v>
      </c>
      <c r="EH72" s="65"/>
      <c r="EI72" s="74" t="s">
        <v>1952</v>
      </c>
      <c r="EJ72" s="73">
        <f t="shared" si="122"/>
        <v>0</v>
      </c>
      <c r="EK72" s="65"/>
      <c r="EL72" s="74"/>
      <c r="EM72" s="73">
        <f t="shared" si="122"/>
        <v>0</v>
      </c>
      <c r="EN72" s="65"/>
      <c r="EO72" s="74"/>
      <c r="EP72" s="73">
        <f t="shared" si="122"/>
        <v>0</v>
      </c>
      <c r="EQ72" s="65"/>
      <c r="ER72" s="74"/>
      <c r="ES72" s="73">
        <f t="shared" si="122"/>
        <v>0</v>
      </c>
      <c r="ET72" s="65"/>
      <c r="EU72" s="74"/>
      <c r="EV72" s="73">
        <f t="shared" si="122"/>
        <v>0</v>
      </c>
      <c r="EW72" s="65"/>
      <c r="EX72" s="74"/>
      <c r="EY72" s="73">
        <f t="shared" si="122"/>
        <v>0</v>
      </c>
      <c r="EZ72" s="65"/>
      <c r="FA72" s="74"/>
      <c r="FB72" s="73">
        <f t="shared" si="122"/>
        <v>0</v>
      </c>
      <c r="FC72" s="65"/>
      <c r="FD72" s="74"/>
      <c r="FE72" s="73">
        <f t="shared" si="122"/>
        <v>0</v>
      </c>
      <c r="FF72" s="65"/>
      <c r="FG72" s="74"/>
      <c r="FH72" s="73">
        <f t="shared" si="122"/>
        <v>0</v>
      </c>
      <c r="FI72" s="65"/>
      <c r="FJ72" s="74"/>
      <c r="FK72" s="73">
        <f t="shared" si="122"/>
        <v>0</v>
      </c>
      <c r="FL72" s="65"/>
      <c r="FM72" s="65"/>
    </row>
    <row r="73" spans="1:169">
      <c r="A73" s="49"/>
      <c r="B73" s="49"/>
      <c r="C73" s="49"/>
      <c r="D73" s="49"/>
      <c r="E73" s="111"/>
      <c r="F73" s="445">
        <f t="shared" si="123"/>
        <v>4</v>
      </c>
      <c r="G73" s="445">
        <f ca="1">VLOOKUP(H73,Equipos!$Q$1:$R$25,2,0)</f>
        <v>18</v>
      </c>
      <c r="H73" s="446">
        <f ca="1">TRUNC(INDEX(WORLDCUP!$X$4:$X$147,MATCH(ADMIN!K73,WORLDCUP!$DT$4:$DT$147,0))+INDEX(Horarios!$R$3:$R$86,MATCH(Horarios!$C$3,Horarios!$P$3:$P$86,0))/24)</f>
        <v>46201</v>
      </c>
      <c r="I73" s="48">
        <v>1</v>
      </c>
      <c r="J73" s="96" t="s">
        <v>28</v>
      </c>
      <c r="K73" s="56" t="str">
        <f ca="1">CONCATENATE(WORLDCUP!AA81,"-",WORLDCUP!AF81)</f>
        <v>Jordania-Argentina</v>
      </c>
      <c r="L73" s="53"/>
      <c r="M73" s="55" t="str">
        <f>IF(OR(WORLDCUP!AC81="",WORLDCUP!AD81=""),"-",N73&amp;"|"&amp;O73&amp;"-"&amp;P73)</f>
        <v>-</v>
      </c>
      <c r="N73" s="25" t="str">
        <f>IF(OR(WORLDCUP!AC81="",WORLDCUP!AD81=""),"",IF(WORLDCUP!AC81&gt;WORLDCUP!AD81,"1",IF(WORLDCUP!AC81&lt;WORLDCUP!AD81,"2","X")))</f>
        <v/>
      </c>
      <c r="O73" s="25">
        <f>WORLDCUP!AC81</f>
        <v>0</v>
      </c>
      <c r="P73" s="25">
        <f>WORLDCUP!AD81</f>
        <v>0</v>
      </c>
      <c r="Q73" s="25">
        <f t="shared" si="124"/>
        <v>0</v>
      </c>
      <c r="R73" s="49"/>
      <c r="S73" s="74" t="s">
        <v>1947</v>
      </c>
      <c r="T73" s="73">
        <f t="shared" si="125"/>
        <v>0</v>
      </c>
      <c r="U73" s="65"/>
      <c r="V73" s="74" t="s">
        <v>1961</v>
      </c>
      <c r="W73" s="73">
        <f t="shared" si="111"/>
        <v>0</v>
      </c>
      <c r="X73" s="65"/>
      <c r="Y73" s="74" t="s">
        <v>1949</v>
      </c>
      <c r="Z73" s="73">
        <f t="shared" si="120"/>
        <v>0</v>
      </c>
      <c r="AA73" s="65"/>
      <c r="AB73" s="74" t="s">
        <v>1949</v>
      </c>
      <c r="AC73" s="73">
        <f t="shared" si="120"/>
        <v>0</v>
      </c>
      <c r="AD73" s="65"/>
      <c r="AE73" s="74" t="s">
        <v>1947</v>
      </c>
      <c r="AF73" s="73">
        <f t="shared" si="120"/>
        <v>0</v>
      </c>
      <c r="AG73" s="65"/>
      <c r="AH73" s="74" t="s">
        <v>1947</v>
      </c>
      <c r="AI73" s="73">
        <f t="shared" si="120"/>
        <v>0</v>
      </c>
      <c r="AJ73" s="65"/>
      <c r="AK73" s="74" t="s">
        <v>1947</v>
      </c>
      <c r="AL73" s="73">
        <f t="shared" si="120"/>
        <v>0</v>
      </c>
      <c r="AM73" s="65"/>
      <c r="AN73" s="74" t="s">
        <v>1955</v>
      </c>
      <c r="AO73" s="73">
        <f t="shared" si="120"/>
        <v>0</v>
      </c>
      <c r="AP73" s="65"/>
      <c r="AQ73" s="74" t="s">
        <v>2215</v>
      </c>
      <c r="AR73" s="73">
        <f t="shared" si="120"/>
        <v>0</v>
      </c>
      <c r="AS73" s="65"/>
      <c r="AT73" s="74" t="s">
        <v>1947</v>
      </c>
      <c r="AU73" s="73">
        <f t="shared" si="120"/>
        <v>0</v>
      </c>
      <c r="AV73" s="65"/>
      <c r="AW73" s="74" t="s">
        <v>1955</v>
      </c>
      <c r="AX73" s="73">
        <f t="shared" si="120"/>
        <v>0</v>
      </c>
      <c r="AY73" s="65"/>
      <c r="AZ73" s="74" t="s">
        <v>1947</v>
      </c>
      <c r="BA73" s="73">
        <f t="shared" si="120"/>
        <v>0</v>
      </c>
      <c r="BB73" s="65"/>
      <c r="BC73" s="74" t="s">
        <v>1947</v>
      </c>
      <c r="BD73" s="73">
        <f t="shared" si="120"/>
        <v>0</v>
      </c>
      <c r="BE73" s="65"/>
      <c r="BF73" s="74" t="s">
        <v>1949</v>
      </c>
      <c r="BG73" s="73">
        <f t="shared" si="120"/>
        <v>0</v>
      </c>
      <c r="BH73" s="65"/>
      <c r="BI73" s="74" t="s">
        <v>1947</v>
      </c>
      <c r="BJ73" s="73">
        <f t="shared" si="120"/>
        <v>0</v>
      </c>
      <c r="BK73" s="65"/>
      <c r="BL73" s="74" t="s">
        <v>1947</v>
      </c>
      <c r="BM73" s="73">
        <f t="shared" si="120"/>
        <v>0</v>
      </c>
      <c r="BN73" s="65"/>
      <c r="BO73" s="74" t="s">
        <v>1947</v>
      </c>
      <c r="BP73" s="73">
        <f t="shared" si="120"/>
        <v>0</v>
      </c>
      <c r="BQ73" s="65"/>
      <c r="BR73" s="74" t="s">
        <v>1947</v>
      </c>
      <c r="BS73" s="73">
        <f t="shared" si="120"/>
        <v>0</v>
      </c>
      <c r="BT73" s="65"/>
      <c r="BU73" s="74" t="s">
        <v>1955</v>
      </c>
      <c r="BV73" s="73">
        <f t="shared" si="120"/>
        <v>0</v>
      </c>
      <c r="BW73" s="65"/>
      <c r="BX73" s="74" t="s">
        <v>1947</v>
      </c>
      <c r="BY73" s="73">
        <f t="shared" si="120"/>
        <v>0</v>
      </c>
      <c r="BZ73" s="65"/>
      <c r="CA73" s="74" t="s">
        <v>1955</v>
      </c>
      <c r="CB73" s="73">
        <f t="shared" si="120"/>
        <v>0</v>
      </c>
      <c r="CC73" s="65"/>
      <c r="CD73" s="74" t="s">
        <v>1952</v>
      </c>
      <c r="CE73" s="73">
        <f t="shared" si="120"/>
        <v>0</v>
      </c>
      <c r="CF73" s="65"/>
      <c r="CG73" s="74" t="s">
        <v>1945</v>
      </c>
      <c r="CH73" s="73">
        <f t="shared" si="120"/>
        <v>0</v>
      </c>
      <c r="CI73" s="65"/>
      <c r="CJ73" s="74" t="s">
        <v>1952</v>
      </c>
      <c r="CK73" s="73">
        <f t="shared" si="119"/>
        <v>0</v>
      </c>
      <c r="CL73" s="65"/>
      <c r="CM73" s="74" t="s">
        <v>1955</v>
      </c>
      <c r="CN73" s="73">
        <f t="shared" si="119"/>
        <v>0</v>
      </c>
      <c r="CO73" s="65"/>
      <c r="CP73" s="74" t="s">
        <v>1947</v>
      </c>
      <c r="CQ73" s="73">
        <f t="shared" si="119"/>
        <v>0</v>
      </c>
      <c r="CR73" s="65"/>
      <c r="CS73" s="74" t="s">
        <v>1955</v>
      </c>
      <c r="CT73" s="73">
        <f t="shared" si="119"/>
        <v>0</v>
      </c>
      <c r="CU73" s="65"/>
      <c r="CV73" s="74" t="s">
        <v>1947</v>
      </c>
      <c r="CW73" s="73">
        <f t="shared" si="119"/>
        <v>0</v>
      </c>
      <c r="CX73" s="65"/>
      <c r="CY73" s="74" t="s">
        <v>1955</v>
      </c>
      <c r="CZ73" s="73">
        <f t="shared" si="119"/>
        <v>0</v>
      </c>
      <c r="DA73" s="65"/>
      <c r="DB73" s="74" t="s">
        <v>1947</v>
      </c>
      <c r="DC73" s="73">
        <f t="shared" si="119"/>
        <v>0</v>
      </c>
      <c r="DD73" s="65"/>
      <c r="DE73" s="74" t="s">
        <v>1947</v>
      </c>
      <c r="DF73" s="73">
        <f t="shared" si="119"/>
        <v>0</v>
      </c>
      <c r="DG73" s="65"/>
      <c r="DH73" s="74" t="s">
        <v>1945</v>
      </c>
      <c r="DI73" s="73">
        <f t="shared" si="119"/>
        <v>0</v>
      </c>
      <c r="DJ73" s="65"/>
      <c r="DK73" s="74" t="s">
        <v>1945</v>
      </c>
      <c r="DL73" s="73">
        <f t="shared" si="119"/>
        <v>0</v>
      </c>
      <c r="DM73" s="65"/>
      <c r="DN73" s="795" t="s">
        <v>1955</v>
      </c>
      <c r="DO73" s="73">
        <f t="shared" si="119"/>
        <v>0</v>
      </c>
      <c r="DP73" s="65"/>
      <c r="DQ73" s="795" t="s">
        <v>1952</v>
      </c>
      <c r="DR73" s="73">
        <f t="shared" si="119"/>
        <v>0</v>
      </c>
      <c r="DS73" s="65"/>
      <c r="DT73" s="74" t="s">
        <v>1961</v>
      </c>
      <c r="DU73" s="73">
        <f t="shared" si="119"/>
        <v>0</v>
      </c>
      <c r="DV73" s="65"/>
      <c r="DW73" s="74" t="s">
        <v>1947</v>
      </c>
      <c r="DX73" s="73">
        <f t="shared" si="122"/>
        <v>0</v>
      </c>
      <c r="DY73" s="65"/>
      <c r="DZ73" s="74" t="s">
        <v>1949</v>
      </c>
      <c r="EA73" s="73">
        <f t="shared" si="122"/>
        <v>0</v>
      </c>
      <c r="EB73" s="65"/>
      <c r="EC73" s="74" t="s">
        <v>1960</v>
      </c>
      <c r="ED73" s="73">
        <f t="shared" si="122"/>
        <v>0</v>
      </c>
      <c r="EE73" s="65"/>
      <c r="EF73" s="74" t="s">
        <v>1952</v>
      </c>
      <c r="EG73" s="73">
        <f t="shared" si="122"/>
        <v>0</v>
      </c>
      <c r="EH73" s="65"/>
      <c r="EI73" s="74" t="s">
        <v>1947</v>
      </c>
      <c r="EJ73" s="73">
        <f t="shared" si="122"/>
        <v>0</v>
      </c>
      <c r="EK73" s="65"/>
      <c r="EL73" s="74"/>
      <c r="EM73" s="73">
        <f t="shared" si="122"/>
        <v>0</v>
      </c>
      <c r="EN73" s="65"/>
      <c r="EO73" s="74"/>
      <c r="EP73" s="73">
        <f t="shared" si="122"/>
        <v>0</v>
      </c>
      <c r="EQ73" s="65"/>
      <c r="ER73" s="74"/>
      <c r="ES73" s="73">
        <f t="shared" si="122"/>
        <v>0</v>
      </c>
      <c r="ET73" s="65"/>
      <c r="EU73" s="74"/>
      <c r="EV73" s="73">
        <f t="shared" si="122"/>
        <v>0</v>
      </c>
      <c r="EW73" s="65"/>
      <c r="EX73" s="74"/>
      <c r="EY73" s="73">
        <f t="shared" si="122"/>
        <v>0</v>
      </c>
      <c r="EZ73" s="65"/>
      <c r="FA73" s="74"/>
      <c r="FB73" s="73">
        <f t="shared" si="122"/>
        <v>0</v>
      </c>
      <c r="FC73" s="65"/>
      <c r="FD73" s="74"/>
      <c r="FE73" s="73">
        <f t="shared" si="122"/>
        <v>0</v>
      </c>
      <c r="FF73" s="65"/>
      <c r="FG73" s="74"/>
      <c r="FH73" s="73">
        <f t="shared" si="122"/>
        <v>0</v>
      </c>
      <c r="FI73" s="65"/>
      <c r="FJ73" s="74"/>
      <c r="FK73" s="73">
        <f t="shared" si="122"/>
        <v>0</v>
      </c>
      <c r="FL73" s="65"/>
      <c r="FM73" s="65"/>
    </row>
    <row r="74" spans="1:169">
      <c r="A74" s="49"/>
      <c r="B74" s="49"/>
      <c r="C74" s="49"/>
      <c r="D74" s="49"/>
      <c r="E74" s="111"/>
      <c r="F74" s="445">
        <f t="shared" si="123"/>
        <v>4</v>
      </c>
      <c r="G74" s="445">
        <f ca="1">VLOOKUP(H74,Equipos!$Q$1:$R$25,2,0)</f>
        <v>18</v>
      </c>
      <c r="H74" s="446">
        <f ca="1">TRUNC(INDEX(WORLDCUP!$X$4:$X$147,MATCH(ADMIN!K74,WORLDCUP!$DT$4:$DT$147,0))+INDEX(Horarios!$R$3:$R$86,MATCH(Horarios!$C$3,Horarios!$P$3:$P$86,0))/24)</f>
        <v>46201</v>
      </c>
      <c r="I74" s="48">
        <v>1</v>
      </c>
      <c r="J74" s="95" t="s">
        <v>188</v>
      </c>
      <c r="K74" s="53" t="str">
        <f ca="1">CONCATENATE(WORLDCUP!AA88,"-",WORLDCUP!AF88)</f>
        <v>Colombia-Portugal</v>
      </c>
      <c r="L74" s="53"/>
      <c r="M74" s="55" t="str">
        <f>IF(OR(WORLDCUP!AC88="",WORLDCUP!AD88=""),"-",N74&amp;"|"&amp;O74&amp;"-"&amp;P74)</f>
        <v>-</v>
      </c>
      <c r="N74" s="25" t="str">
        <f>IF(OR(WORLDCUP!AC88="",WORLDCUP!AD88=""),"",IF(WORLDCUP!AC88&gt;WORLDCUP!AD88,"1",IF(WORLDCUP!AC88&lt;WORLDCUP!AD88,"2","X")))</f>
        <v/>
      </c>
      <c r="O74" s="25">
        <f>WORLDCUP!AC88</f>
        <v>0</v>
      </c>
      <c r="P74" s="25">
        <f>WORLDCUP!AD88</f>
        <v>0</v>
      </c>
      <c r="Q74" s="25">
        <f t="shared" si="124"/>
        <v>0</v>
      </c>
      <c r="R74" s="49"/>
      <c r="S74" s="74" t="s">
        <v>1948</v>
      </c>
      <c r="T74" s="73">
        <f>IFERROR(IF($M74=S74,($D$8+$D$9+$D$10)*$I74,IF($N74=LEFT(S74,1),($D$8+MAX(0,IF($D$50=1,$D$9*(1-(ABS($Q74-ABS(VALUE(MID(S74,FIND("|",S74)+1,FIND("-",S74)-FIND("|",S74)-1))-VALUE(MID(S74,FIND("-",S74)+1,10)))))*$D$50),$D$9*(1-(IF($N74="X",ABS($O74-VALUE(MID(S74,FIND("|",S74)+1,FIND("-",S74)-FIND("|",S74)-1))),ABS($Q74-ABS(VALUE(MID(S74,FIND("|",S74)+1,FIND("-",S74)-FIND("|",S74)-1))-VALUE(MID(S74,FIND("-",S74)+1,10)))))*$D$50)))))*$I74,0)),0)</f>
        <v>0</v>
      </c>
      <c r="U74" s="65"/>
      <c r="V74" s="74" t="s">
        <v>1952</v>
      </c>
      <c r="W74" s="73">
        <f>IFERROR(IF($M74=V74,($D$8+$D$9+$D$10)*$I74,IF($N74=LEFT(V74,1),($D$8+MAX(0,IF($D$50=1,$D$9*(1-(ABS($Q74-ABS(VALUE(MID(V74,FIND("|",V74)+1,FIND("-",V74)-FIND("|",V74)-1))-VALUE(MID(V74,FIND("-",V74)+1,10)))))*$D$50),$D$9*(1-(IF($N74="X",ABS($O74-VALUE(MID(V74,FIND("|",V74)+1,FIND("-",V74)-FIND("|",V74)-1))),ABS($Q74-ABS(VALUE(MID(V74,FIND("|",V74)+1,FIND("-",V74)-FIND("|",V74)-1))-VALUE(MID(V74,FIND("-",V74)+1,10)))))*$D$50)))))*$I74,0)),0)</f>
        <v>0</v>
      </c>
      <c r="X74" s="65"/>
      <c r="Y74" s="74" t="s">
        <v>1945</v>
      </c>
      <c r="Z74" s="73">
        <f t="shared" si="120"/>
        <v>0</v>
      </c>
      <c r="AA74" s="65"/>
      <c r="AB74" s="74" t="s">
        <v>1952</v>
      </c>
      <c r="AC74" s="73">
        <f t="shared" si="120"/>
        <v>0</v>
      </c>
      <c r="AD74" s="65"/>
      <c r="AE74" s="74" t="s">
        <v>1954</v>
      </c>
      <c r="AF74" s="73">
        <f t="shared" si="120"/>
        <v>0</v>
      </c>
      <c r="AG74" s="65"/>
      <c r="AH74" s="74" t="s">
        <v>1952</v>
      </c>
      <c r="AI74" s="73">
        <f t="shared" si="120"/>
        <v>0</v>
      </c>
      <c r="AJ74" s="65"/>
      <c r="AK74" s="74" t="s">
        <v>1952</v>
      </c>
      <c r="AL74" s="73">
        <f t="shared" si="120"/>
        <v>0</v>
      </c>
      <c r="AM74" s="65"/>
      <c r="AN74" s="74" t="s">
        <v>1945</v>
      </c>
      <c r="AO74" s="73">
        <f t="shared" si="120"/>
        <v>0</v>
      </c>
      <c r="AP74" s="65"/>
      <c r="AQ74" s="74" t="s">
        <v>1946</v>
      </c>
      <c r="AR74" s="73">
        <f t="shared" si="120"/>
        <v>0</v>
      </c>
      <c r="AS74" s="65"/>
      <c r="AT74" s="74" t="s">
        <v>1952</v>
      </c>
      <c r="AU74" s="73">
        <f t="shared" si="120"/>
        <v>0</v>
      </c>
      <c r="AV74" s="65"/>
      <c r="AW74" s="74" t="s">
        <v>1944</v>
      </c>
      <c r="AX74" s="73">
        <f t="shared" si="120"/>
        <v>0</v>
      </c>
      <c r="AY74" s="65"/>
      <c r="AZ74" s="74" t="s">
        <v>1946</v>
      </c>
      <c r="BA74" s="73">
        <f t="shared" si="120"/>
        <v>0</v>
      </c>
      <c r="BB74" s="65"/>
      <c r="BC74" s="74" t="s">
        <v>1961</v>
      </c>
      <c r="BD74" s="73">
        <f t="shared" si="120"/>
        <v>0</v>
      </c>
      <c r="BE74" s="65"/>
      <c r="BF74" s="74" t="s">
        <v>1960</v>
      </c>
      <c r="BG74" s="73">
        <f t="shared" si="120"/>
        <v>0</v>
      </c>
      <c r="BH74" s="65"/>
      <c r="BI74" s="74" t="s">
        <v>1945</v>
      </c>
      <c r="BJ74" s="73">
        <f t="shared" si="120"/>
        <v>0</v>
      </c>
      <c r="BK74" s="65"/>
      <c r="BL74" s="74" t="s">
        <v>1946</v>
      </c>
      <c r="BM74" s="73">
        <f t="shared" si="120"/>
        <v>0</v>
      </c>
      <c r="BN74" s="65"/>
      <c r="BO74" s="74" t="s">
        <v>1944</v>
      </c>
      <c r="BP74" s="73">
        <f t="shared" si="120"/>
        <v>0</v>
      </c>
      <c r="BQ74" s="65"/>
      <c r="BR74" s="74" t="s">
        <v>1952</v>
      </c>
      <c r="BS74" s="73">
        <f t="shared" si="120"/>
        <v>0</v>
      </c>
      <c r="BT74" s="65"/>
      <c r="BU74" s="74" t="s">
        <v>1944</v>
      </c>
      <c r="BV74" s="73">
        <f t="shared" si="120"/>
        <v>0</v>
      </c>
      <c r="BW74" s="65"/>
      <c r="BX74" s="74" t="s">
        <v>1946</v>
      </c>
      <c r="BY74" s="73">
        <f t="shared" si="120"/>
        <v>0</v>
      </c>
      <c r="BZ74" s="65"/>
      <c r="CA74" s="74" t="s">
        <v>1952</v>
      </c>
      <c r="CB74" s="73">
        <f t="shared" si="120"/>
        <v>0</v>
      </c>
      <c r="CC74" s="65"/>
      <c r="CD74" s="74" t="s">
        <v>1952</v>
      </c>
      <c r="CE74" s="73">
        <f t="shared" si="120"/>
        <v>0</v>
      </c>
      <c r="CF74" s="65"/>
      <c r="CG74" s="74" t="s">
        <v>1946</v>
      </c>
      <c r="CH74" s="73">
        <f t="shared" si="120"/>
        <v>0</v>
      </c>
      <c r="CI74" s="65"/>
      <c r="CJ74" s="74" t="s">
        <v>1952</v>
      </c>
      <c r="CK74" s="73">
        <f t="shared" si="119"/>
        <v>0</v>
      </c>
      <c r="CL74" s="65"/>
      <c r="CM74" s="74" t="s">
        <v>1952</v>
      </c>
      <c r="CN74" s="73">
        <f t="shared" si="119"/>
        <v>0</v>
      </c>
      <c r="CO74" s="65"/>
      <c r="CP74" s="74" t="s">
        <v>1952</v>
      </c>
      <c r="CQ74" s="73">
        <f t="shared" si="119"/>
        <v>0</v>
      </c>
      <c r="CR74" s="65"/>
      <c r="CS74" s="74" t="s">
        <v>1946</v>
      </c>
      <c r="CT74" s="73">
        <f t="shared" si="119"/>
        <v>0</v>
      </c>
      <c r="CU74" s="65"/>
      <c r="CV74" s="74" t="s">
        <v>1952</v>
      </c>
      <c r="CW74" s="73">
        <f t="shared" si="119"/>
        <v>0</v>
      </c>
      <c r="CX74" s="65"/>
      <c r="CY74" s="74" t="s">
        <v>1946</v>
      </c>
      <c r="CZ74" s="73">
        <f t="shared" si="119"/>
        <v>0</v>
      </c>
      <c r="DA74" s="65"/>
      <c r="DB74" s="74" t="s">
        <v>1946</v>
      </c>
      <c r="DC74" s="73">
        <f t="shared" si="119"/>
        <v>0</v>
      </c>
      <c r="DD74" s="65"/>
      <c r="DE74" s="74" t="s">
        <v>1946</v>
      </c>
      <c r="DF74" s="73">
        <f t="shared" si="119"/>
        <v>0</v>
      </c>
      <c r="DG74" s="65"/>
      <c r="DH74" s="74" t="s">
        <v>1952</v>
      </c>
      <c r="DI74" s="73">
        <f t="shared" si="119"/>
        <v>0</v>
      </c>
      <c r="DJ74" s="65"/>
      <c r="DK74" s="74" t="s">
        <v>1961</v>
      </c>
      <c r="DL74" s="73">
        <f t="shared" si="119"/>
        <v>0</v>
      </c>
      <c r="DM74" s="65"/>
      <c r="DN74" s="795" t="s">
        <v>1945</v>
      </c>
      <c r="DO74" s="73">
        <f t="shared" si="119"/>
        <v>0</v>
      </c>
      <c r="DP74" s="65"/>
      <c r="DQ74" s="795" t="s">
        <v>1961</v>
      </c>
      <c r="DR74" s="73">
        <f t="shared" si="119"/>
        <v>0</v>
      </c>
      <c r="DS74" s="65"/>
      <c r="DT74" s="74" t="s">
        <v>1954</v>
      </c>
      <c r="DU74" s="73">
        <f t="shared" si="119"/>
        <v>0</v>
      </c>
      <c r="DV74" s="65"/>
      <c r="DW74" s="74" t="s">
        <v>1960</v>
      </c>
      <c r="DX74" s="73">
        <f t="shared" si="122"/>
        <v>0</v>
      </c>
      <c r="DY74" s="65"/>
      <c r="DZ74" s="74" t="s">
        <v>1952</v>
      </c>
      <c r="EA74" s="73">
        <f t="shared" si="122"/>
        <v>0</v>
      </c>
      <c r="EB74" s="65"/>
      <c r="EC74" s="74" t="s">
        <v>1946</v>
      </c>
      <c r="ED74" s="73">
        <f t="shared" si="122"/>
        <v>0</v>
      </c>
      <c r="EE74" s="65"/>
      <c r="EF74" s="74" t="s">
        <v>1944</v>
      </c>
      <c r="EG74" s="73">
        <f t="shared" si="122"/>
        <v>0</v>
      </c>
      <c r="EH74" s="65"/>
      <c r="EI74" s="74" t="s">
        <v>1946</v>
      </c>
      <c r="EJ74" s="73">
        <f t="shared" si="122"/>
        <v>0</v>
      </c>
      <c r="EK74" s="65"/>
      <c r="EL74" s="74"/>
      <c r="EM74" s="73">
        <f t="shared" si="122"/>
        <v>0</v>
      </c>
      <c r="EN74" s="65"/>
      <c r="EO74" s="74"/>
      <c r="EP74" s="73">
        <f t="shared" si="122"/>
        <v>0</v>
      </c>
      <c r="EQ74" s="65"/>
      <c r="ER74" s="74"/>
      <c r="ES74" s="73">
        <f t="shared" si="122"/>
        <v>0</v>
      </c>
      <c r="ET74" s="65"/>
      <c r="EU74" s="74"/>
      <c r="EV74" s="73">
        <f t="shared" si="122"/>
        <v>0</v>
      </c>
      <c r="EW74" s="65"/>
      <c r="EX74" s="74"/>
      <c r="EY74" s="73">
        <f t="shared" si="122"/>
        <v>0</v>
      </c>
      <c r="EZ74" s="65"/>
      <c r="FA74" s="74"/>
      <c r="FB74" s="73">
        <f t="shared" si="122"/>
        <v>0</v>
      </c>
      <c r="FC74" s="65"/>
      <c r="FD74" s="74"/>
      <c r="FE74" s="73">
        <f t="shared" si="122"/>
        <v>0</v>
      </c>
      <c r="FF74" s="65"/>
      <c r="FG74" s="74"/>
      <c r="FH74" s="73">
        <f t="shared" si="122"/>
        <v>0</v>
      </c>
      <c r="FI74" s="65"/>
      <c r="FJ74" s="74"/>
      <c r="FK74" s="73">
        <f t="shared" si="122"/>
        <v>0</v>
      </c>
      <c r="FL74" s="65"/>
      <c r="FM74" s="65"/>
    </row>
    <row r="75" spans="1:169">
      <c r="A75" s="49"/>
      <c r="B75" s="49"/>
      <c r="C75" s="49"/>
      <c r="D75" s="49"/>
      <c r="E75" s="111"/>
      <c r="F75" s="445">
        <f t="shared" si="123"/>
        <v>4</v>
      </c>
      <c r="G75" s="445">
        <f ca="1">VLOOKUP(H75,Equipos!$Q$1:$R$25,2,0)</f>
        <v>18</v>
      </c>
      <c r="H75" s="446">
        <f ca="1">TRUNC(INDEX(WORLDCUP!$X$4:$X$147,MATCH(ADMIN!K75,WORLDCUP!$DT$4:$DT$147,0))+INDEX(Horarios!$R$3:$R$86,MATCH(Horarios!$C$3,Horarios!$P$3:$P$86,0))/24)</f>
        <v>46201</v>
      </c>
      <c r="I75" s="48">
        <v>1</v>
      </c>
      <c r="J75" s="95" t="s">
        <v>188</v>
      </c>
      <c r="K75" s="56" t="str">
        <f ca="1">CONCATENATE(WORLDCUP!AA89,"-",WORLDCUP!AF89)</f>
        <v>RD Congo-Uzbekistán</v>
      </c>
      <c r="L75" s="53"/>
      <c r="M75" s="55" t="str">
        <f>IF(OR(WORLDCUP!AC89="",WORLDCUP!AD89=""),"-",N75&amp;"|"&amp;O75&amp;"-"&amp;P75)</f>
        <v>-</v>
      </c>
      <c r="N75" s="25" t="str">
        <f>IF(OR(WORLDCUP!AC89="",WORLDCUP!AD89=""),"",IF(WORLDCUP!AC89&gt;WORLDCUP!AD89,"1",IF(WORLDCUP!AC89&lt;WORLDCUP!AD89,"2","X")))</f>
        <v/>
      </c>
      <c r="O75" s="25">
        <f>WORLDCUP!AC89</f>
        <v>0</v>
      </c>
      <c r="P75" s="25">
        <f>WORLDCUP!AD89</f>
        <v>0</v>
      </c>
      <c r="Q75" s="25">
        <f t="shared" si="124"/>
        <v>0</v>
      </c>
      <c r="R75" s="49"/>
      <c r="S75" s="74" t="s">
        <v>1942</v>
      </c>
      <c r="T75" s="73">
        <f t="shared" si="125"/>
        <v>0</v>
      </c>
      <c r="U75" s="65"/>
      <c r="V75" s="74" t="s">
        <v>1954</v>
      </c>
      <c r="W75" s="73">
        <f t="shared" ref="W75:W77" si="126">IFERROR(IF($M75=V75,($D$8+$D$9+$D$10)*$I75,IF($N75=LEFT(V75,1),($D$8+MAX(0,IF($D$50=1,$D$9*(1-(ABS($Q75-ABS(VALUE(MID(V75,FIND("|",V75)+1,FIND("-",V75)-FIND("|",V75)-1))-VALUE(MID(V75,FIND("-",V75)+1,10)))))*$D$50),$D$9*(1-(IF($N75="X",ABS($O75-VALUE(MID(V75,FIND("|",V75)+1,FIND("-",V75)-FIND("|",V75)-1))),ABS($Q75-ABS(VALUE(MID(V75,FIND("|",V75)+1,FIND("-",V75)-FIND("|",V75)-1))-VALUE(MID(V75,FIND("-",V75)+1,10)))))*$D$50)))))*$I75,0)),0)</f>
        <v>0</v>
      </c>
      <c r="X75" s="65"/>
      <c r="Y75" s="74" t="s">
        <v>1944</v>
      </c>
      <c r="Z75" s="73">
        <f t="shared" si="120"/>
        <v>0</v>
      </c>
      <c r="AA75" s="65"/>
      <c r="AB75" s="74" t="s">
        <v>1942</v>
      </c>
      <c r="AC75" s="73">
        <f t="shared" si="120"/>
        <v>0</v>
      </c>
      <c r="AD75" s="65"/>
      <c r="AE75" s="74" t="s">
        <v>1952</v>
      </c>
      <c r="AF75" s="73">
        <f t="shared" si="120"/>
        <v>0</v>
      </c>
      <c r="AG75" s="65"/>
      <c r="AH75" s="74" t="s">
        <v>1957</v>
      </c>
      <c r="AI75" s="73">
        <f t="shared" si="120"/>
        <v>0</v>
      </c>
      <c r="AJ75" s="65"/>
      <c r="AK75" s="74" t="s">
        <v>1954</v>
      </c>
      <c r="AL75" s="73">
        <f t="shared" si="120"/>
        <v>0</v>
      </c>
      <c r="AM75" s="65"/>
      <c r="AN75" s="74" t="s">
        <v>1948</v>
      </c>
      <c r="AO75" s="73">
        <f t="shared" si="120"/>
        <v>0</v>
      </c>
      <c r="AP75" s="65"/>
      <c r="AQ75" s="74" t="s">
        <v>1946</v>
      </c>
      <c r="AR75" s="73">
        <f t="shared" si="120"/>
        <v>0</v>
      </c>
      <c r="AS75" s="65"/>
      <c r="AT75" s="74" t="s">
        <v>1954</v>
      </c>
      <c r="AU75" s="73">
        <f t="shared" si="120"/>
        <v>0</v>
      </c>
      <c r="AV75" s="65"/>
      <c r="AW75" s="74" t="s">
        <v>1958</v>
      </c>
      <c r="AX75" s="73">
        <f t="shared" si="120"/>
        <v>0</v>
      </c>
      <c r="AY75" s="65"/>
      <c r="AZ75" s="74" t="s">
        <v>1948</v>
      </c>
      <c r="BA75" s="73">
        <f t="shared" si="120"/>
        <v>0</v>
      </c>
      <c r="BB75" s="65"/>
      <c r="BC75" s="74" t="s">
        <v>1942</v>
      </c>
      <c r="BD75" s="73">
        <f t="shared" si="120"/>
        <v>0</v>
      </c>
      <c r="BE75" s="65"/>
      <c r="BF75" s="74" t="s">
        <v>1946</v>
      </c>
      <c r="BG75" s="73">
        <f t="shared" si="120"/>
        <v>0</v>
      </c>
      <c r="BH75" s="65"/>
      <c r="BI75" s="74" t="s">
        <v>1944</v>
      </c>
      <c r="BJ75" s="73">
        <f t="shared" si="120"/>
        <v>0</v>
      </c>
      <c r="BK75" s="65"/>
      <c r="BL75" s="74" t="s">
        <v>1948</v>
      </c>
      <c r="BM75" s="73">
        <f t="shared" si="120"/>
        <v>0</v>
      </c>
      <c r="BN75" s="65"/>
      <c r="BO75" s="74" t="s">
        <v>1946</v>
      </c>
      <c r="BP75" s="73">
        <f t="shared" si="120"/>
        <v>0</v>
      </c>
      <c r="BQ75" s="65"/>
      <c r="BR75" s="74" t="s">
        <v>1946</v>
      </c>
      <c r="BS75" s="73">
        <f t="shared" si="120"/>
        <v>0</v>
      </c>
      <c r="BT75" s="65"/>
      <c r="BU75" s="74" t="s">
        <v>1948</v>
      </c>
      <c r="BV75" s="73">
        <f t="shared" si="120"/>
        <v>0</v>
      </c>
      <c r="BW75" s="65"/>
      <c r="BX75" s="74" t="s">
        <v>1942</v>
      </c>
      <c r="BY75" s="73">
        <f t="shared" si="120"/>
        <v>0</v>
      </c>
      <c r="BZ75" s="65"/>
      <c r="CA75" s="74" t="s">
        <v>1942</v>
      </c>
      <c r="CB75" s="73">
        <f t="shared" si="120"/>
        <v>0</v>
      </c>
      <c r="CC75" s="65"/>
      <c r="CD75" s="74" t="s">
        <v>1954</v>
      </c>
      <c r="CE75" s="73">
        <f t="shared" si="120"/>
        <v>0</v>
      </c>
      <c r="CF75" s="65"/>
      <c r="CG75" s="74" t="s">
        <v>1948</v>
      </c>
      <c r="CH75" s="73">
        <f t="shared" si="120"/>
        <v>0</v>
      </c>
      <c r="CI75" s="65"/>
      <c r="CJ75" s="74" t="s">
        <v>1957</v>
      </c>
      <c r="CK75" s="73">
        <f t="shared" si="119"/>
        <v>0</v>
      </c>
      <c r="CL75" s="65"/>
      <c r="CM75" s="74" t="s">
        <v>1946</v>
      </c>
      <c r="CN75" s="73">
        <f t="shared" si="119"/>
        <v>0</v>
      </c>
      <c r="CO75" s="65"/>
      <c r="CP75" s="74" t="s">
        <v>1954</v>
      </c>
      <c r="CQ75" s="73">
        <f t="shared" si="119"/>
        <v>0</v>
      </c>
      <c r="CR75" s="65"/>
      <c r="CS75" s="74" t="s">
        <v>1952</v>
      </c>
      <c r="CT75" s="73">
        <f t="shared" si="119"/>
        <v>0</v>
      </c>
      <c r="CU75" s="65"/>
      <c r="CV75" s="74" t="s">
        <v>1957</v>
      </c>
      <c r="CW75" s="73">
        <f t="shared" si="119"/>
        <v>0</v>
      </c>
      <c r="CX75" s="65"/>
      <c r="CY75" s="74" t="s">
        <v>1952</v>
      </c>
      <c r="CZ75" s="73">
        <f t="shared" si="119"/>
        <v>0</v>
      </c>
      <c r="DA75" s="65"/>
      <c r="DB75" s="74" t="s">
        <v>1942</v>
      </c>
      <c r="DC75" s="73">
        <f t="shared" si="119"/>
        <v>0</v>
      </c>
      <c r="DD75" s="65"/>
      <c r="DE75" s="74" t="s">
        <v>1942</v>
      </c>
      <c r="DF75" s="73">
        <f t="shared" si="119"/>
        <v>0</v>
      </c>
      <c r="DG75" s="65"/>
      <c r="DH75" s="74" t="s">
        <v>1946</v>
      </c>
      <c r="DI75" s="73">
        <f t="shared" si="119"/>
        <v>0</v>
      </c>
      <c r="DJ75" s="65"/>
      <c r="DK75" s="74" t="s">
        <v>1957</v>
      </c>
      <c r="DL75" s="73">
        <f t="shared" si="119"/>
        <v>0</v>
      </c>
      <c r="DM75" s="65"/>
      <c r="DN75" s="795" t="s">
        <v>1954</v>
      </c>
      <c r="DO75" s="73">
        <f t="shared" si="119"/>
        <v>0</v>
      </c>
      <c r="DP75" s="65"/>
      <c r="DQ75" s="795" t="s">
        <v>1960</v>
      </c>
      <c r="DR75" s="73">
        <f t="shared" si="119"/>
        <v>0</v>
      </c>
      <c r="DS75" s="65"/>
      <c r="DT75" s="74" t="s">
        <v>2264</v>
      </c>
      <c r="DU75" s="73">
        <f t="shared" si="119"/>
        <v>0</v>
      </c>
      <c r="DV75" s="65"/>
      <c r="DW75" s="74" t="s">
        <v>1946</v>
      </c>
      <c r="DX75" s="73">
        <f t="shared" si="122"/>
        <v>0</v>
      </c>
      <c r="DY75" s="65"/>
      <c r="DZ75" s="74" t="s">
        <v>1942</v>
      </c>
      <c r="EA75" s="73">
        <f t="shared" si="122"/>
        <v>0</v>
      </c>
      <c r="EB75" s="65"/>
      <c r="EC75" s="74" t="s">
        <v>1952</v>
      </c>
      <c r="ED75" s="73">
        <f t="shared" si="122"/>
        <v>0</v>
      </c>
      <c r="EE75" s="65"/>
      <c r="EF75" s="74" t="s">
        <v>1946</v>
      </c>
      <c r="EG75" s="73">
        <f t="shared" si="122"/>
        <v>0</v>
      </c>
      <c r="EH75" s="65"/>
      <c r="EI75" s="74" t="s">
        <v>1942</v>
      </c>
      <c r="EJ75" s="73">
        <f t="shared" si="122"/>
        <v>0</v>
      </c>
      <c r="EK75" s="65"/>
      <c r="EL75" s="74"/>
      <c r="EM75" s="73">
        <f t="shared" si="122"/>
        <v>0</v>
      </c>
      <c r="EN75" s="65"/>
      <c r="EO75" s="74"/>
      <c r="EP75" s="73">
        <f t="shared" si="122"/>
        <v>0</v>
      </c>
      <c r="EQ75" s="65"/>
      <c r="ER75" s="74"/>
      <c r="ES75" s="73">
        <f t="shared" si="122"/>
        <v>0</v>
      </c>
      <c r="ET75" s="65"/>
      <c r="EU75" s="74"/>
      <c r="EV75" s="73">
        <f t="shared" si="122"/>
        <v>0</v>
      </c>
      <c r="EW75" s="65"/>
      <c r="EX75" s="74"/>
      <c r="EY75" s="73">
        <f t="shared" si="122"/>
        <v>0</v>
      </c>
      <c r="EZ75" s="65"/>
      <c r="FA75" s="74"/>
      <c r="FB75" s="73">
        <f t="shared" si="122"/>
        <v>0</v>
      </c>
      <c r="FC75" s="65"/>
      <c r="FD75" s="74"/>
      <c r="FE75" s="73">
        <f t="shared" si="122"/>
        <v>0</v>
      </c>
      <c r="FF75" s="65"/>
      <c r="FG75" s="74"/>
      <c r="FH75" s="73">
        <f t="shared" si="122"/>
        <v>0</v>
      </c>
      <c r="FI75" s="65"/>
      <c r="FJ75" s="74"/>
      <c r="FK75" s="73">
        <f t="shared" si="122"/>
        <v>0</v>
      </c>
      <c r="FL75" s="65"/>
      <c r="FM75" s="65"/>
    </row>
    <row r="76" spans="1:169">
      <c r="A76" s="49"/>
      <c r="B76" s="49"/>
      <c r="C76" s="17"/>
      <c r="D76" s="17"/>
      <c r="E76" s="111"/>
      <c r="F76" s="445">
        <f t="shared" si="123"/>
        <v>4</v>
      </c>
      <c r="G76" s="445">
        <f ca="1">VLOOKUP(H76,Equipos!$Q$1:$R$25,2,0)</f>
        <v>18</v>
      </c>
      <c r="H76" s="446">
        <f ca="1">TRUNC(INDEX(WORLDCUP!$X$4:$X$147,MATCH(ADMIN!K76,WORLDCUP!$DT$4:$DT$147,0))+INDEX(Horarios!$R$3:$R$86,MATCH(Horarios!$C$3,Horarios!$P$3:$P$86,0))/24)</f>
        <v>46201</v>
      </c>
      <c r="I76" s="48">
        <v>1</v>
      </c>
      <c r="J76" s="96" t="s">
        <v>1198</v>
      </c>
      <c r="K76" s="53" t="str">
        <f ca="1">CONCATENATE(WORLDCUP!AA96,"-",WORLDCUP!AF96)</f>
        <v>Panamá-Inglaterra</v>
      </c>
      <c r="L76" s="53"/>
      <c r="M76" s="55" t="str">
        <f>IF(OR(WORLDCUP!AC96="",WORLDCUP!AD96=""),"-",N76&amp;"|"&amp;O76&amp;"-"&amp;P76)</f>
        <v>-</v>
      </c>
      <c r="N76" s="25" t="str">
        <f>IF(OR(WORLDCUP!AC96="",WORLDCUP!AD96=""),"",IF(WORLDCUP!AC96&gt;WORLDCUP!AD96,"1",IF(WORLDCUP!AC96&lt;WORLDCUP!AD96,"2","X")))</f>
        <v/>
      </c>
      <c r="O76" s="25">
        <f>WORLDCUP!AC96</f>
        <v>0</v>
      </c>
      <c r="P76" s="25">
        <f>WORLDCUP!AD96</f>
        <v>0</v>
      </c>
      <c r="Q76" s="25">
        <f t="shared" si="124"/>
        <v>0</v>
      </c>
      <c r="R76" s="49"/>
      <c r="S76" s="74" t="s">
        <v>1963</v>
      </c>
      <c r="T76" s="73">
        <f t="shared" si="125"/>
        <v>0</v>
      </c>
      <c r="U76" s="65"/>
      <c r="V76" s="74" t="s">
        <v>1961</v>
      </c>
      <c r="W76" s="73">
        <f t="shared" si="126"/>
        <v>0</v>
      </c>
      <c r="X76" s="65"/>
      <c r="Y76" s="74" t="s">
        <v>1961</v>
      </c>
      <c r="Z76" s="73">
        <f t="shared" si="120"/>
        <v>0</v>
      </c>
      <c r="AA76" s="65"/>
      <c r="AB76" s="74" t="s">
        <v>1945</v>
      </c>
      <c r="AC76" s="73">
        <f t="shared" si="120"/>
        <v>0</v>
      </c>
      <c r="AD76" s="65"/>
      <c r="AE76" s="74" t="s">
        <v>1949</v>
      </c>
      <c r="AF76" s="73">
        <f t="shared" si="120"/>
        <v>0</v>
      </c>
      <c r="AG76" s="65"/>
      <c r="AH76" s="74" t="s">
        <v>1949</v>
      </c>
      <c r="AI76" s="73">
        <f t="shared" si="120"/>
        <v>0</v>
      </c>
      <c r="AJ76" s="65"/>
      <c r="AK76" s="74" t="s">
        <v>1947</v>
      </c>
      <c r="AL76" s="73">
        <f t="shared" si="120"/>
        <v>0</v>
      </c>
      <c r="AM76" s="65"/>
      <c r="AN76" s="74" t="s">
        <v>2185</v>
      </c>
      <c r="AO76" s="73">
        <f t="shared" si="120"/>
        <v>0</v>
      </c>
      <c r="AP76" s="65"/>
      <c r="AQ76" s="74" t="s">
        <v>2215</v>
      </c>
      <c r="AR76" s="73">
        <f t="shared" si="120"/>
        <v>0</v>
      </c>
      <c r="AS76" s="65"/>
      <c r="AT76" s="74" t="s">
        <v>1961</v>
      </c>
      <c r="AU76" s="73">
        <f t="shared" si="120"/>
        <v>0</v>
      </c>
      <c r="AV76" s="65"/>
      <c r="AW76" s="74" t="s">
        <v>1955</v>
      </c>
      <c r="AX76" s="73">
        <f t="shared" si="120"/>
        <v>0</v>
      </c>
      <c r="AY76" s="65"/>
      <c r="AZ76" s="74" t="s">
        <v>1955</v>
      </c>
      <c r="BA76" s="73">
        <f t="shared" si="120"/>
        <v>0</v>
      </c>
      <c r="BB76" s="65"/>
      <c r="BC76" s="74" t="s">
        <v>1949</v>
      </c>
      <c r="BD76" s="73">
        <f t="shared" si="120"/>
        <v>0</v>
      </c>
      <c r="BE76" s="65"/>
      <c r="BF76" s="74" t="s">
        <v>1949</v>
      </c>
      <c r="BG76" s="73">
        <f t="shared" si="120"/>
        <v>0</v>
      </c>
      <c r="BH76" s="65"/>
      <c r="BI76" s="74" t="s">
        <v>1961</v>
      </c>
      <c r="BJ76" s="73">
        <f t="shared" si="120"/>
        <v>0</v>
      </c>
      <c r="BK76" s="65"/>
      <c r="BL76" s="74" t="s">
        <v>1947</v>
      </c>
      <c r="BM76" s="73">
        <f t="shared" si="120"/>
        <v>0</v>
      </c>
      <c r="BN76" s="65"/>
      <c r="BO76" s="74" t="s">
        <v>1949</v>
      </c>
      <c r="BP76" s="73">
        <f t="shared" si="120"/>
        <v>0</v>
      </c>
      <c r="BQ76" s="65"/>
      <c r="BR76" s="74" t="s">
        <v>1952</v>
      </c>
      <c r="BS76" s="73">
        <f t="shared" si="120"/>
        <v>0</v>
      </c>
      <c r="BT76" s="65"/>
      <c r="BU76" s="74" t="s">
        <v>1955</v>
      </c>
      <c r="BV76" s="73">
        <f t="shared" si="120"/>
        <v>0</v>
      </c>
      <c r="BW76" s="65"/>
      <c r="BX76" s="74" t="s">
        <v>1949</v>
      </c>
      <c r="BY76" s="73">
        <f t="shared" si="120"/>
        <v>0</v>
      </c>
      <c r="BZ76" s="65"/>
      <c r="CA76" s="74" t="s">
        <v>1947</v>
      </c>
      <c r="CB76" s="73">
        <f t="shared" si="120"/>
        <v>0</v>
      </c>
      <c r="CC76" s="65"/>
      <c r="CD76" s="74" t="s">
        <v>1946</v>
      </c>
      <c r="CE76" s="73">
        <f t="shared" si="120"/>
        <v>0</v>
      </c>
      <c r="CF76" s="65"/>
      <c r="CG76" s="74" t="s">
        <v>1952</v>
      </c>
      <c r="CH76" s="73">
        <f t="shared" si="120"/>
        <v>0</v>
      </c>
      <c r="CI76" s="65"/>
      <c r="CJ76" s="74" t="s">
        <v>1949</v>
      </c>
      <c r="CK76" s="73">
        <f t="shared" si="119"/>
        <v>0</v>
      </c>
      <c r="CL76" s="65"/>
      <c r="CM76" s="74" t="s">
        <v>1947</v>
      </c>
      <c r="CN76" s="73">
        <f t="shared" si="119"/>
        <v>0</v>
      </c>
      <c r="CO76" s="65"/>
      <c r="CP76" s="74" t="s">
        <v>1945</v>
      </c>
      <c r="CQ76" s="73">
        <f t="shared" si="119"/>
        <v>0</v>
      </c>
      <c r="CR76" s="65"/>
      <c r="CS76" s="74" t="s">
        <v>1947</v>
      </c>
      <c r="CT76" s="73">
        <f t="shared" si="119"/>
        <v>0</v>
      </c>
      <c r="CU76" s="65"/>
      <c r="CV76" s="74" t="s">
        <v>1949</v>
      </c>
      <c r="CW76" s="73">
        <f t="shared" si="119"/>
        <v>0</v>
      </c>
      <c r="CX76" s="65"/>
      <c r="CY76" s="74" t="s">
        <v>1952</v>
      </c>
      <c r="CZ76" s="73">
        <f t="shared" si="119"/>
        <v>0</v>
      </c>
      <c r="DA76" s="65"/>
      <c r="DB76" s="74" t="s">
        <v>1947</v>
      </c>
      <c r="DC76" s="73">
        <f t="shared" si="119"/>
        <v>0</v>
      </c>
      <c r="DD76" s="65"/>
      <c r="DE76" s="74" t="s">
        <v>1961</v>
      </c>
      <c r="DF76" s="73">
        <f t="shared" si="119"/>
        <v>0</v>
      </c>
      <c r="DG76" s="65"/>
      <c r="DH76" s="74" t="s">
        <v>1952</v>
      </c>
      <c r="DI76" s="73">
        <f t="shared" si="119"/>
        <v>0</v>
      </c>
      <c r="DJ76" s="65"/>
      <c r="DK76" s="74" t="s">
        <v>1945</v>
      </c>
      <c r="DL76" s="73">
        <f t="shared" si="119"/>
        <v>0</v>
      </c>
      <c r="DM76" s="65"/>
      <c r="DN76" s="795" t="s">
        <v>1955</v>
      </c>
      <c r="DO76" s="73">
        <f t="shared" si="119"/>
        <v>0</v>
      </c>
      <c r="DP76" s="65"/>
      <c r="DQ76" s="795" t="s">
        <v>1945</v>
      </c>
      <c r="DR76" s="73">
        <f t="shared" si="119"/>
        <v>0</v>
      </c>
      <c r="DS76" s="65"/>
      <c r="DT76" s="74" t="s">
        <v>1945</v>
      </c>
      <c r="DU76" s="73">
        <f t="shared" si="119"/>
        <v>0</v>
      </c>
      <c r="DV76" s="65"/>
      <c r="DW76" s="74" t="s">
        <v>1955</v>
      </c>
      <c r="DX76" s="73">
        <f t="shared" si="122"/>
        <v>0</v>
      </c>
      <c r="DY76" s="65"/>
      <c r="DZ76" s="74" t="s">
        <v>1960</v>
      </c>
      <c r="EA76" s="73">
        <f t="shared" si="122"/>
        <v>0</v>
      </c>
      <c r="EB76" s="65"/>
      <c r="EC76" s="74" t="s">
        <v>1960</v>
      </c>
      <c r="ED76" s="73">
        <f t="shared" si="122"/>
        <v>0</v>
      </c>
      <c r="EE76" s="65"/>
      <c r="EF76" s="74" t="s">
        <v>1949</v>
      </c>
      <c r="EG76" s="73">
        <f t="shared" si="122"/>
        <v>0</v>
      </c>
      <c r="EH76" s="65"/>
      <c r="EI76" s="74" t="s">
        <v>1947</v>
      </c>
      <c r="EJ76" s="73">
        <f t="shared" si="122"/>
        <v>0</v>
      </c>
      <c r="EK76" s="65"/>
      <c r="EL76" s="74"/>
      <c r="EM76" s="73">
        <f t="shared" si="122"/>
        <v>0</v>
      </c>
      <c r="EN76" s="65"/>
      <c r="EO76" s="74"/>
      <c r="EP76" s="73">
        <f t="shared" si="122"/>
        <v>0</v>
      </c>
      <c r="EQ76" s="65"/>
      <c r="ER76" s="74"/>
      <c r="ES76" s="73">
        <f t="shared" si="122"/>
        <v>0</v>
      </c>
      <c r="ET76" s="65"/>
      <c r="EU76" s="74"/>
      <c r="EV76" s="73">
        <f t="shared" si="122"/>
        <v>0</v>
      </c>
      <c r="EW76" s="65"/>
      <c r="EX76" s="74"/>
      <c r="EY76" s="73">
        <f t="shared" si="122"/>
        <v>0</v>
      </c>
      <c r="EZ76" s="65"/>
      <c r="FA76" s="74"/>
      <c r="FB76" s="73">
        <f t="shared" si="122"/>
        <v>0</v>
      </c>
      <c r="FC76" s="65"/>
      <c r="FD76" s="74"/>
      <c r="FE76" s="73">
        <f t="shared" si="122"/>
        <v>0</v>
      </c>
      <c r="FF76" s="65"/>
      <c r="FG76" s="74"/>
      <c r="FH76" s="73">
        <f t="shared" si="122"/>
        <v>0</v>
      </c>
      <c r="FI76" s="65"/>
      <c r="FJ76" s="74"/>
      <c r="FK76" s="73">
        <f t="shared" si="122"/>
        <v>0</v>
      </c>
      <c r="FL76" s="65"/>
      <c r="FM76" s="65"/>
    </row>
    <row r="77" spans="1:169">
      <c r="A77" s="49"/>
      <c r="B77" s="49"/>
      <c r="C77" s="17"/>
      <c r="D77" s="17"/>
      <c r="E77" s="111"/>
      <c r="F77" s="445">
        <f t="shared" si="123"/>
        <v>4</v>
      </c>
      <c r="G77" s="445">
        <f ca="1">VLOOKUP(H77,Equipos!$Q$1:$R$25,2,0)</f>
        <v>18</v>
      </c>
      <c r="H77" s="446">
        <f ca="1">TRUNC(INDEX(WORLDCUP!$X$4:$X$147,MATCH(ADMIN!K77,WORLDCUP!$DT$4:$DT$147,0))+INDEX(Horarios!$R$3:$R$86,MATCH(Horarios!$C$3,Horarios!$P$3:$P$86,0))/24)</f>
        <v>46201</v>
      </c>
      <c r="I77" s="48">
        <v>1</v>
      </c>
      <c r="J77" s="96" t="s">
        <v>1198</v>
      </c>
      <c r="K77" s="115" t="str">
        <f ca="1">CONCATENATE(WORLDCUP!AA97,"-",WORLDCUP!AF97)</f>
        <v>Croacia-Ghana</v>
      </c>
      <c r="L77" s="115"/>
      <c r="M77" s="116" t="str">
        <f>IF(OR(WORLDCUP!AC97="",WORLDCUP!AD97=""),"-",N77&amp;"|"&amp;O77&amp;"-"&amp;P77)</f>
        <v>-</v>
      </c>
      <c r="N77" s="25" t="str">
        <f>IF(OR(WORLDCUP!AC97="",WORLDCUP!AD97=""),"",IF(WORLDCUP!AC97&gt;WORLDCUP!AD97,"1",IF(WORLDCUP!AC97&lt;WORLDCUP!AD97,"2","X")))</f>
        <v/>
      </c>
      <c r="O77" s="25">
        <f>WORLDCUP!AC97</f>
        <v>0</v>
      </c>
      <c r="P77" s="25">
        <f>WORLDCUP!AD97</f>
        <v>0</v>
      </c>
      <c r="Q77" s="25">
        <f t="shared" si="124"/>
        <v>0</v>
      </c>
      <c r="R77" s="49"/>
      <c r="S77" s="80" t="s">
        <v>1942</v>
      </c>
      <c r="T77" s="81">
        <f t="shared" si="125"/>
        <v>0</v>
      </c>
      <c r="U77" s="65"/>
      <c r="V77" s="80" t="s">
        <v>1944</v>
      </c>
      <c r="W77" s="81">
        <f t="shared" si="126"/>
        <v>0</v>
      </c>
      <c r="X77" s="65"/>
      <c r="Y77" s="80" t="s">
        <v>1956</v>
      </c>
      <c r="Z77" s="81">
        <f t="shared" si="120"/>
        <v>0</v>
      </c>
      <c r="AA77" s="65"/>
      <c r="AB77" s="80" t="s">
        <v>1944</v>
      </c>
      <c r="AC77" s="81">
        <f t="shared" si="120"/>
        <v>0</v>
      </c>
      <c r="AD77" s="65"/>
      <c r="AE77" s="80" t="s">
        <v>1949</v>
      </c>
      <c r="AF77" s="81">
        <f t="shared" si="120"/>
        <v>0</v>
      </c>
      <c r="AG77" s="65"/>
      <c r="AH77" s="80" t="s">
        <v>1954</v>
      </c>
      <c r="AI77" s="81">
        <f t="shared" si="120"/>
        <v>0</v>
      </c>
      <c r="AJ77" s="65"/>
      <c r="AK77" s="80" t="s">
        <v>1944</v>
      </c>
      <c r="AL77" s="81">
        <f t="shared" si="120"/>
        <v>0</v>
      </c>
      <c r="AM77" s="65"/>
      <c r="AN77" s="80" t="s">
        <v>1954</v>
      </c>
      <c r="AO77" s="81">
        <f t="shared" si="120"/>
        <v>0</v>
      </c>
      <c r="AP77" s="65"/>
      <c r="AQ77" s="80" t="s">
        <v>1944</v>
      </c>
      <c r="AR77" s="81">
        <f t="shared" si="120"/>
        <v>0</v>
      </c>
      <c r="AS77" s="65"/>
      <c r="AT77" s="80" t="s">
        <v>1948</v>
      </c>
      <c r="AU77" s="81">
        <f t="shared" si="120"/>
        <v>0</v>
      </c>
      <c r="AV77" s="65"/>
      <c r="AW77" s="80" t="s">
        <v>1944</v>
      </c>
      <c r="AX77" s="81">
        <f t="shared" si="120"/>
        <v>0</v>
      </c>
      <c r="AY77" s="65"/>
      <c r="AZ77" s="80" t="s">
        <v>1946</v>
      </c>
      <c r="BA77" s="81">
        <f t="shared" si="120"/>
        <v>0</v>
      </c>
      <c r="BB77" s="65"/>
      <c r="BC77" s="80" t="s">
        <v>1942</v>
      </c>
      <c r="BD77" s="81">
        <f t="shared" si="120"/>
        <v>0</v>
      </c>
      <c r="BE77" s="65"/>
      <c r="BF77" s="80" t="s">
        <v>1954</v>
      </c>
      <c r="BG77" s="81">
        <f t="shared" si="120"/>
        <v>0</v>
      </c>
      <c r="BH77" s="65"/>
      <c r="BI77" s="80" t="s">
        <v>1956</v>
      </c>
      <c r="BJ77" s="81">
        <f t="shared" si="120"/>
        <v>0</v>
      </c>
      <c r="BK77" s="65"/>
      <c r="BL77" s="80" t="s">
        <v>1946</v>
      </c>
      <c r="BM77" s="81">
        <f t="shared" si="120"/>
        <v>0</v>
      </c>
      <c r="BN77" s="65"/>
      <c r="BO77" s="80" t="s">
        <v>1942</v>
      </c>
      <c r="BP77" s="81">
        <f t="shared" si="120"/>
        <v>0</v>
      </c>
      <c r="BQ77" s="65"/>
      <c r="BR77" s="80" t="s">
        <v>1942</v>
      </c>
      <c r="BS77" s="81">
        <f t="shared" si="120"/>
        <v>0</v>
      </c>
      <c r="BT77" s="65"/>
      <c r="BU77" s="80" t="s">
        <v>1948</v>
      </c>
      <c r="BV77" s="81">
        <f t="shared" si="120"/>
        <v>0</v>
      </c>
      <c r="BW77" s="65"/>
      <c r="BX77" s="80" t="s">
        <v>1946</v>
      </c>
      <c r="BY77" s="81">
        <f t="shared" si="120"/>
        <v>0</v>
      </c>
      <c r="BZ77" s="65"/>
      <c r="CA77" s="80" t="s">
        <v>1942</v>
      </c>
      <c r="CB77" s="81">
        <f t="shared" si="120"/>
        <v>0</v>
      </c>
      <c r="CC77" s="65"/>
      <c r="CD77" s="80" t="s">
        <v>1954</v>
      </c>
      <c r="CE77" s="81">
        <f t="shared" si="120"/>
        <v>0</v>
      </c>
      <c r="CF77" s="65"/>
      <c r="CG77" s="80" t="s">
        <v>1954</v>
      </c>
      <c r="CH77" s="81">
        <f t="shared" si="120"/>
        <v>0</v>
      </c>
      <c r="CI77" s="65"/>
      <c r="CJ77" s="80" t="s">
        <v>1948</v>
      </c>
      <c r="CK77" s="81">
        <f t="shared" si="119"/>
        <v>0</v>
      </c>
      <c r="CL77" s="65"/>
      <c r="CM77" s="80" t="s">
        <v>1948</v>
      </c>
      <c r="CN77" s="81">
        <f t="shared" si="119"/>
        <v>0</v>
      </c>
      <c r="CO77" s="65"/>
      <c r="CP77" s="80" t="s">
        <v>1954</v>
      </c>
      <c r="CQ77" s="81">
        <f t="shared" si="119"/>
        <v>0</v>
      </c>
      <c r="CR77" s="65"/>
      <c r="CS77" s="80" t="s">
        <v>1948</v>
      </c>
      <c r="CT77" s="81">
        <f t="shared" si="119"/>
        <v>0</v>
      </c>
      <c r="CU77" s="65"/>
      <c r="CV77" s="80" t="s">
        <v>1948</v>
      </c>
      <c r="CW77" s="81">
        <f t="shared" si="119"/>
        <v>0</v>
      </c>
      <c r="CX77" s="65"/>
      <c r="CY77" s="80" t="s">
        <v>1944</v>
      </c>
      <c r="CZ77" s="81">
        <f t="shared" si="119"/>
        <v>0</v>
      </c>
      <c r="DA77" s="65"/>
      <c r="DB77" s="80" t="s">
        <v>1948</v>
      </c>
      <c r="DC77" s="81">
        <f t="shared" si="119"/>
        <v>0</v>
      </c>
      <c r="DD77" s="65"/>
      <c r="DE77" s="80" t="s">
        <v>1944</v>
      </c>
      <c r="DF77" s="81">
        <f t="shared" si="119"/>
        <v>0</v>
      </c>
      <c r="DG77" s="65"/>
      <c r="DH77" s="80" t="s">
        <v>1942</v>
      </c>
      <c r="DI77" s="81">
        <f t="shared" si="119"/>
        <v>0</v>
      </c>
      <c r="DJ77" s="65"/>
      <c r="DK77" s="80" t="s">
        <v>1944</v>
      </c>
      <c r="DL77" s="81">
        <f t="shared" si="119"/>
        <v>0</v>
      </c>
      <c r="DM77" s="65"/>
      <c r="DN77" s="795" t="s">
        <v>1948</v>
      </c>
      <c r="DO77" s="81">
        <f t="shared" si="119"/>
        <v>0</v>
      </c>
      <c r="DP77" s="65"/>
      <c r="DQ77" s="795" t="s">
        <v>1948</v>
      </c>
      <c r="DR77" s="81">
        <f t="shared" si="119"/>
        <v>0</v>
      </c>
      <c r="DS77" s="65"/>
      <c r="DT77" s="80" t="s">
        <v>1956</v>
      </c>
      <c r="DU77" s="81">
        <f t="shared" si="119"/>
        <v>0</v>
      </c>
      <c r="DV77" s="65"/>
      <c r="DW77" s="80" t="s">
        <v>1946</v>
      </c>
      <c r="DX77" s="81">
        <f t="shared" si="122"/>
        <v>0</v>
      </c>
      <c r="DY77" s="65"/>
      <c r="DZ77" s="80" t="s">
        <v>1946</v>
      </c>
      <c r="EA77" s="81">
        <f t="shared" si="122"/>
        <v>0</v>
      </c>
      <c r="EB77" s="65"/>
      <c r="EC77" s="80" t="s">
        <v>1946</v>
      </c>
      <c r="ED77" s="81">
        <f t="shared" si="122"/>
        <v>0</v>
      </c>
      <c r="EE77" s="65"/>
      <c r="EF77" s="80" t="s">
        <v>1948</v>
      </c>
      <c r="EG77" s="81">
        <f t="shared" si="122"/>
        <v>0</v>
      </c>
      <c r="EH77" s="65"/>
      <c r="EI77" s="80" t="s">
        <v>1946</v>
      </c>
      <c r="EJ77" s="81">
        <f t="shared" si="122"/>
        <v>0</v>
      </c>
      <c r="EK77" s="65"/>
      <c r="EL77" s="80"/>
      <c r="EM77" s="81">
        <f t="shared" si="122"/>
        <v>0</v>
      </c>
      <c r="EN77" s="65"/>
      <c r="EO77" s="80"/>
      <c r="EP77" s="81">
        <f t="shared" si="122"/>
        <v>0</v>
      </c>
      <c r="EQ77" s="65"/>
      <c r="ER77" s="80"/>
      <c r="ES77" s="81">
        <f t="shared" si="122"/>
        <v>0</v>
      </c>
      <c r="ET77" s="65"/>
      <c r="EU77" s="80"/>
      <c r="EV77" s="81">
        <f t="shared" si="122"/>
        <v>0</v>
      </c>
      <c r="EW77" s="65"/>
      <c r="EX77" s="80"/>
      <c r="EY77" s="81">
        <f t="shared" si="122"/>
        <v>0</v>
      </c>
      <c r="EZ77" s="65"/>
      <c r="FA77" s="80"/>
      <c r="FB77" s="81">
        <f t="shared" si="122"/>
        <v>0</v>
      </c>
      <c r="FC77" s="65"/>
      <c r="FD77" s="80"/>
      <c r="FE77" s="81">
        <f t="shared" si="122"/>
        <v>0</v>
      </c>
      <c r="FF77" s="65"/>
      <c r="FG77" s="80"/>
      <c r="FH77" s="81">
        <f t="shared" si="122"/>
        <v>0</v>
      </c>
      <c r="FI77" s="65"/>
      <c r="FJ77" s="80"/>
      <c r="FK77" s="81">
        <f t="shared" si="122"/>
        <v>0</v>
      </c>
      <c r="FL77" s="65"/>
      <c r="FM77" s="65"/>
    </row>
    <row r="78" spans="1:169">
      <c r="A78" s="49"/>
      <c r="B78" s="49"/>
      <c r="C78" s="49"/>
      <c r="D78" s="49"/>
      <c r="E78" s="111"/>
      <c r="F78" s="127"/>
      <c r="G78" s="445"/>
      <c r="H78" s="65"/>
      <c r="I78" s="60"/>
      <c r="J78" s="97"/>
      <c r="K78" s="432" t="str">
        <f>Idiomas!D455</f>
        <v>F. Grupos</v>
      </c>
      <c r="L78" s="433"/>
      <c r="M78" s="432" t="str">
        <f>"Max: "&amp;SUM($D$8:$D$10)*SUM($I$6:$I$77)</f>
        <v>Max: 288</v>
      </c>
      <c r="N78" s="25"/>
      <c r="O78" s="25"/>
      <c r="P78" s="25"/>
      <c r="Q78" s="25"/>
      <c r="R78" s="110"/>
      <c r="S78" s="82"/>
      <c r="T78" s="83">
        <f>SUM(T6:T77)</f>
        <v>31</v>
      </c>
      <c r="U78" s="64"/>
      <c r="V78" s="82"/>
      <c r="W78" s="83">
        <f>SUM(W6:W77)</f>
        <v>22</v>
      </c>
      <c r="X78" s="64"/>
      <c r="Y78" s="82"/>
      <c r="Z78" s="83">
        <f t="shared" ref="Z78" si="127">SUM(Z6:Z77)</f>
        <v>37</v>
      </c>
      <c r="AA78" s="64"/>
      <c r="AB78" s="82"/>
      <c r="AC78" s="83">
        <f t="shared" ref="AC78" si="128">SUM(AC6:AC77)</f>
        <v>40</v>
      </c>
      <c r="AD78" s="64"/>
      <c r="AE78" s="82"/>
      <c r="AF78" s="83">
        <f t="shared" ref="AF78" si="129">SUM(AF6:AF77)</f>
        <v>26</v>
      </c>
      <c r="AG78" s="64"/>
      <c r="AH78" s="82"/>
      <c r="AI78" s="83">
        <f t="shared" ref="AI78" si="130">SUM(AI6:AI77)</f>
        <v>36</v>
      </c>
      <c r="AJ78" s="64"/>
      <c r="AK78" s="82"/>
      <c r="AL78" s="83">
        <f t="shared" ref="AL78" si="131">SUM(AL6:AL77)</f>
        <v>20</v>
      </c>
      <c r="AM78" s="64"/>
      <c r="AN78" s="82"/>
      <c r="AO78" s="83">
        <f t="shared" ref="AO78" si="132">SUM(AO6:AO77)</f>
        <v>31</v>
      </c>
      <c r="AP78" s="64"/>
      <c r="AQ78" s="82"/>
      <c r="AR78" s="83">
        <f t="shared" ref="AR78" si="133">SUM(AR6:AR77)</f>
        <v>47</v>
      </c>
      <c r="AS78" s="64"/>
      <c r="AT78" s="82"/>
      <c r="AU78" s="83">
        <f t="shared" ref="AU78" si="134">SUM(AU6:AU77)</f>
        <v>26</v>
      </c>
      <c r="AV78" s="64"/>
      <c r="AW78" s="82"/>
      <c r="AX78" s="83">
        <f t="shared" ref="AX78" si="135">SUM(AX6:AX77)</f>
        <v>26</v>
      </c>
      <c r="AY78" s="64"/>
      <c r="AZ78" s="82"/>
      <c r="BA78" s="83">
        <f t="shared" ref="BA78" si="136">SUM(BA6:BA77)</f>
        <v>28</v>
      </c>
      <c r="BB78" s="64"/>
      <c r="BC78" s="82"/>
      <c r="BD78" s="83">
        <f t="shared" ref="BD78" si="137">SUM(BD6:BD77)</f>
        <v>25</v>
      </c>
      <c r="BE78" s="64"/>
      <c r="BF78" s="82"/>
      <c r="BG78" s="83">
        <f t="shared" ref="BG78" si="138">SUM(BG6:BG77)</f>
        <v>35</v>
      </c>
      <c r="BH78" s="64"/>
      <c r="BI78" s="82"/>
      <c r="BJ78" s="83">
        <f t="shared" ref="BJ78" si="139">SUM(BJ6:BJ77)</f>
        <v>37</v>
      </c>
      <c r="BK78" s="64"/>
      <c r="BL78" s="82"/>
      <c r="BM78" s="83">
        <f t="shared" ref="BM78" si="140">SUM(BM6:BM77)</f>
        <v>30</v>
      </c>
      <c r="BN78" s="64"/>
      <c r="BO78" s="82"/>
      <c r="BP78" s="83">
        <f t="shared" ref="BP78" si="141">SUM(BP6:BP77)</f>
        <v>35</v>
      </c>
      <c r="BQ78" s="64"/>
      <c r="BR78" s="82"/>
      <c r="BS78" s="83">
        <f t="shared" ref="BS78" si="142">SUM(BS6:BS77)</f>
        <v>39</v>
      </c>
      <c r="BT78" s="64"/>
      <c r="BU78" s="82"/>
      <c r="BV78" s="83">
        <f t="shared" ref="BV78" si="143">SUM(BV6:BV77)</f>
        <v>24</v>
      </c>
      <c r="BW78" s="64"/>
      <c r="BX78" s="82"/>
      <c r="BY78" s="83">
        <f t="shared" ref="BY78" si="144">SUM(BY6:BY77)</f>
        <v>29</v>
      </c>
      <c r="BZ78" s="64"/>
      <c r="CA78" s="82"/>
      <c r="CB78" s="83">
        <f t="shared" ref="CB78" si="145">SUM(CB6:CB77)</f>
        <v>24</v>
      </c>
      <c r="CC78" s="64"/>
      <c r="CD78" s="82"/>
      <c r="CE78" s="83">
        <f t="shared" ref="CE78" si="146">SUM(CE6:CE77)</f>
        <v>41</v>
      </c>
      <c r="CF78" s="64"/>
      <c r="CG78" s="82"/>
      <c r="CH78" s="83">
        <f t="shared" ref="CH78" si="147">SUM(CH6:CH77)</f>
        <v>24</v>
      </c>
      <c r="CI78" s="64"/>
      <c r="CJ78" s="82"/>
      <c r="CK78" s="83">
        <f t="shared" ref="CK78" si="148">SUM(CK6:CK77)</f>
        <v>37</v>
      </c>
      <c r="CL78" s="64"/>
      <c r="CM78" s="82"/>
      <c r="CN78" s="83">
        <f t="shared" ref="CN78" si="149">SUM(CN6:CN77)</f>
        <v>25</v>
      </c>
      <c r="CO78" s="64"/>
      <c r="CP78" s="82"/>
      <c r="CQ78" s="83">
        <f t="shared" ref="CQ78" si="150">SUM(CQ6:CQ77)</f>
        <v>31</v>
      </c>
      <c r="CR78" s="64"/>
      <c r="CS78" s="82"/>
      <c r="CT78" s="83">
        <f t="shared" ref="CT78" si="151">SUM(CT6:CT77)</f>
        <v>25</v>
      </c>
      <c r="CU78" s="64"/>
      <c r="CV78" s="82"/>
      <c r="CW78" s="83">
        <f t="shared" ref="CW78" si="152">SUM(CW6:CW77)</f>
        <v>39</v>
      </c>
      <c r="CX78" s="64"/>
      <c r="CY78" s="82"/>
      <c r="CZ78" s="83">
        <f t="shared" ref="CZ78" si="153">SUM(CZ6:CZ77)</f>
        <v>29</v>
      </c>
      <c r="DA78" s="64"/>
      <c r="DB78" s="82"/>
      <c r="DC78" s="83">
        <f t="shared" ref="DC78" si="154">SUM(DC6:DC77)</f>
        <v>32</v>
      </c>
      <c r="DD78" s="64"/>
      <c r="DE78" s="82"/>
      <c r="DF78" s="83">
        <f t="shared" ref="DF78" si="155">SUM(DF6:DF77)</f>
        <v>26</v>
      </c>
      <c r="DG78" s="64"/>
      <c r="DH78" s="82"/>
      <c r="DI78" s="83">
        <f t="shared" ref="DI78" si="156">SUM(DI6:DI77)</f>
        <v>27</v>
      </c>
      <c r="DJ78" s="64"/>
      <c r="DK78" s="82"/>
      <c r="DL78" s="83">
        <f t="shared" ref="DL78" si="157">SUM(DL6:DL77)</f>
        <v>36</v>
      </c>
      <c r="DM78" s="64"/>
      <c r="DN78" s="796"/>
      <c r="DO78" s="83">
        <f t="shared" ref="DO78" si="158">SUM(DO6:DO77)</f>
        <v>27</v>
      </c>
      <c r="DP78" s="64"/>
      <c r="DQ78" s="796"/>
      <c r="DR78" s="83">
        <f t="shared" ref="DR78" si="159">SUM(DR6:DR77)</f>
        <v>19</v>
      </c>
      <c r="DS78" s="64"/>
      <c r="DT78" s="82"/>
      <c r="DU78" s="83">
        <f t="shared" ref="DU78" si="160">SUM(DU6:DU77)</f>
        <v>33</v>
      </c>
      <c r="DV78" s="64"/>
      <c r="DW78" s="82"/>
      <c r="DX78" s="83">
        <f t="shared" ref="DX78" si="161">SUM(DX6:DX77)</f>
        <v>43</v>
      </c>
      <c r="DY78" s="64"/>
      <c r="DZ78" s="82"/>
      <c r="EA78" s="83">
        <f t="shared" ref="EA78" si="162">SUM(EA6:EA77)</f>
        <v>24</v>
      </c>
      <c r="EB78" s="64"/>
      <c r="EC78" s="82"/>
      <c r="ED78" s="83">
        <f t="shared" ref="ED78" si="163">SUM(ED6:ED77)</f>
        <v>33</v>
      </c>
      <c r="EE78" s="64"/>
      <c r="EF78" s="82"/>
      <c r="EG78" s="83">
        <f t="shared" ref="EG78" si="164">SUM(EG6:EG77)</f>
        <v>24</v>
      </c>
      <c r="EH78" s="64"/>
      <c r="EI78" s="82"/>
      <c r="EJ78" s="83">
        <f t="shared" ref="EJ78" si="165">SUM(EJ6:EJ77)</f>
        <v>37</v>
      </c>
      <c r="EK78" s="64"/>
      <c r="EL78" s="82"/>
      <c r="EM78" s="83">
        <f t="shared" ref="EM78" si="166">SUM(EM6:EM77)</f>
        <v>0</v>
      </c>
      <c r="EN78" s="64"/>
      <c r="EO78" s="82"/>
      <c r="EP78" s="83">
        <f t="shared" ref="EP78" si="167">SUM(EP6:EP77)</f>
        <v>0</v>
      </c>
      <c r="EQ78" s="64"/>
      <c r="ER78" s="82"/>
      <c r="ES78" s="83">
        <f t="shared" ref="ES78" si="168">SUM(ES6:ES77)</f>
        <v>0</v>
      </c>
      <c r="ET78" s="64"/>
      <c r="EU78" s="82"/>
      <c r="EV78" s="83">
        <f t="shared" ref="EV78" si="169">SUM(EV6:EV77)</f>
        <v>0</v>
      </c>
      <c r="EW78" s="64"/>
      <c r="EX78" s="82"/>
      <c r="EY78" s="83">
        <f t="shared" ref="EY78" si="170">SUM(EY6:EY77)</f>
        <v>0</v>
      </c>
      <c r="EZ78" s="64"/>
      <c r="FA78" s="82"/>
      <c r="FB78" s="83">
        <f t="shared" ref="FB78" si="171">SUM(FB6:FB77)</f>
        <v>0</v>
      </c>
      <c r="FC78" s="64"/>
      <c r="FD78" s="82"/>
      <c r="FE78" s="83">
        <f t="shared" ref="FE78" si="172">SUM(FE6:FE77)</f>
        <v>0</v>
      </c>
      <c r="FF78" s="64"/>
      <c r="FG78" s="82"/>
      <c r="FH78" s="83">
        <f t="shared" ref="FH78" si="173">SUM(FH6:FH77)</f>
        <v>0</v>
      </c>
      <c r="FI78" s="64"/>
      <c r="FJ78" s="82"/>
      <c r="FK78" s="83">
        <f t="shared" ref="FK78" si="174">SUM(FK6:FK77)</f>
        <v>0</v>
      </c>
      <c r="FL78" s="64"/>
      <c r="FM78" s="64"/>
    </row>
    <row r="79" spans="1:169">
      <c r="A79" s="49"/>
      <c r="B79" s="49"/>
      <c r="C79" s="49"/>
      <c r="D79" s="49"/>
      <c r="E79" s="111"/>
      <c r="F79" s="127"/>
      <c r="G79" s="445"/>
      <c r="H79" s="65"/>
      <c r="I79" s="60"/>
      <c r="J79" s="97"/>
      <c r="K79" s="118" t="str">
        <f>Idiomas!D136</f>
        <v>POSICIÓN GRUPOS</v>
      </c>
      <c r="L79" s="60"/>
      <c r="M79" s="83"/>
      <c r="N79" s="25"/>
      <c r="O79" s="25"/>
      <c r="P79" s="25"/>
      <c r="Q79" s="25"/>
      <c r="R79" s="110"/>
      <c r="S79" s="82"/>
      <c r="T79" s="83"/>
      <c r="U79" s="64"/>
      <c r="V79" s="82"/>
      <c r="W79" s="83"/>
      <c r="X79" s="64"/>
      <c r="Y79" s="82"/>
      <c r="Z79" s="83"/>
      <c r="AA79" s="64"/>
      <c r="AB79" s="82"/>
      <c r="AC79" s="83"/>
      <c r="AD79" s="64"/>
      <c r="AE79" s="82"/>
      <c r="AF79" s="83"/>
      <c r="AG79" s="64"/>
      <c r="AH79" s="82"/>
      <c r="AI79" s="83"/>
      <c r="AJ79" s="64"/>
      <c r="AK79" s="82"/>
      <c r="AL79" s="83"/>
      <c r="AM79" s="64"/>
      <c r="AN79" s="82"/>
      <c r="AO79" s="83"/>
      <c r="AP79" s="64"/>
      <c r="AQ79" s="82"/>
      <c r="AR79" s="83"/>
      <c r="AS79" s="64"/>
      <c r="AT79" s="82"/>
      <c r="AU79" s="83"/>
      <c r="AV79" s="64"/>
      <c r="AW79" s="82"/>
      <c r="AX79" s="83"/>
      <c r="AY79" s="64"/>
      <c r="AZ79" s="82"/>
      <c r="BA79" s="83"/>
      <c r="BB79" s="64"/>
      <c r="BC79" s="82"/>
      <c r="BD79" s="83"/>
      <c r="BE79" s="64"/>
      <c r="BF79" s="82"/>
      <c r="BG79" s="83"/>
      <c r="BH79" s="64"/>
      <c r="BI79" s="82"/>
      <c r="BJ79" s="83"/>
      <c r="BK79" s="64"/>
      <c r="BL79" s="82"/>
      <c r="BM79" s="83"/>
      <c r="BN79" s="64"/>
      <c r="BO79" s="82"/>
      <c r="BP79" s="83"/>
      <c r="BQ79" s="64"/>
      <c r="BR79" s="82"/>
      <c r="BS79" s="83"/>
      <c r="BT79" s="64"/>
      <c r="BU79" s="82"/>
      <c r="BV79" s="83"/>
      <c r="BW79" s="64"/>
      <c r="BX79" s="82"/>
      <c r="BY79" s="83"/>
      <c r="BZ79" s="64"/>
      <c r="CA79" s="82"/>
      <c r="CB79" s="83"/>
      <c r="CC79" s="64"/>
      <c r="CD79" s="82"/>
      <c r="CE79" s="83"/>
      <c r="CF79" s="64"/>
      <c r="CG79" s="82"/>
      <c r="CH79" s="83"/>
      <c r="CI79" s="64"/>
      <c r="CJ79" s="82"/>
      <c r="CK79" s="83"/>
      <c r="CL79" s="64"/>
      <c r="CM79" s="82"/>
      <c r="CN79" s="83"/>
      <c r="CO79" s="64"/>
      <c r="CP79" s="82"/>
      <c r="CQ79" s="83"/>
      <c r="CR79" s="64"/>
      <c r="CS79" s="82"/>
      <c r="CT79" s="83"/>
      <c r="CU79" s="64"/>
      <c r="CV79" s="82"/>
      <c r="CW79" s="83"/>
      <c r="CX79" s="64"/>
      <c r="CY79" s="82"/>
      <c r="CZ79" s="83"/>
      <c r="DA79" s="64"/>
      <c r="DB79" s="82"/>
      <c r="DC79" s="83"/>
      <c r="DD79" s="64"/>
      <c r="DE79" s="82"/>
      <c r="DF79" s="83"/>
      <c r="DG79" s="64"/>
      <c r="DH79" s="82"/>
      <c r="DI79" s="83"/>
      <c r="DJ79" s="64"/>
      <c r="DK79" s="82"/>
      <c r="DL79" s="83"/>
      <c r="DM79" s="64"/>
      <c r="DN79" s="796"/>
      <c r="DO79" s="83"/>
      <c r="DP79" s="64"/>
      <c r="DQ79" s="796"/>
      <c r="DR79" s="83"/>
      <c r="DS79" s="64"/>
      <c r="DT79" s="82"/>
      <c r="DU79" s="83"/>
      <c r="DV79" s="64"/>
      <c r="DW79" s="82"/>
      <c r="DX79" s="83"/>
      <c r="DY79" s="64"/>
      <c r="DZ79" s="82"/>
      <c r="EA79" s="83"/>
      <c r="EB79" s="64"/>
      <c r="EC79" s="82"/>
      <c r="ED79" s="83"/>
      <c r="EE79" s="64"/>
      <c r="EF79" s="82"/>
      <c r="EG79" s="83"/>
      <c r="EH79" s="64"/>
      <c r="EI79" s="82"/>
      <c r="EJ79" s="83"/>
      <c r="EK79" s="64"/>
      <c r="EL79" s="82"/>
      <c r="EM79" s="83"/>
      <c r="EN79" s="64"/>
      <c r="EO79" s="82"/>
      <c r="EP79" s="83"/>
      <c r="EQ79" s="64"/>
      <c r="ER79" s="82"/>
      <c r="ES79" s="83"/>
      <c r="ET79" s="64"/>
      <c r="EU79" s="82"/>
      <c r="EV79" s="83"/>
      <c r="EW79" s="64"/>
      <c r="EX79" s="82"/>
      <c r="EY79" s="83"/>
      <c r="EZ79" s="64"/>
      <c r="FA79" s="82"/>
      <c r="FB79" s="83"/>
      <c r="FC79" s="64"/>
      <c r="FD79" s="82"/>
      <c r="FE79" s="83"/>
      <c r="FF79" s="64"/>
      <c r="FG79" s="82"/>
      <c r="FH79" s="83"/>
      <c r="FI79" s="64"/>
      <c r="FJ79" s="82"/>
      <c r="FK79" s="83"/>
      <c r="FL79" s="64"/>
      <c r="FM79" s="64"/>
    </row>
    <row r="80" spans="1:169">
      <c r="A80" s="49"/>
      <c r="B80" s="49"/>
      <c r="C80" s="49"/>
      <c r="D80" s="49"/>
      <c r="E80" s="111"/>
      <c r="F80" s="127">
        <f>$D$11</f>
        <v>2</v>
      </c>
      <c r="G80" s="445">
        <f ca="1">VLOOKUP(H80,Equipos!$Q$1:$R$25,2,0)</f>
        <v>15</v>
      </c>
      <c r="H80" s="446">
        <f ca="1">$H$54</f>
        <v>46198</v>
      </c>
      <c r="I80" s="50"/>
      <c r="J80" s="852" t="s">
        <v>0</v>
      </c>
      <c r="K80" s="53" t="str">
        <f>Idiomas!D150</f>
        <v>1º GRUPO A</v>
      </c>
      <c r="L80" s="53"/>
      <c r="M80" s="55" t="str">
        <f ca="1">IF(OR(SUM(WORLDCUP!$AN$6:$AN$9)=12,WORLDCUP!$AJ$99=144),WORLDCUP!AL6,LEFT(K80,1)&amp;RIGHT(K80,1))</f>
        <v>1A</v>
      </c>
      <c r="N80" s="25"/>
      <c r="O80" s="25"/>
      <c r="P80" s="25"/>
      <c r="Q80" s="25"/>
      <c r="R80" s="110"/>
      <c r="S80" s="76" t="s">
        <v>1265</v>
      </c>
      <c r="T80" s="77">
        <f ca="1">($M80=S80)*$D$11</f>
        <v>0</v>
      </c>
      <c r="U80" s="64"/>
      <c r="V80" s="76" t="s">
        <v>1265</v>
      </c>
      <c r="W80" s="77">
        <f t="shared" ref="W80" ca="1" si="175">($M80=V80)*$D$11</f>
        <v>0</v>
      </c>
      <c r="X80" s="64"/>
      <c r="Y80" s="76" t="s">
        <v>1265</v>
      </c>
      <c r="Z80" s="77">
        <f t="shared" ref="Z80" ca="1" si="176">($M80=Y80)*$D$11</f>
        <v>0</v>
      </c>
      <c r="AA80" s="64"/>
      <c r="AB80" s="76" t="s">
        <v>1265</v>
      </c>
      <c r="AC80" s="77">
        <f t="shared" ref="AC80" ca="1" si="177">($M80=AB80)*$D$11</f>
        <v>0</v>
      </c>
      <c r="AD80" s="64"/>
      <c r="AE80" s="76" t="s">
        <v>1265</v>
      </c>
      <c r="AF80" s="77">
        <f t="shared" ref="AF80" ca="1" si="178">($M80=AE80)*$D$11</f>
        <v>0</v>
      </c>
      <c r="AG80" s="64"/>
      <c r="AH80" s="76" t="s">
        <v>1265</v>
      </c>
      <c r="AI80" s="77">
        <f t="shared" ref="AI80" ca="1" si="179">($M80=AH80)*$D$11</f>
        <v>0</v>
      </c>
      <c r="AJ80" s="64"/>
      <c r="AK80" s="76" t="s">
        <v>1265</v>
      </c>
      <c r="AL80" s="77">
        <f t="shared" ref="AL80" ca="1" si="180">($M80=AK80)*$D$11</f>
        <v>0</v>
      </c>
      <c r="AM80" s="64"/>
      <c r="AN80" s="76" t="s">
        <v>1265</v>
      </c>
      <c r="AO80" s="77">
        <f t="shared" ref="AO80" ca="1" si="181">($M80=AN80)*$D$11</f>
        <v>0</v>
      </c>
      <c r="AP80" s="64"/>
      <c r="AQ80" s="76" t="s">
        <v>1265</v>
      </c>
      <c r="AR80" s="77">
        <f t="shared" ref="AR80" ca="1" si="182">($M80=AQ80)*$D$11</f>
        <v>0</v>
      </c>
      <c r="AS80" s="64"/>
      <c r="AT80" s="76" t="s">
        <v>1265</v>
      </c>
      <c r="AU80" s="77">
        <f t="shared" ref="AU80" ca="1" si="183">($M80=AT80)*$D$11</f>
        <v>0</v>
      </c>
      <c r="AV80" s="64"/>
      <c r="AW80" s="76" t="s">
        <v>1265</v>
      </c>
      <c r="AX80" s="77">
        <f t="shared" ref="AX80" ca="1" si="184">($M80=AW80)*$D$11</f>
        <v>0</v>
      </c>
      <c r="AY80" s="64"/>
      <c r="AZ80" s="76" t="s">
        <v>1265</v>
      </c>
      <c r="BA80" s="77">
        <f t="shared" ref="BA80" ca="1" si="185">($M80=AZ80)*$D$11</f>
        <v>0</v>
      </c>
      <c r="BB80" s="64"/>
      <c r="BC80" s="76" t="s">
        <v>1260</v>
      </c>
      <c r="BD80" s="77">
        <f t="shared" ref="BD80" ca="1" si="186">($M80=BC80)*$D$11</f>
        <v>0</v>
      </c>
      <c r="BE80" s="64"/>
      <c r="BF80" s="76" t="s">
        <v>1265</v>
      </c>
      <c r="BG80" s="77">
        <f t="shared" ref="BG80" ca="1" si="187">($M80=BF80)*$D$11</f>
        <v>0</v>
      </c>
      <c r="BH80" s="64"/>
      <c r="BI80" s="76" t="s">
        <v>1265</v>
      </c>
      <c r="BJ80" s="77">
        <f t="shared" ref="BJ80" ca="1" si="188">($M80=BI80)*$D$11</f>
        <v>0</v>
      </c>
      <c r="BK80" s="64"/>
      <c r="BL80" s="76" t="s">
        <v>1265</v>
      </c>
      <c r="BM80" s="77">
        <f t="shared" ref="BM80" ca="1" si="189">($M80=BL80)*$D$11</f>
        <v>0</v>
      </c>
      <c r="BN80" s="64"/>
      <c r="BO80" s="76" t="s">
        <v>1265</v>
      </c>
      <c r="BP80" s="77">
        <f t="shared" ref="BP80" ca="1" si="190">($M80=BO80)*$D$11</f>
        <v>0</v>
      </c>
      <c r="BQ80" s="64"/>
      <c r="BR80" s="76" t="s">
        <v>1265</v>
      </c>
      <c r="BS80" s="77">
        <f t="shared" ref="BS80" ca="1" si="191">($M80=BR80)*$D$11</f>
        <v>0</v>
      </c>
      <c r="BT80" s="64"/>
      <c r="BU80" s="76" t="s">
        <v>1260</v>
      </c>
      <c r="BV80" s="77">
        <f t="shared" ref="BV80" ca="1" si="192">($M80=BU80)*$D$11</f>
        <v>0</v>
      </c>
      <c r="BW80" s="64"/>
      <c r="BX80" s="76" t="s">
        <v>1265</v>
      </c>
      <c r="BY80" s="77">
        <f t="shared" ref="BY80" ca="1" si="193">($M80=BX80)*$D$11</f>
        <v>0</v>
      </c>
      <c r="BZ80" s="64"/>
      <c r="CA80" s="76" t="s">
        <v>1260</v>
      </c>
      <c r="CB80" s="77">
        <f t="shared" ref="CB80" ca="1" si="194">($M80=CA80)*$D$11</f>
        <v>0</v>
      </c>
      <c r="CC80" s="64"/>
      <c r="CD80" s="76" t="s">
        <v>1265</v>
      </c>
      <c r="CE80" s="77">
        <f t="shared" ref="CE80" ca="1" si="195">($M80=CD80)*$D$11</f>
        <v>0</v>
      </c>
      <c r="CF80" s="64"/>
      <c r="CG80" s="76" t="s">
        <v>1265</v>
      </c>
      <c r="CH80" s="77">
        <f t="shared" ref="CH80" ca="1" si="196">($M80=CG80)*$D$11</f>
        <v>0</v>
      </c>
      <c r="CI80" s="64"/>
      <c r="CJ80" s="76" t="s">
        <v>1265</v>
      </c>
      <c r="CK80" s="77">
        <f t="shared" ref="CK80" ca="1" si="197">($M80=CJ80)*$D$11</f>
        <v>0</v>
      </c>
      <c r="CL80" s="64"/>
      <c r="CM80" s="76" t="s">
        <v>1265</v>
      </c>
      <c r="CN80" s="77">
        <f t="shared" ref="CN80" ca="1" si="198">($M80=CM80)*$D$11</f>
        <v>0</v>
      </c>
      <c r="CO80" s="64"/>
      <c r="CP80" s="76" t="s">
        <v>1265</v>
      </c>
      <c r="CQ80" s="77">
        <f t="shared" ref="CQ80" ca="1" si="199">($M80=CP80)*$D$11</f>
        <v>0</v>
      </c>
      <c r="CR80" s="64"/>
      <c r="CS80" s="76" t="s">
        <v>1265</v>
      </c>
      <c r="CT80" s="77">
        <f t="shared" ref="CT80" ca="1" si="200">($M80=CS80)*$D$11</f>
        <v>0</v>
      </c>
      <c r="CU80" s="64"/>
      <c r="CV80" s="76" t="s">
        <v>1265</v>
      </c>
      <c r="CW80" s="77">
        <f t="shared" ref="CW80" ca="1" si="201">($M80=CV80)*$D$11</f>
        <v>0</v>
      </c>
      <c r="CX80" s="64"/>
      <c r="CY80" s="76" t="s">
        <v>1265</v>
      </c>
      <c r="CZ80" s="77">
        <f t="shared" ref="CZ80" ca="1" si="202">($M80=CY80)*$D$11</f>
        <v>0</v>
      </c>
      <c r="DA80" s="64"/>
      <c r="DB80" s="76" t="s">
        <v>1265</v>
      </c>
      <c r="DC80" s="77">
        <f t="shared" ref="DC80" ca="1" si="203">($M80=DB80)*$D$11</f>
        <v>0</v>
      </c>
      <c r="DD80" s="64"/>
      <c r="DE80" s="76" t="s">
        <v>1265</v>
      </c>
      <c r="DF80" s="77">
        <f t="shared" ref="DF80" ca="1" si="204">($M80=DE80)*$D$11</f>
        <v>0</v>
      </c>
      <c r="DG80" s="64"/>
      <c r="DH80" s="76" t="s">
        <v>1260</v>
      </c>
      <c r="DI80" s="77">
        <f t="shared" ref="DI80" ca="1" si="205">($M80=DH80)*$D$11</f>
        <v>0</v>
      </c>
      <c r="DJ80" s="64"/>
      <c r="DK80" s="76" t="s">
        <v>1843</v>
      </c>
      <c r="DL80" s="77">
        <f t="shared" ref="DL80" ca="1" si="206">($M80=DK80)*$D$11</f>
        <v>0</v>
      </c>
      <c r="DM80" s="64"/>
      <c r="DN80" s="795" t="s">
        <v>1265</v>
      </c>
      <c r="DO80" s="77">
        <f t="shared" ref="DO80" ca="1" si="207">($M80=DN80)*$D$11</f>
        <v>0</v>
      </c>
      <c r="DP80" s="64"/>
      <c r="DQ80" s="795" t="s">
        <v>1265</v>
      </c>
      <c r="DR80" s="77">
        <f t="shared" ref="DR80" ca="1" si="208">($M80=DQ80)*$D$11</f>
        <v>0</v>
      </c>
      <c r="DS80" s="64"/>
      <c r="DT80" s="76" t="s">
        <v>1265</v>
      </c>
      <c r="DU80" s="77">
        <f t="shared" ref="DU80" ca="1" si="209">($M80=DT80)*$D$11</f>
        <v>0</v>
      </c>
      <c r="DV80" s="64"/>
      <c r="DW80" s="76" t="s">
        <v>1265</v>
      </c>
      <c r="DX80" s="77">
        <f t="shared" ref="DX80" ca="1" si="210">($M80=DW80)*$D$11</f>
        <v>0</v>
      </c>
      <c r="DY80" s="64"/>
      <c r="DZ80" s="76" t="s">
        <v>1265</v>
      </c>
      <c r="EA80" s="77">
        <f t="shared" ref="EA80" ca="1" si="211">($M80=DZ80)*$D$11</f>
        <v>0</v>
      </c>
      <c r="EB80" s="64"/>
      <c r="EC80" s="76" t="s">
        <v>1265</v>
      </c>
      <c r="ED80" s="77">
        <f t="shared" ref="ED80" ca="1" si="212">($M80=EC80)*$D$11</f>
        <v>0</v>
      </c>
      <c r="EE80" s="64"/>
      <c r="EF80" s="76" t="s">
        <v>1265</v>
      </c>
      <c r="EG80" s="77">
        <f t="shared" ref="EG80" ca="1" si="213">($M80=EF80)*$D$11</f>
        <v>0</v>
      </c>
      <c r="EH80" s="64"/>
      <c r="EI80" s="76" t="s">
        <v>1265</v>
      </c>
      <c r="EJ80" s="77">
        <f t="shared" ref="EJ80" ca="1" si="214">($M80=EI80)*$D$11</f>
        <v>0</v>
      </c>
      <c r="EK80" s="64"/>
      <c r="EL80" s="76"/>
      <c r="EM80" s="77">
        <f t="shared" ref="EM80" ca="1" si="215">($M80=EL80)*$D$11</f>
        <v>0</v>
      </c>
      <c r="EN80" s="64"/>
      <c r="EO80" s="76"/>
      <c r="EP80" s="77">
        <f t="shared" ref="EP80" ca="1" si="216">($M80=EO80)*$D$11</f>
        <v>0</v>
      </c>
      <c r="EQ80" s="64"/>
      <c r="ER80" s="76"/>
      <c r="ES80" s="77">
        <f t="shared" ref="ES80" ca="1" si="217">($M80=ER80)*$D$11</f>
        <v>0</v>
      </c>
      <c r="ET80" s="64"/>
      <c r="EU80" s="76"/>
      <c r="EV80" s="77">
        <f t="shared" ref="EV80" ca="1" si="218">($M80=EU80)*$D$11</f>
        <v>0</v>
      </c>
      <c r="EW80" s="64"/>
      <c r="EX80" s="76"/>
      <c r="EY80" s="77">
        <f t="shared" ref="EY80" ca="1" si="219">($M80=EX80)*$D$11</f>
        <v>0</v>
      </c>
      <c r="EZ80" s="64"/>
      <c r="FA80" s="76"/>
      <c r="FB80" s="77">
        <f t="shared" ref="FB80" ca="1" si="220">($M80=FA80)*$D$11</f>
        <v>0</v>
      </c>
      <c r="FC80" s="64"/>
      <c r="FD80" s="76"/>
      <c r="FE80" s="77">
        <f t="shared" ref="FE80" ca="1" si="221">($M80=FD80)*$D$11</f>
        <v>0</v>
      </c>
      <c r="FF80" s="64"/>
      <c r="FG80" s="76"/>
      <c r="FH80" s="77">
        <f t="shared" ref="FH80" ca="1" si="222">($M80=FG80)*$D$11</f>
        <v>0</v>
      </c>
      <c r="FI80" s="64"/>
      <c r="FJ80" s="76"/>
      <c r="FK80" s="77">
        <f t="shared" ref="FK80" ca="1" si="223">($M80=FJ80)*$D$11</f>
        <v>0</v>
      </c>
      <c r="FL80" s="64"/>
      <c r="FM80" s="64"/>
    </row>
    <row r="81" spans="1:169">
      <c r="A81" s="49"/>
      <c r="B81" s="49"/>
      <c r="C81" s="49"/>
      <c r="D81" s="49"/>
      <c r="E81" s="111"/>
      <c r="F81" s="127">
        <f>$D$12</f>
        <v>2</v>
      </c>
      <c r="G81" s="445">
        <f ca="1">VLOOKUP(H81,Equipos!$Q$1:$R$25,2,0)</f>
        <v>15</v>
      </c>
      <c r="H81" s="446">
        <f ca="1">$H$54</f>
        <v>46198</v>
      </c>
      <c r="I81" s="50"/>
      <c r="J81" s="852"/>
      <c r="K81" s="56" t="str">
        <f>Idiomas!D151</f>
        <v>2º GRUPO A</v>
      </c>
      <c r="L81" s="53"/>
      <c r="M81" s="55" t="str">
        <f ca="1">IF(OR(SUM(WORLDCUP!$AN$6:$AN$9)=12,WORLDCUP!$AJ$99=144),WORLDCUP!AL7,LEFT(K81,1)&amp;RIGHT(K81,1))</f>
        <v>2A</v>
      </c>
      <c r="N81" s="25"/>
      <c r="O81" s="25"/>
      <c r="P81" s="25"/>
      <c r="Q81" s="25"/>
      <c r="R81" s="110"/>
      <c r="S81" s="74" t="s">
        <v>1260</v>
      </c>
      <c r="T81" s="73">
        <f ca="1">($M81=S81)*$D$12</f>
        <v>0</v>
      </c>
      <c r="U81" s="64"/>
      <c r="V81" s="74" t="s">
        <v>1843</v>
      </c>
      <c r="W81" s="73">
        <f t="shared" ref="W81" ca="1" si="224">($M81=V81)*$D$12</f>
        <v>0</v>
      </c>
      <c r="X81" s="64"/>
      <c r="Y81" s="74" t="s">
        <v>1843</v>
      </c>
      <c r="Z81" s="73">
        <f t="shared" ref="Z81" ca="1" si="225">($M81=Y81)*$D$12</f>
        <v>0</v>
      </c>
      <c r="AA81" s="64"/>
      <c r="AB81" s="74" t="s">
        <v>1260</v>
      </c>
      <c r="AC81" s="73">
        <f t="shared" ref="AC81" ca="1" si="226">($M81=AB81)*$D$12</f>
        <v>0</v>
      </c>
      <c r="AD81" s="64"/>
      <c r="AE81" s="74" t="s">
        <v>1260</v>
      </c>
      <c r="AF81" s="73">
        <f t="shared" ref="AF81" ca="1" si="227">($M81=AE81)*$D$12</f>
        <v>0</v>
      </c>
      <c r="AG81" s="64"/>
      <c r="AH81" s="74" t="s">
        <v>1260</v>
      </c>
      <c r="AI81" s="73">
        <f t="shared" ref="AI81" ca="1" si="228">($M81=AH81)*$D$12</f>
        <v>0</v>
      </c>
      <c r="AJ81" s="64"/>
      <c r="AK81" s="74" t="s">
        <v>1843</v>
      </c>
      <c r="AL81" s="73">
        <f t="shared" ref="AL81" ca="1" si="229">($M81=AK81)*$D$12</f>
        <v>0</v>
      </c>
      <c r="AM81" s="64"/>
      <c r="AN81" s="74" t="s">
        <v>1260</v>
      </c>
      <c r="AO81" s="73">
        <f t="shared" ref="AO81" ca="1" si="230">($M81=AN81)*$D$12</f>
        <v>0</v>
      </c>
      <c r="AP81" s="64"/>
      <c r="AQ81" s="74" t="s">
        <v>1260</v>
      </c>
      <c r="AR81" s="73">
        <f t="shared" ref="AR81" ca="1" si="231">($M81=AQ81)*$D$12</f>
        <v>0</v>
      </c>
      <c r="AS81" s="64"/>
      <c r="AT81" s="74" t="s">
        <v>1260</v>
      </c>
      <c r="AU81" s="73">
        <f t="shared" ref="AU81" ca="1" si="232">($M81=AT81)*$D$12</f>
        <v>0</v>
      </c>
      <c r="AV81" s="64"/>
      <c r="AW81" s="74" t="s">
        <v>1260</v>
      </c>
      <c r="AX81" s="73">
        <f t="shared" ref="AX81" ca="1" si="233">($M81=AW81)*$D$12</f>
        <v>0</v>
      </c>
      <c r="AY81" s="64"/>
      <c r="AZ81" s="74" t="s">
        <v>1260</v>
      </c>
      <c r="BA81" s="73">
        <f t="shared" ref="BA81" ca="1" si="234">($M81=AZ81)*$D$12</f>
        <v>0</v>
      </c>
      <c r="BB81" s="64"/>
      <c r="BC81" s="74" t="s">
        <v>1265</v>
      </c>
      <c r="BD81" s="73">
        <f t="shared" ref="BD81" ca="1" si="235">($M81=BC81)*$D$12</f>
        <v>0</v>
      </c>
      <c r="BE81" s="64"/>
      <c r="BF81" s="74" t="s">
        <v>1843</v>
      </c>
      <c r="BG81" s="73">
        <f t="shared" ref="BG81" ca="1" si="236">($M81=BF81)*$D$12</f>
        <v>0</v>
      </c>
      <c r="BH81" s="64"/>
      <c r="BI81" s="74" t="s">
        <v>1843</v>
      </c>
      <c r="BJ81" s="73">
        <f t="shared" ref="BJ81" ca="1" si="237">($M81=BI81)*$D$12</f>
        <v>0</v>
      </c>
      <c r="BK81" s="64"/>
      <c r="BL81" s="74" t="s">
        <v>1843</v>
      </c>
      <c r="BM81" s="73">
        <f t="shared" ref="BM81" ca="1" si="238">($M81=BL81)*$D$12</f>
        <v>0</v>
      </c>
      <c r="BN81" s="64"/>
      <c r="BO81" s="74" t="s">
        <v>1260</v>
      </c>
      <c r="BP81" s="73">
        <f t="shared" ref="BP81" ca="1" si="239">($M81=BO81)*$D$12</f>
        <v>0</v>
      </c>
      <c r="BQ81" s="64"/>
      <c r="BR81" s="74" t="s">
        <v>1843</v>
      </c>
      <c r="BS81" s="73">
        <f t="shared" ref="BS81" ca="1" si="240">($M81=BR81)*$D$12</f>
        <v>0</v>
      </c>
      <c r="BT81" s="64"/>
      <c r="BU81" s="74" t="s">
        <v>1265</v>
      </c>
      <c r="BV81" s="73">
        <f t="shared" ref="BV81" ca="1" si="241">($M81=BU81)*$D$12</f>
        <v>0</v>
      </c>
      <c r="BW81" s="64"/>
      <c r="BX81" s="74" t="s">
        <v>1260</v>
      </c>
      <c r="BY81" s="73">
        <f t="shared" ref="BY81" ca="1" si="242">($M81=BX81)*$D$12</f>
        <v>0</v>
      </c>
      <c r="BZ81" s="64"/>
      <c r="CA81" s="74" t="s">
        <v>1265</v>
      </c>
      <c r="CB81" s="73">
        <f t="shared" ref="CB81" ca="1" si="243">($M81=CA81)*$D$12</f>
        <v>0</v>
      </c>
      <c r="CC81" s="64"/>
      <c r="CD81" s="74" t="s">
        <v>1260</v>
      </c>
      <c r="CE81" s="73">
        <f t="shared" ref="CE81" ca="1" si="244">($M81=CD81)*$D$12</f>
        <v>0</v>
      </c>
      <c r="CF81" s="64"/>
      <c r="CG81" s="74" t="s">
        <v>1260</v>
      </c>
      <c r="CH81" s="73">
        <f t="shared" ref="CH81" ca="1" si="245">($M81=CG81)*$D$12</f>
        <v>0</v>
      </c>
      <c r="CI81" s="64"/>
      <c r="CJ81" s="74" t="s">
        <v>1260</v>
      </c>
      <c r="CK81" s="73">
        <f t="shared" ref="CK81" ca="1" si="246">($M81=CJ81)*$D$12</f>
        <v>0</v>
      </c>
      <c r="CL81" s="64"/>
      <c r="CM81" s="74" t="s">
        <v>1260</v>
      </c>
      <c r="CN81" s="73">
        <f t="shared" ref="CN81" ca="1" si="247">($M81=CM81)*$D$12</f>
        <v>0</v>
      </c>
      <c r="CO81" s="64"/>
      <c r="CP81" s="74" t="s">
        <v>1843</v>
      </c>
      <c r="CQ81" s="73">
        <f t="shared" ref="CQ81" ca="1" si="248">($M81=CP81)*$D$12</f>
        <v>0</v>
      </c>
      <c r="CR81" s="64"/>
      <c r="CS81" s="74" t="s">
        <v>1843</v>
      </c>
      <c r="CT81" s="73">
        <f t="shared" ref="CT81" ca="1" si="249">($M81=CS81)*$D$12</f>
        <v>0</v>
      </c>
      <c r="CU81" s="64"/>
      <c r="CV81" s="74" t="s">
        <v>1260</v>
      </c>
      <c r="CW81" s="73">
        <f t="shared" ref="CW81" ca="1" si="250">($M81=CV81)*$D$12</f>
        <v>0</v>
      </c>
      <c r="CX81" s="64"/>
      <c r="CY81" s="74" t="s">
        <v>1843</v>
      </c>
      <c r="CZ81" s="73">
        <f t="shared" ref="CZ81" ca="1" si="251">($M81=CY81)*$D$12</f>
        <v>0</v>
      </c>
      <c r="DA81" s="64"/>
      <c r="DB81" s="74" t="s">
        <v>1843</v>
      </c>
      <c r="DC81" s="73">
        <f t="shared" ref="DC81" ca="1" si="252">($M81=DB81)*$D$12</f>
        <v>0</v>
      </c>
      <c r="DD81" s="64"/>
      <c r="DE81" s="74" t="s">
        <v>1843</v>
      </c>
      <c r="DF81" s="73">
        <f t="shared" ref="DF81" ca="1" si="253">($M81=DE81)*$D$12</f>
        <v>0</v>
      </c>
      <c r="DG81" s="64"/>
      <c r="DH81" s="74" t="s">
        <v>1265</v>
      </c>
      <c r="DI81" s="73">
        <f t="shared" ref="DI81" ca="1" si="254">($M81=DH81)*$D$12</f>
        <v>0</v>
      </c>
      <c r="DJ81" s="64"/>
      <c r="DK81" s="74" t="s">
        <v>1265</v>
      </c>
      <c r="DL81" s="73">
        <f t="shared" ref="DL81" ca="1" si="255">($M81=DK81)*$D$12</f>
        <v>0</v>
      </c>
      <c r="DM81" s="64"/>
      <c r="DN81" s="795" t="s">
        <v>1843</v>
      </c>
      <c r="DO81" s="73">
        <f t="shared" ref="DO81" ca="1" si="256">($M81=DN81)*$D$12</f>
        <v>0</v>
      </c>
      <c r="DP81" s="64"/>
      <c r="DQ81" s="795" t="s">
        <v>1843</v>
      </c>
      <c r="DR81" s="73">
        <f t="shared" ref="DR81" ca="1" si="257">($M81=DQ81)*$D$12</f>
        <v>0</v>
      </c>
      <c r="DS81" s="64"/>
      <c r="DT81" s="74" t="s">
        <v>1843</v>
      </c>
      <c r="DU81" s="73">
        <f t="shared" ref="DU81" ca="1" si="258">($M81=DT81)*$D$12</f>
        <v>0</v>
      </c>
      <c r="DV81" s="64"/>
      <c r="DW81" s="74" t="s">
        <v>1260</v>
      </c>
      <c r="DX81" s="73">
        <f t="shared" ref="DX81" ca="1" si="259">($M81=DW81)*$D$12</f>
        <v>0</v>
      </c>
      <c r="DY81" s="64"/>
      <c r="DZ81" s="74" t="s">
        <v>1260</v>
      </c>
      <c r="EA81" s="73">
        <f t="shared" ref="EA81" ca="1" si="260">($M81=DZ81)*$D$12</f>
        <v>0</v>
      </c>
      <c r="EB81" s="64"/>
      <c r="EC81" s="74" t="s">
        <v>1843</v>
      </c>
      <c r="ED81" s="73">
        <f t="shared" ref="ED81" ca="1" si="261">($M81=EC81)*$D$12</f>
        <v>0</v>
      </c>
      <c r="EE81" s="64"/>
      <c r="EF81" s="74" t="s">
        <v>1260</v>
      </c>
      <c r="EG81" s="73">
        <f t="shared" ref="EG81" ca="1" si="262">($M81=EF81)*$D$12</f>
        <v>0</v>
      </c>
      <c r="EH81" s="64"/>
      <c r="EI81" s="74" t="s">
        <v>1260</v>
      </c>
      <c r="EJ81" s="73">
        <f t="shared" ref="EJ81" ca="1" si="263">($M81=EI81)*$D$12</f>
        <v>0</v>
      </c>
      <c r="EK81" s="64"/>
      <c r="EL81" s="74"/>
      <c r="EM81" s="73">
        <f t="shared" ref="EM81" ca="1" si="264">($M81=EL81)*$D$12</f>
        <v>0</v>
      </c>
      <c r="EN81" s="64"/>
      <c r="EO81" s="74"/>
      <c r="EP81" s="73">
        <f t="shared" ref="EP81" ca="1" si="265">($M81=EO81)*$D$12</f>
        <v>0</v>
      </c>
      <c r="EQ81" s="64"/>
      <c r="ER81" s="74"/>
      <c r="ES81" s="73">
        <f t="shared" ref="ES81" ca="1" si="266">($M81=ER81)*$D$12</f>
        <v>0</v>
      </c>
      <c r="ET81" s="64"/>
      <c r="EU81" s="74"/>
      <c r="EV81" s="73">
        <f t="shared" ref="EV81" ca="1" si="267">($M81=EU81)*$D$12</f>
        <v>0</v>
      </c>
      <c r="EW81" s="64"/>
      <c r="EX81" s="74"/>
      <c r="EY81" s="73">
        <f t="shared" ref="EY81" ca="1" si="268">($M81=EX81)*$D$12</f>
        <v>0</v>
      </c>
      <c r="EZ81" s="64"/>
      <c r="FA81" s="74"/>
      <c r="FB81" s="73">
        <f t="shared" ref="FB81" ca="1" si="269">($M81=FA81)*$D$12</f>
        <v>0</v>
      </c>
      <c r="FC81" s="64"/>
      <c r="FD81" s="74"/>
      <c r="FE81" s="73">
        <f t="shared" ref="FE81" ca="1" si="270">($M81=FD81)*$D$12</f>
        <v>0</v>
      </c>
      <c r="FF81" s="64"/>
      <c r="FG81" s="74"/>
      <c r="FH81" s="73">
        <f t="shared" ref="FH81" ca="1" si="271">($M81=FG81)*$D$12</f>
        <v>0</v>
      </c>
      <c r="FI81" s="64"/>
      <c r="FJ81" s="74"/>
      <c r="FK81" s="73">
        <f t="shared" ref="FK81" ca="1" si="272">($M81=FJ81)*$D$12</f>
        <v>0</v>
      </c>
      <c r="FL81" s="64"/>
      <c r="FM81" s="64"/>
    </row>
    <row r="82" spans="1:169">
      <c r="A82" s="49"/>
      <c r="B82" s="49"/>
      <c r="C82" s="49"/>
      <c r="D82" s="49"/>
      <c r="E82" s="111"/>
      <c r="F82" s="127">
        <f>$D$13</f>
        <v>2</v>
      </c>
      <c r="G82" s="445">
        <f ca="1">VLOOKUP(H82,Equipos!$Q$1:$R$25,2,0)</f>
        <v>15</v>
      </c>
      <c r="H82" s="446">
        <f ca="1">$H$54</f>
        <v>46198</v>
      </c>
      <c r="I82" s="50"/>
      <c r="J82" s="852"/>
      <c r="K82" s="56" t="str">
        <f>Idiomas!D152</f>
        <v>3º GRUPO A</v>
      </c>
      <c r="L82" s="53"/>
      <c r="M82" s="55" t="str">
        <f ca="1">IF(OR(SUM(WORLDCUP!$AN$6:$AN$9)=12,WORLDCUP!$AJ$99=144),WORLDCUP!AL8,LEFT(K82,1)&amp;RIGHT(K82,1))</f>
        <v>3A</v>
      </c>
      <c r="N82" s="25"/>
      <c r="O82" s="25"/>
      <c r="P82" s="25"/>
      <c r="Q82" s="25"/>
      <c r="R82" s="110"/>
      <c r="S82" s="74" t="s">
        <v>1843</v>
      </c>
      <c r="T82" s="73">
        <f ca="1">($M82=S82)*$D$13</f>
        <v>0</v>
      </c>
      <c r="U82" s="64"/>
      <c r="V82" s="74" t="s">
        <v>1260</v>
      </c>
      <c r="W82" s="73">
        <f t="shared" ref="W82" ca="1" si="273">($M82=V82)*$D$13</f>
        <v>0</v>
      </c>
      <c r="X82" s="64"/>
      <c r="Y82" s="74" t="s">
        <v>1260</v>
      </c>
      <c r="Z82" s="73">
        <f t="shared" ref="Z82" ca="1" si="274">($M82=Y82)*$D$13</f>
        <v>0</v>
      </c>
      <c r="AA82" s="64"/>
      <c r="AB82" s="74" t="s">
        <v>1843</v>
      </c>
      <c r="AC82" s="73">
        <f t="shared" ref="AC82" ca="1" si="275">($M82=AB82)*$D$13</f>
        <v>0</v>
      </c>
      <c r="AD82" s="64"/>
      <c r="AE82" s="74" t="s">
        <v>1843</v>
      </c>
      <c r="AF82" s="73">
        <f t="shared" ref="AF82" ca="1" si="276">($M82=AE82)*$D$13</f>
        <v>0</v>
      </c>
      <c r="AG82" s="64"/>
      <c r="AH82" s="74" t="s">
        <v>1843</v>
      </c>
      <c r="AI82" s="73">
        <f t="shared" ref="AI82" ca="1" si="277">($M82=AH82)*$D$13</f>
        <v>0</v>
      </c>
      <c r="AJ82" s="64"/>
      <c r="AK82" s="74" t="s">
        <v>1260</v>
      </c>
      <c r="AL82" s="73">
        <f t="shared" ref="AL82" ca="1" si="278">($M82=AK82)*$D$13</f>
        <v>0</v>
      </c>
      <c r="AM82" s="64"/>
      <c r="AN82" s="74" t="s">
        <v>1843</v>
      </c>
      <c r="AO82" s="73">
        <f t="shared" ref="AO82" ca="1" si="279">($M82=AN82)*$D$13</f>
        <v>0</v>
      </c>
      <c r="AP82" s="64"/>
      <c r="AQ82" s="74" t="s">
        <v>1843</v>
      </c>
      <c r="AR82" s="73">
        <f t="shared" ref="AR82" ca="1" si="280">($M82=AQ82)*$D$13</f>
        <v>0</v>
      </c>
      <c r="AS82" s="64"/>
      <c r="AT82" s="74" t="s">
        <v>1843</v>
      </c>
      <c r="AU82" s="73">
        <f t="shared" ref="AU82" ca="1" si="281">($M82=AT82)*$D$13</f>
        <v>0</v>
      </c>
      <c r="AV82" s="64"/>
      <c r="AW82" s="74" t="s">
        <v>1843</v>
      </c>
      <c r="AX82" s="73">
        <f t="shared" ref="AX82" ca="1" si="282">($M82=AW82)*$D$13</f>
        <v>0</v>
      </c>
      <c r="AY82" s="64"/>
      <c r="AZ82" s="74" t="s">
        <v>1843</v>
      </c>
      <c r="BA82" s="73">
        <f t="shared" ref="BA82" ca="1" si="283">($M82=AZ82)*$D$13</f>
        <v>0</v>
      </c>
      <c r="BB82" s="64"/>
      <c r="BC82" s="74" t="s">
        <v>1630</v>
      </c>
      <c r="BD82" s="73">
        <f t="shared" ref="BD82" ca="1" si="284">($M82=BC82)*$D$13</f>
        <v>0</v>
      </c>
      <c r="BE82" s="64"/>
      <c r="BF82" s="74" t="s">
        <v>1260</v>
      </c>
      <c r="BG82" s="73">
        <f t="shared" ref="BG82" ca="1" si="285">($M82=BF82)*$D$13</f>
        <v>0</v>
      </c>
      <c r="BH82" s="64"/>
      <c r="BI82" s="74" t="s">
        <v>1260</v>
      </c>
      <c r="BJ82" s="73">
        <f t="shared" ref="BJ82" ca="1" si="286">($M82=BI82)*$D$13</f>
        <v>0</v>
      </c>
      <c r="BK82" s="64"/>
      <c r="BL82" s="74" t="s">
        <v>1630</v>
      </c>
      <c r="BM82" s="73">
        <f t="shared" ref="BM82" ca="1" si="287">($M82=BL82)*$D$13</f>
        <v>0</v>
      </c>
      <c r="BN82" s="64"/>
      <c r="BO82" s="74" t="s">
        <v>1843</v>
      </c>
      <c r="BP82" s="73">
        <f t="shared" ref="BP82" ca="1" si="288">($M82=BO82)*$D$13</f>
        <v>0</v>
      </c>
      <c r="BQ82" s="64"/>
      <c r="BR82" s="74" t="s">
        <v>1260</v>
      </c>
      <c r="BS82" s="73">
        <f t="shared" ref="BS82" ca="1" si="289">($M82=BR82)*$D$13</f>
        <v>0</v>
      </c>
      <c r="BT82" s="64"/>
      <c r="BU82" s="74" t="s">
        <v>1843</v>
      </c>
      <c r="BV82" s="73">
        <f t="shared" ref="BV82" ca="1" si="290">($M82=BU82)*$D$13</f>
        <v>0</v>
      </c>
      <c r="BW82" s="64"/>
      <c r="BX82" s="74" t="s">
        <v>1843</v>
      </c>
      <c r="BY82" s="73">
        <f t="shared" ref="BY82" ca="1" si="291">($M82=BX82)*$D$13</f>
        <v>0</v>
      </c>
      <c r="BZ82" s="64"/>
      <c r="CA82" s="74" t="s">
        <v>1630</v>
      </c>
      <c r="CB82" s="73">
        <f t="shared" ref="CB82" ca="1" si="292">($M82=CA82)*$D$13</f>
        <v>0</v>
      </c>
      <c r="CC82" s="64"/>
      <c r="CD82" s="74" t="s">
        <v>1843</v>
      </c>
      <c r="CE82" s="73">
        <f t="shared" ref="CE82" ca="1" si="293">($M82=CD82)*$D$13</f>
        <v>0</v>
      </c>
      <c r="CF82" s="64"/>
      <c r="CG82" s="74" t="s">
        <v>1843</v>
      </c>
      <c r="CH82" s="73">
        <f t="shared" ref="CH82" ca="1" si="294">($M82=CG82)*$D$13</f>
        <v>0</v>
      </c>
      <c r="CI82" s="64"/>
      <c r="CJ82" s="74" t="s">
        <v>1843</v>
      </c>
      <c r="CK82" s="73">
        <f t="shared" ref="CK82" ca="1" si="295">($M82=CJ82)*$D$13</f>
        <v>0</v>
      </c>
      <c r="CL82" s="64"/>
      <c r="CM82" s="74" t="s">
        <v>1843</v>
      </c>
      <c r="CN82" s="73">
        <f t="shared" ref="CN82" ca="1" si="296">($M82=CM82)*$D$13</f>
        <v>0</v>
      </c>
      <c r="CO82" s="64"/>
      <c r="CP82" s="74" t="s">
        <v>1630</v>
      </c>
      <c r="CQ82" s="73">
        <f t="shared" ref="CQ82" ca="1" si="297">($M82=CP82)*$D$13</f>
        <v>0</v>
      </c>
      <c r="CR82" s="64"/>
      <c r="CS82" s="74" t="s">
        <v>1260</v>
      </c>
      <c r="CT82" s="73">
        <f t="shared" ref="CT82" ca="1" si="298">($M82=CS82)*$D$13</f>
        <v>0</v>
      </c>
      <c r="CU82" s="64"/>
      <c r="CV82" s="74" t="s">
        <v>1843</v>
      </c>
      <c r="CW82" s="73">
        <f t="shared" ref="CW82" ca="1" si="299">($M82=CV82)*$D$13</f>
        <v>0</v>
      </c>
      <c r="CX82" s="64"/>
      <c r="CY82" s="74" t="s">
        <v>1260</v>
      </c>
      <c r="CZ82" s="73">
        <f t="shared" ref="CZ82" ca="1" si="300">($M82=CY82)*$D$13</f>
        <v>0</v>
      </c>
      <c r="DA82" s="64"/>
      <c r="DB82" s="74" t="s">
        <v>1260</v>
      </c>
      <c r="DC82" s="73">
        <f t="shared" ref="DC82" ca="1" si="301">($M82=DB82)*$D$13</f>
        <v>0</v>
      </c>
      <c r="DD82" s="64"/>
      <c r="DE82" s="74" t="s">
        <v>1260</v>
      </c>
      <c r="DF82" s="73">
        <f t="shared" ref="DF82" ca="1" si="302">($M82=DE82)*$D$13</f>
        <v>0</v>
      </c>
      <c r="DG82" s="64"/>
      <c r="DH82" s="74" t="s">
        <v>1843</v>
      </c>
      <c r="DI82" s="73">
        <f t="shared" ref="DI82" ca="1" si="303">($M82=DH82)*$D$13</f>
        <v>0</v>
      </c>
      <c r="DJ82" s="64"/>
      <c r="DK82" s="74" t="s">
        <v>1260</v>
      </c>
      <c r="DL82" s="73">
        <f t="shared" ref="DL82" ca="1" si="304">($M82=DK82)*$D$13</f>
        <v>0</v>
      </c>
      <c r="DM82" s="64"/>
      <c r="DN82" s="795" t="s">
        <v>1260</v>
      </c>
      <c r="DO82" s="73">
        <f t="shared" ref="DO82" ca="1" si="305">($M82=DN82)*$D$13</f>
        <v>0</v>
      </c>
      <c r="DP82" s="64"/>
      <c r="DQ82" s="795" t="s">
        <v>1630</v>
      </c>
      <c r="DR82" s="73">
        <f t="shared" ref="DR82" ca="1" si="306">($M82=DQ82)*$D$13</f>
        <v>0</v>
      </c>
      <c r="DS82" s="64"/>
      <c r="DT82" s="74" t="s">
        <v>1630</v>
      </c>
      <c r="DU82" s="73">
        <f t="shared" ref="DU82" ca="1" si="307">($M82=DT82)*$D$13</f>
        <v>0</v>
      </c>
      <c r="DV82" s="64"/>
      <c r="DW82" s="74" t="s">
        <v>1843</v>
      </c>
      <c r="DX82" s="73">
        <f t="shared" ref="DX82" ca="1" si="308">($M82=DW82)*$D$13</f>
        <v>0</v>
      </c>
      <c r="DY82" s="64"/>
      <c r="DZ82" s="74" t="s">
        <v>1843</v>
      </c>
      <c r="EA82" s="73">
        <f t="shared" ref="EA82" ca="1" si="309">($M82=DZ82)*$D$13</f>
        <v>0</v>
      </c>
      <c r="EB82" s="64"/>
      <c r="EC82" s="74" t="s">
        <v>1260</v>
      </c>
      <c r="ED82" s="73">
        <f t="shared" ref="ED82" ca="1" si="310">($M82=EC82)*$D$13</f>
        <v>0</v>
      </c>
      <c r="EE82" s="64"/>
      <c r="EF82" s="74" t="s">
        <v>1843</v>
      </c>
      <c r="EG82" s="73">
        <f t="shared" ref="EG82" ca="1" si="311">($M82=EF82)*$D$13</f>
        <v>0</v>
      </c>
      <c r="EH82" s="64"/>
      <c r="EI82" s="74" t="s">
        <v>1843</v>
      </c>
      <c r="EJ82" s="73">
        <f t="shared" ref="EJ82" ca="1" si="312">($M82=EI82)*$D$13</f>
        <v>0</v>
      </c>
      <c r="EK82" s="64"/>
      <c r="EL82" s="74"/>
      <c r="EM82" s="73">
        <f t="shared" ref="EM82" ca="1" si="313">($M82=EL82)*$D$13</f>
        <v>0</v>
      </c>
      <c r="EN82" s="64"/>
      <c r="EO82" s="74"/>
      <c r="EP82" s="73">
        <f t="shared" ref="EP82" ca="1" si="314">($M82=EO82)*$D$13</f>
        <v>0</v>
      </c>
      <c r="EQ82" s="64"/>
      <c r="ER82" s="74"/>
      <c r="ES82" s="73">
        <f t="shared" ref="ES82" ca="1" si="315">($M82=ER82)*$D$13</f>
        <v>0</v>
      </c>
      <c r="ET82" s="64"/>
      <c r="EU82" s="74"/>
      <c r="EV82" s="73">
        <f t="shared" ref="EV82" ca="1" si="316">($M82=EU82)*$D$13</f>
        <v>0</v>
      </c>
      <c r="EW82" s="64"/>
      <c r="EX82" s="74"/>
      <c r="EY82" s="73">
        <f t="shared" ref="EY82" ca="1" si="317">($M82=EX82)*$D$13</f>
        <v>0</v>
      </c>
      <c r="EZ82" s="64"/>
      <c r="FA82" s="74"/>
      <c r="FB82" s="73">
        <f t="shared" ref="FB82" ca="1" si="318">($M82=FA82)*$D$13</f>
        <v>0</v>
      </c>
      <c r="FC82" s="64"/>
      <c r="FD82" s="74"/>
      <c r="FE82" s="73">
        <f t="shared" ref="FE82" ca="1" si="319">($M82=FD82)*$D$13</f>
        <v>0</v>
      </c>
      <c r="FF82" s="64"/>
      <c r="FG82" s="74"/>
      <c r="FH82" s="73">
        <f t="shared" ref="FH82" ca="1" si="320">($M82=FG82)*$D$13</f>
        <v>0</v>
      </c>
      <c r="FI82" s="64"/>
      <c r="FJ82" s="74"/>
      <c r="FK82" s="73">
        <f t="shared" ref="FK82" ca="1" si="321">($M82=FJ82)*$D$13</f>
        <v>0</v>
      </c>
      <c r="FL82" s="64"/>
      <c r="FM82" s="64"/>
    </row>
    <row r="83" spans="1:169">
      <c r="A83" s="49"/>
      <c r="B83" s="49"/>
      <c r="C83" s="49"/>
      <c r="D83" s="49"/>
      <c r="E83" s="111"/>
      <c r="F83" s="127">
        <f>$D$14</f>
        <v>2</v>
      </c>
      <c r="G83" s="445">
        <f ca="1">VLOOKUP(H83,Equipos!$Q$1:$R$25,2,0)</f>
        <v>15</v>
      </c>
      <c r="H83" s="446">
        <f ca="1">$H$54</f>
        <v>46198</v>
      </c>
      <c r="I83" s="50"/>
      <c r="J83" s="852"/>
      <c r="K83" s="56" t="str">
        <f>Idiomas!D153</f>
        <v>4º GRUPO A</v>
      </c>
      <c r="L83" s="53"/>
      <c r="M83" s="55" t="str">
        <f ca="1">IF(OR(SUM(WORLDCUP!$AN$6:$AN$9)=12,WORLDCUP!$AJ$99=144),WORLDCUP!AL9,LEFT(K83,1)&amp;RIGHT(K83,1))</f>
        <v>4A</v>
      </c>
      <c r="N83" s="25"/>
      <c r="O83" s="25"/>
      <c r="P83" s="25"/>
      <c r="Q83" s="25"/>
      <c r="R83" s="110"/>
      <c r="S83" s="74" t="s">
        <v>1630</v>
      </c>
      <c r="T83" s="73">
        <f ca="1">($M83=S83)*$D$14</f>
        <v>0</v>
      </c>
      <c r="U83" s="64"/>
      <c r="V83" s="74" t="s">
        <v>1630</v>
      </c>
      <c r="W83" s="73">
        <f t="shared" ref="W83" ca="1" si="322">($M83=V83)*$D$14</f>
        <v>0</v>
      </c>
      <c r="X83" s="64"/>
      <c r="Y83" s="74" t="s">
        <v>1630</v>
      </c>
      <c r="Z83" s="73">
        <f t="shared" ref="Z83" ca="1" si="323">($M83=Y83)*$D$14</f>
        <v>0</v>
      </c>
      <c r="AA83" s="64"/>
      <c r="AB83" s="74" t="s">
        <v>1630</v>
      </c>
      <c r="AC83" s="73">
        <f t="shared" ref="AC83" ca="1" si="324">($M83=AB83)*$D$14</f>
        <v>0</v>
      </c>
      <c r="AD83" s="64"/>
      <c r="AE83" s="74" t="s">
        <v>1630</v>
      </c>
      <c r="AF83" s="73">
        <f t="shared" ref="AF83" ca="1" si="325">($M83=AE83)*$D$14</f>
        <v>0</v>
      </c>
      <c r="AG83" s="64"/>
      <c r="AH83" s="74" t="s">
        <v>1630</v>
      </c>
      <c r="AI83" s="73">
        <f t="shared" ref="AI83" ca="1" si="326">($M83=AH83)*$D$14</f>
        <v>0</v>
      </c>
      <c r="AJ83" s="64"/>
      <c r="AK83" s="74" t="s">
        <v>1630</v>
      </c>
      <c r="AL83" s="73">
        <f t="shared" ref="AL83" ca="1" si="327">($M83=AK83)*$D$14</f>
        <v>0</v>
      </c>
      <c r="AM83" s="64"/>
      <c r="AN83" s="74" t="s">
        <v>1630</v>
      </c>
      <c r="AO83" s="73">
        <f t="shared" ref="AO83" ca="1" si="328">($M83=AN83)*$D$14</f>
        <v>0</v>
      </c>
      <c r="AP83" s="64"/>
      <c r="AQ83" s="74" t="s">
        <v>1630</v>
      </c>
      <c r="AR83" s="73">
        <f t="shared" ref="AR83" ca="1" si="329">($M83=AQ83)*$D$14</f>
        <v>0</v>
      </c>
      <c r="AS83" s="64"/>
      <c r="AT83" s="74" t="s">
        <v>1630</v>
      </c>
      <c r="AU83" s="73">
        <f t="shared" ref="AU83" ca="1" si="330">($M83=AT83)*$D$14</f>
        <v>0</v>
      </c>
      <c r="AV83" s="64"/>
      <c r="AW83" s="74" t="s">
        <v>1630</v>
      </c>
      <c r="AX83" s="73">
        <f t="shared" ref="AX83" ca="1" si="331">($M83=AW83)*$D$14</f>
        <v>0</v>
      </c>
      <c r="AY83" s="64"/>
      <c r="AZ83" s="74" t="s">
        <v>1630</v>
      </c>
      <c r="BA83" s="73">
        <f t="shared" ref="BA83" ca="1" si="332">($M83=AZ83)*$D$14</f>
        <v>0</v>
      </c>
      <c r="BB83" s="64"/>
      <c r="BC83" s="74" t="s">
        <v>1843</v>
      </c>
      <c r="BD83" s="73">
        <f t="shared" ref="BD83" ca="1" si="333">($M83=BC83)*$D$14</f>
        <v>0</v>
      </c>
      <c r="BE83" s="64"/>
      <c r="BF83" s="74" t="s">
        <v>1630</v>
      </c>
      <c r="BG83" s="73">
        <f t="shared" ref="BG83" ca="1" si="334">($M83=BF83)*$D$14</f>
        <v>0</v>
      </c>
      <c r="BH83" s="64"/>
      <c r="BI83" s="74" t="s">
        <v>1630</v>
      </c>
      <c r="BJ83" s="73">
        <f t="shared" ref="BJ83" ca="1" si="335">($M83=BI83)*$D$14</f>
        <v>0</v>
      </c>
      <c r="BK83" s="64"/>
      <c r="BL83" s="74" t="s">
        <v>1260</v>
      </c>
      <c r="BM83" s="73">
        <f t="shared" ref="BM83" ca="1" si="336">($M83=BL83)*$D$14</f>
        <v>0</v>
      </c>
      <c r="BN83" s="64"/>
      <c r="BO83" s="74" t="s">
        <v>1630</v>
      </c>
      <c r="BP83" s="73">
        <f t="shared" ref="BP83" ca="1" si="337">($M83=BO83)*$D$14</f>
        <v>0</v>
      </c>
      <c r="BQ83" s="64"/>
      <c r="BR83" s="74" t="s">
        <v>1630</v>
      </c>
      <c r="BS83" s="73">
        <f t="shared" ref="BS83" ca="1" si="338">($M83=BR83)*$D$14</f>
        <v>0</v>
      </c>
      <c r="BT83" s="64"/>
      <c r="BU83" s="74" t="s">
        <v>1630</v>
      </c>
      <c r="BV83" s="73">
        <f t="shared" ref="BV83" ca="1" si="339">($M83=BU83)*$D$14</f>
        <v>0</v>
      </c>
      <c r="BW83" s="64"/>
      <c r="BX83" s="74" t="s">
        <v>1630</v>
      </c>
      <c r="BY83" s="73">
        <f t="shared" ref="BY83" ca="1" si="340">($M83=BX83)*$D$14</f>
        <v>0</v>
      </c>
      <c r="BZ83" s="64"/>
      <c r="CA83" s="74" t="s">
        <v>1843</v>
      </c>
      <c r="CB83" s="73">
        <f t="shared" ref="CB83" ca="1" si="341">($M83=CA83)*$D$14</f>
        <v>0</v>
      </c>
      <c r="CC83" s="64"/>
      <c r="CD83" s="74" t="s">
        <v>1630</v>
      </c>
      <c r="CE83" s="73">
        <f t="shared" ref="CE83" ca="1" si="342">($M83=CD83)*$D$14</f>
        <v>0</v>
      </c>
      <c r="CF83" s="64"/>
      <c r="CG83" s="74" t="s">
        <v>1630</v>
      </c>
      <c r="CH83" s="73">
        <f t="shared" ref="CH83" ca="1" si="343">($M83=CG83)*$D$14</f>
        <v>0</v>
      </c>
      <c r="CI83" s="64"/>
      <c r="CJ83" s="74" t="s">
        <v>1630</v>
      </c>
      <c r="CK83" s="73">
        <f t="shared" ref="CK83" ca="1" si="344">($M83=CJ83)*$D$14</f>
        <v>0</v>
      </c>
      <c r="CL83" s="64"/>
      <c r="CM83" s="74" t="s">
        <v>1630</v>
      </c>
      <c r="CN83" s="73">
        <f t="shared" ref="CN83" ca="1" si="345">($M83=CM83)*$D$14</f>
        <v>0</v>
      </c>
      <c r="CO83" s="64"/>
      <c r="CP83" s="74" t="s">
        <v>1260</v>
      </c>
      <c r="CQ83" s="73">
        <f t="shared" ref="CQ83" ca="1" si="346">($M83=CP83)*$D$14</f>
        <v>0</v>
      </c>
      <c r="CR83" s="64"/>
      <c r="CS83" s="74" t="s">
        <v>1630</v>
      </c>
      <c r="CT83" s="73">
        <f t="shared" ref="CT83" ca="1" si="347">($M83=CS83)*$D$14</f>
        <v>0</v>
      </c>
      <c r="CU83" s="64"/>
      <c r="CV83" s="74" t="s">
        <v>1630</v>
      </c>
      <c r="CW83" s="73">
        <f t="shared" ref="CW83" ca="1" si="348">($M83=CV83)*$D$14</f>
        <v>0</v>
      </c>
      <c r="CX83" s="64"/>
      <c r="CY83" s="74" t="s">
        <v>1630</v>
      </c>
      <c r="CZ83" s="73">
        <f t="shared" ref="CZ83" ca="1" si="349">($M83=CY83)*$D$14</f>
        <v>0</v>
      </c>
      <c r="DA83" s="64"/>
      <c r="DB83" s="74" t="s">
        <v>1630</v>
      </c>
      <c r="DC83" s="73">
        <f t="shared" ref="DC83" ca="1" si="350">($M83=DB83)*$D$14</f>
        <v>0</v>
      </c>
      <c r="DD83" s="64"/>
      <c r="DE83" s="74" t="s">
        <v>1630</v>
      </c>
      <c r="DF83" s="73">
        <f t="shared" ref="DF83" ca="1" si="351">($M83=DE83)*$D$14</f>
        <v>0</v>
      </c>
      <c r="DG83" s="64"/>
      <c r="DH83" s="74" t="s">
        <v>1630</v>
      </c>
      <c r="DI83" s="73">
        <f t="shared" ref="DI83" ca="1" si="352">($M83=DH83)*$D$14</f>
        <v>0</v>
      </c>
      <c r="DJ83" s="64"/>
      <c r="DK83" s="74" t="s">
        <v>1630</v>
      </c>
      <c r="DL83" s="73">
        <f t="shared" ref="DL83" ca="1" si="353">($M83=DK83)*$D$14</f>
        <v>0</v>
      </c>
      <c r="DM83" s="64"/>
      <c r="DN83" s="795" t="s">
        <v>1630</v>
      </c>
      <c r="DO83" s="73">
        <f t="shared" ref="DO83" ca="1" si="354">($M83=DN83)*$D$14</f>
        <v>0</v>
      </c>
      <c r="DP83" s="64"/>
      <c r="DQ83" s="795" t="s">
        <v>1260</v>
      </c>
      <c r="DR83" s="73">
        <f t="shared" ref="DR83" ca="1" si="355">($M83=DQ83)*$D$14</f>
        <v>0</v>
      </c>
      <c r="DS83" s="64"/>
      <c r="DT83" s="74" t="s">
        <v>1260</v>
      </c>
      <c r="DU83" s="73">
        <f t="shared" ref="DU83" ca="1" si="356">($M83=DT83)*$D$14</f>
        <v>0</v>
      </c>
      <c r="DV83" s="64"/>
      <c r="DW83" s="74" t="s">
        <v>1630</v>
      </c>
      <c r="DX83" s="73">
        <f t="shared" ref="DX83" ca="1" si="357">($M83=DW83)*$D$14</f>
        <v>0</v>
      </c>
      <c r="DY83" s="64"/>
      <c r="DZ83" s="74" t="s">
        <v>1630</v>
      </c>
      <c r="EA83" s="73">
        <f t="shared" ref="EA83" ca="1" si="358">($M83=DZ83)*$D$14</f>
        <v>0</v>
      </c>
      <c r="EB83" s="64"/>
      <c r="EC83" s="74" t="s">
        <v>1630</v>
      </c>
      <c r="ED83" s="73">
        <f t="shared" ref="ED83" ca="1" si="359">($M83=EC83)*$D$14</f>
        <v>0</v>
      </c>
      <c r="EE83" s="64"/>
      <c r="EF83" s="74" t="s">
        <v>1630</v>
      </c>
      <c r="EG83" s="73">
        <f t="shared" ref="EG83" ca="1" si="360">($M83=EF83)*$D$14</f>
        <v>0</v>
      </c>
      <c r="EH83" s="64"/>
      <c r="EI83" s="74" t="s">
        <v>1630</v>
      </c>
      <c r="EJ83" s="73">
        <f t="shared" ref="EJ83" ca="1" si="361">($M83=EI83)*$D$14</f>
        <v>0</v>
      </c>
      <c r="EK83" s="64"/>
      <c r="EL83" s="74"/>
      <c r="EM83" s="73">
        <f t="shared" ref="EM83" ca="1" si="362">($M83=EL83)*$D$14</f>
        <v>0</v>
      </c>
      <c r="EN83" s="64"/>
      <c r="EO83" s="74"/>
      <c r="EP83" s="73">
        <f t="shared" ref="EP83" ca="1" si="363">($M83=EO83)*$D$14</f>
        <v>0</v>
      </c>
      <c r="EQ83" s="64"/>
      <c r="ER83" s="74"/>
      <c r="ES83" s="73">
        <f t="shared" ref="ES83" ca="1" si="364">($M83=ER83)*$D$14</f>
        <v>0</v>
      </c>
      <c r="ET83" s="64"/>
      <c r="EU83" s="74"/>
      <c r="EV83" s="73">
        <f t="shared" ref="EV83" ca="1" si="365">($M83=EU83)*$D$14</f>
        <v>0</v>
      </c>
      <c r="EW83" s="64"/>
      <c r="EX83" s="74"/>
      <c r="EY83" s="73">
        <f t="shared" ref="EY83" ca="1" si="366">($M83=EX83)*$D$14</f>
        <v>0</v>
      </c>
      <c r="EZ83" s="64"/>
      <c r="FA83" s="74"/>
      <c r="FB83" s="73">
        <f t="shared" ref="FB83" ca="1" si="367">($M83=FA83)*$D$14</f>
        <v>0</v>
      </c>
      <c r="FC83" s="64"/>
      <c r="FD83" s="74"/>
      <c r="FE83" s="73">
        <f t="shared" ref="FE83" ca="1" si="368">($M83=FD83)*$D$14</f>
        <v>0</v>
      </c>
      <c r="FF83" s="64"/>
      <c r="FG83" s="74"/>
      <c r="FH83" s="73">
        <f t="shared" ref="FH83" ca="1" si="369">($M83=FG83)*$D$14</f>
        <v>0</v>
      </c>
      <c r="FI83" s="64"/>
      <c r="FJ83" s="74"/>
      <c r="FK83" s="73">
        <f t="shared" ref="FK83" ca="1" si="370">($M83=FJ83)*$D$14</f>
        <v>0</v>
      </c>
      <c r="FL83" s="64"/>
      <c r="FM83" s="64"/>
    </row>
    <row r="84" spans="1:169">
      <c r="A84" s="49"/>
      <c r="B84" s="49"/>
      <c r="C84" s="49"/>
      <c r="D84" s="49"/>
      <c r="E84" s="111"/>
      <c r="F84" s="127">
        <f t="shared" ref="F84" si="371">$D$11</f>
        <v>2</v>
      </c>
      <c r="G84" s="445">
        <f ca="1">VLOOKUP(H84,Equipos!$Q$1:$R$25,2,0)</f>
        <v>14</v>
      </c>
      <c r="H84" s="446">
        <f ca="1">$H$56</f>
        <v>46197</v>
      </c>
      <c r="I84" s="50"/>
      <c r="J84" s="851" t="s">
        <v>1</v>
      </c>
      <c r="K84" s="56" t="str">
        <f>Idiomas!D154</f>
        <v>1º GRUPO B</v>
      </c>
      <c r="L84" s="53"/>
      <c r="M84" s="55" t="str">
        <f ca="1">IF(OR(SUM(WORLDCUP!$AN$14:$AN$17)=12,WORLDCUP!$AJ$99=144),WORLDCUP!AL14,LEFT(K84,1)&amp;RIGHT(K84,1))</f>
        <v>1B</v>
      </c>
      <c r="N84" s="25"/>
      <c r="O84" s="25"/>
      <c r="P84" s="25"/>
      <c r="Q84" s="25"/>
      <c r="R84" s="110"/>
      <c r="S84" s="74" t="s">
        <v>1259</v>
      </c>
      <c r="T84" s="73">
        <f t="shared" ref="T84" ca="1" si="372">($M84=S84)*$D$11</f>
        <v>0</v>
      </c>
      <c r="U84" s="64"/>
      <c r="V84" s="74" t="s">
        <v>75</v>
      </c>
      <c r="W84" s="73">
        <f t="shared" ref="W84:CH84" ca="1" si="373">($M84=V84)*$D$11</f>
        <v>0</v>
      </c>
      <c r="X84" s="64"/>
      <c r="Y84" s="74" t="s">
        <v>75</v>
      </c>
      <c r="Z84" s="73">
        <f t="shared" ca="1" si="373"/>
        <v>0</v>
      </c>
      <c r="AA84" s="64"/>
      <c r="AB84" s="74" t="s">
        <v>75</v>
      </c>
      <c r="AC84" s="73">
        <f t="shared" ca="1" si="373"/>
        <v>0</v>
      </c>
      <c r="AD84" s="64"/>
      <c r="AE84" s="74" t="s">
        <v>75</v>
      </c>
      <c r="AF84" s="73">
        <f t="shared" ca="1" si="373"/>
        <v>0</v>
      </c>
      <c r="AG84" s="64"/>
      <c r="AH84" s="74" t="s">
        <v>75</v>
      </c>
      <c r="AI84" s="73">
        <f t="shared" ca="1" si="373"/>
        <v>0</v>
      </c>
      <c r="AJ84" s="64"/>
      <c r="AK84" s="74" t="s">
        <v>75</v>
      </c>
      <c r="AL84" s="73">
        <f t="shared" ca="1" si="373"/>
        <v>0</v>
      </c>
      <c r="AM84" s="64"/>
      <c r="AN84" s="74" t="s">
        <v>75</v>
      </c>
      <c r="AO84" s="73">
        <f t="shared" ca="1" si="373"/>
        <v>0</v>
      </c>
      <c r="AP84" s="64"/>
      <c r="AQ84" s="74" t="s">
        <v>75</v>
      </c>
      <c r="AR84" s="73">
        <f t="shared" ca="1" si="373"/>
        <v>0</v>
      </c>
      <c r="AS84" s="64"/>
      <c r="AT84" s="74" t="s">
        <v>75</v>
      </c>
      <c r="AU84" s="73">
        <f t="shared" ca="1" si="373"/>
        <v>0</v>
      </c>
      <c r="AV84" s="64"/>
      <c r="AW84" s="74" t="s">
        <v>1841</v>
      </c>
      <c r="AX84" s="73">
        <f t="shared" ca="1" si="373"/>
        <v>0</v>
      </c>
      <c r="AY84" s="64"/>
      <c r="AZ84" s="74" t="s">
        <v>75</v>
      </c>
      <c r="BA84" s="73">
        <f t="shared" ca="1" si="373"/>
        <v>0</v>
      </c>
      <c r="BB84" s="64"/>
      <c r="BC84" s="74" t="s">
        <v>75</v>
      </c>
      <c r="BD84" s="73">
        <f t="shared" ca="1" si="373"/>
        <v>0</v>
      </c>
      <c r="BE84" s="64"/>
      <c r="BF84" s="74" t="s">
        <v>75</v>
      </c>
      <c r="BG84" s="73">
        <f t="shared" ca="1" si="373"/>
        <v>0</v>
      </c>
      <c r="BH84" s="64"/>
      <c r="BI84" s="74" t="s">
        <v>75</v>
      </c>
      <c r="BJ84" s="73">
        <f t="shared" ca="1" si="373"/>
        <v>0</v>
      </c>
      <c r="BK84" s="64"/>
      <c r="BL84" s="74" t="s">
        <v>75</v>
      </c>
      <c r="BM84" s="73">
        <f t="shared" ca="1" si="373"/>
        <v>0</v>
      </c>
      <c r="BN84" s="64"/>
      <c r="BO84" s="74" t="s">
        <v>75</v>
      </c>
      <c r="BP84" s="73">
        <f t="shared" ca="1" si="373"/>
        <v>0</v>
      </c>
      <c r="BQ84" s="64"/>
      <c r="BR84" s="74" t="s">
        <v>75</v>
      </c>
      <c r="BS84" s="73">
        <f t="shared" ca="1" si="373"/>
        <v>0</v>
      </c>
      <c r="BT84" s="64"/>
      <c r="BU84" s="74" t="s">
        <v>75</v>
      </c>
      <c r="BV84" s="73">
        <f t="shared" ca="1" si="373"/>
        <v>0</v>
      </c>
      <c r="BW84" s="64"/>
      <c r="BX84" s="74" t="s">
        <v>75</v>
      </c>
      <c r="BY84" s="73">
        <f t="shared" ca="1" si="373"/>
        <v>0</v>
      </c>
      <c r="BZ84" s="64"/>
      <c r="CA84" s="74" t="s">
        <v>75</v>
      </c>
      <c r="CB84" s="73">
        <f t="shared" ca="1" si="373"/>
        <v>0</v>
      </c>
      <c r="CC84" s="64"/>
      <c r="CD84" s="74" t="s">
        <v>75</v>
      </c>
      <c r="CE84" s="73">
        <f t="shared" ca="1" si="373"/>
        <v>0</v>
      </c>
      <c r="CF84" s="64"/>
      <c r="CG84" s="74" t="s">
        <v>1259</v>
      </c>
      <c r="CH84" s="73">
        <f t="shared" ca="1" si="373"/>
        <v>0</v>
      </c>
      <c r="CI84" s="64"/>
      <c r="CJ84" s="74" t="s">
        <v>75</v>
      </c>
      <c r="CK84" s="73">
        <f t="shared" ref="CK84:EV84" ca="1" si="374">($M84=CJ84)*$D$11</f>
        <v>0</v>
      </c>
      <c r="CL84" s="64"/>
      <c r="CM84" s="74" t="s">
        <v>75</v>
      </c>
      <c r="CN84" s="73">
        <f t="shared" ca="1" si="374"/>
        <v>0</v>
      </c>
      <c r="CO84" s="64"/>
      <c r="CP84" s="74" t="s">
        <v>75</v>
      </c>
      <c r="CQ84" s="73">
        <f t="shared" ca="1" si="374"/>
        <v>0</v>
      </c>
      <c r="CR84" s="64"/>
      <c r="CS84" s="74" t="s">
        <v>75</v>
      </c>
      <c r="CT84" s="73">
        <f t="shared" ca="1" si="374"/>
        <v>0</v>
      </c>
      <c r="CU84" s="64"/>
      <c r="CV84" s="74" t="s">
        <v>75</v>
      </c>
      <c r="CW84" s="73">
        <f t="shared" ca="1" si="374"/>
        <v>0</v>
      </c>
      <c r="CX84" s="64"/>
      <c r="CY84" s="74" t="s">
        <v>75</v>
      </c>
      <c r="CZ84" s="73">
        <f t="shared" ca="1" si="374"/>
        <v>0</v>
      </c>
      <c r="DA84" s="64"/>
      <c r="DB84" s="74" t="s">
        <v>75</v>
      </c>
      <c r="DC84" s="73">
        <f t="shared" ca="1" si="374"/>
        <v>0</v>
      </c>
      <c r="DD84" s="64"/>
      <c r="DE84" s="74" t="s">
        <v>75</v>
      </c>
      <c r="DF84" s="73">
        <f t="shared" ca="1" si="374"/>
        <v>0</v>
      </c>
      <c r="DG84" s="64"/>
      <c r="DH84" s="74" t="s">
        <v>75</v>
      </c>
      <c r="DI84" s="73">
        <f t="shared" ca="1" si="374"/>
        <v>0</v>
      </c>
      <c r="DJ84" s="64"/>
      <c r="DK84" s="74" t="s">
        <v>75</v>
      </c>
      <c r="DL84" s="73">
        <f t="shared" ca="1" si="374"/>
        <v>0</v>
      </c>
      <c r="DM84" s="64"/>
      <c r="DN84" s="795" t="s">
        <v>75</v>
      </c>
      <c r="DO84" s="73">
        <f t="shared" ca="1" si="374"/>
        <v>0</v>
      </c>
      <c r="DP84" s="64"/>
      <c r="DQ84" s="795" t="s">
        <v>75</v>
      </c>
      <c r="DR84" s="73">
        <f t="shared" ca="1" si="374"/>
        <v>0</v>
      </c>
      <c r="DS84" s="64"/>
      <c r="DT84" s="74" t="s">
        <v>75</v>
      </c>
      <c r="DU84" s="73">
        <f t="shared" ca="1" si="374"/>
        <v>0</v>
      </c>
      <c r="DV84" s="64"/>
      <c r="DW84" s="74" t="s">
        <v>75</v>
      </c>
      <c r="DX84" s="73">
        <f t="shared" ca="1" si="374"/>
        <v>0</v>
      </c>
      <c r="DY84" s="64"/>
      <c r="DZ84" s="74" t="s">
        <v>1259</v>
      </c>
      <c r="EA84" s="73">
        <f t="shared" ca="1" si="374"/>
        <v>0</v>
      </c>
      <c r="EB84" s="64"/>
      <c r="EC84" s="74" t="s">
        <v>75</v>
      </c>
      <c r="ED84" s="73">
        <f t="shared" ca="1" si="374"/>
        <v>0</v>
      </c>
      <c r="EE84" s="64"/>
      <c r="EF84" s="74" t="s">
        <v>75</v>
      </c>
      <c r="EG84" s="73">
        <f t="shared" ca="1" si="374"/>
        <v>0</v>
      </c>
      <c r="EH84" s="64"/>
      <c r="EI84" s="74" t="s">
        <v>75</v>
      </c>
      <c r="EJ84" s="73">
        <f t="shared" ca="1" si="374"/>
        <v>0</v>
      </c>
      <c r="EK84" s="64"/>
      <c r="EL84" s="74"/>
      <c r="EM84" s="73">
        <f t="shared" ca="1" si="374"/>
        <v>0</v>
      </c>
      <c r="EN84" s="64"/>
      <c r="EO84" s="74"/>
      <c r="EP84" s="73">
        <f t="shared" ca="1" si="374"/>
        <v>0</v>
      </c>
      <c r="EQ84" s="64"/>
      <c r="ER84" s="74"/>
      <c r="ES84" s="73">
        <f t="shared" ca="1" si="374"/>
        <v>0</v>
      </c>
      <c r="ET84" s="64"/>
      <c r="EU84" s="74"/>
      <c r="EV84" s="73">
        <f t="shared" ca="1" si="374"/>
        <v>0</v>
      </c>
      <c r="EW84" s="64"/>
      <c r="EX84" s="74"/>
      <c r="EY84" s="73">
        <f t="shared" ref="EY84:FK84" ca="1" si="375">($M84=EX84)*$D$11</f>
        <v>0</v>
      </c>
      <c r="EZ84" s="64"/>
      <c r="FA84" s="74"/>
      <c r="FB84" s="73">
        <f t="shared" ca="1" si="375"/>
        <v>0</v>
      </c>
      <c r="FC84" s="64"/>
      <c r="FD84" s="74"/>
      <c r="FE84" s="73">
        <f t="shared" ca="1" si="375"/>
        <v>0</v>
      </c>
      <c r="FF84" s="64"/>
      <c r="FG84" s="74"/>
      <c r="FH84" s="73">
        <f t="shared" ca="1" si="375"/>
        <v>0</v>
      </c>
      <c r="FI84" s="64"/>
      <c r="FJ84" s="74"/>
      <c r="FK84" s="73">
        <f t="shared" ca="1" si="375"/>
        <v>0</v>
      </c>
      <c r="FL84" s="64"/>
      <c r="FM84" s="64"/>
    </row>
    <row r="85" spans="1:169">
      <c r="A85" s="49"/>
      <c r="B85" s="49"/>
      <c r="C85" s="49"/>
      <c r="D85" s="49"/>
      <c r="E85" s="111"/>
      <c r="F85" s="127">
        <f t="shared" ref="F85" si="376">$D$12</f>
        <v>2</v>
      </c>
      <c r="G85" s="445">
        <f ca="1">VLOOKUP(H85,Equipos!$Q$1:$R$25,2,0)</f>
        <v>14</v>
      </c>
      <c r="H85" s="446">
        <f ca="1">$H$56</f>
        <v>46197</v>
      </c>
      <c r="I85" s="50"/>
      <c r="J85" s="851"/>
      <c r="K85" s="56" t="str">
        <f>Idiomas!D155</f>
        <v>2º GRUPO B</v>
      </c>
      <c r="L85" s="53"/>
      <c r="M85" s="55" t="str">
        <f ca="1">IF(OR(SUM(WORLDCUP!$AN$14:$AN$17)=12,WORLDCUP!$AJ$99=144),WORLDCUP!AL15,LEFT(K85,1)&amp;RIGHT(K85,1))</f>
        <v>2B</v>
      </c>
      <c r="N85" s="25"/>
      <c r="O85" s="25"/>
      <c r="P85" s="25"/>
      <c r="Q85" s="25"/>
      <c r="R85" s="110"/>
      <c r="S85" s="74" t="s">
        <v>75</v>
      </c>
      <c r="T85" s="73">
        <f t="shared" ref="T85" ca="1" si="377">($M85=S85)*$D$12</f>
        <v>0</v>
      </c>
      <c r="U85" s="64"/>
      <c r="V85" s="74" t="s">
        <v>1841</v>
      </c>
      <c r="W85" s="73">
        <f t="shared" ref="W85:CH85" ca="1" si="378">($M85=V85)*$D$12</f>
        <v>0</v>
      </c>
      <c r="X85" s="64"/>
      <c r="Y85" s="74" t="s">
        <v>1841</v>
      </c>
      <c r="Z85" s="73">
        <f t="shared" ca="1" si="378"/>
        <v>0</v>
      </c>
      <c r="AA85" s="64"/>
      <c r="AB85" s="74" t="s">
        <v>1841</v>
      </c>
      <c r="AC85" s="73">
        <f t="shared" ca="1" si="378"/>
        <v>0</v>
      </c>
      <c r="AD85" s="64"/>
      <c r="AE85" s="74" t="s">
        <v>1259</v>
      </c>
      <c r="AF85" s="73">
        <f t="shared" ca="1" si="378"/>
        <v>0</v>
      </c>
      <c r="AG85" s="64"/>
      <c r="AH85" s="74" t="s">
        <v>1259</v>
      </c>
      <c r="AI85" s="73">
        <f t="shared" ca="1" si="378"/>
        <v>0</v>
      </c>
      <c r="AJ85" s="64"/>
      <c r="AK85" s="74" t="s">
        <v>1841</v>
      </c>
      <c r="AL85" s="73">
        <f t="shared" ca="1" si="378"/>
        <v>0</v>
      </c>
      <c r="AM85" s="64"/>
      <c r="AN85" s="74" t="s">
        <v>1259</v>
      </c>
      <c r="AO85" s="73">
        <f t="shared" ca="1" si="378"/>
        <v>0</v>
      </c>
      <c r="AP85" s="64"/>
      <c r="AQ85" s="74" t="s">
        <v>1259</v>
      </c>
      <c r="AR85" s="73">
        <f t="shared" ca="1" si="378"/>
        <v>0</v>
      </c>
      <c r="AS85" s="64"/>
      <c r="AT85" s="74" t="s">
        <v>1841</v>
      </c>
      <c r="AU85" s="73">
        <f t="shared" ca="1" si="378"/>
        <v>0</v>
      </c>
      <c r="AV85" s="64"/>
      <c r="AW85" s="74" t="s">
        <v>75</v>
      </c>
      <c r="AX85" s="73">
        <f t="shared" ca="1" si="378"/>
        <v>0</v>
      </c>
      <c r="AY85" s="64"/>
      <c r="AZ85" s="74" t="s">
        <v>1259</v>
      </c>
      <c r="BA85" s="73">
        <f t="shared" ca="1" si="378"/>
        <v>0</v>
      </c>
      <c r="BB85" s="64"/>
      <c r="BC85" s="74" t="s">
        <v>1259</v>
      </c>
      <c r="BD85" s="73">
        <f t="shared" ca="1" si="378"/>
        <v>0</v>
      </c>
      <c r="BE85" s="64"/>
      <c r="BF85" s="74" t="s">
        <v>1259</v>
      </c>
      <c r="BG85" s="73">
        <f t="shared" ca="1" si="378"/>
        <v>0</v>
      </c>
      <c r="BH85" s="64"/>
      <c r="BI85" s="74" t="s">
        <v>1841</v>
      </c>
      <c r="BJ85" s="73">
        <f t="shared" ca="1" si="378"/>
        <v>0</v>
      </c>
      <c r="BK85" s="64"/>
      <c r="BL85" s="74" t="s">
        <v>1259</v>
      </c>
      <c r="BM85" s="73">
        <f t="shared" ca="1" si="378"/>
        <v>0</v>
      </c>
      <c r="BN85" s="64"/>
      <c r="BO85" s="74" t="s">
        <v>1259</v>
      </c>
      <c r="BP85" s="73">
        <f t="shared" ca="1" si="378"/>
        <v>0</v>
      </c>
      <c r="BQ85" s="64"/>
      <c r="BR85" s="74" t="s">
        <v>1841</v>
      </c>
      <c r="BS85" s="73">
        <f t="shared" ca="1" si="378"/>
        <v>0</v>
      </c>
      <c r="BT85" s="64"/>
      <c r="BU85" s="74" t="s">
        <v>1841</v>
      </c>
      <c r="BV85" s="73">
        <f t="shared" ca="1" si="378"/>
        <v>0</v>
      </c>
      <c r="BW85" s="64"/>
      <c r="BX85" s="74" t="s">
        <v>1259</v>
      </c>
      <c r="BY85" s="73">
        <f t="shared" ca="1" si="378"/>
        <v>0</v>
      </c>
      <c r="BZ85" s="64"/>
      <c r="CA85" s="74" t="s">
        <v>1259</v>
      </c>
      <c r="CB85" s="73">
        <f t="shared" ca="1" si="378"/>
        <v>0</v>
      </c>
      <c r="CC85" s="64"/>
      <c r="CD85" s="74" t="s">
        <v>1259</v>
      </c>
      <c r="CE85" s="73">
        <f t="shared" ca="1" si="378"/>
        <v>0</v>
      </c>
      <c r="CF85" s="64"/>
      <c r="CG85" s="74" t="s">
        <v>75</v>
      </c>
      <c r="CH85" s="73">
        <f t="shared" ca="1" si="378"/>
        <v>0</v>
      </c>
      <c r="CI85" s="64"/>
      <c r="CJ85" s="74" t="s">
        <v>1259</v>
      </c>
      <c r="CK85" s="73">
        <f t="shared" ref="CK85:EV85" ca="1" si="379">($M85=CJ85)*$D$12</f>
        <v>0</v>
      </c>
      <c r="CL85" s="64"/>
      <c r="CM85" s="74" t="s">
        <v>1259</v>
      </c>
      <c r="CN85" s="73">
        <f t="shared" ca="1" si="379"/>
        <v>0</v>
      </c>
      <c r="CO85" s="64"/>
      <c r="CP85" s="74" t="s">
        <v>1259</v>
      </c>
      <c r="CQ85" s="73">
        <f t="shared" ca="1" si="379"/>
        <v>0</v>
      </c>
      <c r="CR85" s="64"/>
      <c r="CS85" s="74" t="s">
        <v>1259</v>
      </c>
      <c r="CT85" s="73">
        <f t="shared" ca="1" si="379"/>
        <v>0</v>
      </c>
      <c r="CU85" s="64"/>
      <c r="CV85" s="74" t="s">
        <v>1841</v>
      </c>
      <c r="CW85" s="73">
        <f t="shared" ca="1" si="379"/>
        <v>0</v>
      </c>
      <c r="CX85" s="64"/>
      <c r="CY85" s="74" t="s">
        <v>1841</v>
      </c>
      <c r="CZ85" s="73">
        <f t="shared" ca="1" si="379"/>
        <v>0</v>
      </c>
      <c r="DA85" s="64"/>
      <c r="DB85" s="74" t="s">
        <v>1259</v>
      </c>
      <c r="DC85" s="73">
        <f t="shared" ca="1" si="379"/>
        <v>0</v>
      </c>
      <c r="DD85" s="64"/>
      <c r="DE85" s="74" t="s">
        <v>1259</v>
      </c>
      <c r="DF85" s="73">
        <f t="shared" ca="1" si="379"/>
        <v>0</v>
      </c>
      <c r="DG85" s="64"/>
      <c r="DH85" s="74" t="s">
        <v>1259</v>
      </c>
      <c r="DI85" s="73">
        <f t="shared" ca="1" si="379"/>
        <v>0</v>
      </c>
      <c r="DJ85" s="64"/>
      <c r="DK85" s="74" t="s">
        <v>1841</v>
      </c>
      <c r="DL85" s="73">
        <f t="shared" ca="1" si="379"/>
        <v>0</v>
      </c>
      <c r="DM85" s="64"/>
      <c r="DN85" s="795" t="s">
        <v>1841</v>
      </c>
      <c r="DO85" s="73">
        <f t="shared" ca="1" si="379"/>
        <v>0</v>
      </c>
      <c r="DP85" s="64"/>
      <c r="DQ85" s="795" t="s">
        <v>1841</v>
      </c>
      <c r="DR85" s="73">
        <f t="shared" ca="1" si="379"/>
        <v>0</v>
      </c>
      <c r="DS85" s="64"/>
      <c r="DT85" s="74" t="s">
        <v>1259</v>
      </c>
      <c r="DU85" s="73">
        <f t="shared" ca="1" si="379"/>
        <v>0</v>
      </c>
      <c r="DV85" s="64"/>
      <c r="DW85" s="74" t="s">
        <v>1259</v>
      </c>
      <c r="DX85" s="73">
        <f t="shared" ca="1" si="379"/>
        <v>0</v>
      </c>
      <c r="DY85" s="64"/>
      <c r="DZ85" s="74" t="s">
        <v>75</v>
      </c>
      <c r="EA85" s="73">
        <f t="shared" ca="1" si="379"/>
        <v>0</v>
      </c>
      <c r="EB85" s="64"/>
      <c r="EC85" s="74" t="s">
        <v>1841</v>
      </c>
      <c r="ED85" s="73">
        <f t="shared" ca="1" si="379"/>
        <v>0</v>
      </c>
      <c r="EE85" s="64"/>
      <c r="EF85" s="74" t="s">
        <v>1259</v>
      </c>
      <c r="EG85" s="73">
        <f t="shared" ca="1" si="379"/>
        <v>0</v>
      </c>
      <c r="EH85" s="64"/>
      <c r="EI85" s="74" t="s">
        <v>1841</v>
      </c>
      <c r="EJ85" s="73">
        <f t="shared" ca="1" si="379"/>
        <v>0</v>
      </c>
      <c r="EK85" s="64"/>
      <c r="EL85" s="74"/>
      <c r="EM85" s="73">
        <f t="shared" ca="1" si="379"/>
        <v>0</v>
      </c>
      <c r="EN85" s="64"/>
      <c r="EO85" s="74"/>
      <c r="EP85" s="73">
        <f t="shared" ca="1" si="379"/>
        <v>0</v>
      </c>
      <c r="EQ85" s="64"/>
      <c r="ER85" s="74"/>
      <c r="ES85" s="73">
        <f t="shared" ca="1" si="379"/>
        <v>0</v>
      </c>
      <c r="ET85" s="64"/>
      <c r="EU85" s="74"/>
      <c r="EV85" s="73">
        <f t="shared" ca="1" si="379"/>
        <v>0</v>
      </c>
      <c r="EW85" s="64"/>
      <c r="EX85" s="74"/>
      <c r="EY85" s="73">
        <f t="shared" ref="EY85:FK85" ca="1" si="380">($M85=EX85)*$D$12</f>
        <v>0</v>
      </c>
      <c r="EZ85" s="64"/>
      <c r="FA85" s="74"/>
      <c r="FB85" s="73">
        <f t="shared" ca="1" si="380"/>
        <v>0</v>
      </c>
      <c r="FC85" s="64"/>
      <c r="FD85" s="74"/>
      <c r="FE85" s="73">
        <f t="shared" ca="1" si="380"/>
        <v>0</v>
      </c>
      <c r="FF85" s="64"/>
      <c r="FG85" s="74"/>
      <c r="FH85" s="73">
        <f t="shared" ca="1" si="380"/>
        <v>0</v>
      </c>
      <c r="FI85" s="64"/>
      <c r="FJ85" s="74"/>
      <c r="FK85" s="73">
        <f t="shared" ca="1" si="380"/>
        <v>0</v>
      </c>
      <c r="FL85" s="64"/>
      <c r="FM85" s="64"/>
    </row>
    <row r="86" spans="1:169">
      <c r="A86" s="49"/>
      <c r="B86" s="49"/>
      <c r="C86" s="49"/>
      <c r="D86" s="49"/>
      <c r="E86" s="111"/>
      <c r="F86" s="127">
        <f t="shared" ref="F86" si="381">$D$13</f>
        <v>2</v>
      </c>
      <c r="G86" s="445">
        <f ca="1">VLOOKUP(H86,Equipos!$Q$1:$R$25,2,0)</f>
        <v>14</v>
      </c>
      <c r="H86" s="446">
        <f ca="1">$H$56</f>
        <v>46197</v>
      </c>
      <c r="I86" s="50"/>
      <c r="J86" s="851"/>
      <c r="K86" s="56" t="str">
        <f>Idiomas!D156</f>
        <v>3º GRUPO B</v>
      </c>
      <c r="L86" s="53"/>
      <c r="M86" s="55" t="str">
        <f ca="1">IF(OR(SUM(WORLDCUP!$AN$14:$AN$17)=12,WORLDCUP!$AJ$99=144),WORLDCUP!AL16,LEFT(K86,1)&amp;RIGHT(K86,1))</f>
        <v>3B</v>
      </c>
      <c r="N86" s="25"/>
      <c r="O86" s="25"/>
      <c r="P86" s="25"/>
      <c r="Q86" s="25"/>
      <c r="R86" s="110"/>
      <c r="S86" s="74" t="s">
        <v>1841</v>
      </c>
      <c r="T86" s="73">
        <f t="shared" ref="T86" ca="1" si="382">($M86=S86)*$D$13</f>
        <v>0</v>
      </c>
      <c r="U86" s="64"/>
      <c r="V86" s="74" t="s">
        <v>1259</v>
      </c>
      <c r="W86" s="73">
        <f t="shared" ref="W86:CH86" ca="1" si="383">($M86=V86)*$D$13</f>
        <v>0</v>
      </c>
      <c r="X86" s="64"/>
      <c r="Y86" s="74" t="s">
        <v>1259</v>
      </c>
      <c r="Z86" s="73">
        <f t="shared" ca="1" si="383"/>
        <v>0</v>
      </c>
      <c r="AA86" s="64"/>
      <c r="AB86" s="74" t="s">
        <v>1259</v>
      </c>
      <c r="AC86" s="73">
        <f t="shared" ca="1" si="383"/>
        <v>0</v>
      </c>
      <c r="AD86" s="64"/>
      <c r="AE86" s="74" t="s">
        <v>1841</v>
      </c>
      <c r="AF86" s="73">
        <f t="shared" ca="1" si="383"/>
        <v>0</v>
      </c>
      <c r="AG86" s="64"/>
      <c r="AH86" s="74" t="s">
        <v>1841</v>
      </c>
      <c r="AI86" s="73">
        <f t="shared" ca="1" si="383"/>
        <v>0</v>
      </c>
      <c r="AJ86" s="64"/>
      <c r="AK86" s="74" t="s">
        <v>1259</v>
      </c>
      <c r="AL86" s="73">
        <f t="shared" ca="1" si="383"/>
        <v>0</v>
      </c>
      <c r="AM86" s="64"/>
      <c r="AN86" s="74" t="s">
        <v>1841</v>
      </c>
      <c r="AO86" s="73">
        <f t="shared" ca="1" si="383"/>
        <v>0</v>
      </c>
      <c r="AP86" s="64"/>
      <c r="AQ86" s="74" t="s">
        <v>1841</v>
      </c>
      <c r="AR86" s="73">
        <f t="shared" ca="1" si="383"/>
        <v>0</v>
      </c>
      <c r="AS86" s="64"/>
      <c r="AT86" s="74" t="s">
        <v>1259</v>
      </c>
      <c r="AU86" s="73">
        <f t="shared" ca="1" si="383"/>
        <v>0</v>
      </c>
      <c r="AV86" s="64"/>
      <c r="AW86" s="74" t="s">
        <v>1259</v>
      </c>
      <c r="AX86" s="73">
        <f t="shared" ca="1" si="383"/>
        <v>0</v>
      </c>
      <c r="AY86" s="64"/>
      <c r="AZ86" s="74" t="s">
        <v>1841</v>
      </c>
      <c r="BA86" s="73">
        <f t="shared" ca="1" si="383"/>
        <v>0</v>
      </c>
      <c r="BB86" s="64"/>
      <c r="BC86" s="74" t="s">
        <v>1631</v>
      </c>
      <c r="BD86" s="73">
        <f t="shared" ca="1" si="383"/>
        <v>0</v>
      </c>
      <c r="BE86" s="64"/>
      <c r="BF86" s="74" t="s">
        <v>1631</v>
      </c>
      <c r="BG86" s="73">
        <f t="shared" ca="1" si="383"/>
        <v>0</v>
      </c>
      <c r="BH86" s="64"/>
      <c r="BI86" s="74" t="s">
        <v>1259</v>
      </c>
      <c r="BJ86" s="73">
        <f t="shared" ca="1" si="383"/>
        <v>0</v>
      </c>
      <c r="BK86" s="64"/>
      <c r="BL86" s="74" t="s">
        <v>1631</v>
      </c>
      <c r="BM86" s="73">
        <f t="shared" ca="1" si="383"/>
        <v>0</v>
      </c>
      <c r="BN86" s="64"/>
      <c r="BO86" s="74" t="s">
        <v>1631</v>
      </c>
      <c r="BP86" s="73">
        <f t="shared" ca="1" si="383"/>
        <v>0</v>
      </c>
      <c r="BQ86" s="64"/>
      <c r="BR86" s="74" t="s">
        <v>1259</v>
      </c>
      <c r="BS86" s="73">
        <f t="shared" ca="1" si="383"/>
        <v>0</v>
      </c>
      <c r="BT86" s="64"/>
      <c r="BU86" s="74" t="s">
        <v>1259</v>
      </c>
      <c r="BV86" s="73">
        <f t="shared" ca="1" si="383"/>
        <v>0</v>
      </c>
      <c r="BW86" s="64"/>
      <c r="BX86" s="74" t="s">
        <v>1841</v>
      </c>
      <c r="BY86" s="73">
        <f t="shared" ca="1" si="383"/>
        <v>0</v>
      </c>
      <c r="BZ86" s="64"/>
      <c r="CA86" s="74" t="s">
        <v>1841</v>
      </c>
      <c r="CB86" s="73">
        <f t="shared" ca="1" si="383"/>
        <v>0</v>
      </c>
      <c r="CC86" s="64"/>
      <c r="CD86" s="74" t="s">
        <v>1841</v>
      </c>
      <c r="CE86" s="73">
        <f t="shared" ca="1" si="383"/>
        <v>0</v>
      </c>
      <c r="CF86" s="64"/>
      <c r="CG86" s="74" t="s">
        <v>1841</v>
      </c>
      <c r="CH86" s="73">
        <f t="shared" ca="1" si="383"/>
        <v>0</v>
      </c>
      <c r="CI86" s="64"/>
      <c r="CJ86" s="74" t="s">
        <v>1631</v>
      </c>
      <c r="CK86" s="73">
        <f t="shared" ref="CK86:EV86" ca="1" si="384">($M86=CJ86)*$D$13</f>
        <v>0</v>
      </c>
      <c r="CL86" s="64"/>
      <c r="CM86" s="74" t="s">
        <v>1841</v>
      </c>
      <c r="CN86" s="73">
        <f t="shared" ca="1" si="384"/>
        <v>0</v>
      </c>
      <c r="CO86" s="64"/>
      <c r="CP86" s="74" t="s">
        <v>1841</v>
      </c>
      <c r="CQ86" s="73">
        <f t="shared" ca="1" si="384"/>
        <v>0</v>
      </c>
      <c r="CR86" s="64"/>
      <c r="CS86" s="74" t="s">
        <v>1841</v>
      </c>
      <c r="CT86" s="73">
        <f t="shared" ca="1" si="384"/>
        <v>0</v>
      </c>
      <c r="CU86" s="64"/>
      <c r="CV86" s="74" t="s">
        <v>1259</v>
      </c>
      <c r="CW86" s="73">
        <f t="shared" ca="1" si="384"/>
        <v>0</v>
      </c>
      <c r="CX86" s="64"/>
      <c r="CY86" s="74" t="s">
        <v>1259</v>
      </c>
      <c r="CZ86" s="73">
        <f t="shared" ca="1" si="384"/>
        <v>0</v>
      </c>
      <c r="DA86" s="64"/>
      <c r="DB86" s="74" t="s">
        <v>1841</v>
      </c>
      <c r="DC86" s="73">
        <f t="shared" ca="1" si="384"/>
        <v>0</v>
      </c>
      <c r="DD86" s="64"/>
      <c r="DE86" s="74" t="s">
        <v>1841</v>
      </c>
      <c r="DF86" s="73">
        <f t="shared" ca="1" si="384"/>
        <v>0</v>
      </c>
      <c r="DG86" s="64"/>
      <c r="DH86" s="74" t="s">
        <v>1631</v>
      </c>
      <c r="DI86" s="73">
        <f t="shared" ca="1" si="384"/>
        <v>0</v>
      </c>
      <c r="DJ86" s="64"/>
      <c r="DK86" s="74" t="s">
        <v>1259</v>
      </c>
      <c r="DL86" s="73">
        <f t="shared" ca="1" si="384"/>
        <v>0</v>
      </c>
      <c r="DM86" s="64"/>
      <c r="DN86" s="795" t="s">
        <v>1631</v>
      </c>
      <c r="DO86" s="73">
        <f t="shared" ca="1" si="384"/>
        <v>0</v>
      </c>
      <c r="DP86" s="64"/>
      <c r="DQ86" s="795" t="s">
        <v>1631</v>
      </c>
      <c r="DR86" s="73">
        <f t="shared" ca="1" si="384"/>
        <v>0</v>
      </c>
      <c r="DS86" s="64"/>
      <c r="DT86" s="74" t="s">
        <v>1841</v>
      </c>
      <c r="DU86" s="73">
        <f t="shared" ca="1" si="384"/>
        <v>0</v>
      </c>
      <c r="DV86" s="64"/>
      <c r="DW86" s="74" t="s">
        <v>1841</v>
      </c>
      <c r="DX86" s="73">
        <f t="shared" ca="1" si="384"/>
        <v>0</v>
      </c>
      <c r="DY86" s="64"/>
      <c r="DZ86" s="74" t="s">
        <v>1841</v>
      </c>
      <c r="EA86" s="73">
        <f t="shared" ca="1" si="384"/>
        <v>0</v>
      </c>
      <c r="EB86" s="64"/>
      <c r="EC86" s="74" t="s">
        <v>1631</v>
      </c>
      <c r="ED86" s="73">
        <f t="shared" ca="1" si="384"/>
        <v>0</v>
      </c>
      <c r="EE86" s="64"/>
      <c r="EF86" s="74" t="s">
        <v>1631</v>
      </c>
      <c r="EG86" s="73">
        <f t="shared" ca="1" si="384"/>
        <v>0</v>
      </c>
      <c r="EH86" s="64"/>
      <c r="EI86" s="74" t="s">
        <v>1259</v>
      </c>
      <c r="EJ86" s="73">
        <f t="shared" ca="1" si="384"/>
        <v>0</v>
      </c>
      <c r="EK86" s="64"/>
      <c r="EL86" s="74"/>
      <c r="EM86" s="73">
        <f t="shared" ca="1" si="384"/>
        <v>0</v>
      </c>
      <c r="EN86" s="64"/>
      <c r="EO86" s="74"/>
      <c r="EP86" s="73">
        <f t="shared" ca="1" si="384"/>
        <v>0</v>
      </c>
      <c r="EQ86" s="64"/>
      <c r="ER86" s="74"/>
      <c r="ES86" s="73">
        <f t="shared" ca="1" si="384"/>
        <v>0</v>
      </c>
      <c r="ET86" s="64"/>
      <c r="EU86" s="74"/>
      <c r="EV86" s="73">
        <f t="shared" ca="1" si="384"/>
        <v>0</v>
      </c>
      <c r="EW86" s="64"/>
      <c r="EX86" s="74"/>
      <c r="EY86" s="73">
        <f t="shared" ref="EY86:FK86" ca="1" si="385">($M86=EX86)*$D$13</f>
        <v>0</v>
      </c>
      <c r="EZ86" s="64"/>
      <c r="FA86" s="74"/>
      <c r="FB86" s="73">
        <f t="shared" ca="1" si="385"/>
        <v>0</v>
      </c>
      <c r="FC86" s="64"/>
      <c r="FD86" s="74"/>
      <c r="FE86" s="73">
        <f t="shared" ca="1" si="385"/>
        <v>0</v>
      </c>
      <c r="FF86" s="64"/>
      <c r="FG86" s="74"/>
      <c r="FH86" s="73">
        <f t="shared" ca="1" si="385"/>
        <v>0</v>
      </c>
      <c r="FI86" s="64"/>
      <c r="FJ86" s="74"/>
      <c r="FK86" s="73">
        <f t="shared" ca="1" si="385"/>
        <v>0</v>
      </c>
      <c r="FL86" s="64"/>
      <c r="FM86" s="64"/>
    </row>
    <row r="87" spans="1:169">
      <c r="A87" s="49"/>
      <c r="B87" s="49"/>
      <c r="C87" s="49"/>
      <c r="D87" s="49"/>
      <c r="E87" s="111"/>
      <c r="F87" s="127">
        <f t="shared" ref="F87" si="386">$D$14</f>
        <v>2</v>
      </c>
      <c r="G87" s="445">
        <f ca="1">VLOOKUP(H87,Equipos!$Q$1:$R$25,2,0)</f>
        <v>14</v>
      </c>
      <c r="H87" s="446">
        <f ca="1">$H$56</f>
        <v>46197</v>
      </c>
      <c r="I87" s="50"/>
      <c r="J87" s="851"/>
      <c r="K87" s="56" t="str">
        <f>Idiomas!D157</f>
        <v>4º GRUPO B</v>
      </c>
      <c r="L87" s="53"/>
      <c r="M87" s="55" t="str">
        <f ca="1">IF(OR(SUM(WORLDCUP!$AN$14:$AN$17)=12,WORLDCUP!$AJ$99=144),WORLDCUP!AL17,LEFT(K87,1)&amp;RIGHT(K87,1))</f>
        <v>4B</v>
      </c>
      <c r="N87" s="25"/>
      <c r="O87" s="25"/>
      <c r="P87" s="25"/>
      <c r="Q87" s="25"/>
      <c r="R87" s="110"/>
      <c r="S87" s="74" t="s">
        <v>1631</v>
      </c>
      <c r="T87" s="73">
        <f t="shared" ref="T87" ca="1" si="387">($M87=S87)*$D$14</f>
        <v>0</v>
      </c>
      <c r="U87" s="64"/>
      <c r="V87" s="74" t="s">
        <v>1631</v>
      </c>
      <c r="W87" s="73">
        <f t="shared" ref="W87:CH87" ca="1" si="388">($M87=V87)*$D$14</f>
        <v>0</v>
      </c>
      <c r="X87" s="64"/>
      <c r="Y87" s="74" t="s">
        <v>1631</v>
      </c>
      <c r="Z87" s="73">
        <f t="shared" ca="1" si="388"/>
        <v>0</v>
      </c>
      <c r="AA87" s="64"/>
      <c r="AB87" s="74" t="s">
        <v>1631</v>
      </c>
      <c r="AC87" s="73">
        <f t="shared" ca="1" si="388"/>
        <v>0</v>
      </c>
      <c r="AD87" s="64"/>
      <c r="AE87" s="74" t="s">
        <v>1631</v>
      </c>
      <c r="AF87" s="73">
        <f t="shared" ca="1" si="388"/>
        <v>0</v>
      </c>
      <c r="AG87" s="64"/>
      <c r="AH87" s="74" t="s">
        <v>1631</v>
      </c>
      <c r="AI87" s="73">
        <f t="shared" ca="1" si="388"/>
        <v>0</v>
      </c>
      <c r="AJ87" s="64"/>
      <c r="AK87" s="74" t="s">
        <v>1631</v>
      </c>
      <c r="AL87" s="73">
        <f t="shared" ca="1" si="388"/>
        <v>0</v>
      </c>
      <c r="AM87" s="64"/>
      <c r="AN87" s="74" t="s">
        <v>1631</v>
      </c>
      <c r="AO87" s="73">
        <f t="shared" ca="1" si="388"/>
        <v>0</v>
      </c>
      <c r="AP87" s="64"/>
      <c r="AQ87" s="74" t="s">
        <v>1631</v>
      </c>
      <c r="AR87" s="73">
        <f t="shared" ca="1" si="388"/>
        <v>0</v>
      </c>
      <c r="AS87" s="64"/>
      <c r="AT87" s="74" t="s">
        <v>1631</v>
      </c>
      <c r="AU87" s="73">
        <f t="shared" ca="1" si="388"/>
        <v>0</v>
      </c>
      <c r="AV87" s="64"/>
      <c r="AW87" s="74" t="s">
        <v>1631</v>
      </c>
      <c r="AX87" s="73">
        <f t="shared" ca="1" si="388"/>
        <v>0</v>
      </c>
      <c r="AY87" s="64"/>
      <c r="AZ87" s="74" t="s">
        <v>1631</v>
      </c>
      <c r="BA87" s="73">
        <f t="shared" ca="1" si="388"/>
        <v>0</v>
      </c>
      <c r="BB87" s="64"/>
      <c r="BC87" s="74" t="s">
        <v>1841</v>
      </c>
      <c r="BD87" s="73">
        <f t="shared" ca="1" si="388"/>
        <v>0</v>
      </c>
      <c r="BE87" s="64"/>
      <c r="BF87" s="74" t="s">
        <v>1841</v>
      </c>
      <c r="BG87" s="73">
        <f t="shared" ca="1" si="388"/>
        <v>0</v>
      </c>
      <c r="BH87" s="64"/>
      <c r="BI87" s="74" t="s">
        <v>1631</v>
      </c>
      <c r="BJ87" s="73">
        <f t="shared" ca="1" si="388"/>
        <v>0</v>
      </c>
      <c r="BK87" s="64"/>
      <c r="BL87" s="74" t="s">
        <v>1841</v>
      </c>
      <c r="BM87" s="73">
        <f t="shared" ca="1" si="388"/>
        <v>0</v>
      </c>
      <c r="BN87" s="64"/>
      <c r="BO87" s="74" t="s">
        <v>1841</v>
      </c>
      <c r="BP87" s="73">
        <f t="shared" ca="1" si="388"/>
        <v>0</v>
      </c>
      <c r="BQ87" s="64"/>
      <c r="BR87" s="74" t="s">
        <v>1631</v>
      </c>
      <c r="BS87" s="73">
        <f t="shared" ca="1" si="388"/>
        <v>0</v>
      </c>
      <c r="BT87" s="64"/>
      <c r="BU87" s="74" t="s">
        <v>1631</v>
      </c>
      <c r="BV87" s="73">
        <f t="shared" ca="1" si="388"/>
        <v>0</v>
      </c>
      <c r="BW87" s="64"/>
      <c r="BX87" s="74" t="s">
        <v>1631</v>
      </c>
      <c r="BY87" s="73">
        <f t="shared" ca="1" si="388"/>
        <v>0</v>
      </c>
      <c r="BZ87" s="64"/>
      <c r="CA87" s="74" t="s">
        <v>1631</v>
      </c>
      <c r="CB87" s="73">
        <f t="shared" ca="1" si="388"/>
        <v>0</v>
      </c>
      <c r="CC87" s="64"/>
      <c r="CD87" s="74" t="s">
        <v>1631</v>
      </c>
      <c r="CE87" s="73">
        <f t="shared" ca="1" si="388"/>
        <v>0</v>
      </c>
      <c r="CF87" s="64"/>
      <c r="CG87" s="74" t="s">
        <v>1631</v>
      </c>
      <c r="CH87" s="73">
        <f t="shared" ca="1" si="388"/>
        <v>0</v>
      </c>
      <c r="CI87" s="64"/>
      <c r="CJ87" s="74" t="s">
        <v>1841</v>
      </c>
      <c r="CK87" s="73">
        <f t="shared" ref="CK87:EV87" ca="1" si="389">($M87=CJ87)*$D$14</f>
        <v>0</v>
      </c>
      <c r="CL87" s="64"/>
      <c r="CM87" s="74" t="s">
        <v>1631</v>
      </c>
      <c r="CN87" s="73">
        <f t="shared" ca="1" si="389"/>
        <v>0</v>
      </c>
      <c r="CO87" s="64"/>
      <c r="CP87" s="74" t="s">
        <v>1631</v>
      </c>
      <c r="CQ87" s="73">
        <f t="shared" ca="1" si="389"/>
        <v>0</v>
      </c>
      <c r="CR87" s="64"/>
      <c r="CS87" s="74" t="s">
        <v>1631</v>
      </c>
      <c r="CT87" s="73">
        <f t="shared" ca="1" si="389"/>
        <v>0</v>
      </c>
      <c r="CU87" s="64"/>
      <c r="CV87" s="74" t="s">
        <v>1631</v>
      </c>
      <c r="CW87" s="73">
        <f t="shared" ca="1" si="389"/>
        <v>0</v>
      </c>
      <c r="CX87" s="64"/>
      <c r="CY87" s="74" t="s">
        <v>1631</v>
      </c>
      <c r="CZ87" s="73">
        <f t="shared" ca="1" si="389"/>
        <v>0</v>
      </c>
      <c r="DA87" s="64"/>
      <c r="DB87" s="74" t="s">
        <v>1631</v>
      </c>
      <c r="DC87" s="73">
        <f t="shared" ca="1" si="389"/>
        <v>0</v>
      </c>
      <c r="DD87" s="64"/>
      <c r="DE87" s="74" t="s">
        <v>1631</v>
      </c>
      <c r="DF87" s="73">
        <f t="shared" ca="1" si="389"/>
        <v>0</v>
      </c>
      <c r="DG87" s="64"/>
      <c r="DH87" s="74" t="s">
        <v>1841</v>
      </c>
      <c r="DI87" s="73">
        <f t="shared" ca="1" si="389"/>
        <v>0</v>
      </c>
      <c r="DJ87" s="64"/>
      <c r="DK87" s="74" t="s">
        <v>1631</v>
      </c>
      <c r="DL87" s="73">
        <f t="shared" ca="1" si="389"/>
        <v>0</v>
      </c>
      <c r="DM87" s="64"/>
      <c r="DN87" s="795" t="s">
        <v>1259</v>
      </c>
      <c r="DO87" s="73">
        <f t="shared" ca="1" si="389"/>
        <v>0</v>
      </c>
      <c r="DP87" s="64"/>
      <c r="DQ87" s="795" t="s">
        <v>1259</v>
      </c>
      <c r="DR87" s="73">
        <f t="shared" ca="1" si="389"/>
        <v>0</v>
      </c>
      <c r="DS87" s="64"/>
      <c r="DT87" s="74" t="s">
        <v>1631</v>
      </c>
      <c r="DU87" s="73">
        <f t="shared" ca="1" si="389"/>
        <v>0</v>
      </c>
      <c r="DV87" s="64"/>
      <c r="DW87" s="74" t="s">
        <v>1631</v>
      </c>
      <c r="DX87" s="73">
        <f t="shared" ca="1" si="389"/>
        <v>0</v>
      </c>
      <c r="DY87" s="64"/>
      <c r="DZ87" s="74" t="s">
        <v>1631</v>
      </c>
      <c r="EA87" s="73">
        <f t="shared" ca="1" si="389"/>
        <v>0</v>
      </c>
      <c r="EB87" s="64"/>
      <c r="EC87" s="74" t="s">
        <v>1259</v>
      </c>
      <c r="ED87" s="73">
        <f t="shared" ca="1" si="389"/>
        <v>0</v>
      </c>
      <c r="EE87" s="64"/>
      <c r="EF87" s="74" t="s">
        <v>1841</v>
      </c>
      <c r="EG87" s="73">
        <f t="shared" ca="1" si="389"/>
        <v>0</v>
      </c>
      <c r="EH87" s="64"/>
      <c r="EI87" s="74" t="s">
        <v>1631</v>
      </c>
      <c r="EJ87" s="73">
        <f t="shared" ca="1" si="389"/>
        <v>0</v>
      </c>
      <c r="EK87" s="64"/>
      <c r="EL87" s="74"/>
      <c r="EM87" s="73">
        <f t="shared" ca="1" si="389"/>
        <v>0</v>
      </c>
      <c r="EN87" s="64"/>
      <c r="EO87" s="74"/>
      <c r="EP87" s="73">
        <f t="shared" ca="1" si="389"/>
        <v>0</v>
      </c>
      <c r="EQ87" s="64"/>
      <c r="ER87" s="74"/>
      <c r="ES87" s="73">
        <f t="shared" ca="1" si="389"/>
        <v>0</v>
      </c>
      <c r="ET87" s="64"/>
      <c r="EU87" s="74"/>
      <c r="EV87" s="73">
        <f t="shared" ca="1" si="389"/>
        <v>0</v>
      </c>
      <c r="EW87" s="64"/>
      <c r="EX87" s="74"/>
      <c r="EY87" s="73">
        <f t="shared" ref="EY87:FK87" ca="1" si="390">($M87=EX87)*$D$14</f>
        <v>0</v>
      </c>
      <c r="EZ87" s="64"/>
      <c r="FA87" s="74"/>
      <c r="FB87" s="73">
        <f t="shared" ca="1" si="390"/>
        <v>0</v>
      </c>
      <c r="FC87" s="64"/>
      <c r="FD87" s="74"/>
      <c r="FE87" s="73">
        <f t="shared" ca="1" si="390"/>
        <v>0</v>
      </c>
      <c r="FF87" s="64"/>
      <c r="FG87" s="74"/>
      <c r="FH87" s="73">
        <f t="shared" ca="1" si="390"/>
        <v>0</v>
      </c>
      <c r="FI87" s="64"/>
      <c r="FJ87" s="74"/>
      <c r="FK87" s="73">
        <f t="shared" ca="1" si="390"/>
        <v>0</v>
      </c>
      <c r="FL87" s="64"/>
      <c r="FM87" s="64"/>
    </row>
    <row r="88" spans="1:169">
      <c r="A88" s="49"/>
      <c r="B88" s="49"/>
      <c r="C88" s="49"/>
      <c r="D88" s="49"/>
      <c r="E88" s="111"/>
      <c r="F88" s="127">
        <f t="shared" ref="F88" si="391">$D$11</f>
        <v>2</v>
      </c>
      <c r="G88" s="445">
        <f ca="1">VLOOKUP(H88,Equipos!$Q$1:$R$25,2,0)</f>
        <v>15</v>
      </c>
      <c r="H88" s="446">
        <f ca="1">$H$58</f>
        <v>46198</v>
      </c>
      <c r="I88" s="50"/>
      <c r="J88" s="852" t="s">
        <v>2</v>
      </c>
      <c r="K88" s="56" t="str">
        <f>Idiomas!D158</f>
        <v>1º GRUPO C</v>
      </c>
      <c r="L88" s="53"/>
      <c r="M88" s="55" t="str">
        <f ca="1">IF(OR(SUM(WORLDCUP!$AN$22:$AN$25)=12,WORLDCUP!$AJ$99=144),WORLDCUP!AL22,LEFT(K88,1)&amp;RIGHT(K88,1))</f>
        <v>1C</v>
      </c>
      <c r="N88" s="25"/>
      <c r="O88" s="25"/>
      <c r="P88" s="25"/>
      <c r="Q88" s="25"/>
      <c r="R88" s="110"/>
      <c r="S88" s="74" t="s">
        <v>1258</v>
      </c>
      <c r="T88" s="73">
        <f t="shared" ref="T88" ca="1" si="392">($M88=S88)*$D$11</f>
        <v>0</v>
      </c>
      <c r="U88" s="64"/>
      <c r="V88" s="74" t="s">
        <v>1258</v>
      </c>
      <c r="W88" s="73">
        <f t="shared" ref="W88:CH88" ca="1" si="393">($M88=V88)*$D$11</f>
        <v>0</v>
      </c>
      <c r="X88" s="64"/>
      <c r="Y88" s="74" t="s">
        <v>1258</v>
      </c>
      <c r="Z88" s="73">
        <f t="shared" ca="1" si="393"/>
        <v>0</v>
      </c>
      <c r="AA88" s="64"/>
      <c r="AB88" s="74" t="s">
        <v>1258</v>
      </c>
      <c r="AC88" s="73">
        <f t="shared" ca="1" si="393"/>
        <v>0</v>
      </c>
      <c r="AD88" s="64"/>
      <c r="AE88" s="74" t="s">
        <v>1258</v>
      </c>
      <c r="AF88" s="73">
        <f t="shared" ca="1" si="393"/>
        <v>0</v>
      </c>
      <c r="AG88" s="64"/>
      <c r="AH88" s="74" t="s">
        <v>1321</v>
      </c>
      <c r="AI88" s="73">
        <f t="shared" ca="1" si="393"/>
        <v>0</v>
      </c>
      <c r="AJ88" s="64"/>
      <c r="AK88" s="74" t="s">
        <v>1258</v>
      </c>
      <c r="AL88" s="73">
        <f t="shared" ca="1" si="393"/>
        <v>0</v>
      </c>
      <c r="AM88" s="64"/>
      <c r="AN88" s="74" t="s">
        <v>1258</v>
      </c>
      <c r="AO88" s="73">
        <f t="shared" ca="1" si="393"/>
        <v>0</v>
      </c>
      <c r="AP88" s="64"/>
      <c r="AQ88" s="74" t="s">
        <v>1258</v>
      </c>
      <c r="AR88" s="73">
        <f t="shared" ca="1" si="393"/>
        <v>0</v>
      </c>
      <c r="AS88" s="64"/>
      <c r="AT88" s="74" t="s">
        <v>1258</v>
      </c>
      <c r="AU88" s="73">
        <f t="shared" ca="1" si="393"/>
        <v>0</v>
      </c>
      <c r="AV88" s="64"/>
      <c r="AW88" s="74" t="s">
        <v>1258</v>
      </c>
      <c r="AX88" s="73">
        <f t="shared" ca="1" si="393"/>
        <v>0</v>
      </c>
      <c r="AY88" s="64"/>
      <c r="AZ88" s="74" t="s">
        <v>1258</v>
      </c>
      <c r="BA88" s="73">
        <f t="shared" ca="1" si="393"/>
        <v>0</v>
      </c>
      <c r="BB88" s="64"/>
      <c r="BC88" s="74" t="s">
        <v>1258</v>
      </c>
      <c r="BD88" s="73">
        <f t="shared" ca="1" si="393"/>
        <v>0</v>
      </c>
      <c r="BE88" s="64"/>
      <c r="BF88" s="74" t="s">
        <v>1258</v>
      </c>
      <c r="BG88" s="73">
        <f t="shared" ca="1" si="393"/>
        <v>0</v>
      </c>
      <c r="BH88" s="64"/>
      <c r="BI88" s="74" t="s">
        <v>1258</v>
      </c>
      <c r="BJ88" s="73">
        <f t="shared" ca="1" si="393"/>
        <v>0</v>
      </c>
      <c r="BK88" s="64"/>
      <c r="BL88" s="74" t="s">
        <v>1258</v>
      </c>
      <c r="BM88" s="73">
        <f t="shared" ca="1" si="393"/>
        <v>0</v>
      </c>
      <c r="BN88" s="64"/>
      <c r="BO88" s="74" t="s">
        <v>1258</v>
      </c>
      <c r="BP88" s="73">
        <f t="shared" ca="1" si="393"/>
        <v>0</v>
      </c>
      <c r="BQ88" s="64"/>
      <c r="BR88" s="74" t="s">
        <v>1258</v>
      </c>
      <c r="BS88" s="73">
        <f t="shared" ca="1" si="393"/>
        <v>0</v>
      </c>
      <c r="BT88" s="64"/>
      <c r="BU88" s="74" t="s">
        <v>1258</v>
      </c>
      <c r="BV88" s="73">
        <f t="shared" ca="1" si="393"/>
        <v>0</v>
      </c>
      <c r="BW88" s="64"/>
      <c r="BX88" s="74" t="s">
        <v>1258</v>
      </c>
      <c r="BY88" s="73">
        <f t="shared" ca="1" si="393"/>
        <v>0</v>
      </c>
      <c r="BZ88" s="64"/>
      <c r="CA88" s="74" t="s">
        <v>134</v>
      </c>
      <c r="CB88" s="73">
        <f t="shared" ca="1" si="393"/>
        <v>0</v>
      </c>
      <c r="CC88" s="64"/>
      <c r="CD88" s="74" t="s">
        <v>1258</v>
      </c>
      <c r="CE88" s="73">
        <f t="shared" ca="1" si="393"/>
        <v>0</v>
      </c>
      <c r="CF88" s="64"/>
      <c r="CG88" s="74" t="s">
        <v>1258</v>
      </c>
      <c r="CH88" s="73">
        <f t="shared" ca="1" si="393"/>
        <v>0</v>
      </c>
      <c r="CI88" s="64"/>
      <c r="CJ88" s="74" t="s">
        <v>1258</v>
      </c>
      <c r="CK88" s="73">
        <f t="shared" ref="CK88:EV88" ca="1" si="394">($M88=CJ88)*$D$11</f>
        <v>0</v>
      </c>
      <c r="CL88" s="64"/>
      <c r="CM88" s="74" t="s">
        <v>1258</v>
      </c>
      <c r="CN88" s="73">
        <f t="shared" ca="1" si="394"/>
        <v>0</v>
      </c>
      <c r="CO88" s="64"/>
      <c r="CP88" s="74" t="s">
        <v>1258</v>
      </c>
      <c r="CQ88" s="73">
        <f t="shared" ca="1" si="394"/>
        <v>0</v>
      </c>
      <c r="CR88" s="64"/>
      <c r="CS88" s="74" t="s">
        <v>1258</v>
      </c>
      <c r="CT88" s="73">
        <f t="shared" ca="1" si="394"/>
        <v>0</v>
      </c>
      <c r="CU88" s="64"/>
      <c r="CV88" s="74" t="s">
        <v>1258</v>
      </c>
      <c r="CW88" s="73">
        <f t="shared" ca="1" si="394"/>
        <v>0</v>
      </c>
      <c r="CX88" s="64"/>
      <c r="CY88" s="74" t="s">
        <v>1258</v>
      </c>
      <c r="CZ88" s="73">
        <f t="shared" ca="1" si="394"/>
        <v>0</v>
      </c>
      <c r="DA88" s="64"/>
      <c r="DB88" s="74" t="s">
        <v>1258</v>
      </c>
      <c r="DC88" s="73">
        <f t="shared" ca="1" si="394"/>
        <v>0</v>
      </c>
      <c r="DD88" s="64"/>
      <c r="DE88" s="74" t="s">
        <v>1258</v>
      </c>
      <c r="DF88" s="73">
        <f t="shared" ca="1" si="394"/>
        <v>0</v>
      </c>
      <c r="DG88" s="64"/>
      <c r="DH88" s="74" t="s">
        <v>1258</v>
      </c>
      <c r="DI88" s="73">
        <f t="shared" ca="1" si="394"/>
        <v>0</v>
      </c>
      <c r="DJ88" s="64"/>
      <c r="DK88" s="74" t="s">
        <v>1321</v>
      </c>
      <c r="DL88" s="73">
        <f t="shared" ca="1" si="394"/>
        <v>0</v>
      </c>
      <c r="DM88" s="64"/>
      <c r="DN88" s="795" t="s">
        <v>1258</v>
      </c>
      <c r="DO88" s="73">
        <f t="shared" ca="1" si="394"/>
        <v>0</v>
      </c>
      <c r="DP88" s="64"/>
      <c r="DQ88" s="795" t="s">
        <v>1321</v>
      </c>
      <c r="DR88" s="73">
        <f t="shared" ca="1" si="394"/>
        <v>0</v>
      </c>
      <c r="DS88" s="64"/>
      <c r="DT88" s="74" t="s">
        <v>1321</v>
      </c>
      <c r="DU88" s="73">
        <f t="shared" ca="1" si="394"/>
        <v>0</v>
      </c>
      <c r="DV88" s="64"/>
      <c r="DW88" s="74" t="s">
        <v>1258</v>
      </c>
      <c r="DX88" s="73">
        <f t="shared" ca="1" si="394"/>
        <v>0</v>
      </c>
      <c r="DY88" s="64"/>
      <c r="DZ88" s="74" t="s">
        <v>1258</v>
      </c>
      <c r="EA88" s="73">
        <f t="shared" ca="1" si="394"/>
        <v>0</v>
      </c>
      <c r="EB88" s="64"/>
      <c r="EC88" s="74" t="s">
        <v>1258</v>
      </c>
      <c r="ED88" s="73">
        <f t="shared" ca="1" si="394"/>
        <v>0</v>
      </c>
      <c r="EE88" s="64"/>
      <c r="EF88" s="74" t="s">
        <v>1258</v>
      </c>
      <c r="EG88" s="73">
        <f t="shared" ca="1" si="394"/>
        <v>0</v>
      </c>
      <c r="EH88" s="64"/>
      <c r="EI88" s="74" t="s">
        <v>1258</v>
      </c>
      <c r="EJ88" s="73">
        <f t="shared" ca="1" si="394"/>
        <v>0</v>
      </c>
      <c r="EK88" s="64"/>
      <c r="EL88" s="74"/>
      <c r="EM88" s="73">
        <f t="shared" ca="1" si="394"/>
        <v>0</v>
      </c>
      <c r="EN88" s="64"/>
      <c r="EO88" s="74"/>
      <c r="EP88" s="73">
        <f t="shared" ca="1" si="394"/>
        <v>0</v>
      </c>
      <c r="EQ88" s="64"/>
      <c r="ER88" s="74"/>
      <c r="ES88" s="73">
        <f t="shared" ca="1" si="394"/>
        <v>0</v>
      </c>
      <c r="ET88" s="64"/>
      <c r="EU88" s="74"/>
      <c r="EV88" s="73">
        <f t="shared" ca="1" si="394"/>
        <v>0</v>
      </c>
      <c r="EW88" s="64"/>
      <c r="EX88" s="74"/>
      <c r="EY88" s="73">
        <f t="shared" ref="EY88:FK88" ca="1" si="395">($M88=EX88)*$D$11</f>
        <v>0</v>
      </c>
      <c r="EZ88" s="64"/>
      <c r="FA88" s="74"/>
      <c r="FB88" s="73">
        <f t="shared" ca="1" si="395"/>
        <v>0</v>
      </c>
      <c r="FC88" s="64"/>
      <c r="FD88" s="74"/>
      <c r="FE88" s="73">
        <f t="shared" ca="1" si="395"/>
        <v>0</v>
      </c>
      <c r="FF88" s="64"/>
      <c r="FG88" s="74"/>
      <c r="FH88" s="73">
        <f t="shared" ca="1" si="395"/>
        <v>0</v>
      </c>
      <c r="FI88" s="64"/>
      <c r="FJ88" s="74"/>
      <c r="FK88" s="73">
        <f t="shared" ca="1" si="395"/>
        <v>0</v>
      </c>
      <c r="FL88" s="64"/>
      <c r="FM88" s="64"/>
    </row>
    <row r="89" spans="1:169">
      <c r="A89" s="49"/>
      <c r="B89" s="49"/>
      <c r="C89" s="49"/>
      <c r="D89" s="49"/>
      <c r="E89" s="111"/>
      <c r="F89" s="127">
        <f t="shared" ref="F89" si="396">$D$12</f>
        <v>2</v>
      </c>
      <c r="G89" s="445">
        <f ca="1">VLOOKUP(H89,Equipos!$Q$1:$R$25,2,0)</f>
        <v>15</v>
      </c>
      <c r="H89" s="446">
        <f ca="1">$H$58</f>
        <v>46198</v>
      </c>
      <c r="I89" s="50"/>
      <c r="J89" s="852"/>
      <c r="K89" s="56" t="str">
        <f>Idiomas!D159</f>
        <v>2º GRUPO C</v>
      </c>
      <c r="L89" s="53"/>
      <c r="M89" s="55" t="str">
        <f ca="1">IF(OR(SUM(WORLDCUP!$AN$22:$AN$25)=12,WORLDCUP!$AJ$99=144),WORLDCUP!AL23,LEFT(K89,1)&amp;RIGHT(K89,1))</f>
        <v>2C</v>
      </c>
      <c r="N89" s="25"/>
      <c r="O89" s="25"/>
      <c r="P89" s="25"/>
      <c r="Q89" s="25"/>
      <c r="R89" s="110"/>
      <c r="S89" s="74" t="s">
        <v>1321</v>
      </c>
      <c r="T89" s="73">
        <f t="shared" ref="T89" ca="1" si="397">($M89=S89)*$D$12</f>
        <v>0</v>
      </c>
      <c r="U89" s="64"/>
      <c r="V89" s="74" t="s">
        <v>1321</v>
      </c>
      <c r="W89" s="73">
        <f t="shared" ref="W89:CH89" ca="1" si="398">($M89=V89)*$D$12</f>
        <v>0</v>
      </c>
      <c r="X89" s="64"/>
      <c r="Y89" s="74" t="s">
        <v>1321</v>
      </c>
      <c r="Z89" s="73">
        <f t="shared" ca="1" si="398"/>
        <v>0</v>
      </c>
      <c r="AA89" s="64"/>
      <c r="AB89" s="74" t="s">
        <v>1321</v>
      </c>
      <c r="AC89" s="73">
        <f t="shared" ca="1" si="398"/>
        <v>0</v>
      </c>
      <c r="AD89" s="64"/>
      <c r="AE89" s="74" t="s">
        <v>1321</v>
      </c>
      <c r="AF89" s="73">
        <f t="shared" ca="1" si="398"/>
        <v>0</v>
      </c>
      <c r="AG89" s="64"/>
      <c r="AH89" s="74" t="s">
        <v>1258</v>
      </c>
      <c r="AI89" s="73">
        <f t="shared" ca="1" si="398"/>
        <v>0</v>
      </c>
      <c r="AJ89" s="64"/>
      <c r="AK89" s="74" t="s">
        <v>1321</v>
      </c>
      <c r="AL89" s="73">
        <f t="shared" ca="1" si="398"/>
        <v>0</v>
      </c>
      <c r="AM89" s="64"/>
      <c r="AN89" s="74" t="s">
        <v>1321</v>
      </c>
      <c r="AO89" s="73">
        <f t="shared" ca="1" si="398"/>
        <v>0</v>
      </c>
      <c r="AP89" s="64"/>
      <c r="AQ89" s="74" t="s">
        <v>1321</v>
      </c>
      <c r="AR89" s="73">
        <f t="shared" ca="1" si="398"/>
        <v>0</v>
      </c>
      <c r="AS89" s="64"/>
      <c r="AT89" s="74" t="s">
        <v>1321</v>
      </c>
      <c r="AU89" s="73">
        <f t="shared" ca="1" si="398"/>
        <v>0</v>
      </c>
      <c r="AV89" s="64"/>
      <c r="AW89" s="74" t="s">
        <v>1321</v>
      </c>
      <c r="AX89" s="73">
        <f t="shared" ca="1" si="398"/>
        <v>0</v>
      </c>
      <c r="AY89" s="64"/>
      <c r="AZ89" s="74" t="s">
        <v>1321</v>
      </c>
      <c r="BA89" s="73">
        <f t="shared" ca="1" si="398"/>
        <v>0</v>
      </c>
      <c r="BB89" s="64"/>
      <c r="BC89" s="74" t="s">
        <v>1321</v>
      </c>
      <c r="BD89" s="73">
        <f t="shared" ca="1" si="398"/>
        <v>0</v>
      </c>
      <c r="BE89" s="64"/>
      <c r="BF89" s="74" t="s">
        <v>1321</v>
      </c>
      <c r="BG89" s="73">
        <f t="shared" ca="1" si="398"/>
        <v>0</v>
      </c>
      <c r="BH89" s="64"/>
      <c r="BI89" s="74" t="s">
        <v>1321</v>
      </c>
      <c r="BJ89" s="73">
        <f t="shared" ca="1" si="398"/>
        <v>0</v>
      </c>
      <c r="BK89" s="64"/>
      <c r="BL89" s="74" t="s">
        <v>1321</v>
      </c>
      <c r="BM89" s="73">
        <f t="shared" ca="1" si="398"/>
        <v>0</v>
      </c>
      <c r="BN89" s="64"/>
      <c r="BO89" s="74" t="s">
        <v>1321</v>
      </c>
      <c r="BP89" s="73">
        <f t="shared" ca="1" si="398"/>
        <v>0</v>
      </c>
      <c r="BQ89" s="64"/>
      <c r="BR89" s="74" t="s">
        <v>1321</v>
      </c>
      <c r="BS89" s="73">
        <f t="shared" ca="1" si="398"/>
        <v>0</v>
      </c>
      <c r="BT89" s="64"/>
      <c r="BU89" s="74" t="s">
        <v>134</v>
      </c>
      <c r="BV89" s="73">
        <f t="shared" ca="1" si="398"/>
        <v>0</v>
      </c>
      <c r="BW89" s="64"/>
      <c r="BX89" s="74" t="s">
        <v>1321</v>
      </c>
      <c r="BY89" s="73">
        <f t="shared" ca="1" si="398"/>
        <v>0</v>
      </c>
      <c r="BZ89" s="64"/>
      <c r="CA89" s="74" t="s">
        <v>1258</v>
      </c>
      <c r="CB89" s="73">
        <f t="shared" ca="1" si="398"/>
        <v>0</v>
      </c>
      <c r="CC89" s="64"/>
      <c r="CD89" s="74" t="s">
        <v>1321</v>
      </c>
      <c r="CE89" s="73">
        <f t="shared" ca="1" si="398"/>
        <v>0</v>
      </c>
      <c r="CF89" s="64"/>
      <c r="CG89" s="74" t="s">
        <v>1321</v>
      </c>
      <c r="CH89" s="73">
        <f t="shared" ca="1" si="398"/>
        <v>0</v>
      </c>
      <c r="CI89" s="64"/>
      <c r="CJ89" s="74" t="s">
        <v>1321</v>
      </c>
      <c r="CK89" s="73">
        <f t="shared" ref="CK89:EV89" ca="1" si="399">($M89=CJ89)*$D$12</f>
        <v>0</v>
      </c>
      <c r="CL89" s="64"/>
      <c r="CM89" s="74" t="s">
        <v>1321</v>
      </c>
      <c r="CN89" s="73">
        <f t="shared" ca="1" si="399"/>
        <v>0</v>
      </c>
      <c r="CO89" s="64"/>
      <c r="CP89" s="74" t="s">
        <v>1321</v>
      </c>
      <c r="CQ89" s="73">
        <f t="shared" ca="1" si="399"/>
        <v>0</v>
      </c>
      <c r="CR89" s="64"/>
      <c r="CS89" s="74" t="s">
        <v>1321</v>
      </c>
      <c r="CT89" s="73">
        <f t="shared" ca="1" si="399"/>
        <v>0</v>
      </c>
      <c r="CU89" s="64"/>
      <c r="CV89" s="74" t="s">
        <v>1321</v>
      </c>
      <c r="CW89" s="73">
        <f t="shared" ca="1" si="399"/>
        <v>0</v>
      </c>
      <c r="CX89" s="64"/>
      <c r="CY89" s="74" t="s">
        <v>1321</v>
      </c>
      <c r="CZ89" s="73">
        <f t="shared" ca="1" si="399"/>
        <v>0</v>
      </c>
      <c r="DA89" s="64"/>
      <c r="DB89" s="74" t="s">
        <v>1321</v>
      </c>
      <c r="DC89" s="73">
        <f t="shared" ca="1" si="399"/>
        <v>0</v>
      </c>
      <c r="DD89" s="64"/>
      <c r="DE89" s="74" t="s">
        <v>1321</v>
      </c>
      <c r="DF89" s="73">
        <f t="shared" ca="1" si="399"/>
        <v>0</v>
      </c>
      <c r="DG89" s="64"/>
      <c r="DH89" s="74" t="s">
        <v>1321</v>
      </c>
      <c r="DI89" s="73">
        <f t="shared" ca="1" si="399"/>
        <v>0</v>
      </c>
      <c r="DJ89" s="64"/>
      <c r="DK89" s="74" t="s">
        <v>1258</v>
      </c>
      <c r="DL89" s="73">
        <f t="shared" ca="1" si="399"/>
        <v>0</v>
      </c>
      <c r="DM89" s="64"/>
      <c r="DN89" s="795" t="s">
        <v>1321</v>
      </c>
      <c r="DO89" s="73">
        <f t="shared" ca="1" si="399"/>
        <v>0</v>
      </c>
      <c r="DP89" s="64"/>
      <c r="DQ89" s="795" t="s">
        <v>1258</v>
      </c>
      <c r="DR89" s="73">
        <f t="shared" ca="1" si="399"/>
        <v>0</v>
      </c>
      <c r="DS89" s="64"/>
      <c r="DT89" s="74" t="s">
        <v>134</v>
      </c>
      <c r="DU89" s="73">
        <f t="shared" ca="1" si="399"/>
        <v>0</v>
      </c>
      <c r="DV89" s="64"/>
      <c r="DW89" s="74" t="s">
        <v>1321</v>
      </c>
      <c r="DX89" s="73">
        <f t="shared" ca="1" si="399"/>
        <v>0</v>
      </c>
      <c r="DY89" s="64"/>
      <c r="DZ89" s="74" t="s">
        <v>134</v>
      </c>
      <c r="EA89" s="73">
        <f t="shared" ca="1" si="399"/>
        <v>0</v>
      </c>
      <c r="EB89" s="64"/>
      <c r="EC89" s="74" t="s">
        <v>1321</v>
      </c>
      <c r="ED89" s="73">
        <f t="shared" ca="1" si="399"/>
        <v>0</v>
      </c>
      <c r="EE89" s="64"/>
      <c r="EF89" s="74" t="s">
        <v>1321</v>
      </c>
      <c r="EG89" s="73">
        <f t="shared" ca="1" si="399"/>
        <v>0</v>
      </c>
      <c r="EH89" s="64"/>
      <c r="EI89" s="74" t="s">
        <v>1321</v>
      </c>
      <c r="EJ89" s="73">
        <f t="shared" ca="1" si="399"/>
        <v>0</v>
      </c>
      <c r="EK89" s="64"/>
      <c r="EL89" s="74"/>
      <c r="EM89" s="73">
        <f t="shared" ca="1" si="399"/>
        <v>0</v>
      </c>
      <c r="EN89" s="64"/>
      <c r="EO89" s="74"/>
      <c r="EP89" s="73">
        <f t="shared" ca="1" si="399"/>
        <v>0</v>
      </c>
      <c r="EQ89" s="64"/>
      <c r="ER89" s="74"/>
      <c r="ES89" s="73">
        <f t="shared" ca="1" si="399"/>
        <v>0</v>
      </c>
      <c r="ET89" s="64"/>
      <c r="EU89" s="74"/>
      <c r="EV89" s="73">
        <f t="shared" ca="1" si="399"/>
        <v>0</v>
      </c>
      <c r="EW89" s="64"/>
      <c r="EX89" s="74"/>
      <c r="EY89" s="73">
        <f t="shared" ref="EY89:FK89" ca="1" si="400">($M89=EX89)*$D$12</f>
        <v>0</v>
      </c>
      <c r="EZ89" s="64"/>
      <c r="FA89" s="74"/>
      <c r="FB89" s="73">
        <f t="shared" ca="1" si="400"/>
        <v>0</v>
      </c>
      <c r="FC89" s="64"/>
      <c r="FD89" s="74"/>
      <c r="FE89" s="73">
        <f t="shared" ca="1" si="400"/>
        <v>0</v>
      </c>
      <c r="FF89" s="64"/>
      <c r="FG89" s="74"/>
      <c r="FH89" s="73">
        <f t="shared" ca="1" si="400"/>
        <v>0</v>
      </c>
      <c r="FI89" s="64"/>
      <c r="FJ89" s="74"/>
      <c r="FK89" s="73">
        <f t="shared" ca="1" si="400"/>
        <v>0</v>
      </c>
      <c r="FL89" s="64"/>
      <c r="FM89" s="64"/>
    </row>
    <row r="90" spans="1:169">
      <c r="A90" s="49"/>
      <c r="B90" s="49"/>
      <c r="C90" s="49"/>
      <c r="D90" s="49"/>
      <c r="E90" s="111"/>
      <c r="F90" s="127">
        <f t="shared" ref="F90" si="401">$D$13</f>
        <v>2</v>
      </c>
      <c r="G90" s="445">
        <f ca="1">VLOOKUP(H90,Equipos!$Q$1:$R$25,2,0)</f>
        <v>15</v>
      </c>
      <c r="H90" s="446">
        <f ca="1">$H$58</f>
        <v>46198</v>
      </c>
      <c r="I90" s="50"/>
      <c r="J90" s="852"/>
      <c r="K90" s="56" t="str">
        <f>Idiomas!D160</f>
        <v>3º GRUPO C</v>
      </c>
      <c r="L90" s="53"/>
      <c r="M90" s="55" t="str">
        <f ca="1">IF(OR(SUM(WORLDCUP!$AN$22:$AN$25)=12,WORLDCUP!$AJ$99=144),WORLDCUP!AL24,LEFT(K90,1)&amp;RIGHT(K90,1))</f>
        <v>3C</v>
      </c>
      <c r="N90" s="25"/>
      <c r="O90" s="25"/>
      <c r="P90" s="25"/>
      <c r="Q90" s="25"/>
      <c r="R90" s="110"/>
      <c r="S90" s="74" t="s">
        <v>134</v>
      </c>
      <c r="T90" s="73">
        <f t="shared" ref="T90" ca="1" si="402">($M90=S90)*$D$13</f>
        <v>0</v>
      </c>
      <c r="U90" s="64"/>
      <c r="V90" s="74" t="s">
        <v>134</v>
      </c>
      <c r="W90" s="73">
        <f t="shared" ref="W90:CH90" ca="1" si="403">($M90=V90)*$D$13</f>
        <v>0</v>
      </c>
      <c r="X90" s="64"/>
      <c r="Y90" s="74" t="s">
        <v>134</v>
      </c>
      <c r="Z90" s="73">
        <f t="shared" ca="1" si="403"/>
        <v>0</v>
      </c>
      <c r="AA90" s="64"/>
      <c r="AB90" s="74" t="s">
        <v>134</v>
      </c>
      <c r="AC90" s="73">
        <f t="shared" ca="1" si="403"/>
        <v>0</v>
      </c>
      <c r="AD90" s="64"/>
      <c r="AE90" s="74" t="s">
        <v>134</v>
      </c>
      <c r="AF90" s="73">
        <f t="shared" ca="1" si="403"/>
        <v>0</v>
      </c>
      <c r="AG90" s="64"/>
      <c r="AH90" s="74" t="s">
        <v>134</v>
      </c>
      <c r="AI90" s="73">
        <f t="shared" ca="1" si="403"/>
        <v>0</v>
      </c>
      <c r="AJ90" s="64"/>
      <c r="AK90" s="74" t="s">
        <v>134</v>
      </c>
      <c r="AL90" s="73">
        <f t="shared" ca="1" si="403"/>
        <v>0</v>
      </c>
      <c r="AM90" s="64"/>
      <c r="AN90" s="74" t="s">
        <v>134</v>
      </c>
      <c r="AO90" s="73">
        <f t="shared" ca="1" si="403"/>
        <v>0</v>
      </c>
      <c r="AP90" s="64"/>
      <c r="AQ90" s="74" t="s">
        <v>134</v>
      </c>
      <c r="AR90" s="73">
        <f t="shared" ca="1" si="403"/>
        <v>0</v>
      </c>
      <c r="AS90" s="64"/>
      <c r="AT90" s="74" t="s">
        <v>134</v>
      </c>
      <c r="AU90" s="73">
        <f t="shared" ca="1" si="403"/>
        <v>0</v>
      </c>
      <c r="AV90" s="64"/>
      <c r="AW90" s="74" t="s">
        <v>134</v>
      </c>
      <c r="AX90" s="73">
        <f t="shared" ca="1" si="403"/>
        <v>0</v>
      </c>
      <c r="AY90" s="64"/>
      <c r="AZ90" s="74" t="s">
        <v>134</v>
      </c>
      <c r="BA90" s="73">
        <f t="shared" ca="1" si="403"/>
        <v>0</v>
      </c>
      <c r="BB90" s="64"/>
      <c r="BC90" s="74" t="s">
        <v>134</v>
      </c>
      <c r="BD90" s="73">
        <f t="shared" ca="1" si="403"/>
        <v>0</v>
      </c>
      <c r="BE90" s="64"/>
      <c r="BF90" s="74" t="s">
        <v>134</v>
      </c>
      <c r="BG90" s="73">
        <f t="shared" ca="1" si="403"/>
        <v>0</v>
      </c>
      <c r="BH90" s="64"/>
      <c r="BI90" s="74" t="s">
        <v>134</v>
      </c>
      <c r="BJ90" s="73">
        <f t="shared" ca="1" si="403"/>
        <v>0</v>
      </c>
      <c r="BK90" s="64"/>
      <c r="BL90" s="74" t="s">
        <v>134</v>
      </c>
      <c r="BM90" s="73">
        <f t="shared" ca="1" si="403"/>
        <v>0</v>
      </c>
      <c r="BN90" s="64"/>
      <c r="BO90" s="74" t="s">
        <v>134</v>
      </c>
      <c r="BP90" s="73">
        <f t="shared" ca="1" si="403"/>
        <v>0</v>
      </c>
      <c r="BQ90" s="64"/>
      <c r="BR90" s="74" t="s">
        <v>134</v>
      </c>
      <c r="BS90" s="73">
        <f t="shared" ca="1" si="403"/>
        <v>0</v>
      </c>
      <c r="BT90" s="64"/>
      <c r="BU90" s="74" t="s">
        <v>1321</v>
      </c>
      <c r="BV90" s="73">
        <f t="shared" ca="1" si="403"/>
        <v>0</v>
      </c>
      <c r="BW90" s="64"/>
      <c r="BX90" s="74" t="s">
        <v>134</v>
      </c>
      <c r="BY90" s="73">
        <f t="shared" ca="1" si="403"/>
        <v>0</v>
      </c>
      <c r="BZ90" s="64"/>
      <c r="CA90" s="74" t="s">
        <v>1321</v>
      </c>
      <c r="CB90" s="73">
        <f t="shared" ca="1" si="403"/>
        <v>0</v>
      </c>
      <c r="CC90" s="64"/>
      <c r="CD90" s="74" t="s">
        <v>134</v>
      </c>
      <c r="CE90" s="73">
        <f t="shared" ca="1" si="403"/>
        <v>0</v>
      </c>
      <c r="CF90" s="64"/>
      <c r="CG90" s="74" t="s">
        <v>134</v>
      </c>
      <c r="CH90" s="73">
        <f t="shared" ca="1" si="403"/>
        <v>0</v>
      </c>
      <c r="CI90" s="64"/>
      <c r="CJ90" s="74" t="s">
        <v>134</v>
      </c>
      <c r="CK90" s="73">
        <f t="shared" ref="CK90:EV90" ca="1" si="404">($M90=CJ90)*$D$13</f>
        <v>0</v>
      </c>
      <c r="CL90" s="64"/>
      <c r="CM90" s="74" t="s">
        <v>134</v>
      </c>
      <c r="CN90" s="73">
        <f t="shared" ca="1" si="404"/>
        <v>0</v>
      </c>
      <c r="CO90" s="64"/>
      <c r="CP90" s="74" t="s">
        <v>134</v>
      </c>
      <c r="CQ90" s="73">
        <f t="shared" ca="1" si="404"/>
        <v>0</v>
      </c>
      <c r="CR90" s="64"/>
      <c r="CS90" s="74" t="s">
        <v>134</v>
      </c>
      <c r="CT90" s="73">
        <f t="shared" ca="1" si="404"/>
        <v>0</v>
      </c>
      <c r="CU90" s="64"/>
      <c r="CV90" s="74" t="s">
        <v>134</v>
      </c>
      <c r="CW90" s="73">
        <f t="shared" ca="1" si="404"/>
        <v>0</v>
      </c>
      <c r="CX90" s="64"/>
      <c r="CY90" s="74" t="s">
        <v>134</v>
      </c>
      <c r="CZ90" s="73">
        <f t="shared" ca="1" si="404"/>
        <v>0</v>
      </c>
      <c r="DA90" s="64"/>
      <c r="DB90" s="74" t="s">
        <v>134</v>
      </c>
      <c r="DC90" s="73">
        <f t="shared" ca="1" si="404"/>
        <v>0</v>
      </c>
      <c r="DD90" s="64"/>
      <c r="DE90" s="74" t="s">
        <v>134</v>
      </c>
      <c r="DF90" s="73">
        <f t="shared" ca="1" si="404"/>
        <v>0</v>
      </c>
      <c r="DG90" s="64"/>
      <c r="DH90" s="74" t="s">
        <v>134</v>
      </c>
      <c r="DI90" s="73">
        <f t="shared" ca="1" si="404"/>
        <v>0</v>
      </c>
      <c r="DJ90" s="64"/>
      <c r="DK90" s="74" t="s">
        <v>134</v>
      </c>
      <c r="DL90" s="73">
        <f t="shared" ca="1" si="404"/>
        <v>0</v>
      </c>
      <c r="DM90" s="64"/>
      <c r="DN90" s="795" t="s">
        <v>134</v>
      </c>
      <c r="DO90" s="73">
        <f t="shared" ca="1" si="404"/>
        <v>0</v>
      </c>
      <c r="DP90" s="64"/>
      <c r="DQ90" s="795" t="s">
        <v>134</v>
      </c>
      <c r="DR90" s="73">
        <f t="shared" ca="1" si="404"/>
        <v>0</v>
      </c>
      <c r="DS90" s="64"/>
      <c r="DT90" s="74" t="s">
        <v>1258</v>
      </c>
      <c r="DU90" s="73">
        <f t="shared" ca="1" si="404"/>
        <v>0</v>
      </c>
      <c r="DV90" s="64"/>
      <c r="DW90" s="74" t="s">
        <v>134</v>
      </c>
      <c r="DX90" s="73">
        <f t="shared" ca="1" si="404"/>
        <v>0</v>
      </c>
      <c r="DY90" s="64"/>
      <c r="DZ90" s="74" t="s">
        <v>1321</v>
      </c>
      <c r="EA90" s="73">
        <f t="shared" ca="1" si="404"/>
        <v>0</v>
      </c>
      <c r="EB90" s="64"/>
      <c r="EC90" s="74" t="s">
        <v>134</v>
      </c>
      <c r="ED90" s="73">
        <f t="shared" ca="1" si="404"/>
        <v>0</v>
      </c>
      <c r="EE90" s="64"/>
      <c r="EF90" s="74" t="s">
        <v>134</v>
      </c>
      <c r="EG90" s="73">
        <f t="shared" ca="1" si="404"/>
        <v>0</v>
      </c>
      <c r="EH90" s="64"/>
      <c r="EI90" s="74" t="s">
        <v>134</v>
      </c>
      <c r="EJ90" s="73">
        <f t="shared" ca="1" si="404"/>
        <v>0</v>
      </c>
      <c r="EK90" s="64"/>
      <c r="EL90" s="74"/>
      <c r="EM90" s="73">
        <f t="shared" ca="1" si="404"/>
        <v>0</v>
      </c>
      <c r="EN90" s="64"/>
      <c r="EO90" s="74"/>
      <c r="EP90" s="73">
        <f t="shared" ca="1" si="404"/>
        <v>0</v>
      </c>
      <c r="EQ90" s="64"/>
      <c r="ER90" s="74"/>
      <c r="ES90" s="73">
        <f t="shared" ca="1" si="404"/>
        <v>0</v>
      </c>
      <c r="ET90" s="64"/>
      <c r="EU90" s="74"/>
      <c r="EV90" s="73">
        <f t="shared" ca="1" si="404"/>
        <v>0</v>
      </c>
      <c r="EW90" s="64"/>
      <c r="EX90" s="74"/>
      <c r="EY90" s="73">
        <f t="shared" ref="EY90:FK90" ca="1" si="405">($M90=EX90)*$D$13</f>
        <v>0</v>
      </c>
      <c r="EZ90" s="64"/>
      <c r="FA90" s="74"/>
      <c r="FB90" s="73">
        <f t="shared" ca="1" si="405"/>
        <v>0</v>
      </c>
      <c r="FC90" s="64"/>
      <c r="FD90" s="74"/>
      <c r="FE90" s="73">
        <f t="shared" ca="1" si="405"/>
        <v>0</v>
      </c>
      <c r="FF90" s="64"/>
      <c r="FG90" s="74"/>
      <c r="FH90" s="73">
        <f t="shared" ca="1" si="405"/>
        <v>0</v>
      </c>
      <c r="FI90" s="64"/>
      <c r="FJ90" s="74"/>
      <c r="FK90" s="73">
        <f t="shared" ca="1" si="405"/>
        <v>0</v>
      </c>
      <c r="FL90" s="64"/>
      <c r="FM90" s="64"/>
    </row>
    <row r="91" spans="1:169">
      <c r="A91" s="49"/>
      <c r="B91" s="49"/>
      <c r="C91" s="49"/>
      <c r="D91" s="49"/>
      <c r="E91" s="111"/>
      <c r="F91" s="127">
        <f t="shared" ref="F91" si="406">$D$14</f>
        <v>2</v>
      </c>
      <c r="G91" s="445">
        <f ca="1">VLOOKUP(H91,Equipos!$Q$1:$R$25,2,0)</f>
        <v>15</v>
      </c>
      <c r="H91" s="446">
        <f ca="1">$H$58</f>
        <v>46198</v>
      </c>
      <c r="I91" s="50"/>
      <c r="J91" s="852"/>
      <c r="K91" s="56" t="str">
        <f>Idiomas!D161</f>
        <v>4º GRUPO C</v>
      </c>
      <c r="L91" s="53"/>
      <c r="M91" s="55" t="str">
        <f ca="1">IF(OR(SUM(WORLDCUP!$AN$22:$AN$25)=12,WORLDCUP!$AJ$99=144),WORLDCUP!AL25,LEFT(K91,1)&amp;RIGHT(K91,1))</f>
        <v>4C</v>
      </c>
      <c r="N91" s="25"/>
      <c r="O91" s="25"/>
      <c r="P91" s="25"/>
      <c r="Q91" s="25"/>
      <c r="R91" s="110"/>
      <c r="S91" s="74" t="s">
        <v>1728</v>
      </c>
      <c r="T91" s="73">
        <f t="shared" ref="T91" ca="1" si="407">($M91=S91)*$D$14</f>
        <v>0</v>
      </c>
      <c r="U91" s="64"/>
      <c r="V91" s="74" t="s">
        <v>1728</v>
      </c>
      <c r="W91" s="73">
        <f t="shared" ref="W91:CH91" ca="1" si="408">($M91=V91)*$D$14</f>
        <v>0</v>
      </c>
      <c r="X91" s="64"/>
      <c r="Y91" s="74" t="s">
        <v>1728</v>
      </c>
      <c r="Z91" s="73">
        <f t="shared" ca="1" si="408"/>
        <v>0</v>
      </c>
      <c r="AA91" s="64"/>
      <c r="AB91" s="74" t="s">
        <v>1728</v>
      </c>
      <c r="AC91" s="73">
        <f t="shared" ca="1" si="408"/>
        <v>0</v>
      </c>
      <c r="AD91" s="64"/>
      <c r="AE91" s="74" t="s">
        <v>1728</v>
      </c>
      <c r="AF91" s="73">
        <f t="shared" ca="1" si="408"/>
        <v>0</v>
      </c>
      <c r="AG91" s="64"/>
      <c r="AH91" s="74" t="s">
        <v>1728</v>
      </c>
      <c r="AI91" s="73">
        <f t="shared" ca="1" si="408"/>
        <v>0</v>
      </c>
      <c r="AJ91" s="64"/>
      <c r="AK91" s="74" t="s">
        <v>1728</v>
      </c>
      <c r="AL91" s="73">
        <f t="shared" ca="1" si="408"/>
        <v>0</v>
      </c>
      <c r="AM91" s="64"/>
      <c r="AN91" s="74" t="s">
        <v>1728</v>
      </c>
      <c r="AO91" s="73">
        <f t="shared" ca="1" si="408"/>
        <v>0</v>
      </c>
      <c r="AP91" s="64"/>
      <c r="AQ91" s="74" t="s">
        <v>1728</v>
      </c>
      <c r="AR91" s="73">
        <f t="shared" ca="1" si="408"/>
        <v>0</v>
      </c>
      <c r="AS91" s="64"/>
      <c r="AT91" s="74" t="s">
        <v>1728</v>
      </c>
      <c r="AU91" s="73">
        <f t="shared" ca="1" si="408"/>
        <v>0</v>
      </c>
      <c r="AV91" s="64"/>
      <c r="AW91" s="74" t="s">
        <v>1728</v>
      </c>
      <c r="AX91" s="73">
        <f t="shared" ca="1" si="408"/>
        <v>0</v>
      </c>
      <c r="AY91" s="64"/>
      <c r="AZ91" s="74" t="s">
        <v>1728</v>
      </c>
      <c r="BA91" s="73">
        <f t="shared" ca="1" si="408"/>
        <v>0</v>
      </c>
      <c r="BB91" s="64"/>
      <c r="BC91" s="74" t="s">
        <v>1728</v>
      </c>
      <c r="BD91" s="73">
        <f t="shared" ca="1" si="408"/>
        <v>0</v>
      </c>
      <c r="BE91" s="64"/>
      <c r="BF91" s="74" t="s">
        <v>1728</v>
      </c>
      <c r="BG91" s="73">
        <f t="shared" ca="1" si="408"/>
        <v>0</v>
      </c>
      <c r="BH91" s="64"/>
      <c r="BI91" s="74" t="s">
        <v>1728</v>
      </c>
      <c r="BJ91" s="73">
        <f t="shared" ca="1" si="408"/>
        <v>0</v>
      </c>
      <c r="BK91" s="64"/>
      <c r="BL91" s="74" t="s">
        <v>1728</v>
      </c>
      <c r="BM91" s="73">
        <f t="shared" ca="1" si="408"/>
        <v>0</v>
      </c>
      <c r="BN91" s="64"/>
      <c r="BO91" s="74" t="s">
        <v>1728</v>
      </c>
      <c r="BP91" s="73">
        <f t="shared" ca="1" si="408"/>
        <v>0</v>
      </c>
      <c r="BQ91" s="64"/>
      <c r="BR91" s="74" t="s">
        <v>1728</v>
      </c>
      <c r="BS91" s="73">
        <f t="shared" ca="1" si="408"/>
        <v>0</v>
      </c>
      <c r="BT91" s="64"/>
      <c r="BU91" s="74" t="s">
        <v>1728</v>
      </c>
      <c r="BV91" s="73">
        <f t="shared" ca="1" si="408"/>
        <v>0</v>
      </c>
      <c r="BW91" s="64"/>
      <c r="BX91" s="74" t="s">
        <v>1728</v>
      </c>
      <c r="BY91" s="73">
        <f t="shared" ca="1" si="408"/>
        <v>0</v>
      </c>
      <c r="BZ91" s="64"/>
      <c r="CA91" s="74" t="s">
        <v>1728</v>
      </c>
      <c r="CB91" s="73">
        <f t="shared" ca="1" si="408"/>
        <v>0</v>
      </c>
      <c r="CC91" s="64"/>
      <c r="CD91" s="74" t="s">
        <v>1728</v>
      </c>
      <c r="CE91" s="73">
        <f t="shared" ca="1" si="408"/>
        <v>0</v>
      </c>
      <c r="CF91" s="64"/>
      <c r="CG91" s="74" t="s">
        <v>1728</v>
      </c>
      <c r="CH91" s="73">
        <f t="shared" ca="1" si="408"/>
        <v>0</v>
      </c>
      <c r="CI91" s="64"/>
      <c r="CJ91" s="74" t="s">
        <v>1728</v>
      </c>
      <c r="CK91" s="73">
        <f t="shared" ref="CK91:EV91" ca="1" si="409">($M91=CJ91)*$D$14</f>
        <v>0</v>
      </c>
      <c r="CL91" s="64"/>
      <c r="CM91" s="74" t="s">
        <v>1728</v>
      </c>
      <c r="CN91" s="73">
        <f t="shared" ca="1" si="409"/>
        <v>0</v>
      </c>
      <c r="CO91" s="64"/>
      <c r="CP91" s="74" t="s">
        <v>1728</v>
      </c>
      <c r="CQ91" s="73">
        <f t="shared" ca="1" si="409"/>
        <v>0</v>
      </c>
      <c r="CR91" s="64"/>
      <c r="CS91" s="74" t="s">
        <v>1728</v>
      </c>
      <c r="CT91" s="73">
        <f t="shared" ca="1" si="409"/>
        <v>0</v>
      </c>
      <c r="CU91" s="64"/>
      <c r="CV91" s="74" t="s">
        <v>1728</v>
      </c>
      <c r="CW91" s="73">
        <f t="shared" ca="1" si="409"/>
        <v>0</v>
      </c>
      <c r="CX91" s="64"/>
      <c r="CY91" s="74" t="s">
        <v>1728</v>
      </c>
      <c r="CZ91" s="73">
        <f t="shared" ca="1" si="409"/>
        <v>0</v>
      </c>
      <c r="DA91" s="64"/>
      <c r="DB91" s="74" t="s">
        <v>1728</v>
      </c>
      <c r="DC91" s="73">
        <f t="shared" ca="1" si="409"/>
        <v>0</v>
      </c>
      <c r="DD91" s="64"/>
      <c r="DE91" s="74" t="s">
        <v>1728</v>
      </c>
      <c r="DF91" s="73">
        <f t="shared" ca="1" si="409"/>
        <v>0</v>
      </c>
      <c r="DG91" s="64"/>
      <c r="DH91" s="74" t="s">
        <v>1728</v>
      </c>
      <c r="DI91" s="73">
        <f t="shared" ca="1" si="409"/>
        <v>0</v>
      </c>
      <c r="DJ91" s="64"/>
      <c r="DK91" s="74" t="s">
        <v>1728</v>
      </c>
      <c r="DL91" s="73">
        <f t="shared" ca="1" si="409"/>
        <v>0</v>
      </c>
      <c r="DM91" s="64"/>
      <c r="DN91" s="795" t="s">
        <v>1728</v>
      </c>
      <c r="DO91" s="73">
        <f t="shared" ca="1" si="409"/>
        <v>0</v>
      </c>
      <c r="DP91" s="64"/>
      <c r="DQ91" s="795" t="s">
        <v>1728</v>
      </c>
      <c r="DR91" s="73">
        <f t="shared" ca="1" si="409"/>
        <v>0</v>
      </c>
      <c r="DS91" s="64"/>
      <c r="DT91" s="74" t="s">
        <v>1728</v>
      </c>
      <c r="DU91" s="73">
        <f t="shared" ca="1" si="409"/>
        <v>0</v>
      </c>
      <c r="DV91" s="64"/>
      <c r="DW91" s="74" t="s">
        <v>1728</v>
      </c>
      <c r="DX91" s="73">
        <f t="shared" ca="1" si="409"/>
        <v>0</v>
      </c>
      <c r="DY91" s="64"/>
      <c r="DZ91" s="74" t="s">
        <v>1728</v>
      </c>
      <c r="EA91" s="73">
        <f t="shared" ca="1" si="409"/>
        <v>0</v>
      </c>
      <c r="EB91" s="64"/>
      <c r="EC91" s="74" t="s">
        <v>1728</v>
      </c>
      <c r="ED91" s="73">
        <f t="shared" ca="1" si="409"/>
        <v>0</v>
      </c>
      <c r="EE91" s="64"/>
      <c r="EF91" s="74" t="s">
        <v>1728</v>
      </c>
      <c r="EG91" s="73">
        <f t="shared" ca="1" si="409"/>
        <v>0</v>
      </c>
      <c r="EH91" s="64"/>
      <c r="EI91" s="74" t="s">
        <v>1728</v>
      </c>
      <c r="EJ91" s="73">
        <f t="shared" ca="1" si="409"/>
        <v>0</v>
      </c>
      <c r="EK91" s="64"/>
      <c r="EL91" s="74"/>
      <c r="EM91" s="73">
        <f t="shared" ca="1" si="409"/>
        <v>0</v>
      </c>
      <c r="EN91" s="64"/>
      <c r="EO91" s="74"/>
      <c r="EP91" s="73">
        <f t="shared" ca="1" si="409"/>
        <v>0</v>
      </c>
      <c r="EQ91" s="64"/>
      <c r="ER91" s="74"/>
      <c r="ES91" s="73">
        <f t="shared" ca="1" si="409"/>
        <v>0</v>
      </c>
      <c r="ET91" s="64"/>
      <c r="EU91" s="74"/>
      <c r="EV91" s="73">
        <f t="shared" ca="1" si="409"/>
        <v>0</v>
      </c>
      <c r="EW91" s="64"/>
      <c r="EX91" s="74"/>
      <c r="EY91" s="73">
        <f t="shared" ref="EY91:FK91" ca="1" si="410">($M91=EX91)*$D$14</f>
        <v>0</v>
      </c>
      <c r="EZ91" s="64"/>
      <c r="FA91" s="74"/>
      <c r="FB91" s="73">
        <f t="shared" ca="1" si="410"/>
        <v>0</v>
      </c>
      <c r="FC91" s="64"/>
      <c r="FD91" s="74"/>
      <c r="FE91" s="73">
        <f t="shared" ca="1" si="410"/>
        <v>0</v>
      </c>
      <c r="FF91" s="64"/>
      <c r="FG91" s="74"/>
      <c r="FH91" s="73">
        <f t="shared" ca="1" si="410"/>
        <v>0</v>
      </c>
      <c r="FI91" s="64"/>
      <c r="FJ91" s="74"/>
      <c r="FK91" s="73">
        <f t="shared" ca="1" si="410"/>
        <v>0</v>
      </c>
      <c r="FL91" s="64"/>
      <c r="FM91" s="64"/>
    </row>
    <row r="92" spans="1:169">
      <c r="A92" s="49"/>
      <c r="B92" s="49"/>
      <c r="C92" s="49"/>
      <c r="D92" s="49"/>
      <c r="E92" s="111"/>
      <c r="F92" s="127">
        <f t="shared" ref="F92" si="411">$D$11</f>
        <v>2</v>
      </c>
      <c r="G92" s="445">
        <f ca="1">VLOOKUP(H92,Equipos!$Q$1:$R$25,2,0)</f>
        <v>16</v>
      </c>
      <c r="H92" s="446">
        <f ca="1">$H$60</f>
        <v>46199</v>
      </c>
      <c r="I92" s="50"/>
      <c r="J92" s="851" t="s">
        <v>73</v>
      </c>
      <c r="K92" s="56" t="str">
        <f>Idiomas!D162</f>
        <v>1º GRUPO D</v>
      </c>
      <c r="L92" s="53"/>
      <c r="M92" s="55" t="str">
        <f ca="1">IF(OR(SUM(WORLDCUP!$AN$30:$AN$33)=12,WORLDCUP!$AJ$99=144),WORLDCUP!AL30,LEFT(K92,1)&amp;RIGHT(K92,1))</f>
        <v>1D</v>
      </c>
      <c r="N92" s="25"/>
      <c r="O92" s="25"/>
      <c r="P92" s="25"/>
      <c r="Q92" s="25"/>
      <c r="R92" s="110"/>
      <c r="S92" s="74" t="s">
        <v>497</v>
      </c>
      <c r="T92" s="73">
        <f t="shared" ref="T92" ca="1" si="412">($M92=S92)*$D$11</f>
        <v>0</v>
      </c>
      <c r="U92" s="64"/>
      <c r="V92" s="74" t="s">
        <v>1835</v>
      </c>
      <c r="W92" s="73">
        <f t="shared" ref="W92:CH92" ca="1" si="413">($M92=V92)*$D$11</f>
        <v>0</v>
      </c>
      <c r="X92" s="64"/>
      <c r="Y92" s="74" t="s">
        <v>1835</v>
      </c>
      <c r="Z92" s="73">
        <f t="shared" ca="1" si="413"/>
        <v>0</v>
      </c>
      <c r="AA92" s="64"/>
      <c r="AB92" s="74" t="s">
        <v>1835</v>
      </c>
      <c r="AC92" s="73">
        <f t="shared" ca="1" si="413"/>
        <v>0</v>
      </c>
      <c r="AD92" s="64"/>
      <c r="AE92" s="74" t="s">
        <v>497</v>
      </c>
      <c r="AF92" s="73">
        <f t="shared" ca="1" si="413"/>
        <v>0</v>
      </c>
      <c r="AG92" s="64"/>
      <c r="AH92" s="74" t="s">
        <v>497</v>
      </c>
      <c r="AI92" s="73">
        <f t="shared" ca="1" si="413"/>
        <v>0</v>
      </c>
      <c r="AJ92" s="64"/>
      <c r="AK92" s="74" t="s">
        <v>1835</v>
      </c>
      <c r="AL92" s="73">
        <f t="shared" ca="1" si="413"/>
        <v>0</v>
      </c>
      <c r="AM92" s="64"/>
      <c r="AN92" s="74" t="s">
        <v>1835</v>
      </c>
      <c r="AO92" s="73">
        <f t="shared" ca="1" si="413"/>
        <v>0</v>
      </c>
      <c r="AP92" s="64"/>
      <c r="AQ92" s="74" t="s">
        <v>497</v>
      </c>
      <c r="AR92" s="73">
        <f t="shared" ca="1" si="413"/>
        <v>0</v>
      </c>
      <c r="AS92" s="64"/>
      <c r="AT92" s="74" t="s">
        <v>1835</v>
      </c>
      <c r="AU92" s="73">
        <f t="shared" ca="1" si="413"/>
        <v>0</v>
      </c>
      <c r="AV92" s="64"/>
      <c r="AW92" s="74" t="s">
        <v>1835</v>
      </c>
      <c r="AX92" s="73">
        <f t="shared" ca="1" si="413"/>
        <v>0</v>
      </c>
      <c r="AY92" s="64"/>
      <c r="AZ92" s="74" t="s">
        <v>1835</v>
      </c>
      <c r="BA92" s="73">
        <f t="shared" ca="1" si="413"/>
        <v>0</v>
      </c>
      <c r="BB92" s="64"/>
      <c r="BC92" s="74" t="s">
        <v>1835</v>
      </c>
      <c r="BD92" s="73">
        <f t="shared" ca="1" si="413"/>
        <v>0</v>
      </c>
      <c r="BE92" s="64"/>
      <c r="BF92" s="74" t="s">
        <v>497</v>
      </c>
      <c r="BG92" s="73">
        <f t="shared" ca="1" si="413"/>
        <v>0</v>
      </c>
      <c r="BH92" s="64"/>
      <c r="BI92" s="74" t="s">
        <v>1835</v>
      </c>
      <c r="BJ92" s="73">
        <f t="shared" ca="1" si="413"/>
        <v>0</v>
      </c>
      <c r="BK92" s="64"/>
      <c r="BL92" s="74" t="s">
        <v>497</v>
      </c>
      <c r="BM92" s="73">
        <f t="shared" ca="1" si="413"/>
        <v>0</v>
      </c>
      <c r="BN92" s="64"/>
      <c r="BO92" s="74" t="s">
        <v>1835</v>
      </c>
      <c r="BP92" s="73">
        <f t="shared" ca="1" si="413"/>
        <v>0</v>
      </c>
      <c r="BQ92" s="64"/>
      <c r="BR92" s="74" t="s">
        <v>1835</v>
      </c>
      <c r="BS92" s="73">
        <f t="shared" ca="1" si="413"/>
        <v>0</v>
      </c>
      <c r="BT92" s="64"/>
      <c r="BU92" s="74" t="s">
        <v>1835</v>
      </c>
      <c r="BV92" s="73">
        <f t="shared" ca="1" si="413"/>
        <v>0</v>
      </c>
      <c r="BW92" s="64"/>
      <c r="BX92" s="74" t="s">
        <v>1835</v>
      </c>
      <c r="BY92" s="73">
        <f t="shared" ca="1" si="413"/>
        <v>0</v>
      </c>
      <c r="BZ92" s="64"/>
      <c r="CA92" s="74" t="s">
        <v>1835</v>
      </c>
      <c r="CB92" s="73">
        <f t="shared" ca="1" si="413"/>
        <v>0</v>
      </c>
      <c r="CC92" s="64"/>
      <c r="CD92" s="74" t="s">
        <v>1835</v>
      </c>
      <c r="CE92" s="73">
        <f t="shared" ca="1" si="413"/>
        <v>0</v>
      </c>
      <c r="CF92" s="64"/>
      <c r="CG92" s="74" t="s">
        <v>497</v>
      </c>
      <c r="CH92" s="73">
        <f t="shared" ca="1" si="413"/>
        <v>0</v>
      </c>
      <c r="CI92" s="64"/>
      <c r="CJ92" s="74" t="s">
        <v>497</v>
      </c>
      <c r="CK92" s="73">
        <f t="shared" ref="CK92:EV92" ca="1" si="414">($M92=CJ92)*$D$11</f>
        <v>0</v>
      </c>
      <c r="CL92" s="64"/>
      <c r="CM92" s="74" t="s">
        <v>1835</v>
      </c>
      <c r="CN92" s="73">
        <f t="shared" ca="1" si="414"/>
        <v>0</v>
      </c>
      <c r="CO92" s="64"/>
      <c r="CP92" s="74" t="s">
        <v>1835</v>
      </c>
      <c r="CQ92" s="73">
        <f t="shared" ca="1" si="414"/>
        <v>0</v>
      </c>
      <c r="CR92" s="64"/>
      <c r="CS92" s="74" t="s">
        <v>1835</v>
      </c>
      <c r="CT92" s="73">
        <f t="shared" ca="1" si="414"/>
        <v>0</v>
      </c>
      <c r="CU92" s="64"/>
      <c r="CV92" s="74" t="s">
        <v>1835</v>
      </c>
      <c r="CW92" s="73">
        <f t="shared" ca="1" si="414"/>
        <v>0</v>
      </c>
      <c r="CX92" s="64"/>
      <c r="CY92" s="74" t="s">
        <v>1835</v>
      </c>
      <c r="CZ92" s="73">
        <f t="shared" ca="1" si="414"/>
        <v>0</v>
      </c>
      <c r="DA92" s="64"/>
      <c r="DB92" s="74" t="s">
        <v>1835</v>
      </c>
      <c r="DC92" s="73">
        <f t="shared" ca="1" si="414"/>
        <v>0</v>
      </c>
      <c r="DD92" s="64"/>
      <c r="DE92" s="74" t="s">
        <v>1835</v>
      </c>
      <c r="DF92" s="73">
        <f t="shared" ca="1" si="414"/>
        <v>0</v>
      </c>
      <c r="DG92" s="64"/>
      <c r="DH92" s="74" t="s">
        <v>1835</v>
      </c>
      <c r="DI92" s="73">
        <f t="shared" ca="1" si="414"/>
        <v>0</v>
      </c>
      <c r="DJ92" s="64"/>
      <c r="DK92" s="74" t="s">
        <v>1835</v>
      </c>
      <c r="DL92" s="73">
        <f t="shared" ca="1" si="414"/>
        <v>0</v>
      </c>
      <c r="DM92" s="64"/>
      <c r="DN92" s="795" t="s">
        <v>1835</v>
      </c>
      <c r="DO92" s="73">
        <f t="shared" ca="1" si="414"/>
        <v>0</v>
      </c>
      <c r="DP92" s="64"/>
      <c r="DQ92" s="795" t="s">
        <v>497</v>
      </c>
      <c r="DR92" s="73">
        <f t="shared" ca="1" si="414"/>
        <v>0</v>
      </c>
      <c r="DS92" s="64"/>
      <c r="DT92" s="74" t="s">
        <v>497</v>
      </c>
      <c r="DU92" s="73">
        <f t="shared" ca="1" si="414"/>
        <v>0</v>
      </c>
      <c r="DV92" s="64"/>
      <c r="DW92" s="74" t="s">
        <v>1835</v>
      </c>
      <c r="DX92" s="73">
        <f t="shared" ca="1" si="414"/>
        <v>0</v>
      </c>
      <c r="DY92" s="64"/>
      <c r="DZ92" s="74" t="s">
        <v>497</v>
      </c>
      <c r="EA92" s="73">
        <f t="shared" ca="1" si="414"/>
        <v>0</v>
      </c>
      <c r="EB92" s="64"/>
      <c r="EC92" s="74" t="s">
        <v>1835</v>
      </c>
      <c r="ED92" s="73">
        <f t="shared" ca="1" si="414"/>
        <v>0</v>
      </c>
      <c r="EE92" s="64"/>
      <c r="EF92" s="74" t="s">
        <v>497</v>
      </c>
      <c r="EG92" s="73">
        <f t="shared" ca="1" si="414"/>
        <v>0</v>
      </c>
      <c r="EH92" s="64"/>
      <c r="EI92" s="74" t="s">
        <v>1835</v>
      </c>
      <c r="EJ92" s="73">
        <f t="shared" ca="1" si="414"/>
        <v>0</v>
      </c>
      <c r="EK92" s="64"/>
      <c r="EL92" s="74"/>
      <c r="EM92" s="73">
        <f t="shared" ca="1" si="414"/>
        <v>0</v>
      </c>
      <c r="EN92" s="64"/>
      <c r="EO92" s="74"/>
      <c r="EP92" s="73">
        <f t="shared" ca="1" si="414"/>
        <v>0</v>
      </c>
      <c r="EQ92" s="64"/>
      <c r="ER92" s="74"/>
      <c r="ES92" s="73">
        <f t="shared" ca="1" si="414"/>
        <v>0</v>
      </c>
      <c r="ET92" s="64"/>
      <c r="EU92" s="74"/>
      <c r="EV92" s="73">
        <f t="shared" ca="1" si="414"/>
        <v>0</v>
      </c>
      <c r="EW92" s="64"/>
      <c r="EX92" s="74"/>
      <c r="EY92" s="73">
        <f t="shared" ref="EY92:FK92" ca="1" si="415">($M92=EX92)*$D$11</f>
        <v>0</v>
      </c>
      <c r="EZ92" s="64"/>
      <c r="FA92" s="74"/>
      <c r="FB92" s="73">
        <f t="shared" ca="1" si="415"/>
        <v>0</v>
      </c>
      <c r="FC92" s="64"/>
      <c r="FD92" s="74"/>
      <c r="FE92" s="73">
        <f t="shared" ca="1" si="415"/>
        <v>0</v>
      </c>
      <c r="FF92" s="64"/>
      <c r="FG92" s="74"/>
      <c r="FH92" s="73">
        <f t="shared" ca="1" si="415"/>
        <v>0</v>
      </c>
      <c r="FI92" s="64"/>
      <c r="FJ92" s="74"/>
      <c r="FK92" s="73">
        <f t="shared" ca="1" si="415"/>
        <v>0</v>
      </c>
      <c r="FL92" s="64"/>
      <c r="FM92" s="64"/>
    </row>
    <row r="93" spans="1:169">
      <c r="A93" s="49"/>
      <c r="B93" s="49"/>
      <c r="C93" s="49"/>
      <c r="D93" s="49"/>
      <c r="E93" s="111"/>
      <c r="F93" s="127">
        <f t="shared" ref="F93" si="416">$D$12</f>
        <v>2</v>
      </c>
      <c r="G93" s="445">
        <f ca="1">VLOOKUP(H93,Equipos!$Q$1:$R$25,2,0)</f>
        <v>16</v>
      </c>
      <c r="H93" s="446">
        <f ca="1">$H$60</f>
        <v>46199</v>
      </c>
      <c r="I93" s="50"/>
      <c r="J93" s="851"/>
      <c r="K93" s="56" t="str">
        <f>Idiomas!D163</f>
        <v>2º GRUPO D</v>
      </c>
      <c r="L93" s="53"/>
      <c r="M93" s="55" t="str">
        <f ca="1">IF(OR(SUM(WORLDCUP!$AN$30:$AN$33)=12,WORLDCUP!$AJ$99=144),WORLDCUP!AL31,LEFT(K93,1)&amp;RIGHT(K93,1))</f>
        <v>2D</v>
      </c>
      <c r="N93" s="25"/>
      <c r="O93" s="25"/>
      <c r="P93" s="25"/>
      <c r="Q93" s="25"/>
      <c r="R93" s="110"/>
      <c r="S93" s="74" t="s">
        <v>1835</v>
      </c>
      <c r="T93" s="73">
        <f t="shared" ref="T93" ca="1" si="417">($M93=S93)*$D$12</f>
        <v>0</v>
      </c>
      <c r="U93" s="64"/>
      <c r="V93" s="74" t="s">
        <v>497</v>
      </c>
      <c r="W93" s="73">
        <f t="shared" ref="W93:CH93" ca="1" si="418">($M93=V93)*$D$12</f>
        <v>0</v>
      </c>
      <c r="X93" s="64"/>
      <c r="Y93" s="74" t="s">
        <v>497</v>
      </c>
      <c r="Z93" s="73">
        <f t="shared" ca="1" si="418"/>
        <v>0</v>
      </c>
      <c r="AA93" s="64"/>
      <c r="AB93" s="74" t="s">
        <v>497</v>
      </c>
      <c r="AC93" s="73">
        <f t="shared" ca="1" si="418"/>
        <v>0</v>
      </c>
      <c r="AD93" s="64"/>
      <c r="AE93" s="74" t="s">
        <v>1835</v>
      </c>
      <c r="AF93" s="73">
        <f t="shared" ca="1" si="418"/>
        <v>0</v>
      </c>
      <c r="AG93" s="64"/>
      <c r="AH93" s="74" t="s">
        <v>1835</v>
      </c>
      <c r="AI93" s="73">
        <f t="shared" ca="1" si="418"/>
        <v>0</v>
      </c>
      <c r="AJ93" s="64"/>
      <c r="AK93" s="74" t="s">
        <v>1319</v>
      </c>
      <c r="AL93" s="73">
        <f t="shared" ca="1" si="418"/>
        <v>0</v>
      </c>
      <c r="AM93" s="64"/>
      <c r="AN93" s="74" t="s">
        <v>497</v>
      </c>
      <c r="AO93" s="73">
        <f t="shared" ca="1" si="418"/>
        <v>0</v>
      </c>
      <c r="AP93" s="64"/>
      <c r="AQ93" s="74" t="s">
        <v>1319</v>
      </c>
      <c r="AR93" s="73">
        <f t="shared" ca="1" si="418"/>
        <v>0</v>
      </c>
      <c r="AS93" s="64"/>
      <c r="AT93" s="74" t="s">
        <v>497</v>
      </c>
      <c r="AU93" s="73">
        <f t="shared" ca="1" si="418"/>
        <v>0</v>
      </c>
      <c r="AV93" s="64"/>
      <c r="AW93" s="74" t="s">
        <v>1319</v>
      </c>
      <c r="AX93" s="73">
        <f t="shared" ca="1" si="418"/>
        <v>0</v>
      </c>
      <c r="AY93" s="64"/>
      <c r="AZ93" s="74" t="s">
        <v>497</v>
      </c>
      <c r="BA93" s="73">
        <f t="shared" ca="1" si="418"/>
        <v>0</v>
      </c>
      <c r="BB93" s="64"/>
      <c r="BC93" s="74" t="s">
        <v>497</v>
      </c>
      <c r="BD93" s="73">
        <f t="shared" ca="1" si="418"/>
        <v>0</v>
      </c>
      <c r="BE93" s="64"/>
      <c r="BF93" s="74" t="s">
        <v>1835</v>
      </c>
      <c r="BG93" s="73">
        <f t="shared" ca="1" si="418"/>
        <v>0</v>
      </c>
      <c r="BH93" s="64"/>
      <c r="BI93" s="74" t="s">
        <v>1319</v>
      </c>
      <c r="BJ93" s="73">
        <f t="shared" ca="1" si="418"/>
        <v>0</v>
      </c>
      <c r="BK93" s="64"/>
      <c r="BL93" s="74" t="s">
        <v>1835</v>
      </c>
      <c r="BM93" s="73">
        <f t="shared" ca="1" si="418"/>
        <v>0</v>
      </c>
      <c r="BN93" s="64"/>
      <c r="BO93" s="74" t="s">
        <v>497</v>
      </c>
      <c r="BP93" s="73">
        <f t="shared" ca="1" si="418"/>
        <v>0</v>
      </c>
      <c r="BQ93" s="64"/>
      <c r="BR93" s="74" t="s">
        <v>1319</v>
      </c>
      <c r="BS93" s="73">
        <f t="shared" ca="1" si="418"/>
        <v>0</v>
      </c>
      <c r="BT93" s="64"/>
      <c r="BU93" s="74" t="s">
        <v>497</v>
      </c>
      <c r="BV93" s="73">
        <f t="shared" ca="1" si="418"/>
        <v>0</v>
      </c>
      <c r="BW93" s="64"/>
      <c r="BX93" s="74" t="s">
        <v>497</v>
      </c>
      <c r="BY93" s="73">
        <f t="shared" ca="1" si="418"/>
        <v>0</v>
      </c>
      <c r="BZ93" s="64"/>
      <c r="CA93" s="74" t="s">
        <v>497</v>
      </c>
      <c r="CB93" s="73">
        <f t="shared" ca="1" si="418"/>
        <v>0</v>
      </c>
      <c r="CC93" s="64"/>
      <c r="CD93" s="74" t="s">
        <v>497</v>
      </c>
      <c r="CE93" s="73">
        <f t="shared" ca="1" si="418"/>
        <v>0</v>
      </c>
      <c r="CF93" s="64"/>
      <c r="CG93" s="74" t="s">
        <v>1835</v>
      </c>
      <c r="CH93" s="73">
        <f t="shared" ca="1" si="418"/>
        <v>0</v>
      </c>
      <c r="CI93" s="64"/>
      <c r="CJ93" s="74" t="s">
        <v>1835</v>
      </c>
      <c r="CK93" s="73">
        <f t="shared" ref="CK93:EV93" ca="1" si="419">($M93=CJ93)*$D$12</f>
        <v>0</v>
      </c>
      <c r="CL93" s="64"/>
      <c r="CM93" s="74" t="s">
        <v>497</v>
      </c>
      <c r="CN93" s="73">
        <f t="shared" ca="1" si="419"/>
        <v>0</v>
      </c>
      <c r="CO93" s="64"/>
      <c r="CP93" s="74" t="s">
        <v>497</v>
      </c>
      <c r="CQ93" s="73">
        <f t="shared" ca="1" si="419"/>
        <v>0</v>
      </c>
      <c r="CR93" s="64"/>
      <c r="CS93" s="74" t="s">
        <v>497</v>
      </c>
      <c r="CT93" s="73">
        <f t="shared" ca="1" si="419"/>
        <v>0</v>
      </c>
      <c r="CU93" s="64"/>
      <c r="CV93" s="74" t="s">
        <v>497</v>
      </c>
      <c r="CW93" s="73">
        <f t="shared" ca="1" si="419"/>
        <v>0</v>
      </c>
      <c r="CX93" s="64"/>
      <c r="CY93" s="74" t="s">
        <v>497</v>
      </c>
      <c r="CZ93" s="73">
        <f t="shared" ca="1" si="419"/>
        <v>0</v>
      </c>
      <c r="DA93" s="64"/>
      <c r="DB93" s="74" t="s">
        <v>497</v>
      </c>
      <c r="DC93" s="73">
        <f t="shared" ca="1" si="419"/>
        <v>0</v>
      </c>
      <c r="DD93" s="64"/>
      <c r="DE93" s="74" t="s">
        <v>497</v>
      </c>
      <c r="DF93" s="73">
        <f t="shared" ca="1" si="419"/>
        <v>0</v>
      </c>
      <c r="DG93" s="64"/>
      <c r="DH93" s="74" t="s">
        <v>497</v>
      </c>
      <c r="DI93" s="73">
        <f t="shared" ca="1" si="419"/>
        <v>0</v>
      </c>
      <c r="DJ93" s="64"/>
      <c r="DK93" s="74" t="s">
        <v>497</v>
      </c>
      <c r="DL93" s="73">
        <f t="shared" ca="1" si="419"/>
        <v>0</v>
      </c>
      <c r="DM93" s="64"/>
      <c r="DN93" s="795" t="s">
        <v>1319</v>
      </c>
      <c r="DO93" s="73">
        <f t="shared" ca="1" si="419"/>
        <v>0</v>
      </c>
      <c r="DP93" s="64"/>
      <c r="DQ93" s="795" t="s">
        <v>1835</v>
      </c>
      <c r="DR93" s="73">
        <f t="shared" ca="1" si="419"/>
        <v>0</v>
      </c>
      <c r="DS93" s="64"/>
      <c r="DT93" s="74" t="s">
        <v>1835</v>
      </c>
      <c r="DU93" s="73">
        <f t="shared" ca="1" si="419"/>
        <v>0</v>
      </c>
      <c r="DV93" s="64"/>
      <c r="DW93" s="74" t="s">
        <v>497</v>
      </c>
      <c r="DX93" s="73">
        <f t="shared" ca="1" si="419"/>
        <v>0</v>
      </c>
      <c r="DY93" s="64"/>
      <c r="DZ93" s="74" t="s">
        <v>1835</v>
      </c>
      <c r="EA93" s="73">
        <f t="shared" ca="1" si="419"/>
        <v>0</v>
      </c>
      <c r="EB93" s="64"/>
      <c r="EC93" s="74" t="s">
        <v>1319</v>
      </c>
      <c r="ED93" s="73">
        <f t="shared" ca="1" si="419"/>
        <v>0</v>
      </c>
      <c r="EE93" s="64"/>
      <c r="EF93" s="74" t="s">
        <v>1835</v>
      </c>
      <c r="EG93" s="73">
        <f t="shared" ca="1" si="419"/>
        <v>0</v>
      </c>
      <c r="EH93" s="64"/>
      <c r="EI93" s="74" t="s">
        <v>497</v>
      </c>
      <c r="EJ93" s="73">
        <f t="shared" ca="1" si="419"/>
        <v>0</v>
      </c>
      <c r="EK93" s="64"/>
      <c r="EL93" s="74"/>
      <c r="EM93" s="73">
        <f t="shared" ca="1" si="419"/>
        <v>0</v>
      </c>
      <c r="EN93" s="64"/>
      <c r="EO93" s="74"/>
      <c r="EP93" s="73">
        <f t="shared" ca="1" si="419"/>
        <v>0</v>
      </c>
      <c r="EQ93" s="64"/>
      <c r="ER93" s="74"/>
      <c r="ES93" s="73">
        <f t="shared" ca="1" si="419"/>
        <v>0</v>
      </c>
      <c r="ET93" s="64"/>
      <c r="EU93" s="74"/>
      <c r="EV93" s="73">
        <f t="shared" ca="1" si="419"/>
        <v>0</v>
      </c>
      <c r="EW93" s="64"/>
      <c r="EX93" s="74"/>
      <c r="EY93" s="73">
        <f t="shared" ref="EY93:FK93" ca="1" si="420">($M93=EX93)*$D$12</f>
        <v>0</v>
      </c>
      <c r="EZ93" s="64"/>
      <c r="FA93" s="74"/>
      <c r="FB93" s="73">
        <f t="shared" ca="1" si="420"/>
        <v>0</v>
      </c>
      <c r="FC93" s="64"/>
      <c r="FD93" s="74"/>
      <c r="FE93" s="73">
        <f t="shared" ca="1" si="420"/>
        <v>0</v>
      </c>
      <c r="FF93" s="64"/>
      <c r="FG93" s="74"/>
      <c r="FH93" s="73">
        <f t="shared" ca="1" si="420"/>
        <v>0</v>
      </c>
      <c r="FI93" s="64"/>
      <c r="FJ93" s="74"/>
      <c r="FK93" s="73">
        <f t="shared" ca="1" si="420"/>
        <v>0</v>
      </c>
      <c r="FL93" s="64"/>
      <c r="FM93" s="64"/>
    </row>
    <row r="94" spans="1:169">
      <c r="A94" s="49"/>
      <c r="B94" s="49"/>
      <c r="C94" s="49"/>
      <c r="D94" s="49"/>
      <c r="E94" s="111"/>
      <c r="F94" s="127">
        <f t="shared" ref="F94" si="421">$D$13</f>
        <v>2</v>
      </c>
      <c r="G94" s="445">
        <f ca="1">VLOOKUP(H94,Equipos!$Q$1:$R$25,2,0)</f>
        <v>16</v>
      </c>
      <c r="H94" s="446">
        <f ca="1">$H$60</f>
        <v>46199</v>
      </c>
      <c r="I94" s="50"/>
      <c r="J94" s="851"/>
      <c r="K94" s="56" t="str">
        <f>Idiomas!D164</f>
        <v>3º GRUPO D</v>
      </c>
      <c r="L94" s="53"/>
      <c r="M94" s="55" t="str">
        <f ca="1">IF(OR(SUM(WORLDCUP!$AN$30:$AN$33)=12,WORLDCUP!$AJ$99=144),WORLDCUP!AL32,LEFT(K94,1)&amp;RIGHT(K94,1))</f>
        <v>3D</v>
      </c>
      <c r="N94" s="25"/>
      <c r="O94" s="25"/>
      <c r="P94" s="25"/>
      <c r="Q94" s="25"/>
      <c r="R94" s="110"/>
      <c r="S94" s="74" t="s">
        <v>1257</v>
      </c>
      <c r="T94" s="73">
        <f t="shared" ref="T94" ca="1" si="422">($M94=S94)*$D$13</f>
        <v>0</v>
      </c>
      <c r="U94" s="64"/>
      <c r="V94" s="74" t="s">
        <v>1319</v>
      </c>
      <c r="W94" s="73">
        <f t="shared" ref="W94:CH94" ca="1" si="423">($M94=V94)*$D$13</f>
        <v>0</v>
      </c>
      <c r="X94" s="64"/>
      <c r="Y94" s="74" t="s">
        <v>1319</v>
      </c>
      <c r="Z94" s="73">
        <f t="shared" ca="1" si="423"/>
        <v>0</v>
      </c>
      <c r="AA94" s="64"/>
      <c r="AB94" s="74" t="s">
        <v>1319</v>
      </c>
      <c r="AC94" s="73">
        <f t="shared" ca="1" si="423"/>
        <v>0</v>
      </c>
      <c r="AD94" s="64"/>
      <c r="AE94" s="74" t="s">
        <v>1319</v>
      </c>
      <c r="AF94" s="73">
        <f t="shared" ca="1" si="423"/>
        <v>0</v>
      </c>
      <c r="AG94" s="64"/>
      <c r="AH94" s="74" t="s">
        <v>1319</v>
      </c>
      <c r="AI94" s="73">
        <f t="shared" ca="1" si="423"/>
        <v>0</v>
      </c>
      <c r="AJ94" s="64"/>
      <c r="AK94" s="74" t="s">
        <v>497</v>
      </c>
      <c r="AL94" s="73">
        <f t="shared" ca="1" si="423"/>
        <v>0</v>
      </c>
      <c r="AM94" s="64"/>
      <c r="AN94" s="74" t="s">
        <v>1257</v>
      </c>
      <c r="AO94" s="73">
        <f t="shared" ca="1" si="423"/>
        <v>0</v>
      </c>
      <c r="AP94" s="64"/>
      <c r="AQ94" s="74" t="s">
        <v>1835</v>
      </c>
      <c r="AR94" s="73">
        <f t="shared" ca="1" si="423"/>
        <v>0</v>
      </c>
      <c r="AS94" s="64"/>
      <c r="AT94" s="74" t="s">
        <v>1319</v>
      </c>
      <c r="AU94" s="73">
        <f t="shared" ca="1" si="423"/>
        <v>0</v>
      </c>
      <c r="AV94" s="64"/>
      <c r="AW94" s="74" t="s">
        <v>497</v>
      </c>
      <c r="AX94" s="73">
        <f t="shared" ca="1" si="423"/>
        <v>0</v>
      </c>
      <c r="AY94" s="64"/>
      <c r="AZ94" s="74" t="s">
        <v>1257</v>
      </c>
      <c r="BA94" s="73">
        <f t="shared" ca="1" si="423"/>
        <v>0</v>
      </c>
      <c r="BB94" s="64"/>
      <c r="BC94" s="74" t="s">
        <v>1319</v>
      </c>
      <c r="BD94" s="73">
        <f t="shared" ca="1" si="423"/>
        <v>0</v>
      </c>
      <c r="BE94" s="64"/>
      <c r="BF94" s="74" t="s">
        <v>1319</v>
      </c>
      <c r="BG94" s="73">
        <f t="shared" ca="1" si="423"/>
        <v>0</v>
      </c>
      <c r="BH94" s="64"/>
      <c r="BI94" s="74" t="s">
        <v>497</v>
      </c>
      <c r="BJ94" s="73">
        <f t="shared" ca="1" si="423"/>
        <v>0</v>
      </c>
      <c r="BK94" s="64"/>
      <c r="BL94" s="74" t="s">
        <v>1319</v>
      </c>
      <c r="BM94" s="73">
        <f t="shared" ca="1" si="423"/>
        <v>0</v>
      </c>
      <c r="BN94" s="64"/>
      <c r="BO94" s="74" t="s">
        <v>1319</v>
      </c>
      <c r="BP94" s="73">
        <f t="shared" ca="1" si="423"/>
        <v>0</v>
      </c>
      <c r="BQ94" s="64"/>
      <c r="BR94" s="74" t="s">
        <v>497</v>
      </c>
      <c r="BS94" s="73">
        <f t="shared" ca="1" si="423"/>
        <v>0</v>
      </c>
      <c r="BT94" s="64"/>
      <c r="BU94" s="74" t="s">
        <v>1319</v>
      </c>
      <c r="BV94" s="73">
        <f t="shared" ca="1" si="423"/>
        <v>0</v>
      </c>
      <c r="BW94" s="64"/>
      <c r="BX94" s="74" t="s">
        <v>1319</v>
      </c>
      <c r="BY94" s="73">
        <f t="shared" ca="1" si="423"/>
        <v>0</v>
      </c>
      <c r="BZ94" s="64"/>
      <c r="CA94" s="74" t="s">
        <v>1319</v>
      </c>
      <c r="CB94" s="73">
        <f t="shared" ca="1" si="423"/>
        <v>0</v>
      </c>
      <c r="CC94" s="64"/>
      <c r="CD94" s="74" t="s">
        <v>1257</v>
      </c>
      <c r="CE94" s="73">
        <f t="shared" ca="1" si="423"/>
        <v>0</v>
      </c>
      <c r="CF94" s="64"/>
      <c r="CG94" s="74" t="s">
        <v>1319</v>
      </c>
      <c r="CH94" s="73">
        <f t="shared" ca="1" si="423"/>
        <v>0</v>
      </c>
      <c r="CI94" s="64"/>
      <c r="CJ94" s="74" t="s">
        <v>1319</v>
      </c>
      <c r="CK94" s="73">
        <f t="shared" ref="CK94:EV94" ca="1" si="424">($M94=CJ94)*$D$13</f>
        <v>0</v>
      </c>
      <c r="CL94" s="64"/>
      <c r="CM94" s="74" t="s">
        <v>1319</v>
      </c>
      <c r="CN94" s="73">
        <f t="shared" ca="1" si="424"/>
        <v>0</v>
      </c>
      <c r="CO94" s="64"/>
      <c r="CP94" s="74" t="s">
        <v>1319</v>
      </c>
      <c r="CQ94" s="73">
        <f t="shared" ca="1" si="424"/>
        <v>0</v>
      </c>
      <c r="CR94" s="64"/>
      <c r="CS94" s="74" t="s">
        <v>1319</v>
      </c>
      <c r="CT94" s="73">
        <f t="shared" ca="1" si="424"/>
        <v>0</v>
      </c>
      <c r="CU94" s="64"/>
      <c r="CV94" s="74" t="s">
        <v>1319</v>
      </c>
      <c r="CW94" s="73">
        <f t="shared" ca="1" si="424"/>
        <v>0</v>
      </c>
      <c r="CX94" s="64"/>
      <c r="CY94" s="74" t="s">
        <v>1319</v>
      </c>
      <c r="CZ94" s="73">
        <f t="shared" ca="1" si="424"/>
        <v>0</v>
      </c>
      <c r="DA94" s="64"/>
      <c r="DB94" s="74" t="s">
        <v>1319</v>
      </c>
      <c r="DC94" s="73">
        <f t="shared" ca="1" si="424"/>
        <v>0</v>
      </c>
      <c r="DD94" s="64"/>
      <c r="DE94" s="74" t="s">
        <v>1257</v>
      </c>
      <c r="DF94" s="73">
        <f t="shared" ca="1" si="424"/>
        <v>0</v>
      </c>
      <c r="DG94" s="64"/>
      <c r="DH94" s="74" t="s">
        <v>1319</v>
      </c>
      <c r="DI94" s="73">
        <f t="shared" ca="1" si="424"/>
        <v>0</v>
      </c>
      <c r="DJ94" s="64"/>
      <c r="DK94" s="74" t="s">
        <v>1319</v>
      </c>
      <c r="DL94" s="73">
        <f t="shared" ca="1" si="424"/>
        <v>0</v>
      </c>
      <c r="DM94" s="64"/>
      <c r="DN94" s="795" t="s">
        <v>497</v>
      </c>
      <c r="DO94" s="73">
        <f t="shared" ca="1" si="424"/>
        <v>0</v>
      </c>
      <c r="DP94" s="64"/>
      <c r="DQ94" s="795" t="s">
        <v>1257</v>
      </c>
      <c r="DR94" s="73">
        <f t="shared" ca="1" si="424"/>
        <v>0</v>
      </c>
      <c r="DS94" s="64"/>
      <c r="DT94" s="74" t="s">
        <v>1319</v>
      </c>
      <c r="DU94" s="73">
        <f t="shared" ca="1" si="424"/>
        <v>0</v>
      </c>
      <c r="DV94" s="64"/>
      <c r="DW94" s="74" t="s">
        <v>1319</v>
      </c>
      <c r="DX94" s="73">
        <f t="shared" ca="1" si="424"/>
        <v>0</v>
      </c>
      <c r="DY94" s="64"/>
      <c r="DZ94" s="74" t="s">
        <v>1257</v>
      </c>
      <c r="EA94" s="73">
        <f t="shared" ca="1" si="424"/>
        <v>0</v>
      </c>
      <c r="EB94" s="64"/>
      <c r="EC94" s="74" t="s">
        <v>497</v>
      </c>
      <c r="ED94" s="73">
        <f t="shared" ca="1" si="424"/>
        <v>0</v>
      </c>
      <c r="EE94" s="64"/>
      <c r="EF94" s="74" t="s">
        <v>1257</v>
      </c>
      <c r="EG94" s="73">
        <f t="shared" ca="1" si="424"/>
        <v>0</v>
      </c>
      <c r="EH94" s="64"/>
      <c r="EI94" s="74" t="s">
        <v>1319</v>
      </c>
      <c r="EJ94" s="73">
        <f t="shared" ca="1" si="424"/>
        <v>0</v>
      </c>
      <c r="EK94" s="64"/>
      <c r="EL94" s="74"/>
      <c r="EM94" s="73">
        <f t="shared" ca="1" si="424"/>
        <v>0</v>
      </c>
      <c r="EN94" s="64"/>
      <c r="EO94" s="74"/>
      <c r="EP94" s="73">
        <f t="shared" ca="1" si="424"/>
        <v>0</v>
      </c>
      <c r="EQ94" s="64"/>
      <c r="ER94" s="74"/>
      <c r="ES94" s="73">
        <f t="shared" ca="1" si="424"/>
        <v>0</v>
      </c>
      <c r="ET94" s="64"/>
      <c r="EU94" s="74"/>
      <c r="EV94" s="73">
        <f t="shared" ca="1" si="424"/>
        <v>0</v>
      </c>
      <c r="EW94" s="64"/>
      <c r="EX94" s="74"/>
      <c r="EY94" s="73">
        <f t="shared" ref="EY94:FK94" ca="1" si="425">($M94=EX94)*$D$13</f>
        <v>0</v>
      </c>
      <c r="EZ94" s="64"/>
      <c r="FA94" s="74"/>
      <c r="FB94" s="73">
        <f t="shared" ca="1" si="425"/>
        <v>0</v>
      </c>
      <c r="FC94" s="64"/>
      <c r="FD94" s="74"/>
      <c r="FE94" s="73">
        <f t="shared" ca="1" si="425"/>
        <v>0</v>
      </c>
      <c r="FF94" s="64"/>
      <c r="FG94" s="74"/>
      <c r="FH94" s="73">
        <f t="shared" ca="1" si="425"/>
        <v>0</v>
      </c>
      <c r="FI94" s="64"/>
      <c r="FJ94" s="74"/>
      <c r="FK94" s="73">
        <f t="shared" ca="1" si="425"/>
        <v>0</v>
      </c>
      <c r="FL94" s="64"/>
      <c r="FM94" s="64"/>
    </row>
    <row r="95" spans="1:169">
      <c r="A95" s="49"/>
      <c r="B95" s="49"/>
      <c r="C95" s="49"/>
      <c r="D95" s="49"/>
      <c r="E95" s="111"/>
      <c r="F95" s="127">
        <f t="shared" ref="F95" si="426">$D$14</f>
        <v>2</v>
      </c>
      <c r="G95" s="445">
        <f ca="1">VLOOKUP(H95,Equipos!$Q$1:$R$25,2,0)</f>
        <v>16</v>
      </c>
      <c r="H95" s="446">
        <f ca="1">$H$60</f>
        <v>46199</v>
      </c>
      <c r="I95" s="50"/>
      <c r="J95" s="851"/>
      <c r="K95" s="56" t="str">
        <f>Idiomas!D165</f>
        <v>4º GRUPO D</v>
      </c>
      <c r="L95" s="53"/>
      <c r="M95" s="55" t="str">
        <f ca="1">IF(OR(SUM(WORLDCUP!$AN$30:$AN$33)=12,WORLDCUP!$AJ$99=144),WORLDCUP!AL33,LEFT(K95,1)&amp;RIGHT(K95,1))</f>
        <v>4D</v>
      </c>
      <c r="N95" s="25"/>
      <c r="O95" s="25"/>
      <c r="P95" s="25"/>
      <c r="Q95" s="25"/>
      <c r="R95" s="110"/>
      <c r="S95" s="74" t="s">
        <v>1319</v>
      </c>
      <c r="T95" s="73">
        <f t="shared" ref="T95" ca="1" si="427">($M95=S95)*$D$14</f>
        <v>0</v>
      </c>
      <c r="U95" s="64"/>
      <c r="V95" s="74" t="s">
        <v>1257</v>
      </c>
      <c r="W95" s="73">
        <f t="shared" ref="W95:CH95" ca="1" si="428">($M95=V95)*$D$14</f>
        <v>0</v>
      </c>
      <c r="X95" s="64"/>
      <c r="Y95" s="74" t="s">
        <v>1257</v>
      </c>
      <c r="Z95" s="73">
        <f t="shared" ca="1" si="428"/>
        <v>0</v>
      </c>
      <c r="AA95" s="64"/>
      <c r="AB95" s="74" t="s">
        <v>1257</v>
      </c>
      <c r="AC95" s="73">
        <f t="shared" ca="1" si="428"/>
        <v>0</v>
      </c>
      <c r="AD95" s="64"/>
      <c r="AE95" s="74" t="s">
        <v>1257</v>
      </c>
      <c r="AF95" s="73">
        <f t="shared" ca="1" si="428"/>
        <v>0</v>
      </c>
      <c r="AG95" s="64"/>
      <c r="AH95" s="74" t="s">
        <v>1257</v>
      </c>
      <c r="AI95" s="73">
        <f t="shared" ca="1" si="428"/>
        <v>0</v>
      </c>
      <c r="AJ95" s="64"/>
      <c r="AK95" s="74" t="s">
        <v>1257</v>
      </c>
      <c r="AL95" s="73">
        <f t="shared" ca="1" si="428"/>
        <v>0</v>
      </c>
      <c r="AM95" s="64"/>
      <c r="AN95" s="74" t="s">
        <v>1319</v>
      </c>
      <c r="AO95" s="73">
        <f t="shared" ca="1" si="428"/>
        <v>0</v>
      </c>
      <c r="AP95" s="64"/>
      <c r="AQ95" s="74" t="s">
        <v>1257</v>
      </c>
      <c r="AR95" s="73">
        <f t="shared" ca="1" si="428"/>
        <v>0</v>
      </c>
      <c r="AS95" s="64"/>
      <c r="AT95" s="74" t="s">
        <v>1257</v>
      </c>
      <c r="AU95" s="73">
        <f t="shared" ca="1" si="428"/>
        <v>0</v>
      </c>
      <c r="AV95" s="64"/>
      <c r="AW95" s="74" t="s">
        <v>1257</v>
      </c>
      <c r="AX95" s="73">
        <f t="shared" ca="1" si="428"/>
        <v>0</v>
      </c>
      <c r="AY95" s="64"/>
      <c r="AZ95" s="74" t="s">
        <v>1319</v>
      </c>
      <c r="BA95" s="73">
        <f t="shared" ca="1" si="428"/>
        <v>0</v>
      </c>
      <c r="BB95" s="64"/>
      <c r="BC95" s="74" t="s">
        <v>1257</v>
      </c>
      <c r="BD95" s="73">
        <f t="shared" ca="1" si="428"/>
        <v>0</v>
      </c>
      <c r="BE95" s="64"/>
      <c r="BF95" s="74" t="s">
        <v>1257</v>
      </c>
      <c r="BG95" s="73">
        <f t="shared" ca="1" si="428"/>
        <v>0</v>
      </c>
      <c r="BH95" s="64"/>
      <c r="BI95" s="74" t="s">
        <v>1257</v>
      </c>
      <c r="BJ95" s="73">
        <f t="shared" ca="1" si="428"/>
        <v>0</v>
      </c>
      <c r="BK95" s="64"/>
      <c r="BL95" s="74" t="s">
        <v>1257</v>
      </c>
      <c r="BM95" s="73">
        <f t="shared" ca="1" si="428"/>
        <v>0</v>
      </c>
      <c r="BN95" s="64"/>
      <c r="BO95" s="74" t="s">
        <v>1257</v>
      </c>
      <c r="BP95" s="73">
        <f t="shared" ca="1" si="428"/>
        <v>0</v>
      </c>
      <c r="BQ95" s="64"/>
      <c r="BR95" s="74" t="s">
        <v>1257</v>
      </c>
      <c r="BS95" s="73">
        <f t="shared" ca="1" si="428"/>
        <v>0</v>
      </c>
      <c r="BT95" s="64"/>
      <c r="BU95" s="74" t="s">
        <v>1257</v>
      </c>
      <c r="BV95" s="73">
        <f t="shared" ca="1" si="428"/>
        <v>0</v>
      </c>
      <c r="BW95" s="64"/>
      <c r="BX95" s="74" t="s">
        <v>1257</v>
      </c>
      <c r="BY95" s="73">
        <f t="shared" ca="1" si="428"/>
        <v>0</v>
      </c>
      <c r="BZ95" s="64"/>
      <c r="CA95" s="74" t="s">
        <v>1257</v>
      </c>
      <c r="CB95" s="73">
        <f t="shared" ca="1" si="428"/>
        <v>0</v>
      </c>
      <c r="CC95" s="64"/>
      <c r="CD95" s="74" t="s">
        <v>1319</v>
      </c>
      <c r="CE95" s="73">
        <f t="shared" ca="1" si="428"/>
        <v>0</v>
      </c>
      <c r="CF95" s="64"/>
      <c r="CG95" s="74" t="s">
        <v>1257</v>
      </c>
      <c r="CH95" s="73">
        <f t="shared" ca="1" si="428"/>
        <v>0</v>
      </c>
      <c r="CI95" s="64"/>
      <c r="CJ95" s="74" t="s">
        <v>1257</v>
      </c>
      <c r="CK95" s="73">
        <f t="shared" ref="CK95:EV95" ca="1" si="429">($M95=CJ95)*$D$14</f>
        <v>0</v>
      </c>
      <c r="CL95" s="64"/>
      <c r="CM95" s="74" t="s">
        <v>1257</v>
      </c>
      <c r="CN95" s="73">
        <f t="shared" ca="1" si="429"/>
        <v>0</v>
      </c>
      <c r="CO95" s="64"/>
      <c r="CP95" s="74" t="s">
        <v>1257</v>
      </c>
      <c r="CQ95" s="73">
        <f t="shared" ca="1" si="429"/>
        <v>0</v>
      </c>
      <c r="CR95" s="64"/>
      <c r="CS95" s="74" t="s">
        <v>1257</v>
      </c>
      <c r="CT95" s="73">
        <f t="shared" ca="1" si="429"/>
        <v>0</v>
      </c>
      <c r="CU95" s="64"/>
      <c r="CV95" s="74" t="s">
        <v>1257</v>
      </c>
      <c r="CW95" s="73">
        <f t="shared" ca="1" si="429"/>
        <v>0</v>
      </c>
      <c r="CX95" s="64"/>
      <c r="CY95" s="74" t="s">
        <v>1257</v>
      </c>
      <c r="CZ95" s="73">
        <f t="shared" ca="1" si="429"/>
        <v>0</v>
      </c>
      <c r="DA95" s="64"/>
      <c r="DB95" s="74" t="s">
        <v>1257</v>
      </c>
      <c r="DC95" s="73">
        <f t="shared" ca="1" si="429"/>
        <v>0</v>
      </c>
      <c r="DD95" s="64"/>
      <c r="DE95" s="74" t="s">
        <v>1319</v>
      </c>
      <c r="DF95" s="73">
        <f t="shared" ca="1" si="429"/>
        <v>0</v>
      </c>
      <c r="DG95" s="64"/>
      <c r="DH95" s="74" t="s">
        <v>1257</v>
      </c>
      <c r="DI95" s="73">
        <f t="shared" ca="1" si="429"/>
        <v>0</v>
      </c>
      <c r="DJ95" s="64"/>
      <c r="DK95" s="74" t="s">
        <v>1257</v>
      </c>
      <c r="DL95" s="73">
        <f t="shared" ca="1" si="429"/>
        <v>0</v>
      </c>
      <c r="DM95" s="64"/>
      <c r="DN95" s="795" t="s">
        <v>1257</v>
      </c>
      <c r="DO95" s="73">
        <f t="shared" ca="1" si="429"/>
        <v>0</v>
      </c>
      <c r="DP95" s="64"/>
      <c r="DQ95" s="795" t="s">
        <v>1319</v>
      </c>
      <c r="DR95" s="73">
        <f t="shared" ca="1" si="429"/>
        <v>0</v>
      </c>
      <c r="DS95" s="64"/>
      <c r="DT95" s="74" t="s">
        <v>1257</v>
      </c>
      <c r="DU95" s="73">
        <f t="shared" ca="1" si="429"/>
        <v>0</v>
      </c>
      <c r="DV95" s="64"/>
      <c r="DW95" s="74" t="s">
        <v>1257</v>
      </c>
      <c r="DX95" s="73">
        <f t="shared" ca="1" si="429"/>
        <v>0</v>
      </c>
      <c r="DY95" s="64"/>
      <c r="DZ95" s="74" t="s">
        <v>1319</v>
      </c>
      <c r="EA95" s="73">
        <f t="shared" ca="1" si="429"/>
        <v>0</v>
      </c>
      <c r="EB95" s="64"/>
      <c r="EC95" s="74" t="s">
        <v>1257</v>
      </c>
      <c r="ED95" s="73">
        <f t="shared" ca="1" si="429"/>
        <v>0</v>
      </c>
      <c r="EE95" s="64"/>
      <c r="EF95" s="74" t="s">
        <v>1319</v>
      </c>
      <c r="EG95" s="73">
        <f t="shared" ca="1" si="429"/>
        <v>0</v>
      </c>
      <c r="EH95" s="64"/>
      <c r="EI95" s="74" t="s">
        <v>1257</v>
      </c>
      <c r="EJ95" s="73">
        <f t="shared" ca="1" si="429"/>
        <v>0</v>
      </c>
      <c r="EK95" s="64"/>
      <c r="EL95" s="74"/>
      <c r="EM95" s="73">
        <f t="shared" ca="1" si="429"/>
        <v>0</v>
      </c>
      <c r="EN95" s="64"/>
      <c r="EO95" s="74"/>
      <c r="EP95" s="73">
        <f t="shared" ca="1" si="429"/>
        <v>0</v>
      </c>
      <c r="EQ95" s="64"/>
      <c r="ER95" s="74"/>
      <c r="ES95" s="73">
        <f t="shared" ca="1" si="429"/>
        <v>0</v>
      </c>
      <c r="ET95" s="64"/>
      <c r="EU95" s="74"/>
      <c r="EV95" s="73">
        <f t="shared" ca="1" si="429"/>
        <v>0</v>
      </c>
      <c r="EW95" s="64"/>
      <c r="EX95" s="74"/>
      <c r="EY95" s="73">
        <f t="shared" ref="EY95:FK95" ca="1" si="430">($M95=EX95)*$D$14</f>
        <v>0</v>
      </c>
      <c r="EZ95" s="64"/>
      <c r="FA95" s="74"/>
      <c r="FB95" s="73">
        <f t="shared" ca="1" si="430"/>
        <v>0</v>
      </c>
      <c r="FC95" s="64"/>
      <c r="FD95" s="74"/>
      <c r="FE95" s="73">
        <f t="shared" ca="1" si="430"/>
        <v>0</v>
      </c>
      <c r="FF95" s="64"/>
      <c r="FG95" s="74"/>
      <c r="FH95" s="73">
        <f t="shared" ca="1" si="430"/>
        <v>0</v>
      </c>
      <c r="FI95" s="64"/>
      <c r="FJ95" s="74"/>
      <c r="FK95" s="73">
        <f t="shared" ca="1" si="430"/>
        <v>0</v>
      </c>
      <c r="FL95" s="64"/>
      <c r="FM95" s="64"/>
    </row>
    <row r="96" spans="1:169">
      <c r="A96" s="49"/>
      <c r="B96" s="49"/>
      <c r="C96" s="49"/>
      <c r="D96" s="49"/>
      <c r="E96" s="111"/>
      <c r="F96" s="127">
        <f t="shared" ref="F96" si="431">$D$11</f>
        <v>2</v>
      </c>
      <c r="G96" s="445">
        <f ca="1">VLOOKUP(H96,Equipos!$Q$1:$R$25,2,0)</f>
        <v>16</v>
      </c>
      <c r="H96" s="446">
        <f ca="1">$H$62</f>
        <v>46199</v>
      </c>
      <c r="I96" s="50"/>
      <c r="J96" s="852" t="s">
        <v>3</v>
      </c>
      <c r="K96" s="56" t="str">
        <f>Idiomas!D166</f>
        <v>1º GRUPO E</v>
      </c>
      <c r="L96" s="53"/>
      <c r="M96" s="55" t="str">
        <f ca="1">IF(OR(SUM(WORLDCUP!$AN$38:$AN$41)=12,WORLDCUP!$AJ$99=144),WORLDCUP!AL38,LEFT(K96,1)&amp;RIGHT(K96,1))</f>
        <v>1E</v>
      </c>
      <c r="N96" s="25"/>
      <c r="O96" s="25"/>
      <c r="P96" s="25"/>
      <c r="Q96" s="25"/>
      <c r="R96" s="110"/>
      <c r="S96" s="74" t="s">
        <v>77</v>
      </c>
      <c r="T96" s="73">
        <f t="shared" ref="T96" ca="1" si="432">($M96=S96)*$D$11</f>
        <v>0</v>
      </c>
      <c r="U96" s="64"/>
      <c r="V96" s="74" t="s">
        <v>77</v>
      </c>
      <c r="W96" s="73">
        <f t="shared" ref="W96:CH96" ca="1" si="433">($M96=V96)*$D$11</f>
        <v>0</v>
      </c>
      <c r="X96" s="64"/>
      <c r="Y96" s="74" t="s">
        <v>77</v>
      </c>
      <c r="Z96" s="73">
        <f t="shared" ca="1" si="433"/>
        <v>0</v>
      </c>
      <c r="AA96" s="64"/>
      <c r="AB96" s="74" t="s">
        <v>77</v>
      </c>
      <c r="AC96" s="73">
        <f t="shared" ca="1" si="433"/>
        <v>0</v>
      </c>
      <c r="AD96" s="64"/>
      <c r="AE96" s="74" t="s">
        <v>77</v>
      </c>
      <c r="AF96" s="73">
        <f t="shared" ca="1" si="433"/>
        <v>0</v>
      </c>
      <c r="AG96" s="64"/>
      <c r="AH96" s="74" t="s">
        <v>77</v>
      </c>
      <c r="AI96" s="73">
        <f t="shared" ca="1" si="433"/>
        <v>0</v>
      </c>
      <c r="AJ96" s="64"/>
      <c r="AK96" s="74" t="s">
        <v>77</v>
      </c>
      <c r="AL96" s="73">
        <f t="shared" ca="1" si="433"/>
        <v>0</v>
      </c>
      <c r="AM96" s="64"/>
      <c r="AN96" s="74" t="s">
        <v>77</v>
      </c>
      <c r="AO96" s="73">
        <f t="shared" ca="1" si="433"/>
        <v>0</v>
      </c>
      <c r="AP96" s="64"/>
      <c r="AQ96" s="74" t="s">
        <v>77</v>
      </c>
      <c r="AR96" s="73">
        <f t="shared" ca="1" si="433"/>
        <v>0</v>
      </c>
      <c r="AS96" s="64"/>
      <c r="AT96" s="74" t="s">
        <v>77</v>
      </c>
      <c r="AU96" s="73">
        <f t="shared" ca="1" si="433"/>
        <v>0</v>
      </c>
      <c r="AV96" s="64"/>
      <c r="AW96" s="74" t="s">
        <v>77</v>
      </c>
      <c r="AX96" s="73">
        <f t="shared" ca="1" si="433"/>
        <v>0</v>
      </c>
      <c r="AY96" s="64"/>
      <c r="AZ96" s="74" t="s">
        <v>77</v>
      </c>
      <c r="BA96" s="73">
        <f t="shared" ca="1" si="433"/>
        <v>0</v>
      </c>
      <c r="BB96" s="64"/>
      <c r="BC96" s="74" t="s">
        <v>77</v>
      </c>
      <c r="BD96" s="73">
        <f t="shared" ca="1" si="433"/>
        <v>0</v>
      </c>
      <c r="BE96" s="64"/>
      <c r="BF96" s="74" t="s">
        <v>77</v>
      </c>
      <c r="BG96" s="73">
        <f t="shared" ca="1" si="433"/>
        <v>0</v>
      </c>
      <c r="BH96" s="64"/>
      <c r="BI96" s="74" t="s">
        <v>77</v>
      </c>
      <c r="BJ96" s="73">
        <f t="shared" ca="1" si="433"/>
        <v>0</v>
      </c>
      <c r="BK96" s="64"/>
      <c r="BL96" s="74" t="s">
        <v>77</v>
      </c>
      <c r="BM96" s="73">
        <f t="shared" ca="1" si="433"/>
        <v>0</v>
      </c>
      <c r="BN96" s="64"/>
      <c r="BO96" s="74" t="s">
        <v>77</v>
      </c>
      <c r="BP96" s="73">
        <f t="shared" ca="1" si="433"/>
        <v>0</v>
      </c>
      <c r="BQ96" s="64"/>
      <c r="BR96" s="74" t="s">
        <v>77</v>
      </c>
      <c r="BS96" s="73">
        <f t="shared" ca="1" si="433"/>
        <v>0</v>
      </c>
      <c r="BT96" s="64"/>
      <c r="BU96" s="74" t="s">
        <v>77</v>
      </c>
      <c r="BV96" s="73">
        <f t="shared" ca="1" si="433"/>
        <v>0</v>
      </c>
      <c r="BW96" s="64"/>
      <c r="BX96" s="74" t="s">
        <v>77</v>
      </c>
      <c r="BY96" s="73">
        <f t="shared" ca="1" si="433"/>
        <v>0</v>
      </c>
      <c r="BZ96" s="64"/>
      <c r="CA96" s="74" t="s">
        <v>77</v>
      </c>
      <c r="CB96" s="73">
        <f t="shared" ca="1" si="433"/>
        <v>0</v>
      </c>
      <c r="CC96" s="64"/>
      <c r="CD96" s="74" t="s">
        <v>77</v>
      </c>
      <c r="CE96" s="73">
        <f t="shared" ca="1" si="433"/>
        <v>0</v>
      </c>
      <c r="CF96" s="64"/>
      <c r="CG96" s="74" t="s">
        <v>77</v>
      </c>
      <c r="CH96" s="73">
        <f t="shared" ca="1" si="433"/>
        <v>0</v>
      </c>
      <c r="CI96" s="64"/>
      <c r="CJ96" s="74" t="s">
        <v>77</v>
      </c>
      <c r="CK96" s="73">
        <f t="shared" ref="CK96:EV96" ca="1" si="434">($M96=CJ96)*$D$11</f>
        <v>0</v>
      </c>
      <c r="CL96" s="64"/>
      <c r="CM96" s="74" t="s">
        <v>77</v>
      </c>
      <c r="CN96" s="73">
        <f t="shared" ca="1" si="434"/>
        <v>0</v>
      </c>
      <c r="CO96" s="64"/>
      <c r="CP96" s="74" t="s">
        <v>77</v>
      </c>
      <c r="CQ96" s="73">
        <f t="shared" ca="1" si="434"/>
        <v>0</v>
      </c>
      <c r="CR96" s="64"/>
      <c r="CS96" s="74" t="s">
        <v>77</v>
      </c>
      <c r="CT96" s="73">
        <f t="shared" ca="1" si="434"/>
        <v>0</v>
      </c>
      <c r="CU96" s="64"/>
      <c r="CV96" s="74" t="s">
        <v>77</v>
      </c>
      <c r="CW96" s="73">
        <f t="shared" ca="1" si="434"/>
        <v>0</v>
      </c>
      <c r="CX96" s="64"/>
      <c r="CY96" s="74" t="s">
        <v>1261</v>
      </c>
      <c r="CZ96" s="73">
        <f t="shared" ca="1" si="434"/>
        <v>0</v>
      </c>
      <c r="DA96" s="64"/>
      <c r="DB96" s="74" t="s">
        <v>77</v>
      </c>
      <c r="DC96" s="73">
        <f t="shared" ca="1" si="434"/>
        <v>0</v>
      </c>
      <c r="DD96" s="64"/>
      <c r="DE96" s="74" t="s">
        <v>77</v>
      </c>
      <c r="DF96" s="73">
        <f t="shared" ca="1" si="434"/>
        <v>0</v>
      </c>
      <c r="DG96" s="64"/>
      <c r="DH96" s="74" t="s">
        <v>77</v>
      </c>
      <c r="DI96" s="73">
        <f t="shared" ca="1" si="434"/>
        <v>0</v>
      </c>
      <c r="DJ96" s="64"/>
      <c r="DK96" s="74" t="s">
        <v>77</v>
      </c>
      <c r="DL96" s="73">
        <f t="shared" ca="1" si="434"/>
        <v>0</v>
      </c>
      <c r="DM96" s="64"/>
      <c r="DN96" s="795" t="s">
        <v>77</v>
      </c>
      <c r="DO96" s="73">
        <f t="shared" ca="1" si="434"/>
        <v>0</v>
      </c>
      <c r="DP96" s="64"/>
      <c r="DQ96" s="795" t="s">
        <v>77</v>
      </c>
      <c r="DR96" s="73">
        <f t="shared" ca="1" si="434"/>
        <v>0</v>
      </c>
      <c r="DS96" s="64"/>
      <c r="DT96" s="74" t="s">
        <v>77</v>
      </c>
      <c r="DU96" s="73">
        <f t="shared" ca="1" si="434"/>
        <v>0</v>
      </c>
      <c r="DV96" s="64"/>
      <c r="DW96" s="74" t="s">
        <v>77</v>
      </c>
      <c r="DX96" s="73">
        <f t="shared" ca="1" si="434"/>
        <v>0</v>
      </c>
      <c r="DY96" s="64"/>
      <c r="DZ96" s="74" t="s">
        <v>77</v>
      </c>
      <c r="EA96" s="73">
        <f t="shared" ca="1" si="434"/>
        <v>0</v>
      </c>
      <c r="EB96" s="64"/>
      <c r="EC96" s="74" t="s">
        <v>77</v>
      </c>
      <c r="ED96" s="73">
        <f t="shared" ca="1" si="434"/>
        <v>0</v>
      </c>
      <c r="EE96" s="64"/>
      <c r="EF96" s="74" t="s">
        <v>77</v>
      </c>
      <c r="EG96" s="73">
        <f t="shared" ca="1" si="434"/>
        <v>0</v>
      </c>
      <c r="EH96" s="64"/>
      <c r="EI96" s="74" t="s">
        <v>77</v>
      </c>
      <c r="EJ96" s="73">
        <f t="shared" ca="1" si="434"/>
        <v>0</v>
      </c>
      <c r="EK96" s="64"/>
      <c r="EL96" s="74"/>
      <c r="EM96" s="73">
        <f t="shared" ca="1" si="434"/>
        <v>0</v>
      </c>
      <c r="EN96" s="64"/>
      <c r="EO96" s="74"/>
      <c r="EP96" s="73">
        <f t="shared" ca="1" si="434"/>
        <v>0</v>
      </c>
      <c r="EQ96" s="64"/>
      <c r="ER96" s="74"/>
      <c r="ES96" s="73">
        <f t="shared" ca="1" si="434"/>
        <v>0</v>
      </c>
      <c r="ET96" s="64"/>
      <c r="EU96" s="74"/>
      <c r="EV96" s="73">
        <f t="shared" ca="1" si="434"/>
        <v>0</v>
      </c>
      <c r="EW96" s="64"/>
      <c r="EX96" s="74"/>
      <c r="EY96" s="73">
        <f t="shared" ref="EY96:FK96" ca="1" si="435">($M96=EX96)*$D$11</f>
        <v>0</v>
      </c>
      <c r="EZ96" s="64"/>
      <c r="FA96" s="74"/>
      <c r="FB96" s="73">
        <f t="shared" ca="1" si="435"/>
        <v>0</v>
      </c>
      <c r="FC96" s="64"/>
      <c r="FD96" s="74"/>
      <c r="FE96" s="73">
        <f t="shared" ca="1" si="435"/>
        <v>0</v>
      </c>
      <c r="FF96" s="64"/>
      <c r="FG96" s="74"/>
      <c r="FH96" s="73">
        <f t="shared" ca="1" si="435"/>
        <v>0</v>
      </c>
      <c r="FI96" s="64"/>
      <c r="FJ96" s="74"/>
      <c r="FK96" s="73">
        <f t="shared" ca="1" si="435"/>
        <v>0</v>
      </c>
      <c r="FL96" s="64"/>
      <c r="FM96" s="64"/>
    </row>
    <row r="97" spans="1:169">
      <c r="A97" s="49"/>
      <c r="B97" s="49"/>
      <c r="C97" s="49"/>
      <c r="D97" s="49"/>
      <c r="E97" s="111"/>
      <c r="F97" s="127">
        <f t="shared" ref="F97" si="436">$D$12</f>
        <v>2</v>
      </c>
      <c r="G97" s="445">
        <f ca="1">VLOOKUP(H97,Equipos!$Q$1:$R$25,2,0)</f>
        <v>16</v>
      </c>
      <c r="H97" s="446">
        <f ca="1">$H$62</f>
        <v>46199</v>
      </c>
      <c r="I97" s="50"/>
      <c r="J97" s="852"/>
      <c r="K97" s="56" t="str">
        <f>Idiomas!D167</f>
        <v>2º GRUPO E</v>
      </c>
      <c r="L97" s="53"/>
      <c r="M97" s="55" t="str">
        <f ca="1">IF(OR(SUM(WORLDCUP!$AN$38:$AN$41)=12,WORLDCUP!$AJ$99=144),WORLDCUP!AL39,LEFT(K97,1)&amp;RIGHT(K97,1))</f>
        <v>2E</v>
      </c>
      <c r="N97" s="25"/>
      <c r="O97" s="25"/>
      <c r="P97" s="25"/>
      <c r="Q97" s="25"/>
      <c r="R97" s="110"/>
      <c r="S97" s="74" t="s">
        <v>1633</v>
      </c>
      <c r="T97" s="73">
        <f t="shared" ref="T97" ca="1" si="437">($M97=S97)*$D$12</f>
        <v>0</v>
      </c>
      <c r="U97" s="64"/>
      <c r="V97" s="74" t="s">
        <v>1261</v>
      </c>
      <c r="W97" s="73">
        <f t="shared" ref="W97:CH97" ca="1" si="438">($M97=V97)*$D$12</f>
        <v>0</v>
      </c>
      <c r="X97" s="64"/>
      <c r="Y97" s="74" t="s">
        <v>1633</v>
      </c>
      <c r="Z97" s="73">
        <f t="shared" ca="1" si="438"/>
        <v>0</v>
      </c>
      <c r="AA97" s="64"/>
      <c r="AB97" s="74" t="s">
        <v>1261</v>
      </c>
      <c r="AC97" s="73">
        <f t="shared" ca="1" si="438"/>
        <v>0</v>
      </c>
      <c r="AD97" s="64"/>
      <c r="AE97" s="74" t="s">
        <v>1261</v>
      </c>
      <c r="AF97" s="73">
        <f t="shared" ca="1" si="438"/>
        <v>0</v>
      </c>
      <c r="AG97" s="64"/>
      <c r="AH97" s="74" t="s">
        <v>1261</v>
      </c>
      <c r="AI97" s="73">
        <f t="shared" ca="1" si="438"/>
        <v>0</v>
      </c>
      <c r="AJ97" s="64"/>
      <c r="AK97" s="74" t="s">
        <v>1261</v>
      </c>
      <c r="AL97" s="73">
        <f t="shared" ca="1" si="438"/>
        <v>0</v>
      </c>
      <c r="AM97" s="64"/>
      <c r="AN97" s="74" t="s">
        <v>1633</v>
      </c>
      <c r="AO97" s="73">
        <f t="shared" ca="1" si="438"/>
        <v>0</v>
      </c>
      <c r="AP97" s="64"/>
      <c r="AQ97" s="74" t="s">
        <v>1261</v>
      </c>
      <c r="AR97" s="73">
        <f t="shared" ca="1" si="438"/>
        <v>0</v>
      </c>
      <c r="AS97" s="64"/>
      <c r="AT97" s="74" t="s">
        <v>1261</v>
      </c>
      <c r="AU97" s="73">
        <f t="shared" ca="1" si="438"/>
        <v>0</v>
      </c>
      <c r="AV97" s="64"/>
      <c r="AW97" s="74" t="s">
        <v>1633</v>
      </c>
      <c r="AX97" s="73">
        <f t="shared" ca="1" si="438"/>
        <v>0</v>
      </c>
      <c r="AY97" s="64"/>
      <c r="AZ97" s="74" t="s">
        <v>1261</v>
      </c>
      <c r="BA97" s="73">
        <f t="shared" ca="1" si="438"/>
        <v>0</v>
      </c>
      <c r="BB97" s="64"/>
      <c r="BC97" s="74" t="s">
        <v>1261</v>
      </c>
      <c r="BD97" s="73">
        <f t="shared" ca="1" si="438"/>
        <v>0</v>
      </c>
      <c r="BE97" s="64"/>
      <c r="BF97" s="74" t="s">
        <v>1261</v>
      </c>
      <c r="BG97" s="73">
        <f t="shared" ca="1" si="438"/>
        <v>0</v>
      </c>
      <c r="BH97" s="64"/>
      <c r="BI97" s="74" t="s">
        <v>1633</v>
      </c>
      <c r="BJ97" s="73">
        <f t="shared" ca="1" si="438"/>
        <v>0</v>
      </c>
      <c r="BK97" s="64"/>
      <c r="BL97" s="74" t="s">
        <v>1261</v>
      </c>
      <c r="BM97" s="73">
        <f t="shared" ca="1" si="438"/>
        <v>0</v>
      </c>
      <c r="BN97" s="64"/>
      <c r="BO97" s="74" t="s">
        <v>1633</v>
      </c>
      <c r="BP97" s="73">
        <f t="shared" ca="1" si="438"/>
        <v>0</v>
      </c>
      <c r="BQ97" s="64"/>
      <c r="BR97" s="74" t="s">
        <v>1261</v>
      </c>
      <c r="BS97" s="73">
        <f t="shared" ca="1" si="438"/>
        <v>0</v>
      </c>
      <c r="BT97" s="64"/>
      <c r="BU97" s="74" t="s">
        <v>1633</v>
      </c>
      <c r="BV97" s="73">
        <f t="shared" ca="1" si="438"/>
        <v>0</v>
      </c>
      <c r="BW97" s="64"/>
      <c r="BX97" s="74" t="s">
        <v>1261</v>
      </c>
      <c r="BY97" s="73">
        <f t="shared" ca="1" si="438"/>
        <v>0</v>
      </c>
      <c r="BZ97" s="64"/>
      <c r="CA97" s="74" t="s">
        <v>1261</v>
      </c>
      <c r="CB97" s="73">
        <f t="shared" ca="1" si="438"/>
        <v>0</v>
      </c>
      <c r="CC97" s="64"/>
      <c r="CD97" s="74" t="s">
        <v>1261</v>
      </c>
      <c r="CE97" s="73">
        <f t="shared" ca="1" si="438"/>
        <v>0</v>
      </c>
      <c r="CF97" s="64"/>
      <c r="CG97" s="74" t="s">
        <v>1633</v>
      </c>
      <c r="CH97" s="73">
        <f t="shared" ca="1" si="438"/>
        <v>0</v>
      </c>
      <c r="CI97" s="64"/>
      <c r="CJ97" s="74" t="s">
        <v>1261</v>
      </c>
      <c r="CK97" s="73">
        <f t="shared" ref="CK97:EV97" ca="1" si="439">($M97=CJ97)*$D$12</f>
        <v>0</v>
      </c>
      <c r="CL97" s="64"/>
      <c r="CM97" s="74" t="s">
        <v>1261</v>
      </c>
      <c r="CN97" s="73">
        <f t="shared" ca="1" si="439"/>
        <v>0</v>
      </c>
      <c r="CO97" s="64"/>
      <c r="CP97" s="74" t="s">
        <v>1261</v>
      </c>
      <c r="CQ97" s="73">
        <f t="shared" ca="1" si="439"/>
        <v>0</v>
      </c>
      <c r="CR97" s="64"/>
      <c r="CS97" s="74" t="s">
        <v>1633</v>
      </c>
      <c r="CT97" s="73">
        <f t="shared" ca="1" si="439"/>
        <v>0</v>
      </c>
      <c r="CU97" s="64"/>
      <c r="CV97" s="74" t="s">
        <v>1261</v>
      </c>
      <c r="CW97" s="73">
        <f t="shared" ca="1" si="439"/>
        <v>0</v>
      </c>
      <c r="CX97" s="64"/>
      <c r="CY97" s="74" t="s">
        <v>1633</v>
      </c>
      <c r="CZ97" s="73">
        <f t="shared" ca="1" si="439"/>
        <v>0</v>
      </c>
      <c r="DA97" s="64"/>
      <c r="DB97" s="74" t="s">
        <v>1261</v>
      </c>
      <c r="DC97" s="73">
        <f t="shared" ca="1" si="439"/>
        <v>0</v>
      </c>
      <c r="DD97" s="64"/>
      <c r="DE97" s="74" t="s">
        <v>1261</v>
      </c>
      <c r="DF97" s="73">
        <f t="shared" ca="1" si="439"/>
        <v>0</v>
      </c>
      <c r="DG97" s="64"/>
      <c r="DH97" s="74" t="s">
        <v>1261</v>
      </c>
      <c r="DI97" s="73">
        <f t="shared" ca="1" si="439"/>
        <v>0</v>
      </c>
      <c r="DJ97" s="64"/>
      <c r="DK97" s="74" t="s">
        <v>1261</v>
      </c>
      <c r="DL97" s="73">
        <f t="shared" ca="1" si="439"/>
        <v>0</v>
      </c>
      <c r="DM97" s="64"/>
      <c r="DN97" s="795" t="s">
        <v>1261</v>
      </c>
      <c r="DO97" s="73">
        <f t="shared" ca="1" si="439"/>
        <v>0</v>
      </c>
      <c r="DP97" s="64"/>
      <c r="DQ97" s="795" t="s">
        <v>1261</v>
      </c>
      <c r="DR97" s="73">
        <f t="shared" ca="1" si="439"/>
        <v>0</v>
      </c>
      <c r="DS97" s="64"/>
      <c r="DT97" s="74" t="s">
        <v>1261</v>
      </c>
      <c r="DU97" s="73">
        <f t="shared" ca="1" si="439"/>
        <v>0</v>
      </c>
      <c r="DV97" s="64"/>
      <c r="DW97" s="74" t="s">
        <v>1261</v>
      </c>
      <c r="DX97" s="73">
        <f t="shared" ca="1" si="439"/>
        <v>0</v>
      </c>
      <c r="DY97" s="64"/>
      <c r="DZ97" s="74" t="s">
        <v>1261</v>
      </c>
      <c r="EA97" s="73">
        <f t="shared" ca="1" si="439"/>
        <v>0</v>
      </c>
      <c r="EB97" s="64"/>
      <c r="EC97" s="74" t="s">
        <v>1261</v>
      </c>
      <c r="ED97" s="73">
        <f t="shared" ca="1" si="439"/>
        <v>0</v>
      </c>
      <c r="EE97" s="64"/>
      <c r="EF97" s="74" t="s">
        <v>1261</v>
      </c>
      <c r="EG97" s="73">
        <f t="shared" ca="1" si="439"/>
        <v>0</v>
      </c>
      <c r="EH97" s="64"/>
      <c r="EI97" s="74" t="s">
        <v>1261</v>
      </c>
      <c r="EJ97" s="73">
        <f t="shared" ca="1" si="439"/>
        <v>0</v>
      </c>
      <c r="EK97" s="64"/>
      <c r="EL97" s="74"/>
      <c r="EM97" s="73">
        <f t="shared" ca="1" si="439"/>
        <v>0</v>
      </c>
      <c r="EN97" s="64"/>
      <c r="EO97" s="74"/>
      <c r="EP97" s="73">
        <f t="shared" ca="1" si="439"/>
        <v>0</v>
      </c>
      <c r="EQ97" s="64"/>
      <c r="ER97" s="74"/>
      <c r="ES97" s="73">
        <f t="shared" ca="1" si="439"/>
        <v>0</v>
      </c>
      <c r="ET97" s="64"/>
      <c r="EU97" s="74"/>
      <c r="EV97" s="73">
        <f t="shared" ca="1" si="439"/>
        <v>0</v>
      </c>
      <c r="EW97" s="64"/>
      <c r="EX97" s="74"/>
      <c r="EY97" s="73">
        <f t="shared" ref="EY97:FK97" ca="1" si="440">($M97=EX97)*$D$12</f>
        <v>0</v>
      </c>
      <c r="EZ97" s="64"/>
      <c r="FA97" s="74"/>
      <c r="FB97" s="73">
        <f t="shared" ca="1" si="440"/>
        <v>0</v>
      </c>
      <c r="FC97" s="64"/>
      <c r="FD97" s="74"/>
      <c r="FE97" s="73">
        <f t="shared" ca="1" si="440"/>
        <v>0</v>
      </c>
      <c r="FF97" s="64"/>
      <c r="FG97" s="74"/>
      <c r="FH97" s="73">
        <f t="shared" ca="1" si="440"/>
        <v>0</v>
      </c>
      <c r="FI97" s="64"/>
      <c r="FJ97" s="74"/>
      <c r="FK97" s="73">
        <f t="shared" ca="1" si="440"/>
        <v>0</v>
      </c>
      <c r="FL97" s="64"/>
      <c r="FM97" s="64"/>
    </row>
    <row r="98" spans="1:169">
      <c r="A98" s="49"/>
      <c r="B98" s="49"/>
      <c r="C98" s="49"/>
      <c r="D98" s="49"/>
      <c r="E98" s="111"/>
      <c r="F98" s="127">
        <f t="shared" ref="F98" si="441">$D$13</f>
        <v>2</v>
      </c>
      <c r="G98" s="445">
        <f ca="1">VLOOKUP(H98,Equipos!$Q$1:$R$25,2,0)</f>
        <v>16</v>
      </c>
      <c r="H98" s="446">
        <f ca="1">$H$62</f>
        <v>46199</v>
      </c>
      <c r="I98" s="50"/>
      <c r="J98" s="852"/>
      <c r="K98" s="56" t="str">
        <f>Idiomas!D168</f>
        <v>3º GRUPO E</v>
      </c>
      <c r="L98" s="53"/>
      <c r="M98" s="55" t="str">
        <f ca="1">IF(OR(SUM(WORLDCUP!$AN$38:$AN$41)=12,WORLDCUP!$AJ$99=144),WORLDCUP!AL40,LEFT(K98,1)&amp;RIGHT(K98,1))</f>
        <v>3E</v>
      </c>
      <c r="N98" s="25"/>
      <c r="O98" s="25"/>
      <c r="P98" s="25"/>
      <c r="Q98" s="25"/>
      <c r="R98" s="110"/>
      <c r="S98" s="74" t="s">
        <v>1261</v>
      </c>
      <c r="T98" s="73">
        <f t="shared" ref="T98" ca="1" si="442">($M98=S98)*$D$13</f>
        <v>0</v>
      </c>
      <c r="U98" s="64"/>
      <c r="V98" s="74" t="s">
        <v>1633</v>
      </c>
      <c r="W98" s="73">
        <f t="shared" ref="W98:CH98" ca="1" si="443">($M98=V98)*$D$13</f>
        <v>0</v>
      </c>
      <c r="X98" s="64"/>
      <c r="Y98" s="74" t="s">
        <v>1261</v>
      </c>
      <c r="Z98" s="73">
        <f t="shared" ca="1" si="443"/>
        <v>0</v>
      </c>
      <c r="AA98" s="64"/>
      <c r="AB98" s="74" t="s">
        <v>1633</v>
      </c>
      <c r="AC98" s="73">
        <f t="shared" ca="1" si="443"/>
        <v>0</v>
      </c>
      <c r="AD98" s="64"/>
      <c r="AE98" s="74" t="s">
        <v>1633</v>
      </c>
      <c r="AF98" s="73">
        <f t="shared" ca="1" si="443"/>
        <v>0</v>
      </c>
      <c r="AG98" s="64"/>
      <c r="AH98" s="74" t="s">
        <v>1726</v>
      </c>
      <c r="AI98" s="73">
        <f t="shared" ca="1" si="443"/>
        <v>0</v>
      </c>
      <c r="AJ98" s="64"/>
      <c r="AK98" s="74" t="s">
        <v>1633</v>
      </c>
      <c r="AL98" s="73">
        <f t="shared" ca="1" si="443"/>
        <v>0</v>
      </c>
      <c r="AM98" s="64"/>
      <c r="AN98" s="74" t="s">
        <v>1261</v>
      </c>
      <c r="AO98" s="73">
        <f t="shared" ca="1" si="443"/>
        <v>0</v>
      </c>
      <c r="AP98" s="64"/>
      <c r="AQ98" s="74" t="s">
        <v>1633</v>
      </c>
      <c r="AR98" s="73">
        <f t="shared" ca="1" si="443"/>
        <v>0</v>
      </c>
      <c r="AS98" s="64"/>
      <c r="AT98" s="74" t="s">
        <v>1633</v>
      </c>
      <c r="AU98" s="73">
        <f t="shared" ca="1" si="443"/>
        <v>0</v>
      </c>
      <c r="AV98" s="64"/>
      <c r="AW98" s="74" t="s">
        <v>1261</v>
      </c>
      <c r="AX98" s="73">
        <f t="shared" ca="1" si="443"/>
        <v>0</v>
      </c>
      <c r="AY98" s="64"/>
      <c r="AZ98" s="74" t="s">
        <v>1633</v>
      </c>
      <c r="BA98" s="73">
        <f t="shared" ca="1" si="443"/>
        <v>0</v>
      </c>
      <c r="BB98" s="64"/>
      <c r="BC98" s="74" t="s">
        <v>1633</v>
      </c>
      <c r="BD98" s="73">
        <f t="shared" ca="1" si="443"/>
        <v>0</v>
      </c>
      <c r="BE98" s="64"/>
      <c r="BF98" s="74" t="s">
        <v>1633</v>
      </c>
      <c r="BG98" s="73">
        <f t="shared" ca="1" si="443"/>
        <v>0</v>
      </c>
      <c r="BH98" s="64"/>
      <c r="BI98" s="74" t="s">
        <v>1261</v>
      </c>
      <c r="BJ98" s="73">
        <f t="shared" ca="1" si="443"/>
        <v>0</v>
      </c>
      <c r="BK98" s="64"/>
      <c r="BL98" s="74" t="s">
        <v>1633</v>
      </c>
      <c r="BM98" s="73">
        <f t="shared" ca="1" si="443"/>
        <v>0</v>
      </c>
      <c r="BN98" s="64"/>
      <c r="BO98" s="74" t="s">
        <v>1261</v>
      </c>
      <c r="BP98" s="73">
        <f t="shared" ca="1" si="443"/>
        <v>0</v>
      </c>
      <c r="BQ98" s="64"/>
      <c r="BR98" s="74" t="s">
        <v>1633</v>
      </c>
      <c r="BS98" s="73">
        <f t="shared" ca="1" si="443"/>
        <v>0</v>
      </c>
      <c r="BT98" s="64"/>
      <c r="BU98" s="74" t="s">
        <v>1261</v>
      </c>
      <c r="BV98" s="73">
        <f t="shared" ca="1" si="443"/>
        <v>0</v>
      </c>
      <c r="BW98" s="64"/>
      <c r="BX98" s="74" t="s">
        <v>1633</v>
      </c>
      <c r="BY98" s="73">
        <f t="shared" ca="1" si="443"/>
        <v>0</v>
      </c>
      <c r="BZ98" s="64"/>
      <c r="CA98" s="74" t="s">
        <v>1633</v>
      </c>
      <c r="CB98" s="73">
        <f t="shared" ca="1" si="443"/>
        <v>0</v>
      </c>
      <c r="CC98" s="64"/>
      <c r="CD98" s="74" t="s">
        <v>1633</v>
      </c>
      <c r="CE98" s="73">
        <f t="shared" ca="1" si="443"/>
        <v>0</v>
      </c>
      <c r="CF98" s="64"/>
      <c r="CG98" s="74" t="s">
        <v>1261</v>
      </c>
      <c r="CH98" s="73">
        <f t="shared" ca="1" si="443"/>
        <v>0</v>
      </c>
      <c r="CI98" s="64"/>
      <c r="CJ98" s="74" t="s">
        <v>1633</v>
      </c>
      <c r="CK98" s="73">
        <f t="shared" ref="CK98:EV98" ca="1" si="444">($M98=CJ98)*$D$13</f>
        <v>0</v>
      </c>
      <c r="CL98" s="64"/>
      <c r="CM98" s="74" t="s">
        <v>1633</v>
      </c>
      <c r="CN98" s="73">
        <f t="shared" ca="1" si="444"/>
        <v>0</v>
      </c>
      <c r="CO98" s="64"/>
      <c r="CP98" s="74" t="s">
        <v>1633</v>
      </c>
      <c r="CQ98" s="73">
        <f t="shared" ca="1" si="444"/>
        <v>0</v>
      </c>
      <c r="CR98" s="64"/>
      <c r="CS98" s="74" t="s">
        <v>1261</v>
      </c>
      <c r="CT98" s="73">
        <f t="shared" ca="1" si="444"/>
        <v>0</v>
      </c>
      <c r="CU98" s="64"/>
      <c r="CV98" s="74" t="s">
        <v>1633</v>
      </c>
      <c r="CW98" s="73">
        <f t="shared" ca="1" si="444"/>
        <v>0</v>
      </c>
      <c r="CX98" s="64"/>
      <c r="CY98" s="74" t="s">
        <v>77</v>
      </c>
      <c r="CZ98" s="73">
        <f t="shared" ca="1" si="444"/>
        <v>0</v>
      </c>
      <c r="DA98" s="64"/>
      <c r="DB98" s="74" t="s">
        <v>1633</v>
      </c>
      <c r="DC98" s="73">
        <f t="shared" ca="1" si="444"/>
        <v>0</v>
      </c>
      <c r="DD98" s="64"/>
      <c r="DE98" s="74" t="s">
        <v>1633</v>
      </c>
      <c r="DF98" s="73">
        <f t="shared" ca="1" si="444"/>
        <v>0</v>
      </c>
      <c r="DG98" s="64"/>
      <c r="DH98" s="74" t="s">
        <v>1633</v>
      </c>
      <c r="DI98" s="73">
        <f t="shared" ca="1" si="444"/>
        <v>0</v>
      </c>
      <c r="DJ98" s="64"/>
      <c r="DK98" s="74" t="s">
        <v>1633</v>
      </c>
      <c r="DL98" s="73">
        <f t="shared" ca="1" si="444"/>
        <v>0</v>
      </c>
      <c r="DM98" s="64"/>
      <c r="DN98" s="795" t="s">
        <v>1633</v>
      </c>
      <c r="DO98" s="73">
        <f t="shared" ca="1" si="444"/>
        <v>0</v>
      </c>
      <c r="DP98" s="64"/>
      <c r="DQ98" s="795" t="s">
        <v>1633</v>
      </c>
      <c r="DR98" s="73">
        <f t="shared" ca="1" si="444"/>
        <v>0</v>
      </c>
      <c r="DS98" s="64"/>
      <c r="DT98" s="74" t="s">
        <v>1633</v>
      </c>
      <c r="DU98" s="73">
        <f t="shared" ca="1" si="444"/>
        <v>0</v>
      </c>
      <c r="DV98" s="64"/>
      <c r="DW98" s="74" t="s">
        <v>1633</v>
      </c>
      <c r="DX98" s="73">
        <f t="shared" ca="1" si="444"/>
        <v>0</v>
      </c>
      <c r="DY98" s="64"/>
      <c r="DZ98" s="74" t="s">
        <v>1633</v>
      </c>
      <c r="EA98" s="73">
        <f t="shared" ca="1" si="444"/>
        <v>0</v>
      </c>
      <c r="EB98" s="64"/>
      <c r="EC98" s="74" t="s">
        <v>1633</v>
      </c>
      <c r="ED98" s="73">
        <f t="shared" ca="1" si="444"/>
        <v>0</v>
      </c>
      <c r="EE98" s="64"/>
      <c r="EF98" s="74" t="s">
        <v>1633</v>
      </c>
      <c r="EG98" s="73">
        <f t="shared" ca="1" si="444"/>
        <v>0</v>
      </c>
      <c r="EH98" s="64"/>
      <c r="EI98" s="74" t="s">
        <v>1633</v>
      </c>
      <c r="EJ98" s="73">
        <f t="shared" ca="1" si="444"/>
        <v>0</v>
      </c>
      <c r="EK98" s="64"/>
      <c r="EL98" s="74"/>
      <c r="EM98" s="73">
        <f t="shared" ca="1" si="444"/>
        <v>0</v>
      </c>
      <c r="EN98" s="64"/>
      <c r="EO98" s="74"/>
      <c r="EP98" s="73">
        <f t="shared" ca="1" si="444"/>
        <v>0</v>
      </c>
      <c r="EQ98" s="64"/>
      <c r="ER98" s="74"/>
      <c r="ES98" s="73">
        <f t="shared" ca="1" si="444"/>
        <v>0</v>
      </c>
      <c r="ET98" s="64"/>
      <c r="EU98" s="74"/>
      <c r="EV98" s="73">
        <f t="shared" ca="1" si="444"/>
        <v>0</v>
      </c>
      <c r="EW98" s="64"/>
      <c r="EX98" s="74"/>
      <c r="EY98" s="73">
        <f t="shared" ref="EY98:FK98" ca="1" si="445">($M98=EX98)*$D$13</f>
        <v>0</v>
      </c>
      <c r="EZ98" s="64"/>
      <c r="FA98" s="74"/>
      <c r="FB98" s="73">
        <f t="shared" ca="1" si="445"/>
        <v>0</v>
      </c>
      <c r="FC98" s="64"/>
      <c r="FD98" s="74"/>
      <c r="FE98" s="73">
        <f t="shared" ca="1" si="445"/>
        <v>0</v>
      </c>
      <c r="FF98" s="64"/>
      <c r="FG98" s="74"/>
      <c r="FH98" s="73">
        <f t="shared" ca="1" si="445"/>
        <v>0</v>
      </c>
      <c r="FI98" s="64"/>
      <c r="FJ98" s="74"/>
      <c r="FK98" s="73">
        <f t="shared" ca="1" si="445"/>
        <v>0</v>
      </c>
      <c r="FL98" s="64"/>
      <c r="FM98" s="64"/>
    </row>
    <row r="99" spans="1:169">
      <c r="A99" s="49"/>
      <c r="B99" s="49"/>
      <c r="C99" s="49"/>
      <c r="D99" s="49"/>
      <c r="E99" s="111"/>
      <c r="F99" s="127">
        <f t="shared" ref="F99" si="446">$D$14</f>
        <v>2</v>
      </c>
      <c r="G99" s="445">
        <f ca="1">VLOOKUP(H99,Equipos!$Q$1:$R$25,2,0)</f>
        <v>16</v>
      </c>
      <c r="H99" s="446">
        <f ca="1">$H$62</f>
        <v>46199</v>
      </c>
      <c r="I99" s="50"/>
      <c r="J99" s="852"/>
      <c r="K99" s="56" t="str">
        <f>Idiomas!D169</f>
        <v>4º GRUPO E</v>
      </c>
      <c r="L99" s="53"/>
      <c r="M99" s="55" t="str">
        <f ca="1">IF(OR(SUM(WORLDCUP!$AN$38:$AN$41)=12,WORLDCUP!$AJ$99=144),WORLDCUP!AL41,LEFT(K99,1)&amp;RIGHT(K99,1))</f>
        <v>4E</v>
      </c>
      <c r="N99" s="25"/>
      <c r="O99" s="25"/>
      <c r="P99" s="25"/>
      <c r="Q99" s="25"/>
      <c r="R99" s="110"/>
      <c r="S99" s="74" t="s">
        <v>1726</v>
      </c>
      <c r="T99" s="73">
        <f t="shared" ref="T99" ca="1" si="447">($M99=S99)*$D$14</f>
        <v>0</v>
      </c>
      <c r="U99" s="64"/>
      <c r="V99" s="74" t="s">
        <v>1726</v>
      </c>
      <c r="W99" s="73">
        <f t="shared" ref="W99:CH99" ca="1" si="448">($M99=V99)*$D$14</f>
        <v>0</v>
      </c>
      <c r="X99" s="64"/>
      <c r="Y99" s="74" t="s">
        <v>1726</v>
      </c>
      <c r="Z99" s="73">
        <f t="shared" ca="1" si="448"/>
        <v>0</v>
      </c>
      <c r="AA99" s="64"/>
      <c r="AB99" s="74" t="s">
        <v>1726</v>
      </c>
      <c r="AC99" s="73">
        <f t="shared" ca="1" si="448"/>
        <v>0</v>
      </c>
      <c r="AD99" s="64"/>
      <c r="AE99" s="74" t="s">
        <v>1726</v>
      </c>
      <c r="AF99" s="73">
        <f t="shared" ca="1" si="448"/>
        <v>0</v>
      </c>
      <c r="AG99" s="64"/>
      <c r="AH99" s="74" t="s">
        <v>1633</v>
      </c>
      <c r="AI99" s="73">
        <f t="shared" ca="1" si="448"/>
        <v>0</v>
      </c>
      <c r="AJ99" s="64"/>
      <c r="AK99" s="74" t="s">
        <v>1726</v>
      </c>
      <c r="AL99" s="73">
        <f t="shared" ca="1" si="448"/>
        <v>0</v>
      </c>
      <c r="AM99" s="64"/>
      <c r="AN99" s="74" t="s">
        <v>1726</v>
      </c>
      <c r="AO99" s="73">
        <f t="shared" ca="1" si="448"/>
        <v>0</v>
      </c>
      <c r="AP99" s="64"/>
      <c r="AQ99" s="74" t="s">
        <v>1726</v>
      </c>
      <c r="AR99" s="73">
        <f t="shared" ca="1" si="448"/>
        <v>0</v>
      </c>
      <c r="AS99" s="64"/>
      <c r="AT99" s="74" t="s">
        <v>1726</v>
      </c>
      <c r="AU99" s="73">
        <f t="shared" ca="1" si="448"/>
        <v>0</v>
      </c>
      <c r="AV99" s="64"/>
      <c r="AW99" s="74" t="s">
        <v>1726</v>
      </c>
      <c r="AX99" s="73">
        <f t="shared" ca="1" si="448"/>
        <v>0</v>
      </c>
      <c r="AY99" s="64"/>
      <c r="AZ99" s="74" t="s">
        <v>1726</v>
      </c>
      <c r="BA99" s="73">
        <f t="shared" ca="1" si="448"/>
        <v>0</v>
      </c>
      <c r="BB99" s="64"/>
      <c r="BC99" s="74" t="s">
        <v>1726</v>
      </c>
      <c r="BD99" s="73">
        <f t="shared" ca="1" si="448"/>
        <v>0</v>
      </c>
      <c r="BE99" s="64"/>
      <c r="BF99" s="74" t="s">
        <v>1726</v>
      </c>
      <c r="BG99" s="73">
        <f t="shared" ca="1" si="448"/>
        <v>0</v>
      </c>
      <c r="BH99" s="64"/>
      <c r="BI99" s="74" t="s">
        <v>1726</v>
      </c>
      <c r="BJ99" s="73">
        <f t="shared" ca="1" si="448"/>
        <v>0</v>
      </c>
      <c r="BK99" s="64"/>
      <c r="BL99" s="74" t="s">
        <v>1726</v>
      </c>
      <c r="BM99" s="73">
        <f t="shared" ca="1" si="448"/>
        <v>0</v>
      </c>
      <c r="BN99" s="64"/>
      <c r="BO99" s="74" t="s">
        <v>1726</v>
      </c>
      <c r="BP99" s="73">
        <f t="shared" ca="1" si="448"/>
        <v>0</v>
      </c>
      <c r="BQ99" s="64"/>
      <c r="BR99" s="74" t="s">
        <v>1726</v>
      </c>
      <c r="BS99" s="73">
        <f t="shared" ca="1" si="448"/>
        <v>0</v>
      </c>
      <c r="BT99" s="64"/>
      <c r="BU99" s="74" t="s">
        <v>1726</v>
      </c>
      <c r="BV99" s="73">
        <f t="shared" ca="1" si="448"/>
        <v>0</v>
      </c>
      <c r="BW99" s="64"/>
      <c r="BX99" s="74" t="s">
        <v>1726</v>
      </c>
      <c r="BY99" s="73">
        <f t="shared" ca="1" si="448"/>
        <v>0</v>
      </c>
      <c r="BZ99" s="64"/>
      <c r="CA99" s="74" t="s">
        <v>1726</v>
      </c>
      <c r="CB99" s="73">
        <f t="shared" ca="1" si="448"/>
        <v>0</v>
      </c>
      <c r="CC99" s="64"/>
      <c r="CD99" s="74" t="s">
        <v>1726</v>
      </c>
      <c r="CE99" s="73">
        <f t="shared" ca="1" si="448"/>
        <v>0</v>
      </c>
      <c r="CF99" s="64"/>
      <c r="CG99" s="74" t="s">
        <v>1726</v>
      </c>
      <c r="CH99" s="73">
        <f t="shared" ca="1" si="448"/>
        <v>0</v>
      </c>
      <c r="CI99" s="64"/>
      <c r="CJ99" s="74" t="s">
        <v>1726</v>
      </c>
      <c r="CK99" s="73">
        <f t="shared" ref="CK99:EV99" ca="1" si="449">($M99=CJ99)*$D$14</f>
        <v>0</v>
      </c>
      <c r="CL99" s="64"/>
      <c r="CM99" s="74" t="s">
        <v>1726</v>
      </c>
      <c r="CN99" s="73">
        <f t="shared" ca="1" si="449"/>
        <v>0</v>
      </c>
      <c r="CO99" s="64"/>
      <c r="CP99" s="74" t="s">
        <v>1726</v>
      </c>
      <c r="CQ99" s="73">
        <f t="shared" ca="1" si="449"/>
        <v>0</v>
      </c>
      <c r="CR99" s="64"/>
      <c r="CS99" s="74" t="s">
        <v>1726</v>
      </c>
      <c r="CT99" s="73">
        <f t="shared" ca="1" si="449"/>
        <v>0</v>
      </c>
      <c r="CU99" s="64"/>
      <c r="CV99" s="74" t="s">
        <v>1726</v>
      </c>
      <c r="CW99" s="73">
        <f t="shared" ca="1" si="449"/>
        <v>0</v>
      </c>
      <c r="CX99" s="64"/>
      <c r="CY99" s="74" t="s">
        <v>1726</v>
      </c>
      <c r="CZ99" s="73">
        <f t="shared" ca="1" si="449"/>
        <v>0</v>
      </c>
      <c r="DA99" s="64"/>
      <c r="DB99" s="74" t="s">
        <v>1726</v>
      </c>
      <c r="DC99" s="73">
        <f t="shared" ca="1" si="449"/>
        <v>0</v>
      </c>
      <c r="DD99" s="64"/>
      <c r="DE99" s="74" t="s">
        <v>1726</v>
      </c>
      <c r="DF99" s="73">
        <f t="shared" ca="1" si="449"/>
        <v>0</v>
      </c>
      <c r="DG99" s="64"/>
      <c r="DH99" s="74" t="s">
        <v>1726</v>
      </c>
      <c r="DI99" s="73">
        <f t="shared" ca="1" si="449"/>
        <v>0</v>
      </c>
      <c r="DJ99" s="64"/>
      <c r="DK99" s="74" t="s">
        <v>1726</v>
      </c>
      <c r="DL99" s="73">
        <f t="shared" ca="1" si="449"/>
        <v>0</v>
      </c>
      <c r="DM99" s="64"/>
      <c r="DN99" s="795" t="s">
        <v>1726</v>
      </c>
      <c r="DO99" s="73">
        <f t="shared" ca="1" si="449"/>
        <v>0</v>
      </c>
      <c r="DP99" s="64"/>
      <c r="DQ99" s="795" t="s">
        <v>1726</v>
      </c>
      <c r="DR99" s="73">
        <f t="shared" ca="1" si="449"/>
        <v>0</v>
      </c>
      <c r="DS99" s="64"/>
      <c r="DT99" s="74" t="s">
        <v>1726</v>
      </c>
      <c r="DU99" s="73">
        <f t="shared" ca="1" si="449"/>
        <v>0</v>
      </c>
      <c r="DV99" s="64"/>
      <c r="DW99" s="74" t="s">
        <v>1726</v>
      </c>
      <c r="DX99" s="73">
        <f t="shared" ca="1" si="449"/>
        <v>0</v>
      </c>
      <c r="DY99" s="64"/>
      <c r="DZ99" s="74" t="s">
        <v>1726</v>
      </c>
      <c r="EA99" s="73">
        <f t="shared" ca="1" si="449"/>
        <v>0</v>
      </c>
      <c r="EB99" s="64"/>
      <c r="EC99" s="74" t="s">
        <v>1726</v>
      </c>
      <c r="ED99" s="73">
        <f t="shared" ca="1" si="449"/>
        <v>0</v>
      </c>
      <c r="EE99" s="64"/>
      <c r="EF99" s="74" t="s">
        <v>1726</v>
      </c>
      <c r="EG99" s="73">
        <f t="shared" ca="1" si="449"/>
        <v>0</v>
      </c>
      <c r="EH99" s="64"/>
      <c r="EI99" s="74" t="s">
        <v>1726</v>
      </c>
      <c r="EJ99" s="73">
        <f t="shared" ca="1" si="449"/>
        <v>0</v>
      </c>
      <c r="EK99" s="64"/>
      <c r="EL99" s="74"/>
      <c r="EM99" s="73">
        <f t="shared" ca="1" si="449"/>
        <v>0</v>
      </c>
      <c r="EN99" s="64"/>
      <c r="EO99" s="74"/>
      <c r="EP99" s="73">
        <f t="shared" ca="1" si="449"/>
        <v>0</v>
      </c>
      <c r="EQ99" s="64"/>
      <c r="ER99" s="74"/>
      <c r="ES99" s="73">
        <f t="shared" ca="1" si="449"/>
        <v>0</v>
      </c>
      <c r="ET99" s="64"/>
      <c r="EU99" s="74"/>
      <c r="EV99" s="73">
        <f t="shared" ca="1" si="449"/>
        <v>0</v>
      </c>
      <c r="EW99" s="64"/>
      <c r="EX99" s="74"/>
      <c r="EY99" s="73">
        <f t="shared" ref="EY99:FK99" ca="1" si="450">($M99=EX99)*$D$14</f>
        <v>0</v>
      </c>
      <c r="EZ99" s="64"/>
      <c r="FA99" s="74"/>
      <c r="FB99" s="73">
        <f t="shared" ca="1" si="450"/>
        <v>0</v>
      </c>
      <c r="FC99" s="64"/>
      <c r="FD99" s="74"/>
      <c r="FE99" s="73">
        <f t="shared" ca="1" si="450"/>
        <v>0</v>
      </c>
      <c r="FF99" s="64"/>
      <c r="FG99" s="74"/>
      <c r="FH99" s="73">
        <f t="shared" ca="1" si="450"/>
        <v>0</v>
      </c>
      <c r="FI99" s="64"/>
      <c r="FJ99" s="74"/>
      <c r="FK99" s="73">
        <f t="shared" ca="1" si="450"/>
        <v>0</v>
      </c>
      <c r="FL99" s="64"/>
      <c r="FM99" s="64"/>
    </row>
    <row r="100" spans="1:169">
      <c r="A100" s="49"/>
      <c r="B100" s="49"/>
      <c r="C100" s="49"/>
      <c r="D100" s="49"/>
      <c r="E100" s="111"/>
      <c r="F100" s="127">
        <f t="shared" ref="F100" si="451">$D$11</f>
        <v>2</v>
      </c>
      <c r="G100" s="445">
        <f ca="1">VLOOKUP(H100,Equipos!$Q$1:$R$25,2,0)</f>
        <v>16</v>
      </c>
      <c r="H100" s="446">
        <f ca="1">$H$64</f>
        <v>46199</v>
      </c>
      <c r="I100" s="50"/>
      <c r="J100" s="851" t="s">
        <v>4</v>
      </c>
      <c r="K100" s="56" t="str">
        <f>Idiomas!D170</f>
        <v>1º GRUPO F</v>
      </c>
      <c r="L100" s="53"/>
      <c r="M100" s="55" t="str">
        <f ca="1">IF(OR(SUM(WORLDCUP!$AN$46:$AN$49)=12,WORLDCUP!$AJ$99=144),WORLDCUP!AL46,LEFT(K100,1)&amp;RIGHT(K100,1))</f>
        <v>1F</v>
      </c>
      <c r="N100" s="25"/>
      <c r="O100" s="25"/>
      <c r="P100" s="25"/>
      <c r="Q100" s="25"/>
      <c r="R100" s="110"/>
      <c r="S100" s="74" t="s">
        <v>1263</v>
      </c>
      <c r="T100" s="73">
        <f t="shared" ref="T100" ca="1" si="452">($M100=S100)*$D$11</f>
        <v>0</v>
      </c>
      <c r="U100" s="64"/>
      <c r="V100" s="74" t="s">
        <v>111</v>
      </c>
      <c r="W100" s="73">
        <f t="shared" ref="W100:CH100" ca="1" si="453">($M100=V100)*$D$11</f>
        <v>0</v>
      </c>
      <c r="X100" s="64"/>
      <c r="Y100" s="74" t="s">
        <v>111</v>
      </c>
      <c r="Z100" s="73">
        <f t="shared" ca="1" si="453"/>
        <v>0</v>
      </c>
      <c r="AA100" s="64"/>
      <c r="AB100" s="74" t="s">
        <v>111</v>
      </c>
      <c r="AC100" s="73">
        <f t="shared" ca="1" si="453"/>
        <v>0</v>
      </c>
      <c r="AD100" s="64"/>
      <c r="AE100" s="74" t="s">
        <v>1263</v>
      </c>
      <c r="AF100" s="73">
        <f t="shared" ca="1" si="453"/>
        <v>0</v>
      </c>
      <c r="AG100" s="64"/>
      <c r="AH100" s="74" t="s">
        <v>111</v>
      </c>
      <c r="AI100" s="73">
        <f t="shared" ca="1" si="453"/>
        <v>0</v>
      </c>
      <c r="AJ100" s="64"/>
      <c r="AK100" s="74" t="s">
        <v>111</v>
      </c>
      <c r="AL100" s="73">
        <f t="shared" ca="1" si="453"/>
        <v>0</v>
      </c>
      <c r="AM100" s="64"/>
      <c r="AN100" s="74" t="s">
        <v>111</v>
      </c>
      <c r="AO100" s="73">
        <f t="shared" ca="1" si="453"/>
        <v>0</v>
      </c>
      <c r="AP100" s="64"/>
      <c r="AQ100" s="74" t="s">
        <v>111</v>
      </c>
      <c r="AR100" s="73">
        <f t="shared" ca="1" si="453"/>
        <v>0</v>
      </c>
      <c r="AS100" s="64"/>
      <c r="AT100" s="74" t="s">
        <v>111</v>
      </c>
      <c r="AU100" s="73">
        <f t="shared" ca="1" si="453"/>
        <v>0</v>
      </c>
      <c r="AV100" s="64"/>
      <c r="AW100" s="74" t="s">
        <v>111</v>
      </c>
      <c r="AX100" s="73">
        <f t="shared" ca="1" si="453"/>
        <v>0</v>
      </c>
      <c r="AY100" s="64"/>
      <c r="AZ100" s="74" t="s">
        <v>111</v>
      </c>
      <c r="BA100" s="73">
        <f t="shared" ca="1" si="453"/>
        <v>0</v>
      </c>
      <c r="BB100" s="64"/>
      <c r="BC100" s="74" t="s">
        <v>111</v>
      </c>
      <c r="BD100" s="73">
        <f t="shared" ca="1" si="453"/>
        <v>0</v>
      </c>
      <c r="BE100" s="64"/>
      <c r="BF100" s="74" t="s">
        <v>111</v>
      </c>
      <c r="BG100" s="73">
        <f t="shared" ca="1" si="453"/>
        <v>0</v>
      </c>
      <c r="BH100" s="64"/>
      <c r="BI100" s="74" t="s">
        <v>111</v>
      </c>
      <c r="BJ100" s="73">
        <f t="shared" ca="1" si="453"/>
        <v>0</v>
      </c>
      <c r="BK100" s="64"/>
      <c r="BL100" s="74" t="s">
        <v>111</v>
      </c>
      <c r="BM100" s="73">
        <f t="shared" ca="1" si="453"/>
        <v>0</v>
      </c>
      <c r="BN100" s="64"/>
      <c r="BO100" s="74" t="s">
        <v>111</v>
      </c>
      <c r="BP100" s="73">
        <f t="shared" ca="1" si="453"/>
        <v>0</v>
      </c>
      <c r="BQ100" s="64"/>
      <c r="BR100" s="74" t="s">
        <v>111</v>
      </c>
      <c r="BS100" s="73">
        <f t="shared" ca="1" si="453"/>
        <v>0</v>
      </c>
      <c r="BT100" s="64"/>
      <c r="BU100" s="74" t="s">
        <v>1263</v>
      </c>
      <c r="BV100" s="73">
        <f t="shared" ca="1" si="453"/>
        <v>0</v>
      </c>
      <c r="BW100" s="64"/>
      <c r="BX100" s="74" t="s">
        <v>111</v>
      </c>
      <c r="BY100" s="73">
        <f t="shared" ca="1" si="453"/>
        <v>0</v>
      </c>
      <c r="BZ100" s="64"/>
      <c r="CA100" s="74" t="s">
        <v>111</v>
      </c>
      <c r="CB100" s="73">
        <f t="shared" ca="1" si="453"/>
        <v>0</v>
      </c>
      <c r="CC100" s="64"/>
      <c r="CD100" s="74" t="s">
        <v>1263</v>
      </c>
      <c r="CE100" s="73">
        <f t="shared" ca="1" si="453"/>
        <v>0</v>
      </c>
      <c r="CF100" s="64"/>
      <c r="CG100" s="74" t="s">
        <v>111</v>
      </c>
      <c r="CH100" s="73">
        <f t="shared" ca="1" si="453"/>
        <v>0</v>
      </c>
      <c r="CI100" s="64"/>
      <c r="CJ100" s="74" t="s">
        <v>111</v>
      </c>
      <c r="CK100" s="73">
        <f t="shared" ref="CK100:EV100" ca="1" si="454">($M100=CJ100)*$D$11</f>
        <v>0</v>
      </c>
      <c r="CL100" s="64"/>
      <c r="CM100" s="74" t="s">
        <v>1263</v>
      </c>
      <c r="CN100" s="73">
        <f t="shared" ca="1" si="454"/>
        <v>0</v>
      </c>
      <c r="CO100" s="64"/>
      <c r="CP100" s="74" t="s">
        <v>1263</v>
      </c>
      <c r="CQ100" s="73">
        <f t="shared" ca="1" si="454"/>
        <v>0</v>
      </c>
      <c r="CR100" s="64"/>
      <c r="CS100" s="74" t="s">
        <v>111</v>
      </c>
      <c r="CT100" s="73">
        <f t="shared" ca="1" si="454"/>
        <v>0</v>
      </c>
      <c r="CU100" s="64"/>
      <c r="CV100" s="74" t="s">
        <v>111</v>
      </c>
      <c r="CW100" s="73">
        <f t="shared" ca="1" si="454"/>
        <v>0</v>
      </c>
      <c r="CX100" s="64"/>
      <c r="CY100" s="74" t="s">
        <v>1833</v>
      </c>
      <c r="CZ100" s="73">
        <f t="shared" ca="1" si="454"/>
        <v>0</v>
      </c>
      <c r="DA100" s="64"/>
      <c r="DB100" s="74" t="s">
        <v>111</v>
      </c>
      <c r="DC100" s="73">
        <f t="shared" ca="1" si="454"/>
        <v>0</v>
      </c>
      <c r="DD100" s="64"/>
      <c r="DE100" s="74" t="s">
        <v>111</v>
      </c>
      <c r="DF100" s="73">
        <f t="shared" ca="1" si="454"/>
        <v>0</v>
      </c>
      <c r="DG100" s="64"/>
      <c r="DH100" s="74" t="s">
        <v>111</v>
      </c>
      <c r="DI100" s="73">
        <f t="shared" ca="1" si="454"/>
        <v>0</v>
      </c>
      <c r="DJ100" s="64"/>
      <c r="DK100" s="74" t="s">
        <v>111</v>
      </c>
      <c r="DL100" s="73">
        <f t="shared" ca="1" si="454"/>
        <v>0</v>
      </c>
      <c r="DM100" s="64"/>
      <c r="DN100" s="795" t="s">
        <v>111</v>
      </c>
      <c r="DO100" s="73">
        <f t="shared" ca="1" si="454"/>
        <v>0</v>
      </c>
      <c r="DP100" s="64"/>
      <c r="DQ100" s="795" t="s">
        <v>1263</v>
      </c>
      <c r="DR100" s="73">
        <f t="shared" ca="1" si="454"/>
        <v>0</v>
      </c>
      <c r="DS100" s="64"/>
      <c r="DT100" s="74" t="s">
        <v>1833</v>
      </c>
      <c r="DU100" s="73">
        <f t="shared" ca="1" si="454"/>
        <v>0</v>
      </c>
      <c r="DV100" s="64"/>
      <c r="DW100" s="74" t="s">
        <v>111</v>
      </c>
      <c r="DX100" s="73">
        <f t="shared" ca="1" si="454"/>
        <v>0</v>
      </c>
      <c r="DY100" s="64"/>
      <c r="DZ100" s="74" t="s">
        <v>111</v>
      </c>
      <c r="EA100" s="73">
        <f t="shared" ca="1" si="454"/>
        <v>0</v>
      </c>
      <c r="EB100" s="64"/>
      <c r="EC100" s="74" t="s">
        <v>111</v>
      </c>
      <c r="ED100" s="73">
        <f t="shared" ca="1" si="454"/>
        <v>0</v>
      </c>
      <c r="EE100" s="64"/>
      <c r="EF100" s="74" t="s">
        <v>111</v>
      </c>
      <c r="EG100" s="73">
        <f t="shared" ca="1" si="454"/>
        <v>0</v>
      </c>
      <c r="EH100" s="64"/>
      <c r="EI100" s="74" t="s">
        <v>111</v>
      </c>
      <c r="EJ100" s="73">
        <f t="shared" ca="1" si="454"/>
        <v>0</v>
      </c>
      <c r="EK100" s="64"/>
      <c r="EL100" s="74"/>
      <c r="EM100" s="73">
        <f t="shared" ca="1" si="454"/>
        <v>0</v>
      </c>
      <c r="EN100" s="64"/>
      <c r="EO100" s="74"/>
      <c r="EP100" s="73">
        <f t="shared" ca="1" si="454"/>
        <v>0</v>
      </c>
      <c r="EQ100" s="64"/>
      <c r="ER100" s="74"/>
      <c r="ES100" s="73">
        <f t="shared" ca="1" si="454"/>
        <v>0</v>
      </c>
      <c r="ET100" s="64"/>
      <c r="EU100" s="74"/>
      <c r="EV100" s="73">
        <f t="shared" ca="1" si="454"/>
        <v>0</v>
      </c>
      <c r="EW100" s="64"/>
      <c r="EX100" s="74"/>
      <c r="EY100" s="73">
        <f t="shared" ref="EY100:FK100" ca="1" si="455">($M100=EX100)*$D$11</f>
        <v>0</v>
      </c>
      <c r="EZ100" s="64"/>
      <c r="FA100" s="74"/>
      <c r="FB100" s="73">
        <f t="shared" ca="1" si="455"/>
        <v>0</v>
      </c>
      <c r="FC100" s="64"/>
      <c r="FD100" s="74"/>
      <c r="FE100" s="73">
        <f t="shared" ca="1" si="455"/>
        <v>0</v>
      </c>
      <c r="FF100" s="64"/>
      <c r="FG100" s="74"/>
      <c r="FH100" s="73">
        <f t="shared" ca="1" si="455"/>
        <v>0</v>
      </c>
      <c r="FI100" s="64"/>
      <c r="FJ100" s="74"/>
      <c r="FK100" s="73">
        <f t="shared" ca="1" si="455"/>
        <v>0</v>
      </c>
      <c r="FL100" s="64"/>
      <c r="FM100" s="64"/>
    </row>
    <row r="101" spans="1:169">
      <c r="A101" s="49"/>
      <c r="B101" s="49"/>
      <c r="C101" s="49"/>
      <c r="D101" s="49"/>
      <c r="E101" s="111"/>
      <c r="F101" s="127">
        <f t="shared" ref="F101" si="456">$D$12</f>
        <v>2</v>
      </c>
      <c r="G101" s="445">
        <f ca="1">VLOOKUP(H101,Equipos!$Q$1:$R$25,2,0)</f>
        <v>16</v>
      </c>
      <c r="H101" s="446">
        <f ca="1">$H$64</f>
        <v>46199</v>
      </c>
      <c r="I101" s="50"/>
      <c r="J101" s="851"/>
      <c r="K101" s="56" t="str">
        <f>Idiomas!D171</f>
        <v>2º GRUPO F</v>
      </c>
      <c r="L101" s="53"/>
      <c r="M101" s="55" t="str">
        <f ca="1">IF(OR(SUM(WORLDCUP!$AN$46:$AN$49)=12,WORLDCUP!$AJ$99=144),WORLDCUP!AL47,LEFT(K101,1)&amp;RIGHT(K101,1))</f>
        <v>2F</v>
      </c>
      <c r="N101" s="25"/>
      <c r="O101" s="25"/>
      <c r="P101" s="25"/>
      <c r="Q101" s="25"/>
      <c r="R101" s="110"/>
      <c r="S101" s="74" t="s">
        <v>111</v>
      </c>
      <c r="T101" s="73">
        <f t="shared" ref="T101" ca="1" si="457">($M101=S101)*$D$12</f>
        <v>0</v>
      </c>
      <c r="U101" s="64"/>
      <c r="V101" s="74" t="s">
        <v>1263</v>
      </c>
      <c r="W101" s="73">
        <f t="shared" ref="W101:CH101" ca="1" si="458">($M101=V101)*$D$12</f>
        <v>0</v>
      </c>
      <c r="X101" s="64"/>
      <c r="Y101" s="74" t="s">
        <v>1263</v>
      </c>
      <c r="Z101" s="73">
        <f t="shared" ca="1" si="458"/>
        <v>0</v>
      </c>
      <c r="AA101" s="64"/>
      <c r="AB101" s="74" t="s">
        <v>1263</v>
      </c>
      <c r="AC101" s="73">
        <f t="shared" ca="1" si="458"/>
        <v>0</v>
      </c>
      <c r="AD101" s="64"/>
      <c r="AE101" s="74" t="s">
        <v>111</v>
      </c>
      <c r="AF101" s="73">
        <f t="shared" ca="1" si="458"/>
        <v>0</v>
      </c>
      <c r="AG101" s="64"/>
      <c r="AH101" s="74" t="s">
        <v>1833</v>
      </c>
      <c r="AI101" s="73">
        <f t="shared" ca="1" si="458"/>
        <v>0</v>
      </c>
      <c r="AJ101" s="64"/>
      <c r="AK101" s="74" t="s">
        <v>1263</v>
      </c>
      <c r="AL101" s="73">
        <f t="shared" ca="1" si="458"/>
        <v>0</v>
      </c>
      <c r="AM101" s="64"/>
      <c r="AN101" s="74" t="s">
        <v>1263</v>
      </c>
      <c r="AO101" s="73">
        <f t="shared" ca="1" si="458"/>
        <v>0</v>
      </c>
      <c r="AP101" s="64"/>
      <c r="AQ101" s="74" t="s">
        <v>1833</v>
      </c>
      <c r="AR101" s="73">
        <f t="shared" ca="1" si="458"/>
        <v>0</v>
      </c>
      <c r="AS101" s="64"/>
      <c r="AT101" s="74" t="s">
        <v>1263</v>
      </c>
      <c r="AU101" s="73">
        <f t="shared" ca="1" si="458"/>
        <v>0</v>
      </c>
      <c r="AV101" s="64"/>
      <c r="AW101" s="74" t="s">
        <v>1263</v>
      </c>
      <c r="AX101" s="73">
        <f t="shared" ca="1" si="458"/>
        <v>0</v>
      </c>
      <c r="AY101" s="64"/>
      <c r="AZ101" s="74" t="s">
        <v>1263</v>
      </c>
      <c r="BA101" s="73">
        <f t="shared" ca="1" si="458"/>
        <v>0</v>
      </c>
      <c r="BB101" s="64"/>
      <c r="BC101" s="74" t="s">
        <v>1833</v>
      </c>
      <c r="BD101" s="73">
        <f t="shared" ca="1" si="458"/>
        <v>0</v>
      </c>
      <c r="BE101" s="64"/>
      <c r="BF101" s="74" t="s">
        <v>1263</v>
      </c>
      <c r="BG101" s="73">
        <f t="shared" ca="1" si="458"/>
        <v>0</v>
      </c>
      <c r="BH101" s="64"/>
      <c r="BI101" s="74" t="s">
        <v>1263</v>
      </c>
      <c r="BJ101" s="73">
        <f t="shared" ca="1" si="458"/>
        <v>0</v>
      </c>
      <c r="BK101" s="64"/>
      <c r="BL101" s="74" t="s">
        <v>1263</v>
      </c>
      <c r="BM101" s="73">
        <f t="shared" ca="1" si="458"/>
        <v>0</v>
      </c>
      <c r="BN101" s="64"/>
      <c r="BO101" s="74" t="s">
        <v>1263</v>
      </c>
      <c r="BP101" s="73">
        <f t="shared" ca="1" si="458"/>
        <v>0</v>
      </c>
      <c r="BQ101" s="64"/>
      <c r="BR101" s="74" t="s">
        <v>1263</v>
      </c>
      <c r="BS101" s="73">
        <f t="shared" ca="1" si="458"/>
        <v>0</v>
      </c>
      <c r="BT101" s="64"/>
      <c r="BU101" s="74" t="s">
        <v>111</v>
      </c>
      <c r="BV101" s="73">
        <f t="shared" ca="1" si="458"/>
        <v>0</v>
      </c>
      <c r="BW101" s="64"/>
      <c r="BX101" s="74" t="s">
        <v>1263</v>
      </c>
      <c r="BY101" s="73">
        <f t="shared" ca="1" si="458"/>
        <v>0</v>
      </c>
      <c r="BZ101" s="64"/>
      <c r="CA101" s="74" t="s">
        <v>1833</v>
      </c>
      <c r="CB101" s="73">
        <f t="shared" ca="1" si="458"/>
        <v>0</v>
      </c>
      <c r="CC101" s="64"/>
      <c r="CD101" s="74" t="s">
        <v>111</v>
      </c>
      <c r="CE101" s="73">
        <f t="shared" ca="1" si="458"/>
        <v>0</v>
      </c>
      <c r="CF101" s="64"/>
      <c r="CG101" s="74" t="s">
        <v>1263</v>
      </c>
      <c r="CH101" s="73">
        <f t="shared" ca="1" si="458"/>
        <v>0</v>
      </c>
      <c r="CI101" s="64"/>
      <c r="CJ101" s="74" t="s">
        <v>1263</v>
      </c>
      <c r="CK101" s="73">
        <f t="shared" ref="CK101:EV101" ca="1" si="459">($M101=CJ101)*$D$12</f>
        <v>0</v>
      </c>
      <c r="CL101" s="64"/>
      <c r="CM101" s="74" t="s">
        <v>111</v>
      </c>
      <c r="CN101" s="73">
        <f t="shared" ca="1" si="459"/>
        <v>0</v>
      </c>
      <c r="CO101" s="64"/>
      <c r="CP101" s="74" t="s">
        <v>111</v>
      </c>
      <c r="CQ101" s="73">
        <f t="shared" ca="1" si="459"/>
        <v>0</v>
      </c>
      <c r="CR101" s="64"/>
      <c r="CS101" s="74" t="s">
        <v>1263</v>
      </c>
      <c r="CT101" s="73">
        <f t="shared" ca="1" si="459"/>
        <v>0</v>
      </c>
      <c r="CU101" s="64"/>
      <c r="CV101" s="74" t="s">
        <v>1263</v>
      </c>
      <c r="CW101" s="73">
        <f t="shared" ca="1" si="459"/>
        <v>0</v>
      </c>
      <c r="CX101" s="64"/>
      <c r="CY101" s="74" t="s">
        <v>111</v>
      </c>
      <c r="CZ101" s="73">
        <f t="shared" ca="1" si="459"/>
        <v>0</v>
      </c>
      <c r="DA101" s="64"/>
      <c r="DB101" s="74" t="s">
        <v>1263</v>
      </c>
      <c r="DC101" s="73">
        <f t="shared" ca="1" si="459"/>
        <v>0</v>
      </c>
      <c r="DD101" s="64"/>
      <c r="DE101" s="74" t="s">
        <v>1263</v>
      </c>
      <c r="DF101" s="73">
        <f t="shared" ca="1" si="459"/>
        <v>0</v>
      </c>
      <c r="DG101" s="64"/>
      <c r="DH101" s="74" t="s">
        <v>1263</v>
      </c>
      <c r="DI101" s="73">
        <f t="shared" ca="1" si="459"/>
        <v>0</v>
      </c>
      <c r="DJ101" s="64"/>
      <c r="DK101" s="74" t="s">
        <v>1833</v>
      </c>
      <c r="DL101" s="73">
        <f t="shared" ca="1" si="459"/>
        <v>0</v>
      </c>
      <c r="DM101" s="64"/>
      <c r="DN101" s="795" t="s">
        <v>1263</v>
      </c>
      <c r="DO101" s="73">
        <f t="shared" ca="1" si="459"/>
        <v>0</v>
      </c>
      <c r="DP101" s="64"/>
      <c r="DQ101" s="795" t="s">
        <v>111</v>
      </c>
      <c r="DR101" s="73">
        <f t="shared" ca="1" si="459"/>
        <v>0</v>
      </c>
      <c r="DS101" s="64"/>
      <c r="DT101" s="74" t="s">
        <v>111</v>
      </c>
      <c r="DU101" s="73">
        <f t="shared" ca="1" si="459"/>
        <v>0</v>
      </c>
      <c r="DV101" s="64"/>
      <c r="DW101" s="74" t="s">
        <v>1263</v>
      </c>
      <c r="DX101" s="73">
        <f t="shared" ca="1" si="459"/>
        <v>0</v>
      </c>
      <c r="DY101" s="64"/>
      <c r="DZ101" s="74" t="s">
        <v>1263</v>
      </c>
      <c r="EA101" s="73">
        <f t="shared" ca="1" si="459"/>
        <v>0</v>
      </c>
      <c r="EB101" s="64"/>
      <c r="EC101" s="74" t="s">
        <v>1322</v>
      </c>
      <c r="ED101" s="73">
        <f t="shared" ca="1" si="459"/>
        <v>0</v>
      </c>
      <c r="EE101" s="64"/>
      <c r="EF101" s="74" t="s">
        <v>1263</v>
      </c>
      <c r="EG101" s="73">
        <f t="shared" ca="1" si="459"/>
        <v>0</v>
      </c>
      <c r="EH101" s="64"/>
      <c r="EI101" s="74" t="s">
        <v>1263</v>
      </c>
      <c r="EJ101" s="73">
        <f t="shared" ca="1" si="459"/>
        <v>0</v>
      </c>
      <c r="EK101" s="64"/>
      <c r="EL101" s="74"/>
      <c r="EM101" s="73">
        <f t="shared" ca="1" si="459"/>
        <v>0</v>
      </c>
      <c r="EN101" s="64"/>
      <c r="EO101" s="74"/>
      <c r="EP101" s="73">
        <f t="shared" ca="1" si="459"/>
        <v>0</v>
      </c>
      <c r="EQ101" s="64"/>
      <c r="ER101" s="74"/>
      <c r="ES101" s="73">
        <f t="shared" ca="1" si="459"/>
        <v>0</v>
      </c>
      <c r="ET101" s="64"/>
      <c r="EU101" s="74"/>
      <c r="EV101" s="73">
        <f t="shared" ca="1" si="459"/>
        <v>0</v>
      </c>
      <c r="EW101" s="64"/>
      <c r="EX101" s="74"/>
      <c r="EY101" s="73">
        <f t="shared" ref="EY101:FK101" ca="1" si="460">($M101=EX101)*$D$12</f>
        <v>0</v>
      </c>
      <c r="EZ101" s="64"/>
      <c r="FA101" s="74"/>
      <c r="FB101" s="73">
        <f t="shared" ca="1" si="460"/>
        <v>0</v>
      </c>
      <c r="FC101" s="64"/>
      <c r="FD101" s="74"/>
      <c r="FE101" s="73">
        <f t="shared" ca="1" si="460"/>
        <v>0</v>
      </c>
      <c r="FF101" s="64"/>
      <c r="FG101" s="74"/>
      <c r="FH101" s="73">
        <f t="shared" ca="1" si="460"/>
        <v>0</v>
      </c>
      <c r="FI101" s="64"/>
      <c r="FJ101" s="74"/>
      <c r="FK101" s="73">
        <f t="shared" ca="1" si="460"/>
        <v>0</v>
      </c>
      <c r="FL101" s="64"/>
      <c r="FM101" s="64"/>
    </row>
    <row r="102" spans="1:169">
      <c r="A102" s="49"/>
      <c r="B102" s="49"/>
      <c r="C102" s="49"/>
      <c r="D102" s="49"/>
      <c r="E102" s="111"/>
      <c r="F102" s="127">
        <f t="shared" ref="F102" si="461">$D$13</f>
        <v>2</v>
      </c>
      <c r="G102" s="445">
        <f ca="1">VLOOKUP(H102,Equipos!$Q$1:$R$25,2,0)</f>
        <v>16</v>
      </c>
      <c r="H102" s="446">
        <f ca="1">$H$64</f>
        <v>46199</v>
      </c>
      <c r="I102" s="50"/>
      <c r="J102" s="851"/>
      <c r="K102" s="56" t="str">
        <f>Idiomas!D172</f>
        <v>3º GRUPO F</v>
      </c>
      <c r="L102" s="53"/>
      <c r="M102" s="55" t="str">
        <f ca="1">IF(OR(SUM(WORLDCUP!$AN$46:$AN$49)=12,WORLDCUP!$AJ$99=144),WORLDCUP!AL48,LEFT(K102,1)&amp;RIGHT(K102,1))</f>
        <v>3F</v>
      </c>
      <c r="N102" s="25"/>
      <c r="O102" s="25"/>
      <c r="P102" s="25"/>
      <c r="Q102" s="25"/>
      <c r="R102" s="110"/>
      <c r="S102" s="74" t="s">
        <v>1322</v>
      </c>
      <c r="T102" s="73">
        <f t="shared" ref="T102" ca="1" si="462">($M102=S102)*$D$13</f>
        <v>0</v>
      </c>
      <c r="U102" s="64"/>
      <c r="V102" s="74" t="s">
        <v>1833</v>
      </c>
      <c r="W102" s="73">
        <f t="shared" ref="W102:CH102" ca="1" si="463">($M102=V102)*$D$13</f>
        <v>0</v>
      </c>
      <c r="X102" s="64"/>
      <c r="Y102" s="74" t="s">
        <v>1833</v>
      </c>
      <c r="Z102" s="73">
        <f t="shared" ca="1" si="463"/>
        <v>0</v>
      </c>
      <c r="AA102" s="64"/>
      <c r="AB102" s="74" t="s">
        <v>1833</v>
      </c>
      <c r="AC102" s="73">
        <f t="shared" ca="1" si="463"/>
        <v>0</v>
      </c>
      <c r="AD102" s="64"/>
      <c r="AE102" s="74" t="s">
        <v>1833</v>
      </c>
      <c r="AF102" s="73">
        <f t="shared" ca="1" si="463"/>
        <v>0</v>
      </c>
      <c r="AG102" s="64"/>
      <c r="AH102" s="74" t="s">
        <v>1263</v>
      </c>
      <c r="AI102" s="73">
        <f t="shared" ca="1" si="463"/>
        <v>0</v>
      </c>
      <c r="AJ102" s="64"/>
      <c r="AK102" s="74" t="s">
        <v>1833</v>
      </c>
      <c r="AL102" s="73">
        <f t="shared" ca="1" si="463"/>
        <v>0</v>
      </c>
      <c r="AM102" s="64"/>
      <c r="AN102" s="74" t="s">
        <v>1322</v>
      </c>
      <c r="AO102" s="73">
        <f t="shared" ca="1" si="463"/>
        <v>0</v>
      </c>
      <c r="AP102" s="64"/>
      <c r="AQ102" s="74" t="s">
        <v>1263</v>
      </c>
      <c r="AR102" s="73">
        <f t="shared" ca="1" si="463"/>
        <v>0</v>
      </c>
      <c r="AS102" s="64"/>
      <c r="AT102" s="74" t="s">
        <v>1833</v>
      </c>
      <c r="AU102" s="73">
        <f t="shared" ca="1" si="463"/>
        <v>0</v>
      </c>
      <c r="AV102" s="64"/>
      <c r="AW102" s="74" t="s">
        <v>1833</v>
      </c>
      <c r="AX102" s="73">
        <f t="shared" ca="1" si="463"/>
        <v>0</v>
      </c>
      <c r="AY102" s="64"/>
      <c r="AZ102" s="74" t="s">
        <v>1833</v>
      </c>
      <c r="BA102" s="73">
        <f t="shared" ca="1" si="463"/>
        <v>0</v>
      </c>
      <c r="BB102" s="64"/>
      <c r="BC102" s="74" t="s">
        <v>1263</v>
      </c>
      <c r="BD102" s="73">
        <f t="shared" ca="1" si="463"/>
        <v>0</v>
      </c>
      <c r="BE102" s="64"/>
      <c r="BF102" s="74" t="s">
        <v>1833</v>
      </c>
      <c r="BG102" s="73">
        <f t="shared" ca="1" si="463"/>
        <v>0</v>
      </c>
      <c r="BH102" s="64"/>
      <c r="BI102" s="74" t="s">
        <v>1833</v>
      </c>
      <c r="BJ102" s="73">
        <f t="shared" ca="1" si="463"/>
        <v>0</v>
      </c>
      <c r="BK102" s="64"/>
      <c r="BL102" s="74" t="s">
        <v>1833</v>
      </c>
      <c r="BM102" s="73">
        <f t="shared" ca="1" si="463"/>
        <v>0</v>
      </c>
      <c r="BN102" s="64"/>
      <c r="BO102" s="74" t="s">
        <v>1833</v>
      </c>
      <c r="BP102" s="73">
        <f t="shared" ca="1" si="463"/>
        <v>0</v>
      </c>
      <c r="BQ102" s="64"/>
      <c r="BR102" s="74" t="s">
        <v>1833</v>
      </c>
      <c r="BS102" s="73">
        <f t="shared" ca="1" si="463"/>
        <v>0</v>
      </c>
      <c r="BT102" s="64"/>
      <c r="BU102" s="74" t="s">
        <v>1833</v>
      </c>
      <c r="BV102" s="73">
        <f t="shared" ca="1" si="463"/>
        <v>0</v>
      </c>
      <c r="BW102" s="64"/>
      <c r="BX102" s="74" t="s">
        <v>1322</v>
      </c>
      <c r="BY102" s="73">
        <f t="shared" ca="1" si="463"/>
        <v>0</v>
      </c>
      <c r="BZ102" s="64"/>
      <c r="CA102" s="74" t="s">
        <v>1263</v>
      </c>
      <c r="CB102" s="73">
        <f t="shared" ca="1" si="463"/>
        <v>0</v>
      </c>
      <c r="CC102" s="64"/>
      <c r="CD102" s="74" t="s">
        <v>1833</v>
      </c>
      <c r="CE102" s="73">
        <f t="shared" ca="1" si="463"/>
        <v>0</v>
      </c>
      <c r="CF102" s="64"/>
      <c r="CG102" s="74" t="s">
        <v>1833</v>
      </c>
      <c r="CH102" s="73">
        <f t="shared" ca="1" si="463"/>
        <v>0</v>
      </c>
      <c r="CI102" s="64"/>
      <c r="CJ102" s="74" t="s">
        <v>1833</v>
      </c>
      <c r="CK102" s="73">
        <f t="shared" ref="CK102:EV102" ca="1" si="464">($M102=CJ102)*$D$13</f>
        <v>0</v>
      </c>
      <c r="CL102" s="64"/>
      <c r="CM102" s="74" t="s">
        <v>1322</v>
      </c>
      <c r="CN102" s="73">
        <f t="shared" ca="1" si="464"/>
        <v>0</v>
      </c>
      <c r="CO102" s="64"/>
      <c r="CP102" s="74" t="s">
        <v>1833</v>
      </c>
      <c r="CQ102" s="73">
        <f t="shared" ca="1" si="464"/>
        <v>0</v>
      </c>
      <c r="CR102" s="64"/>
      <c r="CS102" s="74" t="s">
        <v>1833</v>
      </c>
      <c r="CT102" s="73">
        <f t="shared" ca="1" si="464"/>
        <v>0</v>
      </c>
      <c r="CU102" s="64"/>
      <c r="CV102" s="74" t="s">
        <v>1833</v>
      </c>
      <c r="CW102" s="73">
        <f t="shared" ca="1" si="464"/>
        <v>0</v>
      </c>
      <c r="CX102" s="64"/>
      <c r="CY102" s="74" t="s">
        <v>1263</v>
      </c>
      <c r="CZ102" s="73">
        <f t="shared" ca="1" si="464"/>
        <v>0</v>
      </c>
      <c r="DA102" s="64"/>
      <c r="DB102" s="74" t="s">
        <v>1833</v>
      </c>
      <c r="DC102" s="73">
        <f t="shared" ca="1" si="464"/>
        <v>0</v>
      </c>
      <c r="DD102" s="64"/>
      <c r="DE102" s="74" t="s">
        <v>1833</v>
      </c>
      <c r="DF102" s="73">
        <f t="shared" ca="1" si="464"/>
        <v>0</v>
      </c>
      <c r="DG102" s="64"/>
      <c r="DH102" s="74" t="s">
        <v>1833</v>
      </c>
      <c r="DI102" s="73">
        <f t="shared" ca="1" si="464"/>
        <v>0</v>
      </c>
      <c r="DJ102" s="64"/>
      <c r="DK102" s="74" t="s">
        <v>1263</v>
      </c>
      <c r="DL102" s="73">
        <f t="shared" ca="1" si="464"/>
        <v>0</v>
      </c>
      <c r="DM102" s="64"/>
      <c r="DN102" s="795" t="s">
        <v>1833</v>
      </c>
      <c r="DO102" s="73">
        <f t="shared" ca="1" si="464"/>
        <v>0</v>
      </c>
      <c r="DP102" s="64"/>
      <c r="DQ102" s="795" t="s">
        <v>1833</v>
      </c>
      <c r="DR102" s="73">
        <f t="shared" ca="1" si="464"/>
        <v>0</v>
      </c>
      <c r="DS102" s="64"/>
      <c r="DT102" s="74" t="s">
        <v>1263</v>
      </c>
      <c r="DU102" s="73">
        <f t="shared" ca="1" si="464"/>
        <v>0</v>
      </c>
      <c r="DV102" s="64"/>
      <c r="DW102" s="74" t="s">
        <v>1833</v>
      </c>
      <c r="DX102" s="73">
        <f t="shared" ca="1" si="464"/>
        <v>0</v>
      </c>
      <c r="DY102" s="64"/>
      <c r="DZ102" s="74" t="s">
        <v>1833</v>
      </c>
      <c r="EA102" s="73">
        <f t="shared" ca="1" si="464"/>
        <v>0</v>
      </c>
      <c r="EB102" s="64"/>
      <c r="EC102" s="74" t="s">
        <v>1833</v>
      </c>
      <c r="ED102" s="73">
        <f t="shared" ca="1" si="464"/>
        <v>0</v>
      </c>
      <c r="EE102" s="64"/>
      <c r="EF102" s="74" t="s">
        <v>1833</v>
      </c>
      <c r="EG102" s="73">
        <f t="shared" ca="1" si="464"/>
        <v>0</v>
      </c>
      <c r="EH102" s="64"/>
      <c r="EI102" s="74" t="s">
        <v>1833</v>
      </c>
      <c r="EJ102" s="73">
        <f t="shared" ca="1" si="464"/>
        <v>0</v>
      </c>
      <c r="EK102" s="64"/>
      <c r="EL102" s="74"/>
      <c r="EM102" s="73">
        <f t="shared" ca="1" si="464"/>
        <v>0</v>
      </c>
      <c r="EN102" s="64"/>
      <c r="EO102" s="74"/>
      <c r="EP102" s="73">
        <f t="shared" ca="1" si="464"/>
        <v>0</v>
      </c>
      <c r="EQ102" s="64"/>
      <c r="ER102" s="74"/>
      <c r="ES102" s="73">
        <f t="shared" ca="1" si="464"/>
        <v>0</v>
      </c>
      <c r="ET102" s="64"/>
      <c r="EU102" s="74"/>
      <c r="EV102" s="73">
        <f t="shared" ca="1" si="464"/>
        <v>0</v>
      </c>
      <c r="EW102" s="64"/>
      <c r="EX102" s="74"/>
      <c r="EY102" s="73">
        <f t="shared" ref="EY102:FK102" ca="1" si="465">($M102=EX102)*$D$13</f>
        <v>0</v>
      </c>
      <c r="EZ102" s="64"/>
      <c r="FA102" s="74"/>
      <c r="FB102" s="73">
        <f t="shared" ca="1" si="465"/>
        <v>0</v>
      </c>
      <c r="FC102" s="64"/>
      <c r="FD102" s="74"/>
      <c r="FE102" s="73">
        <f t="shared" ca="1" si="465"/>
        <v>0</v>
      </c>
      <c r="FF102" s="64"/>
      <c r="FG102" s="74"/>
      <c r="FH102" s="73">
        <f t="shared" ca="1" si="465"/>
        <v>0</v>
      </c>
      <c r="FI102" s="64"/>
      <c r="FJ102" s="74"/>
      <c r="FK102" s="73">
        <f t="shared" ca="1" si="465"/>
        <v>0</v>
      </c>
      <c r="FL102" s="64"/>
      <c r="FM102" s="64"/>
    </row>
    <row r="103" spans="1:169">
      <c r="A103" s="49"/>
      <c r="B103" s="49"/>
      <c r="C103" s="49"/>
      <c r="D103" s="49"/>
      <c r="E103" s="111"/>
      <c r="F103" s="127">
        <f t="shared" ref="F103" si="466">$D$14</f>
        <v>2</v>
      </c>
      <c r="G103" s="445">
        <f ca="1">VLOOKUP(H103,Equipos!$Q$1:$R$25,2,0)</f>
        <v>16</v>
      </c>
      <c r="H103" s="446">
        <f ca="1">$H$64</f>
        <v>46199</v>
      </c>
      <c r="I103" s="50"/>
      <c r="J103" s="851"/>
      <c r="K103" s="56" t="str">
        <f>Idiomas!D173</f>
        <v>4º GRUPO F</v>
      </c>
      <c r="L103" s="53"/>
      <c r="M103" s="55" t="str">
        <f ca="1">IF(OR(SUM(WORLDCUP!$AN$46:$AN$49)=12,WORLDCUP!$AJ$99=144),WORLDCUP!AL49,LEFT(K103,1)&amp;RIGHT(K103,1))</f>
        <v>4F</v>
      </c>
      <c r="N103" s="25"/>
      <c r="O103" s="25"/>
      <c r="P103" s="25"/>
      <c r="Q103" s="25"/>
      <c r="R103" s="110"/>
      <c r="S103" s="74" t="s">
        <v>1833</v>
      </c>
      <c r="T103" s="73">
        <f t="shared" ref="T103" ca="1" si="467">($M103=S103)*$D$14</f>
        <v>0</v>
      </c>
      <c r="U103" s="64"/>
      <c r="V103" s="74" t="s">
        <v>1322</v>
      </c>
      <c r="W103" s="73">
        <f t="shared" ref="W103:CH103" ca="1" si="468">($M103=V103)*$D$14</f>
        <v>0</v>
      </c>
      <c r="X103" s="64"/>
      <c r="Y103" s="74" t="s">
        <v>1322</v>
      </c>
      <c r="Z103" s="73">
        <f t="shared" ca="1" si="468"/>
        <v>0</v>
      </c>
      <c r="AA103" s="64"/>
      <c r="AB103" s="74" t="s">
        <v>1322</v>
      </c>
      <c r="AC103" s="73">
        <f t="shared" ca="1" si="468"/>
        <v>0</v>
      </c>
      <c r="AD103" s="64"/>
      <c r="AE103" s="74" t="s">
        <v>1322</v>
      </c>
      <c r="AF103" s="73">
        <f t="shared" ca="1" si="468"/>
        <v>0</v>
      </c>
      <c r="AG103" s="64"/>
      <c r="AH103" s="74" t="s">
        <v>1322</v>
      </c>
      <c r="AI103" s="73">
        <f t="shared" ca="1" si="468"/>
        <v>0</v>
      </c>
      <c r="AJ103" s="64"/>
      <c r="AK103" s="74" t="s">
        <v>1322</v>
      </c>
      <c r="AL103" s="73">
        <f t="shared" ca="1" si="468"/>
        <v>0</v>
      </c>
      <c r="AM103" s="64"/>
      <c r="AN103" s="74" t="s">
        <v>1833</v>
      </c>
      <c r="AO103" s="73">
        <f t="shared" ca="1" si="468"/>
        <v>0</v>
      </c>
      <c r="AP103" s="64"/>
      <c r="AQ103" s="74" t="s">
        <v>1322</v>
      </c>
      <c r="AR103" s="73">
        <f t="shared" ca="1" si="468"/>
        <v>0</v>
      </c>
      <c r="AS103" s="64"/>
      <c r="AT103" s="74" t="s">
        <v>1322</v>
      </c>
      <c r="AU103" s="73">
        <f t="shared" ca="1" si="468"/>
        <v>0</v>
      </c>
      <c r="AV103" s="64"/>
      <c r="AW103" s="74" t="s">
        <v>1322</v>
      </c>
      <c r="AX103" s="73">
        <f t="shared" ca="1" si="468"/>
        <v>0</v>
      </c>
      <c r="AY103" s="64"/>
      <c r="AZ103" s="74" t="s">
        <v>1322</v>
      </c>
      <c r="BA103" s="73">
        <f t="shared" ca="1" si="468"/>
        <v>0</v>
      </c>
      <c r="BB103" s="64"/>
      <c r="BC103" s="74" t="s">
        <v>1322</v>
      </c>
      <c r="BD103" s="73">
        <f t="shared" ca="1" si="468"/>
        <v>0</v>
      </c>
      <c r="BE103" s="64"/>
      <c r="BF103" s="74" t="s">
        <v>1322</v>
      </c>
      <c r="BG103" s="73">
        <f t="shared" ca="1" si="468"/>
        <v>0</v>
      </c>
      <c r="BH103" s="64"/>
      <c r="BI103" s="74" t="s">
        <v>1322</v>
      </c>
      <c r="BJ103" s="73">
        <f t="shared" ca="1" si="468"/>
        <v>0</v>
      </c>
      <c r="BK103" s="64"/>
      <c r="BL103" s="74" t="s">
        <v>1322</v>
      </c>
      <c r="BM103" s="73">
        <f t="shared" ca="1" si="468"/>
        <v>0</v>
      </c>
      <c r="BN103" s="64"/>
      <c r="BO103" s="74" t="s">
        <v>1322</v>
      </c>
      <c r="BP103" s="73">
        <f t="shared" ca="1" si="468"/>
        <v>0</v>
      </c>
      <c r="BQ103" s="64"/>
      <c r="BR103" s="74" t="s">
        <v>1322</v>
      </c>
      <c r="BS103" s="73">
        <f t="shared" ca="1" si="468"/>
        <v>0</v>
      </c>
      <c r="BT103" s="64"/>
      <c r="BU103" s="74" t="s">
        <v>1322</v>
      </c>
      <c r="BV103" s="73">
        <f t="shared" ca="1" si="468"/>
        <v>0</v>
      </c>
      <c r="BW103" s="64"/>
      <c r="BX103" s="74" t="s">
        <v>1833</v>
      </c>
      <c r="BY103" s="73">
        <f t="shared" ca="1" si="468"/>
        <v>0</v>
      </c>
      <c r="BZ103" s="64"/>
      <c r="CA103" s="74" t="s">
        <v>1322</v>
      </c>
      <c r="CB103" s="73">
        <f t="shared" ca="1" si="468"/>
        <v>0</v>
      </c>
      <c r="CC103" s="64"/>
      <c r="CD103" s="74" t="s">
        <v>1322</v>
      </c>
      <c r="CE103" s="73">
        <f t="shared" ca="1" si="468"/>
        <v>0</v>
      </c>
      <c r="CF103" s="64"/>
      <c r="CG103" s="74" t="s">
        <v>1322</v>
      </c>
      <c r="CH103" s="73">
        <f t="shared" ca="1" si="468"/>
        <v>0</v>
      </c>
      <c r="CI103" s="64"/>
      <c r="CJ103" s="74" t="s">
        <v>1322</v>
      </c>
      <c r="CK103" s="73">
        <f t="shared" ref="CK103:EV103" ca="1" si="469">($M103=CJ103)*$D$14</f>
        <v>0</v>
      </c>
      <c r="CL103" s="64"/>
      <c r="CM103" s="74" t="s">
        <v>1833</v>
      </c>
      <c r="CN103" s="73">
        <f t="shared" ca="1" si="469"/>
        <v>0</v>
      </c>
      <c r="CO103" s="64"/>
      <c r="CP103" s="74" t="s">
        <v>1322</v>
      </c>
      <c r="CQ103" s="73">
        <f t="shared" ca="1" si="469"/>
        <v>0</v>
      </c>
      <c r="CR103" s="64"/>
      <c r="CS103" s="74" t="s">
        <v>1322</v>
      </c>
      <c r="CT103" s="73">
        <f t="shared" ca="1" si="469"/>
        <v>0</v>
      </c>
      <c r="CU103" s="64"/>
      <c r="CV103" s="74" t="s">
        <v>1322</v>
      </c>
      <c r="CW103" s="73">
        <f t="shared" ca="1" si="469"/>
        <v>0</v>
      </c>
      <c r="CX103" s="64"/>
      <c r="CY103" s="74" t="s">
        <v>1322</v>
      </c>
      <c r="CZ103" s="73">
        <f t="shared" ca="1" si="469"/>
        <v>0</v>
      </c>
      <c r="DA103" s="64"/>
      <c r="DB103" s="74" t="s">
        <v>1322</v>
      </c>
      <c r="DC103" s="73">
        <f t="shared" ca="1" si="469"/>
        <v>0</v>
      </c>
      <c r="DD103" s="64"/>
      <c r="DE103" s="74" t="s">
        <v>1322</v>
      </c>
      <c r="DF103" s="73">
        <f t="shared" ca="1" si="469"/>
        <v>0</v>
      </c>
      <c r="DG103" s="64"/>
      <c r="DH103" s="74" t="s">
        <v>1322</v>
      </c>
      <c r="DI103" s="73">
        <f t="shared" ca="1" si="469"/>
        <v>0</v>
      </c>
      <c r="DJ103" s="64"/>
      <c r="DK103" s="74" t="s">
        <v>1322</v>
      </c>
      <c r="DL103" s="73">
        <f t="shared" ca="1" si="469"/>
        <v>0</v>
      </c>
      <c r="DM103" s="64"/>
      <c r="DN103" s="795" t="s">
        <v>1322</v>
      </c>
      <c r="DO103" s="73">
        <f t="shared" ca="1" si="469"/>
        <v>0</v>
      </c>
      <c r="DP103" s="64"/>
      <c r="DQ103" s="795" t="s">
        <v>1322</v>
      </c>
      <c r="DR103" s="73">
        <f t="shared" ca="1" si="469"/>
        <v>0</v>
      </c>
      <c r="DS103" s="64"/>
      <c r="DT103" s="74" t="s">
        <v>1322</v>
      </c>
      <c r="DU103" s="73">
        <f t="shared" ca="1" si="469"/>
        <v>0</v>
      </c>
      <c r="DV103" s="64"/>
      <c r="DW103" s="74" t="s">
        <v>1322</v>
      </c>
      <c r="DX103" s="73">
        <f t="shared" ca="1" si="469"/>
        <v>0</v>
      </c>
      <c r="DY103" s="64"/>
      <c r="DZ103" s="74" t="s">
        <v>1322</v>
      </c>
      <c r="EA103" s="73">
        <f t="shared" ca="1" si="469"/>
        <v>0</v>
      </c>
      <c r="EB103" s="64"/>
      <c r="EC103" s="74" t="s">
        <v>1263</v>
      </c>
      <c r="ED103" s="73">
        <f t="shared" ca="1" si="469"/>
        <v>0</v>
      </c>
      <c r="EE103" s="64"/>
      <c r="EF103" s="74" t="s">
        <v>1322</v>
      </c>
      <c r="EG103" s="73">
        <f t="shared" ca="1" si="469"/>
        <v>0</v>
      </c>
      <c r="EH103" s="64"/>
      <c r="EI103" s="74" t="s">
        <v>1322</v>
      </c>
      <c r="EJ103" s="73">
        <f t="shared" ca="1" si="469"/>
        <v>0</v>
      </c>
      <c r="EK103" s="64"/>
      <c r="EL103" s="74"/>
      <c r="EM103" s="73">
        <f t="shared" ca="1" si="469"/>
        <v>0</v>
      </c>
      <c r="EN103" s="64"/>
      <c r="EO103" s="74"/>
      <c r="EP103" s="73">
        <f t="shared" ca="1" si="469"/>
        <v>0</v>
      </c>
      <c r="EQ103" s="64"/>
      <c r="ER103" s="74"/>
      <c r="ES103" s="73">
        <f t="shared" ca="1" si="469"/>
        <v>0</v>
      </c>
      <c r="ET103" s="64"/>
      <c r="EU103" s="74"/>
      <c r="EV103" s="73">
        <f t="shared" ca="1" si="469"/>
        <v>0</v>
      </c>
      <c r="EW103" s="64"/>
      <c r="EX103" s="74"/>
      <c r="EY103" s="73">
        <f t="shared" ref="EY103:FK103" ca="1" si="470">($M103=EX103)*$D$14</f>
        <v>0</v>
      </c>
      <c r="EZ103" s="64"/>
      <c r="FA103" s="74"/>
      <c r="FB103" s="73">
        <f t="shared" ca="1" si="470"/>
        <v>0</v>
      </c>
      <c r="FC103" s="64"/>
      <c r="FD103" s="74"/>
      <c r="FE103" s="73">
        <f t="shared" ca="1" si="470"/>
        <v>0</v>
      </c>
      <c r="FF103" s="64"/>
      <c r="FG103" s="74"/>
      <c r="FH103" s="73">
        <f t="shared" ca="1" si="470"/>
        <v>0</v>
      </c>
      <c r="FI103" s="64"/>
      <c r="FJ103" s="74"/>
      <c r="FK103" s="73">
        <f t="shared" ca="1" si="470"/>
        <v>0</v>
      </c>
      <c r="FL103" s="64"/>
      <c r="FM103" s="64"/>
    </row>
    <row r="104" spans="1:169">
      <c r="A104" s="49"/>
      <c r="B104" s="49"/>
      <c r="C104" s="49"/>
      <c r="D104" s="49"/>
      <c r="E104" s="111"/>
      <c r="F104" s="127">
        <f t="shared" ref="F104" si="471">$D$11</f>
        <v>2</v>
      </c>
      <c r="G104" s="445">
        <f ca="1">VLOOKUP(H104,Equipos!$Q$1:$R$25,2,0)</f>
        <v>17</v>
      </c>
      <c r="H104" s="446">
        <f ca="1">$H$66</f>
        <v>46200</v>
      </c>
      <c r="I104" s="50"/>
      <c r="J104" s="852" t="s">
        <v>6</v>
      </c>
      <c r="K104" s="56" t="str">
        <f>Idiomas!D174</f>
        <v>1º GRUPO G</v>
      </c>
      <c r="L104" s="53"/>
      <c r="M104" s="55" t="str">
        <f ca="1">IF(OR(SUM(WORLDCUP!$AN$54:$AN$57)=12,WORLDCUP!$AJ$99=144),WORLDCUP!AL54,LEFT(K104,1)&amp;RIGHT(K104,1))</f>
        <v>1G</v>
      </c>
      <c r="N104" s="25"/>
      <c r="O104" s="25"/>
      <c r="P104" s="25"/>
      <c r="Q104" s="25"/>
      <c r="R104" s="110"/>
      <c r="S104" s="74" t="s">
        <v>110</v>
      </c>
      <c r="T104" s="73">
        <f t="shared" ref="T104" ca="1" si="472">($M104=S104)*$D$11</f>
        <v>0</v>
      </c>
      <c r="U104" s="64"/>
      <c r="V104" s="74" t="s">
        <v>110</v>
      </c>
      <c r="W104" s="73">
        <f t="shared" ref="W104:CH104" ca="1" si="473">($M104=V104)*$D$11</f>
        <v>0</v>
      </c>
      <c r="X104" s="64"/>
      <c r="Y104" s="74" t="s">
        <v>110</v>
      </c>
      <c r="Z104" s="73">
        <f t="shared" ca="1" si="473"/>
        <v>0</v>
      </c>
      <c r="AA104" s="64"/>
      <c r="AB104" s="74" t="s">
        <v>110</v>
      </c>
      <c r="AC104" s="73">
        <f t="shared" ca="1" si="473"/>
        <v>0</v>
      </c>
      <c r="AD104" s="64"/>
      <c r="AE104" s="74" t="s">
        <v>110</v>
      </c>
      <c r="AF104" s="73">
        <f t="shared" ca="1" si="473"/>
        <v>0</v>
      </c>
      <c r="AG104" s="64"/>
      <c r="AH104" s="74" t="s">
        <v>110</v>
      </c>
      <c r="AI104" s="73">
        <f t="shared" ca="1" si="473"/>
        <v>0</v>
      </c>
      <c r="AJ104" s="64"/>
      <c r="AK104" s="74" t="s">
        <v>110</v>
      </c>
      <c r="AL104" s="73">
        <f t="shared" ca="1" si="473"/>
        <v>0</v>
      </c>
      <c r="AM104" s="64"/>
      <c r="AN104" s="74" t="s">
        <v>110</v>
      </c>
      <c r="AO104" s="73">
        <f t="shared" ca="1" si="473"/>
        <v>0</v>
      </c>
      <c r="AP104" s="64"/>
      <c r="AQ104" s="74" t="s">
        <v>110</v>
      </c>
      <c r="AR104" s="73">
        <f t="shared" ca="1" si="473"/>
        <v>0</v>
      </c>
      <c r="AS104" s="64"/>
      <c r="AT104" s="74" t="s">
        <v>110</v>
      </c>
      <c r="AU104" s="73">
        <f t="shared" ca="1" si="473"/>
        <v>0</v>
      </c>
      <c r="AV104" s="64"/>
      <c r="AW104" s="74" t="s">
        <v>110</v>
      </c>
      <c r="AX104" s="73">
        <f t="shared" ca="1" si="473"/>
        <v>0</v>
      </c>
      <c r="AY104" s="64"/>
      <c r="AZ104" s="74" t="s">
        <v>110</v>
      </c>
      <c r="BA104" s="73">
        <f t="shared" ca="1" si="473"/>
        <v>0</v>
      </c>
      <c r="BB104" s="64"/>
      <c r="BC104" s="74" t="s">
        <v>110</v>
      </c>
      <c r="BD104" s="73">
        <f t="shared" ca="1" si="473"/>
        <v>0</v>
      </c>
      <c r="BE104" s="64"/>
      <c r="BF104" s="74" t="s">
        <v>110</v>
      </c>
      <c r="BG104" s="73">
        <f t="shared" ca="1" si="473"/>
        <v>0</v>
      </c>
      <c r="BH104" s="64"/>
      <c r="BI104" s="74" t="s">
        <v>110</v>
      </c>
      <c r="BJ104" s="73">
        <f t="shared" ca="1" si="473"/>
        <v>0</v>
      </c>
      <c r="BK104" s="64"/>
      <c r="BL104" s="74" t="s">
        <v>110</v>
      </c>
      <c r="BM104" s="73">
        <f t="shared" ca="1" si="473"/>
        <v>0</v>
      </c>
      <c r="BN104" s="64"/>
      <c r="BO104" s="74" t="s">
        <v>110</v>
      </c>
      <c r="BP104" s="73">
        <f t="shared" ca="1" si="473"/>
        <v>0</v>
      </c>
      <c r="BQ104" s="64"/>
      <c r="BR104" s="74" t="s">
        <v>110</v>
      </c>
      <c r="BS104" s="73">
        <f t="shared" ca="1" si="473"/>
        <v>0</v>
      </c>
      <c r="BT104" s="64"/>
      <c r="BU104" s="74" t="s">
        <v>110</v>
      </c>
      <c r="BV104" s="73">
        <f t="shared" ca="1" si="473"/>
        <v>0</v>
      </c>
      <c r="BW104" s="64"/>
      <c r="BX104" s="74" t="s">
        <v>1550</v>
      </c>
      <c r="BY104" s="73">
        <f t="shared" ca="1" si="473"/>
        <v>0</v>
      </c>
      <c r="BZ104" s="64"/>
      <c r="CA104" s="74" t="s">
        <v>110</v>
      </c>
      <c r="CB104" s="73">
        <f t="shared" ca="1" si="473"/>
        <v>0</v>
      </c>
      <c r="CC104" s="64"/>
      <c r="CD104" s="74" t="s">
        <v>110</v>
      </c>
      <c r="CE104" s="73">
        <f t="shared" ca="1" si="473"/>
        <v>0</v>
      </c>
      <c r="CF104" s="64"/>
      <c r="CG104" s="74" t="s">
        <v>110</v>
      </c>
      <c r="CH104" s="73">
        <f t="shared" ca="1" si="473"/>
        <v>0</v>
      </c>
      <c r="CI104" s="64"/>
      <c r="CJ104" s="74" t="s">
        <v>110</v>
      </c>
      <c r="CK104" s="73">
        <f t="shared" ref="CK104:EV104" ca="1" si="474">($M104=CJ104)*$D$11</f>
        <v>0</v>
      </c>
      <c r="CL104" s="64"/>
      <c r="CM104" s="74" t="s">
        <v>110</v>
      </c>
      <c r="CN104" s="73">
        <f t="shared" ca="1" si="474"/>
        <v>0</v>
      </c>
      <c r="CO104" s="64"/>
      <c r="CP104" s="74" t="s">
        <v>110</v>
      </c>
      <c r="CQ104" s="73">
        <f t="shared" ca="1" si="474"/>
        <v>0</v>
      </c>
      <c r="CR104" s="64"/>
      <c r="CS104" s="74" t="s">
        <v>110</v>
      </c>
      <c r="CT104" s="73">
        <f t="shared" ca="1" si="474"/>
        <v>0</v>
      </c>
      <c r="CU104" s="64"/>
      <c r="CV104" s="74" t="s">
        <v>110</v>
      </c>
      <c r="CW104" s="73">
        <f t="shared" ca="1" si="474"/>
        <v>0</v>
      </c>
      <c r="CX104" s="64"/>
      <c r="CY104" s="74" t="s">
        <v>110</v>
      </c>
      <c r="CZ104" s="73">
        <f t="shared" ca="1" si="474"/>
        <v>0</v>
      </c>
      <c r="DA104" s="64"/>
      <c r="DB104" s="74" t="s">
        <v>110</v>
      </c>
      <c r="DC104" s="73">
        <f t="shared" ca="1" si="474"/>
        <v>0</v>
      </c>
      <c r="DD104" s="64"/>
      <c r="DE104" s="74" t="s">
        <v>110</v>
      </c>
      <c r="DF104" s="73">
        <f t="shared" ca="1" si="474"/>
        <v>0</v>
      </c>
      <c r="DG104" s="64"/>
      <c r="DH104" s="74" t="s">
        <v>110</v>
      </c>
      <c r="DI104" s="73">
        <f t="shared" ca="1" si="474"/>
        <v>0</v>
      </c>
      <c r="DJ104" s="64"/>
      <c r="DK104" s="74" t="s">
        <v>110</v>
      </c>
      <c r="DL104" s="73">
        <f t="shared" ca="1" si="474"/>
        <v>0</v>
      </c>
      <c r="DM104" s="64"/>
      <c r="DN104" s="795" t="s">
        <v>110</v>
      </c>
      <c r="DO104" s="73">
        <f t="shared" ca="1" si="474"/>
        <v>0</v>
      </c>
      <c r="DP104" s="64"/>
      <c r="DQ104" s="795" t="s">
        <v>1550</v>
      </c>
      <c r="DR104" s="73">
        <f t="shared" ca="1" si="474"/>
        <v>0</v>
      </c>
      <c r="DS104" s="64"/>
      <c r="DT104" s="74" t="s">
        <v>110</v>
      </c>
      <c r="DU104" s="73">
        <f t="shared" ca="1" si="474"/>
        <v>0</v>
      </c>
      <c r="DV104" s="64"/>
      <c r="DW104" s="74" t="s">
        <v>110</v>
      </c>
      <c r="DX104" s="73">
        <f t="shared" ca="1" si="474"/>
        <v>0</v>
      </c>
      <c r="DY104" s="64"/>
      <c r="DZ104" s="74" t="s">
        <v>110</v>
      </c>
      <c r="EA104" s="73">
        <f t="shared" ca="1" si="474"/>
        <v>0</v>
      </c>
      <c r="EB104" s="64"/>
      <c r="EC104" s="74" t="s">
        <v>110</v>
      </c>
      <c r="ED104" s="73">
        <f t="shared" ca="1" si="474"/>
        <v>0</v>
      </c>
      <c r="EE104" s="64"/>
      <c r="EF104" s="74" t="s">
        <v>110</v>
      </c>
      <c r="EG104" s="73">
        <f t="shared" ca="1" si="474"/>
        <v>0</v>
      </c>
      <c r="EH104" s="64"/>
      <c r="EI104" s="74" t="s">
        <v>110</v>
      </c>
      <c r="EJ104" s="73">
        <f t="shared" ca="1" si="474"/>
        <v>0</v>
      </c>
      <c r="EK104" s="64"/>
      <c r="EL104" s="74"/>
      <c r="EM104" s="73">
        <f t="shared" ca="1" si="474"/>
        <v>0</v>
      </c>
      <c r="EN104" s="64"/>
      <c r="EO104" s="74"/>
      <c r="EP104" s="73">
        <f t="shared" ca="1" si="474"/>
        <v>0</v>
      </c>
      <c r="EQ104" s="64"/>
      <c r="ER104" s="74"/>
      <c r="ES104" s="73">
        <f t="shared" ca="1" si="474"/>
        <v>0</v>
      </c>
      <c r="ET104" s="64"/>
      <c r="EU104" s="74"/>
      <c r="EV104" s="73">
        <f t="shared" ca="1" si="474"/>
        <v>0</v>
      </c>
      <c r="EW104" s="64"/>
      <c r="EX104" s="74"/>
      <c r="EY104" s="73">
        <f t="shared" ref="EY104:FK104" ca="1" si="475">($M104=EX104)*$D$11</f>
        <v>0</v>
      </c>
      <c r="EZ104" s="64"/>
      <c r="FA104" s="74"/>
      <c r="FB104" s="73">
        <f t="shared" ca="1" si="475"/>
        <v>0</v>
      </c>
      <c r="FC104" s="64"/>
      <c r="FD104" s="74"/>
      <c r="FE104" s="73">
        <f t="shared" ca="1" si="475"/>
        <v>0</v>
      </c>
      <c r="FF104" s="64"/>
      <c r="FG104" s="74"/>
      <c r="FH104" s="73">
        <f t="shared" ca="1" si="475"/>
        <v>0</v>
      </c>
      <c r="FI104" s="64"/>
      <c r="FJ104" s="74"/>
      <c r="FK104" s="73">
        <f t="shared" ca="1" si="475"/>
        <v>0</v>
      </c>
      <c r="FL104" s="64"/>
      <c r="FM104" s="64"/>
    </row>
    <row r="105" spans="1:169">
      <c r="A105" s="49"/>
      <c r="B105" s="49"/>
      <c r="C105" s="49"/>
      <c r="D105" s="49"/>
      <c r="E105" s="111"/>
      <c r="F105" s="127">
        <f t="shared" ref="F105" si="476">$D$12</f>
        <v>2</v>
      </c>
      <c r="G105" s="445">
        <f ca="1">VLOOKUP(H105,Equipos!$Q$1:$R$25,2,0)</f>
        <v>17</v>
      </c>
      <c r="H105" s="446">
        <f ca="1">$H$66</f>
        <v>46200</v>
      </c>
      <c r="I105" s="50"/>
      <c r="J105" s="852"/>
      <c r="K105" s="56" t="str">
        <f>Idiomas!D175</f>
        <v>2º GRUPO G</v>
      </c>
      <c r="L105" s="53"/>
      <c r="M105" s="55" t="str">
        <f ca="1">IF(OR(SUM(WORLDCUP!$AN$54:$AN$57)=12,WORLDCUP!$AJ$99=144),WORLDCUP!AL55,LEFT(K105,1)&amp;RIGHT(K105,1))</f>
        <v>2G</v>
      </c>
      <c r="N105" s="25"/>
      <c r="O105" s="25"/>
      <c r="P105" s="25"/>
      <c r="Q105" s="25"/>
      <c r="R105" s="110"/>
      <c r="S105" s="74" t="s">
        <v>1550</v>
      </c>
      <c r="T105" s="73">
        <f t="shared" ref="T105" ca="1" si="477">($M105=S105)*$D$12</f>
        <v>0</v>
      </c>
      <c r="U105" s="64"/>
      <c r="V105" s="74" t="s">
        <v>1550</v>
      </c>
      <c r="W105" s="73">
        <f t="shared" ref="W105:CH105" ca="1" si="478">($M105=V105)*$D$12</f>
        <v>0</v>
      </c>
      <c r="X105" s="64"/>
      <c r="Y105" s="74" t="s">
        <v>1550</v>
      </c>
      <c r="Z105" s="73">
        <f t="shared" ca="1" si="478"/>
        <v>0</v>
      </c>
      <c r="AA105" s="64"/>
      <c r="AB105" s="74" t="s">
        <v>1550</v>
      </c>
      <c r="AC105" s="73">
        <f t="shared" ca="1" si="478"/>
        <v>0</v>
      </c>
      <c r="AD105" s="64"/>
      <c r="AE105" s="74" t="s">
        <v>1550</v>
      </c>
      <c r="AF105" s="73">
        <f t="shared" ca="1" si="478"/>
        <v>0</v>
      </c>
      <c r="AG105" s="64"/>
      <c r="AH105" s="74" t="s">
        <v>1550</v>
      </c>
      <c r="AI105" s="73">
        <f t="shared" ca="1" si="478"/>
        <v>0</v>
      </c>
      <c r="AJ105" s="64"/>
      <c r="AK105" s="74" t="s">
        <v>1550</v>
      </c>
      <c r="AL105" s="73">
        <f t="shared" ca="1" si="478"/>
        <v>0</v>
      </c>
      <c r="AM105" s="64"/>
      <c r="AN105" s="74" t="s">
        <v>1550</v>
      </c>
      <c r="AO105" s="73">
        <f t="shared" ca="1" si="478"/>
        <v>0</v>
      </c>
      <c r="AP105" s="64"/>
      <c r="AQ105" s="74" t="s">
        <v>1550</v>
      </c>
      <c r="AR105" s="73">
        <f t="shared" ca="1" si="478"/>
        <v>0</v>
      </c>
      <c r="AS105" s="64"/>
      <c r="AT105" s="74" t="s">
        <v>1550</v>
      </c>
      <c r="AU105" s="73">
        <f t="shared" ca="1" si="478"/>
        <v>0</v>
      </c>
      <c r="AV105" s="64"/>
      <c r="AW105" s="74" t="s">
        <v>1550</v>
      </c>
      <c r="AX105" s="73">
        <f t="shared" ca="1" si="478"/>
        <v>0</v>
      </c>
      <c r="AY105" s="64"/>
      <c r="AZ105" s="74" t="s">
        <v>1550</v>
      </c>
      <c r="BA105" s="73">
        <f t="shared" ca="1" si="478"/>
        <v>0</v>
      </c>
      <c r="BB105" s="64"/>
      <c r="BC105" s="74" t="s">
        <v>1550</v>
      </c>
      <c r="BD105" s="73">
        <f t="shared" ca="1" si="478"/>
        <v>0</v>
      </c>
      <c r="BE105" s="64"/>
      <c r="BF105" s="74" t="s">
        <v>1550</v>
      </c>
      <c r="BG105" s="73">
        <f t="shared" ca="1" si="478"/>
        <v>0</v>
      </c>
      <c r="BH105" s="64"/>
      <c r="BI105" s="74" t="s">
        <v>1550</v>
      </c>
      <c r="BJ105" s="73">
        <f t="shared" ca="1" si="478"/>
        <v>0</v>
      </c>
      <c r="BK105" s="64"/>
      <c r="BL105" s="74" t="s">
        <v>1262</v>
      </c>
      <c r="BM105" s="73">
        <f t="shared" ca="1" si="478"/>
        <v>0</v>
      </c>
      <c r="BN105" s="64"/>
      <c r="BO105" s="74" t="s">
        <v>1262</v>
      </c>
      <c r="BP105" s="73">
        <f t="shared" ca="1" si="478"/>
        <v>0</v>
      </c>
      <c r="BQ105" s="64"/>
      <c r="BR105" s="74" t="s">
        <v>1550</v>
      </c>
      <c r="BS105" s="73">
        <f t="shared" ca="1" si="478"/>
        <v>0</v>
      </c>
      <c r="BT105" s="64"/>
      <c r="BU105" s="74" t="s">
        <v>1550</v>
      </c>
      <c r="BV105" s="73">
        <f t="shared" ca="1" si="478"/>
        <v>0</v>
      </c>
      <c r="BW105" s="64"/>
      <c r="BX105" s="74" t="s">
        <v>110</v>
      </c>
      <c r="BY105" s="73">
        <f t="shared" ca="1" si="478"/>
        <v>0</v>
      </c>
      <c r="BZ105" s="64"/>
      <c r="CA105" s="74" t="s">
        <v>1550</v>
      </c>
      <c r="CB105" s="73">
        <f t="shared" ca="1" si="478"/>
        <v>0</v>
      </c>
      <c r="CC105" s="64"/>
      <c r="CD105" s="74" t="s">
        <v>1266</v>
      </c>
      <c r="CE105" s="73">
        <f t="shared" ca="1" si="478"/>
        <v>0</v>
      </c>
      <c r="CF105" s="64"/>
      <c r="CG105" s="74" t="s">
        <v>1262</v>
      </c>
      <c r="CH105" s="73">
        <f t="shared" ca="1" si="478"/>
        <v>0</v>
      </c>
      <c r="CI105" s="64"/>
      <c r="CJ105" s="74" t="s">
        <v>1550</v>
      </c>
      <c r="CK105" s="73">
        <f t="shared" ref="CK105:EV105" ca="1" si="479">($M105=CJ105)*$D$12</f>
        <v>0</v>
      </c>
      <c r="CL105" s="64"/>
      <c r="CM105" s="74" t="s">
        <v>1550</v>
      </c>
      <c r="CN105" s="73">
        <f t="shared" ca="1" si="479"/>
        <v>0</v>
      </c>
      <c r="CO105" s="64"/>
      <c r="CP105" s="74" t="s">
        <v>1550</v>
      </c>
      <c r="CQ105" s="73">
        <f t="shared" ca="1" si="479"/>
        <v>0</v>
      </c>
      <c r="CR105" s="64"/>
      <c r="CS105" s="74" t="s">
        <v>1550</v>
      </c>
      <c r="CT105" s="73">
        <f t="shared" ca="1" si="479"/>
        <v>0</v>
      </c>
      <c r="CU105" s="64"/>
      <c r="CV105" s="74" t="s">
        <v>1550</v>
      </c>
      <c r="CW105" s="73">
        <f t="shared" ca="1" si="479"/>
        <v>0</v>
      </c>
      <c r="CX105" s="64"/>
      <c r="CY105" s="74" t="s">
        <v>1550</v>
      </c>
      <c r="CZ105" s="73">
        <f t="shared" ca="1" si="479"/>
        <v>0</v>
      </c>
      <c r="DA105" s="64"/>
      <c r="DB105" s="74" t="s">
        <v>1550</v>
      </c>
      <c r="DC105" s="73">
        <f t="shared" ca="1" si="479"/>
        <v>0</v>
      </c>
      <c r="DD105" s="64"/>
      <c r="DE105" s="74" t="s">
        <v>1550</v>
      </c>
      <c r="DF105" s="73">
        <f t="shared" ca="1" si="479"/>
        <v>0</v>
      </c>
      <c r="DG105" s="64"/>
      <c r="DH105" s="74" t="s">
        <v>1550</v>
      </c>
      <c r="DI105" s="73">
        <f t="shared" ca="1" si="479"/>
        <v>0</v>
      </c>
      <c r="DJ105" s="64"/>
      <c r="DK105" s="74" t="s">
        <v>1550</v>
      </c>
      <c r="DL105" s="73">
        <f t="shared" ca="1" si="479"/>
        <v>0</v>
      </c>
      <c r="DM105" s="64"/>
      <c r="DN105" s="795" t="s">
        <v>1550</v>
      </c>
      <c r="DO105" s="73">
        <f t="shared" ca="1" si="479"/>
        <v>0</v>
      </c>
      <c r="DP105" s="64"/>
      <c r="DQ105" s="795" t="s">
        <v>110</v>
      </c>
      <c r="DR105" s="73">
        <f t="shared" ca="1" si="479"/>
        <v>0</v>
      </c>
      <c r="DS105" s="64"/>
      <c r="DT105" s="74" t="s">
        <v>1550</v>
      </c>
      <c r="DU105" s="73">
        <f t="shared" ca="1" si="479"/>
        <v>0</v>
      </c>
      <c r="DV105" s="64"/>
      <c r="DW105" s="74" t="s">
        <v>1550</v>
      </c>
      <c r="DX105" s="73">
        <f t="shared" ca="1" si="479"/>
        <v>0</v>
      </c>
      <c r="DY105" s="64"/>
      <c r="DZ105" s="74" t="s">
        <v>1262</v>
      </c>
      <c r="EA105" s="73">
        <f t="shared" ca="1" si="479"/>
        <v>0</v>
      </c>
      <c r="EB105" s="64"/>
      <c r="EC105" s="74" t="s">
        <v>1550</v>
      </c>
      <c r="ED105" s="73">
        <f t="shared" ca="1" si="479"/>
        <v>0</v>
      </c>
      <c r="EE105" s="64"/>
      <c r="EF105" s="74" t="s">
        <v>1550</v>
      </c>
      <c r="EG105" s="73">
        <f t="shared" ca="1" si="479"/>
        <v>0</v>
      </c>
      <c r="EH105" s="64"/>
      <c r="EI105" s="74" t="s">
        <v>1550</v>
      </c>
      <c r="EJ105" s="73">
        <f t="shared" ca="1" si="479"/>
        <v>0</v>
      </c>
      <c r="EK105" s="64"/>
      <c r="EL105" s="74"/>
      <c r="EM105" s="73">
        <f t="shared" ca="1" si="479"/>
        <v>0</v>
      </c>
      <c r="EN105" s="64"/>
      <c r="EO105" s="74"/>
      <c r="EP105" s="73">
        <f t="shared" ca="1" si="479"/>
        <v>0</v>
      </c>
      <c r="EQ105" s="64"/>
      <c r="ER105" s="74"/>
      <c r="ES105" s="73">
        <f t="shared" ca="1" si="479"/>
        <v>0</v>
      </c>
      <c r="ET105" s="64"/>
      <c r="EU105" s="74"/>
      <c r="EV105" s="73">
        <f t="shared" ca="1" si="479"/>
        <v>0</v>
      </c>
      <c r="EW105" s="64"/>
      <c r="EX105" s="74"/>
      <c r="EY105" s="73">
        <f t="shared" ref="EY105:FK105" ca="1" si="480">($M105=EX105)*$D$12</f>
        <v>0</v>
      </c>
      <c r="EZ105" s="64"/>
      <c r="FA105" s="74"/>
      <c r="FB105" s="73">
        <f t="shared" ca="1" si="480"/>
        <v>0</v>
      </c>
      <c r="FC105" s="64"/>
      <c r="FD105" s="74"/>
      <c r="FE105" s="73">
        <f t="shared" ca="1" si="480"/>
        <v>0</v>
      </c>
      <c r="FF105" s="64"/>
      <c r="FG105" s="74"/>
      <c r="FH105" s="73">
        <f t="shared" ca="1" si="480"/>
        <v>0</v>
      </c>
      <c r="FI105" s="64"/>
      <c r="FJ105" s="74"/>
      <c r="FK105" s="73">
        <f t="shared" ca="1" si="480"/>
        <v>0</v>
      </c>
      <c r="FL105" s="64"/>
      <c r="FM105" s="64"/>
    </row>
    <row r="106" spans="1:169">
      <c r="A106" s="49"/>
      <c r="B106" s="49"/>
      <c r="C106" s="49"/>
      <c r="D106" s="49"/>
      <c r="E106" s="111"/>
      <c r="F106" s="127">
        <f t="shared" ref="F106" si="481">$D$13</f>
        <v>2</v>
      </c>
      <c r="G106" s="445">
        <f ca="1">VLOOKUP(H106,Equipos!$Q$1:$R$25,2,0)</f>
        <v>17</v>
      </c>
      <c r="H106" s="446">
        <f ca="1">$H$66</f>
        <v>46200</v>
      </c>
      <c r="I106" s="50"/>
      <c r="J106" s="852"/>
      <c r="K106" s="56" t="str">
        <f>Idiomas!D176</f>
        <v>3º GRUPO G</v>
      </c>
      <c r="L106" s="53"/>
      <c r="M106" s="55" t="str">
        <f ca="1">IF(OR(SUM(WORLDCUP!$AN$54:$AN$57)=12,WORLDCUP!$AJ$99=144),WORLDCUP!AL56,LEFT(K106,1)&amp;RIGHT(K106,1))</f>
        <v>3G</v>
      </c>
      <c r="N106" s="25"/>
      <c r="O106" s="25"/>
      <c r="P106" s="25"/>
      <c r="Q106" s="25"/>
      <c r="R106" s="110"/>
      <c r="S106" s="74" t="s">
        <v>1266</v>
      </c>
      <c r="T106" s="73">
        <f t="shared" ref="T106" ca="1" si="482">($M106=S106)*$D$13</f>
        <v>0</v>
      </c>
      <c r="U106" s="64"/>
      <c r="V106" s="74" t="s">
        <v>1262</v>
      </c>
      <c r="W106" s="73">
        <f t="shared" ref="W106:CH106" ca="1" si="483">($M106=V106)*$D$13</f>
        <v>0</v>
      </c>
      <c r="X106" s="64"/>
      <c r="Y106" s="74" t="s">
        <v>1266</v>
      </c>
      <c r="Z106" s="73">
        <f t="shared" ca="1" si="483"/>
        <v>0</v>
      </c>
      <c r="AA106" s="64"/>
      <c r="AB106" s="74" t="s">
        <v>1262</v>
      </c>
      <c r="AC106" s="73">
        <f t="shared" ca="1" si="483"/>
        <v>0</v>
      </c>
      <c r="AD106" s="64"/>
      <c r="AE106" s="74" t="s">
        <v>1262</v>
      </c>
      <c r="AF106" s="73">
        <f t="shared" ca="1" si="483"/>
        <v>0</v>
      </c>
      <c r="AG106" s="64"/>
      <c r="AH106" s="74" t="s">
        <v>1262</v>
      </c>
      <c r="AI106" s="73">
        <f t="shared" ca="1" si="483"/>
        <v>0</v>
      </c>
      <c r="AJ106" s="64"/>
      <c r="AK106" s="74" t="s">
        <v>1262</v>
      </c>
      <c r="AL106" s="73">
        <f t="shared" ca="1" si="483"/>
        <v>0</v>
      </c>
      <c r="AM106" s="64"/>
      <c r="AN106" s="74" t="s">
        <v>1262</v>
      </c>
      <c r="AO106" s="73">
        <f t="shared" ca="1" si="483"/>
        <v>0</v>
      </c>
      <c r="AP106" s="64"/>
      <c r="AQ106" s="74" t="s">
        <v>1262</v>
      </c>
      <c r="AR106" s="73">
        <f t="shared" ca="1" si="483"/>
        <v>0</v>
      </c>
      <c r="AS106" s="64"/>
      <c r="AT106" s="74" t="s">
        <v>1262</v>
      </c>
      <c r="AU106" s="73">
        <f t="shared" ca="1" si="483"/>
        <v>0</v>
      </c>
      <c r="AV106" s="64"/>
      <c r="AW106" s="74" t="s">
        <v>1262</v>
      </c>
      <c r="AX106" s="73">
        <f t="shared" ca="1" si="483"/>
        <v>0</v>
      </c>
      <c r="AY106" s="64"/>
      <c r="AZ106" s="74" t="s">
        <v>1266</v>
      </c>
      <c r="BA106" s="73">
        <f t="shared" ca="1" si="483"/>
        <v>0</v>
      </c>
      <c r="BB106" s="64"/>
      <c r="BC106" s="74" t="s">
        <v>1266</v>
      </c>
      <c r="BD106" s="73">
        <f t="shared" ca="1" si="483"/>
        <v>0</v>
      </c>
      <c r="BE106" s="64"/>
      <c r="BF106" s="74" t="s">
        <v>1262</v>
      </c>
      <c r="BG106" s="73">
        <f t="shared" ca="1" si="483"/>
        <v>0</v>
      </c>
      <c r="BH106" s="64"/>
      <c r="BI106" s="74" t="s">
        <v>1266</v>
      </c>
      <c r="BJ106" s="73">
        <f t="shared" ca="1" si="483"/>
        <v>0</v>
      </c>
      <c r="BK106" s="64"/>
      <c r="BL106" s="74" t="s">
        <v>1550</v>
      </c>
      <c r="BM106" s="73">
        <f t="shared" ca="1" si="483"/>
        <v>0</v>
      </c>
      <c r="BN106" s="64"/>
      <c r="BO106" s="74" t="s">
        <v>1550</v>
      </c>
      <c r="BP106" s="73">
        <f t="shared" ca="1" si="483"/>
        <v>0</v>
      </c>
      <c r="BQ106" s="64"/>
      <c r="BR106" s="74" t="s">
        <v>1262</v>
      </c>
      <c r="BS106" s="73">
        <f t="shared" ca="1" si="483"/>
        <v>0</v>
      </c>
      <c r="BT106" s="64"/>
      <c r="BU106" s="74" t="s">
        <v>1262</v>
      </c>
      <c r="BV106" s="73">
        <f t="shared" ca="1" si="483"/>
        <v>0</v>
      </c>
      <c r="BW106" s="64"/>
      <c r="BX106" s="74" t="s">
        <v>1262</v>
      </c>
      <c r="BY106" s="73">
        <f t="shared" ca="1" si="483"/>
        <v>0</v>
      </c>
      <c r="BZ106" s="64"/>
      <c r="CA106" s="74" t="s">
        <v>1262</v>
      </c>
      <c r="CB106" s="73">
        <f t="shared" ca="1" si="483"/>
        <v>0</v>
      </c>
      <c r="CC106" s="64"/>
      <c r="CD106" s="74" t="s">
        <v>1550</v>
      </c>
      <c r="CE106" s="73">
        <f t="shared" ca="1" si="483"/>
        <v>0</v>
      </c>
      <c r="CF106" s="64"/>
      <c r="CG106" s="74" t="s">
        <v>1266</v>
      </c>
      <c r="CH106" s="73">
        <f t="shared" ca="1" si="483"/>
        <v>0</v>
      </c>
      <c r="CI106" s="64"/>
      <c r="CJ106" s="74" t="s">
        <v>1266</v>
      </c>
      <c r="CK106" s="73">
        <f t="shared" ref="CK106:EV106" ca="1" si="484">($M106=CJ106)*$D$13</f>
        <v>0</v>
      </c>
      <c r="CL106" s="64"/>
      <c r="CM106" s="74" t="s">
        <v>1262</v>
      </c>
      <c r="CN106" s="73">
        <f t="shared" ca="1" si="484"/>
        <v>0</v>
      </c>
      <c r="CO106" s="64"/>
      <c r="CP106" s="74" t="s">
        <v>1266</v>
      </c>
      <c r="CQ106" s="73">
        <f t="shared" ca="1" si="484"/>
        <v>0</v>
      </c>
      <c r="CR106" s="64"/>
      <c r="CS106" s="74" t="s">
        <v>1262</v>
      </c>
      <c r="CT106" s="73">
        <f t="shared" ca="1" si="484"/>
        <v>0</v>
      </c>
      <c r="CU106" s="64"/>
      <c r="CV106" s="74" t="s">
        <v>1262</v>
      </c>
      <c r="CW106" s="73">
        <f t="shared" ca="1" si="484"/>
        <v>0</v>
      </c>
      <c r="CX106" s="64"/>
      <c r="CY106" s="74" t="s">
        <v>1262</v>
      </c>
      <c r="CZ106" s="73">
        <f t="shared" ca="1" si="484"/>
        <v>0</v>
      </c>
      <c r="DA106" s="64"/>
      <c r="DB106" s="74" t="s">
        <v>1262</v>
      </c>
      <c r="DC106" s="73">
        <f t="shared" ca="1" si="484"/>
        <v>0</v>
      </c>
      <c r="DD106" s="64"/>
      <c r="DE106" s="74" t="s">
        <v>1262</v>
      </c>
      <c r="DF106" s="73">
        <f t="shared" ca="1" si="484"/>
        <v>0</v>
      </c>
      <c r="DG106" s="64"/>
      <c r="DH106" s="74" t="s">
        <v>1262</v>
      </c>
      <c r="DI106" s="73">
        <f t="shared" ca="1" si="484"/>
        <v>0</v>
      </c>
      <c r="DJ106" s="64"/>
      <c r="DK106" s="74" t="s">
        <v>1262</v>
      </c>
      <c r="DL106" s="73">
        <f t="shared" ca="1" si="484"/>
        <v>0</v>
      </c>
      <c r="DM106" s="64"/>
      <c r="DN106" s="795" t="s">
        <v>1262</v>
      </c>
      <c r="DO106" s="73">
        <f t="shared" ca="1" si="484"/>
        <v>0</v>
      </c>
      <c r="DP106" s="64"/>
      <c r="DQ106" s="795" t="s">
        <v>1266</v>
      </c>
      <c r="DR106" s="73">
        <f t="shared" ca="1" si="484"/>
        <v>0</v>
      </c>
      <c r="DS106" s="64"/>
      <c r="DT106" s="74" t="s">
        <v>1266</v>
      </c>
      <c r="DU106" s="73">
        <f t="shared" ca="1" si="484"/>
        <v>0</v>
      </c>
      <c r="DV106" s="64"/>
      <c r="DW106" s="74" t="s">
        <v>1262</v>
      </c>
      <c r="DX106" s="73">
        <f t="shared" ca="1" si="484"/>
        <v>0</v>
      </c>
      <c r="DY106" s="64"/>
      <c r="DZ106" s="74" t="s">
        <v>1550</v>
      </c>
      <c r="EA106" s="73">
        <f t="shared" ca="1" si="484"/>
        <v>0</v>
      </c>
      <c r="EB106" s="64"/>
      <c r="EC106" s="74" t="s">
        <v>1266</v>
      </c>
      <c r="ED106" s="73">
        <f t="shared" ca="1" si="484"/>
        <v>0</v>
      </c>
      <c r="EE106" s="64"/>
      <c r="EF106" s="74" t="s">
        <v>1262</v>
      </c>
      <c r="EG106" s="73">
        <f t="shared" ca="1" si="484"/>
        <v>0</v>
      </c>
      <c r="EH106" s="64"/>
      <c r="EI106" s="74" t="s">
        <v>1262</v>
      </c>
      <c r="EJ106" s="73">
        <f t="shared" ca="1" si="484"/>
        <v>0</v>
      </c>
      <c r="EK106" s="64"/>
      <c r="EL106" s="74"/>
      <c r="EM106" s="73">
        <f t="shared" ca="1" si="484"/>
        <v>0</v>
      </c>
      <c r="EN106" s="64"/>
      <c r="EO106" s="74"/>
      <c r="EP106" s="73">
        <f t="shared" ca="1" si="484"/>
        <v>0</v>
      </c>
      <c r="EQ106" s="64"/>
      <c r="ER106" s="74"/>
      <c r="ES106" s="73">
        <f t="shared" ca="1" si="484"/>
        <v>0</v>
      </c>
      <c r="ET106" s="64"/>
      <c r="EU106" s="74"/>
      <c r="EV106" s="73">
        <f t="shared" ca="1" si="484"/>
        <v>0</v>
      </c>
      <c r="EW106" s="64"/>
      <c r="EX106" s="74"/>
      <c r="EY106" s="73">
        <f t="shared" ref="EY106:FK106" ca="1" si="485">($M106=EX106)*$D$13</f>
        <v>0</v>
      </c>
      <c r="EZ106" s="64"/>
      <c r="FA106" s="74"/>
      <c r="FB106" s="73">
        <f t="shared" ca="1" si="485"/>
        <v>0</v>
      </c>
      <c r="FC106" s="64"/>
      <c r="FD106" s="74"/>
      <c r="FE106" s="73">
        <f t="shared" ca="1" si="485"/>
        <v>0</v>
      </c>
      <c r="FF106" s="64"/>
      <c r="FG106" s="74"/>
      <c r="FH106" s="73">
        <f t="shared" ca="1" si="485"/>
        <v>0</v>
      </c>
      <c r="FI106" s="64"/>
      <c r="FJ106" s="74"/>
      <c r="FK106" s="73">
        <f t="shared" ca="1" si="485"/>
        <v>0</v>
      </c>
      <c r="FL106" s="64"/>
      <c r="FM106" s="64"/>
    </row>
    <row r="107" spans="1:169">
      <c r="A107" s="49"/>
      <c r="B107" s="49"/>
      <c r="C107" s="49"/>
      <c r="D107" s="49"/>
      <c r="E107" s="111"/>
      <c r="F107" s="127">
        <f t="shared" ref="F107" si="486">$D$14</f>
        <v>2</v>
      </c>
      <c r="G107" s="445">
        <f ca="1">VLOOKUP(H107,Equipos!$Q$1:$R$25,2,0)</f>
        <v>17</v>
      </c>
      <c r="H107" s="446">
        <f ca="1">$H$66</f>
        <v>46200</v>
      </c>
      <c r="I107" s="50"/>
      <c r="J107" s="852"/>
      <c r="K107" s="56" t="str">
        <f>Idiomas!D177</f>
        <v>4º GRUPO G</v>
      </c>
      <c r="L107" s="53"/>
      <c r="M107" s="55" t="str">
        <f ca="1">IF(OR(SUM(WORLDCUP!$AN$54:$AN$57)=12,WORLDCUP!$AJ$99=144),WORLDCUP!AL57,LEFT(K107,1)&amp;RIGHT(K107,1))</f>
        <v>4G</v>
      </c>
      <c r="N107" s="25"/>
      <c r="O107" s="25"/>
      <c r="P107" s="25"/>
      <c r="Q107" s="25"/>
      <c r="R107" s="110"/>
      <c r="S107" s="74" t="s">
        <v>1262</v>
      </c>
      <c r="T107" s="73">
        <f t="shared" ref="T107" ca="1" si="487">($M107=S107)*$D$14</f>
        <v>0</v>
      </c>
      <c r="U107" s="64"/>
      <c r="V107" s="74" t="s">
        <v>1266</v>
      </c>
      <c r="W107" s="73">
        <f t="shared" ref="W107:CH107" ca="1" si="488">($M107=V107)*$D$14</f>
        <v>0</v>
      </c>
      <c r="X107" s="64"/>
      <c r="Y107" s="74" t="s">
        <v>1262</v>
      </c>
      <c r="Z107" s="73">
        <f t="shared" ca="1" si="488"/>
        <v>0</v>
      </c>
      <c r="AA107" s="64"/>
      <c r="AB107" s="74" t="s">
        <v>1266</v>
      </c>
      <c r="AC107" s="73">
        <f t="shared" ca="1" si="488"/>
        <v>0</v>
      </c>
      <c r="AD107" s="64"/>
      <c r="AE107" s="74" t="s">
        <v>1266</v>
      </c>
      <c r="AF107" s="73">
        <f t="shared" ca="1" si="488"/>
        <v>0</v>
      </c>
      <c r="AG107" s="64"/>
      <c r="AH107" s="74" t="s">
        <v>1266</v>
      </c>
      <c r="AI107" s="73">
        <f t="shared" ca="1" si="488"/>
        <v>0</v>
      </c>
      <c r="AJ107" s="64"/>
      <c r="AK107" s="74" t="s">
        <v>1266</v>
      </c>
      <c r="AL107" s="73">
        <f t="shared" ca="1" si="488"/>
        <v>0</v>
      </c>
      <c r="AM107" s="64"/>
      <c r="AN107" s="74" t="s">
        <v>1266</v>
      </c>
      <c r="AO107" s="73">
        <f t="shared" ca="1" si="488"/>
        <v>0</v>
      </c>
      <c r="AP107" s="64"/>
      <c r="AQ107" s="74" t="s">
        <v>1266</v>
      </c>
      <c r="AR107" s="73">
        <f t="shared" ca="1" si="488"/>
        <v>0</v>
      </c>
      <c r="AS107" s="64"/>
      <c r="AT107" s="74" t="s">
        <v>1266</v>
      </c>
      <c r="AU107" s="73">
        <f t="shared" ca="1" si="488"/>
        <v>0</v>
      </c>
      <c r="AV107" s="64"/>
      <c r="AW107" s="74" t="s">
        <v>1266</v>
      </c>
      <c r="AX107" s="73">
        <f t="shared" ca="1" si="488"/>
        <v>0</v>
      </c>
      <c r="AY107" s="64"/>
      <c r="AZ107" s="74" t="s">
        <v>1262</v>
      </c>
      <c r="BA107" s="73">
        <f t="shared" ca="1" si="488"/>
        <v>0</v>
      </c>
      <c r="BB107" s="64"/>
      <c r="BC107" s="74" t="s">
        <v>1262</v>
      </c>
      <c r="BD107" s="73">
        <f t="shared" ca="1" si="488"/>
        <v>0</v>
      </c>
      <c r="BE107" s="64"/>
      <c r="BF107" s="74" t="s">
        <v>1266</v>
      </c>
      <c r="BG107" s="73">
        <f t="shared" ca="1" si="488"/>
        <v>0</v>
      </c>
      <c r="BH107" s="64"/>
      <c r="BI107" s="74" t="s">
        <v>1262</v>
      </c>
      <c r="BJ107" s="73">
        <f t="shared" ca="1" si="488"/>
        <v>0</v>
      </c>
      <c r="BK107" s="64"/>
      <c r="BL107" s="74" t="s">
        <v>1266</v>
      </c>
      <c r="BM107" s="73">
        <f t="shared" ca="1" si="488"/>
        <v>0</v>
      </c>
      <c r="BN107" s="64"/>
      <c r="BO107" s="74" t="s">
        <v>1266</v>
      </c>
      <c r="BP107" s="73">
        <f t="shared" ca="1" si="488"/>
        <v>0</v>
      </c>
      <c r="BQ107" s="64"/>
      <c r="BR107" s="74" t="s">
        <v>1266</v>
      </c>
      <c r="BS107" s="73">
        <f t="shared" ca="1" si="488"/>
        <v>0</v>
      </c>
      <c r="BT107" s="64"/>
      <c r="BU107" s="74" t="s">
        <v>1266</v>
      </c>
      <c r="BV107" s="73">
        <f t="shared" ca="1" si="488"/>
        <v>0</v>
      </c>
      <c r="BW107" s="64"/>
      <c r="BX107" s="74" t="s">
        <v>1266</v>
      </c>
      <c r="BY107" s="73">
        <f t="shared" ca="1" si="488"/>
        <v>0</v>
      </c>
      <c r="BZ107" s="64"/>
      <c r="CA107" s="74" t="s">
        <v>1266</v>
      </c>
      <c r="CB107" s="73">
        <f t="shared" ca="1" si="488"/>
        <v>0</v>
      </c>
      <c r="CC107" s="64"/>
      <c r="CD107" s="74" t="s">
        <v>1262</v>
      </c>
      <c r="CE107" s="73">
        <f t="shared" ca="1" si="488"/>
        <v>0</v>
      </c>
      <c r="CF107" s="64"/>
      <c r="CG107" s="74" t="s">
        <v>1550</v>
      </c>
      <c r="CH107" s="73">
        <f t="shared" ca="1" si="488"/>
        <v>0</v>
      </c>
      <c r="CI107" s="64"/>
      <c r="CJ107" s="74" t="s">
        <v>1262</v>
      </c>
      <c r="CK107" s="73">
        <f t="shared" ref="CK107:EV107" ca="1" si="489">($M107=CJ107)*$D$14</f>
        <v>0</v>
      </c>
      <c r="CL107" s="64"/>
      <c r="CM107" s="74" t="s">
        <v>1266</v>
      </c>
      <c r="CN107" s="73">
        <f t="shared" ca="1" si="489"/>
        <v>0</v>
      </c>
      <c r="CO107" s="64"/>
      <c r="CP107" s="74" t="s">
        <v>1262</v>
      </c>
      <c r="CQ107" s="73">
        <f t="shared" ca="1" si="489"/>
        <v>0</v>
      </c>
      <c r="CR107" s="64"/>
      <c r="CS107" s="74" t="s">
        <v>1266</v>
      </c>
      <c r="CT107" s="73">
        <f t="shared" ca="1" si="489"/>
        <v>0</v>
      </c>
      <c r="CU107" s="64"/>
      <c r="CV107" s="74" t="s">
        <v>1266</v>
      </c>
      <c r="CW107" s="73">
        <f t="shared" ca="1" si="489"/>
        <v>0</v>
      </c>
      <c r="CX107" s="64"/>
      <c r="CY107" s="74" t="s">
        <v>1266</v>
      </c>
      <c r="CZ107" s="73">
        <f t="shared" ca="1" si="489"/>
        <v>0</v>
      </c>
      <c r="DA107" s="64"/>
      <c r="DB107" s="74" t="s">
        <v>1266</v>
      </c>
      <c r="DC107" s="73">
        <f t="shared" ca="1" si="489"/>
        <v>0</v>
      </c>
      <c r="DD107" s="64"/>
      <c r="DE107" s="74" t="s">
        <v>1266</v>
      </c>
      <c r="DF107" s="73">
        <f t="shared" ca="1" si="489"/>
        <v>0</v>
      </c>
      <c r="DG107" s="64"/>
      <c r="DH107" s="74" t="s">
        <v>1266</v>
      </c>
      <c r="DI107" s="73">
        <f t="shared" ca="1" si="489"/>
        <v>0</v>
      </c>
      <c r="DJ107" s="64"/>
      <c r="DK107" s="74" t="s">
        <v>1266</v>
      </c>
      <c r="DL107" s="73">
        <f t="shared" ca="1" si="489"/>
        <v>0</v>
      </c>
      <c r="DM107" s="64"/>
      <c r="DN107" s="795" t="s">
        <v>1266</v>
      </c>
      <c r="DO107" s="73">
        <f t="shared" ca="1" si="489"/>
        <v>0</v>
      </c>
      <c r="DP107" s="64"/>
      <c r="DQ107" s="795" t="s">
        <v>1262</v>
      </c>
      <c r="DR107" s="73">
        <f t="shared" ca="1" si="489"/>
        <v>0</v>
      </c>
      <c r="DS107" s="64"/>
      <c r="DT107" s="74" t="s">
        <v>1262</v>
      </c>
      <c r="DU107" s="73">
        <f t="shared" ca="1" si="489"/>
        <v>0</v>
      </c>
      <c r="DV107" s="64"/>
      <c r="DW107" s="74" t="s">
        <v>1266</v>
      </c>
      <c r="DX107" s="73">
        <f t="shared" ca="1" si="489"/>
        <v>0</v>
      </c>
      <c r="DY107" s="64"/>
      <c r="DZ107" s="74" t="s">
        <v>1266</v>
      </c>
      <c r="EA107" s="73">
        <f t="shared" ca="1" si="489"/>
        <v>0</v>
      </c>
      <c r="EB107" s="64"/>
      <c r="EC107" s="74" t="s">
        <v>1262</v>
      </c>
      <c r="ED107" s="73">
        <f t="shared" ca="1" si="489"/>
        <v>0</v>
      </c>
      <c r="EE107" s="64"/>
      <c r="EF107" s="74" t="s">
        <v>1266</v>
      </c>
      <c r="EG107" s="73">
        <f t="shared" ca="1" si="489"/>
        <v>0</v>
      </c>
      <c r="EH107" s="64"/>
      <c r="EI107" s="74" t="s">
        <v>1266</v>
      </c>
      <c r="EJ107" s="73">
        <f t="shared" ca="1" si="489"/>
        <v>0</v>
      </c>
      <c r="EK107" s="64"/>
      <c r="EL107" s="74"/>
      <c r="EM107" s="73">
        <f t="shared" ca="1" si="489"/>
        <v>0</v>
      </c>
      <c r="EN107" s="64"/>
      <c r="EO107" s="74"/>
      <c r="EP107" s="73">
        <f t="shared" ca="1" si="489"/>
        <v>0</v>
      </c>
      <c r="EQ107" s="64"/>
      <c r="ER107" s="74"/>
      <c r="ES107" s="73">
        <f t="shared" ca="1" si="489"/>
        <v>0</v>
      </c>
      <c r="ET107" s="64"/>
      <c r="EU107" s="74"/>
      <c r="EV107" s="73">
        <f t="shared" ca="1" si="489"/>
        <v>0</v>
      </c>
      <c r="EW107" s="64"/>
      <c r="EX107" s="74"/>
      <c r="EY107" s="73">
        <f t="shared" ref="EY107:FK107" ca="1" si="490">($M107=EX107)*$D$14</f>
        <v>0</v>
      </c>
      <c r="EZ107" s="64"/>
      <c r="FA107" s="74"/>
      <c r="FB107" s="73">
        <f t="shared" ca="1" si="490"/>
        <v>0</v>
      </c>
      <c r="FC107" s="64"/>
      <c r="FD107" s="74"/>
      <c r="FE107" s="73">
        <f t="shared" ca="1" si="490"/>
        <v>0</v>
      </c>
      <c r="FF107" s="64"/>
      <c r="FG107" s="74"/>
      <c r="FH107" s="73">
        <f t="shared" ca="1" si="490"/>
        <v>0</v>
      </c>
      <c r="FI107" s="64"/>
      <c r="FJ107" s="74"/>
      <c r="FK107" s="73">
        <f t="shared" ca="1" si="490"/>
        <v>0</v>
      </c>
      <c r="FL107" s="64"/>
      <c r="FM107" s="64"/>
    </row>
    <row r="108" spans="1:169">
      <c r="A108" s="49"/>
      <c r="B108" s="49"/>
      <c r="C108" s="49"/>
      <c r="D108" s="49"/>
      <c r="E108" s="111"/>
      <c r="F108" s="127">
        <f t="shared" ref="F108" si="491">$D$11</f>
        <v>2</v>
      </c>
      <c r="G108" s="445">
        <f ca="1">VLOOKUP(H108,Equipos!$Q$1:$R$25,2,0)</f>
        <v>17</v>
      </c>
      <c r="H108" s="446">
        <f ca="1">$H$68</f>
        <v>46200</v>
      </c>
      <c r="I108" s="50"/>
      <c r="J108" s="851" t="s">
        <v>437</v>
      </c>
      <c r="K108" s="56" t="str">
        <f>Idiomas!D178</f>
        <v>1º GRUPO H</v>
      </c>
      <c r="L108" s="53"/>
      <c r="M108" s="55" t="str">
        <f ca="1">IF(OR(SUM(WORLDCUP!$AN$62:$AN$65)=12,WORLDCUP!$AJ$99=144),WORLDCUP!AL62,LEFT(K108,1)&amp;RIGHT(K108,1))</f>
        <v>1H</v>
      </c>
      <c r="N108" s="25"/>
      <c r="O108" s="25"/>
      <c r="P108" s="25"/>
      <c r="Q108" s="25"/>
      <c r="R108" s="110"/>
      <c r="S108" s="74" t="s">
        <v>38</v>
      </c>
      <c r="T108" s="73">
        <f t="shared" ref="T108" ca="1" si="492">($M108=S108)*$D$11</f>
        <v>0</v>
      </c>
      <c r="U108" s="64"/>
      <c r="V108" s="74" t="s">
        <v>38</v>
      </c>
      <c r="W108" s="73">
        <f t="shared" ref="W108:CH108" ca="1" si="493">($M108=V108)*$D$11</f>
        <v>0</v>
      </c>
      <c r="X108" s="64"/>
      <c r="Y108" s="74" t="s">
        <v>38</v>
      </c>
      <c r="Z108" s="73">
        <f t="shared" ca="1" si="493"/>
        <v>0</v>
      </c>
      <c r="AA108" s="64"/>
      <c r="AB108" s="74" t="s">
        <v>38</v>
      </c>
      <c r="AC108" s="73">
        <f t="shared" ca="1" si="493"/>
        <v>0</v>
      </c>
      <c r="AD108" s="64"/>
      <c r="AE108" s="74" t="s">
        <v>38</v>
      </c>
      <c r="AF108" s="73">
        <f t="shared" ca="1" si="493"/>
        <v>0</v>
      </c>
      <c r="AG108" s="64"/>
      <c r="AH108" s="74" t="s">
        <v>38</v>
      </c>
      <c r="AI108" s="73">
        <f t="shared" ca="1" si="493"/>
        <v>0</v>
      </c>
      <c r="AJ108" s="64"/>
      <c r="AK108" s="74" t="s">
        <v>38</v>
      </c>
      <c r="AL108" s="73">
        <f t="shared" ca="1" si="493"/>
        <v>0</v>
      </c>
      <c r="AM108" s="64"/>
      <c r="AN108" s="74" t="s">
        <v>38</v>
      </c>
      <c r="AO108" s="73">
        <f t="shared" ca="1" si="493"/>
        <v>0</v>
      </c>
      <c r="AP108" s="64"/>
      <c r="AQ108" s="74" t="s">
        <v>38</v>
      </c>
      <c r="AR108" s="73">
        <f t="shared" ca="1" si="493"/>
        <v>0</v>
      </c>
      <c r="AS108" s="64"/>
      <c r="AT108" s="74" t="s">
        <v>38</v>
      </c>
      <c r="AU108" s="73">
        <f t="shared" ca="1" si="493"/>
        <v>0</v>
      </c>
      <c r="AV108" s="64"/>
      <c r="AW108" s="74" t="s">
        <v>38</v>
      </c>
      <c r="AX108" s="73">
        <f t="shared" ca="1" si="493"/>
        <v>0</v>
      </c>
      <c r="AY108" s="64"/>
      <c r="AZ108" s="74" t="s">
        <v>38</v>
      </c>
      <c r="BA108" s="73">
        <f t="shared" ca="1" si="493"/>
        <v>0</v>
      </c>
      <c r="BB108" s="64"/>
      <c r="BC108" s="74" t="s">
        <v>38</v>
      </c>
      <c r="BD108" s="73">
        <f t="shared" ca="1" si="493"/>
        <v>0</v>
      </c>
      <c r="BE108" s="64"/>
      <c r="BF108" s="74" t="s">
        <v>38</v>
      </c>
      <c r="BG108" s="73">
        <f t="shared" ca="1" si="493"/>
        <v>0</v>
      </c>
      <c r="BH108" s="64"/>
      <c r="BI108" s="74" t="s">
        <v>38</v>
      </c>
      <c r="BJ108" s="73">
        <f t="shared" ca="1" si="493"/>
        <v>0</v>
      </c>
      <c r="BK108" s="64"/>
      <c r="BL108" s="74" t="s">
        <v>38</v>
      </c>
      <c r="BM108" s="73">
        <f t="shared" ca="1" si="493"/>
        <v>0</v>
      </c>
      <c r="BN108" s="64"/>
      <c r="BO108" s="74" t="s">
        <v>38</v>
      </c>
      <c r="BP108" s="73">
        <f t="shared" ca="1" si="493"/>
        <v>0</v>
      </c>
      <c r="BQ108" s="64"/>
      <c r="BR108" s="74" t="s">
        <v>38</v>
      </c>
      <c r="BS108" s="73">
        <f t="shared" ca="1" si="493"/>
        <v>0</v>
      </c>
      <c r="BT108" s="64"/>
      <c r="BU108" s="74" t="s">
        <v>38</v>
      </c>
      <c r="BV108" s="73">
        <f t="shared" ca="1" si="493"/>
        <v>0</v>
      </c>
      <c r="BW108" s="64"/>
      <c r="BX108" s="74" t="s">
        <v>38</v>
      </c>
      <c r="BY108" s="73">
        <f t="shared" ca="1" si="493"/>
        <v>0</v>
      </c>
      <c r="BZ108" s="64"/>
      <c r="CA108" s="74" t="s">
        <v>38</v>
      </c>
      <c r="CB108" s="73">
        <f t="shared" ca="1" si="493"/>
        <v>0</v>
      </c>
      <c r="CC108" s="64"/>
      <c r="CD108" s="74" t="s">
        <v>38</v>
      </c>
      <c r="CE108" s="73">
        <f t="shared" ca="1" si="493"/>
        <v>0</v>
      </c>
      <c r="CF108" s="64"/>
      <c r="CG108" s="74" t="s">
        <v>38</v>
      </c>
      <c r="CH108" s="73">
        <f t="shared" ca="1" si="493"/>
        <v>0</v>
      </c>
      <c r="CI108" s="64"/>
      <c r="CJ108" s="74" t="s">
        <v>38</v>
      </c>
      <c r="CK108" s="73">
        <f t="shared" ref="CK108:EV108" ca="1" si="494">($M108=CJ108)*$D$11</f>
        <v>0</v>
      </c>
      <c r="CL108" s="64"/>
      <c r="CM108" s="74" t="s">
        <v>38</v>
      </c>
      <c r="CN108" s="73">
        <f t="shared" ca="1" si="494"/>
        <v>0</v>
      </c>
      <c r="CO108" s="64"/>
      <c r="CP108" s="74" t="s">
        <v>38</v>
      </c>
      <c r="CQ108" s="73">
        <f t="shared" ca="1" si="494"/>
        <v>0</v>
      </c>
      <c r="CR108" s="64"/>
      <c r="CS108" s="74" t="s">
        <v>38</v>
      </c>
      <c r="CT108" s="73">
        <f t="shared" ca="1" si="494"/>
        <v>0</v>
      </c>
      <c r="CU108" s="64"/>
      <c r="CV108" s="74" t="s">
        <v>38</v>
      </c>
      <c r="CW108" s="73">
        <f t="shared" ca="1" si="494"/>
        <v>0</v>
      </c>
      <c r="CX108" s="64"/>
      <c r="CY108" s="74" t="s">
        <v>38</v>
      </c>
      <c r="CZ108" s="73">
        <f t="shared" ca="1" si="494"/>
        <v>0</v>
      </c>
      <c r="DA108" s="64"/>
      <c r="DB108" s="74" t="s">
        <v>38</v>
      </c>
      <c r="DC108" s="73">
        <f t="shared" ca="1" si="494"/>
        <v>0</v>
      </c>
      <c r="DD108" s="64"/>
      <c r="DE108" s="74" t="s">
        <v>38</v>
      </c>
      <c r="DF108" s="73">
        <f t="shared" ca="1" si="494"/>
        <v>0</v>
      </c>
      <c r="DG108" s="64"/>
      <c r="DH108" s="74" t="s">
        <v>38</v>
      </c>
      <c r="DI108" s="73">
        <f t="shared" ca="1" si="494"/>
        <v>0</v>
      </c>
      <c r="DJ108" s="64"/>
      <c r="DK108" s="74" t="s">
        <v>38</v>
      </c>
      <c r="DL108" s="73">
        <f t="shared" ca="1" si="494"/>
        <v>0</v>
      </c>
      <c r="DM108" s="64"/>
      <c r="DN108" s="795" t="s">
        <v>38</v>
      </c>
      <c r="DO108" s="73">
        <f t="shared" ca="1" si="494"/>
        <v>0</v>
      </c>
      <c r="DP108" s="64"/>
      <c r="DQ108" s="795" t="s">
        <v>38</v>
      </c>
      <c r="DR108" s="73">
        <f t="shared" ca="1" si="494"/>
        <v>0</v>
      </c>
      <c r="DS108" s="64"/>
      <c r="DT108" s="74" t="s">
        <v>38</v>
      </c>
      <c r="DU108" s="73">
        <f t="shared" ca="1" si="494"/>
        <v>0</v>
      </c>
      <c r="DV108" s="64"/>
      <c r="DW108" s="74" t="s">
        <v>38</v>
      </c>
      <c r="DX108" s="73">
        <f t="shared" ca="1" si="494"/>
        <v>0</v>
      </c>
      <c r="DY108" s="64"/>
      <c r="DZ108" s="74" t="s">
        <v>38</v>
      </c>
      <c r="EA108" s="73">
        <f t="shared" ca="1" si="494"/>
        <v>0</v>
      </c>
      <c r="EB108" s="64"/>
      <c r="EC108" s="74" t="s">
        <v>38</v>
      </c>
      <c r="ED108" s="73">
        <f t="shared" ca="1" si="494"/>
        <v>0</v>
      </c>
      <c r="EE108" s="64"/>
      <c r="EF108" s="74" t="s">
        <v>38</v>
      </c>
      <c r="EG108" s="73">
        <f t="shared" ca="1" si="494"/>
        <v>0</v>
      </c>
      <c r="EH108" s="64"/>
      <c r="EI108" s="74" t="s">
        <v>38</v>
      </c>
      <c r="EJ108" s="73">
        <f t="shared" ca="1" si="494"/>
        <v>0</v>
      </c>
      <c r="EK108" s="64"/>
      <c r="EL108" s="74"/>
      <c r="EM108" s="73">
        <f t="shared" ca="1" si="494"/>
        <v>0</v>
      </c>
      <c r="EN108" s="64"/>
      <c r="EO108" s="74"/>
      <c r="EP108" s="73">
        <f t="shared" ca="1" si="494"/>
        <v>0</v>
      </c>
      <c r="EQ108" s="64"/>
      <c r="ER108" s="74"/>
      <c r="ES108" s="73">
        <f t="shared" ca="1" si="494"/>
        <v>0</v>
      </c>
      <c r="ET108" s="64"/>
      <c r="EU108" s="74"/>
      <c r="EV108" s="73">
        <f t="shared" ca="1" si="494"/>
        <v>0</v>
      </c>
      <c r="EW108" s="64"/>
      <c r="EX108" s="74"/>
      <c r="EY108" s="73">
        <f t="shared" ref="EY108:FK108" ca="1" si="495">($M108=EX108)*$D$11</f>
        <v>0</v>
      </c>
      <c r="EZ108" s="64"/>
      <c r="FA108" s="74"/>
      <c r="FB108" s="73">
        <f t="shared" ca="1" si="495"/>
        <v>0</v>
      </c>
      <c r="FC108" s="64"/>
      <c r="FD108" s="74"/>
      <c r="FE108" s="73">
        <f t="shared" ca="1" si="495"/>
        <v>0</v>
      </c>
      <c r="FF108" s="64"/>
      <c r="FG108" s="74"/>
      <c r="FH108" s="73">
        <f t="shared" ca="1" si="495"/>
        <v>0</v>
      </c>
      <c r="FI108" s="64"/>
      <c r="FJ108" s="74"/>
      <c r="FK108" s="73">
        <f t="shared" ca="1" si="495"/>
        <v>0</v>
      </c>
      <c r="FL108" s="64"/>
      <c r="FM108" s="64"/>
    </row>
    <row r="109" spans="1:169">
      <c r="A109" s="49"/>
      <c r="B109" s="49"/>
      <c r="C109" s="49"/>
      <c r="D109" s="49"/>
      <c r="E109" s="111"/>
      <c r="F109" s="127">
        <f t="shared" ref="F109" si="496">$D$12</f>
        <v>2</v>
      </c>
      <c r="G109" s="445">
        <f ca="1">VLOOKUP(H109,Equipos!$Q$1:$R$25,2,0)</f>
        <v>17</v>
      </c>
      <c r="H109" s="446">
        <f ca="1">$H$68</f>
        <v>46200</v>
      </c>
      <c r="I109" s="50"/>
      <c r="J109" s="851"/>
      <c r="K109" s="56" t="str">
        <f>Idiomas!D179</f>
        <v>2º GRUPO H</v>
      </c>
      <c r="L109" s="53"/>
      <c r="M109" s="55" t="str">
        <f ca="1">IF(OR(SUM(WORLDCUP!$AN$62:$AN$65)=12,WORLDCUP!$AJ$99=144),WORLDCUP!AL63,LEFT(K109,1)&amp;RIGHT(K109,1))</f>
        <v>2H</v>
      </c>
      <c r="N109" s="25"/>
      <c r="O109" s="25"/>
      <c r="P109" s="25"/>
      <c r="Q109" s="25"/>
      <c r="R109" s="110"/>
      <c r="S109" s="74" t="s">
        <v>1318</v>
      </c>
      <c r="T109" s="73">
        <f t="shared" ref="T109" ca="1" si="497">($M109=S109)*$D$12</f>
        <v>0</v>
      </c>
      <c r="U109" s="64"/>
      <c r="V109" s="74" t="s">
        <v>1318</v>
      </c>
      <c r="W109" s="73">
        <f t="shared" ref="W109:CH109" ca="1" si="498">($M109=V109)*$D$12</f>
        <v>0</v>
      </c>
      <c r="X109" s="64"/>
      <c r="Y109" s="74" t="s">
        <v>1318</v>
      </c>
      <c r="Z109" s="73">
        <f t="shared" ca="1" si="498"/>
        <v>0</v>
      </c>
      <c r="AA109" s="64"/>
      <c r="AB109" s="74" t="s">
        <v>1318</v>
      </c>
      <c r="AC109" s="73">
        <f t="shared" ca="1" si="498"/>
        <v>0</v>
      </c>
      <c r="AD109" s="64"/>
      <c r="AE109" s="74" t="s">
        <v>1318</v>
      </c>
      <c r="AF109" s="73">
        <f t="shared" ca="1" si="498"/>
        <v>0</v>
      </c>
      <c r="AG109" s="64"/>
      <c r="AH109" s="74" t="s">
        <v>1318</v>
      </c>
      <c r="AI109" s="73">
        <f t="shared" ca="1" si="498"/>
        <v>0</v>
      </c>
      <c r="AJ109" s="64"/>
      <c r="AK109" s="74" t="s">
        <v>1318</v>
      </c>
      <c r="AL109" s="73">
        <f t="shared" ca="1" si="498"/>
        <v>0</v>
      </c>
      <c r="AM109" s="64"/>
      <c r="AN109" s="74" t="s">
        <v>1318</v>
      </c>
      <c r="AO109" s="73">
        <f t="shared" ca="1" si="498"/>
        <v>0</v>
      </c>
      <c r="AP109" s="64"/>
      <c r="AQ109" s="74" t="s">
        <v>1318</v>
      </c>
      <c r="AR109" s="73">
        <f t="shared" ca="1" si="498"/>
        <v>0</v>
      </c>
      <c r="AS109" s="64"/>
      <c r="AT109" s="74" t="s">
        <v>1318</v>
      </c>
      <c r="AU109" s="73">
        <f t="shared" ca="1" si="498"/>
        <v>0</v>
      </c>
      <c r="AV109" s="64"/>
      <c r="AW109" s="74" t="s">
        <v>1318</v>
      </c>
      <c r="AX109" s="73">
        <f t="shared" ca="1" si="498"/>
        <v>0</v>
      </c>
      <c r="AY109" s="64"/>
      <c r="AZ109" s="74" t="s">
        <v>1318</v>
      </c>
      <c r="BA109" s="73">
        <f t="shared" ca="1" si="498"/>
        <v>0</v>
      </c>
      <c r="BB109" s="64"/>
      <c r="BC109" s="74" t="s">
        <v>1318</v>
      </c>
      <c r="BD109" s="73">
        <f t="shared" ca="1" si="498"/>
        <v>0</v>
      </c>
      <c r="BE109" s="64"/>
      <c r="BF109" s="74" t="s">
        <v>1318</v>
      </c>
      <c r="BG109" s="73">
        <f t="shared" ca="1" si="498"/>
        <v>0</v>
      </c>
      <c r="BH109" s="64"/>
      <c r="BI109" s="74" t="s">
        <v>1318</v>
      </c>
      <c r="BJ109" s="73">
        <f t="shared" ca="1" si="498"/>
        <v>0</v>
      </c>
      <c r="BK109" s="64"/>
      <c r="BL109" s="74" t="s">
        <v>1318</v>
      </c>
      <c r="BM109" s="73">
        <f t="shared" ca="1" si="498"/>
        <v>0</v>
      </c>
      <c r="BN109" s="64"/>
      <c r="BO109" s="74" t="s">
        <v>1318</v>
      </c>
      <c r="BP109" s="73">
        <f t="shared" ca="1" si="498"/>
        <v>0</v>
      </c>
      <c r="BQ109" s="64"/>
      <c r="BR109" s="74" t="s">
        <v>1318</v>
      </c>
      <c r="BS109" s="73">
        <f t="shared" ca="1" si="498"/>
        <v>0</v>
      </c>
      <c r="BT109" s="64"/>
      <c r="BU109" s="74" t="s">
        <v>1318</v>
      </c>
      <c r="BV109" s="73">
        <f t="shared" ca="1" si="498"/>
        <v>0</v>
      </c>
      <c r="BW109" s="64"/>
      <c r="BX109" s="74" t="s">
        <v>1318</v>
      </c>
      <c r="BY109" s="73">
        <f t="shared" ca="1" si="498"/>
        <v>0</v>
      </c>
      <c r="BZ109" s="64"/>
      <c r="CA109" s="74" t="s">
        <v>1318</v>
      </c>
      <c r="CB109" s="73">
        <f t="shared" ca="1" si="498"/>
        <v>0</v>
      </c>
      <c r="CC109" s="64"/>
      <c r="CD109" s="74" t="s">
        <v>1318</v>
      </c>
      <c r="CE109" s="73">
        <f t="shared" ca="1" si="498"/>
        <v>0</v>
      </c>
      <c r="CF109" s="64"/>
      <c r="CG109" s="74" t="s">
        <v>1318</v>
      </c>
      <c r="CH109" s="73">
        <f t="shared" ca="1" si="498"/>
        <v>0</v>
      </c>
      <c r="CI109" s="64"/>
      <c r="CJ109" s="74" t="s">
        <v>1318</v>
      </c>
      <c r="CK109" s="73">
        <f t="shared" ref="CK109:EV109" ca="1" si="499">($M109=CJ109)*$D$12</f>
        <v>0</v>
      </c>
      <c r="CL109" s="64"/>
      <c r="CM109" s="74" t="s">
        <v>1318</v>
      </c>
      <c r="CN109" s="73">
        <f t="shared" ca="1" si="499"/>
        <v>0</v>
      </c>
      <c r="CO109" s="64"/>
      <c r="CP109" s="74" t="s">
        <v>1318</v>
      </c>
      <c r="CQ109" s="73">
        <f t="shared" ca="1" si="499"/>
        <v>0</v>
      </c>
      <c r="CR109" s="64"/>
      <c r="CS109" s="74" t="s">
        <v>1318</v>
      </c>
      <c r="CT109" s="73">
        <f t="shared" ca="1" si="499"/>
        <v>0</v>
      </c>
      <c r="CU109" s="64"/>
      <c r="CV109" s="74" t="s">
        <v>1318</v>
      </c>
      <c r="CW109" s="73">
        <f t="shared" ca="1" si="499"/>
        <v>0</v>
      </c>
      <c r="CX109" s="64"/>
      <c r="CY109" s="74" t="s">
        <v>1632</v>
      </c>
      <c r="CZ109" s="73">
        <f t="shared" ca="1" si="499"/>
        <v>0</v>
      </c>
      <c r="DA109" s="64"/>
      <c r="DB109" s="74" t="s">
        <v>1318</v>
      </c>
      <c r="DC109" s="73">
        <f t="shared" ca="1" si="499"/>
        <v>0</v>
      </c>
      <c r="DD109" s="64"/>
      <c r="DE109" s="74" t="s">
        <v>1318</v>
      </c>
      <c r="DF109" s="73">
        <f t="shared" ca="1" si="499"/>
        <v>0</v>
      </c>
      <c r="DG109" s="64"/>
      <c r="DH109" s="74" t="s">
        <v>1318</v>
      </c>
      <c r="DI109" s="73">
        <f t="shared" ca="1" si="499"/>
        <v>0</v>
      </c>
      <c r="DJ109" s="64"/>
      <c r="DK109" s="74" t="s">
        <v>1318</v>
      </c>
      <c r="DL109" s="73">
        <f t="shared" ca="1" si="499"/>
        <v>0</v>
      </c>
      <c r="DM109" s="64"/>
      <c r="DN109" s="795" t="s">
        <v>1318</v>
      </c>
      <c r="DO109" s="73">
        <f t="shared" ca="1" si="499"/>
        <v>0</v>
      </c>
      <c r="DP109" s="64"/>
      <c r="DQ109" s="795" t="s">
        <v>1632</v>
      </c>
      <c r="DR109" s="73">
        <f t="shared" ca="1" si="499"/>
        <v>0</v>
      </c>
      <c r="DS109" s="64"/>
      <c r="DT109" s="74" t="s">
        <v>1318</v>
      </c>
      <c r="DU109" s="73">
        <f t="shared" ca="1" si="499"/>
        <v>0</v>
      </c>
      <c r="DV109" s="64"/>
      <c r="DW109" s="74" t="s">
        <v>1318</v>
      </c>
      <c r="DX109" s="73">
        <f t="shared" ca="1" si="499"/>
        <v>0</v>
      </c>
      <c r="DY109" s="64"/>
      <c r="DZ109" s="74" t="s">
        <v>1318</v>
      </c>
      <c r="EA109" s="73">
        <f t="shared" ca="1" si="499"/>
        <v>0</v>
      </c>
      <c r="EB109" s="64"/>
      <c r="EC109" s="74" t="s">
        <v>1318</v>
      </c>
      <c r="ED109" s="73">
        <f t="shared" ca="1" si="499"/>
        <v>0</v>
      </c>
      <c r="EE109" s="64"/>
      <c r="EF109" s="74" t="s">
        <v>1318</v>
      </c>
      <c r="EG109" s="73">
        <f t="shared" ca="1" si="499"/>
        <v>0</v>
      </c>
      <c r="EH109" s="64"/>
      <c r="EI109" s="74" t="s">
        <v>1318</v>
      </c>
      <c r="EJ109" s="73">
        <f t="shared" ca="1" si="499"/>
        <v>0</v>
      </c>
      <c r="EK109" s="64"/>
      <c r="EL109" s="74"/>
      <c r="EM109" s="73">
        <f t="shared" ca="1" si="499"/>
        <v>0</v>
      </c>
      <c r="EN109" s="64"/>
      <c r="EO109" s="74"/>
      <c r="EP109" s="73">
        <f t="shared" ca="1" si="499"/>
        <v>0</v>
      </c>
      <c r="EQ109" s="64"/>
      <c r="ER109" s="74"/>
      <c r="ES109" s="73">
        <f t="shared" ca="1" si="499"/>
        <v>0</v>
      </c>
      <c r="ET109" s="64"/>
      <c r="EU109" s="74"/>
      <c r="EV109" s="73">
        <f t="shared" ca="1" si="499"/>
        <v>0</v>
      </c>
      <c r="EW109" s="64"/>
      <c r="EX109" s="74"/>
      <c r="EY109" s="73">
        <f t="shared" ref="EY109:FK109" ca="1" si="500">($M109=EX109)*$D$12</f>
        <v>0</v>
      </c>
      <c r="EZ109" s="64"/>
      <c r="FA109" s="74"/>
      <c r="FB109" s="73">
        <f t="shared" ca="1" si="500"/>
        <v>0</v>
      </c>
      <c r="FC109" s="64"/>
      <c r="FD109" s="74"/>
      <c r="FE109" s="73">
        <f t="shared" ca="1" si="500"/>
        <v>0</v>
      </c>
      <c r="FF109" s="64"/>
      <c r="FG109" s="74"/>
      <c r="FH109" s="73">
        <f t="shared" ca="1" si="500"/>
        <v>0</v>
      </c>
      <c r="FI109" s="64"/>
      <c r="FJ109" s="74"/>
      <c r="FK109" s="73">
        <f t="shared" ca="1" si="500"/>
        <v>0</v>
      </c>
      <c r="FL109" s="64"/>
      <c r="FM109" s="64"/>
    </row>
    <row r="110" spans="1:169">
      <c r="A110" s="49"/>
      <c r="B110" s="49"/>
      <c r="C110" s="49"/>
      <c r="D110" s="49"/>
      <c r="E110" s="111"/>
      <c r="F110" s="127">
        <f t="shared" ref="F110" si="501">$D$13</f>
        <v>2</v>
      </c>
      <c r="G110" s="445">
        <f ca="1">VLOOKUP(H110,Equipos!$Q$1:$R$25,2,0)</f>
        <v>17</v>
      </c>
      <c r="H110" s="446">
        <f ca="1">$H$68</f>
        <v>46200</v>
      </c>
      <c r="I110" s="50"/>
      <c r="J110" s="851"/>
      <c r="K110" s="56" t="str">
        <f>Idiomas!D180</f>
        <v>3º GRUPO H</v>
      </c>
      <c r="L110" s="53"/>
      <c r="M110" s="55" t="str">
        <f ca="1">IF(OR(SUM(WORLDCUP!$AN$62:$AN$65)=12,WORLDCUP!$AJ$99=144),WORLDCUP!AL64,LEFT(K110,1)&amp;RIGHT(K110,1))</f>
        <v>3H</v>
      </c>
      <c r="N110" s="25"/>
      <c r="O110" s="25"/>
      <c r="P110" s="25"/>
      <c r="Q110" s="25"/>
      <c r="R110" s="110"/>
      <c r="S110" s="74" t="s">
        <v>1632</v>
      </c>
      <c r="T110" s="73">
        <f t="shared" ref="T110" ca="1" si="502">($M110=S110)*$D$13</f>
        <v>0</v>
      </c>
      <c r="U110" s="64"/>
      <c r="V110" s="74" t="s">
        <v>1632</v>
      </c>
      <c r="W110" s="73">
        <f t="shared" ref="W110:CH110" ca="1" si="503">($M110=V110)*$D$13</f>
        <v>0</v>
      </c>
      <c r="X110" s="64"/>
      <c r="Y110" s="74" t="s">
        <v>1632</v>
      </c>
      <c r="Z110" s="73">
        <f t="shared" ca="1" si="503"/>
        <v>0</v>
      </c>
      <c r="AA110" s="64"/>
      <c r="AB110" s="74" t="s">
        <v>1632</v>
      </c>
      <c r="AC110" s="73">
        <f t="shared" ca="1" si="503"/>
        <v>0</v>
      </c>
      <c r="AD110" s="64"/>
      <c r="AE110" s="74" t="s">
        <v>1632</v>
      </c>
      <c r="AF110" s="73">
        <f t="shared" ca="1" si="503"/>
        <v>0</v>
      </c>
      <c r="AG110" s="64"/>
      <c r="AH110" s="74" t="s">
        <v>1632</v>
      </c>
      <c r="AI110" s="73">
        <f t="shared" ca="1" si="503"/>
        <v>0</v>
      </c>
      <c r="AJ110" s="64"/>
      <c r="AK110" s="74" t="s">
        <v>1632</v>
      </c>
      <c r="AL110" s="73">
        <f t="shared" ca="1" si="503"/>
        <v>0</v>
      </c>
      <c r="AM110" s="64"/>
      <c r="AN110" s="74" t="s">
        <v>1632</v>
      </c>
      <c r="AO110" s="73">
        <f t="shared" ca="1" si="503"/>
        <v>0</v>
      </c>
      <c r="AP110" s="64"/>
      <c r="AQ110" s="74" t="s">
        <v>1632</v>
      </c>
      <c r="AR110" s="73">
        <f t="shared" ca="1" si="503"/>
        <v>0</v>
      </c>
      <c r="AS110" s="64"/>
      <c r="AT110" s="74" t="s">
        <v>1632</v>
      </c>
      <c r="AU110" s="73">
        <f t="shared" ca="1" si="503"/>
        <v>0</v>
      </c>
      <c r="AV110" s="64"/>
      <c r="AW110" s="74" t="s">
        <v>1632</v>
      </c>
      <c r="AX110" s="73">
        <f t="shared" ca="1" si="503"/>
        <v>0</v>
      </c>
      <c r="AY110" s="64"/>
      <c r="AZ110" s="74" t="s">
        <v>1632</v>
      </c>
      <c r="BA110" s="73">
        <f t="shared" ca="1" si="503"/>
        <v>0</v>
      </c>
      <c r="BB110" s="64"/>
      <c r="BC110" s="74" t="s">
        <v>1552</v>
      </c>
      <c r="BD110" s="73">
        <f t="shared" ca="1" si="503"/>
        <v>0</v>
      </c>
      <c r="BE110" s="64"/>
      <c r="BF110" s="74" t="s">
        <v>1632</v>
      </c>
      <c r="BG110" s="73">
        <f t="shared" ca="1" si="503"/>
        <v>0</v>
      </c>
      <c r="BH110" s="64"/>
      <c r="BI110" s="74" t="s">
        <v>1632</v>
      </c>
      <c r="BJ110" s="73">
        <f t="shared" ca="1" si="503"/>
        <v>0</v>
      </c>
      <c r="BK110" s="64"/>
      <c r="BL110" s="74" t="s">
        <v>1552</v>
      </c>
      <c r="BM110" s="73">
        <f t="shared" ca="1" si="503"/>
        <v>0</v>
      </c>
      <c r="BN110" s="64"/>
      <c r="BO110" s="74" t="s">
        <v>1632</v>
      </c>
      <c r="BP110" s="73">
        <f t="shared" ca="1" si="503"/>
        <v>0</v>
      </c>
      <c r="BQ110" s="64"/>
      <c r="BR110" s="74" t="s">
        <v>1632</v>
      </c>
      <c r="BS110" s="73">
        <f t="shared" ca="1" si="503"/>
        <v>0</v>
      </c>
      <c r="BT110" s="64"/>
      <c r="BU110" s="74" t="s">
        <v>1632</v>
      </c>
      <c r="BV110" s="73">
        <f t="shared" ca="1" si="503"/>
        <v>0</v>
      </c>
      <c r="BW110" s="64"/>
      <c r="BX110" s="74" t="s">
        <v>1632</v>
      </c>
      <c r="BY110" s="73">
        <f t="shared" ca="1" si="503"/>
        <v>0</v>
      </c>
      <c r="BZ110" s="64"/>
      <c r="CA110" s="74" t="s">
        <v>1632</v>
      </c>
      <c r="CB110" s="73">
        <f t="shared" ca="1" si="503"/>
        <v>0</v>
      </c>
      <c r="CC110" s="64"/>
      <c r="CD110" s="74" t="s">
        <v>1632</v>
      </c>
      <c r="CE110" s="73">
        <f t="shared" ca="1" si="503"/>
        <v>0</v>
      </c>
      <c r="CF110" s="64"/>
      <c r="CG110" s="74" t="s">
        <v>1632</v>
      </c>
      <c r="CH110" s="73">
        <f t="shared" ca="1" si="503"/>
        <v>0</v>
      </c>
      <c r="CI110" s="64"/>
      <c r="CJ110" s="74" t="s">
        <v>1632</v>
      </c>
      <c r="CK110" s="73">
        <f t="shared" ref="CK110:EV110" ca="1" si="504">($M110=CJ110)*$D$13</f>
        <v>0</v>
      </c>
      <c r="CL110" s="64"/>
      <c r="CM110" s="74" t="s">
        <v>1632</v>
      </c>
      <c r="CN110" s="73">
        <f t="shared" ca="1" si="504"/>
        <v>0</v>
      </c>
      <c r="CO110" s="64"/>
      <c r="CP110" s="74" t="s">
        <v>1552</v>
      </c>
      <c r="CQ110" s="73">
        <f t="shared" ca="1" si="504"/>
        <v>0</v>
      </c>
      <c r="CR110" s="64"/>
      <c r="CS110" s="74" t="s">
        <v>1632</v>
      </c>
      <c r="CT110" s="73">
        <f t="shared" ca="1" si="504"/>
        <v>0</v>
      </c>
      <c r="CU110" s="64"/>
      <c r="CV110" s="74" t="s">
        <v>1632</v>
      </c>
      <c r="CW110" s="73">
        <f t="shared" ca="1" si="504"/>
        <v>0</v>
      </c>
      <c r="CX110" s="64"/>
      <c r="CY110" s="74" t="s">
        <v>1318</v>
      </c>
      <c r="CZ110" s="73">
        <f t="shared" ca="1" si="504"/>
        <v>0</v>
      </c>
      <c r="DA110" s="64"/>
      <c r="DB110" s="74" t="s">
        <v>1632</v>
      </c>
      <c r="DC110" s="73">
        <f t="shared" ca="1" si="504"/>
        <v>0</v>
      </c>
      <c r="DD110" s="64"/>
      <c r="DE110" s="74" t="s">
        <v>1632</v>
      </c>
      <c r="DF110" s="73">
        <f t="shared" ca="1" si="504"/>
        <v>0</v>
      </c>
      <c r="DG110" s="64"/>
      <c r="DH110" s="74" t="s">
        <v>1632</v>
      </c>
      <c r="DI110" s="73">
        <f t="shared" ca="1" si="504"/>
        <v>0</v>
      </c>
      <c r="DJ110" s="64"/>
      <c r="DK110" s="74" t="s">
        <v>1632</v>
      </c>
      <c r="DL110" s="73">
        <f t="shared" ca="1" si="504"/>
        <v>0</v>
      </c>
      <c r="DM110" s="64"/>
      <c r="DN110" s="795" t="s">
        <v>1632</v>
      </c>
      <c r="DO110" s="73">
        <f t="shared" ca="1" si="504"/>
        <v>0</v>
      </c>
      <c r="DP110" s="64"/>
      <c r="DQ110" s="795" t="s">
        <v>1318</v>
      </c>
      <c r="DR110" s="73">
        <f t="shared" ca="1" si="504"/>
        <v>0</v>
      </c>
      <c r="DS110" s="64"/>
      <c r="DT110" s="74" t="s">
        <v>1632</v>
      </c>
      <c r="DU110" s="73">
        <f t="shared" ca="1" si="504"/>
        <v>0</v>
      </c>
      <c r="DV110" s="64"/>
      <c r="DW110" s="74" t="s">
        <v>1632</v>
      </c>
      <c r="DX110" s="73">
        <f t="shared" ca="1" si="504"/>
        <v>0</v>
      </c>
      <c r="DY110" s="64"/>
      <c r="DZ110" s="74" t="s">
        <v>1632</v>
      </c>
      <c r="EA110" s="73">
        <f t="shared" ca="1" si="504"/>
        <v>0</v>
      </c>
      <c r="EB110" s="64"/>
      <c r="EC110" s="74" t="s">
        <v>1632</v>
      </c>
      <c r="ED110" s="73">
        <f t="shared" ca="1" si="504"/>
        <v>0</v>
      </c>
      <c r="EE110" s="64"/>
      <c r="EF110" s="74" t="s">
        <v>1632</v>
      </c>
      <c r="EG110" s="73">
        <f t="shared" ca="1" si="504"/>
        <v>0</v>
      </c>
      <c r="EH110" s="64"/>
      <c r="EI110" s="74" t="s">
        <v>1632</v>
      </c>
      <c r="EJ110" s="73">
        <f t="shared" ca="1" si="504"/>
        <v>0</v>
      </c>
      <c r="EK110" s="64"/>
      <c r="EL110" s="74"/>
      <c r="EM110" s="73">
        <f t="shared" ca="1" si="504"/>
        <v>0</v>
      </c>
      <c r="EN110" s="64"/>
      <c r="EO110" s="74"/>
      <c r="EP110" s="73">
        <f t="shared" ca="1" si="504"/>
        <v>0</v>
      </c>
      <c r="EQ110" s="64"/>
      <c r="ER110" s="74"/>
      <c r="ES110" s="73">
        <f t="shared" ca="1" si="504"/>
        <v>0</v>
      </c>
      <c r="ET110" s="64"/>
      <c r="EU110" s="74"/>
      <c r="EV110" s="73">
        <f t="shared" ca="1" si="504"/>
        <v>0</v>
      </c>
      <c r="EW110" s="64"/>
      <c r="EX110" s="74"/>
      <c r="EY110" s="73">
        <f t="shared" ref="EY110:FK110" ca="1" si="505">($M110=EX110)*$D$13</f>
        <v>0</v>
      </c>
      <c r="EZ110" s="64"/>
      <c r="FA110" s="74"/>
      <c r="FB110" s="73">
        <f t="shared" ca="1" si="505"/>
        <v>0</v>
      </c>
      <c r="FC110" s="64"/>
      <c r="FD110" s="74"/>
      <c r="FE110" s="73">
        <f t="shared" ca="1" si="505"/>
        <v>0</v>
      </c>
      <c r="FF110" s="64"/>
      <c r="FG110" s="74"/>
      <c r="FH110" s="73">
        <f t="shared" ca="1" si="505"/>
        <v>0</v>
      </c>
      <c r="FI110" s="64"/>
      <c r="FJ110" s="74"/>
      <c r="FK110" s="73">
        <f t="shared" ca="1" si="505"/>
        <v>0</v>
      </c>
      <c r="FL110" s="64"/>
      <c r="FM110" s="64"/>
    </row>
    <row r="111" spans="1:169">
      <c r="A111" s="49"/>
      <c r="B111" s="49"/>
      <c r="C111" s="49"/>
      <c r="D111" s="49"/>
      <c r="E111" s="65"/>
      <c r="F111" s="127">
        <f t="shared" ref="F111" si="506">$D$14</f>
        <v>2</v>
      </c>
      <c r="G111" s="445">
        <f ca="1">VLOOKUP(H111,Equipos!$Q$1:$R$25,2,0)</f>
        <v>17</v>
      </c>
      <c r="H111" s="446">
        <f ca="1">$H$68</f>
        <v>46200</v>
      </c>
      <c r="I111" s="50"/>
      <c r="J111" s="851"/>
      <c r="K111" s="56" t="str">
        <f>Idiomas!D181</f>
        <v>4º GRUPO H</v>
      </c>
      <c r="L111" s="53"/>
      <c r="M111" s="55" t="str">
        <f ca="1">IF(OR(SUM(WORLDCUP!$AN$62:$AN$65)=12,WORLDCUP!$AJ$99=144),WORLDCUP!AL65,LEFT(K111,1)&amp;RIGHT(K111,1))</f>
        <v>4H</v>
      </c>
      <c r="N111" s="25"/>
      <c r="O111" s="25"/>
      <c r="P111" s="25"/>
      <c r="Q111" s="25"/>
      <c r="R111" s="110"/>
      <c r="S111" s="74" t="s">
        <v>1552</v>
      </c>
      <c r="T111" s="73">
        <f t="shared" ref="T111" ca="1" si="507">($M111=S111)*$D$14</f>
        <v>0</v>
      </c>
      <c r="U111" s="64"/>
      <c r="V111" s="74" t="s">
        <v>1552</v>
      </c>
      <c r="W111" s="73">
        <f t="shared" ref="W111:CH111" ca="1" si="508">($M111=V111)*$D$14</f>
        <v>0</v>
      </c>
      <c r="X111" s="64"/>
      <c r="Y111" s="74" t="s">
        <v>1552</v>
      </c>
      <c r="Z111" s="73">
        <f t="shared" ca="1" si="508"/>
        <v>0</v>
      </c>
      <c r="AA111" s="64"/>
      <c r="AB111" s="74" t="s">
        <v>1552</v>
      </c>
      <c r="AC111" s="73">
        <f t="shared" ca="1" si="508"/>
        <v>0</v>
      </c>
      <c r="AD111" s="64"/>
      <c r="AE111" s="74" t="s">
        <v>1552</v>
      </c>
      <c r="AF111" s="73">
        <f t="shared" ca="1" si="508"/>
        <v>0</v>
      </c>
      <c r="AG111" s="64"/>
      <c r="AH111" s="74" t="s">
        <v>1552</v>
      </c>
      <c r="AI111" s="73">
        <f t="shared" ca="1" si="508"/>
        <v>0</v>
      </c>
      <c r="AJ111" s="64"/>
      <c r="AK111" s="74" t="s">
        <v>1552</v>
      </c>
      <c r="AL111" s="73">
        <f t="shared" ca="1" si="508"/>
        <v>0</v>
      </c>
      <c r="AM111" s="64"/>
      <c r="AN111" s="74" t="s">
        <v>1552</v>
      </c>
      <c r="AO111" s="73">
        <f t="shared" ca="1" si="508"/>
        <v>0</v>
      </c>
      <c r="AP111" s="64"/>
      <c r="AQ111" s="74" t="s">
        <v>1552</v>
      </c>
      <c r="AR111" s="73">
        <f t="shared" ca="1" si="508"/>
        <v>0</v>
      </c>
      <c r="AS111" s="64"/>
      <c r="AT111" s="74" t="s">
        <v>1552</v>
      </c>
      <c r="AU111" s="73">
        <f t="shared" ca="1" si="508"/>
        <v>0</v>
      </c>
      <c r="AV111" s="64"/>
      <c r="AW111" s="74" t="s">
        <v>1552</v>
      </c>
      <c r="AX111" s="73">
        <f t="shared" ca="1" si="508"/>
        <v>0</v>
      </c>
      <c r="AY111" s="64"/>
      <c r="AZ111" s="74" t="s">
        <v>1552</v>
      </c>
      <c r="BA111" s="73">
        <f t="shared" ca="1" si="508"/>
        <v>0</v>
      </c>
      <c r="BB111" s="64"/>
      <c r="BC111" s="74" t="s">
        <v>1632</v>
      </c>
      <c r="BD111" s="73">
        <f t="shared" ca="1" si="508"/>
        <v>0</v>
      </c>
      <c r="BE111" s="64"/>
      <c r="BF111" s="74" t="s">
        <v>1552</v>
      </c>
      <c r="BG111" s="73">
        <f t="shared" ca="1" si="508"/>
        <v>0</v>
      </c>
      <c r="BH111" s="64"/>
      <c r="BI111" s="74" t="s">
        <v>1552</v>
      </c>
      <c r="BJ111" s="73">
        <f t="shared" ca="1" si="508"/>
        <v>0</v>
      </c>
      <c r="BK111" s="64"/>
      <c r="BL111" s="74" t="s">
        <v>1632</v>
      </c>
      <c r="BM111" s="73">
        <f t="shared" ca="1" si="508"/>
        <v>0</v>
      </c>
      <c r="BN111" s="64"/>
      <c r="BO111" s="74" t="s">
        <v>1552</v>
      </c>
      <c r="BP111" s="73">
        <f t="shared" ca="1" si="508"/>
        <v>0</v>
      </c>
      <c r="BQ111" s="64"/>
      <c r="BR111" s="74" t="s">
        <v>1552</v>
      </c>
      <c r="BS111" s="73">
        <f t="shared" ca="1" si="508"/>
        <v>0</v>
      </c>
      <c r="BT111" s="64"/>
      <c r="BU111" s="74" t="s">
        <v>1552</v>
      </c>
      <c r="BV111" s="73">
        <f t="shared" ca="1" si="508"/>
        <v>0</v>
      </c>
      <c r="BW111" s="64"/>
      <c r="BX111" s="74" t="s">
        <v>1552</v>
      </c>
      <c r="BY111" s="73">
        <f t="shared" ca="1" si="508"/>
        <v>0</v>
      </c>
      <c r="BZ111" s="64"/>
      <c r="CA111" s="74" t="s">
        <v>1552</v>
      </c>
      <c r="CB111" s="73">
        <f t="shared" ca="1" si="508"/>
        <v>0</v>
      </c>
      <c r="CC111" s="64"/>
      <c r="CD111" s="74" t="s">
        <v>1552</v>
      </c>
      <c r="CE111" s="73">
        <f t="shared" ca="1" si="508"/>
        <v>0</v>
      </c>
      <c r="CF111" s="64"/>
      <c r="CG111" s="74" t="s">
        <v>1552</v>
      </c>
      <c r="CH111" s="73">
        <f t="shared" ca="1" si="508"/>
        <v>0</v>
      </c>
      <c r="CI111" s="64"/>
      <c r="CJ111" s="74" t="s">
        <v>1552</v>
      </c>
      <c r="CK111" s="73">
        <f t="shared" ref="CK111:EV111" ca="1" si="509">($M111=CJ111)*$D$14</f>
        <v>0</v>
      </c>
      <c r="CL111" s="64"/>
      <c r="CM111" s="74" t="s">
        <v>1552</v>
      </c>
      <c r="CN111" s="73">
        <f t="shared" ca="1" si="509"/>
        <v>0</v>
      </c>
      <c r="CO111" s="64"/>
      <c r="CP111" s="74" t="s">
        <v>1632</v>
      </c>
      <c r="CQ111" s="73">
        <f t="shared" ca="1" si="509"/>
        <v>0</v>
      </c>
      <c r="CR111" s="64"/>
      <c r="CS111" s="74" t="s">
        <v>1552</v>
      </c>
      <c r="CT111" s="73">
        <f t="shared" ca="1" si="509"/>
        <v>0</v>
      </c>
      <c r="CU111" s="64"/>
      <c r="CV111" s="74" t="s">
        <v>1552</v>
      </c>
      <c r="CW111" s="73">
        <f t="shared" ca="1" si="509"/>
        <v>0</v>
      </c>
      <c r="CX111" s="64"/>
      <c r="CY111" s="74" t="s">
        <v>1552</v>
      </c>
      <c r="CZ111" s="73">
        <f t="shared" ca="1" si="509"/>
        <v>0</v>
      </c>
      <c r="DA111" s="64"/>
      <c r="DB111" s="74" t="s">
        <v>1552</v>
      </c>
      <c r="DC111" s="73">
        <f t="shared" ca="1" si="509"/>
        <v>0</v>
      </c>
      <c r="DD111" s="64"/>
      <c r="DE111" s="74" t="s">
        <v>1552</v>
      </c>
      <c r="DF111" s="73">
        <f t="shared" ca="1" si="509"/>
        <v>0</v>
      </c>
      <c r="DG111" s="64"/>
      <c r="DH111" s="74" t="s">
        <v>1552</v>
      </c>
      <c r="DI111" s="73">
        <f t="shared" ca="1" si="509"/>
        <v>0</v>
      </c>
      <c r="DJ111" s="64"/>
      <c r="DK111" s="74" t="s">
        <v>1552</v>
      </c>
      <c r="DL111" s="73">
        <f t="shared" ca="1" si="509"/>
        <v>0</v>
      </c>
      <c r="DM111" s="64"/>
      <c r="DN111" s="795" t="s">
        <v>1552</v>
      </c>
      <c r="DO111" s="73">
        <f t="shared" ca="1" si="509"/>
        <v>0</v>
      </c>
      <c r="DP111" s="64"/>
      <c r="DQ111" s="795" t="s">
        <v>1552</v>
      </c>
      <c r="DR111" s="73">
        <f t="shared" ca="1" si="509"/>
        <v>0</v>
      </c>
      <c r="DS111" s="64"/>
      <c r="DT111" s="74" t="s">
        <v>1552</v>
      </c>
      <c r="DU111" s="73">
        <f t="shared" ca="1" si="509"/>
        <v>0</v>
      </c>
      <c r="DV111" s="64"/>
      <c r="DW111" s="74" t="s">
        <v>1552</v>
      </c>
      <c r="DX111" s="73">
        <f t="shared" ca="1" si="509"/>
        <v>0</v>
      </c>
      <c r="DY111" s="64"/>
      <c r="DZ111" s="74" t="s">
        <v>1552</v>
      </c>
      <c r="EA111" s="73">
        <f t="shared" ca="1" si="509"/>
        <v>0</v>
      </c>
      <c r="EB111" s="64"/>
      <c r="EC111" s="74" t="s">
        <v>1552</v>
      </c>
      <c r="ED111" s="73">
        <f t="shared" ca="1" si="509"/>
        <v>0</v>
      </c>
      <c r="EE111" s="64"/>
      <c r="EF111" s="74" t="s">
        <v>1552</v>
      </c>
      <c r="EG111" s="73">
        <f t="shared" ca="1" si="509"/>
        <v>0</v>
      </c>
      <c r="EH111" s="64"/>
      <c r="EI111" s="74" t="s">
        <v>1552</v>
      </c>
      <c r="EJ111" s="73">
        <f t="shared" ca="1" si="509"/>
        <v>0</v>
      </c>
      <c r="EK111" s="64"/>
      <c r="EL111" s="74"/>
      <c r="EM111" s="73">
        <f t="shared" ca="1" si="509"/>
        <v>0</v>
      </c>
      <c r="EN111" s="64"/>
      <c r="EO111" s="74"/>
      <c r="EP111" s="73">
        <f t="shared" ca="1" si="509"/>
        <v>0</v>
      </c>
      <c r="EQ111" s="64"/>
      <c r="ER111" s="74"/>
      <c r="ES111" s="73">
        <f t="shared" ca="1" si="509"/>
        <v>0</v>
      </c>
      <c r="ET111" s="64"/>
      <c r="EU111" s="74"/>
      <c r="EV111" s="73">
        <f t="shared" ca="1" si="509"/>
        <v>0</v>
      </c>
      <c r="EW111" s="64"/>
      <c r="EX111" s="74"/>
      <c r="EY111" s="73">
        <f t="shared" ref="EY111:FK111" ca="1" si="510">($M111=EX111)*$D$14</f>
        <v>0</v>
      </c>
      <c r="EZ111" s="64"/>
      <c r="FA111" s="74"/>
      <c r="FB111" s="73">
        <f t="shared" ca="1" si="510"/>
        <v>0</v>
      </c>
      <c r="FC111" s="64"/>
      <c r="FD111" s="74"/>
      <c r="FE111" s="73">
        <f t="shared" ca="1" si="510"/>
        <v>0</v>
      </c>
      <c r="FF111" s="64"/>
      <c r="FG111" s="74"/>
      <c r="FH111" s="73">
        <f t="shared" ca="1" si="510"/>
        <v>0</v>
      </c>
      <c r="FI111" s="64"/>
      <c r="FJ111" s="74"/>
      <c r="FK111" s="73">
        <f t="shared" ca="1" si="510"/>
        <v>0</v>
      </c>
      <c r="FL111" s="64"/>
      <c r="FM111" s="64"/>
    </row>
    <row r="112" spans="1:169">
      <c r="A112" s="49"/>
      <c r="B112" s="49"/>
      <c r="C112" s="49"/>
      <c r="D112" s="49"/>
      <c r="E112" s="65"/>
      <c r="F112" s="127">
        <f t="shared" ref="F112" si="511">$D$11</f>
        <v>2</v>
      </c>
      <c r="G112" s="445">
        <f ca="1">VLOOKUP(H112,Equipos!$Q$1:$R$25,2,0)</f>
        <v>16</v>
      </c>
      <c r="H112" s="446">
        <f ca="1">$H$70</f>
        <v>46199</v>
      </c>
      <c r="I112" s="50"/>
      <c r="J112" s="852" t="s">
        <v>438</v>
      </c>
      <c r="K112" s="56" t="str">
        <f>Idiomas!D182</f>
        <v>1º GRUPO I</v>
      </c>
      <c r="L112" s="53"/>
      <c r="M112" s="55" t="str">
        <f ca="1">IF(OR(SUM(WORLDCUP!$AN$70:$AN$73)=12,WORLDCUP!$AJ$99=144),WORLDCUP!AL70,LEFT(K112,1)&amp;RIGHT(K112,1))</f>
        <v>1I</v>
      </c>
      <c r="N112" s="25"/>
      <c r="O112" s="25"/>
      <c r="P112" s="25"/>
      <c r="Q112" s="25"/>
      <c r="R112" s="110"/>
      <c r="S112" s="74" t="s">
        <v>74</v>
      </c>
      <c r="T112" s="73">
        <f t="shared" ref="T112" ca="1" si="512">($M112=S112)*$D$11</f>
        <v>0</v>
      </c>
      <c r="U112" s="64"/>
      <c r="V112" s="74" t="s">
        <v>74</v>
      </c>
      <c r="W112" s="73">
        <f t="shared" ref="W112:CH112" ca="1" si="513">($M112=V112)*$D$11</f>
        <v>0</v>
      </c>
      <c r="X112" s="64"/>
      <c r="Y112" s="74" t="s">
        <v>74</v>
      </c>
      <c r="Z112" s="73">
        <f t="shared" ca="1" si="513"/>
        <v>0</v>
      </c>
      <c r="AA112" s="64"/>
      <c r="AB112" s="74" t="s">
        <v>74</v>
      </c>
      <c r="AC112" s="73">
        <f t="shared" ca="1" si="513"/>
        <v>0</v>
      </c>
      <c r="AD112" s="64"/>
      <c r="AE112" s="74" t="s">
        <v>74</v>
      </c>
      <c r="AF112" s="73">
        <f t="shared" ca="1" si="513"/>
        <v>0</v>
      </c>
      <c r="AG112" s="64"/>
      <c r="AH112" s="74" t="s">
        <v>74</v>
      </c>
      <c r="AI112" s="73">
        <f t="shared" ca="1" si="513"/>
        <v>0</v>
      </c>
      <c r="AJ112" s="64"/>
      <c r="AK112" s="74" t="s">
        <v>74</v>
      </c>
      <c r="AL112" s="73">
        <f t="shared" ca="1" si="513"/>
        <v>0</v>
      </c>
      <c r="AM112" s="64"/>
      <c r="AN112" s="74" t="s">
        <v>74</v>
      </c>
      <c r="AO112" s="73">
        <f t="shared" ca="1" si="513"/>
        <v>0</v>
      </c>
      <c r="AP112" s="64"/>
      <c r="AQ112" s="74" t="s">
        <v>74</v>
      </c>
      <c r="AR112" s="73">
        <f t="shared" ca="1" si="513"/>
        <v>0</v>
      </c>
      <c r="AS112" s="64"/>
      <c r="AT112" s="74" t="s">
        <v>74</v>
      </c>
      <c r="AU112" s="73">
        <f t="shared" ca="1" si="513"/>
        <v>0</v>
      </c>
      <c r="AV112" s="64"/>
      <c r="AW112" s="74" t="s">
        <v>74</v>
      </c>
      <c r="AX112" s="73">
        <f t="shared" ca="1" si="513"/>
        <v>0</v>
      </c>
      <c r="AY112" s="64"/>
      <c r="AZ112" s="74" t="s">
        <v>74</v>
      </c>
      <c r="BA112" s="73">
        <f t="shared" ca="1" si="513"/>
        <v>0</v>
      </c>
      <c r="BB112" s="64"/>
      <c r="BC112" s="74" t="s">
        <v>74</v>
      </c>
      <c r="BD112" s="73">
        <f t="shared" ca="1" si="513"/>
        <v>0</v>
      </c>
      <c r="BE112" s="64"/>
      <c r="BF112" s="74" t="s">
        <v>74</v>
      </c>
      <c r="BG112" s="73">
        <f t="shared" ca="1" si="513"/>
        <v>0</v>
      </c>
      <c r="BH112" s="64"/>
      <c r="BI112" s="74" t="s">
        <v>74</v>
      </c>
      <c r="BJ112" s="73">
        <f t="shared" ca="1" si="513"/>
        <v>0</v>
      </c>
      <c r="BK112" s="64"/>
      <c r="BL112" s="74" t="s">
        <v>74</v>
      </c>
      <c r="BM112" s="73">
        <f t="shared" ca="1" si="513"/>
        <v>0</v>
      </c>
      <c r="BN112" s="64"/>
      <c r="BO112" s="74" t="s">
        <v>74</v>
      </c>
      <c r="BP112" s="73">
        <f t="shared" ca="1" si="513"/>
        <v>0</v>
      </c>
      <c r="BQ112" s="64"/>
      <c r="BR112" s="74" t="s">
        <v>74</v>
      </c>
      <c r="BS112" s="73">
        <f t="shared" ca="1" si="513"/>
        <v>0</v>
      </c>
      <c r="BT112" s="64"/>
      <c r="BU112" s="74" t="s">
        <v>74</v>
      </c>
      <c r="BV112" s="73">
        <f t="shared" ca="1" si="513"/>
        <v>0</v>
      </c>
      <c r="BW112" s="64"/>
      <c r="BX112" s="74" t="s">
        <v>74</v>
      </c>
      <c r="BY112" s="73">
        <f t="shared" ca="1" si="513"/>
        <v>0</v>
      </c>
      <c r="BZ112" s="64"/>
      <c r="CA112" s="74" t="s">
        <v>74</v>
      </c>
      <c r="CB112" s="73">
        <f t="shared" ca="1" si="513"/>
        <v>0</v>
      </c>
      <c r="CC112" s="64"/>
      <c r="CD112" s="74" t="s">
        <v>74</v>
      </c>
      <c r="CE112" s="73">
        <f t="shared" ca="1" si="513"/>
        <v>0</v>
      </c>
      <c r="CF112" s="64"/>
      <c r="CG112" s="74" t="s">
        <v>74</v>
      </c>
      <c r="CH112" s="73">
        <f t="shared" ca="1" si="513"/>
        <v>0</v>
      </c>
      <c r="CI112" s="64"/>
      <c r="CJ112" s="74" t="s">
        <v>74</v>
      </c>
      <c r="CK112" s="73">
        <f t="shared" ref="CK112:EV112" ca="1" si="514">($M112=CJ112)*$D$11</f>
        <v>0</v>
      </c>
      <c r="CL112" s="64"/>
      <c r="CM112" s="74" t="s">
        <v>74</v>
      </c>
      <c r="CN112" s="73">
        <f t="shared" ca="1" si="514"/>
        <v>0</v>
      </c>
      <c r="CO112" s="64"/>
      <c r="CP112" s="74" t="s">
        <v>74</v>
      </c>
      <c r="CQ112" s="73">
        <f t="shared" ca="1" si="514"/>
        <v>0</v>
      </c>
      <c r="CR112" s="64"/>
      <c r="CS112" s="74" t="s">
        <v>74</v>
      </c>
      <c r="CT112" s="73">
        <f t="shared" ca="1" si="514"/>
        <v>0</v>
      </c>
      <c r="CU112" s="64"/>
      <c r="CV112" s="74" t="s">
        <v>74</v>
      </c>
      <c r="CW112" s="73">
        <f t="shared" ca="1" si="514"/>
        <v>0</v>
      </c>
      <c r="CX112" s="64"/>
      <c r="CY112" s="74" t="s">
        <v>74</v>
      </c>
      <c r="CZ112" s="73">
        <f t="shared" ca="1" si="514"/>
        <v>0</v>
      </c>
      <c r="DA112" s="64"/>
      <c r="DB112" s="74" t="s">
        <v>74</v>
      </c>
      <c r="DC112" s="73">
        <f t="shared" ca="1" si="514"/>
        <v>0</v>
      </c>
      <c r="DD112" s="64"/>
      <c r="DE112" s="74" t="s">
        <v>74</v>
      </c>
      <c r="DF112" s="73">
        <f t="shared" ca="1" si="514"/>
        <v>0</v>
      </c>
      <c r="DG112" s="64"/>
      <c r="DH112" s="74" t="s">
        <v>74</v>
      </c>
      <c r="DI112" s="73">
        <f t="shared" ca="1" si="514"/>
        <v>0</v>
      </c>
      <c r="DJ112" s="64"/>
      <c r="DK112" s="74" t="s">
        <v>74</v>
      </c>
      <c r="DL112" s="73">
        <f t="shared" ca="1" si="514"/>
        <v>0</v>
      </c>
      <c r="DM112" s="64"/>
      <c r="DN112" s="795" t="s">
        <v>74</v>
      </c>
      <c r="DO112" s="73">
        <f t="shared" ca="1" si="514"/>
        <v>0</v>
      </c>
      <c r="DP112" s="64"/>
      <c r="DQ112" s="795" t="s">
        <v>74</v>
      </c>
      <c r="DR112" s="73">
        <f t="shared" ca="1" si="514"/>
        <v>0</v>
      </c>
      <c r="DS112" s="64"/>
      <c r="DT112" s="74" t="s">
        <v>74</v>
      </c>
      <c r="DU112" s="73">
        <f t="shared" ca="1" si="514"/>
        <v>0</v>
      </c>
      <c r="DV112" s="64"/>
      <c r="DW112" s="74" t="s">
        <v>74</v>
      </c>
      <c r="DX112" s="73">
        <f t="shared" ca="1" si="514"/>
        <v>0</v>
      </c>
      <c r="DY112" s="64"/>
      <c r="DZ112" s="74" t="s">
        <v>74</v>
      </c>
      <c r="EA112" s="73">
        <f t="shared" ca="1" si="514"/>
        <v>0</v>
      </c>
      <c r="EB112" s="64"/>
      <c r="EC112" s="74" t="s">
        <v>74</v>
      </c>
      <c r="ED112" s="73">
        <f t="shared" ca="1" si="514"/>
        <v>0</v>
      </c>
      <c r="EE112" s="64"/>
      <c r="EF112" s="74" t="s">
        <v>1634</v>
      </c>
      <c r="EG112" s="73">
        <f t="shared" ca="1" si="514"/>
        <v>0</v>
      </c>
      <c r="EH112" s="64"/>
      <c r="EI112" s="74" t="s">
        <v>74</v>
      </c>
      <c r="EJ112" s="73">
        <f t="shared" ca="1" si="514"/>
        <v>0</v>
      </c>
      <c r="EK112" s="64"/>
      <c r="EL112" s="74"/>
      <c r="EM112" s="73">
        <f t="shared" ca="1" si="514"/>
        <v>0</v>
      </c>
      <c r="EN112" s="64"/>
      <c r="EO112" s="74"/>
      <c r="EP112" s="73">
        <f t="shared" ca="1" si="514"/>
        <v>0</v>
      </c>
      <c r="EQ112" s="64"/>
      <c r="ER112" s="74"/>
      <c r="ES112" s="73">
        <f t="shared" ca="1" si="514"/>
        <v>0</v>
      </c>
      <c r="ET112" s="64"/>
      <c r="EU112" s="74"/>
      <c r="EV112" s="73">
        <f t="shared" ca="1" si="514"/>
        <v>0</v>
      </c>
      <c r="EW112" s="64"/>
      <c r="EX112" s="74"/>
      <c r="EY112" s="73">
        <f t="shared" ref="EY112:FK112" ca="1" si="515">($M112=EX112)*$D$11</f>
        <v>0</v>
      </c>
      <c r="EZ112" s="64"/>
      <c r="FA112" s="74"/>
      <c r="FB112" s="73">
        <f t="shared" ca="1" si="515"/>
        <v>0</v>
      </c>
      <c r="FC112" s="64"/>
      <c r="FD112" s="74"/>
      <c r="FE112" s="73">
        <f t="shared" ca="1" si="515"/>
        <v>0</v>
      </c>
      <c r="FF112" s="64"/>
      <c r="FG112" s="74"/>
      <c r="FH112" s="73">
        <f t="shared" ca="1" si="515"/>
        <v>0</v>
      </c>
      <c r="FI112" s="64"/>
      <c r="FJ112" s="74"/>
      <c r="FK112" s="73">
        <f t="shared" ca="1" si="515"/>
        <v>0</v>
      </c>
      <c r="FL112" s="64"/>
      <c r="FM112" s="64"/>
    </row>
    <row r="113" spans="1:169">
      <c r="A113" s="49"/>
      <c r="B113" s="49"/>
      <c r="C113" s="49"/>
      <c r="D113" s="49"/>
      <c r="E113" s="65"/>
      <c r="F113" s="127">
        <f t="shared" ref="F113" si="516">$D$12</f>
        <v>2</v>
      </c>
      <c r="G113" s="445">
        <f ca="1">VLOOKUP(H113,Equipos!$Q$1:$R$25,2,0)</f>
        <v>16</v>
      </c>
      <c r="H113" s="446">
        <f ca="1">$H$70</f>
        <v>46199</v>
      </c>
      <c r="I113" s="50"/>
      <c r="J113" s="852"/>
      <c r="K113" s="56" t="str">
        <f>Idiomas!D183</f>
        <v>2º GRUPO I</v>
      </c>
      <c r="L113" s="53"/>
      <c r="M113" s="55" t="str">
        <f ca="1">IF(OR(SUM(WORLDCUP!$AN$70:$AN$73)=12,WORLDCUP!$AJ$99=144),WORLDCUP!AL71,LEFT(K113,1)&amp;RIGHT(K113,1))</f>
        <v>2I</v>
      </c>
      <c r="N113" s="25"/>
      <c r="O113" s="25"/>
      <c r="P113" s="25"/>
      <c r="Q113" s="25"/>
      <c r="R113" s="110"/>
      <c r="S113" s="74" t="s">
        <v>135</v>
      </c>
      <c r="T113" s="73">
        <f t="shared" ref="T113" ca="1" si="517">($M113=S113)*$D$12</f>
        <v>0</v>
      </c>
      <c r="U113" s="64"/>
      <c r="V113" s="74" t="s">
        <v>1634</v>
      </c>
      <c r="W113" s="73">
        <f t="shared" ref="W113:CH113" ca="1" si="518">($M113=V113)*$D$12</f>
        <v>0</v>
      </c>
      <c r="X113" s="64"/>
      <c r="Y113" s="74" t="s">
        <v>135</v>
      </c>
      <c r="Z113" s="73">
        <f t="shared" ca="1" si="518"/>
        <v>0</v>
      </c>
      <c r="AA113" s="64"/>
      <c r="AB113" s="74" t="s">
        <v>135</v>
      </c>
      <c r="AC113" s="73">
        <f t="shared" ca="1" si="518"/>
        <v>0</v>
      </c>
      <c r="AD113" s="64"/>
      <c r="AE113" s="74" t="s">
        <v>135</v>
      </c>
      <c r="AF113" s="73">
        <f t="shared" ca="1" si="518"/>
        <v>0</v>
      </c>
      <c r="AG113" s="64"/>
      <c r="AH113" s="74" t="s">
        <v>135</v>
      </c>
      <c r="AI113" s="73">
        <f t="shared" ca="1" si="518"/>
        <v>0</v>
      </c>
      <c r="AJ113" s="64"/>
      <c r="AK113" s="74" t="s">
        <v>1634</v>
      </c>
      <c r="AL113" s="73">
        <f t="shared" ca="1" si="518"/>
        <v>0</v>
      </c>
      <c r="AM113" s="64"/>
      <c r="AN113" s="74" t="s">
        <v>135</v>
      </c>
      <c r="AO113" s="73">
        <f t="shared" ca="1" si="518"/>
        <v>0</v>
      </c>
      <c r="AP113" s="64"/>
      <c r="AQ113" s="74" t="s">
        <v>135</v>
      </c>
      <c r="AR113" s="73">
        <f t="shared" ca="1" si="518"/>
        <v>0</v>
      </c>
      <c r="AS113" s="64"/>
      <c r="AT113" s="74" t="s">
        <v>135</v>
      </c>
      <c r="AU113" s="73">
        <f t="shared" ca="1" si="518"/>
        <v>0</v>
      </c>
      <c r="AV113" s="64"/>
      <c r="AW113" s="74" t="s">
        <v>135</v>
      </c>
      <c r="AX113" s="73">
        <f t="shared" ca="1" si="518"/>
        <v>0</v>
      </c>
      <c r="AY113" s="64"/>
      <c r="AZ113" s="74" t="s">
        <v>135</v>
      </c>
      <c r="BA113" s="73">
        <f t="shared" ca="1" si="518"/>
        <v>0</v>
      </c>
      <c r="BB113" s="64"/>
      <c r="BC113" s="74" t="s">
        <v>135</v>
      </c>
      <c r="BD113" s="73">
        <f t="shared" ca="1" si="518"/>
        <v>0</v>
      </c>
      <c r="BE113" s="64"/>
      <c r="BF113" s="74" t="s">
        <v>135</v>
      </c>
      <c r="BG113" s="73">
        <f t="shared" ca="1" si="518"/>
        <v>0</v>
      </c>
      <c r="BH113" s="64"/>
      <c r="BI113" s="74" t="s">
        <v>135</v>
      </c>
      <c r="BJ113" s="73">
        <f t="shared" ca="1" si="518"/>
        <v>0</v>
      </c>
      <c r="BK113" s="64"/>
      <c r="BL113" s="74" t="s">
        <v>1634</v>
      </c>
      <c r="BM113" s="73">
        <f t="shared" ca="1" si="518"/>
        <v>0</v>
      </c>
      <c r="BN113" s="64"/>
      <c r="BO113" s="74" t="s">
        <v>1634</v>
      </c>
      <c r="BP113" s="73">
        <f t="shared" ca="1" si="518"/>
        <v>0</v>
      </c>
      <c r="BQ113" s="64"/>
      <c r="BR113" s="74" t="s">
        <v>1634</v>
      </c>
      <c r="BS113" s="73">
        <f t="shared" ca="1" si="518"/>
        <v>0</v>
      </c>
      <c r="BT113" s="64"/>
      <c r="BU113" s="74" t="s">
        <v>1634</v>
      </c>
      <c r="BV113" s="73">
        <f t="shared" ca="1" si="518"/>
        <v>0</v>
      </c>
      <c r="BW113" s="64"/>
      <c r="BX113" s="74" t="s">
        <v>1634</v>
      </c>
      <c r="BY113" s="73">
        <f t="shared" ca="1" si="518"/>
        <v>0</v>
      </c>
      <c r="BZ113" s="64"/>
      <c r="CA113" s="74" t="s">
        <v>1634</v>
      </c>
      <c r="CB113" s="73">
        <f t="shared" ca="1" si="518"/>
        <v>0</v>
      </c>
      <c r="CC113" s="64"/>
      <c r="CD113" s="74" t="s">
        <v>135</v>
      </c>
      <c r="CE113" s="73">
        <f t="shared" ca="1" si="518"/>
        <v>0</v>
      </c>
      <c r="CF113" s="64"/>
      <c r="CG113" s="74" t="s">
        <v>1634</v>
      </c>
      <c r="CH113" s="73">
        <f t="shared" ca="1" si="518"/>
        <v>0</v>
      </c>
      <c r="CI113" s="64"/>
      <c r="CJ113" s="74" t="s">
        <v>135</v>
      </c>
      <c r="CK113" s="73">
        <f t="shared" ref="CK113:EV113" ca="1" si="519">($M113=CJ113)*$D$12</f>
        <v>0</v>
      </c>
      <c r="CL113" s="64"/>
      <c r="CM113" s="74" t="s">
        <v>135</v>
      </c>
      <c r="CN113" s="73">
        <f t="shared" ca="1" si="519"/>
        <v>0</v>
      </c>
      <c r="CO113" s="64"/>
      <c r="CP113" s="74" t="s">
        <v>135</v>
      </c>
      <c r="CQ113" s="73">
        <f t="shared" ca="1" si="519"/>
        <v>0</v>
      </c>
      <c r="CR113" s="64"/>
      <c r="CS113" s="74" t="s">
        <v>135</v>
      </c>
      <c r="CT113" s="73">
        <f t="shared" ca="1" si="519"/>
        <v>0</v>
      </c>
      <c r="CU113" s="64"/>
      <c r="CV113" s="74" t="s">
        <v>135</v>
      </c>
      <c r="CW113" s="73">
        <f t="shared" ca="1" si="519"/>
        <v>0</v>
      </c>
      <c r="CX113" s="64"/>
      <c r="CY113" s="74" t="s">
        <v>135</v>
      </c>
      <c r="CZ113" s="73">
        <f t="shared" ca="1" si="519"/>
        <v>0</v>
      </c>
      <c r="DA113" s="64"/>
      <c r="DB113" s="74" t="s">
        <v>135</v>
      </c>
      <c r="DC113" s="73">
        <f t="shared" ca="1" si="519"/>
        <v>0</v>
      </c>
      <c r="DD113" s="64"/>
      <c r="DE113" s="74" t="s">
        <v>1634</v>
      </c>
      <c r="DF113" s="73">
        <f t="shared" ca="1" si="519"/>
        <v>0</v>
      </c>
      <c r="DG113" s="64"/>
      <c r="DH113" s="74" t="s">
        <v>135</v>
      </c>
      <c r="DI113" s="73">
        <f t="shared" ca="1" si="519"/>
        <v>0</v>
      </c>
      <c r="DJ113" s="64"/>
      <c r="DK113" s="74" t="s">
        <v>135</v>
      </c>
      <c r="DL113" s="73">
        <f t="shared" ca="1" si="519"/>
        <v>0</v>
      </c>
      <c r="DM113" s="64"/>
      <c r="DN113" s="795" t="s">
        <v>135</v>
      </c>
      <c r="DO113" s="73">
        <f t="shared" ca="1" si="519"/>
        <v>0</v>
      </c>
      <c r="DP113" s="64"/>
      <c r="DQ113" s="795" t="s">
        <v>1757</v>
      </c>
      <c r="DR113" s="73">
        <f t="shared" ca="1" si="519"/>
        <v>0</v>
      </c>
      <c r="DS113" s="64"/>
      <c r="DT113" s="74" t="s">
        <v>135</v>
      </c>
      <c r="DU113" s="73">
        <f t="shared" ca="1" si="519"/>
        <v>0</v>
      </c>
      <c r="DV113" s="64"/>
      <c r="DW113" s="74" t="s">
        <v>135</v>
      </c>
      <c r="DX113" s="73">
        <f t="shared" ca="1" si="519"/>
        <v>0</v>
      </c>
      <c r="DY113" s="64"/>
      <c r="DZ113" s="74" t="s">
        <v>135</v>
      </c>
      <c r="EA113" s="73">
        <f t="shared" ca="1" si="519"/>
        <v>0</v>
      </c>
      <c r="EB113" s="64"/>
      <c r="EC113" s="74" t="s">
        <v>1634</v>
      </c>
      <c r="ED113" s="73">
        <f t="shared" ca="1" si="519"/>
        <v>0</v>
      </c>
      <c r="EE113" s="64"/>
      <c r="EF113" s="74" t="s">
        <v>74</v>
      </c>
      <c r="EG113" s="73">
        <f t="shared" ca="1" si="519"/>
        <v>0</v>
      </c>
      <c r="EH113" s="64"/>
      <c r="EI113" s="74" t="s">
        <v>1634</v>
      </c>
      <c r="EJ113" s="73">
        <f t="shared" ca="1" si="519"/>
        <v>0</v>
      </c>
      <c r="EK113" s="64"/>
      <c r="EL113" s="74"/>
      <c r="EM113" s="73">
        <f t="shared" ca="1" si="519"/>
        <v>0</v>
      </c>
      <c r="EN113" s="64"/>
      <c r="EO113" s="74"/>
      <c r="EP113" s="73">
        <f t="shared" ca="1" si="519"/>
        <v>0</v>
      </c>
      <c r="EQ113" s="64"/>
      <c r="ER113" s="74"/>
      <c r="ES113" s="73">
        <f t="shared" ca="1" si="519"/>
        <v>0</v>
      </c>
      <c r="ET113" s="64"/>
      <c r="EU113" s="74"/>
      <c r="EV113" s="73">
        <f t="shared" ca="1" si="519"/>
        <v>0</v>
      </c>
      <c r="EW113" s="64"/>
      <c r="EX113" s="74"/>
      <c r="EY113" s="73">
        <f t="shared" ref="EY113:FK113" ca="1" si="520">($M113=EX113)*$D$12</f>
        <v>0</v>
      </c>
      <c r="EZ113" s="64"/>
      <c r="FA113" s="74"/>
      <c r="FB113" s="73">
        <f t="shared" ca="1" si="520"/>
        <v>0</v>
      </c>
      <c r="FC113" s="64"/>
      <c r="FD113" s="74"/>
      <c r="FE113" s="73">
        <f t="shared" ca="1" si="520"/>
        <v>0</v>
      </c>
      <c r="FF113" s="64"/>
      <c r="FG113" s="74"/>
      <c r="FH113" s="73">
        <f t="shared" ca="1" si="520"/>
        <v>0</v>
      </c>
      <c r="FI113" s="64"/>
      <c r="FJ113" s="74"/>
      <c r="FK113" s="73">
        <f t="shared" ca="1" si="520"/>
        <v>0</v>
      </c>
      <c r="FL113" s="64"/>
      <c r="FM113" s="64"/>
    </row>
    <row r="114" spans="1:169">
      <c r="A114" s="49"/>
      <c r="B114" s="49"/>
      <c r="C114" s="49"/>
      <c r="D114" s="49"/>
      <c r="E114" s="65"/>
      <c r="F114" s="127">
        <f t="shared" ref="F114" si="521">$D$13</f>
        <v>2</v>
      </c>
      <c r="G114" s="445">
        <f ca="1">VLOOKUP(H114,Equipos!$Q$1:$R$25,2,0)</f>
        <v>16</v>
      </c>
      <c r="H114" s="446">
        <f ca="1">$H$70</f>
        <v>46199</v>
      </c>
      <c r="I114" s="50"/>
      <c r="J114" s="852"/>
      <c r="K114" s="56" t="str">
        <f>Idiomas!D184</f>
        <v>3º GRUPO I</v>
      </c>
      <c r="L114" s="53"/>
      <c r="M114" s="55" t="str">
        <f ca="1">IF(OR(SUM(WORLDCUP!$AN$70:$AN$73)=12,WORLDCUP!$AJ$99=144),WORLDCUP!AL72,LEFT(K114,1)&amp;RIGHT(K114,1))</f>
        <v>3I</v>
      </c>
      <c r="N114" s="25"/>
      <c r="O114" s="25"/>
      <c r="P114" s="25"/>
      <c r="Q114" s="25"/>
      <c r="R114" s="110"/>
      <c r="S114" s="74" t="s">
        <v>1634</v>
      </c>
      <c r="T114" s="73">
        <f t="shared" ref="T114" ca="1" si="522">($M114=S114)*$D$13</f>
        <v>0</v>
      </c>
      <c r="U114" s="64"/>
      <c r="V114" s="74" t="s">
        <v>135</v>
      </c>
      <c r="W114" s="73">
        <f t="shared" ref="W114:CH114" ca="1" si="523">($M114=V114)*$D$13</f>
        <v>0</v>
      </c>
      <c r="X114" s="64"/>
      <c r="Y114" s="74" t="s">
        <v>1634</v>
      </c>
      <c r="Z114" s="73">
        <f t="shared" ca="1" si="523"/>
        <v>0</v>
      </c>
      <c r="AA114" s="64"/>
      <c r="AB114" s="74" t="s">
        <v>1634</v>
      </c>
      <c r="AC114" s="73">
        <f t="shared" ca="1" si="523"/>
        <v>0</v>
      </c>
      <c r="AD114" s="64"/>
      <c r="AE114" s="74" t="s">
        <v>1634</v>
      </c>
      <c r="AF114" s="73">
        <f t="shared" ca="1" si="523"/>
        <v>0</v>
      </c>
      <c r="AG114" s="64"/>
      <c r="AH114" s="74" t="s">
        <v>1634</v>
      </c>
      <c r="AI114" s="73">
        <f t="shared" ca="1" si="523"/>
        <v>0</v>
      </c>
      <c r="AJ114" s="64"/>
      <c r="AK114" s="74" t="s">
        <v>135</v>
      </c>
      <c r="AL114" s="73">
        <f t="shared" ca="1" si="523"/>
        <v>0</v>
      </c>
      <c r="AM114" s="64"/>
      <c r="AN114" s="74" t="s">
        <v>1634</v>
      </c>
      <c r="AO114" s="73">
        <f t="shared" ca="1" si="523"/>
        <v>0</v>
      </c>
      <c r="AP114" s="64"/>
      <c r="AQ114" s="74" t="s">
        <v>1634</v>
      </c>
      <c r="AR114" s="73">
        <f t="shared" ca="1" si="523"/>
        <v>0</v>
      </c>
      <c r="AS114" s="64"/>
      <c r="AT114" s="74" t="s">
        <v>1634</v>
      </c>
      <c r="AU114" s="73">
        <f t="shared" ca="1" si="523"/>
        <v>0</v>
      </c>
      <c r="AV114" s="64"/>
      <c r="AW114" s="74" t="s">
        <v>1634</v>
      </c>
      <c r="AX114" s="73">
        <f t="shared" ca="1" si="523"/>
        <v>0</v>
      </c>
      <c r="AY114" s="64"/>
      <c r="AZ114" s="74" t="s">
        <v>1634</v>
      </c>
      <c r="BA114" s="73">
        <f t="shared" ca="1" si="523"/>
        <v>0</v>
      </c>
      <c r="BB114" s="64"/>
      <c r="BC114" s="74" t="s">
        <v>1634</v>
      </c>
      <c r="BD114" s="73">
        <f t="shared" ca="1" si="523"/>
        <v>0</v>
      </c>
      <c r="BE114" s="64"/>
      <c r="BF114" s="74" t="s">
        <v>1634</v>
      </c>
      <c r="BG114" s="73">
        <f t="shared" ca="1" si="523"/>
        <v>0</v>
      </c>
      <c r="BH114" s="64"/>
      <c r="BI114" s="74" t="s">
        <v>1634</v>
      </c>
      <c r="BJ114" s="73">
        <f t="shared" ca="1" si="523"/>
        <v>0</v>
      </c>
      <c r="BK114" s="64"/>
      <c r="BL114" s="74" t="s">
        <v>135</v>
      </c>
      <c r="BM114" s="73">
        <f t="shared" ca="1" si="523"/>
        <v>0</v>
      </c>
      <c r="BN114" s="64"/>
      <c r="BO114" s="74" t="s">
        <v>135</v>
      </c>
      <c r="BP114" s="73">
        <f t="shared" ca="1" si="523"/>
        <v>0</v>
      </c>
      <c r="BQ114" s="64"/>
      <c r="BR114" s="74" t="s">
        <v>135</v>
      </c>
      <c r="BS114" s="73">
        <f t="shared" ca="1" si="523"/>
        <v>0</v>
      </c>
      <c r="BT114" s="64"/>
      <c r="BU114" s="74" t="s">
        <v>135</v>
      </c>
      <c r="BV114" s="73">
        <f t="shared" ca="1" si="523"/>
        <v>0</v>
      </c>
      <c r="BW114" s="64"/>
      <c r="BX114" s="74" t="s">
        <v>135</v>
      </c>
      <c r="BY114" s="73">
        <f t="shared" ca="1" si="523"/>
        <v>0</v>
      </c>
      <c r="BZ114" s="64"/>
      <c r="CA114" s="74" t="s">
        <v>135</v>
      </c>
      <c r="CB114" s="73">
        <f t="shared" ca="1" si="523"/>
        <v>0</v>
      </c>
      <c r="CC114" s="64"/>
      <c r="CD114" s="74" t="s">
        <v>1634</v>
      </c>
      <c r="CE114" s="73">
        <f t="shared" ca="1" si="523"/>
        <v>0</v>
      </c>
      <c r="CF114" s="64"/>
      <c r="CG114" s="74" t="s">
        <v>135</v>
      </c>
      <c r="CH114" s="73">
        <f t="shared" ca="1" si="523"/>
        <v>0</v>
      </c>
      <c r="CI114" s="64"/>
      <c r="CJ114" s="74" t="s">
        <v>1634</v>
      </c>
      <c r="CK114" s="73">
        <f t="shared" ref="CK114:EV114" ca="1" si="524">($M114=CJ114)*$D$13</f>
        <v>0</v>
      </c>
      <c r="CL114" s="64"/>
      <c r="CM114" s="74" t="s">
        <v>1634</v>
      </c>
      <c r="CN114" s="73">
        <f t="shared" ca="1" si="524"/>
        <v>0</v>
      </c>
      <c r="CO114" s="64"/>
      <c r="CP114" s="74" t="s">
        <v>1634</v>
      </c>
      <c r="CQ114" s="73">
        <f t="shared" ca="1" si="524"/>
        <v>0</v>
      </c>
      <c r="CR114" s="64"/>
      <c r="CS114" s="74" t="s">
        <v>1634</v>
      </c>
      <c r="CT114" s="73">
        <f t="shared" ca="1" si="524"/>
        <v>0</v>
      </c>
      <c r="CU114" s="64"/>
      <c r="CV114" s="74" t="s">
        <v>1634</v>
      </c>
      <c r="CW114" s="73">
        <f t="shared" ca="1" si="524"/>
        <v>0</v>
      </c>
      <c r="CX114" s="64"/>
      <c r="CY114" s="74" t="s">
        <v>1634</v>
      </c>
      <c r="CZ114" s="73">
        <f t="shared" ca="1" si="524"/>
        <v>0</v>
      </c>
      <c r="DA114" s="64"/>
      <c r="DB114" s="74" t="s">
        <v>1634</v>
      </c>
      <c r="DC114" s="73">
        <f t="shared" ca="1" si="524"/>
        <v>0</v>
      </c>
      <c r="DD114" s="64"/>
      <c r="DE114" s="74" t="s">
        <v>135</v>
      </c>
      <c r="DF114" s="73">
        <f t="shared" ca="1" si="524"/>
        <v>0</v>
      </c>
      <c r="DG114" s="64"/>
      <c r="DH114" s="74" t="s">
        <v>1634</v>
      </c>
      <c r="DI114" s="73">
        <f t="shared" ca="1" si="524"/>
        <v>0</v>
      </c>
      <c r="DJ114" s="64"/>
      <c r="DK114" s="74" t="s">
        <v>1634</v>
      </c>
      <c r="DL114" s="73">
        <f t="shared" ca="1" si="524"/>
        <v>0</v>
      </c>
      <c r="DM114" s="64"/>
      <c r="DN114" s="795" t="s">
        <v>1634</v>
      </c>
      <c r="DO114" s="73">
        <f t="shared" ca="1" si="524"/>
        <v>0</v>
      </c>
      <c r="DP114" s="64"/>
      <c r="DQ114" s="795" t="s">
        <v>135</v>
      </c>
      <c r="DR114" s="73">
        <f t="shared" ca="1" si="524"/>
        <v>0</v>
      </c>
      <c r="DS114" s="64"/>
      <c r="DT114" s="74" t="s">
        <v>1757</v>
      </c>
      <c r="DU114" s="73">
        <f t="shared" ca="1" si="524"/>
        <v>0</v>
      </c>
      <c r="DV114" s="64"/>
      <c r="DW114" s="74" t="s">
        <v>1634</v>
      </c>
      <c r="DX114" s="73">
        <f t="shared" ca="1" si="524"/>
        <v>0</v>
      </c>
      <c r="DY114" s="64"/>
      <c r="DZ114" s="74" t="s">
        <v>1634</v>
      </c>
      <c r="EA114" s="73">
        <f t="shared" ca="1" si="524"/>
        <v>0</v>
      </c>
      <c r="EB114" s="64"/>
      <c r="EC114" s="74" t="s">
        <v>135</v>
      </c>
      <c r="ED114" s="73">
        <f t="shared" ca="1" si="524"/>
        <v>0</v>
      </c>
      <c r="EE114" s="64"/>
      <c r="EF114" s="74" t="s">
        <v>135</v>
      </c>
      <c r="EG114" s="73">
        <f t="shared" ca="1" si="524"/>
        <v>0</v>
      </c>
      <c r="EH114" s="64"/>
      <c r="EI114" s="74" t="s">
        <v>135</v>
      </c>
      <c r="EJ114" s="73">
        <f t="shared" ca="1" si="524"/>
        <v>0</v>
      </c>
      <c r="EK114" s="64"/>
      <c r="EL114" s="74"/>
      <c r="EM114" s="73">
        <f t="shared" ca="1" si="524"/>
        <v>0</v>
      </c>
      <c r="EN114" s="64"/>
      <c r="EO114" s="74"/>
      <c r="EP114" s="73">
        <f t="shared" ca="1" si="524"/>
        <v>0</v>
      </c>
      <c r="EQ114" s="64"/>
      <c r="ER114" s="74"/>
      <c r="ES114" s="73">
        <f t="shared" ca="1" si="524"/>
        <v>0</v>
      </c>
      <c r="ET114" s="64"/>
      <c r="EU114" s="74"/>
      <c r="EV114" s="73">
        <f t="shared" ca="1" si="524"/>
        <v>0</v>
      </c>
      <c r="EW114" s="64"/>
      <c r="EX114" s="74"/>
      <c r="EY114" s="73">
        <f t="shared" ref="EY114:FK114" ca="1" si="525">($M114=EX114)*$D$13</f>
        <v>0</v>
      </c>
      <c r="EZ114" s="64"/>
      <c r="FA114" s="74"/>
      <c r="FB114" s="73">
        <f t="shared" ca="1" si="525"/>
        <v>0</v>
      </c>
      <c r="FC114" s="64"/>
      <c r="FD114" s="74"/>
      <c r="FE114" s="73">
        <f t="shared" ca="1" si="525"/>
        <v>0</v>
      </c>
      <c r="FF114" s="64"/>
      <c r="FG114" s="74"/>
      <c r="FH114" s="73">
        <f t="shared" ca="1" si="525"/>
        <v>0</v>
      </c>
      <c r="FI114" s="64"/>
      <c r="FJ114" s="74"/>
      <c r="FK114" s="73">
        <f t="shared" ca="1" si="525"/>
        <v>0</v>
      </c>
      <c r="FL114" s="64"/>
      <c r="FM114" s="64"/>
    </row>
    <row r="115" spans="1:169">
      <c r="A115" s="49"/>
      <c r="B115" s="49"/>
      <c r="C115" s="49"/>
      <c r="D115" s="49"/>
      <c r="E115" s="65"/>
      <c r="F115" s="127">
        <f t="shared" ref="F115" si="526">$D$14</f>
        <v>2</v>
      </c>
      <c r="G115" s="445">
        <f ca="1">VLOOKUP(H115,Equipos!$Q$1:$R$25,2,0)</f>
        <v>16</v>
      </c>
      <c r="H115" s="446">
        <f ca="1">$H$70</f>
        <v>46199</v>
      </c>
      <c r="I115" s="50"/>
      <c r="J115" s="852"/>
      <c r="K115" s="56" t="str">
        <f>Idiomas!D185</f>
        <v>4º GRUPO I</v>
      </c>
      <c r="L115" s="53"/>
      <c r="M115" s="55" t="str">
        <f ca="1">IF(OR(SUM(WORLDCUP!$AN$70:$AN$73)=12,WORLDCUP!$AJ$99=144),WORLDCUP!AL73,LEFT(K115,1)&amp;RIGHT(K115,1))</f>
        <v>4I</v>
      </c>
      <c r="N115" s="25"/>
      <c r="O115" s="25"/>
      <c r="P115" s="25"/>
      <c r="Q115" s="25"/>
      <c r="R115" s="110"/>
      <c r="S115" s="74" t="s">
        <v>1757</v>
      </c>
      <c r="T115" s="73">
        <f t="shared" ref="T115" ca="1" si="527">($M115=S115)*$D$14</f>
        <v>0</v>
      </c>
      <c r="U115" s="64"/>
      <c r="V115" s="74" t="s">
        <v>1757</v>
      </c>
      <c r="W115" s="73">
        <f t="shared" ref="W115:CH115" ca="1" si="528">($M115=V115)*$D$14</f>
        <v>0</v>
      </c>
      <c r="X115" s="64"/>
      <c r="Y115" s="74" t="s">
        <v>1757</v>
      </c>
      <c r="Z115" s="73">
        <f t="shared" ca="1" si="528"/>
        <v>0</v>
      </c>
      <c r="AA115" s="64"/>
      <c r="AB115" s="74" t="s">
        <v>1757</v>
      </c>
      <c r="AC115" s="73">
        <f t="shared" ca="1" si="528"/>
        <v>0</v>
      </c>
      <c r="AD115" s="64"/>
      <c r="AE115" s="74" t="s">
        <v>1757</v>
      </c>
      <c r="AF115" s="73">
        <f t="shared" ca="1" si="528"/>
        <v>0</v>
      </c>
      <c r="AG115" s="64"/>
      <c r="AH115" s="74" t="s">
        <v>1757</v>
      </c>
      <c r="AI115" s="73">
        <f t="shared" ca="1" si="528"/>
        <v>0</v>
      </c>
      <c r="AJ115" s="64"/>
      <c r="AK115" s="74" t="s">
        <v>1757</v>
      </c>
      <c r="AL115" s="73">
        <f t="shared" ca="1" si="528"/>
        <v>0</v>
      </c>
      <c r="AM115" s="64"/>
      <c r="AN115" s="74" t="s">
        <v>1757</v>
      </c>
      <c r="AO115" s="73">
        <f t="shared" ca="1" si="528"/>
        <v>0</v>
      </c>
      <c r="AP115" s="64"/>
      <c r="AQ115" s="74" t="s">
        <v>1757</v>
      </c>
      <c r="AR115" s="73">
        <f t="shared" ca="1" si="528"/>
        <v>0</v>
      </c>
      <c r="AS115" s="64"/>
      <c r="AT115" s="74" t="s">
        <v>1757</v>
      </c>
      <c r="AU115" s="73">
        <f t="shared" ca="1" si="528"/>
        <v>0</v>
      </c>
      <c r="AV115" s="64"/>
      <c r="AW115" s="74" t="s">
        <v>1757</v>
      </c>
      <c r="AX115" s="73">
        <f t="shared" ca="1" si="528"/>
        <v>0</v>
      </c>
      <c r="AY115" s="64"/>
      <c r="AZ115" s="74" t="s">
        <v>1757</v>
      </c>
      <c r="BA115" s="73">
        <f t="shared" ca="1" si="528"/>
        <v>0</v>
      </c>
      <c r="BB115" s="64"/>
      <c r="BC115" s="74" t="s">
        <v>1757</v>
      </c>
      <c r="BD115" s="73">
        <f t="shared" ca="1" si="528"/>
        <v>0</v>
      </c>
      <c r="BE115" s="64"/>
      <c r="BF115" s="74" t="s">
        <v>1757</v>
      </c>
      <c r="BG115" s="73">
        <f t="shared" ca="1" si="528"/>
        <v>0</v>
      </c>
      <c r="BH115" s="64"/>
      <c r="BI115" s="74" t="s">
        <v>1757</v>
      </c>
      <c r="BJ115" s="73">
        <f t="shared" ca="1" si="528"/>
        <v>0</v>
      </c>
      <c r="BK115" s="64"/>
      <c r="BL115" s="74" t="s">
        <v>1757</v>
      </c>
      <c r="BM115" s="73">
        <f t="shared" ca="1" si="528"/>
        <v>0</v>
      </c>
      <c r="BN115" s="64"/>
      <c r="BO115" s="74" t="s">
        <v>1757</v>
      </c>
      <c r="BP115" s="73">
        <f t="shared" ca="1" si="528"/>
        <v>0</v>
      </c>
      <c r="BQ115" s="64"/>
      <c r="BR115" s="74" t="s">
        <v>1757</v>
      </c>
      <c r="BS115" s="73">
        <f t="shared" ca="1" si="528"/>
        <v>0</v>
      </c>
      <c r="BT115" s="64"/>
      <c r="BU115" s="74" t="s">
        <v>1757</v>
      </c>
      <c r="BV115" s="73">
        <f t="shared" ca="1" si="528"/>
        <v>0</v>
      </c>
      <c r="BW115" s="64"/>
      <c r="BX115" s="74" t="s">
        <v>1757</v>
      </c>
      <c r="BY115" s="73">
        <f t="shared" ca="1" si="528"/>
        <v>0</v>
      </c>
      <c r="BZ115" s="64"/>
      <c r="CA115" s="74" t="s">
        <v>1757</v>
      </c>
      <c r="CB115" s="73">
        <f t="shared" ca="1" si="528"/>
        <v>0</v>
      </c>
      <c r="CC115" s="64"/>
      <c r="CD115" s="74" t="s">
        <v>1757</v>
      </c>
      <c r="CE115" s="73">
        <f t="shared" ca="1" si="528"/>
        <v>0</v>
      </c>
      <c r="CF115" s="64"/>
      <c r="CG115" s="74" t="s">
        <v>1757</v>
      </c>
      <c r="CH115" s="73">
        <f t="shared" ca="1" si="528"/>
        <v>0</v>
      </c>
      <c r="CI115" s="64"/>
      <c r="CJ115" s="74" t="s">
        <v>1757</v>
      </c>
      <c r="CK115" s="73">
        <f t="shared" ref="CK115:EV115" ca="1" si="529">($M115=CJ115)*$D$14</f>
        <v>0</v>
      </c>
      <c r="CL115" s="64"/>
      <c r="CM115" s="74" t="s">
        <v>1757</v>
      </c>
      <c r="CN115" s="73">
        <f t="shared" ca="1" si="529"/>
        <v>0</v>
      </c>
      <c r="CO115" s="64"/>
      <c r="CP115" s="74" t="s">
        <v>1757</v>
      </c>
      <c r="CQ115" s="73">
        <f t="shared" ca="1" si="529"/>
        <v>0</v>
      </c>
      <c r="CR115" s="64"/>
      <c r="CS115" s="74" t="s">
        <v>1757</v>
      </c>
      <c r="CT115" s="73">
        <f t="shared" ca="1" si="529"/>
        <v>0</v>
      </c>
      <c r="CU115" s="64"/>
      <c r="CV115" s="74" t="s">
        <v>1757</v>
      </c>
      <c r="CW115" s="73">
        <f t="shared" ca="1" si="529"/>
        <v>0</v>
      </c>
      <c r="CX115" s="64"/>
      <c r="CY115" s="74" t="s">
        <v>1757</v>
      </c>
      <c r="CZ115" s="73">
        <f t="shared" ca="1" si="529"/>
        <v>0</v>
      </c>
      <c r="DA115" s="64"/>
      <c r="DB115" s="74" t="s">
        <v>1757</v>
      </c>
      <c r="DC115" s="73">
        <f t="shared" ca="1" si="529"/>
        <v>0</v>
      </c>
      <c r="DD115" s="64"/>
      <c r="DE115" s="74" t="s">
        <v>1757</v>
      </c>
      <c r="DF115" s="73">
        <f t="shared" ca="1" si="529"/>
        <v>0</v>
      </c>
      <c r="DG115" s="64"/>
      <c r="DH115" s="74" t="s">
        <v>1757</v>
      </c>
      <c r="DI115" s="73">
        <f t="shared" ca="1" si="529"/>
        <v>0</v>
      </c>
      <c r="DJ115" s="64"/>
      <c r="DK115" s="74" t="s">
        <v>1757</v>
      </c>
      <c r="DL115" s="73">
        <f t="shared" ca="1" si="529"/>
        <v>0</v>
      </c>
      <c r="DM115" s="64"/>
      <c r="DN115" s="795" t="s">
        <v>1757</v>
      </c>
      <c r="DO115" s="73">
        <f t="shared" ca="1" si="529"/>
        <v>0</v>
      </c>
      <c r="DP115" s="64"/>
      <c r="DQ115" s="795" t="s">
        <v>1634</v>
      </c>
      <c r="DR115" s="73">
        <f t="shared" ca="1" si="529"/>
        <v>0</v>
      </c>
      <c r="DS115" s="64"/>
      <c r="DT115" s="74" t="s">
        <v>1634</v>
      </c>
      <c r="DU115" s="73">
        <f t="shared" ca="1" si="529"/>
        <v>0</v>
      </c>
      <c r="DV115" s="64"/>
      <c r="DW115" s="74" t="s">
        <v>1757</v>
      </c>
      <c r="DX115" s="73">
        <f t="shared" ca="1" si="529"/>
        <v>0</v>
      </c>
      <c r="DY115" s="64"/>
      <c r="DZ115" s="74" t="s">
        <v>1757</v>
      </c>
      <c r="EA115" s="73">
        <f t="shared" ca="1" si="529"/>
        <v>0</v>
      </c>
      <c r="EB115" s="64"/>
      <c r="EC115" s="74" t="s">
        <v>1757</v>
      </c>
      <c r="ED115" s="73">
        <f t="shared" ca="1" si="529"/>
        <v>0</v>
      </c>
      <c r="EE115" s="64"/>
      <c r="EF115" s="74" t="s">
        <v>1757</v>
      </c>
      <c r="EG115" s="73">
        <f t="shared" ca="1" si="529"/>
        <v>0</v>
      </c>
      <c r="EH115" s="64"/>
      <c r="EI115" s="74" t="s">
        <v>1757</v>
      </c>
      <c r="EJ115" s="73">
        <f t="shared" ca="1" si="529"/>
        <v>0</v>
      </c>
      <c r="EK115" s="64"/>
      <c r="EL115" s="74"/>
      <c r="EM115" s="73">
        <f t="shared" ca="1" si="529"/>
        <v>0</v>
      </c>
      <c r="EN115" s="64"/>
      <c r="EO115" s="74"/>
      <c r="EP115" s="73">
        <f t="shared" ca="1" si="529"/>
        <v>0</v>
      </c>
      <c r="EQ115" s="64"/>
      <c r="ER115" s="74"/>
      <c r="ES115" s="73">
        <f t="shared" ca="1" si="529"/>
        <v>0</v>
      </c>
      <c r="ET115" s="64"/>
      <c r="EU115" s="74"/>
      <c r="EV115" s="73">
        <f t="shared" ca="1" si="529"/>
        <v>0</v>
      </c>
      <c r="EW115" s="64"/>
      <c r="EX115" s="74"/>
      <c r="EY115" s="73">
        <f t="shared" ref="EY115:FK115" ca="1" si="530">($M115=EX115)*$D$14</f>
        <v>0</v>
      </c>
      <c r="EZ115" s="64"/>
      <c r="FA115" s="74"/>
      <c r="FB115" s="73">
        <f t="shared" ca="1" si="530"/>
        <v>0</v>
      </c>
      <c r="FC115" s="64"/>
      <c r="FD115" s="74"/>
      <c r="FE115" s="73">
        <f t="shared" ca="1" si="530"/>
        <v>0</v>
      </c>
      <c r="FF115" s="64"/>
      <c r="FG115" s="74"/>
      <c r="FH115" s="73">
        <f t="shared" ca="1" si="530"/>
        <v>0</v>
      </c>
      <c r="FI115" s="64"/>
      <c r="FJ115" s="74"/>
      <c r="FK115" s="73">
        <f t="shared" ca="1" si="530"/>
        <v>0</v>
      </c>
      <c r="FL115" s="64"/>
      <c r="FM115" s="64"/>
    </row>
    <row r="116" spans="1:169">
      <c r="A116" s="49"/>
      <c r="B116" s="49"/>
      <c r="C116" s="49"/>
      <c r="D116" s="49"/>
      <c r="E116" s="65"/>
      <c r="F116" s="127">
        <f t="shared" ref="F116" si="531">$D$11</f>
        <v>2</v>
      </c>
      <c r="G116" s="445">
        <f ca="1">VLOOKUP(H116,Equipos!$Q$1:$R$25,2,0)</f>
        <v>18</v>
      </c>
      <c r="H116" s="446">
        <f ca="1">$H$72</f>
        <v>46201</v>
      </c>
      <c r="I116" s="50"/>
      <c r="J116" s="851" t="s">
        <v>5</v>
      </c>
      <c r="K116" s="56" t="str">
        <f>Idiomas!D186</f>
        <v>1º GRUPO J</v>
      </c>
      <c r="L116" s="53"/>
      <c r="M116" s="55" t="str">
        <f ca="1">IF(OR(SUM(WORLDCUP!$AN$78:$AN$81)=12,WORLDCUP!$AJ$99=144),WORLDCUP!AL78,LEFT(K116,1)&amp;RIGHT(K116,1))</f>
        <v>1J</v>
      </c>
      <c r="N116" s="25"/>
      <c r="O116" s="25"/>
      <c r="P116" s="25"/>
      <c r="Q116" s="25"/>
      <c r="R116" s="110"/>
      <c r="S116" s="74" t="s">
        <v>1256</v>
      </c>
      <c r="T116" s="73">
        <f t="shared" ref="T116" ca="1" si="532">($M116=S116)*$D$11</f>
        <v>0</v>
      </c>
      <c r="U116" s="64"/>
      <c r="V116" s="74" t="s">
        <v>1256</v>
      </c>
      <c r="W116" s="73">
        <f t="shared" ref="W116:CH116" ca="1" si="533">($M116=V116)*$D$11</f>
        <v>0</v>
      </c>
      <c r="X116" s="64"/>
      <c r="Y116" s="74" t="s">
        <v>1256</v>
      </c>
      <c r="Z116" s="73">
        <f t="shared" ca="1" si="533"/>
        <v>0</v>
      </c>
      <c r="AA116" s="64"/>
      <c r="AB116" s="74" t="s">
        <v>1256</v>
      </c>
      <c r="AC116" s="73">
        <f t="shared" ca="1" si="533"/>
        <v>0</v>
      </c>
      <c r="AD116" s="64"/>
      <c r="AE116" s="74" t="s">
        <v>1256</v>
      </c>
      <c r="AF116" s="73">
        <f t="shared" ca="1" si="533"/>
        <v>0</v>
      </c>
      <c r="AG116" s="64"/>
      <c r="AH116" s="74" t="s">
        <v>1256</v>
      </c>
      <c r="AI116" s="73">
        <f t="shared" ca="1" si="533"/>
        <v>0</v>
      </c>
      <c r="AJ116" s="64"/>
      <c r="AK116" s="74" t="s">
        <v>1256</v>
      </c>
      <c r="AL116" s="73">
        <f t="shared" ca="1" si="533"/>
        <v>0</v>
      </c>
      <c r="AM116" s="64"/>
      <c r="AN116" s="74" t="s">
        <v>1256</v>
      </c>
      <c r="AO116" s="73">
        <f t="shared" ca="1" si="533"/>
        <v>0</v>
      </c>
      <c r="AP116" s="64"/>
      <c r="AQ116" s="74" t="s">
        <v>1256</v>
      </c>
      <c r="AR116" s="73">
        <f t="shared" ca="1" si="533"/>
        <v>0</v>
      </c>
      <c r="AS116" s="64"/>
      <c r="AT116" s="74" t="s">
        <v>1256</v>
      </c>
      <c r="AU116" s="73">
        <f t="shared" ca="1" si="533"/>
        <v>0</v>
      </c>
      <c r="AV116" s="64"/>
      <c r="AW116" s="74" t="s">
        <v>1256</v>
      </c>
      <c r="AX116" s="73">
        <f t="shared" ca="1" si="533"/>
        <v>0</v>
      </c>
      <c r="AY116" s="64"/>
      <c r="AZ116" s="74" t="s">
        <v>1256</v>
      </c>
      <c r="BA116" s="73">
        <f t="shared" ca="1" si="533"/>
        <v>0</v>
      </c>
      <c r="BB116" s="64"/>
      <c r="BC116" s="74" t="s">
        <v>1256</v>
      </c>
      <c r="BD116" s="73">
        <f t="shared" ca="1" si="533"/>
        <v>0</v>
      </c>
      <c r="BE116" s="64"/>
      <c r="BF116" s="74" t="s">
        <v>1256</v>
      </c>
      <c r="BG116" s="73">
        <f t="shared" ca="1" si="533"/>
        <v>0</v>
      </c>
      <c r="BH116" s="64"/>
      <c r="BI116" s="74" t="s">
        <v>1256</v>
      </c>
      <c r="BJ116" s="73">
        <f t="shared" ca="1" si="533"/>
        <v>0</v>
      </c>
      <c r="BK116" s="64"/>
      <c r="BL116" s="74" t="s">
        <v>1256</v>
      </c>
      <c r="BM116" s="73">
        <f t="shared" ca="1" si="533"/>
        <v>0</v>
      </c>
      <c r="BN116" s="64"/>
      <c r="BO116" s="74" t="s">
        <v>1256</v>
      </c>
      <c r="BP116" s="73">
        <f t="shared" ca="1" si="533"/>
        <v>0</v>
      </c>
      <c r="BQ116" s="64"/>
      <c r="BR116" s="74" t="s">
        <v>1256</v>
      </c>
      <c r="BS116" s="73">
        <f t="shared" ca="1" si="533"/>
        <v>0</v>
      </c>
      <c r="BT116" s="64"/>
      <c r="BU116" s="74" t="s">
        <v>1256</v>
      </c>
      <c r="BV116" s="73">
        <f t="shared" ca="1" si="533"/>
        <v>0</v>
      </c>
      <c r="BW116" s="64"/>
      <c r="BX116" s="74" t="s">
        <v>1256</v>
      </c>
      <c r="BY116" s="73">
        <f t="shared" ca="1" si="533"/>
        <v>0</v>
      </c>
      <c r="BZ116" s="64"/>
      <c r="CA116" s="74" t="s">
        <v>1256</v>
      </c>
      <c r="CB116" s="73">
        <f t="shared" ca="1" si="533"/>
        <v>0</v>
      </c>
      <c r="CC116" s="64"/>
      <c r="CD116" s="74" t="s">
        <v>1256</v>
      </c>
      <c r="CE116" s="73">
        <f t="shared" ca="1" si="533"/>
        <v>0</v>
      </c>
      <c r="CF116" s="64"/>
      <c r="CG116" s="74" t="s">
        <v>1256</v>
      </c>
      <c r="CH116" s="73">
        <f t="shared" ca="1" si="533"/>
        <v>0</v>
      </c>
      <c r="CI116" s="64"/>
      <c r="CJ116" s="74" t="s">
        <v>1256</v>
      </c>
      <c r="CK116" s="73">
        <f t="shared" ref="CK116:EV116" ca="1" si="534">($M116=CJ116)*$D$11</f>
        <v>0</v>
      </c>
      <c r="CL116" s="64"/>
      <c r="CM116" s="74" t="s">
        <v>1256</v>
      </c>
      <c r="CN116" s="73">
        <f t="shared" ca="1" si="534"/>
        <v>0</v>
      </c>
      <c r="CO116" s="64"/>
      <c r="CP116" s="74" t="s">
        <v>1256</v>
      </c>
      <c r="CQ116" s="73">
        <f t="shared" ca="1" si="534"/>
        <v>0</v>
      </c>
      <c r="CR116" s="64"/>
      <c r="CS116" s="74" t="s">
        <v>1256</v>
      </c>
      <c r="CT116" s="73">
        <f t="shared" ca="1" si="534"/>
        <v>0</v>
      </c>
      <c r="CU116" s="64"/>
      <c r="CV116" s="74" t="s">
        <v>1256</v>
      </c>
      <c r="CW116" s="73">
        <f t="shared" ca="1" si="534"/>
        <v>0</v>
      </c>
      <c r="CX116" s="64"/>
      <c r="CY116" s="74" t="s">
        <v>1256</v>
      </c>
      <c r="CZ116" s="73">
        <f t="shared" ca="1" si="534"/>
        <v>0</v>
      </c>
      <c r="DA116" s="64"/>
      <c r="DB116" s="74" t="s">
        <v>1256</v>
      </c>
      <c r="DC116" s="73">
        <f t="shared" ca="1" si="534"/>
        <v>0</v>
      </c>
      <c r="DD116" s="64"/>
      <c r="DE116" s="74" t="s">
        <v>1256</v>
      </c>
      <c r="DF116" s="73">
        <f t="shared" ca="1" si="534"/>
        <v>0</v>
      </c>
      <c r="DG116" s="64"/>
      <c r="DH116" s="74" t="s">
        <v>1256</v>
      </c>
      <c r="DI116" s="73">
        <f t="shared" ca="1" si="534"/>
        <v>0</v>
      </c>
      <c r="DJ116" s="64"/>
      <c r="DK116" s="74" t="s">
        <v>1256</v>
      </c>
      <c r="DL116" s="73">
        <f t="shared" ca="1" si="534"/>
        <v>0</v>
      </c>
      <c r="DM116" s="64"/>
      <c r="DN116" s="795" t="s">
        <v>1256</v>
      </c>
      <c r="DO116" s="73">
        <f t="shared" ca="1" si="534"/>
        <v>0</v>
      </c>
      <c r="DP116" s="64"/>
      <c r="DQ116" s="795" t="s">
        <v>1256</v>
      </c>
      <c r="DR116" s="73">
        <f t="shared" ca="1" si="534"/>
        <v>0</v>
      </c>
      <c r="DS116" s="64"/>
      <c r="DT116" s="74" t="s">
        <v>1256</v>
      </c>
      <c r="DU116" s="73">
        <f t="shared" ca="1" si="534"/>
        <v>0</v>
      </c>
      <c r="DV116" s="64"/>
      <c r="DW116" s="74" t="s">
        <v>1256</v>
      </c>
      <c r="DX116" s="73">
        <f t="shared" ca="1" si="534"/>
        <v>0</v>
      </c>
      <c r="DY116" s="64"/>
      <c r="DZ116" s="74" t="s">
        <v>1256</v>
      </c>
      <c r="EA116" s="73">
        <f t="shared" ca="1" si="534"/>
        <v>0</v>
      </c>
      <c r="EB116" s="64"/>
      <c r="EC116" s="74" t="s">
        <v>1256</v>
      </c>
      <c r="ED116" s="73">
        <f t="shared" ca="1" si="534"/>
        <v>0</v>
      </c>
      <c r="EE116" s="64"/>
      <c r="EF116" s="74" t="s">
        <v>1256</v>
      </c>
      <c r="EG116" s="73">
        <f t="shared" ca="1" si="534"/>
        <v>0</v>
      </c>
      <c r="EH116" s="64"/>
      <c r="EI116" s="74" t="s">
        <v>1256</v>
      </c>
      <c r="EJ116" s="73">
        <f t="shared" ca="1" si="534"/>
        <v>0</v>
      </c>
      <c r="EK116" s="64"/>
      <c r="EL116" s="74"/>
      <c r="EM116" s="73">
        <f t="shared" ca="1" si="534"/>
        <v>0</v>
      </c>
      <c r="EN116" s="64"/>
      <c r="EO116" s="74"/>
      <c r="EP116" s="73">
        <f t="shared" ca="1" si="534"/>
        <v>0</v>
      </c>
      <c r="EQ116" s="64"/>
      <c r="ER116" s="74"/>
      <c r="ES116" s="73">
        <f t="shared" ca="1" si="534"/>
        <v>0</v>
      </c>
      <c r="ET116" s="64"/>
      <c r="EU116" s="74"/>
      <c r="EV116" s="73">
        <f t="shared" ca="1" si="534"/>
        <v>0</v>
      </c>
      <c r="EW116" s="64"/>
      <c r="EX116" s="74"/>
      <c r="EY116" s="73">
        <f t="shared" ref="EY116:FK116" ca="1" si="535">($M116=EX116)*$D$11</f>
        <v>0</v>
      </c>
      <c r="EZ116" s="64"/>
      <c r="FA116" s="74"/>
      <c r="FB116" s="73">
        <f t="shared" ca="1" si="535"/>
        <v>0</v>
      </c>
      <c r="FC116" s="64"/>
      <c r="FD116" s="74"/>
      <c r="FE116" s="73">
        <f t="shared" ca="1" si="535"/>
        <v>0</v>
      </c>
      <c r="FF116" s="64"/>
      <c r="FG116" s="74"/>
      <c r="FH116" s="73">
        <f t="shared" ca="1" si="535"/>
        <v>0</v>
      </c>
      <c r="FI116" s="64"/>
      <c r="FJ116" s="74"/>
      <c r="FK116" s="73">
        <f t="shared" ca="1" si="535"/>
        <v>0</v>
      </c>
      <c r="FL116" s="64"/>
      <c r="FM116" s="64"/>
    </row>
    <row r="117" spans="1:169">
      <c r="A117" s="49"/>
      <c r="B117" s="49"/>
      <c r="C117" s="49"/>
      <c r="D117" s="49"/>
      <c r="E117" s="65"/>
      <c r="F117" s="127">
        <f t="shared" ref="F117" si="536">$D$12</f>
        <v>2</v>
      </c>
      <c r="G117" s="445">
        <f ca="1">VLOOKUP(H117,Equipos!$Q$1:$R$25,2,0)</f>
        <v>18</v>
      </c>
      <c r="H117" s="446">
        <f ca="1">$H$72</f>
        <v>46201</v>
      </c>
      <c r="I117" s="50"/>
      <c r="J117" s="851"/>
      <c r="K117" s="56" t="str">
        <f>Idiomas!D187</f>
        <v>2º GRUPO J</v>
      </c>
      <c r="L117" s="53"/>
      <c r="M117" s="55" t="str">
        <f ca="1">IF(OR(SUM(WORLDCUP!$AN$78:$AN$81)=12,WORLDCUP!$AJ$99=144),WORLDCUP!AL79,LEFT(K117,1)&amp;RIGHT(K117,1))</f>
        <v>2J</v>
      </c>
      <c r="N117" s="25"/>
      <c r="O117" s="25"/>
      <c r="P117" s="25"/>
      <c r="Q117" s="25"/>
      <c r="R117" s="110"/>
      <c r="S117" s="74" t="s">
        <v>80</v>
      </c>
      <c r="T117" s="73">
        <f t="shared" ref="T117" ca="1" si="537">($M117=S117)*$D$12</f>
        <v>0</v>
      </c>
      <c r="U117" s="64"/>
      <c r="V117" s="74" t="s">
        <v>80</v>
      </c>
      <c r="W117" s="73">
        <f t="shared" ref="W117:CH117" ca="1" si="538">($M117=V117)*$D$12</f>
        <v>0</v>
      </c>
      <c r="X117" s="64"/>
      <c r="Y117" s="74" t="s">
        <v>80</v>
      </c>
      <c r="Z117" s="73">
        <f t="shared" ca="1" si="538"/>
        <v>0</v>
      </c>
      <c r="AA117" s="64"/>
      <c r="AB117" s="74" t="s">
        <v>80</v>
      </c>
      <c r="AC117" s="73">
        <f t="shared" ca="1" si="538"/>
        <v>0</v>
      </c>
      <c r="AD117" s="64"/>
      <c r="AE117" s="74" t="s">
        <v>80</v>
      </c>
      <c r="AF117" s="73">
        <f t="shared" ca="1" si="538"/>
        <v>0</v>
      </c>
      <c r="AG117" s="64"/>
      <c r="AH117" s="74" t="s">
        <v>1558</v>
      </c>
      <c r="AI117" s="73">
        <f t="shared" ca="1" si="538"/>
        <v>0</v>
      </c>
      <c r="AJ117" s="64"/>
      <c r="AK117" s="74" t="s">
        <v>80</v>
      </c>
      <c r="AL117" s="73">
        <f t="shared" ca="1" si="538"/>
        <v>0</v>
      </c>
      <c r="AM117" s="64"/>
      <c r="AN117" s="74" t="s">
        <v>1558</v>
      </c>
      <c r="AO117" s="73">
        <f t="shared" ca="1" si="538"/>
        <v>0</v>
      </c>
      <c r="AP117" s="64"/>
      <c r="AQ117" s="74" t="s">
        <v>80</v>
      </c>
      <c r="AR117" s="73">
        <f t="shared" ca="1" si="538"/>
        <v>0</v>
      </c>
      <c r="AS117" s="64"/>
      <c r="AT117" s="74" t="s">
        <v>80</v>
      </c>
      <c r="AU117" s="73">
        <f t="shared" ca="1" si="538"/>
        <v>0</v>
      </c>
      <c r="AV117" s="64"/>
      <c r="AW117" s="74" t="s">
        <v>1558</v>
      </c>
      <c r="AX117" s="73">
        <f t="shared" ca="1" si="538"/>
        <v>0</v>
      </c>
      <c r="AY117" s="64"/>
      <c r="AZ117" s="74" t="s">
        <v>80</v>
      </c>
      <c r="BA117" s="73">
        <f t="shared" ca="1" si="538"/>
        <v>0</v>
      </c>
      <c r="BB117" s="64"/>
      <c r="BC117" s="74" t="s">
        <v>80</v>
      </c>
      <c r="BD117" s="73">
        <f t="shared" ca="1" si="538"/>
        <v>0</v>
      </c>
      <c r="BE117" s="64"/>
      <c r="BF117" s="74" t="s">
        <v>80</v>
      </c>
      <c r="BG117" s="73">
        <f t="shared" ca="1" si="538"/>
        <v>0</v>
      </c>
      <c r="BH117" s="64"/>
      <c r="BI117" s="74" t="s">
        <v>80</v>
      </c>
      <c r="BJ117" s="73">
        <f t="shared" ca="1" si="538"/>
        <v>0</v>
      </c>
      <c r="BK117" s="64"/>
      <c r="BL117" s="74" t="s">
        <v>80</v>
      </c>
      <c r="BM117" s="73">
        <f t="shared" ca="1" si="538"/>
        <v>0</v>
      </c>
      <c r="BN117" s="64"/>
      <c r="BO117" s="74" t="s">
        <v>1558</v>
      </c>
      <c r="BP117" s="73">
        <f t="shared" ca="1" si="538"/>
        <v>0</v>
      </c>
      <c r="BQ117" s="64"/>
      <c r="BR117" s="74" t="s">
        <v>80</v>
      </c>
      <c r="BS117" s="73">
        <f t="shared" ca="1" si="538"/>
        <v>0</v>
      </c>
      <c r="BT117" s="64"/>
      <c r="BU117" s="74" t="s">
        <v>80</v>
      </c>
      <c r="BV117" s="73">
        <f t="shared" ca="1" si="538"/>
        <v>0</v>
      </c>
      <c r="BW117" s="64"/>
      <c r="BX117" s="74" t="s">
        <v>1558</v>
      </c>
      <c r="BY117" s="73">
        <f t="shared" ca="1" si="538"/>
        <v>0</v>
      </c>
      <c r="BZ117" s="64"/>
      <c r="CA117" s="74" t="s">
        <v>80</v>
      </c>
      <c r="CB117" s="73">
        <f t="shared" ca="1" si="538"/>
        <v>0</v>
      </c>
      <c r="CC117" s="64"/>
      <c r="CD117" s="74" t="s">
        <v>80</v>
      </c>
      <c r="CE117" s="73">
        <f t="shared" ca="1" si="538"/>
        <v>0</v>
      </c>
      <c r="CF117" s="64"/>
      <c r="CG117" s="74" t="s">
        <v>80</v>
      </c>
      <c r="CH117" s="73">
        <f t="shared" ca="1" si="538"/>
        <v>0</v>
      </c>
      <c r="CI117" s="64"/>
      <c r="CJ117" s="74" t="s">
        <v>80</v>
      </c>
      <c r="CK117" s="73">
        <f t="shared" ref="CK117:EV117" ca="1" si="539">($M117=CJ117)*$D$12</f>
        <v>0</v>
      </c>
      <c r="CL117" s="64"/>
      <c r="CM117" s="74" t="s">
        <v>80</v>
      </c>
      <c r="CN117" s="73">
        <f t="shared" ca="1" si="539"/>
        <v>0</v>
      </c>
      <c r="CO117" s="64"/>
      <c r="CP117" s="74" t="s">
        <v>1558</v>
      </c>
      <c r="CQ117" s="73">
        <f t="shared" ca="1" si="539"/>
        <v>0</v>
      </c>
      <c r="CR117" s="64"/>
      <c r="CS117" s="74" t="s">
        <v>80</v>
      </c>
      <c r="CT117" s="73">
        <f t="shared" ca="1" si="539"/>
        <v>0</v>
      </c>
      <c r="CU117" s="64"/>
      <c r="CV117" s="74" t="s">
        <v>80</v>
      </c>
      <c r="CW117" s="73">
        <f t="shared" ca="1" si="539"/>
        <v>0</v>
      </c>
      <c r="CX117" s="64"/>
      <c r="CY117" s="74" t="s">
        <v>80</v>
      </c>
      <c r="CZ117" s="73">
        <f t="shared" ca="1" si="539"/>
        <v>0</v>
      </c>
      <c r="DA117" s="64"/>
      <c r="DB117" s="74" t="s">
        <v>80</v>
      </c>
      <c r="DC117" s="73">
        <f t="shared" ca="1" si="539"/>
        <v>0</v>
      </c>
      <c r="DD117" s="64"/>
      <c r="DE117" s="74" t="s">
        <v>80</v>
      </c>
      <c r="DF117" s="73">
        <f t="shared" ca="1" si="539"/>
        <v>0</v>
      </c>
      <c r="DG117" s="64"/>
      <c r="DH117" s="74" t="s">
        <v>80</v>
      </c>
      <c r="DI117" s="73">
        <f t="shared" ca="1" si="539"/>
        <v>0</v>
      </c>
      <c r="DJ117" s="64"/>
      <c r="DK117" s="74" t="s">
        <v>80</v>
      </c>
      <c r="DL117" s="73">
        <f t="shared" ca="1" si="539"/>
        <v>0</v>
      </c>
      <c r="DM117" s="64"/>
      <c r="DN117" s="795" t="s">
        <v>80</v>
      </c>
      <c r="DO117" s="73">
        <f t="shared" ca="1" si="539"/>
        <v>0</v>
      </c>
      <c r="DP117" s="64"/>
      <c r="DQ117" s="795" t="s">
        <v>80</v>
      </c>
      <c r="DR117" s="73">
        <f t="shared" ca="1" si="539"/>
        <v>0</v>
      </c>
      <c r="DS117" s="64"/>
      <c r="DT117" s="74" t="s">
        <v>1558</v>
      </c>
      <c r="DU117" s="73">
        <f t="shared" ca="1" si="539"/>
        <v>0</v>
      </c>
      <c r="DV117" s="64"/>
      <c r="DW117" s="74" t="s">
        <v>80</v>
      </c>
      <c r="DX117" s="73">
        <f t="shared" ca="1" si="539"/>
        <v>0</v>
      </c>
      <c r="DY117" s="64"/>
      <c r="DZ117" s="74" t="s">
        <v>80</v>
      </c>
      <c r="EA117" s="73">
        <f t="shared" ca="1" si="539"/>
        <v>0</v>
      </c>
      <c r="EB117" s="64"/>
      <c r="EC117" s="74" t="s">
        <v>80</v>
      </c>
      <c r="ED117" s="73">
        <f t="shared" ca="1" si="539"/>
        <v>0</v>
      </c>
      <c r="EE117" s="64"/>
      <c r="EF117" s="74" t="s">
        <v>1558</v>
      </c>
      <c r="EG117" s="73">
        <f t="shared" ca="1" si="539"/>
        <v>0</v>
      </c>
      <c r="EH117" s="64"/>
      <c r="EI117" s="74" t="s">
        <v>80</v>
      </c>
      <c r="EJ117" s="73">
        <f t="shared" ca="1" si="539"/>
        <v>0</v>
      </c>
      <c r="EK117" s="64"/>
      <c r="EL117" s="74"/>
      <c r="EM117" s="73">
        <f t="shared" ca="1" si="539"/>
        <v>0</v>
      </c>
      <c r="EN117" s="64"/>
      <c r="EO117" s="74"/>
      <c r="EP117" s="73">
        <f t="shared" ca="1" si="539"/>
        <v>0</v>
      </c>
      <c r="EQ117" s="64"/>
      <c r="ER117" s="74"/>
      <c r="ES117" s="73">
        <f t="shared" ca="1" si="539"/>
        <v>0</v>
      </c>
      <c r="ET117" s="64"/>
      <c r="EU117" s="74"/>
      <c r="EV117" s="73">
        <f t="shared" ca="1" si="539"/>
        <v>0</v>
      </c>
      <c r="EW117" s="64"/>
      <c r="EX117" s="74"/>
      <c r="EY117" s="73">
        <f t="shared" ref="EY117:FK117" ca="1" si="540">($M117=EX117)*$D$12</f>
        <v>0</v>
      </c>
      <c r="EZ117" s="64"/>
      <c r="FA117" s="74"/>
      <c r="FB117" s="73">
        <f t="shared" ca="1" si="540"/>
        <v>0</v>
      </c>
      <c r="FC117" s="64"/>
      <c r="FD117" s="74"/>
      <c r="FE117" s="73">
        <f t="shared" ca="1" si="540"/>
        <v>0</v>
      </c>
      <c r="FF117" s="64"/>
      <c r="FG117" s="74"/>
      <c r="FH117" s="73">
        <f t="shared" ca="1" si="540"/>
        <v>0</v>
      </c>
      <c r="FI117" s="64"/>
      <c r="FJ117" s="74"/>
      <c r="FK117" s="73">
        <f t="shared" ca="1" si="540"/>
        <v>0</v>
      </c>
      <c r="FL117" s="64"/>
      <c r="FM117" s="64"/>
    </row>
    <row r="118" spans="1:169">
      <c r="A118" s="49"/>
      <c r="B118" s="49"/>
      <c r="C118" s="49"/>
      <c r="D118" s="49"/>
      <c r="E118" s="65"/>
      <c r="F118" s="127">
        <f t="shared" ref="F118" si="541">$D$13</f>
        <v>2</v>
      </c>
      <c r="G118" s="445">
        <f ca="1">VLOOKUP(H118,Equipos!$Q$1:$R$25,2,0)</f>
        <v>18</v>
      </c>
      <c r="H118" s="446">
        <f ca="1">$H$72</f>
        <v>46201</v>
      </c>
      <c r="I118" s="50"/>
      <c r="J118" s="851"/>
      <c r="K118" s="56" t="str">
        <f>Idiomas!D188</f>
        <v>3º GRUPO J</v>
      </c>
      <c r="L118" s="53"/>
      <c r="M118" s="55" t="str">
        <f ca="1">IF(OR(SUM(WORLDCUP!$AN$78:$AN$81)=12,WORLDCUP!$AJ$99=144),WORLDCUP!AL80,LEFT(K118,1)&amp;RIGHT(K118,1))</f>
        <v>3J</v>
      </c>
      <c r="N118" s="25"/>
      <c r="O118" s="25"/>
      <c r="P118" s="25"/>
      <c r="Q118" s="25"/>
      <c r="R118" s="110"/>
      <c r="S118" s="74" t="s">
        <v>1558</v>
      </c>
      <c r="T118" s="73">
        <f t="shared" ref="T118" ca="1" si="542">($M118=S118)*$D$13</f>
        <v>0</v>
      </c>
      <c r="U118" s="64"/>
      <c r="V118" s="74" t="s">
        <v>1558</v>
      </c>
      <c r="W118" s="73">
        <f t="shared" ref="W118:CH118" ca="1" si="543">($M118=V118)*$D$13</f>
        <v>0</v>
      </c>
      <c r="X118" s="64"/>
      <c r="Y118" s="74" t="s">
        <v>1558</v>
      </c>
      <c r="Z118" s="73">
        <f t="shared" ca="1" si="543"/>
        <v>0</v>
      </c>
      <c r="AA118" s="64"/>
      <c r="AB118" s="74" t="s">
        <v>1558</v>
      </c>
      <c r="AC118" s="73">
        <f t="shared" ca="1" si="543"/>
        <v>0</v>
      </c>
      <c r="AD118" s="64"/>
      <c r="AE118" s="74" t="s">
        <v>1558</v>
      </c>
      <c r="AF118" s="73">
        <f t="shared" ca="1" si="543"/>
        <v>0</v>
      </c>
      <c r="AG118" s="64"/>
      <c r="AH118" s="74" t="s">
        <v>80</v>
      </c>
      <c r="AI118" s="73">
        <f t="shared" ca="1" si="543"/>
        <v>0</v>
      </c>
      <c r="AJ118" s="64"/>
      <c r="AK118" s="74" t="s">
        <v>1558</v>
      </c>
      <c r="AL118" s="73">
        <f t="shared" ca="1" si="543"/>
        <v>0</v>
      </c>
      <c r="AM118" s="64"/>
      <c r="AN118" s="74" t="s">
        <v>80</v>
      </c>
      <c r="AO118" s="73">
        <f t="shared" ca="1" si="543"/>
        <v>0</v>
      </c>
      <c r="AP118" s="64"/>
      <c r="AQ118" s="74" t="s">
        <v>1558</v>
      </c>
      <c r="AR118" s="73">
        <f t="shared" ca="1" si="543"/>
        <v>0</v>
      </c>
      <c r="AS118" s="64"/>
      <c r="AT118" s="74" t="s">
        <v>1558</v>
      </c>
      <c r="AU118" s="73">
        <f t="shared" ca="1" si="543"/>
        <v>0</v>
      </c>
      <c r="AV118" s="64"/>
      <c r="AW118" s="74" t="s">
        <v>80</v>
      </c>
      <c r="AX118" s="73">
        <f t="shared" ca="1" si="543"/>
        <v>0</v>
      </c>
      <c r="AY118" s="64"/>
      <c r="AZ118" s="74" t="s">
        <v>1558</v>
      </c>
      <c r="BA118" s="73">
        <f t="shared" ca="1" si="543"/>
        <v>0</v>
      </c>
      <c r="BB118" s="64"/>
      <c r="BC118" s="74" t="s">
        <v>1558</v>
      </c>
      <c r="BD118" s="73">
        <f t="shared" ca="1" si="543"/>
        <v>0</v>
      </c>
      <c r="BE118" s="64"/>
      <c r="BF118" s="74" t="s">
        <v>1558</v>
      </c>
      <c r="BG118" s="73">
        <f t="shared" ca="1" si="543"/>
        <v>0</v>
      </c>
      <c r="BH118" s="64"/>
      <c r="BI118" s="74" t="s">
        <v>1558</v>
      </c>
      <c r="BJ118" s="73">
        <f t="shared" ca="1" si="543"/>
        <v>0</v>
      </c>
      <c r="BK118" s="64"/>
      <c r="BL118" s="74" t="s">
        <v>1558</v>
      </c>
      <c r="BM118" s="73">
        <f t="shared" ca="1" si="543"/>
        <v>0</v>
      </c>
      <c r="BN118" s="64"/>
      <c r="BO118" s="74" t="s">
        <v>80</v>
      </c>
      <c r="BP118" s="73">
        <f t="shared" ca="1" si="543"/>
        <v>0</v>
      </c>
      <c r="BQ118" s="64"/>
      <c r="BR118" s="74" t="s">
        <v>1558</v>
      </c>
      <c r="BS118" s="73">
        <f t="shared" ca="1" si="543"/>
        <v>0</v>
      </c>
      <c r="BT118" s="64"/>
      <c r="BU118" s="74" t="s">
        <v>1558</v>
      </c>
      <c r="BV118" s="73">
        <f t="shared" ca="1" si="543"/>
        <v>0</v>
      </c>
      <c r="BW118" s="64"/>
      <c r="BX118" s="74" t="s">
        <v>80</v>
      </c>
      <c r="BY118" s="73">
        <f t="shared" ca="1" si="543"/>
        <v>0</v>
      </c>
      <c r="BZ118" s="64"/>
      <c r="CA118" s="74" t="s">
        <v>1558</v>
      </c>
      <c r="CB118" s="73">
        <f t="shared" ca="1" si="543"/>
        <v>0</v>
      </c>
      <c r="CC118" s="64"/>
      <c r="CD118" s="74" t="s">
        <v>1264</v>
      </c>
      <c r="CE118" s="73">
        <f t="shared" ca="1" si="543"/>
        <v>0</v>
      </c>
      <c r="CF118" s="64"/>
      <c r="CG118" s="74" t="s">
        <v>1264</v>
      </c>
      <c r="CH118" s="73">
        <f t="shared" ca="1" si="543"/>
        <v>0</v>
      </c>
      <c r="CI118" s="64"/>
      <c r="CJ118" s="74" t="s">
        <v>1264</v>
      </c>
      <c r="CK118" s="73">
        <f t="shared" ref="CK118:EV118" ca="1" si="544">($M118=CJ118)*$D$13</f>
        <v>0</v>
      </c>
      <c r="CL118" s="64"/>
      <c r="CM118" s="74" t="s">
        <v>1558</v>
      </c>
      <c r="CN118" s="73">
        <f t="shared" ca="1" si="544"/>
        <v>0</v>
      </c>
      <c r="CO118" s="64"/>
      <c r="CP118" s="74" t="s">
        <v>80</v>
      </c>
      <c r="CQ118" s="73">
        <f t="shared" ca="1" si="544"/>
        <v>0</v>
      </c>
      <c r="CR118" s="64"/>
      <c r="CS118" s="74" t="s">
        <v>1558</v>
      </c>
      <c r="CT118" s="73">
        <f t="shared" ca="1" si="544"/>
        <v>0</v>
      </c>
      <c r="CU118" s="64"/>
      <c r="CV118" s="74" t="s">
        <v>1558</v>
      </c>
      <c r="CW118" s="73">
        <f t="shared" ca="1" si="544"/>
        <v>0</v>
      </c>
      <c r="CX118" s="64"/>
      <c r="CY118" s="74" t="s">
        <v>1558</v>
      </c>
      <c r="CZ118" s="73">
        <f t="shared" ca="1" si="544"/>
        <v>0</v>
      </c>
      <c r="DA118" s="64"/>
      <c r="DB118" s="74" t="s">
        <v>1558</v>
      </c>
      <c r="DC118" s="73">
        <f t="shared" ca="1" si="544"/>
        <v>0</v>
      </c>
      <c r="DD118" s="64"/>
      <c r="DE118" s="74" t="s">
        <v>1558</v>
      </c>
      <c r="DF118" s="73">
        <f t="shared" ca="1" si="544"/>
        <v>0</v>
      </c>
      <c r="DG118" s="64"/>
      <c r="DH118" s="74" t="s">
        <v>1558</v>
      </c>
      <c r="DI118" s="73">
        <f t="shared" ca="1" si="544"/>
        <v>0</v>
      </c>
      <c r="DJ118" s="64"/>
      <c r="DK118" s="74" t="s">
        <v>1558</v>
      </c>
      <c r="DL118" s="73">
        <f t="shared" ca="1" si="544"/>
        <v>0</v>
      </c>
      <c r="DM118" s="64"/>
      <c r="DN118" s="795" t="s">
        <v>1558</v>
      </c>
      <c r="DO118" s="73">
        <f t="shared" ca="1" si="544"/>
        <v>0</v>
      </c>
      <c r="DP118" s="64"/>
      <c r="DQ118" s="795" t="s">
        <v>1558</v>
      </c>
      <c r="DR118" s="73">
        <f t="shared" ca="1" si="544"/>
        <v>0</v>
      </c>
      <c r="DS118" s="64"/>
      <c r="DT118" s="74" t="s">
        <v>80</v>
      </c>
      <c r="DU118" s="73">
        <f t="shared" ca="1" si="544"/>
        <v>0</v>
      </c>
      <c r="DV118" s="64"/>
      <c r="DW118" s="74" t="s">
        <v>1558</v>
      </c>
      <c r="DX118" s="73">
        <f t="shared" ca="1" si="544"/>
        <v>0</v>
      </c>
      <c r="DY118" s="64"/>
      <c r="DZ118" s="74" t="s">
        <v>1558</v>
      </c>
      <c r="EA118" s="73">
        <f t="shared" ca="1" si="544"/>
        <v>0</v>
      </c>
      <c r="EB118" s="64"/>
      <c r="EC118" s="74" t="s">
        <v>1558</v>
      </c>
      <c r="ED118" s="73">
        <f t="shared" ca="1" si="544"/>
        <v>0</v>
      </c>
      <c r="EE118" s="64"/>
      <c r="EF118" s="74" t="s">
        <v>80</v>
      </c>
      <c r="EG118" s="73">
        <f t="shared" ca="1" si="544"/>
        <v>0</v>
      </c>
      <c r="EH118" s="64"/>
      <c r="EI118" s="74" t="s">
        <v>1558</v>
      </c>
      <c r="EJ118" s="73">
        <f t="shared" ca="1" si="544"/>
        <v>0</v>
      </c>
      <c r="EK118" s="64"/>
      <c r="EL118" s="74"/>
      <c r="EM118" s="73">
        <f t="shared" ca="1" si="544"/>
        <v>0</v>
      </c>
      <c r="EN118" s="64"/>
      <c r="EO118" s="74"/>
      <c r="EP118" s="73">
        <f t="shared" ca="1" si="544"/>
        <v>0</v>
      </c>
      <c r="EQ118" s="64"/>
      <c r="ER118" s="74"/>
      <c r="ES118" s="73">
        <f t="shared" ca="1" si="544"/>
        <v>0</v>
      </c>
      <c r="ET118" s="64"/>
      <c r="EU118" s="74"/>
      <c r="EV118" s="73">
        <f t="shared" ca="1" si="544"/>
        <v>0</v>
      </c>
      <c r="EW118" s="64"/>
      <c r="EX118" s="74"/>
      <c r="EY118" s="73">
        <f t="shared" ref="EY118:FK118" ca="1" si="545">($M118=EX118)*$D$13</f>
        <v>0</v>
      </c>
      <c r="EZ118" s="64"/>
      <c r="FA118" s="74"/>
      <c r="FB118" s="73">
        <f t="shared" ca="1" si="545"/>
        <v>0</v>
      </c>
      <c r="FC118" s="64"/>
      <c r="FD118" s="74"/>
      <c r="FE118" s="73">
        <f t="shared" ca="1" si="545"/>
        <v>0</v>
      </c>
      <c r="FF118" s="64"/>
      <c r="FG118" s="74"/>
      <c r="FH118" s="73">
        <f t="shared" ca="1" si="545"/>
        <v>0</v>
      </c>
      <c r="FI118" s="64"/>
      <c r="FJ118" s="74"/>
      <c r="FK118" s="73">
        <f t="shared" ca="1" si="545"/>
        <v>0</v>
      </c>
      <c r="FL118" s="64"/>
      <c r="FM118" s="64"/>
    </row>
    <row r="119" spans="1:169">
      <c r="A119" s="49"/>
      <c r="B119" s="49"/>
      <c r="C119" s="49"/>
      <c r="D119" s="49"/>
      <c r="E119" s="65"/>
      <c r="F119" s="127">
        <f t="shared" ref="F119" si="546">$D$14</f>
        <v>2</v>
      </c>
      <c r="G119" s="445">
        <f ca="1">VLOOKUP(H119,Equipos!$Q$1:$R$25,2,0)</f>
        <v>18</v>
      </c>
      <c r="H119" s="446">
        <f ca="1">$H$72</f>
        <v>46201</v>
      </c>
      <c r="I119" s="50"/>
      <c r="J119" s="851"/>
      <c r="K119" s="56" t="str">
        <f>Idiomas!D189</f>
        <v>4º GRUPO J</v>
      </c>
      <c r="L119" s="53"/>
      <c r="M119" s="55" t="str">
        <f ca="1">IF(OR(SUM(WORLDCUP!$AN$78:$AN$81)=12,WORLDCUP!$AJ$99=144),WORLDCUP!AL81,LEFT(K119,1)&amp;RIGHT(K119,1))</f>
        <v>4J</v>
      </c>
      <c r="N119" s="25"/>
      <c r="O119" s="25"/>
      <c r="P119" s="25"/>
      <c r="Q119" s="25"/>
      <c r="R119" s="110"/>
      <c r="S119" s="74" t="s">
        <v>1264</v>
      </c>
      <c r="T119" s="73">
        <f t="shared" ref="T119" ca="1" si="547">($M119=S119)*$D$14</f>
        <v>0</v>
      </c>
      <c r="U119" s="64"/>
      <c r="V119" s="74" t="s">
        <v>1264</v>
      </c>
      <c r="W119" s="73">
        <f t="shared" ref="W119:CH119" ca="1" si="548">($M119=V119)*$D$14</f>
        <v>0</v>
      </c>
      <c r="X119" s="64"/>
      <c r="Y119" s="74" t="s">
        <v>1264</v>
      </c>
      <c r="Z119" s="73">
        <f t="shared" ca="1" si="548"/>
        <v>0</v>
      </c>
      <c r="AA119" s="64"/>
      <c r="AB119" s="74" t="s">
        <v>1264</v>
      </c>
      <c r="AC119" s="73">
        <f t="shared" ca="1" si="548"/>
        <v>0</v>
      </c>
      <c r="AD119" s="64"/>
      <c r="AE119" s="74" t="s">
        <v>1264</v>
      </c>
      <c r="AF119" s="73">
        <f t="shared" ca="1" si="548"/>
        <v>0</v>
      </c>
      <c r="AG119" s="64"/>
      <c r="AH119" s="74" t="s">
        <v>1264</v>
      </c>
      <c r="AI119" s="73">
        <f t="shared" ca="1" si="548"/>
        <v>0</v>
      </c>
      <c r="AJ119" s="64"/>
      <c r="AK119" s="74" t="s">
        <v>1264</v>
      </c>
      <c r="AL119" s="73">
        <f t="shared" ca="1" si="548"/>
        <v>0</v>
      </c>
      <c r="AM119" s="64"/>
      <c r="AN119" s="74" t="s">
        <v>1264</v>
      </c>
      <c r="AO119" s="73">
        <f t="shared" ca="1" si="548"/>
        <v>0</v>
      </c>
      <c r="AP119" s="64"/>
      <c r="AQ119" s="74" t="s">
        <v>1264</v>
      </c>
      <c r="AR119" s="73">
        <f t="shared" ca="1" si="548"/>
        <v>0</v>
      </c>
      <c r="AS119" s="64"/>
      <c r="AT119" s="74" t="s">
        <v>1264</v>
      </c>
      <c r="AU119" s="73">
        <f t="shared" ca="1" si="548"/>
        <v>0</v>
      </c>
      <c r="AV119" s="64"/>
      <c r="AW119" s="74" t="s">
        <v>1264</v>
      </c>
      <c r="AX119" s="73">
        <f t="shared" ca="1" si="548"/>
        <v>0</v>
      </c>
      <c r="AY119" s="64"/>
      <c r="AZ119" s="74" t="s">
        <v>1264</v>
      </c>
      <c r="BA119" s="73">
        <f t="shared" ca="1" si="548"/>
        <v>0</v>
      </c>
      <c r="BB119" s="64"/>
      <c r="BC119" s="74" t="s">
        <v>1264</v>
      </c>
      <c r="BD119" s="73">
        <f t="shared" ca="1" si="548"/>
        <v>0</v>
      </c>
      <c r="BE119" s="64"/>
      <c r="BF119" s="74" t="s">
        <v>1264</v>
      </c>
      <c r="BG119" s="73">
        <f t="shared" ca="1" si="548"/>
        <v>0</v>
      </c>
      <c r="BH119" s="64"/>
      <c r="BI119" s="74" t="s">
        <v>1264</v>
      </c>
      <c r="BJ119" s="73">
        <f t="shared" ca="1" si="548"/>
        <v>0</v>
      </c>
      <c r="BK119" s="64"/>
      <c r="BL119" s="74" t="s">
        <v>1264</v>
      </c>
      <c r="BM119" s="73">
        <f t="shared" ca="1" si="548"/>
        <v>0</v>
      </c>
      <c r="BN119" s="64"/>
      <c r="BO119" s="74" t="s">
        <v>1264</v>
      </c>
      <c r="BP119" s="73">
        <f t="shared" ca="1" si="548"/>
        <v>0</v>
      </c>
      <c r="BQ119" s="64"/>
      <c r="BR119" s="74" t="s">
        <v>1264</v>
      </c>
      <c r="BS119" s="73">
        <f t="shared" ca="1" si="548"/>
        <v>0</v>
      </c>
      <c r="BT119" s="64"/>
      <c r="BU119" s="74" t="s">
        <v>1264</v>
      </c>
      <c r="BV119" s="73">
        <f t="shared" ca="1" si="548"/>
        <v>0</v>
      </c>
      <c r="BW119" s="64"/>
      <c r="BX119" s="74" t="s">
        <v>1264</v>
      </c>
      <c r="BY119" s="73">
        <f t="shared" ca="1" si="548"/>
        <v>0</v>
      </c>
      <c r="BZ119" s="64"/>
      <c r="CA119" s="74" t="s">
        <v>1264</v>
      </c>
      <c r="CB119" s="73">
        <f t="shared" ca="1" si="548"/>
        <v>0</v>
      </c>
      <c r="CC119" s="64"/>
      <c r="CD119" s="74" t="s">
        <v>1558</v>
      </c>
      <c r="CE119" s="73">
        <f t="shared" ca="1" si="548"/>
        <v>0</v>
      </c>
      <c r="CF119" s="64"/>
      <c r="CG119" s="74" t="s">
        <v>1558</v>
      </c>
      <c r="CH119" s="73">
        <f t="shared" ca="1" si="548"/>
        <v>0</v>
      </c>
      <c r="CI119" s="64"/>
      <c r="CJ119" s="74" t="s">
        <v>1558</v>
      </c>
      <c r="CK119" s="73">
        <f t="shared" ref="CK119:EV119" ca="1" si="549">($M119=CJ119)*$D$14</f>
        <v>0</v>
      </c>
      <c r="CL119" s="64"/>
      <c r="CM119" s="74" t="s">
        <v>1264</v>
      </c>
      <c r="CN119" s="73">
        <f t="shared" ca="1" si="549"/>
        <v>0</v>
      </c>
      <c r="CO119" s="64"/>
      <c r="CP119" s="74" t="s">
        <v>1264</v>
      </c>
      <c r="CQ119" s="73">
        <f t="shared" ca="1" si="549"/>
        <v>0</v>
      </c>
      <c r="CR119" s="64"/>
      <c r="CS119" s="74" t="s">
        <v>1264</v>
      </c>
      <c r="CT119" s="73">
        <f t="shared" ca="1" si="549"/>
        <v>0</v>
      </c>
      <c r="CU119" s="64"/>
      <c r="CV119" s="74" t="s">
        <v>1264</v>
      </c>
      <c r="CW119" s="73">
        <f t="shared" ca="1" si="549"/>
        <v>0</v>
      </c>
      <c r="CX119" s="64"/>
      <c r="CY119" s="74" t="s">
        <v>1264</v>
      </c>
      <c r="CZ119" s="73">
        <f t="shared" ca="1" si="549"/>
        <v>0</v>
      </c>
      <c r="DA119" s="64"/>
      <c r="DB119" s="74" t="s">
        <v>1264</v>
      </c>
      <c r="DC119" s="73">
        <f t="shared" ca="1" si="549"/>
        <v>0</v>
      </c>
      <c r="DD119" s="64"/>
      <c r="DE119" s="74" t="s">
        <v>1264</v>
      </c>
      <c r="DF119" s="73">
        <f t="shared" ca="1" si="549"/>
        <v>0</v>
      </c>
      <c r="DG119" s="64"/>
      <c r="DH119" s="74" t="s">
        <v>1264</v>
      </c>
      <c r="DI119" s="73">
        <f t="shared" ca="1" si="549"/>
        <v>0</v>
      </c>
      <c r="DJ119" s="64"/>
      <c r="DK119" s="74" t="s">
        <v>1264</v>
      </c>
      <c r="DL119" s="73">
        <f t="shared" ca="1" si="549"/>
        <v>0</v>
      </c>
      <c r="DM119" s="64"/>
      <c r="DN119" s="795" t="s">
        <v>1264</v>
      </c>
      <c r="DO119" s="73">
        <f t="shared" ca="1" si="549"/>
        <v>0</v>
      </c>
      <c r="DP119" s="64"/>
      <c r="DQ119" s="795" t="s">
        <v>1264</v>
      </c>
      <c r="DR119" s="73">
        <f t="shared" ca="1" si="549"/>
        <v>0</v>
      </c>
      <c r="DS119" s="64"/>
      <c r="DT119" s="74" t="s">
        <v>1264</v>
      </c>
      <c r="DU119" s="73">
        <f t="shared" ca="1" si="549"/>
        <v>0</v>
      </c>
      <c r="DV119" s="64"/>
      <c r="DW119" s="74" t="s">
        <v>1264</v>
      </c>
      <c r="DX119" s="73">
        <f t="shared" ca="1" si="549"/>
        <v>0</v>
      </c>
      <c r="DY119" s="64"/>
      <c r="DZ119" s="74" t="s">
        <v>1264</v>
      </c>
      <c r="EA119" s="73">
        <f t="shared" ca="1" si="549"/>
        <v>0</v>
      </c>
      <c r="EB119" s="64"/>
      <c r="EC119" s="74" t="s">
        <v>1264</v>
      </c>
      <c r="ED119" s="73">
        <f t="shared" ca="1" si="549"/>
        <v>0</v>
      </c>
      <c r="EE119" s="64"/>
      <c r="EF119" s="74" t="s">
        <v>1264</v>
      </c>
      <c r="EG119" s="73">
        <f t="shared" ca="1" si="549"/>
        <v>0</v>
      </c>
      <c r="EH119" s="64"/>
      <c r="EI119" s="74" t="s">
        <v>1264</v>
      </c>
      <c r="EJ119" s="73">
        <f t="shared" ca="1" si="549"/>
        <v>0</v>
      </c>
      <c r="EK119" s="64"/>
      <c r="EL119" s="74"/>
      <c r="EM119" s="73">
        <f t="shared" ca="1" si="549"/>
        <v>0</v>
      </c>
      <c r="EN119" s="64"/>
      <c r="EO119" s="74"/>
      <c r="EP119" s="73">
        <f t="shared" ca="1" si="549"/>
        <v>0</v>
      </c>
      <c r="EQ119" s="64"/>
      <c r="ER119" s="74"/>
      <c r="ES119" s="73">
        <f t="shared" ca="1" si="549"/>
        <v>0</v>
      </c>
      <c r="ET119" s="64"/>
      <c r="EU119" s="74"/>
      <c r="EV119" s="73">
        <f t="shared" ca="1" si="549"/>
        <v>0</v>
      </c>
      <c r="EW119" s="64"/>
      <c r="EX119" s="74"/>
      <c r="EY119" s="73">
        <f t="shared" ref="EY119:FK119" ca="1" si="550">($M119=EX119)*$D$14</f>
        <v>0</v>
      </c>
      <c r="EZ119" s="64"/>
      <c r="FA119" s="74"/>
      <c r="FB119" s="73">
        <f t="shared" ca="1" si="550"/>
        <v>0</v>
      </c>
      <c r="FC119" s="64"/>
      <c r="FD119" s="74"/>
      <c r="FE119" s="73">
        <f t="shared" ca="1" si="550"/>
        <v>0</v>
      </c>
      <c r="FF119" s="64"/>
      <c r="FG119" s="74"/>
      <c r="FH119" s="73">
        <f t="shared" ca="1" si="550"/>
        <v>0</v>
      </c>
      <c r="FI119" s="64"/>
      <c r="FJ119" s="74"/>
      <c r="FK119" s="73">
        <f t="shared" ca="1" si="550"/>
        <v>0</v>
      </c>
      <c r="FL119" s="64"/>
      <c r="FM119" s="64"/>
    </row>
    <row r="120" spans="1:169">
      <c r="A120" s="49"/>
      <c r="B120" s="49"/>
      <c r="C120" s="49"/>
      <c r="D120" s="49"/>
      <c r="E120" s="65"/>
      <c r="F120" s="127">
        <f t="shared" ref="F120" si="551">$D$11</f>
        <v>2</v>
      </c>
      <c r="G120" s="445">
        <f ca="1">VLOOKUP(H120,Equipos!$Q$1:$R$25,2,0)</f>
        <v>18</v>
      </c>
      <c r="H120" s="446">
        <f ca="1">$H$74</f>
        <v>46201</v>
      </c>
      <c r="I120" s="50"/>
      <c r="J120" s="852" t="s">
        <v>439</v>
      </c>
      <c r="K120" s="56" t="str">
        <f>Idiomas!D190</f>
        <v>1º GRUPO K</v>
      </c>
      <c r="L120" s="53"/>
      <c r="M120" s="55" t="str">
        <f ca="1">IF(OR(SUM(WORLDCUP!$AN$86:$AN$89)=12,WORLDCUP!$AJ$99=144),WORLDCUP!AL86,LEFT(K120,1)&amp;RIGHT(K120,1))</f>
        <v>1K</v>
      </c>
      <c r="N120" s="25"/>
      <c r="O120" s="25"/>
      <c r="P120" s="25"/>
      <c r="Q120" s="25"/>
      <c r="R120" s="110"/>
      <c r="S120" s="74" t="s">
        <v>1320</v>
      </c>
      <c r="T120" s="73">
        <f t="shared" ref="T120" ca="1" si="552">($M120=S120)*$D$11</f>
        <v>0</v>
      </c>
      <c r="U120" s="64"/>
      <c r="V120" s="74" t="s">
        <v>79</v>
      </c>
      <c r="W120" s="73">
        <f t="shared" ref="W120:CH120" ca="1" si="553">($M120=V120)*$D$11</f>
        <v>0</v>
      </c>
      <c r="X120" s="64"/>
      <c r="Y120" s="74" t="s">
        <v>79</v>
      </c>
      <c r="Z120" s="73">
        <f t="shared" ca="1" si="553"/>
        <v>0</v>
      </c>
      <c r="AA120" s="64"/>
      <c r="AB120" s="74" t="s">
        <v>79</v>
      </c>
      <c r="AC120" s="73">
        <f t="shared" ca="1" si="553"/>
        <v>0</v>
      </c>
      <c r="AD120" s="64"/>
      <c r="AE120" s="74" t="s">
        <v>1320</v>
      </c>
      <c r="AF120" s="73">
        <f t="shared" ca="1" si="553"/>
        <v>0</v>
      </c>
      <c r="AG120" s="64"/>
      <c r="AH120" s="74" t="s">
        <v>79</v>
      </c>
      <c r="AI120" s="73">
        <f t="shared" ca="1" si="553"/>
        <v>0</v>
      </c>
      <c r="AJ120" s="64"/>
      <c r="AK120" s="74" t="s">
        <v>79</v>
      </c>
      <c r="AL120" s="73">
        <f t="shared" ca="1" si="553"/>
        <v>0</v>
      </c>
      <c r="AM120" s="64"/>
      <c r="AN120" s="74" t="s">
        <v>79</v>
      </c>
      <c r="AO120" s="73">
        <f t="shared" ca="1" si="553"/>
        <v>0</v>
      </c>
      <c r="AP120" s="64"/>
      <c r="AQ120" s="74" t="s">
        <v>79</v>
      </c>
      <c r="AR120" s="73">
        <f t="shared" ca="1" si="553"/>
        <v>0</v>
      </c>
      <c r="AS120" s="64"/>
      <c r="AT120" s="74" t="s">
        <v>79</v>
      </c>
      <c r="AU120" s="73">
        <f t="shared" ca="1" si="553"/>
        <v>0</v>
      </c>
      <c r="AV120" s="64"/>
      <c r="AW120" s="74" t="s">
        <v>79</v>
      </c>
      <c r="AX120" s="73">
        <f t="shared" ca="1" si="553"/>
        <v>0</v>
      </c>
      <c r="AY120" s="64"/>
      <c r="AZ120" s="74" t="s">
        <v>79</v>
      </c>
      <c r="BA120" s="73">
        <f t="shared" ca="1" si="553"/>
        <v>0</v>
      </c>
      <c r="BB120" s="64"/>
      <c r="BC120" s="74" t="s">
        <v>79</v>
      </c>
      <c r="BD120" s="73">
        <f t="shared" ca="1" si="553"/>
        <v>0</v>
      </c>
      <c r="BE120" s="64"/>
      <c r="BF120" s="74" t="s">
        <v>79</v>
      </c>
      <c r="BG120" s="73">
        <f t="shared" ca="1" si="553"/>
        <v>0</v>
      </c>
      <c r="BH120" s="64"/>
      <c r="BI120" s="74" t="s">
        <v>79</v>
      </c>
      <c r="BJ120" s="73">
        <f t="shared" ca="1" si="553"/>
        <v>0</v>
      </c>
      <c r="BK120" s="64"/>
      <c r="BL120" s="74" t="s">
        <v>79</v>
      </c>
      <c r="BM120" s="73">
        <f t="shared" ca="1" si="553"/>
        <v>0</v>
      </c>
      <c r="BN120" s="64"/>
      <c r="BO120" s="74" t="s">
        <v>79</v>
      </c>
      <c r="BP120" s="73">
        <f t="shared" ca="1" si="553"/>
        <v>0</v>
      </c>
      <c r="BQ120" s="64"/>
      <c r="BR120" s="74" t="s">
        <v>79</v>
      </c>
      <c r="BS120" s="73">
        <f t="shared" ca="1" si="553"/>
        <v>0</v>
      </c>
      <c r="BT120" s="64"/>
      <c r="BU120" s="74" t="s">
        <v>79</v>
      </c>
      <c r="BV120" s="73">
        <f t="shared" ca="1" si="553"/>
        <v>0</v>
      </c>
      <c r="BW120" s="64"/>
      <c r="BX120" s="74" t="s">
        <v>1320</v>
      </c>
      <c r="BY120" s="73">
        <f t="shared" ca="1" si="553"/>
        <v>0</v>
      </c>
      <c r="BZ120" s="64"/>
      <c r="CA120" s="74" t="s">
        <v>79</v>
      </c>
      <c r="CB120" s="73">
        <f t="shared" ca="1" si="553"/>
        <v>0</v>
      </c>
      <c r="CC120" s="64"/>
      <c r="CD120" s="74" t="s">
        <v>79</v>
      </c>
      <c r="CE120" s="73">
        <f t="shared" ca="1" si="553"/>
        <v>0</v>
      </c>
      <c r="CF120" s="64"/>
      <c r="CG120" s="74" t="s">
        <v>79</v>
      </c>
      <c r="CH120" s="73">
        <f t="shared" ca="1" si="553"/>
        <v>0</v>
      </c>
      <c r="CI120" s="64"/>
      <c r="CJ120" s="74" t="s">
        <v>79</v>
      </c>
      <c r="CK120" s="73">
        <f t="shared" ref="CK120:EV120" ca="1" si="554">($M120=CJ120)*$D$11</f>
        <v>0</v>
      </c>
      <c r="CL120" s="64"/>
      <c r="CM120" s="74" t="s">
        <v>79</v>
      </c>
      <c r="CN120" s="73">
        <f t="shared" ca="1" si="554"/>
        <v>0</v>
      </c>
      <c r="CO120" s="64"/>
      <c r="CP120" s="74" t="s">
        <v>79</v>
      </c>
      <c r="CQ120" s="73">
        <f t="shared" ca="1" si="554"/>
        <v>0</v>
      </c>
      <c r="CR120" s="64"/>
      <c r="CS120" s="74" t="s">
        <v>79</v>
      </c>
      <c r="CT120" s="73">
        <f t="shared" ca="1" si="554"/>
        <v>0</v>
      </c>
      <c r="CU120" s="64"/>
      <c r="CV120" s="74" t="s">
        <v>79</v>
      </c>
      <c r="CW120" s="73">
        <f t="shared" ca="1" si="554"/>
        <v>0</v>
      </c>
      <c r="CX120" s="64"/>
      <c r="CY120" s="74" t="s">
        <v>79</v>
      </c>
      <c r="CZ120" s="73">
        <f t="shared" ca="1" si="554"/>
        <v>0</v>
      </c>
      <c r="DA120" s="64"/>
      <c r="DB120" s="74" t="s">
        <v>79</v>
      </c>
      <c r="DC120" s="73">
        <f t="shared" ca="1" si="554"/>
        <v>0</v>
      </c>
      <c r="DD120" s="64"/>
      <c r="DE120" s="74" t="s">
        <v>79</v>
      </c>
      <c r="DF120" s="73">
        <f t="shared" ca="1" si="554"/>
        <v>0</v>
      </c>
      <c r="DG120" s="64"/>
      <c r="DH120" s="74" t="s">
        <v>79</v>
      </c>
      <c r="DI120" s="73">
        <f t="shared" ca="1" si="554"/>
        <v>0</v>
      </c>
      <c r="DJ120" s="64"/>
      <c r="DK120" s="74" t="s">
        <v>79</v>
      </c>
      <c r="DL120" s="73">
        <f t="shared" ca="1" si="554"/>
        <v>0</v>
      </c>
      <c r="DM120" s="64"/>
      <c r="DN120" s="795" t="s">
        <v>79</v>
      </c>
      <c r="DO120" s="73">
        <f t="shared" ca="1" si="554"/>
        <v>0</v>
      </c>
      <c r="DP120" s="64"/>
      <c r="DQ120" s="795" t="s">
        <v>79</v>
      </c>
      <c r="DR120" s="73">
        <f t="shared" ca="1" si="554"/>
        <v>0</v>
      </c>
      <c r="DS120" s="64"/>
      <c r="DT120" s="74" t="s">
        <v>1320</v>
      </c>
      <c r="DU120" s="73">
        <f t="shared" ca="1" si="554"/>
        <v>0</v>
      </c>
      <c r="DV120" s="64"/>
      <c r="DW120" s="74" t="s">
        <v>79</v>
      </c>
      <c r="DX120" s="73">
        <f t="shared" ca="1" si="554"/>
        <v>0</v>
      </c>
      <c r="DY120" s="64"/>
      <c r="DZ120" s="74" t="s">
        <v>79</v>
      </c>
      <c r="EA120" s="73">
        <f t="shared" ca="1" si="554"/>
        <v>0</v>
      </c>
      <c r="EB120" s="64"/>
      <c r="EC120" s="74" t="s">
        <v>79</v>
      </c>
      <c r="ED120" s="73">
        <f t="shared" ca="1" si="554"/>
        <v>0</v>
      </c>
      <c r="EE120" s="64"/>
      <c r="EF120" s="74" t="s">
        <v>79</v>
      </c>
      <c r="EG120" s="73">
        <f t="shared" ca="1" si="554"/>
        <v>0</v>
      </c>
      <c r="EH120" s="64"/>
      <c r="EI120" s="74" t="s">
        <v>79</v>
      </c>
      <c r="EJ120" s="73">
        <f t="shared" ca="1" si="554"/>
        <v>0</v>
      </c>
      <c r="EK120" s="64"/>
      <c r="EL120" s="74"/>
      <c r="EM120" s="73">
        <f t="shared" ca="1" si="554"/>
        <v>0</v>
      </c>
      <c r="EN120" s="64"/>
      <c r="EO120" s="74"/>
      <c r="EP120" s="73">
        <f t="shared" ca="1" si="554"/>
        <v>0</v>
      </c>
      <c r="EQ120" s="64"/>
      <c r="ER120" s="74"/>
      <c r="ES120" s="73">
        <f t="shared" ca="1" si="554"/>
        <v>0</v>
      </c>
      <c r="ET120" s="64"/>
      <c r="EU120" s="74"/>
      <c r="EV120" s="73">
        <f t="shared" ca="1" si="554"/>
        <v>0</v>
      </c>
      <c r="EW120" s="64"/>
      <c r="EX120" s="74"/>
      <c r="EY120" s="73">
        <f t="shared" ref="EY120:FK120" ca="1" si="555">($M120=EX120)*$D$11</f>
        <v>0</v>
      </c>
      <c r="EZ120" s="64"/>
      <c r="FA120" s="74"/>
      <c r="FB120" s="73">
        <f t="shared" ca="1" si="555"/>
        <v>0</v>
      </c>
      <c r="FC120" s="64"/>
      <c r="FD120" s="74"/>
      <c r="FE120" s="73">
        <f t="shared" ca="1" si="555"/>
        <v>0</v>
      </c>
      <c r="FF120" s="64"/>
      <c r="FG120" s="74"/>
      <c r="FH120" s="73">
        <f t="shared" ca="1" si="555"/>
        <v>0</v>
      </c>
      <c r="FI120" s="64"/>
      <c r="FJ120" s="74"/>
      <c r="FK120" s="73">
        <f t="shared" ca="1" si="555"/>
        <v>0</v>
      </c>
      <c r="FL120" s="64"/>
      <c r="FM120" s="64"/>
    </row>
    <row r="121" spans="1:169">
      <c r="A121" s="49"/>
      <c r="B121" s="49"/>
      <c r="C121" s="49"/>
      <c r="D121" s="49"/>
      <c r="E121" s="65"/>
      <c r="F121" s="127">
        <f t="shared" ref="F121" si="556">$D$12</f>
        <v>2</v>
      </c>
      <c r="G121" s="445">
        <f ca="1">VLOOKUP(H121,Equipos!$Q$1:$R$25,2,0)</f>
        <v>18</v>
      </c>
      <c r="H121" s="446">
        <f ca="1">$H$74</f>
        <v>46201</v>
      </c>
      <c r="I121" s="50"/>
      <c r="J121" s="852"/>
      <c r="K121" s="56" t="str">
        <f>Idiomas!D191</f>
        <v>2º GRUPO K</v>
      </c>
      <c r="L121" s="53"/>
      <c r="M121" s="55" t="str">
        <f ca="1">IF(OR(SUM(WORLDCUP!$AN$86:$AN$89)=12,WORLDCUP!$AJ$99=144),WORLDCUP!AL87,LEFT(K121,1)&amp;RIGHT(K121,1))</f>
        <v>2K</v>
      </c>
      <c r="N121" s="25"/>
      <c r="O121" s="25"/>
      <c r="P121" s="25"/>
      <c r="Q121" s="25"/>
      <c r="R121" s="110"/>
      <c r="S121" s="74" t="s">
        <v>79</v>
      </c>
      <c r="T121" s="73">
        <f t="shared" ref="T121" ca="1" si="557">($M121=S121)*$D$12</f>
        <v>0</v>
      </c>
      <c r="U121" s="64"/>
      <c r="V121" s="74" t="s">
        <v>1320</v>
      </c>
      <c r="W121" s="73">
        <f t="shared" ref="W121:CH121" ca="1" si="558">($M121=V121)*$D$12</f>
        <v>0</v>
      </c>
      <c r="X121" s="64"/>
      <c r="Y121" s="74" t="s">
        <v>1320</v>
      </c>
      <c r="Z121" s="73">
        <f t="shared" ca="1" si="558"/>
        <v>0</v>
      </c>
      <c r="AA121" s="64"/>
      <c r="AB121" s="74" t="s">
        <v>1320</v>
      </c>
      <c r="AC121" s="73">
        <f t="shared" ca="1" si="558"/>
        <v>0</v>
      </c>
      <c r="AD121" s="64"/>
      <c r="AE121" s="74" t="s">
        <v>79</v>
      </c>
      <c r="AF121" s="73">
        <f t="shared" ca="1" si="558"/>
        <v>0</v>
      </c>
      <c r="AG121" s="64"/>
      <c r="AH121" s="74" t="s">
        <v>1320</v>
      </c>
      <c r="AI121" s="73">
        <f t="shared" ca="1" si="558"/>
        <v>0</v>
      </c>
      <c r="AJ121" s="64"/>
      <c r="AK121" s="74" t="s">
        <v>1320</v>
      </c>
      <c r="AL121" s="73">
        <f t="shared" ca="1" si="558"/>
        <v>0</v>
      </c>
      <c r="AM121" s="64"/>
      <c r="AN121" s="74" t="s">
        <v>1320</v>
      </c>
      <c r="AO121" s="73">
        <f t="shared" ca="1" si="558"/>
        <v>0</v>
      </c>
      <c r="AP121" s="64"/>
      <c r="AQ121" s="74" t="s">
        <v>1320</v>
      </c>
      <c r="AR121" s="73">
        <f t="shared" ca="1" si="558"/>
        <v>0</v>
      </c>
      <c r="AS121" s="64"/>
      <c r="AT121" s="74" t="s">
        <v>1320</v>
      </c>
      <c r="AU121" s="73">
        <f t="shared" ca="1" si="558"/>
        <v>0</v>
      </c>
      <c r="AV121" s="64"/>
      <c r="AW121" s="74" t="s">
        <v>1839</v>
      </c>
      <c r="AX121" s="73">
        <f t="shared" ca="1" si="558"/>
        <v>0</v>
      </c>
      <c r="AY121" s="64"/>
      <c r="AZ121" s="74" t="s">
        <v>1320</v>
      </c>
      <c r="BA121" s="73">
        <f t="shared" ca="1" si="558"/>
        <v>0</v>
      </c>
      <c r="BB121" s="64"/>
      <c r="BC121" s="74" t="s">
        <v>1320</v>
      </c>
      <c r="BD121" s="73">
        <f t="shared" ca="1" si="558"/>
        <v>0</v>
      </c>
      <c r="BE121" s="64"/>
      <c r="BF121" s="74" t="s">
        <v>1320</v>
      </c>
      <c r="BG121" s="73">
        <f t="shared" ca="1" si="558"/>
        <v>0</v>
      </c>
      <c r="BH121" s="64"/>
      <c r="BI121" s="74" t="s">
        <v>1320</v>
      </c>
      <c r="BJ121" s="73">
        <f t="shared" ca="1" si="558"/>
        <v>0</v>
      </c>
      <c r="BK121" s="64"/>
      <c r="BL121" s="74" t="s">
        <v>1320</v>
      </c>
      <c r="BM121" s="73">
        <f t="shared" ca="1" si="558"/>
        <v>0</v>
      </c>
      <c r="BN121" s="64"/>
      <c r="BO121" s="74" t="s">
        <v>1320</v>
      </c>
      <c r="BP121" s="73">
        <f t="shared" ca="1" si="558"/>
        <v>0</v>
      </c>
      <c r="BQ121" s="64"/>
      <c r="BR121" s="74" t="s">
        <v>1320</v>
      </c>
      <c r="BS121" s="73">
        <f t="shared" ca="1" si="558"/>
        <v>0</v>
      </c>
      <c r="BT121" s="64"/>
      <c r="BU121" s="74" t="s">
        <v>1320</v>
      </c>
      <c r="BV121" s="73">
        <f t="shared" ca="1" si="558"/>
        <v>0</v>
      </c>
      <c r="BW121" s="64"/>
      <c r="BX121" s="74" t="s">
        <v>79</v>
      </c>
      <c r="BY121" s="73">
        <f t="shared" ca="1" si="558"/>
        <v>0</v>
      </c>
      <c r="BZ121" s="64"/>
      <c r="CA121" s="74" t="s">
        <v>1320</v>
      </c>
      <c r="CB121" s="73">
        <f t="shared" ca="1" si="558"/>
        <v>0</v>
      </c>
      <c r="CC121" s="64"/>
      <c r="CD121" s="74" t="s">
        <v>1320</v>
      </c>
      <c r="CE121" s="73">
        <f t="shared" ca="1" si="558"/>
        <v>0</v>
      </c>
      <c r="CF121" s="64"/>
      <c r="CG121" s="74" t="s">
        <v>1320</v>
      </c>
      <c r="CH121" s="73">
        <f t="shared" ca="1" si="558"/>
        <v>0</v>
      </c>
      <c r="CI121" s="64"/>
      <c r="CJ121" s="74" t="s">
        <v>1320</v>
      </c>
      <c r="CK121" s="73">
        <f t="shared" ref="CK121:EV121" ca="1" si="559">($M121=CJ121)*$D$12</f>
        <v>0</v>
      </c>
      <c r="CL121" s="64"/>
      <c r="CM121" s="74" t="s">
        <v>1320</v>
      </c>
      <c r="CN121" s="73">
        <f t="shared" ca="1" si="559"/>
        <v>0</v>
      </c>
      <c r="CO121" s="64"/>
      <c r="CP121" s="74" t="s">
        <v>1320</v>
      </c>
      <c r="CQ121" s="73">
        <f t="shared" ca="1" si="559"/>
        <v>0</v>
      </c>
      <c r="CR121" s="64"/>
      <c r="CS121" s="74" t="s">
        <v>1320</v>
      </c>
      <c r="CT121" s="73">
        <f t="shared" ca="1" si="559"/>
        <v>0</v>
      </c>
      <c r="CU121" s="64"/>
      <c r="CV121" s="74" t="s">
        <v>1320</v>
      </c>
      <c r="CW121" s="73">
        <f t="shared" ca="1" si="559"/>
        <v>0</v>
      </c>
      <c r="CX121" s="64"/>
      <c r="CY121" s="74" t="s">
        <v>1320</v>
      </c>
      <c r="CZ121" s="73">
        <f t="shared" ca="1" si="559"/>
        <v>0</v>
      </c>
      <c r="DA121" s="64"/>
      <c r="DB121" s="74" t="s">
        <v>1320</v>
      </c>
      <c r="DC121" s="73">
        <f t="shared" ca="1" si="559"/>
        <v>0</v>
      </c>
      <c r="DD121" s="64"/>
      <c r="DE121" s="74" t="s">
        <v>1320</v>
      </c>
      <c r="DF121" s="73">
        <f t="shared" ca="1" si="559"/>
        <v>0</v>
      </c>
      <c r="DG121" s="64"/>
      <c r="DH121" s="74" t="s">
        <v>1320</v>
      </c>
      <c r="DI121" s="73">
        <f t="shared" ca="1" si="559"/>
        <v>0</v>
      </c>
      <c r="DJ121" s="64"/>
      <c r="DK121" s="74" t="s">
        <v>1320</v>
      </c>
      <c r="DL121" s="73">
        <f t="shared" ca="1" si="559"/>
        <v>0</v>
      </c>
      <c r="DM121" s="64"/>
      <c r="DN121" s="795" t="s">
        <v>1320</v>
      </c>
      <c r="DO121" s="73">
        <f t="shared" ca="1" si="559"/>
        <v>0</v>
      </c>
      <c r="DP121" s="64"/>
      <c r="DQ121" s="795" t="s">
        <v>1320</v>
      </c>
      <c r="DR121" s="73">
        <f t="shared" ca="1" si="559"/>
        <v>0</v>
      </c>
      <c r="DS121" s="64"/>
      <c r="DT121" s="74" t="s">
        <v>79</v>
      </c>
      <c r="DU121" s="73">
        <f t="shared" ca="1" si="559"/>
        <v>0</v>
      </c>
      <c r="DV121" s="64"/>
      <c r="DW121" s="74" t="s">
        <v>1320</v>
      </c>
      <c r="DX121" s="73">
        <f t="shared" ca="1" si="559"/>
        <v>0</v>
      </c>
      <c r="DY121" s="64"/>
      <c r="DZ121" s="74" t="s">
        <v>1320</v>
      </c>
      <c r="EA121" s="73">
        <f t="shared" ca="1" si="559"/>
        <v>0</v>
      </c>
      <c r="EB121" s="64"/>
      <c r="EC121" s="74" t="s">
        <v>1320</v>
      </c>
      <c r="ED121" s="73">
        <f t="shared" ca="1" si="559"/>
        <v>0</v>
      </c>
      <c r="EE121" s="64"/>
      <c r="EF121" s="74" t="s">
        <v>1320</v>
      </c>
      <c r="EG121" s="73">
        <f t="shared" ca="1" si="559"/>
        <v>0</v>
      </c>
      <c r="EH121" s="64"/>
      <c r="EI121" s="74" t="s">
        <v>1320</v>
      </c>
      <c r="EJ121" s="73">
        <f t="shared" ca="1" si="559"/>
        <v>0</v>
      </c>
      <c r="EK121" s="64"/>
      <c r="EL121" s="74"/>
      <c r="EM121" s="73">
        <f t="shared" ca="1" si="559"/>
        <v>0</v>
      </c>
      <c r="EN121" s="64"/>
      <c r="EO121" s="74"/>
      <c r="EP121" s="73">
        <f t="shared" ca="1" si="559"/>
        <v>0</v>
      </c>
      <c r="EQ121" s="64"/>
      <c r="ER121" s="74"/>
      <c r="ES121" s="73">
        <f t="shared" ca="1" si="559"/>
        <v>0</v>
      </c>
      <c r="ET121" s="64"/>
      <c r="EU121" s="74"/>
      <c r="EV121" s="73">
        <f t="shared" ca="1" si="559"/>
        <v>0</v>
      </c>
      <c r="EW121" s="64"/>
      <c r="EX121" s="74"/>
      <c r="EY121" s="73">
        <f t="shared" ref="EY121:FK121" ca="1" si="560">($M121=EX121)*$D$12</f>
        <v>0</v>
      </c>
      <c r="EZ121" s="64"/>
      <c r="FA121" s="74"/>
      <c r="FB121" s="73">
        <f t="shared" ca="1" si="560"/>
        <v>0</v>
      </c>
      <c r="FC121" s="64"/>
      <c r="FD121" s="74"/>
      <c r="FE121" s="73">
        <f t="shared" ca="1" si="560"/>
        <v>0</v>
      </c>
      <c r="FF121" s="64"/>
      <c r="FG121" s="74"/>
      <c r="FH121" s="73">
        <f t="shared" ca="1" si="560"/>
        <v>0</v>
      </c>
      <c r="FI121" s="64"/>
      <c r="FJ121" s="74"/>
      <c r="FK121" s="73">
        <f t="shared" ca="1" si="560"/>
        <v>0</v>
      </c>
      <c r="FL121" s="64"/>
      <c r="FM121" s="64"/>
    </row>
    <row r="122" spans="1:169">
      <c r="A122" s="49"/>
      <c r="B122" s="49"/>
      <c r="C122" s="49"/>
      <c r="D122" s="49"/>
      <c r="E122" s="65"/>
      <c r="F122" s="127">
        <f t="shared" ref="F122" si="561">$D$13</f>
        <v>2</v>
      </c>
      <c r="G122" s="445">
        <f ca="1">VLOOKUP(H122,Equipos!$Q$1:$R$25,2,0)</f>
        <v>18</v>
      </c>
      <c r="H122" s="446">
        <f ca="1">$H$74</f>
        <v>46201</v>
      </c>
      <c r="I122" s="50"/>
      <c r="J122" s="852"/>
      <c r="K122" s="56" t="str">
        <f>Idiomas!D192</f>
        <v>3º GRUPO K</v>
      </c>
      <c r="L122" s="53"/>
      <c r="M122" s="55" t="str">
        <f ca="1">IF(OR(SUM(WORLDCUP!$AN$86:$AN$89)=12,WORLDCUP!$AJ$99=144),WORLDCUP!AL88,LEFT(K122,1)&amp;RIGHT(K122,1))</f>
        <v>3K</v>
      </c>
      <c r="N122" s="25"/>
      <c r="O122" s="25"/>
      <c r="P122" s="25"/>
      <c r="Q122" s="25"/>
      <c r="R122" s="110"/>
      <c r="S122" s="74" t="s">
        <v>1839</v>
      </c>
      <c r="T122" s="73">
        <f t="shared" ref="T122" ca="1" si="562">($M122=S122)*$D$13</f>
        <v>0</v>
      </c>
      <c r="U122" s="64"/>
      <c r="V122" s="74" t="s">
        <v>1839</v>
      </c>
      <c r="W122" s="73">
        <f t="shared" ref="W122:CH122" ca="1" si="563">($M122=V122)*$D$13</f>
        <v>0</v>
      </c>
      <c r="X122" s="64"/>
      <c r="Y122" s="74" t="s">
        <v>1267</v>
      </c>
      <c r="Z122" s="73">
        <f t="shared" ca="1" si="563"/>
        <v>0</v>
      </c>
      <c r="AA122" s="64"/>
      <c r="AB122" s="74" t="s">
        <v>1839</v>
      </c>
      <c r="AC122" s="73">
        <f t="shared" ca="1" si="563"/>
        <v>0</v>
      </c>
      <c r="AD122" s="64"/>
      <c r="AE122" s="74" t="s">
        <v>1267</v>
      </c>
      <c r="AF122" s="73">
        <f t="shared" ca="1" si="563"/>
        <v>0</v>
      </c>
      <c r="AG122" s="64"/>
      <c r="AH122" s="74" t="s">
        <v>1839</v>
      </c>
      <c r="AI122" s="73">
        <f t="shared" ca="1" si="563"/>
        <v>0</v>
      </c>
      <c r="AJ122" s="64"/>
      <c r="AK122" s="74" t="s">
        <v>1839</v>
      </c>
      <c r="AL122" s="73">
        <f t="shared" ca="1" si="563"/>
        <v>0</v>
      </c>
      <c r="AM122" s="64"/>
      <c r="AN122" s="74" t="s">
        <v>1839</v>
      </c>
      <c r="AO122" s="73">
        <f t="shared" ca="1" si="563"/>
        <v>0</v>
      </c>
      <c r="AP122" s="64"/>
      <c r="AQ122" s="74" t="s">
        <v>1839</v>
      </c>
      <c r="AR122" s="73">
        <f t="shared" ca="1" si="563"/>
        <v>0</v>
      </c>
      <c r="AS122" s="64"/>
      <c r="AT122" s="74" t="s">
        <v>1839</v>
      </c>
      <c r="AU122" s="73">
        <f t="shared" ca="1" si="563"/>
        <v>0</v>
      </c>
      <c r="AV122" s="64"/>
      <c r="AW122" s="74" t="s">
        <v>1320</v>
      </c>
      <c r="AX122" s="73">
        <f t="shared" ca="1" si="563"/>
        <v>0</v>
      </c>
      <c r="AY122" s="64"/>
      <c r="AZ122" s="74" t="s">
        <v>1839</v>
      </c>
      <c r="BA122" s="73">
        <f t="shared" ca="1" si="563"/>
        <v>0</v>
      </c>
      <c r="BB122" s="64"/>
      <c r="BC122" s="74" t="s">
        <v>1839</v>
      </c>
      <c r="BD122" s="73">
        <f t="shared" ca="1" si="563"/>
        <v>0</v>
      </c>
      <c r="BE122" s="64"/>
      <c r="BF122" s="74" t="s">
        <v>1839</v>
      </c>
      <c r="BG122" s="73">
        <f t="shared" ca="1" si="563"/>
        <v>0</v>
      </c>
      <c r="BH122" s="64"/>
      <c r="BI122" s="74" t="s">
        <v>1267</v>
      </c>
      <c r="BJ122" s="73">
        <f t="shared" ca="1" si="563"/>
        <v>0</v>
      </c>
      <c r="BK122" s="64"/>
      <c r="BL122" s="74" t="s">
        <v>1839</v>
      </c>
      <c r="BM122" s="73">
        <f t="shared" ca="1" si="563"/>
        <v>0</v>
      </c>
      <c r="BN122" s="64"/>
      <c r="BO122" s="74" t="s">
        <v>1267</v>
      </c>
      <c r="BP122" s="73">
        <f t="shared" ca="1" si="563"/>
        <v>0</v>
      </c>
      <c r="BQ122" s="64"/>
      <c r="BR122" s="74" t="s">
        <v>1839</v>
      </c>
      <c r="BS122" s="73">
        <f t="shared" ca="1" si="563"/>
        <v>0</v>
      </c>
      <c r="BT122" s="64"/>
      <c r="BU122" s="74" t="s">
        <v>1839</v>
      </c>
      <c r="BV122" s="73">
        <f t="shared" ca="1" si="563"/>
        <v>0</v>
      </c>
      <c r="BW122" s="64"/>
      <c r="BX122" s="74" t="s">
        <v>1839</v>
      </c>
      <c r="BY122" s="73">
        <f t="shared" ca="1" si="563"/>
        <v>0</v>
      </c>
      <c r="BZ122" s="64"/>
      <c r="CA122" s="74" t="s">
        <v>1839</v>
      </c>
      <c r="CB122" s="73">
        <f t="shared" ca="1" si="563"/>
        <v>0</v>
      </c>
      <c r="CC122" s="64"/>
      <c r="CD122" s="74" t="s">
        <v>1839</v>
      </c>
      <c r="CE122" s="73">
        <f t="shared" ca="1" si="563"/>
        <v>0</v>
      </c>
      <c r="CF122" s="64"/>
      <c r="CG122" s="74" t="s">
        <v>1839</v>
      </c>
      <c r="CH122" s="73">
        <f t="shared" ca="1" si="563"/>
        <v>0</v>
      </c>
      <c r="CI122" s="64"/>
      <c r="CJ122" s="74" t="s">
        <v>1267</v>
      </c>
      <c r="CK122" s="73">
        <f t="shared" ref="CK122:EV122" ca="1" si="564">($M122=CJ122)*$D$13</f>
        <v>0</v>
      </c>
      <c r="CL122" s="64"/>
      <c r="CM122" s="74" t="s">
        <v>1839</v>
      </c>
      <c r="CN122" s="73">
        <f t="shared" ca="1" si="564"/>
        <v>0</v>
      </c>
      <c r="CO122" s="64"/>
      <c r="CP122" s="74" t="s">
        <v>1839</v>
      </c>
      <c r="CQ122" s="73">
        <f t="shared" ca="1" si="564"/>
        <v>0</v>
      </c>
      <c r="CR122" s="64"/>
      <c r="CS122" s="74" t="s">
        <v>1267</v>
      </c>
      <c r="CT122" s="73">
        <f t="shared" ca="1" si="564"/>
        <v>0</v>
      </c>
      <c r="CU122" s="64"/>
      <c r="CV122" s="74" t="s">
        <v>1267</v>
      </c>
      <c r="CW122" s="73">
        <f t="shared" ca="1" si="564"/>
        <v>0</v>
      </c>
      <c r="CX122" s="64"/>
      <c r="CY122" s="74" t="s">
        <v>1267</v>
      </c>
      <c r="CZ122" s="73">
        <f t="shared" ca="1" si="564"/>
        <v>0</v>
      </c>
      <c r="DA122" s="64"/>
      <c r="DB122" s="74" t="s">
        <v>1839</v>
      </c>
      <c r="DC122" s="73">
        <f t="shared" ca="1" si="564"/>
        <v>0</v>
      </c>
      <c r="DD122" s="64"/>
      <c r="DE122" s="74" t="s">
        <v>1839</v>
      </c>
      <c r="DF122" s="73">
        <f t="shared" ca="1" si="564"/>
        <v>0</v>
      </c>
      <c r="DG122" s="64"/>
      <c r="DH122" s="74" t="s">
        <v>1267</v>
      </c>
      <c r="DI122" s="73">
        <f t="shared" ca="1" si="564"/>
        <v>0</v>
      </c>
      <c r="DJ122" s="64"/>
      <c r="DK122" s="74" t="s">
        <v>1267</v>
      </c>
      <c r="DL122" s="73">
        <f t="shared" ca="1" si="564"/>
        <v>0</v>
      </c>
      <c r="DM122" s="64"/>
      <c r="DN122" s="795" t="s">
        <v>1839</v>
      </c>
      <c r="DO122" s="73">
        <f t="shared" ca="1" si="564"/>
        <v>0</v>
      </c>
      <c r="DP122" s="64"/>
      <c r="DQ122" s="795" t="s">
        <v>1267</v>
      </c>
      <c r="DR122" s="73">
        <f t="shared" ca="1" si="564"/>
        <v>0</v>
      </c>
      <c r="DS122" s="64"/>
      <c r="DT122" s="74" t="s">
        <v>1267</v>
      </c>
      <c r="DU122" s="73">
        <f t="shared" ca="1" si="564"/>
        <v>0</v>
      </c>
      <c r="DV122" s="64"/>
      <c r="DW122" s="74" t="s">
        <v>1839</v>
      </c>
      <c r="DX122" s="73">
        <f t="shared" ca="1" si="564"/>
        <v>0</v>
      </c>
      <c r="DY122" s="64"/>
      <c r="DZ122" s="74" t="s">
        <v>1839</v>
      </c>
      <c r="EA122" s="73">
        <f t="shared" ca="1" si="564"/>
        <v>0</v>
      </c>
      <c r="EB122" s="64"/>
      <c r="EC122" s="74" t="s">
        <v>1267</v>
      </c>
      <c r="ED122" s="73">
        <f t="shared" ca="1" si="564"/>
        <v>0</v>
      </c>
      <c r="EE122" s="64"/>
      <c r="EF122" s="74" t="s">
        <v>1267</v>
      </c>
      <c r="EG122" s="73">
        <f t="shared" ca="1" si="564"/>
        <v>0</v>
      </c>
      <c r="EH122" s="64"/>
      <c r="EI122" s="74" t="s">
        <v>1839</v>
      </c>
      <c r="EJ122" s="73">
        <f t="shared" ca="1" si="564"/>
        <v>0</v>
      </c>
      <c r="EK122" s="64"/>
      <c r="EL122" s="74"/>
      <c r="EM122" s="73">
        <f t="shared" ca="1" si="564"/>
        <v>0</v>
      </c>
      <c r="EN122" s="64"/>
      <c r="EO122" s="74"/>
      <c r="EP122" s="73">
        <f t="shared" ca="1" si="564"/>
        <v>0</v>
      </c>
      <c r="EQ122" s="64"/>
      <c r="ER122" s="74"/>
      <c r="ES122" s="73">
        <f t="shared" ca="1" si="564"/>
        <v>0</v>
      </c>
      <c r="ET122" s="64"/>
      <c r="EU122" s="74"/>
      <c r="EV122" s="73">
        <f t="shared" ca="1" si="564"/>
        <v>0</v>
      </c>
      <c r="EW122" s="64"/>
      <c r="EX122" s="74"/>
      <c r="EY122" s="73">
        <f t="shared" ref="EY122:FK122" ca="1" si="565">($M122=EX122)*$D$13</f>
        <v>0</v>
      </c>
      <c r="EZ122" s="64"/>
      <c r="FA122" s="74"/>
      <c r="FB122" s="73">
        <f t="shared" ca="1" si="565"/>
        <v>0</v>
      </c>
      <c r="FC122" s="64"/>
      <c r="FD122" s="74"/>
      <c r="FE122" s="73">
        <f t="shared" ca="1" si="565"/>
        <v>0</v>
      </c>
      <c r="FF122" s="64"/>
      <c r="FG122" s="74"/>
      <c r="FH122" s="73">
        <f t="shared" ca="1" si="565"/>
        <v>0</v>
      </c>
      <c r="FI122" s="64"/>
      <c r="FJ122" s="74"/>
      <c r="FK122" s="73">
        <f t="shared" ca="1" si="565"/>
        <v>0</v>
      </c>
      <c r="FL122" s="64"/>
      <c r="FM122" s="64"/>
    </row>
    <row r="123" spans="1:169">
      <c r="A123" s="49"/>
      <c r="B123" s="49"/>
      <c r="C123" s="49"/>
      <c r="D123" s="49"/>
      <c r="E123" s="65"/>
      <c r="F123" s="127">
        <f t="shared" ref="F123" si="566">$D$14</f>
        <v>2</v>
      </c>
      <c r="G123" s="445">
        <f ca="1">VLOOKUP(H123,Equipos!$Q$1:$R$25,2,0)</f>
        <v>18</v>
      </c>
      <c r="H123" s="446">
        <f ca="1">$H$74</f>
        <v>46201</v>
      </c>
      <c r="I123" s="50"/>
      <c r="J123" s="852"/>
      <c r="K123" s="56" t="str">
        <f>Idiomas!D193</f>
        <v>4º GRUPO K</v>
      </c>
      <c r="L123" s="53"/>
      <c r="M123" s="55" t="str">
        <f ca="1">IF(OR(SUM(WORLDCUP!$AN$86:$AN$89)=12,WORLDCUP!$AJ$99=144),WORLDCUP!AL89,LEFT(K123,1)&amp;RIGHT(K123,1))</f>
        <v>4K</v>
      </c>
      <c r="N123" s="25"/>
      <c r="O123" s="25"/>
      <c r="P123" s="25"/>
      <c r="Q123" s="25"/>
      <c r="R123" s="110"/>
      <c r="S123" s="74" t="s">
        <v>1267</v>
      </c>
      <c r="T123" s="73">
        <f t="shared" ref="T123" ca="1" si="567">($M123=S123)*$D$14</f>
        <v>0</v>
      </c>
      <c r="U123" s="64"/>
      <c r="V123" s="74" t="s">
        <v>1267</v>
      </c>
      <c r="W123" s="73">
        <f t="shared" ref="W123:CH123" ca="1" si="568">($M123=V123)*$D$14</f>
        <v>0</v>
      </c>
      <c r="X123" s="64"/>
      <c r="Y123" s="74" t="s">
        <v>1839</v>
      </c>
      <c r="Z123" s="73">
        <f t="shared" ca="1" si="568"/>
        <v>0</v>
      </c>
      <c r="AA123" s="64"/>
      <c r="AB123" s="74" t="s">
        <v>1267</v>
      </c>
      <c r="AC123" s="73">
        <f t="shared" ca="1" si="568"/>
        <v>0</v>
      </c>
      <c r="AD123" s="64"/>
      <c r="AE123" s="74" t="s">
        <v>1839</v>
      </c>
      <c r="AF123" s="73">
        <f t="shared" ca="1" si="568"/>
        <v>0</v>
      </c>
      <c r="AG123" s="64"/>
      <c r="AH123" s="74" t="s">
        <v>1267</v>
      </c>
      <c r="AI123" s="73">
        <f t="shared" ca="1" si="568"/>
        <v>0</v>
      </c>
      <c r="AJ123" s="64"/>
      <c r="AK123" s="74" t="s">
        <v>1267</v>
      </c>
      <c r="AL123" s="73">
        <f t="shared" ca="1" si="568"/>
        <v>0</v>
      </c>
      <c r="AM123" s="64"/>
      <c r="AN123" s="74" t="s">
        <v>1267</v>
      </c>
      <c r="AO123" s="73">
        <f t="shared" ca="1" si="568"/>
        <v>0</v>
      </c>
      <c r="AP123" s="64"/>
      <c r="AQ123" s="74" t="s">
        <v>1267</v>
      </c>
      <c r="AR123" s="73">
        <f t="shared" ca="1" si="568"/>
        <v>0</v>
      </c>
      <c r="AS123" s="64"/>
      <c r="AT123" s="74" t="s">
        <v>1267</v>
      </c>
      <c r="AU123" s="73">
        <f t="shared" ca="1" si="568"/>
        <v>0</v>
      </c>
      <c r="AV123" s="64"/>
      <c r="AW123" s="74" t="s">
        <v>1267</v>
      </c>
      <c r="AX123" s="73">
        <f t="shared" ca="1" si="568"/>
        <v>0</v>
      </c>
      <c r="AY123" s="64"/>
      <c r="AZ123" s="74" t="s">
        <v>1267</v>
      </c>
      <c r="BA123" s="73">
        <f t="shared" ca="1" si="568"/>
        <v>0</v>
      </c>
      <c r="BB123" s="64"/>
      <c r="BC123" s="74" t="s">
        <v>1267</v>
      </c>
      <c r="BD123" s="73">
        <f t="shared" ca="1" si="568"/>
        <v>0</v>
      </c>
      <c r="BE123" s="64"/>
      <c r="BF123" s="74" t="s">
        <v>1267</v>
      </c>
      <c r="BG123" s="73">
        <f t="shared" ca="1" si="568"/>
        <v>0</v>
      </c>
      <c r="BH123" s="64"/>
      <c r="BI123" s="74" t="s">
        <v>1839</v>
      </c>
      <c r="BJ123" s="73">
        <f t="shared" ca="1" si="568"/>
        <v>0</v>
      </c>
      <c r="BK123" s="64"/>
      <c r="BL123" s="74" t="s">
        <v>1267</v>
      </c>
      <c r="BM123" s="73">
        <f t="shared" ca="1" si="568"/>
        <v>0</v>
      </c>
      <c r="BN123" s="64"/>
      <c r="BO123" s="74" t="s">
        <v>1839</v>
      </c>
      <c r="BP123" s="73">
        <f t="shared" ca="1" si="568"/>
        <v>0</v>
      </c>
      <c r="BQ123" s="64"/>
      <c r="BR123" s="74" t="s">
        <v>1267</v>
      </c>
      <c r="BS123" s="73">
        <f t="shared" ca="1" si="568"/>
        <v>0</v>
      </c>
      <c r="BT123" s="64"/>
      <c r="BU123" s="74" t="s">
        <v>1267</v>
      </c>
      <c r="BV123" s="73">
        <f t="shared" ca="1" si="568"/>
        <v>0</v>
      </c>
      <c r="BW123" s="64"/>
      <c r="BX123" s="74" t="s">
        <v>1267</v>
      </c>
      <c r="BY123" s="73">
        <f t="shared" ca="1" si="568"/>
        <v>0</v>
      </c>
      <c r="BZ123" s="64"/>
      <c r="CA123" s="74" t="s">
        <v>1267</v>
      </c>
      <c r="CB123" s="73">
        <f t="shared" ca="1" si="568"/>
        <v>0</v>
      </c>
      <c r="CC123" s="64"/>
      <c r="CD123" s="74" t="s">
        <v>1267</v>
      </c>
      <c r="CE123" s="73">
        <f t="shared" ca="1" si="568"/>
        <v>0</v>
      </c>
      <c r="CF123" s="64"/>
      <c r="CG123" s="74" t="s">
        <v>1267</v>
      </c>
      <c r="CH123" s="73">
        <f t="shared" ca="1" si="568"/>
        <v>0</v>
      </c>
      <c r="CI123" s="64"/>
      <c r="CJ123" s="74" t="s">
        <v>1839</v>
      </c>
      <c r="CK123" s="73">
        <f t="shared" ref="CK123:EV123" ca="1" si="569">($M123=CJ123)*$D$14</f>
        <v>0</v>
      </c>
      <c r="CL123" s="64"/>
      <c r="CM123" s="74" t="s">
        <v>1267</v>
      </c>
      <c r="CN123" s="73">
        <f t="shared" ca="1" si="569"/>
        <v>0</v>
      </c>
      <c r="CO123" s="64"/>
      <c r="CP123" s="74" t="s">
        <v>1267</v>
      </c>
      <c r="CQ123" s="73">
        <f t="shared" ca="1" si="569"/>
        <v>0</v>
      </c>
      <c r="CR123" s="64"/>
      <c r="CS123" s="74" t="s">
        <v>1839</v>
      </c>
      <c r="CT123" s="73">
        <f t="shared" ca="1" si="569"/>
        <v>0</v>
      </c>
      <c r="CU123" s="64"/>
      <c r="CV123" s="74" t="s">
        <v>1839</v>
      </c>
      <c r="CW123" s="73">
        <f t="shared" ca="1" si="569"/>
        <v>0</v>
      </c>
      <c r="CX123" s="64"/>
      <c r="CY123" s="74" t="s">
        <v>1839</v>
      </c>
      <c r="CZ123" s="73">
        <f t="shared" ca="1" si="569"/>
        <v>0</v>
      </c>
      <c r="DA123" s="64"/>
      <c r="DB123" s="74" t="s">
        <v>1267</v>
      </c>
      <c r="DC123" s="73">
        <f t="shared" ca="1" si="569"/>
        <v>0</v>
      </c>
      <c r="DD123" s="64"/>
      <c r="DE123" s="74" t="s">
        <v>1267</v>
      </c>
      <c r="DF123" s="73">
        <f t="shared" ca="1" si="569"/>
        <v>0</v>
      </c>
      <c r="DG123" s="64"/>
      <c r="DH123" s="74" t="s">
        <v>1839</v>
      </c>
      <c r="DI123" s="73">
        <f t="shared" ca="1" si="569"/>
        <v>0</v>
      </c>
      <c r="DJ123" s="64"/>
      <c r="DK123" s="74" t="s">
        <v>1839</v>
      </c>
      <c r="DL123" s="73">
        <f t="shared" ca="1" si="569"/>
        <v>0</v>
      </c>
      <c r="DM123" s="64"/>
      <c r="DN123" s="795" t="s">
        <v>1267</v>
      </c>
      <c r="DO123" s="73">
        <f t="shared" ca="1" si="569"/>
        <v>0</v>
      </c>
      <c r="DP123" s="64"/>
      <c r="DQ123" s="795" t="s">
        <v>1839</v>
      </c>
      <c r="DR123" s="73">
        <f t="shared" ca="1" si="569"/>
        <v>0</v>
      </c>
      <c r="DS123" s="64"/>
      <c r="DT123" s="74" t="s">
        <v>1839</v>
      </c>
      <c r="DU123" s="73">
        <f t="shared" ca="1" si="569"/>
        <v>0</v>
      </c>
      <c r="DV123" s="64"/>
      <c r="DW123" s="74" t="s">
        <v>1267</v>
      </c>
      <c r="DX123" s="73">
        <f t="shared" ca="1" si="569"/>
        <v>0</v>
      </c>
      <c r="DY123" s="64"/>
      <c r="DZ123" s="74" t="s">
        <v>1267</v>
      </c>
      <c r="EA123" s="73">
        <f t="shared" ca="1" si="569"/>
        <v>0</v>
      </c>
      <c r="EB123" s="64"/>
      <c r="EC123" s="74" t="s">
        <v>1839</v>
      </c>
      <c r="ED123" s="73">
        <f t="shared" ca="1" si="569"/>
        <v>0</v>
      </c>
      <c r="EE123" s="64"/>
      <c r="EF123" s="74" t="s">
        <v>1839</v>
      </c>
      <c r="EG123" s="73">
        <f t="shared" ca="1" si="569"/>
        <v>0</v>
      </c>
      <c r="EH123" s="64"/>
      <c r="EI123" s="74" t="s">
        <v>1267</v>
      </c>
      <c r="EJ123" s="73">
        <f t="shared" ca="1" si="569"/>
        <v>0</v>
      </c>
      <c r="EK123" s="64"/>
      <c r="EL123" s="74"/>
      <c r="EM123" s="73">
        <f t="shared" ca="1" si="569"/>
        <v>0</v>
      </c>
      <c r="EN123" s="64"/>
      <c r="EO123" s="74"/>
      <c r="EP123" s="73">
        <f t="shared" ca="1" si="569"/>
        <v>0</v>
      </c>
      <c r="EQ123" s="64"/>
      <c r="ER123" s="74"/>
      <c r="ES123" s="73">
        <f t="shared" ca="1" si="569"/>
        <v>0</v>
      </c>
      <c r="ET123" s="64"/>
      <c r="EU123" s="74"/>
      <c r="EV123" s="73">
        <f t="shared" ca="1" si="569"/>
        <v>0</v>
      </c>
      <c r="EW123" s="64"/>
      <c r="EX123" s="74"/>
      <c r="EY123" s="73">
        <f t="shared" ref="EY123:FK123" ca="1" si="570">($M123=EX123)*$D$14</f>
        <v>0</v>
      </c>
      <c r="EZ123" s="64"/>
      <c r="FA123" s="74"/>
      <c r="FB123" s="73">
        <f t="shared" ca="1" si="570"/>
        <v>0</v>
      </c>
      <c r="FC123" s="64"/>
      <c r="FD123" s="74"/>
      <c r="FE123" s="73">
        <f t="shared" ca="1" si="570"/>
        <v>0</v>
      </c>
      <c r="FF123" s="64"/>
      <c r="FG123" s="74"/>
      <c r="FH123" s="73">
        <f t="shared" ca="1" si="570"/>
        <v>0</v>
      </c>
      <c r="FI123" s="64"/>
      <c r="FJ123" s="74"/>
      <c r="FK123" s="73">
        <f t="shared" ca="1" si="570"/>
        <v>0</v>
      </c>
      <c r="FL123" s="64"/>
      <c r="FM123" s="64"/>
    </row>
    <row r="124" spans="1:169">
      <c r="A124" s="49"/>
      <c r="B124" s="49"/>
      <c r="C124" s="49"/>
      <c r="D124" s="49"/>
      <c r="E124" s="65"/>
      <c r="F124" s="127">
        <f t="shared" ref="F124" si="571">$D$11</f>
        <v>2</v>
      </c>
      <c r="G124" s="445">
        <f ca="1">VLOOKUP(H124,Equipos!$Q$1:$R$25,2,0)</f>
        <v>18</v>
      </c>
      <c r="H124" s="446">
        <f ca="1">$H$76</f>
        <v>46201</v>
      </c>
      <c r="I124" s="50"/>
      <c r="J124" s="851" t="s">
        <v>238</v>
      </c>
      <c r="K124" s="56" t="str">
        <f>Idiomas!D194</f>
        <v>1º GRUPO L</v>
      </c>
      <c r="L124" s="53"/>
      <c r="M124" s="55" t="str">
        <f ca="1">IF(OR(SUM(WORLDCUP!$AN$94:$AN$97)=12,WORLDCUP!$AJ$99=144),WORLDCUP!AL94,LEFT(K124,1)&amp;RIGHT(K124,1))</f>
        <v>1L</v>
      </c>
      <c r="N124" s="25"/>
      <c r="O124" s="25"/>
      <c r="P124" s="25"/>
      <c r="Q124" s="25"/>
      <c r="R124" s="110"/>
      <c r="S124" s="74" t="s">
        <v>76</v>
      </c>
      <c r="T124" s="73">
        <f t="shared" ref="T124" ca="1" si="572">($M124=S124)*$D$11</f>
        <v>0</v>
      </c>
      <c r="U124" s="64"/>
      <c r="V124" s="74" t="s">
        <v>76</v>
      </c>
      <c r="W124" s="73">
        <f t="shared" ref="W124:CH124" ca="1" si="573">($M124=V124)*$D$11</f>
        <v>0</v>
      </c>
      <c r="X124" s="64"/>
      <c r="Y124" s="74" t="s">
        <v>76</v>
      </c>
      <c r="Z124" s="73">
        <f t="shared" ca="1" si="573"/>
        <v>0</v>
      </c>
      <c r="AA124" s="64"/>
      <c r="AB124" s="74" t="s">
        <v>76</v>
      </c>
      <c r="AC124" s="73">
        <f t="shared" ca="1" si="573"/>
        <v>0</v>
      </c>
      <c r="AD124" s="64"/>
      <c r="AE124" s="74" t="s">
        <v>76</v>
      </c>
      <c r="AF124" s="73">
        <f t="shared" ca="1" si="573"/>
        <v>0</v>
      </c>
      <c r="AG124" s="64"/>
      <c r="AH124" s="74" t="s">
        <v>78</v>
      </c>
      <c r="AI124" s="73">
        <f t="shared" ca="1" si="573"/>
        <v>0</v>
      </c>
      <c r="AJ124" s="64"/>
      <c r="AK124" s="74" t="s">
        <v>76</v>
      </c>
      <c r="AL124" s="73">
        <f t="shared" ca="1" si="573"/>
        <v>0</v>
      </c>
      <c r="AM124" s="64"/>
      <c r="AN124" s="74" t="s">
        <v>76</v>
      </c>
      <c r="AO124" s="73">
        <f t="shared" ca="1" si="573"/>
        <v>0</v>
      </c>
      <c r="AP124" s="64"/>
      <c r="AQ124" s="74" t="s">
        <v>76</v>
      </c>
      <c r="AR124" s="73">
        <f t="shared" ca="1" si="573"/>
        <v>0</v>
      </c>
      <c r="AS124" s="64"/>
      <c r="AT124" s="74" t="s">
        <v>76</v>
      </c>
      <c r="AU124" s="73">
        <f t="shared" ca="1" si="573"/>
        <v>0</v>
      </c>
      <c r="AV124" s="64"/>
      <c r="AW124" s="74" t="s">
        <v>76</v>
      </c>
      <c r="AX124" s="73">
        <f t="shared" ca="1" si="573"/>
        <v>0</v>
      </c>
      <c r="AY124" s="64"/>
      <c r="AZ124" s="74" t="s">
        <v>76</v>
      </c>
      <c r="BA124" s="73">
        <f t="shared" ca="1" si="573"/>
        <v>0</v>
      </c>
      <c r="BB124" s="64"/>
      <c r="BC124" s="74" t="s">
        <v>78</v>
      </c>
      <c r="BD124" s="73">
        <f t="shared" ca="1" si="573"/>
        <v>0</v>
      </c>
      <c r="BE124" s="64"/>
      <c r="BF124" s="74" t="s">
        <v>76</v>
      </c>
      <c r="BG124" s="73">
        <f t="shared" ca="1" si="573"/>
        <v>0</v>
      </c>
      <c r="BH124" s="64"/>
      <c r="BI124" s="74" t="s">
        <v>76</v>
      </c>
      <c r="BJ124" s="73">
        <f t="shared" ca="1" si="573"/>
        <v>0</v>
      </c>
      <c r="BK124" s="64"/>
      <c r="BL124" s="74" t="s">
        <v>76</v>
      </c>
      <c r="BM124" s="73">
        <f t="shared" ca="1" si="573"/>
        <v>0</v>
      </c>
      <c r="BN124" s="64"/>
      <c r="BO124" s="74" t="s">
        <v>76</v>
      </c>
      <c r="BP124" s="73">
        <f t="shared" ca="1" si="573"/>
        <v>0</v>
      </c>
      <c r="BQ124" s="64"/>
      <c r="BR124" s="74" t="s">
        <v>76</v>
      </c>
      <c r="BS124" s="73">
        <f t="shared" ca="1" si="573"/>
        <v>0</v>
      </c>
      <c r="BT124" s="64"/>
      <c r="BU124" s="74" t="s">
        <v>76</v>
      </c>
      <c r="BV124" s="73">
        <f t="shared" ca="1" si="573"/>
        <v>0</v>
      </c>
      <c r="BW124" s="64"/>
      <c r="BX124" s="74" t="s">
        <v>76</v>
      </c>
      <c r="BY124" s="73">
        <f t="shared" ca="1" si="573"/>
        <v>0</v>
      </c>
      <c r="BZ124" s="64"/>
      <c r="CA124" s="74" t="s">
        <v>76</v>
      </c>
      <c r="CB124" s="73">
        <f t="shared" ca="1" si="573"/>
        <v>0</v>
      </c>
      <c r="CC124" s="64"/>
      <c r="CD124" s="74" t="s">
        <v>78</v>
      </c>
      <c r="CE124" s="73">
        <f t="shared" ca="1" si="573"/>
        <v>0</v>
      </c>
      <c r="CF124" s="64"/>
      <c r="CG124" s="74" t="s">
        <v>76</v>
      </c>
      <c r="CH124" s="73">
        <f t="shared" ca="1" si="573"/>
        <v>0</v>
      </c>
      <c r="CI124" s="64"/>
      <c r="CJ124" s="74" t="s">
        <v>76</v>
      </c>
      <c r="CK124" s="73">
        <f t="shared" ref="CK124:EV124" ca="1" si="574">($M124=CJ124)*$D$11</f>
        <v>0</v>
      </c>
      <c r="CL124" s="64"/>
      <c r="CM124" s="74" t="s">
        <v>76</v>
      </c>
      <c r="CN124" s="73">
        <f t="shared" ca="1" si="574"/>
        <v>0</v>
      </c>
      <c r="CO124" s="64"/>
      <c r="CP124" s="74" t="s">
        <v>76</v>
      </c>
      <c r="CQ124" s="73">
        <f t="shared" ca="1" si="574"/>
        <v>0</v>
      </c>
      <c r="CR124" s="64"/>
      <c r="CS124" s="74" t="s">
        <v>76</v>
      </c>
      <c r="CT124" s="73">
        <f t="shared" ca="1" si="574"/>
        <v>0</v>
      </c>
      <c r="CU124" s="64"/>
      <c r="CV124" s="74" t="s">
        <v>76</v>
      </c>
      <c r="CW124" s="73">
        <f t="shared" ca="1" si="574"/>
        <v>0</v>
      </c>
      <c r="CX124" s="64"/>
      <c r="CY124" s="74" t="s">
        <v>76</v>
      </c>
      <c r="CZ124" s="73">
        <f t="shared" ca="1" si="574"/>
        <v>0</v>
      </c>
      <c r="DA124" s="64"/>
      <c r="DB124" s="74" t="s">
        <v>76</v>
      </c>
      <c r="DC124" s="73">
        <f t="shared" ca="1" si="574"/>
        <v>0</v>
      </c>
      <c r="DD124" s="64"/>
      <c r="DE124" s="74" t="s">
        <v>76</v>
      </c>
      <c r="DF124" s="73">
        <f t="shared" ca="1" si="574"/>
        <v>0</v>
      </c>
      <c r="DG124" s="64"/>
      <c r="DH124" s="74" t="s">
        <v>76</v>
      </c>
      <c r="DI124" s="73">
        <f t="shared" ca="1" si="574"/>
        <v>0</v>
      </c>
      <c r="DJ124" s="64"/>
      <c r="DK124" s="74" t="s">
        <v>1551</v>
      </c>
      <c r="DL124" s="73">
        <f t="shared" ca="1" si="574"/>
        <v>0</v>
      </c>
      <c r="DM124" s="64"/>
      <c r="DN124" s="795" t="s">
        <v>76</v>
      </c>
      <c r="DO124" s="73">
        <f t="shared" ca="1" si="574"/>
        <v>0</v>
      </c>
      <c r="DP124" s="64"/>
      <c r="DQ124" s="795" t="s">
        <v>78</v>
      </c>
      <c r="DR124" s="73">
        <f t="shared" ca="1" si="574"/>
        <v>0</v>
      </c>
      <c r="DS124" s="64"/>
      <c r="DT124" s="74" t="s">
        <v>78</v>
      </c>
      <c r="DU124" s="73">
        <f t="shared" ca="1" si="574"/>
        <v>0</v>
      </c>
      <c r="DV124" s="64"/>
      <c r="DW124" s="74" t="s">
        <v>76</v>
      </c>
      <c r="DX124" s="73">
        <f t="shared" ca="1" si="574"/>
        <v>0</v>
      </c>
      <c r="DY124" s="64"/>
      <c r="DZ124" s="74" t="s">
        <v>76</v>
      </c>
      <c r="EA124" s="73">
        <f t="shared" ca="1" si="574"/>
        <v>0</v>
      </c>
      <c r="EB124" s="64"/>
      <c r="EC124" s="74" t="s">
        <v>76</v>
      </c>
      <c r="ED124" s="73">
        <f t="shared" ca="1" si="574"/>
        <v>0</v>
      </c>
      <c r="EE124" s="64"/>
      <c r="EF124" s="74" t="s">
        <v>76</v>
      </c>
      <c r="EG124" s="73">
        <f t="shared" ca="1" si="574"/>
        <v>0</v>
      </c>
      <c r="EH124" s="64"/>
      <c r="EI124" s="74" t="s">
        <v>76</v>
      </c>
      <c r="EJ124" s="73">
        <f t="shared" ca="1" si="574"/>
        <v>0</v>
      </c>
      <c r="EK124" s="64"/>
      <c r="EL124" s="74"/>
      <c r="EM124" s="73">
        <f t="shared" ca="1" si="574"/>
        <v>0</v>
      </c>
      <c r="EN124" s="64"/>
      <c r="EO124" s="74"/>
      <c r="EP124" s="73">
        <f t="shared" ca="1" si="574"/>
        <v>0</v>
      </c>
      <c r="EQ124" s="64"/>
      <c r="ER124" s="74"/>
      <c r="ES124" s="73">
        <f t="shared" ca="1" si="574"/>
        <v>0</v>
      </c>
      <c r="ET124" s="64"/>
      <c r="EU124" s="74"/>
      <c r="EV124" s="73">
        <f t="shared" ca="1" si="574"/>
        <v>0</v>
      </c>
      <c r="EW124" s="64"/>
      <c r="EX124" s="74"/>
      <c r="EY124" s="73">
        <f t="shared" ref="EY124:FK124" ca="1" si="575">($M124=EX124)*$D$11</f>
        <v>0</v>
      </c>
      <c r="EZ124" s="64"/>
      <c r="FA124" s="74"/>
      <c r="FB124" s="73">
        <f t="shared" ca="1" si="575"/>
        <v>0</v>
      </c>
      <c r="FC124" s="64"/>
      <c r="FD124" s="74"/>
      <c r="FE124" s="73">
        <f t="shared" ca="1" si="575"/>
        <v>0</v>
      </c>
      <c r="FF124" s="64"/>
      <c r="FG124" s="74"/>
      <c r="FH124" s="73">
        <f t="shared" ca="1" si="575"/>
        <v>0</v>
      </c>
      <c r="FI124" s="64"/>
      <c r="FJ124" s="74"/>
      <c r="FK124" s="73">
        <f t="shared" ca="1" si="575"/>
        <v>0</v>
      </c>
      <c r="FL124" s="64"/>
      <c r="FM124" s="64"/>
    </row>
    <row r="125" spans="1:169">
      <c r="A125" s="49"/>
      <c r="B125" s="49"/>
      <c r="C125" s="49"/>
      <c r="D125" s="49"/>
      <c r="E125" s="65"/>
      <c r="F125" s="127">
        <f t="shared" ref="F125" si="576">$D$12</f>
        <v>2</v>
      </c>
      <c r="G125" s="445">
        <f ca="1">VLOOKUP(H125,Equipos!$Q$1:$R$25,2,0)</f>
        <v>18</v>
      </c>
      <c r="H125" s="446">
        <f ca="1">$H$76</f>
        <v>46201</v>
      </c>
      <c r="I125" s="50"/>
      <c r="J125" s="851"/>
      <c r="K125" s="56" t="str">
        <f>Idiomas!D195</f>
        <v>2º GRUPO L</v>
      </c>
      <c r="L125" s="53"/>
      <c r="M125" s="55" t="str">
        <f ca="1">IF(OR(SUM(WORLDCUP!$AN$94:$AN$97)=12,WORLDCUP!$AJ$99=144),WORLDCUP!AL95,LEFT(K125,1)&amp;RIGHT(K125,1))</f>
        <v>2L</v>
      </c>
      <c r="N125" s="25"/>
      <c r="O125" s="25"/>
      <c r="P125" s="25"/>
      <c r="Q125" s="25"/>
      <c r="R125" s="110"/>
      <c r="S125" s="74" t="s">
        <v>78</v>
      </c>
      <c r="T125" s="73">
        <f t="shared" ref="T125" ca="1" si="577">($M125=S125)*$D$12</f>
        <v>0</v>
      </c>
      <c r="U125" s="64"/>
      <c r="V125" s="74" t="s">
        <v>78</v>
      </c>
      <c r="W125" s="73">
        <f t="shared" ref="W125:CH125" ca="1" si="578">($M125=V125)*$D$12</f>
        <v>0</v>
      </c>
      <c r="X125" s="64"/>
      <c r="Y125" s="74" t="s">
        <v>78</v>
      </c>
      <c r="Z125" s="73">
        <f t="shared" ca="1" si="578"/>
        <v>0</v>
      </c>
      <c r="AA125" s="64"/>
      <c r="AB125" s="74" t="s">
        <v>78</v>
      </c>
      <c r="AC125" s="73">
        <f t="shared" ca="1" si="578"/>
        <v>0</v>
      </c>
      <c r="AD125" s="64"/>
      <c r="AE125" s="74" t="s">
        <v>78</v>
      </c>
      <c r="AF125" s="73">
        <f t="shared" ca="1" si="578"/>
        <v>0</v>
      </c>
      <c r="AG125" s="64"/>
      <c r="AH125" s="74" t="s">
        <v>76</v>
      </c>
      <c r="AI125" s="73">
        <f t="shared" ca="1" si="578"/>
        <v>0</v>
      </c>
      <c r="AJ125" s="64"/>
      <c r="AK125" s="74" t="s">
        <v>1551</v>
      </c>
      <c r="AL125" s="73">
        <f t="shared" ca="1" si="578"/>
        <v>0</v>
      </c>
      <c r="AM125" s="64"/>
      <c r="AN125" s="74" t="s">
        <v>78</v>
      </c>
      <c r="AO125" s="73">
        <f t="shared" ca="1" si="578"/>
        <v>0</v>
      </c>
      <c r="AP125" s="64"/>
      <c r="AQ125" s="74" t="s">
        <v>1551</v>
      </c>
      <c r="AR125" s="73">
        <f t="shared" ca="1" si="578"/>
        <v>0</v>
      </c>
      <c r="AS125" s="64"/>
      <c r="AT125" s="74" t="s">
        <v>78</v>
      </c>
      <c r="AU125" s="73">
        <f t="shared" ca="1" si="578"/>
        <v>0</v>
      </c>
      <c r="AV125" s="64"/>
      <c r="AW125" s="74" t="s">
        <v>1551</v>
      </c>
      <c r="AX125" s="73">
        <f t="shared" ca="1" si="578"/>
        <v>0</v>
      </c>
      <c r="AY125" s="64"/>
      <c r="AZ125" s="74" t="s">
        <v>78</v>
      </c>
      <c r="BA125" s="73">
        <f t="shared" ca="1" si="578"/>
        <v>0</v>
      </c>
      <c r="BB125" s="64"/>
      <c r="BC125" s="74" t="s">
        <v>76</v>
      </c>
      <c r="BD125" s="73">
        <f t="shared" ca="1" si="578"/>
        <v>0</v>
      </c>
      <c r="BE125" s="64"/>
      <c r="BF125" s="74" t="s">
        <v>78</v>
      </c>
      <c r="BG125" s="73">
        <f t="shared" ca="1" si="578"/>
        <v>0</v>
      </c>
      <c r="BH125" s="64"/>
      <c r="BI125" s="74" t="s">
        <v>78</v>
      </c>
      <c r="BJ125" s="73">
        <f t="shared" ca="1" si="578"/>
        <v>0</v>
      </c>
      <c r="BK125" s="64"/>
      <c r="BL125" s="74" t="s">
        <v>78</v>
      </c>
      <c r="BM125" s="73">
        <f t="shared" ca="1" si="578"/>
        <v>0</v>
      </c>
      <c r="BN125" s="64"/>
      <c r="BO125" s="74" t="s">
        <v>78</v>
      </c>
      <c r="BP125" s="73">
        <f t="shared" ca="1" si="578"/>
        <v>0</v>
      </c>
      <c r="BQ125" s="64"/>
      <c r="BR125" s="74" t="s">
        <v>78</v>
      </c>
      <c r="BS125" s="73">
        <f t="shared" ca="1" si="578"/>
        <v>0</v>
      </c>
      <c r="BT125" s="64"/>
      <c r="BU125" s="74" t="s">
        <v>78</v>
      </c>
      <c r="BV125" s="73">
        <f t="shared" ca="1" si="578"/>
        <v>0</v>
      </c>
      <c r="BW125" s="64"/>
      <c r="BX125" s="74" t="s">
        <v>78</v>
      </c>
      <c r="BY125" s="73">
        <f t="shared" ca="1" si="578"/>
        <v>0</v>
      </c>
      <c r="BZ125" s="64"/>
      <c r="CA125" s="74" t="s">
        <v>78</v>
      </c>
      <c r="CB125" s="73">
        <f t="shared" ca="1" si="578"/>
        <v>0</v>
      </c>
      <c r="CC125" s="64"/>
      <c r="CD125" s="74" t="s">
        <v>76</v>
      </c>
      <c r="CE125" s="73">
        <f t="shared" ca="1" si="578"/>
        <v>0</v>
      </c>
      <c r="CF125" s="64"/>
      <c r="CG125" s="74" t="s">
        <v>78</v>
      </c>
      <c r="CH125" s="73">
        <f t="shared" ca="1" si="578"/>
        <v>0</v>
      </c>
      <c r="CI125" s="64"/>
      <c r="CJ125" s="74" t="s">
        <v>78</v>
      </c>
      <c r="CK125" s="73">
        <f t="shared" ref="CK125:EV125" ca="1" si="579">($M125=CJ125)*$D$12</f>
        <v>0</v>
      </c>
      <c r="CL125" s="64"/>
      <c r="CM125" s="74" t="s">
        <v>78</v>
      </c>
      <c r="CN125" s="73">
        <f t="shared" ca="1" si="579"/>
        <v>0</v>
      </c>
      <c r="CO125" s="64"/>
      <c r="CP125" s="74" t="s">
        <v>78</v>
      </c>
      <c r="CQ125" s="73">
        <f t="shared" ca="1" si="579"/>
        <v>0</v>
      </c>
      <c r="CR125" s="64"/>
      <c r="CS125" s="74" t="s">
        <v>78</v>
      </c>
      <c r="CT125" s="73">
        <f t="shared" ca="1" si="579"/>
        <v>0</v>
      </c>
      <c r="CU125" s="64"/>
      <c r="CV125" s="74" t="s">
        <v>78</v>
      </c>
      <c r="CW125" s="73">
        <f t="shared" ca="1" si="579"/>
        <v>0</v>
      </c>
      <c r="CX125" s="64"/>
      <c r="CY125" s="74" t="s">
        <v>1551</v>
      </c>
      <c r="CZ125" s="73">
        <f t="shared" ca="1" si="579"/>
        <v>0</v>
      </c>
      <c r="DA125" s="64"/>
      <c r="DB125" s="74" t="s">
        <v>78</v>
      </c>
      <c r="DC125" s="73">
        <f t="shared" ca="1" si="579"/>
        <v>0</v>
      </c>
      <c r="DD125" s="64"/>
      <c r="DE125" s="74" t="s">
        <v>78</v>
      </c>
      <c r="DF125" s="73">
        <f t="shared" ca="1" si="579"/>
        <v>0</v>
      </c>
      <c r="DG125" s="64"/>
      <c r="DH125" s="74" t="s">
        <v>78</v>
      </c>
      <c r="DI125" s="73">
        <f t="shared" ca="1" si="579"/>
        <v>0</v>
      </c>
      <c r="DJ125" s="64"/>
      <c r="DK125" s="74" t="s">
        <v>76</v>
      </c>
      <c r="DL125" s="73">
        <f t="shared" ca="1" si="579"/>
        <v>0</v>
      </c>
      <c r="DM125" s="64"/>
      <c r="DN125" s="795" t="s">
        <v>78</v>
      </c>
      <c r="DO125" s="73">
        <f t="shared" ca="1" si="579"/>
        <v>0</v>
      </c>
      <c r="DP125" s="64"/>
      <c r="DQ125" s="795" t="s">
        <v>76</v>
      </c>
      <c r="DR125" s="73">
        <f t="shared" ca="1" si="579"/>
        <v>0</v>
      </c>
      <c r="DS125" s="64"/>
      <c r="DT125" s="74" t="s">
        <v>76</v>
      </c>
      <c r="DU125" s="73">
        <f t="shared" ca="1" si="579"/>
        <v>0</v>
      </c>
      <c r="DV125" s="64"/>
      <c r="DW125" s="74" t="s">
        <v>1551</v>
      </c>
      <c r="DX125" s="73">
        <f t="shared" ca="1" si="579"/>
        <v>0</v>
      </c>
      <c r="DY125" s="64"/>
      <c r="DZ125" s="74" t="s">
        <v>78</v>
      </c>
      <c r="EA125" s="73">
        <f t="shared" ca="1" si="579"/>
        <v>0</v>
      </c>
      <c r="EB125" s="64"/>
      <c r="EC125" s="74" t="s">
        <v>78</v>
      </c>
      <c r="ED125" s="73">
        <f t="shared" ca="1" si="579"/>
        <v>0</v>
      </c>
      <c r="EE125" s="64"/>
      <c r="EF125" s="74" t="s">
        <v>78</v>
      </c>
      <c r="EG125" s="73">
        <f t="shared" ca="1" si="579"/>
        <v>0</v>
      </c>
      <c r="EH125" s="64"/>
      <c r="EI125" s="74" t="s">
        <v>78</v>
      </c>
      <c r="EJ125" s="73">
        <f t="shared" ca="1" si="579"/>
        <v>0</v>
      </c>
      <c r="EK125" s="64"/>
      <c r="EL125" s="74"/>
      <c r="EM125" s="73">
        <f t="shared" ca="1" si="579"/>
        <v>0</v>
      </c>
      <c r="EN125" s="64"/>
      <c r="EO125" s="74"/>
      <c r="EP125" s="73">
        <f t="shared" ca="1" si="579"/>
        <v>0</v>
      </c>
      <c r="EQ125" s="64"/>
      <c r="ER125" s="74"/>
      <c r="ES125" s="73">
        <f t="shared" ca="1" si="579"/>
        <v>0</v>
      </c>
      <c r="ET125" s="64"/>
      <c r="EU125" s="74"/>
      <c r="EV125" s="73">
        <f t="shared" ca="1" si="579"/>
        <v>0</v>
      </c>
      <c r="EW125" s="64"/>
      <c r="EX125" s="74"/>
      <c r="EY125" s="73">
        <f t="shared" ref="EY125:FK125" ca="1" si="580">($M125=EX125)*$D$12</f>
        <v>0</v>
      </c>
      <c r="EZ125" s="64"/>
      <c r="FA125" s="74"/>
      <c r="FB125" s="73">
        <f t="shared" ca="1" si="580"/>
        <v>0</v>
      </c>
      <c r="FC125" s="64"/>
      <c r="FD125" s="74"/>
      <c r="FE125" s="73">
        <f t="shared" ca="1" si="580"/>
        <v>0</v>
      </c>
      <c r="FF125" s="64"/>
      <c r="FG125" s="74"/>
      <c r="FH125" s="73">
        <f t="shared" ca="1" si="580"/>
        <v>0</v>
      </c>
      <c r="FI125" s="64"/>
      <c r="FJ125" s="74"/>
      <c r="FK125" s="73">
        <f t="shared" ca="1" si="580"/>
        <v>0</v>
      </c>
      <c r="FL125" s="64"/>
      <c r="FM125" s="64"/>
    </row>
    <row r="126" spans="1:169">
      <c r="A126" s="49"/>
      <c r="B126" s="49"/>
      <c r="C126" s="49"/>
      <c r="D126" s="49"/>
      <c r="E126" s="65"/>
      <c r="F126" s="127">
        <f t="shared" ref="F126" si="581">$D$13</f>
        <v>2</v>
      </c>
      <c r="G126" s="445">
        <f ca="1">VLOOKUP(H126,Equipos!$Q$1:$R$25,2,0)</f>
        <v>18</v>
      </c>
      <c r="H126" s="446">
        <f ca="1">$H$76</f>
        <v>46201</v>
      </c>
      <c r="I126" s="50"/>
      <c r="J126" s="851"/>
      <c r="K126" s="56" t="str">
        <f>Idiomas!D196</f>
        <v>3º GRUPO L</v>
      </c>
      <c r="L126" s="53"/>
      <c r="M126" s="55" t="str">
        <f ca="1">IF(OR(SUM(WORLDCUP!$AN$94:$AN$97)=12,WORLDCUP!$AJ$99=144),WORLDCUP!AL96,LEFT(K126,1)&amp;RIGHT(K126,1))</f>
        <v>3L</v>
      </c>
      <c r="N126" s="25"/>
      <c r="O126" s="25"/>
      <c r="P126" s="25"/>
      <c r="Q126" s="25"/>
      <c r="R126" s="110"/>
      <c r="S126" s="74" t="s">
        <v>1551</v>
      </c>
      <c r="T126" s="73">
        <f t="shared" ref="T126" ca="1" si="582">($M126=S126)*$D$13</f>
        <v>0</v>
      </c>
      <c r="U126" s="64"/>
      <c r="V126" s="74" t="s">
        <v>1551</v>
      </c>
      <c r="W126" s="73">
        <f t="shared" ref="W126:CH126" ca="1" si="583">($M126=V126)*$D$13</f>
        <v>0</v>
      </c>
      <c r="X126" s="64"/>
      <c r="Y126" s="74" t="s">
        <v>1551</v>
      </c>
      <c r="Z126" s="73">
        <f t="shared" ca="1" si="583"/>
        <v>0</v>
      </c>
      <c r="AA126" s="64"/>
      <c r="AB126" s="74" t="s">
        <v>1730</v>
      </c>
      <c r="AC126" s="73">
        <f t="shared" ca="1" si="583"/>
        <v>0</v>
      </c>
      <c r="AD126" s="64"/>
      <c r="AE126" s="74" t="s">
        <v>1730</v>
      </c>
      <c r="AF126" s="73">
        <f t="shared" ca="1" si="583"/>
        <v>0</v>
      </c>
      <c r="AG126" s="64"/>
      <c r="AH126" s="74" t="s">
        <v>1730</v>
      </c>
      <c r="AI126" s="73">
        <f t="shared" ca="1" si="583"/>
        <v>0</v>
      </c>
      <c r="AJ126" s="64"/>
      <c r="AK126" s="74" t="s">
        <v>78</v>
      </c>
      <c r="AL126" s="73">
        <f t="shared" ca="1" si="583"/>
        <v>0</v>
      </c>
      <c r="AM126" s="64"/>
      <c r="AN126" s="74" t="s">
        <v>1551</v>
      </c>
      <c r="AO126" s="73">
        <f t="shared" ca="1" si="583"/>
        <v>0</v>
      </c>
      <c r="AP126" s="64"/>
      <c r="AQ126" s="74" t="s">
        <v>78</v>
      </c>
      <c r="AR126" s="73">
        <f t="shared" ca="1" si="583"/>
        <v>0</v>
      </c>
      <c r="AS126" s="64"/>
      <c r="AT126" s="74" t="s">
        <v>1551</v>
      </c>
      <c r="AU126" s="73">
        <f t="shared" ca="1" si="583"/>
        <v>0</v>
      </c>
      <c r="AV126" s="64"/>
      <c r="AW126" s="74" t="s">
        <v>78</v>
      </c>
      <c r="AX126" s="73">
        <f t="shared" ca="1" si="583"/>
        <v>0</v>
      </c>
      <c r="AY126" s="64"/>
      <c r="AZ126" s="74" t="s">
        <v>1551</v>
      </c>
      <c r="BA126" s="73">
        <f t="shared" ca="1" si="583"/>
        <v>0</v>
      </c>
      <c r="BB126" s="64"/>
      <c r="BC126" s="74" t="s">
        <v>1551</v>
      </c>
      <c r="BD126" s="73">
        <f t="shared" ca="1" si="583"/>
        <v>0</v>
      </c>
      <c r="BE126" s="64"/>
      <c r="BF126" s="74" t="s">
        <v>1730</v>
      </c>
      <c r="BG126" s="73">
        <f t="shared" ca="1" si="583"/>
        <v>0</v>
      </c>
      <c r="BH126" s="64"/>
      <c r="BI126" s="74" t="s">
        <v>1551</v>
      </c>
      <c r="BJ126" s="73">
        <f t="shared" ca="1" si="583"/>
        <v>0</v>
      </c>
      <c r="BK126" s="64"/>
      <c r="BL126" s="74" t="s">
        <v>1551</v>
      </c>
      <c r="BM126" s="73">
        <f t="shared" ca="1" si="583"/>
        <v>0</v>
      </c>
      <c r="BN126" s="64"/>
      <c r="BO126" s="74" t="s">
        <v>1730</v>
      </c>
      <c r="BP126" s="73">
        <f t="shared" ca="1" si="583"/>
        <v>0</v>
      </c>
      <c r="BQ126" s="64"/>
      <c r="BR126" s="74" t="s">
        <v>1551</v>
      </c>
      <c r="BS126" s="73">
        <f t="shared" ca="1" si="583"/>
        <v>0</v>
      </c>
      <c r="BT126" s="64"/>
      <c r="BU126" s="74" t="s">
        <v>1551</v>
      </c>
      <c r="BV126" s="73">
        <f t="shared" ca="1" si="583"/>
        <v>0</v>
      </c>
      <c r="BW126" s="64"/>
      <c r="BX126" s="74" t="s">
        <v>1551</v>
      </c>
      <c r="BY126" s="73">
        <f t="shared" ca="1" si="583"/>
        <v>0</v>
      </c>
      <c r="BZ126" s="64"/>
      <c r="CA126" s="74" t="s">
        <v>1551</v>
      </c>
      <c r="CB126" s="73">
        <f t="shared" ca="1" si="583"/>
        <v>0</v>
      </c>
      <c r="CC126" s="64"/>
      <c r="CD126" s="74" t="s">
        <v>1551</v>
      </c>
      <c r="CE126" s="73">
        <f t="shared" ca="1" si="583"/>
        <v>0</v>
      </c>
      <c r="CF126" s="64"/>
      <c r="CG126" s="74" t="s">
        <v>1730</v>
      </c>
      <c r="CH126" s="73">
        <f t="shared" ca="1" si="583"/>
        <v>0</v>
      </c>
      <c r="CI126" s="64"/>
      <c r="CJ126" s="74" t="s">
        <v>1551</v>
      </c>
      <c r="CK126" s="73">
        <f t="shared" ref="CK126:EV126" ca="1" si="584">($M126=CJ126)*$D$13</f>
        <v>0</v>
      </c>
      <c r="CL126" s="64"/>
      <c r="CM126" s="74" t="s">
        <v>1730</v>
      </c>
      <c r="CN126" s="73">
        <f t="shared" ca="1" si="584"/>
        <v>0</v>
      </c>
      <c r="CO126" s="64"/>
      <c r="CP126" s="74" t="s">
        <v>1551</v>
      </c>
      <c r="CQ126" s="73">
        <f t="shared" ca="1" si="584"/>
        <v>0</v>
      </c>
      <c r="CR126" s="64"/>
      <c r="CS126" s="74" t="s">
        <v>1551</v>
      </c>
      <c r="CT126" s="73">
        <f t="shared" ca="1" si="584"/>
        <v>0</v>
      </c>
      <c r="CU126" s="64"/>
      <c r="CV126" s="74" t="s">
        <v>1551</v>
      </c>
      <c r="CW126" s="73">
        <f t="shared" ca="1" si="584"/>
        <v>0</v>
      </c>
      <c r="CX126" s="64"/>
      <c r="CY126" s="74" t="s">
        <v>1730</v>
      </c>
      <c r="CZ126" s="73">
        <f t="shared" ca="1" si="584"/>
        <v>0</v>
      </c>
      <c r="DA126" s="64"/>
      <c r="DB126" s="74" t="s">
        <v>1551</v>
      </c>
      <c r="DC126" s="73">
        <f t="shared" ca="1" si="584"/>
        <v>0</v>
      </c>
      <c r="DD126" s="64"/>
      <c r="DE126" s="74" t="s">
        <v>1551</v>
      </c>
      <c r="DF126" s="73">
        <f t="shared" ca="1" si="584"/>
        <v>0</v>
      </c>
      <c r="DG126" s="64"/>
      <c r="DH126" s="74" t="s">
        <v>1730</v>
      </c>
      <c r="DI126" s="73">
        <f t="shared" ca="1" si="584"/>
        <v>0</v>
      </c>
      <c r="DJ126" s="64"/>
      <c r="DK126" s="74" t="s">
        <v>78</v>
      </c>
      <c r="DL126" s="73">
        <f t="shared" ca="1" si="584"/>
        <v>0</v>
      </c>
      <c r="DM126" s="64"/>
      <c r="DN126" s="795" t="s">
        <v>1551</v>
      </c>
      <c r="DO126" s="73">
        <f t="shared" ca="1" si="584"/>
        <v>0</v>
      </c>
      <c r="DP126" s="64"/>
      <c r="DQ126" s="795" t="s">
        <v>1730</v>
      </c>
      <c r="DR126" s="73">
        <f t="shared" ca="1" si="584"/>
        <v>0</v>
      </c>
      <c r="DS126" s="64"/>
      <c r="DT126" s="74" t="s">
        <v>1551</v>
      </c>
      <c r="DU126" s="73">
        <f t="shared" ca="1" si="584"/>
        <v>0</v>
      </c>
      <c r="DV126" s="64"/>
      <c r="DW126" s="74" t="s">
        <v>78</v>
      </c>
      <c r="DX126" s="73">
        <f t="shared" ca="1" si="584"/>
        <v>0</v>
      </c>
      <c r="DY126" s="64"/>
      <c r="DZ126" s="74" t="s">
        <v>1551</v>
      </c>
      <c r="EA126" s="73">
        <f t="shared" ca="1" si="584"/>
        <v>0</v>
      </c>
      <c r="EB126" s="64"/>
      <c r="EC126" s="74" t="s">
        <v>1551</v>
      </c>
      <c r="ED126" s="73">
        <f t="shared" ca="1" si="584"/>
        <v>0</v>
      </c>
      <c r="EE126" s="64"/>
      <c r="EF126" s="74" t="s">
        <v>1551</v>
      </c>
      <c r="EG126" s="73">
        <f t="shared" ca="1" si="584"/>
        <v>0</v>
      </c>
      <c r="EH126" s="64"/>
      <c r="EI126" s="74" t="s">
        <v>1551</v>
      </c>
      <c r="EJ126" s="73">
        <f t="shared" ca="1" si="584"/>
        <v>0</v>
      </c>
      <c r="EK126" s="64"/>
      <c r="EL126" s="74"/>
      <c r="EM126" s="73">
        <f t="shared" ca="1" si="584"/>
        <v>0</v>
      </c>
      <c r="EN126" s="64"/>
      <c r="EO126" s="74"/>
      <c r="EP126" s="73">
        <f t="shared" ca="1" si="584"/>
        <v>0</v>
      </c>
      <c r="EQ126" s="64"/>
      <c r="ER126" s="74"/>
      <c r="ES126" s="73">
        <f t="shared" ca="1" si="584"/>
        <v>0</v>
      </c>
      <c r="ET126" s="64"/>
      <c r="EU126" s="74"/>
      <c r="EV126" s="73">
        <f t="shared" ca="1" si="584"/>
        <v>0</v>
      </c>
      <c r="EW126" s="64"/>
      <c r="EX126" s="74"/>
      <c r="EY126" s="73">
        <f t="shared" ref="EY126:FK126" ca="1" si="585">($M126=EX126)*$D$13</f>
        <v>0</v>
      </c>
      <c r="EZ126" s="64"/>
      <c r="FA126" s="74"/>
      <c r="FB126" s="73">
        <f t="shared" ca="1" si="585"/>
        <v>0</v>
      </c>
      <c r="FC126" s="64"/>
      <c r="FD126" s="74"/>
      <c r="FE126" s="73">
        <f t="shared" ca="1" si="585"/>
        <v>0</v>
      </c>
      <c r="FF126" s="64"/>
      <c r="FG126" s="74"/>
      <c r="FH126" s="73">
        <f t="shared" ca="1" si="585"/>
        <v>0</v>
      </c>
      <c r="FI126" s="64"/>
      <c r="FJ126" s="74"/>
      <c r="FK126" s="73">
        <f t="shared" ca="1" si="585"/>
        <v>0</v>
      </c>
      <c r="FL126" s="64"/>
      <c r="FM126" s="64"/>
    </row>
    <row r="127" spans="1:169">
      <c r="A127" s="49"/>
      <c r="B127" s="49"/>
      <c r="C127" s="49"/>
      <c r="D127" s="49"/>
      <c r="E127" s="65"/>
      <c r="F127" s="127">
        <f t="shared" ref="F127" si="586">$D$14</f>
        <v>2</v>
      </c>
      <c r="G127" s="445">
        <f ca="1">VLOOKUP(H127,Equipos!$Q$1:$R$25,2,0)</f>
        <v>18</v>
      </c>
      <c r="H127" s="446">
        <f ca="1">$H$76</f>
        <v>46201</v>
      </c>
      <c r="I127" s="50"/>
      <c r="J127" s="851"/>
      <c r="K127" s="115" t="str">
        <f>Idiomas!D197</f>
        <v>4º GRUPO L</v>
      </c>
      <c r="L127" s="115"/>
      <c r="M127" s="116" t="str">
        <f ca="1">IF(OR(SUM(WORLDCUP!$AN$94:$AN$97)=12,WORLDCUP!$AJ$99=144),WORLDCUP!AL97,LEFT(K127,1)&amp;RIGHT(K127,1))</f>
        <v>4L</v>
      </c>
      <c r="N127" s="25"/>
      <c r="O127" s="25"/>
      <c r="P127" s="25"/>
      <c r="Q127" s="25"/>
      <c r="R127" s="110"/>
      <c r="S127" s="80" t="s">
        <v>1730</v>
      </c>
      <c r="T127" s="81">
        <f t="shared" ref="T127" ca="1" si="587">($M127=S127)*$D$14</f>
        <v>0</v>
      </c>
      <c r="U127" s="64"/>
      <c r="V127" s="80" t="s">
        <v>1730</v>
      </c>
      <c r="W127" s="81">
        <f t="shared" ref="W127:CH127" ca="1" si="588">($M127=V127)*$D$14</f>
        <v>0</v>
      </c>
      <c r="X127" s="64"/>
      <c r="Y127" s="80" t="s">
        <v>1730</v>
      </c>
      <c r="Z127" s="81">
        <f t="shared" ca="1" si="588"/>
        <v>0</v>
      </c>
      <c r="AA127" s="64"/>
      <c r="AB127" s="80" t="s">
        <v>1551</v>
      </c>
      <c r="AC127" s="81">
        <f t="shared" ca="1" si="588"/>
        <v>0</v>
      </c>
      <c r="AD127" s="64"/>
      <c r="AE127" s="80" t="s">
        <v>1551</v>
      </c>
      <c r="AF127" s="81">
        <f t="shared" ca="1" si="588"/>
        <v>0</v>
      </c>
      <c r="AG127" s="64"/>
      <c r="AH127" s="80" t="s">
        <v>1551</v>
      </c>
      <c r="AI127" s="81">
        <f t="shared" ca="1" si="588"/>
        <v>0</v>
      </c>
      <c r="AJ127" s="64"/>
      <c r="AK127" s="80" t="s">
        <v>1730</v>
      </c>
      <c r="AL127" s="81">
        <f t="shared" ca="1" si="588"/>
        <v>0</v>
      </c>
      <c r="AM127" s="64"/>
      <c r="AN127" s="80" t="s">
        <v>1730</v>
      </c>
      <c r="AO127" s="81">
        <f t="shared" ca="1" si="588"/>
        <v>0</v>
      </c>
      <c r="AP127" s="64"/>
      <c r="AQ127" s="80" t="s">
        <v>1730</v>
      </c>
      <c r="AR127" s="81">
        <f t="shared" ca="1" si="588"/>
        <v>0</v>
      </c>
      <c r="AS127" s="64"/>
      <c r="AT127" s="80" t="s">
        <v>1730</v>
      </c>
      <c r="AU127" s="81">
        <f t="shared" ca="1" si="588"/>
        <v>0</v>
      </c>
      <c r="AV127" s="64"/>
      <c r="AW127" s="80" t="s">
        <v>1730</v>
      </c>
      <c r="AX127" s="81">
        <f t="shared" ca="1" si="588"/>
        <v>0</v>
      </c>
      <c r="AY127" s="64"/>
      <c r="AZ127" s="80" t="s">
        <v>1730</v>
      </c>
      <c r="BA127" s="81">
        <f t="shared" ca="1" si="588"/>
        <v>0</v>
      </c>
      <c r="BB127" s="64"/>
      <c r="BC127" s="80" t="s">
        <v>1730</v>
      </c>
      <c r="BD127" s="81">
        <f t="shared" ca="1" si="588"/>
        <v>0</v>
      </c>
      <c r="BE127" s="64"/>
      <c r="BF127" s="80" t="s">
        <v>1551</v>
      </c>
      <c r="BG127" s="81">
        <f t="shared" ca="1" si="588"/>
        <v>0</v>
      </c>
      <c r="BH127" s="64"/>
      <c r="BI127" s="80" t="s">
        <v>1730</v>
      </c>
      <c r="BJ127" s="81">
        <f t="shared" ca="1" si="588"/>
        <v>0</v>
      </c>
      <c r="BK127" s="64"/>
      <c r="BL127" s="80" t="s">
        <v>1730</v>
      </c>
      <c r="BM127" s="81">
        <f t="shared" ca="1" si="588"/>
        <v>0</v>
      </c>
      <c r="BN127" s="64"/>
      <c r="BO127" s="80" t="s">
        <v>1551</v>
      </c>
      <c r="BP127" s="81">
        <f t="shared" ca="1" si="588"/>
        <v>0</v>
      </c>
      <c r="BQ127" s="64"/>
      <c r="BR127" s="80" t="s">
        <v>1730</v>
      </c>
      <c r="BS127" s="81">
        <f t="shared" ca="1" si="588"/>
        <v>0</v>
      </c>
      <c r="BT127" s="64"/>
      <c r="BU127" s="80" t="s">
        <v>1730</v>
      </c>
      <c r="BV127" s="81">
        <f t="shared" ca="1" si="588"/>
        <v>0</v>
      </c>
      <c r="BW127" s="64"/>
      <c r="BX127" s="80" t="s">
        <v>1730</v>
      </c>
      <c r="BY127" s="81">
        <f t="shared" ca="1" si="588"/>
        <v>0</v>
      </c>
      <c r="BZ127" s="64"/>
      <c r="CA127" s="80" t="s">
        <v>1730</v>
      </c>
      <c r="CB127" s="81">
        <f t="shared" ca="1" si="588"/>
        <v>0</v>
      </c>
      <c r="CC127" s="64"/>
      <c r="CD127" s="80" t="s">
        <v>1730</v>
      </c>
      <c r="CE127" s="81">
        <f t="shared" ca="1" si="588"/>
        <v>0</v>
      </c>
      <c r="CF127" s="64"/>
      <c r="CG127" s="80" t="s">
        <v>1551</v>
      </c>
      <c r="CH127" s="81">
        <f t="shared" ca="1" si="588"/>
        <v>0</v>
      </c>
      <c r="CI127" s="64"/>
      <c r="CJ127" s="80" t="s">
        <v>1730</v>
      </c>
      <c r="CK127" s="81">
        <f t="shared" ref="CK127:EV127" ca="1" si="589">($M127=CJ127)*$D$14</f>
        <v>0</v>
      </c>
      <c r="CL127" s="64"/>
      <c r="CM127" s="80" t="s">
        <v>1551</v>
      </c>
      <c r="CN127" s="81">
        <f t="shared" ca="1" si="589"/>
        <v>0</v>
      </c>
      <c r="CO127" s="64"/>
      <c r="CP127" s="80" t="s">
        <v>1730</v>
      </c>
      <c r="CQ127" s="81">
        <f t="shared" ca="1" si="589"/>
        <v>0</v>
      </c>
      <c r="CR127" s="64"/>
      <c r="CS127" s="80" t="s">
        <v>1730</v>
      </c>
      <c r="CT127" s="81">
        <f t="shared" ca="1" si="589"/>
        <v>0</v>
      </c>
      <c r="CU127" s="64"/>
      <c r="CV127" s="80" t="s">
        <v>1730</v>
      </c>
      <c r="CW127" s="81">
        <f t="shared" ca="1" si="589"/>
        <v>0</v>
      </c>
      <c r="CX127" s="64"/>
      <c r="CY127" s="80" t="s">
        <v>78</v>
      </c>
      <c r="CZ127" s="81">
        <f t="shared" ca="1" si="589"/>
        <v>0</v>
      </c>
      <c r="DA127" s="64"/>
      <c r="DB127" s="80" t="s">
        <v>1730</v>
      </c>
      <c r="DC127" s="81">
        <f t="shared" ca="1" si="589"/>
        <v>0</v>
      </c>
      <c r="DD127" s="64"/>
      <c r="DE127" s="80" t="s">
        <v>1730</v>
      </c>
      <c r="DF127" s="81">
        <f t="shared" ca="1" si="589"/>
        <v>0</v>
      </c>
      <c r="DG127" s="64"/>
      <c r="DH127" s="80" t="s">
        <v>1551</v>
      </c>
      <c r="DI127" s="81">
        <f t="shared" ca="1" si="589"/>
        <v>0</v>
      </c>
      <c r="DJ127" s="64"/>
      <c r="DK127" s="80" t="s">
        <v>1730</v>
      </c>
      <c r="DL127" s="81">
        <f t="shared" ca="1" si="589"/>
        <v>0</v>
      </c>
      <c r="DM127" s="64"/>
      <c r="DN127" s="795" t="s">
        <v>1730</v>
      </c>
      <c r="DO127" s="81">
        <f t="shared" ca="1" si="589"/>
        <v>0</v>
      </c>
      <c r="DP127" s="64"/>
      <c r="DQ127" s="795" t="s">
        <v>1551</v>
      </c>
      <c r="DR127" s="81">
        <f t="shared" ca="1" si="589"/>
        <v>0</v>
      </c>
      <c r="DS127" s="64"/>
      <c r="DT127" s="80" t="s">
        <v>1730</v>
      </c>
      <c r="DU127" s="81">
        <f t="shared" ca="1" si="589"/>
        <v>0</v>
      </c>
      <c r="DV127" s="64"/>
      <c r="DW127" s="80" t="s">
        <v>1730</v>
      </c>
      <c r="DX127" s="81">
        <f t="shared" ca="1" si="589"/>
        <v>0</v>
      </c>
      <c r="DY127" s="64"/>
      <c r="DZ127" s="80" t="s">
        <v>1730</v>
      </c>
      <c r="EA127" s="81">
        <f t="shared" ca="1" si="589"/>
        <v>0</v>
      </c>
      <c r="EB127" s="64"/>
      <c r="EC127" s="80" t="s">
        <v>1730</v>
      </c>
      <c r="ED127" s="81">
        <f t="shared" ca="1" si="589"/>
        <v>0</v>
      </c>
      <c r="EE127" s="64"/>
      <c r="EF127" s="80" t="s">
        <v>1730</v>
      </c>
      <c r="EG127" s="81">
        <f t="shared" ca="1" si="589"/>
        <v>0</v>
      </c>
      <c r="EH127" s="64"/>
      <c r="EI127" s="80" t="s">
        <v>1730</v>
      </c>
      <c r="EJ127" s="81">
        <f t="shared" ca="1" si="589"/>
        <v>0</v>
      </c>
      <c r="EK127" s="64"/>
      <c r="EL127" s="80"/>
      <c r="EM127" s="81">
        <f t="shared" ca="1" si="589"/>
        <v>0</v>
      </c>
      <c r="EN127" s="64"/>
      <c r="EO127" s="80"/>
      <c r="EP127" s="81">
        <f t="shared" ca="1" si="589"/>
        <v>0</v>
      </c>
      <c r="EQ127" s="64"/>
      <c r="ER127" s="80"/>
      <c r="ES127" s="81">
        <f t="shared" ca="1" si="589"/>
        <v>0</v>
      </c>
      <c r="ET127" s="64"/>
      <c r="EU127" s="80"/>
      <c r="EV127" s="81">
        <f t="shared" ca="1" si="589"/>
        <v>0</v>
      </c>
      <c r="EW127" s="64"/>
      <c r="EX127" s="80"/>
      <c r="EY127" s="81">
        <f t="shared" ref="EY127:FK127" ca="1" si="590">($M127=EX127)*$D$14</f>
        <v>0</v>
      </c>
      <c r="EZ127" s="64"/>
      <c r="FA127" s="80"/>
      <c r="FB127" s="81">
        <f t="shared" ca="1" si="590"/>
        <v>0</v>
      </c>
      <c r="FC127" s="64"/>
      <c r="FD127" s="80"/>
      <c r="FE127" s="81">
        <f t="shared" ca="1" si="590"/>
        <v>0</v>
      </c>
      <c r="FF127" s="64"/>
      <c r="FG127" s="80"/>
      <c r="FH127" s="81">
        <f t="shared" ca="1" si="590"/>
        <v>0</v>
      </c>
      <c r="FI127" s="64"/>
      <c r="FJ127" s="80"/>
      <c r="FK127" s="81">
        <f t="shared" ca="1" si="590"/>
        <v>0</v>
      </c>
      <c r="FL127" s="64"/>
      <c r="FM127" s="64"/>
    </row>
    <row r="128" spans="1:169">
      <c r="A128" s="49"/>
      <c r="B128" s="49"/>
      <c r="C128" s="49"/>
      <c r="D128" s="49"/>
      <c r="E128" s="65"/>
      <c r="F128" s="127"/>
      <c r="G128" s="445"/>
      <c r="H128" s="65"/>
      <c r="I128" s="50"/>
      <c r="J128" s="94"/>
      <c r="K128" s="434" t="str">
        <f>Idiomas!D456</f>
        <v>Pos. Grupos</v>
      </c>
      <c r="L128" s="435"/>
      <c r="M128" s="434" t="str">
        <f>"Max: "&amp;SUM($D$11:$D$14)*12</f>
        <v>Max: 96</v>
      </c>
      <c r="N128" s="25"/>
      <c r="O128" s="25"/>
      <c r="P128" s="25"/>
      <c r="Q128" s="25"/>
      <c r="R128" s="49"/>
      <c r="S128" s="84"/>
      <c r="T128" s="71">
        <f ca="1">SUM(T80:T127)</f>
        <v>0</v>
      </c>
      <c r="U128" s="65"/>
      <c r="V128" s="84"/>
      <c r="W128" s="71">
        <f t="shared" ref="W128" ca="1" si="591">SUM(W80:W127)</f>
        <v>0</v>
      </c>
      <c r="X128" s="65"/>
      <c r="Y128" s="84"/>
      <c r="Z128" s="71">
        <f t="shared" ref="Z128" ca="1" si="592">SUM(Z80:Z127)</f>
        <v>0</v>
      </c>
      <c r="AA128" s="65"/>
      <c r="AB128" s="84"/>
      <c r="AC128" s="71">
        <f t="shared" ref="AC128" ca="1" si="593">SUM(AC80:AC127)</f>
        <v>0</v>
      </c>
      <c r="AD128" s="65"/>
      <c r="AE128" s="84"/>
      <c r="AF128" s="71">
        <f t="shared" ref="AF128" ca="1" si="594">SUM(AF80:AF127)</f>
        <v>0</v>
      </c>
      <c r="AG128" s="65"/>
      <c r="AH128" s="84"/>
      <c r="AI128" s="71">
        <f t="shared" ref="AI128" ca="1" si="595">SUM(AI80:AI127)</f>
        <v>0</v>
      </c>
      <c r="AJ128" s="65"/>
      <c r="AK128" s="84"/>
      <c r="AL128" s="71">
        <f t="shared" ref="AL128" ca="1" si="596">SUM(AL80:AL127)</f>
        <v>0</v>
      </c>
      <c r="AM128" s="65"/>
      <c r="AN128" s="84"/>
      <c r="AO128" s="71">
        <f t="shared" ref="AO128" ca="1" si="597">SUM(AO80:AO127)</f>
        <v>0</v>
      </c>
      <c r="AP128" s="65"/>
      <c r="AQ128" s="84"/>
      <c r="AR128" s="71">
        <f t="shared" ref="AR128" ca="1" si="598">SUM(AR80:AR127)</f>
        <v>0</v>
      </c>
      <c r="AS128" s="65"/>
      <c r="AT128" s="84"/>
      <c r="AU128" s="71">
        <f t="shared" ref="AU128" ca="1" si="599">SUM(AU80:AU127)</f>
        <v>0</v>
      </c>
      <c r="AV128" s="65"/>
      <c r="AW128" s="84"/>
      <c r="AX128" s="71">
        <f t="shared" ref="AX128" ca="1" si="600">SUM(AX80:AX127)</f>
        <v>0</v>
      </c>
      <c r="AY128" s="65"/>
      <c r="AZ128" s="84"/>
      <c r="BA128" s="71">
        <f t="shared" ref="BA128" ca="1" si="601">SUM(BA80:BA127)</f>
        <v>0</v>
      </c>
      <c r="BB128" s="65"/>
      <c r="BC128" s="84"/>
      <c r="BD128" s="71">
        <f t="shared" ref="BD128" ca="1" si="602">SUM(BD80:BD127)</f>
        <v>0</v>
      </c>
      <c r="BE128" s="65"/>
      <c r="BF128" s="84"/>
      <c r="BG128" s="71">
        <f t="shared" ref="BG128" ca="1" si="603">SUM(BG80:BG127)</f>
        <v>0</v>
      </c>
      <c r="BH128" s="65"/>
      <c r="BI128" s="84"/>
      <c r="BJ128" s="71">
        <f t="shared" ref="BJ128" ca="1" si="604">SUM(BJ80:BJ127)</f>
        <v>0</v>
      </c>
      <c r="BK128" s="65"/>
      <c r="BL128" s="84"/>
      <c r="BM128" s="71">
        <f t="shared" ref="BM128" ca="1" si="605">SUM(BM80:BM127)</f>
        <v>0</v>
      </c>
      <c r="BN128" s="65"/>
      <c r="BO128" s="84"/>
      <c r="BP128" s="71">
        <f t="shared" ref="BP128" ca="1" si="606">SUM(BP80:BP127)</f>
        <v>0</v>
      </c>
      <c r="BQ128" s="65"/>
      <c r="BR128" s="84"/>
      <c r="BS128" s="71">
        <f t="shared" ref="BS128" ca="1" si="607">SUM(BS80:BS127)</f>
        <v>0</v>
      </c>
      <c r="BT128" s="65"/>
      <c r="BU128" s="84"/>
      <c r="BV128" s="71">
        <f t="shared" ref="BV128" ca="1" si="608">SUM(BV80:BV127)</f>
        <v>0</v>
      </c>
      <c r="BW128" s="65"/>
      <c r="BX128" s="84"/>
      <c r="BY128" s="71">
        <f t="shared" ref="BY128" ca="1" si="609">SUM(BY80:BY127)</f>
        <v>0</v>
      </c>
      <c r="BZ128" s="65"/>
      <c r="CA128" s="84"/>
      <c r="CB128" s="71">
        <f t="shared" ref="CB128" ca="1" si="610">SUM(CB80:CB127)</f>
        <v>0</v>
      </c>
      <c r="CC128" s="65"/>
      <c r="CD128" s="84"/>
      <c r="CE128" s="71">
        <f t="shared" ref="CE128" ca="1" si="611">SUM(CE80:CE127)</f>
        <v>0</v>
      </c>
      <c r="CF128" s="65"/>
      <c r="CG128" s="84"/>
      <c r="CH128" s="71">
        <f t="shared" ref="CH128" ca="1" si="612">SUM(CH80:CH127)</f>
        <v>0</v>
      </c>
      <c r="CI128" s="65"/>
      <c r="CJ128" s="84"/>
      <c r="CK128" s="71">
        <f t="shared" ref="CK128" ca="1" si="613">SUM(CK80:CK127)</f>
        <v>0</v>
      </c>
      <c r="CL128" s="65"/>
      <c r="CM128" s="84"/>
      <c r="CN128" s="71">
        <f t="shared" ref="CN128" ca="1" si="614">SUM(CN80:CN127)</f>
        <v>0</v>
      </c>
      <c r="CO128" s="65"/>
      <c r="CP128" s="84"/>
      <c r="CQ128" s="71">
        <f t="shared" ref="CQ128" ca="1" si="615">SUM(CQ80:CQ127)</f>
        <v>0</v>
      </c>
      <c r="CR128" s="65"/>
      <c r="CS128" s="84"/>
      <c r="CT128" s="71">
        <f t="shared" ref="CT128" ca="1" si="616">SUM(CT80:CT127)</f>
        <v>0</v>
      </c>
      <c r="CU128" s="65"/>
      <c r="CV128" s="84"/>
      <c r="CW128" s="71">
        <f t="shared" ref="CW128" ca="1" si="617">SUM(CW80:CW127)</f>
        <v>0</v>
      </c>
      <c r="CX128" s="65"/>
      <c r="CY128" s="84"/>
      <c r="CZ128" s="71">
        <f t="shared" ref="CZ128" ca="1" si="618">SUM(CZ80:CZ127)</f>
        <v>0</v>
      </c>
      <c r="DA128" s="65"/>
      <c r="DB128" s="84"/>
      <c r="DC128" s="71">
        <f t="shared" ref="DC128" ca="1" si="619">SUM(DC80:DC127)</f>
        <v>0</v>
      </c>
      <c r="DD128" s="65"/>
      <c r="DE128" s="84"/>
      <c r="DF128" s="71">
        <f t="shared" ref="DF128" ca="1" si="620">SUM(DF80:DF127)</f>
        <v>0</v>
      </c>
      <c r="DG128" s="65"/>
      <c r="DH128" s="84"/>
      <c r="DI128" s="71">
        <f t="shared" ref="DI128" ca="1" si="621">SUM(DI80:DI127)</f>
        <v>0</v>
      </c>
      <c r="DJ128" s="65"/>
      <c r="DK128" s="84"/>
      <c r="DL128" s="71">
        <f t="shared" ref="DL128" ca="1" si="622">SUM(DL80:DL127)</f>
        <v>0</v>
      </c>
      <c r="DM128" s="65"/>
      <c r="DN128" s="796"/>
      <c r="DO128" s="71">
        <f t="shared" ref="DO128" ca="1" si="623">SUM(DO80:DO127)</f>
        <v>0</v>
      </c>
      <c r="DP128" s="65"/>
      <c r="DQ128" s="796"/>
      <c r="DR128" s="71">
        <f t="shared" ref="DR128" ca="1" si="624">SUM(DR80:DR127)</f>
        <v>0</v>
      </c>
      <c r="DS128" s="65"/>
      <c r="DT128" s="84"/>
      <c r="DU128" s="71">
        <f t="shared" ref="DU128" ca="1" si="625">SUM(DU80:DU127)</f>
        <v>0</v>
      </c>
      <c r="DV128" s="65"/>
      <c r="DW128" s="84"/>
      <c r="DX128" s="71">
        <f t="shared" ref="DX128" ca="1" si="626">SUM(DX80:DX127)</f>
        <v>0</v>
      </c>
      <c r="DY128" s="65"/>
      <c r="DZ128" s="84"/>
      <c r="EA128" s="71">
        <f t="shared" ref="EA128" ca="1" si="627">SUM(EA80:EA127)</f>
        <v>0</v>
      </c>
      <c r="EB128" s="65"/>
      <c r="EC128" s="84"/>
      <c r="ED128" s="71">
        <f t="shared" ref="ED128" ca="1" si="628">SUM(ED80:ED127)</f>
        <v>0</v>
      </c>
      <c r="EE128" s="65"/>
      <c r="EF128" s="84"/>
      <c r="EG128" s="71">
        <f t="shared" ref="EG128" ca="1" si="629">SUM(EG80:EG127)</f>
        <v>0</v>
      </c>
      <c r="EH128" s="65"/>
      <c r="EI128" s="84"/>
      <c r="EJ128" s="71">
        <f t="shared" ref="EJ128" ca="1" si="630">SUM(EJ80:EJ127)</f>
        <v>0</v>
      </c>
      <c r="EK128" s="65"/>
      <c r="EL128" s="84"/>
      <c r="EM128" s="71">
        <f t="shared" ref="EM128" ca="1" si="631">SUM(EM80:EM127)</f>
        <v>0</v>
      </c>
      <c r="EN128" s="65"/>
      <c r="EO128" s="84"/>
      <c r="EP128" s="71">
        <f t="shared" ref="EP128" ca="1" si="632">SUM(EP80:EP127)</f>
        <v>0</v>
      </c>
      <c r="EQ128" s="65"/>
      <c r="ER128" s="84"/>
      <c r="ES128" s="71">
        <f t="shared" ref="ES128" ca="1" si="633">SUM(ES80:ES127)</f>
        <v>0</v>
      </c>
      <c r="ET128" s="65"/>
      <c r="EU128" s="84"/>
      <c r="EV128" s="71">
        <f t="shared" ref="EV128" ca="1" si="634">SUM(EV80:EV127)</f>
        <v>0</v>
      </c>
      <c r="EW128" s="65"/>
      <c r="EX128" s="84"/>
      <c r="EY128" s="71">
        <f t="shared" ref="EY128" ca="1" si="635">SUM(EY80:EY127)</f>
        <v>0</v>
      </c>
      <c r="EZ128" s="65"/>
      <c r="FA128" s="84"/>
      <c r="FB128" s="71">
        <f t="shared" ref="FB128" ca="1" si="636">SUM(FB80:FB127)</f>
        <v>0</v>
      </c>
      <c r="FC128" s="65"/>
      <c r="FD128" s="84"/>
      <c r="FE128" s="71">
        <f t="shared" ref="FE128" ca="1" si="637">SUM(FE80:FE127)</f>
        <v>0</v>
      </c>
      <c r="FF128" s="65"/>
      <c r="FG128" s="84"/>
      <c r="FH128" s="71">
        <f t="shared" ref="FH128" ca="1" si="638">SUM(FH80:FH127)</f>
        <v>0</v>
      </c>
      <c r="FI128" s="65"/>
      <c r="FJ128" s="84"/>
      <c r="FK128" s="71">
        <f t="shared" ref="FK128" ca="1" si="639">SUM(FK80:FK127)</f>
        <v>0</v>
      </c>
      <c r="FL128" s="65"/>
      <c r="FM128" s="65"/>
    </row>
    <row r="129" spans="1:169">
      <c r="A129" s="49"/>
      <c r="B129" s="49"/>
      <c r="C129" s="49"/>
      <c r="D129" s="49"/>
      <c r="E129" s="65"/>
      <c r="F129" s="127"/>
      <c r="G129" s="445"/>
      <c r="H129" s="65"/>
      <c r="I129" s="50"/>
      <c r="J129" s="94"/>
      <c r="K129" s="113" t="str">
        <f>Idiomas!D137</f>
        <v>CLASIFICADOS PARA DIECISEISAVOS</v>
      </c>
      <c r="L129" s="50"/>
      <c r="M129" s="71"/>
      <c r="N129" s="25"/>
      <c r="O129" s="25"/>
      <c r="P129" s="25"/>
      <c r="Q129" s="25"/>
      <c r="R129" s="49"/>
      <c r="S129" s="84"/>
      <c r="T129" s="71"/>
      <c r="U129" s="65"/>
      <c r="V129" s="84"/>
      <c r="W129" s="71"/>
      <c r="X129" s="65"/>
      <c r="Y129" s="84"/>
      <c r="Z129" s="71"/>
      <c r="AA129" s="65"/>
      <c r="AB129" s="84"/>
      <c r="AC129" s="71"/>
      <c r="AD129" s="65"/>
      <c r="AE129" s="84"/>
      <c r="AF129" s="71"/>
      <c r="AG129" s="65"/>
      <c r="AH129" s="84"/>
      <c r="AI129" s="71"/>
      <c r="AJ129" s="65"/>
      <c r="AK129" s="84"/>
      <c r="AL129" s="71"/>
      <c r="AM129" s="65"/>
      <c r="AN129" s="84"/>
      <c r="AO129" s="71"/>
      <c r="AP129" s="65"/>
      <c r="AQ129" s="84"/>
      <c r="AR129" s="71"/>
      <c r="AS129" s="65"/>
      <c r="AT129" s="84"/>
      <c r="AU129" s="71"/>
      <c r="AV129" s="65"/>
      <c r="AW129" s="84"/>
      <c r="AX129" s="71"/>
      <c r="AY129" s="65"/>
      <c r="AZ129" s="84"/>
      <c r="BA129" s="71"/>
      <c r="BB129" s="65"/>
      <c r="BC129" s="84"/>
      <c r="BD129" s="71"/>
      <c r="BE129" s="65"/>
      <c r="BF129" s="84"/>
      <c r="BG129" s="71"/>
      <c r="BH129" s="65"/>
      <c r="BI129" s="84"/>
      <c r="BJ129" s="71"/>
      <c r="BK129" s="65"/>
      <c r="BL129" s="84"/>
      <c r="BM129" s="71"/>
      <c r="BN129" s="65"/>
      <c r="BO129" s="84"/>
      <c r="BP129" s="71"/>
      <c r="BQ129" s="65"/>
      <c r="BR129" s="84"/>
      <c r="BS129" s="71"/>
      <c r="BT129" s="65"/>
      <c r="BU129" s="84"/>
      <c r="BV129" s="71"/>
      <c r="BW129" s="65"/>
      <c r="BX129" s="84"/>
      <c r="BY129" s="71"/>
      <c r="BZ129" s="65"/>
      <c r="CA129" s="84"/>
      <c r="CB129" s="71"/>
      <c r="CC129" s="65"/>
      <c r="CD129" s="84"/>
      <c r="CE129" s="71"/>
      <c r="CF129" s="65"/>
      <c r="CG129" s="84"/>
      <c r="CH129" s="71"/>
      <c r="CI129" s="65"/>
      <c r="CJ129" s="84"/>
      <c r="CK129" s="71"/>
      <c r="CL129" s="65"/>
      <c r="CM129" s="84"/>
      <c r="CN129" s="71"/>
      <c r="CO129" s="65"/>
      <c r="CP129" s="84"/>
      <c r="CQ129" s="71"/>
      <c r="CR129" s="65"/>
      <c r="CS129" s="84"/>
      <c r="CT129" s="71"/>
      <c r="CU129" s="65"/>
      <c r="CV129" s="84"/>
      <c r="CW129" s="71"/>
      <c r="CX129" s="65"/>
      <c r="CY129" s="84"/>
      <c r="CZ129" s="71"/>
      <c r="DA129" s="65"/>
      <c r="DB129" s="84"/>
      <c r="DC129" s="71"/>
      <c r="DD129" s="65"/>
      <c r="DE129" s="84"/>
      <c r="DF129" s="71"/>
      <c r="DG129" s="65"/>
      <c r="DH129" s="84"/>
      <c r="DI129" s="71"/>
      <c r="DJ129" s="65"/>
      <c r="DK129" s="84"/>
      <c r="DL129" s="71"/>
      <c r="DM129" s="65"/>
      <c r="DN129" s="796"/>
      <c r="DO129" s="71"/>
      <c r="DP129" s="65"/>
      <c r="DQ129" s="796"/>
      <c r="DR129" s="71"/>
      <c r="DS129" s="65"/>
      <c r="DT129" s="84"/>
      <c r="DU129" s="71"/>
      <c r="DV129" s="65"/>
      <c r="DW129" s="84"/>
      <c r="DX129" s="71"/>
      <c r="DY129" s="65"/>
      <c r="DZ129" s="84"/>
      <c r="EA129" s="71"/>
      <c r="EB129" s="65"/>
      <c r="EC129" s="84"/>
      <c r="ED129" s="71"/>
      <c r="EE129" s="65"/>
      <c r="EF129" s="84"/>
      <c r="EG129" s="71"/>
      <c r="EH129" s="65"/>
      <c r="EI129" s="84"/>
      <c r="EJ129" s="71"/>
      <c r="EK129" s="65"/>
      <c r="EL129" s="84"/>
      <c r="EM129" s="71"/>
      <c r="EN129" s="65"/>
      <c r="EO129" s="84"/>
      <c r="EP129" s="71"/>
      <c r="EQ129" s="65"/>
      <c r="ER129" s="84"/>
      <c r="ES129" s="71"/>
      <c r="ET129" s="65"/>
      <c r="EU129" s="84"/>
      <c r="EV129" s="71"/>
      <c r="EW129" s="65"/>
      <c r="EX129" s="84"/>
      <c r="EY129" s="71"/>
      <c r="EZ129" s="65"/>
      <c r="FA129" s="84"/>
      <c r="FB129" s="71"/>
      <c r="FC129" s="65"/>
      <c r="FD129" s="84"/>
      <c r="FE129" s="71"/>
      <c r="FF129" s="65"/>
      <c r="FG129" s="84"/>
      <c r="FH129" s="71"/>
      <c r="FI129" s="65"/>
      <c r="FJ129" s="84"/>
      <c r="FK129" s="71"/>
      <c r="FL129" s="65"/>
      <c r="FM129" s="65"/>
    </row>
    <row r="130" spans="1:169">
      <c r="A130" s="49"/>
      <c r="B130" s="49"/>
      <c r="C130" s="49"/>
      <c r="D130" s="49"/>
      <c r="E130" s="65"/>
      <c r="F130" s="127">
        <f>$D$15</f>
        <v>3</v>
      </c>
      <c r="G130" s="445">
        <f ca="1">VLOOKUP(H130,Equipos!$Q$1:$R$25,2,0)</f>
        <v>19</v>
      </c>
      <c r="H130" s="447" t="str">
        <f>Idiomas!$D$137</f>
        <v>CLASIFICADOS PARA DIECISEISAVOS</v>
      </c>
      <c r="I130" s="50"/>
      <c r="J130" s="849" t="s">
        <v>483</v>
      </c>
      <c r="K130" s="53" t="str">
        <f>Idiomas!$D$198&amp;"-"&amp;ROWS($L$130:L130)</f>
        <v>Dieciseisavofinalista-1</v>
      </c>
      <c r="L130" s="53"/>
      <c r="M130" s="55" t="str">
        <f ca="1">WORLDCUP!AA101</f>
        <v>2A</v>
      </c>
      <c r="N130" s="25"/>
      <c r="O130" s="25"/>
      <c r="P130" s="25"/>
      <c r="Q130" s="25"/>
      <c r="R130" s="110"/>
      <c r="S130" s="76" t="s">
        <v>1260</v>
      </c>
      <c r="T130" s="77">
        <f t="shared" ref="T130:T161" ca="1" si="640">COUNTIF($M$130:$M$161,S130)*$D$15</f>
        <v>0</v>
      </c>
      <c r="U130" s="64"/>
      <c r="V130" s="76" t="s">
        <v>1843</v>
      </c>
      <c r="W130" s="77">
        <f t="shared" ref="W130:W161" ca="1" si="641">COUNTIF($M$130:$M$161,V130)*$D$15</f>
        <v>0</v>
      </c>
      <c r="X130" s="64"/>
      <c r="Y130" s="76" t="s">
        <v>1843</v>
      </c>
      <c r="Z130" s="77">
        <f t="shared" ref="Z130:Z161" ca="1" si="642">COUNTIF($M$130:$M$161,Y130)*$D$15</f>
        <v>0</v>
      </c>
      <c r="AA130" s="64"/>
      <c r="AB130" s="76" t="s">
        <v>1260</v>
      </c>
      <c r="AC130" s="77">
        <f t="shared" ref="AC130:AC161" ca="1" si="643">COUNTIF($M$130:$M$161,AB130)*$D$15</f>
        <v>0</v>
      </c>
      <c r="AD130" s="64"/>
      <c r="AE130" s="76" t="s">
        <v>1260</v>
      </c>
      <c r="AF130" s="77">
        <f t="shared" ref="AF130:AF161" ca="1" si="644">COUNTIF($M$130:$M$161,AE130)*$D$15</f>
        <v>0</v>
      </c>
      <c r="AG130" s="64"/>
      <c r="AH130" s="76" t="s">
        <v>1260</v>
      </c>
      <c r="AI130" s="77">
        <f t="shared" ref="AI130:AI161" ca="1" si="645">COUNTIF($M$130:$M$161,AH130)*$D$15</f>
        <v>0</v>
      </c>
      <c r="AJ130" s="64"/>
      <c r="AK130" s="76" t="s">
        <v>1843</v>
      </c>
      <c r="AL130" s="77">
        <f t="shared" ref="AL130:AL161" ca="1" si="646">COUNTIF($M$130:$M$161,AK130)*$D$15</f>
        <v>0</v>
      </c>
      <c r="AM130" s="64"/>
      <c r="AN130" s="76" t="s">
        <v>1260</v>
      </c>
      <c r="AO130" s="77">
        <f t="shared" ref="AO130:AO161" ca="1" si="647">COUNTIF($M$130:$M$161,AN130)*$D$15</f>
        <v>0</v>
      </c>
      <c r="AP130" s="64"/>
      <c r="AQ130" s="76" t="s">
        <v>1260</v>
      </c>
      <c r="AR130" s="77">
        <f t="shared" ref="AR130:AR161" ca="1" si="648">COUNTIF($M$130:$M$161,AQ130)*$D$15</f>
        <v>0</v>
      </c>
      <c r="AS130" s="64"/>
      <c r="AT130" s="76" t="s">
        <v>1260</v>
      </c>
      <c r="AU130" s="77">
        <f t="shared" ref="AU130:AU161" ca="1" si="649">COUNTIF($M$130:$M$161,AT130)*$D$15</f>
        <v>0</v>
      </c>
      <c r="AV130" s="64"/>
      <c r="AW130" s="76" t="s">
        <v>1260</v>
      </c>
      <c r="AX130" s="77">
        <f t="shared" ref="AX130:AX161" ca="1" si="650">COUNTIF($M$130:$M$161,AW130)*$D$15</f>
        <v>0</v>
      </c>
      <c r="AY130" s="64"/>
      <c r="AZ130" s="76" t="s">
        <v>1260</v>
      </c>
      <c r="BA130" s="77">
        <f t="shared" ref="BA130:BA161" ca="1" si="651">COUNTIF($M$130:$M$161,AZ130)*$D$15</f>
        <v>0</v>
      </c>
      <c r="BB130" s="64"/>
      <c r="BC130" s="76" t="s">
        <v>1265</v>
      </c>
      <c r="BD130" s="77">
        <f t="shared" ref="BD130:BD161" ca="1" si="652">COUNTIF($M$130:$M$161,BC130)*$D$15</f>
        <v>0</v>
      </c>
      <c r="BE130" s="64"/>
      <c r="BF130" s="76" t="s">
        <v>1843</v>
      </c>
      <c r="BG130" s="77">
        <f t="shared" ref="BG130:BG161" ca="1" si="653">COUNTIF($M$130:$M$161,BF130)*$D$15</f>
        <v>0</v>
      </c>
      <c r="BH130" s="64"/>
      <c r="BI130" s="76" t="s">
        <v>1843</v>
      </c>
      <c r="BJ130" s="77">
        <f t="shared" ref="BJ130:BJ161" ca="1" si="654">COUNTIF($M$130:$M$161,BI130)*$D$15</f>
        <v>0</v>
      </c>
      <c r="BK130" s="64"/>
      <c r="BL130" s="76" t="s">
        <v>1843</v>
      </c>
      <c r="BM130" s="77">
        <f t="shared" ref="BM130:BM161" ca="1" si="655">COUNTIF($M$130:$M$161,BL130)*$D$15</f>
        <v>0</v>
      </c>
      <c r="BN130" s="64"/>
      <c r="BO130" s="76" t="s">
        <v>1260</v>
      </c>
      <c r="BP130" s="77">
        <f t="shared" ref="BP130:BP161" ca="1" si="656">COUNTIF($M$130:$M$161,BO130)*$D$15</f>
        <v>0</v>
      </c>
      <c r="BQ130" s="64"/>
      <c r="BR130" s="76" t="s">
        <v>1843</v>
      </c>
      <c r="BS130" s="77">
        <f t="shared" ref="BS130:BS161" ca="1" si="657">COUNTIF($M$130:$M$161,BR130)*$D$15</f>
        <v>0</v>
      </c>
      <c r="BT130" s="64"/>
      <c r="BU130" s="76" t="s">
        <v>1265</v>
      </c>
      <c r="BV130" s="77">
        <f t="shared" ref="BV130:BV161" ca="1" si="658">COUNTIF($M$130:$M$161,BU130)*$D$15</f>
        <v>0</v>
      </c>
      <c r="BW130" s="64"/>
      <c r="BX130" s="76" t="s">
        <v>1260</v>
      </c>
      <c r="BY130" s="77">
        <f t="shared" ref="BY130:BY161" ca="1" si="659">COUNTIF($M$130:$M$161,BX130)*$D$15</f>
        <v>0</v>
      </c>
      <c r="BZ130" s="64"/>
      <c r="CA130" s="76" t="s">
        <v>1265</v>
      </c>
      <c r="CB130" s="77">
        <f t="shared" ref="CB130:CB161" ca="1" si="660">COUNTIF($M$130:$M$161,CA130)*$D$15</f>
        <v>0</v>
      </c>
      <c r="CC130" s="64"/>
      <c r="CD130" s="76" t="s">
        <v>1260</v>
      </c>
      <c r="CE130" s="77">
        <f t="shared" ref="CE130:CE161" ca="1" si="661">COUNTIF($M$130:$M$161,CD130)*$D$15</f>
        <v>0</v>
      </c>
      <c r="CF130" s="64"/>
      <c r="CG130" s="76" t="s">
        <v>1260</v>
      </c>
      <c r="CH130" s="77">
        <f t="shared" ref="CH130:CH161" ca="1" si="662">COUNTIF($M$130:$M$161,CG130)*$D$15</f>
        <v>0</v>
      </c>
      <c r="CI130" s="64"/>
      <c r="CJ130" s="76" t="s">
        <v>1260</v>
      </c>
      <c r="CK130" s="77">
        <f t="shared" ref="CK130:CK161" ca="1" si="663">COUNTIF($M$130:$M$161,CJ130)*$D$15</f>
        <v>0</v>
      </c>
      <c r="CL130" s="64"/>
      <c r="CM130" s="76" t="s">
        <v>1260</v>
      </c>
      <c r="CN130" s="77">
        <f t="shared" ref="CN130:CN161" ca="1" si="664">COUNTIF($M$130:$M$161,CM130)*$D$15</f>
        <v>0</v>
      </c>
      <c r="CO130" s="64"/>
      <c r="CP130" s="76" t="s">
        <v>1843</v>
      </c>
      <c r="CQ130" s="77">
        <f t="shared" ref="CQ130:CQ161" ca="1" si="665">COUNTIF($M$130:$M$161,CP130)*$D$15</f>
        <v>0</v>
      </c>
      <c r="CR130" s="64"/>
      <c r="CS130" s="76" t="s">
        <v>1843</v>
      </c>
      <c r="CT130" s="77">
        <f t="shared" ref="CT130:CT161" ca="1" si="666">COUNTIF($M$130:$M$161,CS130)*$D$15</f>
        <v>0</v>
      </c>
      <c r="CU130" s="64"/>
      <c r="CV130" s="76" t="s">
        <v>1260</v>
      </c>
      <c r="CW130" s="77">
        <f t="shared" ref="CW130:CW161" ca="1" si="667">COUNTIF($M$130:$M$161,CV130)*$D$15</f>
        <v>0</v>
      </c>
      <c r="CX130" s="64"/>
      <c r="CY130" s="76" t="s">
        <v>1843</v>
      </c>
      <c r="CZ130" s="77">
        <f t="shared" ref="CZ130:CZ161" ca="1" si="668">COUNTIF($M$130:$M$161,CY130)*$D$15</f>
        <v>0</v>
      </c>
      <c r="DA130" s="64"/>
      <c r="DB130" s="76" t="s">
        <v>1843</v>
      </c>
      <c r="DC130" s="77">
        <f t="shared" ref="DC130:DC161" ca="1" si="669">COUNTIF($M$130:$M$161,DB130)*$D$15</f>
        <v>0</v>
      </c>
      <c r="DD130" s="64"/>
      <c r="DE130" s="76" t="s">
        <v>1843</v>
      </c>
      <c r="DF130" s="77">
        <f t="shared" ref="DF130:DF161" ca="1" si="670">COUNTIF($M$130:$M$161,DE130)*$D$15</f>
        <v>0</v>
      </c>
      <c r="DG130" s="64"/>
      <c r="DH130" s="76" t="s">
        <v>1265</v>
      </c>
      <c r="DI130" s="77">
        <f t="shared" ref="DI130:DI161" ca="1" si="671">COUNTIF($M$130:$M$161,DH130)*$D$15</f>
        <v>0</v>
      </c>
      <c r="DJ130" s="64"/>
      <c r="DK130" s="76" t="s">
        <v>1265</v>
      </c>
      <c r="DL130" s="77">
        <f t="shared" ref="DL130:DL161" ca="1" si="672">COUNTIF($M$130:$M$161,DK130)*$D$15</f>
        <v>0</v>
      </c>
      <c r="DM130" s="64"/>
      <c r="DN130" s="795" t="s">
        <v>1843</v>
      </c>
      <c r="DO130" s="77">
        <f t="shared" ref="DO130:DO161" ca="1" si="673">COUNTIF($M$130:$M$161,DN130)*$D$15</f>
        <v>0</v>
      </c>
      <c r="DP130" s="64"/>
      <c r="DQ130" s="795" t="s">
        <v>1843</v>
      </c>
      <c r="DR130" s="77">
        <f t="shared" ref="DR130:DR161" ca="1" si="674">COUNTIF($M$130:$M$161,DQ130)*$D$15</f>
        <v>0</v>
      </c>
      <c r="DS130" s="64"/>
      <c r="DT130" s="76" t="s">
        <v>1843</v>
      </c>
      <c r="DU130" s="77">
        <f t="shared" ref="DU130:DU161" ca="1" si="675">COUNTIF($M$130:$M$161,DT130)*$D$15</f>
        <v>0</v>
      </c>
      <c r="DV130" s="64"/>
      <c r="DW130" s="76" t="s">
        <v>1260</v>
      </c>
      <c r="DX130" s="77">
        <f t="shared" ref="DX130:DX161" ca="1" si="676">COUNTIF($M$130:$M$161,DW130)*$D$15</f>
        <v>0</v>
      </c>
      <c r="DY130" s="64"/>
      <c r="DZ130" s="76" t="s">
        <v>1260</v>
      </c>
      <c r="EA130" s="77">
        <f t="shared" ref="EA130:EA161" ca="1" si="677">COUNTIF($M$130:$M$161,DZ130)*$D$15</f>
        <v>0</v>
      </c>
      <c r="EB130" s="64"/>
      <c r="EC130" s="76" t="s">
        <v>1843</v>
      </c>
      <c r="ED130" s="77">
        <f t="shared" ref="ED130:ED161" ca="1" si="678">COUNTIF($M$130:$M$161,EC130)*$D$15</f>
        <v>0</v>
      </c>
      <c r="EE130" s="64"/>
      <c r="EF130" s="76" t="s">
        <v>1260</v>
      </c>
      <c r="EG130" s="77">
        <f t="shared" ref="EG130:EG161" ca="1" si="679">COUNTIF($M$130:$M$161,EF130)*$D$15</f>
        <v>0</v>
      </c>
      <c r="EH130" s="64"/>
      <c r="EI130" s="76" t="s">
        <v>1260</v>
      </c>
      <c r="EJ130" s="77">
        <f t="shared" ref="EJ130:EJ161" ca="1" si="680">COUNTIF($M$130:$M$161,EI130)*$D$15</f>
        <v>0</v>
      </c>
      <c r="EK130" s="64"/>
      <c r="EL130" s="76"/>
      <c r="EM130" s="77">
        <f t="shared" ref="EM130:EM161" ca="1" si="681">COUNTIF($M$130:$M$161,EL130)*$D$15</f>
        <v>0</v>
      </c>
      <c r="EN130" s="64"/>
      <c r="EO130" s="76"/>
      <c r="EP130" s="77">
        <f t="shared" ref="EP130:EP161" ca="1" si="682">COUNTIF($M$130:$M$161,EO130)*$D$15</f>
        <v>0</v>
      </c>
      <c r="EQ130" s="64"/>
      <c r="ER130" s="76"/>
      <c r="ES130" s="77">
        <f t="shared" ref="ES130:ES161" ca="1" si="683">COUNTIF($M$130:$M$161,ER130)*$D$15</f>
        <v>0</v>
      </c>
      <c r="ET130" s="64"/>
      <c r="EU130" s="76"/>
      <c r="EV130" s="77">
        <f t="shared" ref="EV130:EV161" ca="1" si="684">COUNTIF($M$130:$M$161,EU130)*$D$15</f>
        <v>0</v>
      </c>
      <c r="EW130" s="64"/>
      <c r="EX130" s="76"/>
      <c r="EY130" s="77">
        <f t="shared" ref="EY130:EY161" ca="1" si="685">COUNTIF($M$130:$M$161,EX130)*$D$15</f>
        <v>0</v>
      </c>
      <c r="EZ130" s="64"/>
      <c r="FA130" s="76"/>
      <c r="FB130" s="77">
        <f t="shared" ref="FB130:FB161" ca="1" si="686">COUNTIF($M$130:$M$161,FA130)*$D$15</f>
        <v>0</v>
      </c>
      <c r="FC130" s="64"/>
      <c r="FD130" s="76"/>
      <c r="FE130" s="77">
        <f t="shared" ref="FE130:FE161" ca="1" si="687">COUNTIF($M$130:$M$161,FD130)*$D$15</f>
        <v>0</v>
      </c>
      <c r="FF130" s="64"/>
      <c r="FG130" s="76"/>
      <c r="FH130" s="77">
        <f t="shared" ref="FH130:FH161" ca="1" si="688">COUNTIF($M$130:$M$161,FG130)*$D$15</f>
        <v>0</v>
      </c>
      <c r="FI130" s="64"/>
      <c r="FJ130" s="76"/>
      <c r="FK130" s="77">
        <f t="shared" ref="FK130:FK161" ca="1" si="689">COUNTIF($M$130:$M$161,FJ130)*$D$15</f>
        <v>0</v>
      </c>
      <c r="FL130" s="64"/>
      <c r="FM130" s="64"/>
    </row>
    <row r="131" spans="1:169">
      <c r="A131" s="49"/>
      <c r="B131" s="49"/>
      <c r="C131" s="49"/>
      <c r="D131" s="49"/>
      <c r="E131" s="65"/>
      <c r="F131" s="127">
        <f t="shared" ref="F131:F161" si="690">$D$15</f>
        <v>3</v>
      </c>
      <c r="G131" s="445">
        <f ca="1">VLOOKUP(H131,Equipos!$Q$1:$R$25,2,0)</f>
        <v>19</v>
      </c>
      <c r="H131" s="447" t="str">
        <f>Idiomas!$D$137</f>
        <v>CLASIFICADOS PARA DIECISEISAVOS</v>
      </c>
      <c r="I131" s="50"/>
      <c r="J131" s="849"/>
      <c r="K131" s="56" t="str">
        <f>Idiomas!$D$198&amp;"-"&amp;ROWS($L$130:L131)</f>
        <v>Dieciseisavofinalista-2</v>
      </c>
      <c r="L131" s="53"/>
      <c r="M131" s="55" t="str">
        <f ca="1">WORLDCUP!AA102</f>
        <v>1C</v>
      </c>
      <c r="N131" s="25"/>
      <c r="O131" s="25"/>
      <c r="P131" s="25"/>
      <c r="Q131" s="25"/>
      <c r="R131" s="110"/>
      <c r="S131" s="74" t="s">
        <v>1258</v>
      </c>
      <c r="T131" s="73">
        <f t="shared" ca="1" si="640"/>
        <v>0</v>
      </c>
      <c r="U131" s="64"/>
      <c r="V131" s="74" t="s">
        <v>1258</v>
      </c>
      <c r="W131" s="73">
        <f t="shared" ca="1" si="641"/>
        <v>0</v>
      </c>
      <c r="X131" s="64"/>
      <c r="Y131" s="74" t="s">
        <v>1258</v>
      </c>
      <c r="Z131" s="73">
        <f t="shared" ca="1" si="642"/>
        <v>0</v>
      </c>
      <c r="AA131" s="64"/>
      <c r="AB131" s="74" t="s">
        <v>1258</v>
      </c>
      <c r="AC131" s="73">
        <f t="shared" ca="1" si="643"/>
        <v>0</v>
      </c>
      <c r="AD131" s="64"/>
      <c r="AE131" s="74" t="s">
        <v>1258</v>
      </c>
      <c r="AF131" s="73">
        <f t="shared" ca="1" si="644"/>
        <v>0</v>
      </c>
      <c r="AG131" s="64"/>
      <c r="AH131" s="74" t="s">
        <v>1321</v>
      </c>
      <c r="AI131" s="73">
        <f t="shared" ca="1" si="645"/>
        <v>0</v>
      </c>
      <c r="AJ131" s="64"/>
      <c r="AK131" s="74" t="s">
        <v>1258</v>
      </c>
      <c r="AL131" s="73">
        <f t="shared" ca="1" si="646"/>
        <v>0</v>
      </c>
      <c r="AM131" s="64"/>
      <c r="AN131" s="74" t="s">
        <v>1258</v>
      </c>
      <c r="AO131" s="73">
        <f t="shared" ca="1" si="647"/>
        <v>0</v>
      </c>
      <c r="AP131" s="64"/>
      <c r="AQ131" s="74" t="s">
        <v>1258</v>
      </c>
      <c r="AR131" s="73">
        <f t="shared" ca="1" si="648"/>
        <v>0</v>
      </c>
      <c r="AS131" s="64"/>
      <c r="AT131" s="74" t="s">
        <v>1258</v>
      </c>
      <c r="AU131" s="73">
        <f t="shared" ca="1" si="649"/>
        <v>0</v>
      </c>
      <c r="AV131" s="64"/>
      <c r="AW131" s="74" t="s">
        <v>1258</v>
      </c>
      <c r="AX131" s="73">
        <f t="shared" ca="1" si="650"/>
        <v>0</v>
      </c>
      <c r="AY131" s="64"/>
      <c r="AZ131" s="74" t="s">
        <v>1258</v>
      </c>
      <c r="BA131" s="73">
        <f t="shared" ca="1" si="651"/>
        <v>0</v>
      </c>
      <c r="BB131" s="64"/>
      <c r="BC131" s="74" t="s">
        <v>1258</v>
      </c>
      <c r="BD131" s="73">
        <f t="shared" ca="1" si="652"/>
        <v>0</v>
      </c>
      <c r="BE131" s="64"/>
      <c r="BF131" s="74" t="s">
        <v>1258</v>
      </c>
      <c r="BG131" s="73">
        <f t="shared" ca="1" si="653"/>
        <v>0</v>
      </c>
      <c r="BH131" s="64"/>
      <c r="BI131" s="74" t="s">
        <v>1258</v>
      </c>
      <c r="BJ131" s="73">
        <f t="shared" ca="1" si="654"/>
        <v>0</v>
      </c>
      <c r="BK131" s="64"/>
      <c r="BL131" s="74" t="s">
        <v>1258</v>
      </c>
      <c r="BM131" s="73">
        <f t="shared" ca="1" si="655"/>
        <v>0</v>
      </c>
      <c r="BN131" s="64"/>
      <c r="BO131" s="74" t="s">
        <v>1258</v>
      </c>
      <c r="BP131" s="73">
        <f t="shared" ca="1" si="656"/>
        <v>0</v>
      </c>
      <c r="BQ131" s="64"/>
      <c r="BR131" s="74" t="s">
        <v>1258</v>
      </c>
      <c r="BS131" s="73">
        <f t="shared" ca="1" si="657"/>
        <v>0</v>
      </c>
      <c r="BT131" s="64"/>
      <c r="BU131" s="74" t="s">
        <v>1258</v>
      </c>
      <c r="BV131" s="73">
        <f t="shared" ca="1" si="658"/>
        <v>0</v>
      </c>
      <c r="BW131" s="64"/>
      <c r="BX131" s="74" t="s">
        <v>1258</v>
      </c>
      <c r="BY131" s="73">
        <f t="shared" ca="1" si="659"/>
        <v>0</v>
      </c>
      <c r="BZ131" s="64"/>
      <c r="CA131" s="74" t="s">
        <v>134</v>
      </c>
      <c r="CB131" s="73">
        <f t="shared" ca="1" si="660"/>
        <v>0</v>
      </c>
      <c r="CC131" s="64"/>
      <c r="CD131" s="74" t="s">
        <v>1258</v>
      </c>
      <c r="CE131" s="73">
        <f t="shared" ca="1" si="661"/>
        <v>0</v>
      </c>
      <c r="CF131" s="64"/>
      <c r="CG131" s="74" t="s">
        <v>1258</v>
      </c>
      <c r="CH131" s="73">
        <f t="shared" ca="1" si="662"/>
        <v>0</v>
      </c>
      <c r="CI131" s="64"/>
      <c r="CJ131" s="74" t="s">
        <v>1258</v>
      </c>
      <c r="CK131" s="73">
        <f t="shared" ca="1" si="663"/>
        <v>0</v>
      </c>
      <c r="CL131" s="64"/>
      <c r="CM131" s="74" t="s">
        <v>1258</v>
      </c>
      <c r="CN131" s="73">
        <f t="shared" ca="1" si="664"/>
        <v>0</v>
      </c>
      <c r="CO131" s="64"/>
      <c r="CP131" s="74" t="s">
        <v>1258</v>
      </c>
      <c r="CQ131" s="73">
        <f t="shared" ca="1" si="665"/>
        <v>0</v>
      </c>
      <c r="CR131" s="64"/>
      <c r="CS131" s="74" t="s">
        <v>1258</v>
      </c>
      <c r="CT131" s="73">
        <f t="shared" ca="1" si="666"/>
        <v>0</v>
      </c>
      <c r="CU131" s="64"/>
      <c r="CV131" s="74" t="s">
        <v>1258</v>
      </c>
      <c r="CW131" s="73">
        <f t="shared" ca="1" si="667"/>
        <v>0</v>
      </c>
      <c r="CX131" s="64"/>
      <c r="CY131" s="74" t="s">
        <v>1258</v>
      </c>
      <c r="CZ131" s="73">
        <f t="shared" ca="1" si="668"/>
        <v>0</v>
      </c>
      <c r="DA131" s="64"/>
      <c r="DB131" s="74" t="s">
        <v>1258</v>
      </c>
      <c r="DC131" s="73">
        <f t="shared" ca="1" si="669"/>
        <v>0</v>
      </c>
      <c r="DD131" s="64"/>
      <c r="DE131" s="74" t="s">
        <v>1258</v>
      </c>
      <c r="DF131" s="73">
        <f t="shared" ca="1" si="670"/>
        <v>0</v>
      </c>
      <c r="DG131" s="64"/>
      <c r="DH131" s="74" t="s">
        <v>1258</v>
      </c>
      <c r="DI131" s="73">
        <f t="shared" ca="1" si="671"/>
        <v>0</v>
      </c>
      <c r="DJ131" s="64"/>
      <c r="DK131" s="74" t="s">
        <v>1321</v>
      </c>
      <c r="DL131" s="73">
        <f t="shared" ca="1" si="672"/>
        <v>0</v>
      </c>
      <c r="DM131" s="64"/>
      <c r="DN131" s="795" t="s">
        <v>1258</v>
      </c>
      <c r="DO131" s="73">
        <f t="shared" ca="1" si="673"/>
        <v>0</v>
      </c>
      <c r="DP131" s="64"/>
      <c r="DQ131" s="795" t="s">
        <v>1321</v>
      </c>
      <c r="DR131" s="73">
        <f t="shared" ca="1" si="674"/>
        <v>0</v>
      </c>
      <c r="DS131" s="64"/>
      <c r="DT131" s="74" t="s">
        <v>1321</v>
      </c>
      <c r="DU131" s="73">
        <f t="shared" ca="1" si="675"/>
        <v>0</v>
      </c>
      <c r="DV131" s="64"/>
      <c r="DW131" s="74" t="s">
        <v>1258</v>
      </c>
      <c r="DX131" s="73">
        <f t="shared" ca="1" si="676"/>
        <v>0</v>
      </c>
      <c r="DY131" s="64"/>
      <c r="DZ131" s="74" t="s">
        <v>1258</v>
      </c>
      <c r="EA131" s="73">
        <f t="shared" ca="1" si="677"/>
        <v>0</v>
      </c>
      <c r="EB131" s="64"/>
      <c r="EC131" s="74" t="s">
        <v>1258</v>
      </c>
      <c r="ED131" s="73">
        <f t="shared" ca="1" si="678"/>
        <v>0</v>
      </c>
      <c r="EE131" s="64"/>
      <c r="EF131" s="74" t="s">
        <v>1258</v>
      </c>
      <c r="EG131" s="73">
        <f t="shared" ca="1" si="679"/>
        <v>0</v>
      </c>
      <c r="EH131" s="64"/>
      <c r="EI131" s="74" t="s">
        <v>1258</v>
      </c>
      <c r="EJ131" s="73">
        <f t="shared" ca="1" si="680"/>
        <v>0</v>
      </c>
      <c r="EK131" s="64"/>
      <c r="EL131" s="74"/>
      <c r="EM131" s="73">
        <f t="shared" ca="1" si="681"/>
        <v>0</v>
      </c>
      <c r="EN131" s="64"/>
      <c r="EO131" s="74"/>
      <c r="EP131" s="73">
        <f t="shared" ca="1" si="682"/>
        <v>0</v>
      </c>
      <c r="EQ131" s="64"/>
      <c r="ER131" s="74"/>
      <c r="ES131" s="73">
        <f t="shared" ca="1" si="683"/>
        <v>0</v>
      </c>
      <c r="ET131" s="64"/>
      <c r="EU131" s="74"/>
      <c r="EV131" s="73">
        <f t="shared" ca="1" si="684"/>
        <v>0</v>
      </c>
      <c r="EW131" s="64"/>
      <c r="EX131" s="74"/>
      <c r="EY131" s="73">
        <f t="shared" ca="1" si="685"/>
        <v>0</v>
      </c>
      <c r="EZ131" s="64"/>
      <c r="FA131" s="74"/>
      <c r="FB131" s="73">
        <f t="shared" ca="1" si="686"/>
        <v>0</v>
      </c>
      <c r="FC131" s="64"/>
      <c r="FD131" s="74"/>
      <c r="FE131" s="73">
        <f t="shared" ca="1" si="687"/>
        <v>0</v>
      </c>
      <c r="FF131" s="64"/>
      <c r="FG131" s="74"/>
      <c r="FH131" s="73">
        <f t="shared" ca="1" si="688"/>
        <v>0</v>
      </c>
      <c r="FI131" s="64"/>
      <c r="FJ131" s="74"/>
      <c r="FK131" s="73">
        <f t="shared" ca="1" si="689"/>
        <v>0</v>
      </c>
      <c r="FL131" s="64"/>
      <c r="FM131" s="64"/>
    </row>
    <row r="132" spans="1:169">
      <c r="A132" s="49"/>
      <c r="B132" s="49"/>
      <c r="C132" s="49"/>
      <c r="D132" s="49"/>
      <c r="E132" s="65"/>
      <c r="F132" s="127">
        <f t="shared" si="690"/>
        <v>3</v>
      </c>
      <c r="G132" s="445">
        <f ca="1">VLOOKUP(H132,Equipos!$Q$1:$R$25,2,0)</f>
        <v>19</v>
      </c>
      <c r="H132" s="447" t="str">
        <f>Idiomas!$D$137</f>
        <v>CLASIFICADOS PARA DIECISEISAVOS</v>
      </c>
      <c r="I132" s="50"/>
      <c r="J132" s="849"/>
      <c r="K132" s="56" t="str">
        <f>Idiomas!$D$198&amp;"-"&amp;ROWS($L$130:L132)</f>
        <v>Dieciseisavofinalista-3</v>
      </c>
      <c r="L132" s="53"/>
      <c r="M132" s="55" t="str">
        <f ca="1">WORLDCUP!AA103</f>
        <v>1E</v>
      </c>
      <c r="N132" s="25"/>
      <c r="O132" s="25"/>
      <c r="P132" s="25"/>
      <c r="Q132" s="25"/>
      <c r="R132" s="110"/>
      <c r="S132" s="74" t="s">
        <v>77</v>
      </c>
      <c r="T132" s="73">
        <f t="shared" ca="1" si="640"/>
        <v>0</v>
      </c>
      <c r="U132" s="64"/>
      <c r="V132" s="74" t="s">
        <v>77</v>
      </c>
      <c r="W132" s="73">
        <f t="shared" ca="1" si="641"/>
        <v>0</v>
      </c>
      <c r="X132" s="64"/>
      <c r="Y132" s="74" t="s">
        <v>77</v>
      </c>
      <c r="Z132" s="73">
        <f t="shared" ca="1" si="642"/>
        <v>0</v>
      </c>
      <c r="AA132" s="64"/>
      <c r="AB132" s="74" t="s">
        <v>77</v>
      </c>
      <c r="AC132" s="73">
        <f t="shared" ca="1" si="643"/>
        <v>0</v>
      </c>
      <c r="AD132" s="64"/>
      <c r="AE132" s="74" t="s">
        <v>77</v>
      </c>
      <c r="AF132" s="73">
        <f t="shared" ca="1" si="644"/>
        <v>0</v>
      </c>
      <c r="AG132" s="64"/>
      <c r="AH132" s="74" t="s">
        <v>77</v>
      </c>
      <c r="AI132" s="73">
        <f t="shared" ca="1" si="645"/>
        <v>0</v>
      </c>
      <c r="AJ132" s="64"/>
      <c r="AK132" s="74" t="s">
        <v>77</v>
      </c>
      <c r="AL132" s="73">
        <f t="shared" ca="1" si="646"/>
        <v>0</v>
      </c>
      <c r="AM132" s="64"/>
      <c r="AN132" s="74" t="s">
        <v>77</v>
      </c>
      <c r="AO132" s="73">
        <f t="shared" ca="1" si="647"/>
        <v>0</v>
      </c>
      <c r="AP132" s="64"/>
      <c r="AQ132" s="74" t="s">
        <v>77</v>
      </c>
      <c r="AR132" s="73">
        <f t="shared" ca="1" si="648"/>
        <v>0</v>
      </c>
      <c r="AS132" s="64"/>
      <c r="AT132" s="74" t="s">
        <v>77</v>
      </c>
      <c r="AU132" s="73">
        <f t="shared" ca="1" si="649"/>
        <v>0</v>
      </c>
      <c r="AV132" s="64"/>
      <c r="AW132" s="74" t="s">
        <v>77</v>
      </c>
      <c r="AX132" s="73">
        <f t="shared" ca="1" si="650"/>
        <v>0</v>
      </c>
      <c r="AY132" s="64"/>
      <c r="AZ132" s="74" t="s">
        <v>77</v>
      </c>
      <c r="BA132" s="73">
        <f t="shared" ca="1" si="651"/>
        <v>0</v>
      </c>
      <c r="BB132" s="64"/>
      <c r="BC132" s="74" t="s">
        <v>77</v>
      </c>
      <c r="BD132" s="73">
        <f t="shared" ca="1" si="652"/>
        <v>0</v>
      </c>
      <c r="BE132" s="64"/>
      <c r="BF132" s="74" t="s">
        <v>77</v>
      </c>
      <c r="BG132" s="73">
        <f t="shared" ca="1" si="653"/>
        <v>0</v>
      </c>
      <c r="BH132" s="64"/>
      <c r="BI132" s="74" t="s">
        <v>77</v>
      </c>
      <c r="BJ132" s="73">
        <f t="shared" ca="1" si="654"/>
        <v>0</v>
      </c>
      <c r="BK132" s="64"/>
      <c r="BL132" s="74" t="s">
        <v>77</v>
      </c>
      <c r="BM132" s="73">
        <f t="shared" ca="1" si="655"/>
        <v>0</v>
      </c>
      <c r="BN132" s="64"/>
      <c r="BO132" s="74" t="s">
        <v>77</v>
      </c>
      <c r="BP132" s="73">
        <f t="shared" ca="1" si="656"/>
        <v>0</v>
      </c>
      <c r="BQ132" s="64"/>
      <c r="BR132" s="74" t="s">
        <v>77</v>
      </c>
      <c r="BS132" s="73">
        <f t="shared" ca="1" si="657"/>
        <v>0</v>
      </c>
      <c r="BT132" s="64"/>
      <c r="BU132" s="74" t="s">
        <v>77</v>
      </c>
      <c r="BV132" s="73">
        <f t="shared" ca="1" si="658"/>
        <v>0</v>
      </c>
      <c r="BW132" s="64"/>
      <c r="BX132" s="74" t="s">
        <v>77</v>
      </c>
      <c r="BY132" s="73">
        <f t="shared" ca="1" si="659"/>
        <v>0</v>
      </c>
      <c r="BZ132" s="64"/>
      <c r="CA132" s="74" t="s">
        <v>77</v>
      </c>
      <c r="CB132" s="73">
        <f t="shared" ca="1" si="660"/>
        <v>0</v>
      </c>
      <c r="CC132" s="64"/>
      <c r="CD132" s="74" t="s">
        <v>77</v>
      </c>
      <c r="CE132" s="73">
        <f t="shared" ca="1" si="661"/>
        <v>0</v>
      </c>
      <c r="CF132" s="64"/>
      <c r="CG132" s="74" t="s">
        <v>77</v>
      </c>
      <c r="CH132" s="73">
        <f t="shared" ca="1" si="662"/>
        <v>0</v>
      </c>
      <c r="CI132" s="64"/>
      <c r="CJ132" s="74" t="s">
        <v>77</v>
      </c>
      <c r="CK132" s="73">
        <f t="shared" ca="1" si="663"/>
        <v>0</v>
      </c>
      <c r="CL132" s="64"/>
      <c r="CM132" s="74" t="s">
        <v>77</v>
      </c>
      <c r="CN132" s="73">
        <f t="shared" ca="1" si="664"/>
        <v>0</v>
      </c>
      <c r="CO132" s="64"/>
      <c r="CP132" s="74" t="s">
        <v>77</v>
      </c>
      <c r="CQ132" s="73">
        <f t="shared" ca="1" si="665"/>
        <v>0</v>
      </c>
      <c r="CR132" s="64"/>
      <c r="CS132" s="74" t="s">
        <v>77</v>
      </c>
      <c r="CT132" s="73">
        <f t="shared" ca="1" si="666"/>
        <v>0</v>
      </c>
      <c r="CU132" s="64"/>
      <c r="CV132" s="74" t="s">
        <v>77</v>
      </c>
      <c r="CW132" s="73">
        <f t="shared" ca="1" si="667"/>
        <v>0</v>
      </c>
      <c r="CX132" s="64"/>
      <c r="CY132" s="74" t="s">
        <v>1261</v>
      </c>
      <c r="CZ132" s="73">
        <f t="shared" ca="1" si="668"/>
        <v>0</v>
      </c>
      <c r="DA132" s="64"/>
      <c r="DB132" s="74" t="s">
        <v>77</v>
      </c>
      <c r="DC132" s="73">
        <f t="shared" ca="1" si="669"/>
        <v>0</v>
      </c>
      <c r="DD132" s="64"/>
      <c r="DE132" s="74" t="s">
        <v>77</v>
      </c>
      <c r="DF132" s="73">
        <f t="shared" ca="1" si="670"/>
        <v>0</v>
      </c>
      <c r="DG132" s="64"/>
      <c r="DH132" s="74" t="s">
        <v>77</v>
      </c>
      <c r="DI132" s="73">
        <f t="shared" ca="1" si="671"/>
        <v>0</v>
      </c>
      <c r="DJ132" s="64"/>
      <c r="DK132" s="74" t="s">
        <v>77</v>
      </c>
      <c r="DL132" s="73">
        <f t="shared" ca="1" si="672"/>
        <v>0</v>
      </c>
      <c r="DM132" s="64"/>
      <c r="DN132" s="795" t="s">
        <v>77</v>
      </c>
      <c r="DO132" s="73">
        <f t="shared" ca="1" si="673"/>
        <v>0</v>
      </c>
      <c r="DP132" s="64"/>
      <c r="DQ132" s="795" t="s">
        <v>77</v>
      </c>
      <c r="DR132" s="73">
        <f t="shared" ca="1" si="674"/>
        <v>0</v>
      </c>
      <c r="DS132" s="64"/>
      <c r="DT132" s="74" t="s">
        <v>77</v>
      </c>
      <c r="DU132" s="73">
        <f t="shared" ca="1" si="675"/>
        <v>0</v>
      </c>
      <c r="DV132" s="64"/>
      <c r="DW132" s="74" t="s">
        <v>77</v>
      </c>
      <c r="DX132" s="73">
        <f t="shared" ca="1" si="676"/>
        <v>0</v>
      </c>
      <c r="DY132" s="64"/>
      <c r="DZ132" s="74" t="s">
        <v>77</v>
      </c>
      <c r="EA132" s="73">
        <f t="shared" ca="1" si="677"/>
        <v>0</v>
      </c>
      <c r="EB132" s="64"/>
      <c r="EC132" s="74" t="s">
        <v>77</v>
      </c>
      <c r="ED132" s="73">
        <f t="shared" ca="1" si="678"/>
        <v>0</v>
      </c>
      <c r="EE132" s="64"/>
      <c r="EF132" s="74" t="s">
        <v>77</v>
      </c>
      <c r="EG132" s="73">
        <f t="shared" ca="1" si="679"/>
        <v>0</v>
      </c>
      <c r="EH132" s="64"/>
      <c r="EI132" s="74" t="s">
        <v>77</v>
      </c>
      <c r="EJ132" s="73">
        <f t="shared" ca="1" si="680"/>
        <v>0</v>
      </c>
      <c r="EK132" s="64"/>
      <c r="EL132" s="74"/>
      <c r="EM132" s="73">
        <f t="shared" ca="1" si="681"/>
        <v>0</v>
      </c>
      <c r="EN132" s="64"/>
      <c r="EO132" s="74"/>
      <c r="EP132" s="73">
        <f t="shared" ca="1" si="682"/>
        <v>0</v>
      </c>
      <c r="EQ132" s="64"/>
      <c r="ER132" s="74"/>
      <c r="ES132" s="73">
        <f t="shared" ca="1" si="683"/>
        <v>0</v>
      </c>
      <c r="ET132" s="64"/>
      <c r="EU132" s="74"/>
      <c r="EV132" s="73">
        <f t="shared" ca="1" si="684"/>
        <v>0</v>
      </c>
      <c r="EW132" s="64"/>
      <c r="EX132" s="74"/>
      <c r="EY132" s="73">
        <f t="shared" ca="1" si="685"/>
        <v>0</v>
      </c>
      <c r="EZ132" s="64"/>
      <c r="FA132" s="74"/>
      <c r="FB132" s="73">
        <f t="shared" ca="1" si="686"/>
        <v>0</v>
      </c>
      <c r="FC132" s="64"/>
      <c r="FD132" s="74"/>
      <c r="FE132" s="73">
        <f t="shared" ca="1" si="687"/>
        <v>0</v>
      </c>
      <c r="FF132" s="64"/>
      <c r="FG132" s="74"/>
      <c r="FH132" s="73">
        <f t="shared" ca="1" si="688"/>
        <v>0</v>
      </c>
      <c r="FI132" s="64"/>
      <c r="FJ132" s="74"/>
      <c r="FK132" s="73">
        <f t="shared" ca="1" si="689"/>
        <v>0</v>
      </c>
      <c r="FL132" s="64"/>
      <c r="FM132" s="64"/>
    </row>
    <row r="133" spans="1:169">
      <c r="A133" s="49"/>
      <c r="B133" s="49"/>
      <c r="C133" s="49"/>
      <c r="D133" s="49"/>
      <c r="E133" s="65"/>
      <c r="F133" s="127">
        <f t="shared" si="690"/>
        <v>3</v>
      </c>
      <c r="G133" s="445">
        <f ca="1">VLOOKUP(H133,Equipos!$Q$1:$R$25,2,0)</f>
        <v>19</v>
      </c>
      <c r="H133" s="447" t="str">
        <f>Idiomas!$D$137</f>
        <v>CLASIFICADOS PARA DIECISEISAVOS</v>
      </c>
      <c r="I133" s="50"/>
      <c r="J133" s="849"/>
      <c r="K133" s="56" t="str">
        <f>Idiomas!$D$198&amp;"-"&amp;ROWS($L$130:L133)</f>
        <v>Dieciseisavofinalista-4</v>
      </c>
      <c r="L133" s="53"/>
      <c r="M133" s="55" t="str">
        <f ca="1">WORLDCUP!AA104</f>
        <v>1F</v>
      </c>
      <c r="N133" s="25"/>
      <c r="O133" s="25"/>
      <c r="P133" s="25"/>
      <c r="Q133" s="25"/>
      <c r="R133" s="110"/>
      <c r="S133" s="74" t="s">
        <v>1263</v>
      </c>
      <c r="T133" s="73">
        <f t="shared" ca="1" si="640"/>
        <v>0</v>
      </c>
      <c r="U133" s="64"/>
      <c r="V133" s="74" t="s">
        <v>111</v>
      </c>
      <c r="W133" s="73">
        <f t="shared" ca="1" si="641"/>
        <v>0</v>
      </c>
      <c r="X133" s="64"/>
      <c r="Y133" s="74" t="s">
        <v>111</v>
      </c>
      <c r="Z133" s="73">
        <f t="shared" ca="1" si="642"/>
        <v>0</v>
      </c>
      <c r="AA133" s="64"/>
      <c r="AB133" s="74" t="s">
        <v>111</v>
      </c>
      <c r="AC133" s="73">
        <f t="shared" ca="1" si="643"/>
        <v>0</v>
      </c>
      <c r="AD133" s="64"/>
      <c r="AE133" s="74" t="s">
        <v>1263</v>
      </c>
      <c r="AF133" s="73">
        <f t="shared" ca="1" si="644"/>
        <v>0</v>
      </c>
      <c r="AG133" s="64"/>
      <c r="AH133" s="74" t="s">
        <v>111</v>
      </c>
      <c r="AI133" s="73">
        <f t="shared" ca="1" si="645"/>
        <v>0</v>
      </c>
      <c r="AJ133" s="64"/>
      <c r="AK133" s="74" t="s">
        <v>111</v>
      </c>
      <c r="AL133" s="73">
        <f t="shared" ca="1" si="646"/>
        <v>0</v>
      </c>
      <c r="AM133" s="64"/>
      <c r="AN133" s="74" t="s">
        <v>111</v>
      </c>
      <c r="AO133" s="73">
        <f t="shared" ca="1" si="647"/>
        <v>0</v>
      </c>
      <c r="AP133" s="64"/>
      <c r="AQ133" s="74" t="s">
        <v>111</v>
      </c>
      <c r="AR133" s="73">
        <f t="shared" ca="1" si="648"/>
        <v>0</v>
      </c>
      <c r="AS133" s="64"/>
      <c r="AT133" s="74" t="s">
        <v>111</v>
      </c>
      <c r="AU133" s="73">
        <f t="shared" ca="1" si="649"/>
        <v>0</v>
      </c>
      <c r="AV133" s="64"/>
      <c r="AW133" s="74" t="s">
        <v>111</v>
      </c>
      <c r="AX133" s="73">
        <f t="shared" ca="1" si="650"/>
        <v>0</v>
      </c>
      <c r="AY133" s="64"/>
      <c r="AZ133" s="74" t="s">
        <v>111</v>
      </c>
      <c r="BA133" s="73">
        <f t="shared" ca="1" si="651"/>
        <v>0</v>
      </c>
      <c r="BB133" s="64"/>
      <c r="BC133" s="74" t="s">
        <v>111</v>
      </c>
      <c r="BD133" s="73">
        <f t="shared" ca="1" si="652"/>
        <v>0</v>
      </c>
      <c r="BE133" s="64"/>
      <c r="BF133" s="74" t="s">
        <v>111</v>
      </c>
      <c r="BG133" s="73">
        <f t="shared" ca="1" si="653"/>
        <v>0</v>
      </c>
      <c r="BH133" s="64"/>
      <c r="BI133" s="74" t="s">
        <v>111</v>
      </c>
      <c r="BJ133" s="73">
        <f t="shared" ca="1" si="654"/>
        <v>0</v>
      </c>
      <c r="BK133" s="64"/>
      <c r="BL133" s="74" t="s">
        <v>111</v>
      </c>
      <c r="BM133" s="73">
        <f t="shared" ca="1" si="655"/>
        <v>0</v>
      </c>
      <c r="BN133" s="64"/>
      <c r="BO133" s="74" t="s">
        <v>111</v>
      </c>
      <c r="BP133" s="73">
        <f t="shared" ca="1" si="656"/>
        <v>0</v>
      </c>
      <c r="BQ133" s="64"/>
      <c r="BR133" s="74" t="s">
        <v>111</v>
      </c>
      <c r="BS133" s="73">
        <f t="shared" ca="1" si="657"/>
        <v>0</v>
      </c>
      <c r="BT133" s="64"/>
      <c r="BU133" s="74" t="s">
        <v>1263</v>
      </c>
      <c r="BV133" s="73">
        <f t="shared" ca="1" si="658"/>
        <v>0</v>
      </c>
      <c r="BW133" s="64"/>
      <c r="BX133" s="74" t="s">
        <v>111</v>
      </c>
      <c r="BY133" s="73">
        <f t="shared" ca="1" si="659"/>
        <v>0</v>
      </c>
      <c r="BZ133" s="64"/>
      <c r="CA133" s="74" t="s">
        <v>111</v>
      </c>
      <c r="CB133" s="73">
        <f t="shared" ca="1" si="660"/>
        <v>0</v>
      </c>
      <c r="CC133" s="64"/>
      <c r="CD133" s="74" t="s">
        <v>1263</v>
      </c>
      <c r="CE133" s="73">
        <f t="shared" ca="1" si="661"/>
        <v>0</v>
      </c>
      <c r="CF133" s="64"/>
      <c r="CG133" s="74" t="s">
        <v>111</v>
      </c>
      <c r="CH133" s="73">
        <f t="shared" ca="1" si="662"/>
        <v>0</v>
      </c>
      <c r="CI133" s="64"/>
      <c r="CJ133" s="74" t="s">
        <v>111</v>
      </c>
      <c r="CK133" s="73">
        <f t="shared" ca="1" si="663"/>
        <v>0</v>
      </c>
      <c r="CL133" s="64"/>
      <c r="CM133" s="74" t="s">
        <v>1263</v>
      </c>
      <c r="CN133" s="73">
        <f t="shared" ca="1" si="664"/>
        <v>0</v>
      </c>
      <c r="CO133" s="64"/>
      <c r="CP133" s="74" t="s">
        <v>1263</v>
      </c>
      <c r="CQ133" s="73">
        <f t="shared" ca="1" si="665"/>
        <v>0</v>
      </c>
      <c r="CR133" s="64"/>
      <c r="CS133" s="74" t="s">
        <v>111</v>
      </c>
      <c r="CT133" s="73">
        <f t="shared" ca="1" si="666"/>
        <v>0</v>
      </c>
      <c r="CU133" s="64"/>
      <c r="CV133" s="74" t="s">
        <v>111</v>
      </c>
      <c r="CW133" s="73">
        <f t="shared" ca="1" si="667"/>
        <v>0</v>
      </c>
      <c r="CX133" s="64"/>
      <c r="CY133" s="74" t="s">
        <v>1833</v>
      </c>
      <c r="CZ133" s="73">
        <f t="shared" ca="1" si="668"/>
        <v>0</v>
      </c>
      <c r="DA133" s="64"/>
      <c r="DB133" s="74" t="s">
        <v>111</v>
      </c>
      <c r="DC133" s="73">
        <f t="shared" ca="1" si="669"/>
        <v>0</v>
      </c>
      <c r="DD133" s="64"/>
      <c r="DE133" s="74" t="s">
        <v>111</v>
      </c>
      <c r="DF133" s="73">
        <f t="shared" ca="1" si="670"/>
        <v>0</v>
      </c>
      <c r="DG133" s="64"/>
      <c r="DH133" s="74" t="s">
        <v>111</v>
      </c>
      <c r="DI133" s="73">
        <f t="shared" ca="1" si="671"/>
        <v>0</v>
      </c>
      <c r="DJ133" s="64"/>
      <c r="DK133" s="74" t="s">
        <v>111</v>
      </c>
      <c r="DL133" s="73">
        <f t="shared" ca="1" si="672"/>
        <v>0</v>
      </c>
      <c r="DM133" s="64"/>
      <c r="DN133" s="795" t="s">
        <v>111</v>
      </c>
      <c r="DO133" s="73">
        <f t="shared" ca="1" si="673"/>
        <v>0</v>
      </c>
      <c r="DP133" s="64"/>
      <c r="DQ133" s="795" t="s">
        <v>1263</v>
      </c>
      <c r="DR133" s="73">
        <f t="shared" ca="1" si="674"/>
        <v>0</v>
      </c>
      <c r="DS133" s="64"/>
      <c r="DT133" s="74" t="s">
        <v>1833</v>
      </c>
      <c r="DU133" s="73">
        <f t="shared" ca="1" si="675"/>
        <v>0</v>
      </c>
      <c r="DV133" s="64"/>
      <c r="DW133" s="74" t="s">
        <v>111</v>
      </c>
      <c r="DX133" s="73">
        <f t="shared" ca="1" si="676"/>
        <v>0</v>
      </c>
      <c r="DY133" s="64"/>
      <c r="DZ133" s="74" t="s">
        <v>111</v>
      </c>
      <c r="EA133" s="73">
        <f t="shared" ca="1" si="677"/>
        <v>0</v>
      </c>
      <c r="EB133" s="64"/>
      <c r="EC133" s="74" t="s">
        <v>111</v>
      </c>
      <c r="ED133" s="73">
        <f t="shared" ca="1" si="678"/>
        <v>0</v>
      </c>
      <c r="EE133" s="64"/>
      <c r="EF133" s="74" t="s">
        <v>111</v>
      </c>
      <c r="EG133" s="73">
        <f t="shared" ca="1" si="679"/>
        <v>0</v>
      </c>
      <c r="EH133" s="64"/>
      <c r="EI133" s="74" t="s">
        <v>111</v>
      </c>
      <c r="EJ133" s="73">
        <f t="shared" ca="1" si="680"/>
        <v>0</v>
      </c>
      <c r="EK133" s="64"/>
      <c r="EL133" s="74"/>
      <c r="EM133" s="73">
        <f t="shared" ca="1" si="681"/>
        <v>0</v>
      </c>
      <c r="EN133" s="64"/>
      <c r="EO133" s="74"/>
      <c r="EP133" s="73">
        <f t="shared" ca="1" si="682"/>
        <v>0</v>
      </c>
      <c r="EQ133" s="64"/>
      <c r="ER133" s="74"/>
      <c r="ES133" s="73">
        <f t="shared" ca="1" si="683"/>
        <v>0</v>
      </c>
      <c r="ET133" s="64"/>
      <c r="EU133" s="74"/>
      <c r="EV133" s="73">
        <f t="shared" ca="1" si="684"/>
        <v>0</v>
      </c>
      <c r="EW133" s="64"/>
      <c r="EX133" s="74"/>
      <c r="EY133" s="73">
        <f t="shared" ca="1" si="685"/>
        <v>0</v>
      </c>
      <c r="EZ133" s="64"/>
      <c r="FA133" s="74"/>
      <c r="FB133" s="73">
        <f t="shared" ca="1" si="686"/>
        <v>0</v>
      </c>
      <c r="FC133" s="64"/>
      <c r="FD133" s="74"/>
      <c r="FE133" s="73">
        <f t="shared" ca="1" si="687"/>
        <v>0</v>
      </c>
      <c r="FF133" s="64"/>
      <c r="FG133" s="74"/>
      <c r="FH133" s="73">
        <f t="shared" ca="1" si="688"/>
        <v>0</v>
      </c>
      <c r="FI133" s="64"/>
      <c r="FJ133" s="74"/>
      <c r="FK133" s="73">
        <f t="shared" ca="1" si="689"/>
        <v>0</v>
      </c>
      <c r="FL133" s="64"/>
      <c r="FM133" s="64"/>
    </row>
    <row r="134" spans="1:169">
      <c r="A134" s="49"/>
      <c r="B134" s="49"/>
      <c r="C134" s="49"/>
      <c r="D134" s="49"/>
      <c r="E134" s="65"/>
      <c r="F134" s="127">
        <f t="shared" si="690"/>
        <v>3</v>
      </c>
      <c r="G134" s="445">
        <f ca="1">VLOOKUP(H134,Equipos!$Q$1:$R$25,2,0)</f>
        <v>19</v>
      </c>
      <c r="H134" s="447" t="str">
        <f>Idiomas!$D$137</f>
        <v>CLASIFICADOS PARA DIECISEISAVOS</v>
      </c>
      <c r="I134" s="50"/>
      <c r="J134" s="849"/>
      <c r="K134" s="56" t="str">
        <f>Idiomas!$D$198&amp;"-"&amp;ROWS($L$130:L134)</f>
        <v>Dieciseisavofinalista-5</v>
      </c>
      <c r="L134" s="53"/>
      <c r="M134" s="55" t="str">
        <f ca="1">WORLDCUP!AA105</f>
        <v>2E</v>
      </c>
      <c r="N134" s="25"/>
      <c r="O134" s="25"/>
      <c r="P134" s="25"/>
      <c r="Q134" s="25"/>
      <c r="R134" s="110"/>
      <c r="S134" s="74" t="s">
        <v>1633</v>
      </c>
      <c r="T134" s="73">
        <f t="shared" ca="1" si="640"/>
        <v>0</v>
      </c>
      <c r="U134" s="64"/>
      <c r="V134" s="74" t="s">
        <v>1261</v>
      </c>
      <c r="W134" s="73">
        <f t="shared" ca="1" si="641"/>
        <v>0</v>
      </c>
      <c r="X134" s="64"/>
      <c r="Y134" s="74" t="s">
        <v>1633</v>
      </c>
      <c r="Z134" s="73">
        <f t="shared" ca="1" si="642"/>
        <v>0</v>
      </c>
      <c r="AA134" s="64"/>
      <c r="AB134" s="74" t="s">
        <v>1261</v>
      </c>
      <c r="AC134" s="73">
        <f t="shared" ca="1" si="643"/>
        <v>0</v>
      </c>
      <c r="AD134" s="64"/>
      <c r="AE134" s="74" t="s">
        <v>1261</v>
      </c>
      <c r="AF134" s="73">
        <f t="shared" ca="1" si="644"/>
        <v>0</v>
      </c>
      <c r="AG134" s="64"/>
      <c r="AH134" s="74" t="s">
        <v>1261</v>
      </c>
      <c r="AI134" s="73">
        <f t="shared" ca="1" si="645"/>
        <v>0</v>
      </c>
      <c r="AJ134" s="64"/>
      <c r="AK134" s="74" t="s">
        <v>1261</v>
      </c>
      <c r="AL134" s="73">
        <f t="shared" ca="1" si="646"/>
        <v>0</v>
      </c>
      <c r="AM134" s="64"/>
      <c r="AN134" s="74" t="s">
        <v>1633</v>
      </c>
      <c r="AO134" s="73">
        <f t="shared" ca="1" si="647"/>
        <v>0</v>
      </c>
      <c r="AP134" s="64"/>
      <c r="AQ134" s="74" t="s">
        <v>1261</v>
      </c>
      <c r="AR134" s="73">
        <f t="shared" ca="1" si="648"/>
        <v>0</v>
      </c>
      <c r="AS134" s="64"/>
      <c r="AT134" s="74" t="s">
        <v>1261</v>
      </c>
      <c r="AU134" s="73">
        <f t="shared" ca="1" si="649"/>
        <v>0</v>
      </c>
      <c r="AV134" s="64"/>
      <c r="AW134" s="74" t="s">
        <v>1633</v>
      </c>
      <c r="AX134" s="73">
        <f t="shared" ca="1" si="650"/>
        <v>0</v>
      </c>
      <c r="AY134" s="64"/>
      <c r="AZ134" s="74" t="s">
        <v>1261</v>
      </c>
      <c r="BA134" s="73">
        <f t="shared" ca="1" si="651"/>
        <v>0</v>
      </c>
      <c r="BB134" s="64"/>
      <c r="BC134" s="74" t="s">
        <v>1261</v>
      </c>
      <c r="BD134" s="73">
        <f t="shared" ca="1" si="652"/>
        <v>0</v>
      </c>
      <c r="BE134" s="64"/>
      <c r="BF134" s="74" t="s">
        <v>1261</v>
      </c>
      <c r="BG134" s="73">
        <f t="shared" ca="1" si="653"/>
        <v>0</v>
      </c>
      <c r="BH134" s="64"/>
      <c r="BI134" s="74" t="s">
        <v>1633</v>
      </c>
      <c r="BJ134" s="73">
        <f t="shared" ca="1" si="654"/>
        <v>0</v>
      </c>
      <c r="BK134" s="64"/>
      <c r="BL134" s="74" t="s">
        <v>1261</v>
      </c>
      <c r="BM134" s="73">
        <f t="shared" ca="1" si="655"/>
        <v>0</v>
      </c>
      <c r="BN134" s="64"/>
      <c r="BO134" s="74" t="s">
        <v>1633</v>
      </c>
      <c r="BP134" s="73">
        <f t="shared" ca="1" si="656"/>
        <v>0</v>
      </c>
      <c r="BQ134" s="64"/>
      <c r="BR134" s="74" t="s">
        <v>1261</v>
      </c>
      <c r="BS134" s="73">
        <f t="shared" ca="1" si="657"/>
        <v>0</v>
      </c>
      <c r="BT134" s="64"/>
      <c r="BU134" s="74" t="s">
        <v>1633</v>
      </c>
      <c r="BV134" s="73">
        <f t="shared" ca="1" si="658"/>
        <v>0</v>
      </c>
      <c r="BW134" s="64"/>
      <c r="BX134" s="74" t="s">
        <v>1261</v>
      </c>
      <c r="BY134" s="73">
        <f t="shared" ca="1" si="659"/>
        <v>0</v>
      </c>
      <c r="BZ134" s="64"/>
      <c r="CA134" s="74" t="s">
        <v>1261</v>
      </c>
      <c r="CB134" s="73">
        <f t="shared" ca="1" si="660"/>
        <v>0</v>
      </c>
      <c r="CC134" s="64"/>
      <c r="CD134" s="74" t="s">
        <v>1261</v>
      </c>
      <c r="CE134" s="73">
        <f t="shared" ca="1" si="661"/>
        <v>0</v>
      </c>
      <c r="CF134" s="64"/>
      <c r="CG134" s="74" t="s">
        <v>1633</v>
      </c>
      <c r="CH134" s="73">
        <f t="shared" ca="1" si="662"/>
        <v>0</v>
      </c>
      <c r="CI134" s="64"/>
      <c r="CJ134" s="74" t="s">
        <v>1261</v>
      </c>
      <c r="CK134" s="73">
        <f t="shared" ca="1" si="663"/>
        <v>0</v>
      </c>
      <c r="CL134" s="64"/>
      <c r="CM134" s="74" t="s">
        <v>1261</v>
      </c>
      <c r="CN134" s="73">
        <f t="shared" ca="1" si="664"/>
        <v>0</v>
      </c>
      <c r="CO134" s="64"/>
      <c r="CP134" s="74" t="s">
        <v>1261</v>
      </c>
      <c r="CQ134" s="73">
        <f t="shared" ca="1" si="665"/>
        <v>0</v>
      </c>
      <c r="CR134" s="64"/>
      <c r="CS134" s="74" t="s">
        <v>1633</v>
      </c>
      <c r="CT134" s="73">
        <f t="shared" ca="1" si="666"/>
        <v>0</v>
      </c>
      <c r="CU134" s="64"/>
      <c r="CV134" s="74" t="s">
        <v>1261</v>
      </c>
      <c r="CW134" s="73">
        <f t="shared" ca="1" si="667"/>
        <v>0</v>
      </c>
      <c r="CX134" s="64"/>
      <c r="CY134" s="74" t="s">
        <v>1633</v>
      </c>
      <c r="CZ134" s="73">
        <f t="shared" ca="1" si="668"/>
        <v>0</v>
      </c>
      <c r="DA134" s="64"/>
      <c r="DB134" s="74" t="s">
        <v>1261</v>
      </c>
      <c r="DC134" s="73">
        <f t="shared" ca="1" si="669"/>
        <v>0</v>
      </c>
      <c r="DD134" s="64"/>
      <c r="DE134" s="74" t="s">
        <v>1261</v>
      </c>
      <c r="DF134" s="73">
        <f t="shared" ca="1" si="670"/>
        <v>0</v>
      </c>
      <c r="DG134" s="64"/>
      <c r="DH134" s="74" t="s">
        <v>1261</v>
      </c>
      <c r="DI134" s="73">
        <f t="shared" ca="1" si="671"/>
        <v>0</v>
      </c>
      <c r="DJ134" s="64"/>
      <c r="DK134" s="74" t="s">
        <v>1261</v>
      </c>
      <c r="DL134" s="73">
        <f t="shared" ca="1" si="672"/>
        <v>0</v>
      </c>
      <c r="DM134" s="64"/>
      <c r="DN134" s="795" t="s">
        <v>1261</v>
      </c>
      <c r="DO134" s="73">
        <f t="shared" ca="1" si="673"/>
        <v>0</v>
      </c>
      <c r="DP134" s="64"/>
      <c r="DQ134" s="795" t="s">
        <v>1261</v>
      </c>
      <c r="DR134" s="73">
        <f t="shared" ca="1" si="674"/>
        <v>0</v>
      </c>
      <c r="DS134" s="64"/>
      <c r="DT134" s="74" t="s">
        <v>1261</v>
      </c>
      <c r="DU134" s="73">
        <f t="shared" ca="1" si="675"/>
        <v>0</v>
      </c>
      <c r="DV134" s="64"/>
      <c r="DW134" s="74" t="s">
        <v>1261</v>
      </c>
      <c r="DX134" s="73">
        <f t="shared" ca="1" si="676"/>
        <v>0</v>
      </c>
      <c r="DY134" s="64"/>
      <c r="DZ134" s="74" t="s">
        <v>1261</v>
      </c>
      <c r="EA134" s="73">
        <f t="shared" ca="1" si="677"/>
        <v>0</v>
      </c>
      <c r="EB134" s="64"/>
      <c r="EC134" s="74" t="s">
        <v>1261</v>
      </c>
      <c r="ED134" s="73">
        <f t="shared" ca="1" si="678"/>
        <v>0</v>
      </c>
      <c r="EE134" s="64"/>
      <c r="EF134" s="74" t="s">
        <v>1261</v>
      </c>
      <c r="EG134" s="73">
        <f t="shared" ca="1" si="679"/>
        <v>0</v>
      </c>
      <c r="EH134" s="64"/>
      <c r="EI134" s="74" t="s">
        <v>1261</v>
      </c>
      <c r="EJ134" s="73">
        <f t="shared" ca="1" si="680"/>
        <v>0</v>
      </c>
      <c r="EK134" s="64"/>
      <c r="EL134" s="74"/>
      <c r="EM134" s="73">
        <f t="shared" ca="1" si="681"/>
        <v>0</v>
      </c>
      <c r="EN134" s="64"/>
      <c r="EO134" s="74"/>
      <c r="EP134" s="73">
        <f t="shared" ca="1" si="682"/>
        <v>0</v>
      </c>
      <c r="EQ134" s="64"/>
      <c r="ER134" s="74"/>
      <c r="ES134" s="73">
        <f t="shared" ca="1" si="683"/>
        <v>0</v>
      </c>
      <c r="ET134" s="64"/>
      <c r="EU134" s="74"/>
      <c r="EV134" s="73">
        <f t="shared" ca="1" si="684"/>
        <v>0</v>
      </c>
      <c r="EW134" s="64"/>
      <c r="EX134" s="74"/>
      <c r="EY134" s="73">
        <f t="shared" ca="1" si="685"/>
        <v>0</v>
      </c>
      <c r="EZ134" s="64"/>
      <c r="FA134" s="74"/>
      <c r="FB134" s="73">
        <f t="shared" ca="1" si="686"/>
        <v>0</v>
      </c>
      <c r="FC134" s="64"/>
      <c r="FD134" s="74"/>
      <c r="FE134" s="73">
        <f t="shared" ca="1" si="687"/>
        <v>0</v>
      </c>
      <c r="FF134" s="64"/>
      <c r="FG134" s="74"/>
      <c r="FH134" s="73">
        <f t="shared" ca="1" si="688"/>
        <v>0</v>
      </c>
      <c r="FI134" s="64"/>
      <c r="FJ134" s="74"/>
      <c r="FK134" s="73">
        <f t="shared" ca="1" si="689"/>
        <v>0</v>
      </c>
      <c r="FL134" s="64"/>
      <c r="FM134" s="64"/>
    </row>
    <row r="135" spans="1:169">
      <c r="A135" s="49"/>
      <c r="B135" s="49"/>
      <c r="C135" s="49"/>
      <c r="D135" s="49"/>
      <c r="E135" s="65"/>
      <c r="F135" s="127">
        <f t="shared" si="690"/>
        <v>3</v>
      </c>
      <c r="G135" s="445">
        <f ca="1">VLOOKUP(H135,Equipos!$Q$1:$R$25,2,0)</f>
        <v>19</v>
      </c>
      <c r="H135" s="447" t="str">
        <f>Idiomas!$D$137</f>
        <v>CLASIFICADOS PARA DIECISEISAVOS</v>
      </c>
      <c r="I135" s="50"/>
      <c r="J135" s="849"/>
      <c r="K135" s="56" t="str">
        <f>Idiomas!$D$198&amp;"-"&amp;ROWS($L$130:L135)</f>
        <v>Dieciseisavofinalista-6</v>
      </c>
      <c r="L135" s="53"/>
      <c r="M135" s="55" t="str">
        <f ca="1">WORLDCUP!AA106</f>
        <v>1I</v>
      </c>
      <c r="N135" s="25"/>
      <c r="O135" s="25"/>
      <c r="P135" s="25"/>
      <c r="Q135" s="25"/>
      <c r="R135" s="110"/>
      <c r="S135" s="74" t="s">
        <v>74</v>
      </c>
      <c r="T135" s="73">
        <f t="shared" ca="1" si="640"/>
        <v>0</v>
      </c>
      <c r="U135" s="64"/>
      <c r="V135" s="74" t="s">
        <v>74</v>
      </c>
      <c r="W135" s="73">
        <f t="shared" ca="1" si="641"/>
        <v>0</v>
      </c>
      <c r="X135" s="64"/>
      <c r="Y135" s="74" t="s">
        <v>74</v>
      </c>
      <c r="Z135" s="73">
        <f t="shared" ca="1" si="642"/>
        <v>0</v>
      </c>
      <c r="AA135" s="64"/>
      <c r="AB135" s="74" t="s">
        <v>74</v>
      </c>
      <c r="AC135" s="73">
        <f t="shared" ca="1" si="643"/>
        <v>0</v>
      </c>
      <c r="AD135" s="64"/>
      <c r="AE135" s="74" t="s">
        <v>74</v>
      </c>
      <c r="AF135" s="73">
        <f t="shared" ca="1" si="644"/>
        <v>0</v>
      </c>
      <c r="AG135" s="64"/>
      <c r="AH135" s="74" t="s">
        <v>74</v>
      </c>
      <c r="AI135" s="73">
        <f t="shared" ca="1" si="645"/>
        <v>0</v>
      </c>
      <c r="AJ135" s="64"/>
      <c r="AK135" s="74" t="s">
        <v>74</v>
      </c>
      <c r="AL135" s="73">
        <f t="shared" ca="1" si="646"/>
        <v>0</v>
      </c>
      <c r="AM135" s="64"/>
      <c r="AN135" s="74" t="s">
        <v>74</v>
      </c>
      <c r="AO135" s="73">
        <f t="shared" ca="1" si="647"/>
        <v>0</v>
      </c>
      <c r="AP135" s="64"/>
      <c r="AQ135" s="74" t="s">
        <v>74</v>
      </c>
      <c r="AR135" s="73">
        <f t="shared" ca="1" si="648"/>
        <v>0</v>
      </c>
      <c r="AS135" s="64"/>
      <c r="AT135" s="74" t="s">
        <v>74</v>
      </c>
      <c r="AU135" s="73">
        <f t="shared" ca="1" si="649"/>
        <v>0</v>
      </c>
      <c r="AV135" s="64"/>
      <c r="AW135" s="74" t="s">
        <v>74</v>
      </c>
      <c r="AX135" s="73">
        <f t="shared" ca="1" si="650"/>
        <v>0</v>
      </c>
      <c r="AY135" s="64"/>
      <c r="AZ135" s="74" t="s">
        <v>74</v>
      </c>
      <c r="BA135" s="73">
        <f t="shared" ca="1" si="651"/>
        <v>0</v>
      </c>
      <c r="BB135" s="64"/>
      <c r="BC135" s="74" t="s">
        <v>74</v>
      </c>
      <c r="BD135" s="73">
        <f t="shared" ca="1" si="652"/>
        <v>0</v>
      </c>
      <c r="BE135" s="64"/>
      <c r="BF135" s="74" t="s">
        <v>74</v>
      </c>
      <c r="BG135" s="73">
        <f t="shared" ca="1" si="653"/>
        <v>0</v>
      </c>
      <c r="BH135" s="64"/>
      <c r="BI135" s="74" t="s">
        <v>74</v>
      </c>
      <c r="BJ135" s="73">
        <f t="shared" ca="1" si="654"/>
        <v>0</v>
      </c>
      <c r="BK135" s="64"/>
      <c r="BL135" s="74" t="s">
        <v>74</v>
      </c>
      <c r="BM135" s="73">
        <f t="shared" ca="1" si="655"/>
        <v>0</v>
      </c>
      <c r="BN135" s="64"/>
      <c r="BO135" s="74" t="s">
        <v>74</v>
      </c>
      <c r="BP135" s="73">
        <f t="shared" ca="1" si="656"/>
        <v>0</v>
      </c>
      <c r="BQ135" s="64"/>
      <c r="BR135" s="74" t="s">
        <v>74</v>
      </c>
      <c r="BS135" s="73">
        <f t="shared" ca="1" si="657"/>
        <v>0</v>
      </c>
      <c r="BT135" s="64"/>
      <c r="BU135" s="74" t="s">
        <v>74</v>
      </c>
      <c r="BV135" s="73">
        <f t="shared" ca="1" si="658"/>
        <v>0</v>
      </c>
      <c r="BW135" s="64"/>
      <c r="BX135" s="74" t="s">
        <v>74</v>
      </c>
      <c r="BY135" s="73">
        <f t="shared" ca="1" si="659"/>
        <v>0</v>
      </c>
      <c r="BZ135" s="64"/>
      <c r="CA135" s="74" t="s">
        <v>74</v>
      </c>
      <c r="CB135" s="73">
        <f t="shared" ca="1" si="660"/>
        <v>0</v>
      </c>
      <c r="CC135" s="64"/>
      <c r="CD135" s="74" t="s">
        <v>74</v>
      </c>
      <c r="CE135" s="73">
        <f t="shared" ca="1" si="661"/>
        <v>0</v>
      </c>
      <c r="CF135" s="64"/>
      <c r="CG135" s="74" t="s">
        <v>74</v>
      </c>
      <c r="CH135" s="73">
        <f t="shared" ca="1" si="662"/>
        <v>0</v>
      </c>
      <c r="CI135" s="64"/>
      <c r="CJ135" s="74" t="s">
        <v>74</v>
      </c>
      <c r="CK135" s="73">
        <f t="shared" ca="1" si="663"/>
        <v>0</v>
      </c>
      <c r="CL135" s="64"/>
      <c r="CM135" s="74" t="s">
        <v>74</v>
      </c>
      <c r="CN135" s="73">
        <f t="shared" ca="1" si="664"/>
        <v>0</v>
      </c>
      <c r="CO135" s="64"/>
      <c r="CP135" s="74" t="s">
        <v>74</v>
      </c>
      <c r="CQ135" s="73">
        <f t="shared" ca="1" si="665"/>
        <v>0</v>
      </c>
      <c r="CR135" s="64"/>
      <c r="CS135" s="74" t="s">
        <v>74</v>
      </c>
      <c r="CT135" s="73">
        <f t="shared" ca="1" si="666"/>
        <v>0</v>
      </c>
      <c r="CU135" s="64"/>
      <c r="CV135" s="74" t="s">
        <v>74</v>
      </c>
      <c r="CW135" s="73">
        <f t="shared" ca="1" si="667"/>
        <v>0</v>
      </c>
      <c r="CX135" s="64"/>
      <c r="CY135" s="74" t="s">
        <v>74</v>
      </c>
      <c r="CZ135" s="73">
        <f t="shared" ca="1" si="668"/>
        <v>0</v>
      </c>
      <c r="DA135" s="64"/>
      <c r="DB135" s="74" t="s">
        <v>74</v>
      </c>
      <c r="DC135" s="73">
        <f t="shared" ca="1" si="669"/>
        <v>0</v>
      </c>
      <c r="DD135" s="64"/>
      <c r="DE135" s="74" t="s">
        <v>74</v>
      </c>
      <c r="DF135" s="73">
        <f t="shared" ca="1" si="670"/>
        <v>0</v>
      </c>
      <c r="DG135" s="64"/>
      <c r="DH135" s="74" t="s">
        <v>74</v>
      </c>
      <c r="DI135" s="73">
        <f t="shared" ca="1" si="671"/>
        <v>0</v>
      </c>
      <c r="DJ135" s="64"/>
      <c r="DK135" s="74" t="s">
        <v>74</v>
      </c>
      <c r="DL135" s="73">
        <f t="shared" ca="1" si="672"/>
        <v>0</v>
      </c>
      <c r="DM135" s="64"/>
      <c r="DN135" s="795" t="s">
        <v>74</v>
      </c>
      <c r="DO135" s="73">
        <f t="shared" ca="1" si="673"/>
        <v>0</v>
      </c>
      <c r="DP135" s="64"/>
      <c r="DQ135" s="795" t="s">
        <v>74</v>
      </c>
      <c r="DR135" s="73">
        <f t="shared" ca="1" si="674"/>
        <v>0</v>
      </c>
      <c r="DS135" s="64"/>
      <c r="DT135" s="74" t="s">
        <v>74</v>
      </c>
      <c r="DU135" s="73">
        <f t="shared" ca="1" si="675"/>
        <v>0</v>
      </c>
      <c r="DV135" s="64"/>
      <c r="DW135" s="74" t="s">
        <v>74</v>
      </c>
      <c r="DX135" s="73">
        <f t="shared" ca="1" si="676"/>
        <v>0</v>
      </c>
      <c r="DY135" s="64"/>
      <c r="DZ135" s="74" t="s">
        <v>74</v>
      </c>
      <c r="EA135" s="73">
        <f t="shared" ca="1" si="677"/>
        <v>0</v>
      </c>
      <c r="EB135" s="64"/>
      <c r="EC135" s="74" t="s">
        <v>74</v>
      </c>
      <c r="ED135" s="73">
        <f t="shared" ca="1" si="678"/>
        <v>0</v>
      </c>
      <c r="EE135" s="64"/>
      <c r="EF135" s="74" t="s">
        <v>1634</v>
      </c>
      <c r="EG135" s="73">
        <f t="shared" ca="1" si="679"/>
        <v>0</v>
      </c>
      <c r="EH135" s="64"/>
      <c r="EI135" s="74" t="s">
        <v>74</v>
      </c>
      <c r="EJ135" s="73">
        <f t="shared" ca="1" si="680"/>
        <v>0</v>
      </c>
      <c r="EK135" s="64"/>
      <c r="EL135" s="74"/>
      <c r="EM135" s="73">
        <f t="shared" ca="1" si="681"/>
        <v>0</v>
      </c>
      <c r="EN135" s="64"/>
      <c r="EO135" s="74"/>
      <c r="EP135" s="73">
        <f t="shared" ca="1" si="682"/>
        <v>0</v>
      </c>
      <c r="EQ135" s="64"/>
      <c r="ER135" s="74"/>
      <c r="ES135" s="73">
        <f t="shared" ca="1" si="683"/>
        <v>0</v>
      </c>
      <c r="ET135" s="64"/>
      <c r="EU135" s="74"/>
      <c r="EV135" s="73">
        <f t="shared" ca="1" si="684"/>
        <v>0</v>
      </c>
      <c r="EW135" s="64"/>
      <c r="EX135" s="74"/>
      <c r="EY135" s="73">
        <f t="shared" ca="1" si="685"/>
        <v>0</v>
      </c>
      <c r="EZ135" s="64"/>
      <c r="FA135" s="74"/>
      <c r="FB135" s="73">
        <f t="shared" ca="1" si="686"/>
        <v>0</v>
      </c>
      <c r="FC135" s="64"/>
      <c r="FD135" s="74"/>
      <c r="FE135" s="73">
        <f t="shared" ca="1" si="687"/>
        <v>0</v>
      </c>
      <c r="FF135" s="64"/>
      <c r="FG135" s="74"/>
      <c r="FH135" s="73">
        <f t="shared" ca="1" si="688"/>
        <v>0</v>
      </c>
      <c r="FI135" s="64"/>
      <c r="FJ135" s="74"/>
      <c r="FK135" s="73">
        <f t="shared" ca="1" si="689"/>
        <v>0</v>
      </c>
      <c r="FL135" s="64"/>
      <c r="FM135" s="64"/>
    </row>
    <row r="136" spans="1:169">
      <c r="A136" s="49"/>
      <c r="B136" s="49"/>
      <c r="C136" s="49"/>
      <c r="D136" s="49"/>
      <c r="E136" s="65"/>
      <c r="F136" s="127">
        <f t="shared" si="690"/>
        <v>3</v>
      </c>
      <c r="G136" s="445">
        <f ca="1">VLOOKUP(H136,Equipos!$Q$1:$R$25,2,0)</f>
        <v>19</v>
      </c>
      <c r="H136" s="447" t="str">
        <f>Idiomas!$D$137</f>
        <v>CLASIFICADOS PARA DIECISEISAVOS</v>
      </c>
      <c r="I136" s="50"/>
      <c r="J136" s="849"/>
      <c r="K136" s="56" t="str">
        <f>Idiomas!$D$198&amp;"-"&amp;ROWS($L$130:L136)</f>
        <v>Dieciseisavofinalista-7</v>
      </c>
      <c r="L136" s="53"/>
      <c r="M136" s="55" t="str">
        <f ca="1">WORLDCUP!AA107</f>
        <v>1A</v>
      </c>
      <c r="N136" s="25"/>
      <c r="O136" s="25"/>
      <c r="P136" s="25"/>
      <c r="Q136" s="25"/>
      <c r="R136" s="110"/>
      <c r="S136" s="74" t="s">
        <v>1265</v>
      </c>
      <c r="T136" s="73">
        <f t="shared" ca="1" si="640"/>
        <v>0</v>
      </c>
      <c r="U136" s="64"/>
      <c r="V136" s="74" t="s">
        <v>1265</v>
      </c>
      <c r="W136" s="73">
        <f t="shared" ca="1" si="641"/>
        <v>0</v>
      </c>
      <c r="X136" s="64"/>
      <c r="Y136" s="74" t="s">
        <v>1265</v>
      </c>
      <c r="Z136" s="73">
        <f t="shared" ca="1" si="642"/>
        <v>0</v>
      </c>
      <c r="AA136" s="64"/>
      <c r="AB136" s="74" t="s">
        <v>1265</v>
      </c>
      <c r="AC136" s="73">
        <f t="shared" ca="1" si="643"/>
        <v>0</v>
      </c>
      <c r="AD136" s="64"/>
      <c r="AE136" s="74" t="s">
        <v>1265</v>
      </c>
      <c r="AF136" s="73">
        <f t="shared" ca="1" si="644"/>
        <v>0</v>
      </c>
      <c r="AG136" s="64"/>
      <c r="AH136" s="74" t="s">
        <v>1265</v>
      </c>
      <c r="AI136" s="73">
        <f t="shared" ca="1" si="645"/>
        <v>0</v>
      </c>
      <c r="AJ136" s="64"/>
      <c r="AK136" s="74" t="s">
        <v>1265</v>
      </c>
      <c r="AL136" s="73">
        <f t="shared" ca="1" si="646"/>
        <v>0</v>
      </c>
      <c r="AM136" s="64"/>
      <c r="AN136" s="74" t="s">
        <v>1265</v>
      </c>
      <c r="AO136" s="73">
        <f t="shared" ca="1" si="647"/>
        <v>0</v>
      </c>
      <c r="AP136" s="64"/>
      <c r="AQ136" s="74" t="s">
        <v>1265</v>
      </c>
      <c r="AR136" s="73">
        <f t="shared" ca="1" si="648"/>
        <v>0</v>
      </c>
      <c r="AS136" s="64"/>
      <c r="AT136" s="74" t="s">
        <v>1265</v>
      </c>
      <c r="AU136" s="73">
        <f t="shared" ca="1" si="649"/>
        <v>0</v>
      </c>
      <c r="AV136" s="64"/>
      <c r="AW136" s="74" t="s">
        <v>1265</v>
      </c>
      <c r="AX136" s="73">
        <f t="shared" ca="1" si="650"/>
        <v>0</v>
      </c>
      <c r="AY136" s="64"/>
      <c r="AZ136" s="74" t="s">
        <v>1265</v>
      </c>
      <c r="BA136" s="73">
        <f t="shared" ca="1" si="651"/>
        <v>0</v>
      </c>
      <c r="BB136" s="64"/>
      <c r="BC136" s="74" t="s">
        <v>1260</v>
      </c>
      <c r="BD136" s="73">
        <f t="shared" ca="1" si="652"/>
        <v>0</v>
      </c>
      <c r="BE136" s="64"/>
      <c r="BF136" s="74" t="s">
        <v>1265</v>
      </c>
      <c r="BG136" s="73">
        <f t="shared" ca="1" si="653"/>
        <v>0</v>
      </c>
      <c r="BH136" s="64"/>
      <c r="BI136" s="74" t="s">
        <v>1265</v>
      </c>
      <c r="BJ136" s="73">
        <f t="shared" ca="1" si="654"/>
        <v>0</v>
      </c>
      <c r="BK136" s="64"/>
      <c r="BL136" s="74" t="s">
        <v>1265</v>
      </c>
      <c r="BM136" s="73">
        <f t="shared" ca="1" si="655"/>
        <v>0</v>
      </c>
      <c r="BN136" s="64"/>
      <c r="BO136" s="74" t="s">
        <v>1265</v>
      </c>
      <c r="BP136" s="73">
        <f t="shared" ca="1" si="656"/>
        <v>0</v>
      </c>
      <c r="BQ136" s="64"/>
      <c r="BR136" s="74" t="s">
        <v>1265</v>
      </c>
      <c r="BS136" s="73">
        <f t="shared" ca="1" si="657"/>
        <v>0</v>
      </c>
      <c r="BT136" s="64"/>
      <c r="BU136" s="74" t="s">
        <v>1260</v>
      </c>
      <c r="BV136" s="73">
        <f t="shared" ca="1" si="658"/>
        <v>0</v>
      </c>
      <c r="BW136" s="64"/>
      <c r="BX136" s="74" t="s">
        <v>1265</v>
      </c>
      <c r="BY136" s="73">
        <f t="shared" ca="1" si="659"/>
        <v>0</v>
      </c>
      <c r="BZ136" s="64"/>
      <c r="CA136" s="74" t="s">
        <v>1260</v>
      </c>
      <c r="CB136" s="73">
        <f t="shared" ca="1" si="660"/>
        <v>0</v>
      </c>
      <c r="CC136" s="64"/>
      <c r="CD136" s="74" t="s">
        <v>1265</v>
      </c>
      <c r="CE136" s="73">
        <f t="shared" ca="1" si="661"/>
        <v>0</v>
      </c>
      <c r="CF136" s="64"/>
      <c r="CG136" s="74" t="s">
        <v>1265</v>
      </c>
      <c r="CH136" s="73">
        <f t="shared" ca="1" si="662"/>
        <v>0</v>
      </c>
      <c r="CI136" s="64"/>
      <c r="CJ136" s="74" t="s">
        <v>1265</v>
      </c>
      <c r="CK136" s="73">
        <f t="shared" ca="1" si="663"/>
        <v>0</v>
      </c>
      <c r="CL136" s="64"/>
      <c r="CM136" s="74" t="s">
        <v>1265</v>
      </c>
      <c r="CN136" s="73">
        <f t="shared" ca="1" si="664"/>
        <v>0</v>
      </c>
      <c r="CO136" s="64"/>
      <c r="CP136" s="74" t="s">
        <v>1265</v>
      </c>
      <c r="CQ136" s="73">
        <f t="shared" ca="1" si="665"/>
        <v>0</v>
      </c>
      <c r="CR136" s="64"/>
      <c r="CS136" s="74" t="s">
        <v>1265</v>
      </c>
      <c r="CT136" s="73">
        <f t="shared" ca="1" si="666"/>
        <v>0</v>
      </c>
      <c r="CU136" s="64"/>
      <c r="CV136" s="74" t="s">
        <v>1265</v>
      </c>
      <c r="CW136" s="73">
        <f t="shared" ca="1" si="667"/>
        <v>0</v>
      </c>
      <c r="CX136" s="64"/>
      <c r="CY136" s="74" t="s">
        <v>1265</v>
      </c>
      <c r="CZ136" s="73">
        <f t="shared" ca="1" si="668"/>
        <v>0</v>
      </c>
      <c r="DA136" s="64"/>
      <c r="DB136" s="74" t="s">
        <v>1265</v>
      </c>
      <c r="DC136" s="73">
        <f t="shared" ca="1" si="669"/>
        <v>0</v>
      </c>
      <c r="DD136" s="64"/>
      <c r="DE136" s="74" t="s">
        <v>1265</v>
      </c>
      <c r="DF136" s="73">
        <f t="shared" ca="1" si="670"/>
        <v>0</v>
      </c>
      <c r="DG136" s="64"/>
      <c r="DH136" s="74" t="s">
        <v>1260</v>
      </c>
      <c r="DI136" s="73">
        <f t="shared" ca="1" si="671"/>
        <v>0</v>
      </c>
      <c r="DJ136" s="64"/>
      <c r="DK136" s="74" t="s">
        <v>1843</v>
      </c>
      <c r="DL136" s="73">
        <f t="shared" ca="1" si="672"/>
        <v>0</v>
      </c>
      <c r="DM136" s="64"/>
      <c r="DN136" s="795" t="s">
        <v>1265</v>
      </c>
      <c r="DO136" s="73">
        <f t="shared" ca="1" si="673"/>
        <v>0</v>
      </c>
      <c r="DP136" s="64"/>
      <c r="DQ136" s="795" t="s">
        <v>1265</v>
      </c>
      <c r="DR136" s="73">
        <f t="shared" ca="1" si="674"/>
        <v>0</v>
      </c>
      <c r="DS136" s="64"/>
      <c r="DT136" s="74" t="s">
        <v>1265</v>
      </c>
      <c r="DU136" s="73">
        <f t="shared" ca="1" si="675"/>
        <v>0</v>
      </c>
      <c r="DV136" s="64"/>
      <c r="DW136" s="74" t="s">
        <v>1265</v>
      </c>
      <c r="DX136" s="73">
        <f t="shared" ca="1" si="676"/>
        <v>0</v>
      </c>
      <c r="DY136" s="64"/>
      <c r="DZ136" s="74" t="s">
        <v>1265</v>
      </c>
      <c r="EA136" s="73">
        <f t="shared" ca="1" si="677"/>
        <v>0</v>
      </c>
      <c r="EB136" s="64"/>
      <c r="EC136" s="74" t="s">
        <v>1265</v>
      </c>
      <c r="ED136" s="73">
        <f t="shared" ca="1" si="678"/>
        <v>0</v>
      </c>
      <c r="EE136" s="64"/>
      <c r="EF136" s="74" t="s">
        <v>1265</v>
      </c>
      <c r="EG136" s="73">
        <f t="shared" ca="1" si="679"/>
        <v>0</v>
      </c>
      <c r="EH136" s="64"/>
      <c r="EI136" s="74" t="s">
        <v>1265</v>
      </c>
      <c r="EJ136" s="73">
        <f t="shared" ca="1" si="680"/>
        <v>0</v>
      </c>
      <c r="EK136" s="64"/>
      <c r="EL136" s="74"/>
      <c r="EM136" s="73">
        <f t="shared" ca="1" si="681"/>
        <v>0</v>
      </c>
      <c r="EN136" s="64"/>
      <c r="EO136" s="74"/>
      <c r="EP136" s="73">
        <f t="shared" ca="1" si="682"/>
        <v>0</v>
      </c>
      <c r="EQ136" s="64"/>
      <c r="ER136" s="74"/>
      <c r="ES136" s="73">
        <f t="shared" ca="1" si="683"/>
        <v>0</v>
      </c>
      <c r="ET136" s="64"/>
      <c r="EU136" s="74"/>
      <c r="EV136" s="73">
        <f t="shared" ca="1" si="684"/>
        <v>0</v>
      </c>
      <c r="EW136" s="64"/>
      <c r="EX136" s="74"/>
      <c r="EY136" s="73">
        <f t="shared" ca="1" si="685"/>
        <v>0</v>
      </c>
      <c r="EZ136" s="64"/>
      <c r="FA136" s="74"/>
      <c r="FB136" s="73">
        <f t="shared" ca="1" si="686"/>
        <v>0</v>
      </c>
      <c r="FC136" s="64"/>
      <c r="FD136" s="74"/>
      <c r="FE136" s="73">
        <f t="shared" ca="1" si="687"/>
        <v>0</v>
      </c>
      <c r="FF136" s="64"/>
      <c r="FG136" s="74"/>
      <c r="FH136" s="73">
        <f t="shared" ca="1" si="688"/>
        <v>0</v>
      </c>
      <c r="FI136" s="64"/>
      <c r="FJ136" s="74"/>
      <c r="FK136" s="73">
        <f t="shared" ca="1" si="689"/>
        <v>0</v>
      </c>
      <c r="FL136" s="64"/>
      <c r="FM136" s="64"/>
    </row>
    <row r="137" spans="1:169">
      <c r="A137" s="49"/>
      <c r="B137" s="49"/>
      <c r="C137" s="49"/>
      <c r="D137" s="49"/>
      <c r="E137" s="65"/>
      <c r="F137" s="127">
        <f t="shared" si="690"/>
        <v>3</v>
      </c>
      <c r="G137" s="445">
        <f ca="1">VLOOKUP(H137,Equipos!$Q$1:$R$25,2,0)</f>
        <v>19</v>
      </c>
      <c r="H137" s="447" t="str">
        <f>Idiomas!$D$137</f>
        <v>CLASIFICADOS PARA DIECISEISAVOS</v>
      </c>
      <c r="I137" s="50"/>
      <c r="J137" s="849"/>
      <c r="K137" s="56" t="str">
        <f>Idiomas!$D$198&amp;"-"&amp;ROWS($L$130:L137)</f>
        <v>Dieciseisavofinalista-8</v>
      </c>
      <c r="L137" s="53"/>
      <c r="M137" s="55" t="str">
        <f ca="1">WORLDCUP!AA108</f>
        <v>1L</v>
      </c>
      <c r="N137" s="25"/>
      <c r="O137" s="25"/>
      <c r="P137" s="25"/>
      <c r="Q137" s="25"/>
      <c r="R137" s="110"/>
      <c r="S137" s="74" t="s">
        <v>76</v>
      </c>
      <c r="T137" s="73">
        <f t="shared" ca="1" si="640"/>
        <v>0</v>
      </c>
      <c r="U137" s="64"/>
      <c r="V137" s="74" t="s">
        <v>76</v>
      </c>
      <c r="W137" s="73">
        <f t="shared" ca="1" si="641"/>
        <v>0</v>
      </c>
      <c r="X137" s="64"/>
      <c r="Y137" s="74" t="s">
        <v>76</v>
      </c>
      <c r="Z137" s="73">
        <f t="shared" ca="1" si="642"/>
        <v>0</v>
      </c>
      <c r="AA137" s="64"/>
      <c r="AB137" s="74" t="s">
        <v>76</v>
      </c>
      <c r="AC137" s="73">
        <f t="shared" ca="1" si="643"/>
        <v>0</v>
      </c>
      <c r="AD137" s="64"/>
      <c r="AE137" s="74" t="s">
        <v>76</v>
      </c>
      <c r="AF137" s="73">
        <f t="shared" ca="1" si="644"/>
        <v>0</v>
      </c>
      <c r="AG137" s="64"/>
      <c r="AH137" s="74" t="s">
        <v>78</v>
      </c>
      <c r="AI137" s="73">
        <f t="shared" ca="1" si="645"/>
        <v>0</v>
      </c>
      <c r="AJ137" s="64"/>
      <c r="AK137" s="74" t="s">
        <v>76</v>
      </c>
      <c r="AL137" s="73">
        <f t="shared" ca="1" si="646"/>
        <v>0</v>
      </c>
      <c r="AM137" s="64"/>
      <c r="AN137" s="74" t="s">
        <v>76</v>
      </c>
      <c r="AO137" s="73">
        <f t="shared" ca="1" si="647"/>
        <v>0</v>
      </c>
      <c r="AP137" s="64"/>
      <c r="AQ137" s="74" t="s">
        <v>76</v>
      </c>
      <c r="AR137" s="73">
        <f t="shared" ca="1" si="648"/>
        <v>0</v>
      </c>
      <c r="AS137" s="64"/>
      <c r="AT137" s="74" t="s">
        <v>76</v>
      </c>
      <c r="AU137" s="73">
        <f t="shared" ca="1" si="649"/>
        <v>0</v>
      </c>
      <c r="AV137" s="64"/>
      <c r="AW137" s="74" t="s">
        <v>76</v>
      </c>
      <c r="AX137" s="73">
        <f t="shared" ca="1" si="650"/>
        <v>0</v>
      </c>
      <c r="AY137" s="64"/>
      <c r="AZ137" s="74" t="s">
        <v>76</v>
      </c>
      <c r="BA137" s="73">
        <f t="shared" ca="1" si="651"/>
        <v>0</v>
      </c>
      <c r="BB137" s="64"/>
      <c r="BC137" s="74" t="s">
        <v>78</v>
      </c>
      <c r="BD137" s="73">
        <f t="shared" ca="1" si="652"/>
        <v>0</v>
      </c>
      <c r="BE137" s="64"/>
      <c r="BF137" s="74" t="s">
        <v>76</v>
      </c>
      <c r="BG137" s="73">
        <f t="shared" ca="1" si="653"/>
        <v>0</v>
      </c>
      <c r="BH137" s="64"/>
      <c r="BI137" s="74" t="s">
        <v>76</v>
      </c>
      <c r="BJ137" s="73">
        <f t="shared" ca="1" si="654"/>
        <v>0</v>
      </c>
      <c r="BK137" s="64"/>
      <c r="BL137" s="74" t="s">
        <v>76</v>
      </c>
      <c r="BM137" s="73">
        <f t="shared" ca="1" si="655"/>
        <v>0</v>
      </c>
      <c r="BN137" s="64"/>
      <c r="BO137" s="74" t="s">
        <v>76</v>
      </c>
      <c r="BP137" s="73">
        <f t="shared" ca="1" si="656"/>
        <v>0</v>
      </c>
      <c r="BQ137" s="64"/>
      <c r="BR137" s="74" t="s">
        <v>76</v>
      </c>
      <c r="BS137" s="73">
        <f t="shared" ca="1" si="657"/>
        <v>0</v>
      </c>
      <c r="BT137" s="64"/>
      <c r="BU137" s="74" t="s">
        <v>76</v>
      </c>
      <c r="BV137" s="73">
        <f t="shared" ca="1" si="658"/>
        <v>0</v>
      </c>
      <c r="BW137" s="64"/>
      <c r="BX137" s="74" t="s">
        <v>76</v>
      </c>
      <c r="BY137" s="73">
        <f t="shared" ca="1" si="659"/>
        <v>0</v>
      </c>
      <c r="BZ137" s="64"/>
      <c r="CA137" s="74" t="s">
        <v>76</v>
      </c>
      <c r="CB137" s="73">
        <f t="shared" ca="1" si="660"/>
        <v>0</v>
      </c>
      <c r="CC137" s="64"/>
      <c r="CD137" s="74" t="s">
        <v>78</v>
      </c>
      <c r="CE137" s="73">
        <f t="shared" ca="1" si="661"/>
        <v>0</v>
      </c>
      <c r="CF137" s="64"/>
      <c r="CG137" s="74" t="s">
        <v>76</v>
      </c>
      <c r="CH137" s="73">
        <f t="shared" ca="1" si="662"/>
        <v>0</v>
      </c>
      <c r="CI137" s="64"/>
      <c r="CJ137" s="74" t="s">
        <v>76</v>
      </c>
      <c r="CK137" s="73">
        <f t="shared" ca="1" si="663"/>
        <v>0</v>
      </c>
      <c r="CL137" s="64"/>
      <c r="CM137" s="74" t="s">
        <v>76</v>
      </c>
      <c r="CN137" s="73">
        <f t="shared" ca="1" si="664"/>
        <v>0</v>
      </c>
      <c r="CO137" s="64"/>
      <c r="CP137" s="74" t="s">
        <v>76</v>
      </c>
      <c r="CQ137" s="73">
        <f t="shared" ca="1" si="665"/>
        <v>0</v>
      </c>
      <c r="CR137" s="64"/>
      <c r="CS137" s="74" t="s">
        <v>76</v>
      </c>
      <c r="CT137" s="73">
        <f t="shared" ca="1" si="666"/>
        <v>0</v>
      </c>
      <c r="CU137" s="64"/>
      <c r="CV137" s="74" t="s">
        <v>76</v>
      </c>
      <c r="CW137" s="73">
        <f t="shared" ca="1" si="667"/>
        <v>0</v>
      </c>
      <c r="CX137" s="64"/>
      <c r="CY137" s="74" t="s">
        <v>76</v>
      </c>
      <c r="CZ137" s="73">
        <f t="shared" ca="1" si="668"/>
        <v>0</v>
      </c>
      <c r="DA137" s="64"/>
      <c r="DB137" s="74" t="s">
        <v>76</v>
      </c>
      <c r="DC137" s="73">
        <f t="shared" ca="1" si="669"/>
        <v>0</v>
      </c>
      <c r="DD137" s="64"/>
      <c r="DE137" s="74" t="s">
        <v>76</v>
      </c>
      <c r="DF137" s="73">
        <f t="shared" ca="1" si="670"/>
        <v>0</v>
      </c>
      <c r="DG137" s="64"/>
      <c r="DH137" s="74" t="s">
        <v>76</v>
      </c>
      <c r="DI137" s="73">
        <f t="shared" ca="1" si="671"/>
        <v>0</v>
      </c>
      <c r="DJ137" s="64"/>
      <c r="DK137" s="74" t="s">
        <v>1551</v>
      </c>
      <c r="DL137" s="73">
        <f t="shared" ca="1" si="672"/>
        <v>0</v>
      </c>
      <c r="DM137" s="64"/>
      <c r="DN137" s="795" t="s">
        <v>76</v>
      </c>
      <c r="DO137" s="73">
        <f t="shared" ca="1" si="673"/>
        <v>0</v>
      </c>
      <c r="DP137" s="64"/>
      <c r="DQ137" s="795" t="s">
        <v>78</v>
      </c>
      <c r="DR137" s="73">
        <f t="shared" ca="1" si="674"/>
        <v>0</v>
      </c>
      <c r="DS137" s="64"/>
      <c r="DT137" s="74" t="s">
        <v>78</v>
      </c>
      <c r="DU137" s="73">
        <f t="shared" ca="1" si="675"/>
        <v>0</v>
      </c>
      <c r="DV137" s="64"/>
      <c r="DW137" s="74" t="s">
        <v>76</v>
      </c>
      <c r="DX137" s="73">
        <f t="shared" ca="1" si="676"/>
        <v>0</v>
      </c>
      <c r="DY137" s="64"/>
      <c r="DZ137" s="74" t="s">
        <v>76</v>
      </c>
      <c r="EA137" s="73">
        <f t="shared" ca="1" si="677"/>
        <v>0</v>
      </c>
      <c r="EB137" s="64"/>
      <c r="EC137" s="74" t="s">
        <v>76</v>
      </c>
      <c r="ED137" s="73">
        <f t="shared" ca="1" si="678"/>
        <v>0</v>
      </c>
      <c r="EE137" s="64"/>
      <c r="EF137" s="74" t="s">
        <v>76</v>
      </c>
      <c r="EG137" s="73">
        <f t="shared" ca="1" si="679"/>
        <v>0</v>
      </c>
      <c r="EH137" s="64"/>
      <c r="EI137" s="74" t="s">
        <v>76</v>
      </c>
      <c r="EJ137" s="73">
        <f t="shared" ca="1" si="680"/>
        <v>0</v>
      </c>
      <c r="EK137" s="64"/>
      <c r="EL137" s="74"/>
      <c r="EM137" s="73">
        <f t="shared" ca="1" si="681"/>
        <v>0</v>
      </c>
      <c r="EN137" s="64"/>
      <c r="EO137" s="74"/>
      <c r="EP137" s="73">
        <f t="shared" ca="1" si="682"/>
        <v>0</v>
      </c>
      <c r="EQ137" s="64"/>
      <c r="ER137" s="74"/>
      <c r="ES137" s="73">
        <f t="shared" ca="1" si="683"/>
        <v>0</v>
      </c>
      <c r="ET137" s="64"/>
      <c r="EU137" s="74"/>
      <c r="EV137" s="73">
        <f t="shared" ca="1" si="684"/>
        <v>0</v>
      </c>
      <c r="EW137" s="64"/>
      <c r="EX137" s="74"/>
      <c r="EY137" s="73">
        <f t="shared" ca="1" si="685"/>
        <v>0</v>
      </c>
      <c r="EZ137" s="64"/>
      <c r="FA137" s="74"/>
      <c r="FB137" s="73">
        <f t="shared" ca="1" si="686"/>
        <v>0</v>
      </c>
      <c r="FC137" s="64"/>
      <c r="FD137" s="74"/>
      <c r="FE137" s="73">
        <f t="shared" ca="1" si="687"/>
        <v>0</v>
      </c>
      <c r="FF137" s="64"/>
      <c r="FG137" s="74"/>
      <c r="FH137" s="73">
        <f t="shared" ca="1" si="688"/>
        <v>0</v>
      </c>
      <c r="FI137" s="64"/>
      <c r="FJ137" s="74"/>
      <c r="FK137" s="73">
        <f t="shared" ca="1" si="689"/>
        <v>0</v>
      </c>
      <c r="FL137" s="64"/>
      <c r="FM137" s="64"/>
    </row>
    <row r="138" spans="1:169">
      <c r="A138" s="49"/>
      <c r="B138" s="49"/>
      <c r="C138" s="49"/>
      <c r="D138" s="49"/>
      <c r="E138" s="65"/>
      <c r="F138" s="127">
        <f t="shared" si="690"/>
        <v>3</v>
      </c>
      <c r="G138" s="445">
        <f ca="1">VLOOKUP(H138,Equipos!$Q$1:$R$25,2,0)</f>
        <v>19</v>
      </c>
      <c r="H138" s="447" t="str">
        <f>Idiomas!$D$137</f>
        <v>CLASIFICADOS PARA DIECISEISAVOS</v>
      </c>
      <c r="I138" s="50"/>
      <c r="J138" s="849"/>
      <c r="K138" s="56" t="str">
        <f>Idiomas!$D$198&amp;"-"&amp;ROWS($L$130:L138)</f>
        <v>Dieciseisavofinalista-9</v>
      </c>
      <c r="L138" s="53"/>
      <c r="M138" s="55" t="str">
        <f ca="1">WORLDCUP!AA109</f>
        <v>1G</v>
      </c>
      <c r="N138" s="25"/>
      <c r="O138" s="25"/>
      <c r="P138" s="25"/>
      <c r="Q138" s="25"/>
      <c r="R138" s="110"/>
      <c r="S138" s="74" t="s">
        <v>110</v>
      </c>
      <c r="T138" s="73">
        <f t="shared" ca="1" si="640"/>
        <v>0</v>
      </c>
      <c r="U138" s="64"/>
      <c r="V138" s="74" t="s">
        <v>110</v>
      </c>
      <c r="W138" s="73">
        <f t="shared" ca="1" si="641"/>
        <v>0</v>
      </c>
      <c r="X138" s="64"/>
      <c r="Y138" s="74" t="s">
        <v>110</v>
      </c>
      <c r="Z138" s="73">
        <f t="shared" ca="1" si="642"/>
        <v>0</v>
      </c>
      <c r="AA138" s="64"/>
      <c r="AB138" s="74" t="s">
        <v>110</v>
      </c>
      <c r="AC138" s="73">
        <f t="shared" ca="1" si="643"/>
        <v>0</v>
      </c>
      <c r="AD138" s="64"/>
      <c r="AE138" s="74" t="s">
        <v>110</v>
      </c>
      <c r="AF138" s="73">
        <f t="shared" ca="1" si="644"/>
        <v>0</v>
      </c>
      <c r="AG138" s="64"/>
      <c r="AH138" s="74" t="s">
        <v>110</v>
      </c>
      <c r="AI138" s="73">
        <f t="shared" ca="1" si="645"/>
        <v>0</v>
      </c>
      <c r="AJ138" s="64"/>
      <c r="AK138" s="74" t="s">
        <v>110</v>
      </c>
      <c r="AL138" s="73">
        <f t="shared" ca="1" si="646"/>
        <v>0</v>
      </c>
      <c r="AM138" s="64"/>
      <c r="AN138" s="74" t="s">
        <v>110</v>
      </c>
      <c r="AO138" s="73">
        <f t="shared" ca="1" si="647"/>
        <v>0</v>
      </c>
      <c r="AP138" s="64"/>
      <c r="AQ138" s="74" t="s">
        <v>110</v>
      </c>
      <c r="AR138" s="73">
        <f t="shared" ca="1" si="648"/>
        <v>0</v>
      </c>
      <c r="AS138" s="64"/>
      <c r="AT138" s="74" t="s">
        <v>110</v>
      </c>
      <c r="AU138" s="73">
        <f t="shared" ca="1" si="649"/>
        <v>0</v>
      </c>
      <c r="AV138" s="64"/>
      <c r="AW138" s="74" t="s">
        <v>110</v>
      </c>
      <c r="AX138" s="73">
        <f t="shared" ca="1" si="650"/>
        <v>0</v>
      </c>
      <c r="AY138" s="64"/>
      <c r="AZ138" s="74" t="s">
        <v>110</v>
      </c>
      <c r="BA138" s="73">
        <f t="shared" ca="1" si="651"/>
        <v>0</v>
      </c>
      <c r="BB138" s="64"/>
      <c r="BC138" s="74" t="s">
        <v>110</v>
      </c>
      <c r="BD138" s="73">
        <f t="shared" ca="1" si="652"/>
        <v>0</v>
      </c>
      <c r="BE138" s="64"/>
      <c r="BF138" s="74" t="s">
        <v>110</v>
      </c>
      <c r="BG138" s="73">
        <f t="shared" ca="1" si="653"/>
        <v>0</v>
      </c>
      <c r="BH138" s="64"/>
      <c r="BI138" s="74" t="s">
        <v>110</v>
      </c>
      <c r="BJ138" s="73">
        <f t="shared" ca="1" si="654"/>
        <v>0</v>
      </c>
      <c r="BK138" s="64"/>
      <c r="BL138" s="74" t="s">
        <v>110</v>
      </c>
      <c r="BM138" s="73">
        <f t="shared" ca="1" si="655"/>
        <v>0</v>
      </c>
      <c r="BN138" s="64"/>
      <c r="BO138" s="74" t="s">
        <v>110</v>
      </c>
      <c r="BP138" s="73">
        <f t="shared" ca="1" si="656"/>
        <v>0</v>
      </c>
      <c r="BQ138" s="64"/>
      <c r="BR138" s="74" t="s">
        <v>110</v>
      </c>
      <c r="BS138" s="73">
        <f t="shared" ca="1" si="657"/>
        <v>0</v>
      </c>
      <c r="BT138" s="64"/>
      <c r="BU138" s="74" t="s">
        <v>110</v>
      </c>
      <c r="BV138" s="73">
        <f t="shared" ca="1" si="658"/>
        <v>0</v>
      </c>
      <c r="BW138" s="64"/>
      <c r="BX138" s="74" t="s">
        <v>1550</v>
      </c>
      <c r="BY138" s="73">
        <f t="shared" ca="1" si="659"/>
        <v>0</v>
      </c>
      <c r="BZ138" s="64"/>
      <c r="CA138" s="74" t="s">
        <v>110</v>
      </c>
      <c r="CB138" s="73">
        <f t="shared" ca="1" si="660"/>
        <v>0</v>
      </c>
      <c r="CC138" s="64"/>
      <c r="CD138" s="74" t="s">
        <v>110</v>
      </c>
      <c r="CE138" s="73">
        <f t="shared" ca="1" si="661"/>
        <v>0</v>
      </c>
      <c r="CF138" s="64"/>
      <c r="CG138" s="74" t="s">
        <v>110</v>
      </c>
      <c r="CH138" s="73">
        <f t="shared" ca="1" si="662"/>
        <v>0</v>
      </c>
      <c r="CI138" s="64"/>
      <c r="CJ138" s="74" t="s">
        <v>110</v>
      </c>
      <c r="CK138" s="73">
        <f t="shared" ca="1" si="663"/>
        <v>0</v>
      </c>
      <c r="CL138" s="64"/>
      <c r="CM138" s="74" t="s">
        <v>110</v>
      </c>
      <c r="CN138" s="73">
        <f t="shared" ca="1" si="664"/>
        <v>0</v>
      </c>
      <c r="CO138" s="64"/>
      <c r="CP138" s="74" t="s">
        <v>110</v>
      </c>
      <c r="CQ138" s="73">
        <f t="shared" ca="1" si="665"/>
        <v>0</v>
      </c>
      <c r="CR138" s="64"/>
      <c r="CS138" s="74" t="s">
        <v>110</v>
      </c>
      <c r="CT138" s="73">
        <f t="shared" ca="1" si="666"/>
        <v>0</v>
      </c>
      <c r="CU138" s="64"/>
      <c r="CV138" s="74" t="s">
        <v>110</v>
      </c>
      <c r="CW138" s="73">
        <f t="shared" ca="1" si="667"/>
        <v>0</v>
      </c>
      <c r="CX138" s="64"/>
      <c r="CY138" s="74" t="s">
        <v>110</v>
      </c>
      <c r="CZ138" s="73">
        <f t="shared" ca="1" si="668"/>
        <v>0</v>
      </c>
      <c r="DA138" s="64"/>
      <c r="DB138" s="74" t="s">
        <v>110</v>
      </c>
      <c r="DC138" s="73">
        <f t="shared" ca="1" si="669"/>
        <v>0</v>
      </c>
      <c r="DD138" s="64"/>
      <c r="DE138" s="74" t="s">
        <v>110</v>
      </c>
      <c r="DF138" s="73">
        <f t="shared" ca="1" si="670"/>
        <v>0</v>
      </c>
      <c r="DG138" s="64"/>
      <c r="DH138" s="74" t="s">
        <v>110</v>
      </c>
      <c r="DI138" s="73">
        <f t="shared" ca="1" si="671"/>
        <v>0</v>
      </c>
      <c r="DJ138" s="64"/>
      <c r="DK138" s="74" t="s">
        <v>110</v>
      </c>
      <c r="DL138" s="73">
        <f t="shared" ca="1" si="672"/>
        <v>0</v>
      </c>
      <c r="DM138" s="64"/>
      <c r="DN138" s="795" t="s">
        <v>110</v>
      </c>
      <c r="DO138" s="73">
        <f t="shared" ca="1" si="673"/>
        <v>0</v>
      </c>
      <c r="DP138" s="64"/>
      <c r="DQ138" s="795" t="s">
        <v>1550</v>
      </c>
      <c r="DR138" s="73">
        <f t="shared" ca="1" si="674"/>
        <v>0</v>
      </c>
      <c r="DS138" s="64"/>
      <c r="DT138" s="74" t="s">
        <v>110</v>
      </c>
      <c r="DU138" s="73">
        <f t="shared" ca="1" si="675"/>
        <v>0</v>
      </c>
      <c r="DV138" s="64"/>
      <c r="DW138" s="74" t="s">
        <v>110</v>
      </c>
      <c r="DX138" s="73">
        <f t="shared" ca="1" si="676"/>
        <v>0</v>
      </c>
      <c r="DY138" s="64"/>
      <c r="DZ138" s="74" t="s">
        <v>110</v>
      </c>
      <c r="EA138" s="73">
        <f t="shared" ca="1" si="677"/>
        <v>0</v>
      </c>
      <c r="EB138" s="64"/>
      <c r="EC138" s="74" t="s">
        <v>110</v>
      </c>
      <c r="ED138" s="73">
        <f t="shared" ca="1" si="678"/>
        <v>0</v>
      </c>
      <c r="EE138" s="64"/>
      <c r="EF138" s="74" t="s">
        <v>110</v>
      </c>
      <c r="EG138" s="73">
        <f t="shared" ca="1" si="679"/>
        <v>0</v>
      </c>
      <c r="EH138" s="64"/>
      <c r="EI138" s="74" t="s">
        <v>110</v>
      </c>
      <c r="EJ138" s="73">
        <f t="shared" ca="1" si="680"/>
        <v>0</v>
      </c>
      <c r="EK138" s="64"/>
      <c r="EL138" s="74"/>
      <c r="EM138" s="73">
        <f t="shared" ca="1" si="681"/>
        <v>0</v>
      </c>
      <c r="EN138" s="64"/>
      <c r="EO138" s="74"/>
      <c r="EP138" s="73">
        <f t="shared" ca="1" si="682"/>
        <v>0</v>
      </c>
      <c r="EQ138" s="64"/>
      <c r="ER138" s="74"/>
      <c r="ES138" s="73">
        <f t="shared" ca="1" si="683"/>
        <v>0</v>
      </c>
      <c r="ET138" s="64"/>
      <c r="EU138" s="74"/>
      <c r="EV138" s="73">
        <f t="shared" ca="1" si="684"/>
        <v>0</v>
      </c>
      <c r="EW138" s="64"/>
      <c r="EX138" s="74"/>
      <c r="EY138" s="73">
        <f t="shared" ca="1" si="685"/>
        <v>0</v>
      </c>
      <c r="EZ138" s="64"/>
      <c r="FA138" s="74"/>
      <c r="FB138" s="73">
        <f t="shared" ca="1" si="686"/>
        <v>0</v>
      </c>
      <c r="FC138" s="64"/>
      <c r="FD138" s="74"/>
      <c r="FE138" s="73">
        <f t="shared" ca="1" si="687"/>
        <v>0</v>
      </c>
      <c r="FF138" s="64"/>
      <c r="FG138" s="74"/>
      <c r="FH138" s="73">
        <f t="shared" ca="1" si="688"/>
        <v>0</v>
      </c>
      <c r="FI138" s="64"/>
      <c r="FJ138" s="74"/>
      <c r="FK138" s="73">
        <f t="shared" ca="1" si="689"/>
        <v>0</v>
      </c>
      <c r="FL138" s="64"/>
      <c r="FM138" s="64"/>
    </row>
    <row r="139" spans="1:169">
      <c r="A139" s="49"/>
      <c r="B139" s="49"/>
      <c r="C139" s="49"/>
      <c r="D139" s="49"/>
      <c r="E139" s="65"/>
      <c r="F139" s="127">
        <f t="shared" si="690"/>
        <v>3</v>
      </c>
      <c r="G139" s="445">
        <f ca="1">VLOOKUP(H139,Equipos!$Q$1:$R$25,2,0)</f>
        <v>19</v>
      </c>
      <c r="H139" s="447" t="str">
        <f>Idiomas!$D$137</f>
        <v>CLASIFICADOS PARA DIECISEISAVOS</v>
      </c>
      <c r="I139" s="50"/>
      <c r="J139" s="849"/>
      <c r="K139" s="56" t="str">
        <f>Idiomas!$D$198&amp;"-"&amp;ROWS($L$130:L139)</f>
        <v>Dieciseisavofinalista-10</v>
      </c>
      <c r="L139" s="53"/>
      <c r="M139" s="55" t="str">
        <f ca="1">WORLDCUP!AA110</f>
        <v>1D</v>
      </c>
      <c r="N139" s="25"/>
      <c r="O139" s="25"/>
      <c r="P139" s="25"/>
      <c r="Q139" s="25"/>
      <c r="R139" s="110"/>
      <c r="S139" s="74" t="s">
        <v>497</v>
      </c>
      <c r="T139" s="73">
        <f t="shared" ca="1" si="640"/>
        <v>0</v>
      </c>
      <c r="U139" s="64"/>
      <c r="V139" s="74" t="s">
        <v>1835</v>
      </c>
      <c r="W139" s="73">
        <f t="shared" ca="1" si="641"/>
        <v>0</v>
      </c>
      <c r="X139" s="64"/>
      <c r="Y139" s="74" t="s">
        <v>1835</v>
      </c>
      <c r="Z139" s="73">
        <f t="shared" ca="1" si="642"/>
        <v>0</v>
      </c>
      <c r="AA139" s="64"/>
      <c r="AB139" s="74" t="s">
        <v>1835</v>
      </c>
      <c r="AC139" s="73">
        <f t="shared" ca="1" si="643"/>
        <v>0</v>
      </c>
      <c r="AD139" s="64"/>
      <c r="AE139" s="74" t="s">
        <v>497</v>
      </c>
      <c r="AF139" s="73">
        <f t="shared" ca="1" si="644"/>
        <v>0</v>
      </c>
      <c r="AG139" s="64"/>
      <c r="AH139" s="74" t="s">
        <v>497</v>
      </c>
      <c r="AI139" s="73">
        <f t="shared" ca="1" si="645"/>
        <v>0</v>
      </c>
      <c r="AJ139" s="64"/>
      <c r="AK139" s="74" t="s">
        <v>1835</v>
      </c>
      <c r="AL139" s="73">
        <f t="shared" ca="1" si="646"/>
        <v>0</v>
      </c>
      <c r="AM139" s="64"/>
      <c r="AN139" s="74" t="s">
        <v>1835</v>
      </c>
      <c r="AO139" s="73">
        <f t="shared" ca="1" si="647"/>
        <v>0</v>
      </c>
      <c r="AP139" s="64"/>
      <c r="AQ139" s="74" t="s">
        <v>497</v>
      </c>
      <c r="AR139" s="73">
        <f t="shared" ca="1" si="648"/>
        <v>0</v>
      </c>
      <c r="AS139" s="64"/>
      <c r="AT139" s="74" t="s">
        <v>1835</v>
      </c>
      <c r="AU139" s="73">
        <f t="shared" ca="1" si="649"/>
        <v>0</v>
      </c>
      <c r="AV139" s="64"/>
      <c r="AW139" s="74" t="s">
        <v>1835</v>
      </c>
      <c r="AX139" s="73">
        <f t="shared" ca="1" si="650"/>
        <v>0</v>
      </c>
      <c r="AY139" s="64"/>
      <c r="AZ139" s="74" t="s">
        <v>1835</v>
      </c>
      <c r="BA139" s="73">
        <f t="shared" ca="1" si="651"/>
        <v>0</v>
      </c>
      <c r="BB139" s="64"/>
      <c r="BC139" s="74" t="s">
        <v>1835</v>
      </c>
      <c r="BD139" s="73">
        <f t="shared" ca="1" si="652"/>
        <v>0</v>
      </c>
      <c r="BE139" s="64"/>
      <c r="BF139" s="74" t="s">
        <v>497</v>
      </c>
      <c r="BG139" s="73">
        <f t="shared" ca="1" si="653"/>
        <v>0</v>
      </c>
      <c r="BH139" s="64"/>
      <c r="BI139" s="74" t="s">
        <v>1835</v>
      </c>
      <c r="BJ139" s="73">
        <f t="shared" ca="1" si="654"/>
        <v>0</v>
      </c>
      <c r="BK139" s="64"/>
      <c r="BL139" s="74" t="s">
        <v>497</v>
      </c>
      <c r="BM139" s="73">
        <f t="shared" ca="1" si="655"/>
        <v>0</v>
      </c>
      <c r="BN139" s="64"/>
      <c r="BO139" s="74" t="s">
        <v>1835</v>
      </c>
      <c r="BP139" s="73">
        <f t="shared" ca="1" si="656"/>
        <v>0</v>
      </c>
      <c r="BQ139" s="64"/>
      <c r="BR139" s="74" t="s">
        <v>1835</v>
      </c>
      <c r="BS139" s="73">
        <f t="shared" ca="1" si="657"/>
        <v>0</v>
      </c>
      <c r="BT139" s="64"/>
      <c r="BU139" s="74" t="s">
        <v>1835</v>
      </c>
      <c r="BV139" s="73">
        <f t="shared" ca="1" si="658"/>
        <v>0</v>
      </c>
      <c r="BW139" s="64"/>
      <c r="BX139" s="74" t="s">
        <v>1835</v>
      </c>
      <c r="BY139" s="73">
        <f t="shared" ca="1" si="659"/>
        <v>0</v>
      </c>
      <c r="BZ139" s="64"/>
      <c r="CA139" s="74" t="s">
        <v>1835</v>
      </c>
      <c r="CB139" s="73">
        <f t="shared" ca="1" si="660"/>
        <v>0</v>
      </c>
      <c r="CC139" s="64"/>
      <c r="CD139" s="74" t="s">
        <v>1835</v>
      </c>
      <c r="CE139" s="73">
        <f t="shared" ca="1" si="661"/>
        <v>0</v>
      </c>
      <c r="CF139" s="64"/>
      <c r="CG139" s="74" t="s">
        <v>497</v>
      </c>
      <c r="CH139" s="73">
        <f t="shared" ca="1" si="662"/>
        <v>0</v>
      </c>
      <c r="CI139" s="64"/>
      <c r="CJ139" s="74" t="s">
        <v>497</v>
      </c>
      <c r="CK139" s="73">
        <f t="shared" ca="1" si="663"/>
        <v>0</v>
      </c>
      <c r="CL139" s="64"/>
      <c r="CM139" s="74" t="s">
        <v>1835</v>
      </c>
      <c r="CN139" s="73">
        <f t="shared" ca="1" si="664"/>
        <v>0</v>
      </c>
      <c r="CO139" s="64"/>
      <c r="CP139" s="74" t="s">
        <v>1835</v>
      </c>
      <c r="CQ139" s="73">
        <f t="shared" ca="1" si="665"/>
        <v>0</v>
      </c>
      <c r="CR139" s="64"/>
      <c r="CS139" s="74" t="s">
        <v>1835</v>
      </c>
      <c r="CT139" s="73">
        <f t="shared" ca="1" si="666"/>
        <v>0</v>
      </c>
      <c r="CU139" s="64"/>
      <c r="CV139" s="74" t="s">
        <v>1835</v>
      </c>
      <c r="CW139" s="73">
        <f t="shared" ca="1" si="667"/>
        <v>0</v>
      </c>
      <c r="CX139" s="64"/>
      <c r="CY139" s="74" t="s">
        <v>1835</v>
      </c>
      <c r="CZ139" s="73">
        <f t="shared" ca="1" si="668"/>
        <v>0</v>
      </c>
      <c r="DA139" s="64"/>
      <c r="DB139" s="74" t="s">
        <v>1835</v>
      </c>
      <c r="DC139" s="73">
        <f t="shared" ca="1" si="669"/>
        <v>0</v>
      </c>
      <c r="DD139" s="64"/>
      <c r="DE139" s="74" t="s">
        <v>1835</v>
      </c>
      <c r="DF139" s="73">
        <f t="shared" ca="1" si="670"/>
        <v>0</v>
      </c>
      <c r="DG139" s="64"/>
      <c r="DH139" s="74" t="s">
        <v>1835</v>
      </c>
      <c r="DI139" s="73">
        <f t="shared" ca="1" si="671"/>
        <v>0</v>
      </c>
      <c r="DJ139" s="64"/>
      <c r="DK139" s="74" t="s">
        <v>1835</v>
      </c>
      <c r="DL139" s="73">
        <f t="shared" ca="1" si="672"/>
        <v>0</v>
      </c>
      <c r="DM139" s="64"/>
      <c r="DN139" s="795" t="s">
        <v>1835</v>
      </c>
      <c r="DO139" s="73">
        <f t="shared" ca="1" si="673"/>
        <v>0</v>
      </c>
      <c r="DP139" s="64"/>
      <c r="DQ139" s="795" t="s">
        <v>497</v>
      </c>
      <c r="DR139" s="73">
        <f t="shared" ca="1" si="674"/>
        <v>0</v>
      </c>
      <c r="DS139" s="64"/>
      <c r="DT139" s="74" t="s">
        <v>497</v>
      </c>
      <c r="DU139" s="73">
        <f t="shared" ca="1" si="675"/>
        <v>0</v>
      </c>
      <c r="DV139" s="64"/>
      <c r="DW139" s="74" t="s">
        <v>1835</v>
      </c>
      <c r="DX139" s="73">
        <f t="shared" ca="1" si="676"/>
        <v>0</v>
      </c>
      <c r="DY139" s="64"/>
      <c r="DZ139" s="74" t="s">
        <v>497</v>
      </c>
      <c r="EA139" s="73">
        <f t="shared" ca="1" si="677"/>
        <v>0</v>
      </c>
      <c r="EB139" s="64"/>
      <c r="EC139" s="74" t="s">
        <v>1835</v>
      </c>
      <c r="ED139" s="73">
        <f t="shared" ca="1" si="678"/>
        <v>0</v>
      </c>
      <c r="EE139" s="64"/>
      <c r="EF139" s="74" t="s">
        <v>497</v>
      </c>
      <c r="EG139" s="73">
        <f t="shared" ca="1" si="679"/>
        <v>0</v>
      </c>
      <c r="EH139" s="64"/>
      <c r="EI139" s="74" t="s">
        <v>1835</v>
      </c>
      <c r="EJ139" s="73">
        <f t="shared" ca="1" si="680"/>
        <v>0</v>
      </c>
      <c r="EK139" s="64"/>
      <c r="EL139" s="74"/>
      <c r="EM139" s="73">
        <f t="shared" ca="1" si="681"/>
        <v>0</v>
      </c>
      <c r="EN139" s="64"/>
      <c r="EO139" s="74"/>
      <c r="EP139" s="73">
        <f t="shared" ca="1" si="682"/>
        <v>0</v>
      </c>
      <c r="EQ139" s="64"/>
      <c r="ER139" s="74"/>
      <c r="ES139" s="73">
        <f t="shared" ca="1" si="683"/>
        <v>0</v>
      </c>
      <c r="ET139" s="64"/>
      <c r="EU139" s="74"/>
      <c r="EV139" s="73">
        <f t="shared" ca="1" si="684"/>
        <v>0</v>
      </c>
      <c r="EW139" s="64"/>
      <c r="EX139" s="74"/>
      <c r="EY139" s="73">
        <f t="shared" ca="1" si="685"/>
        <v>0</v>
      </c>
      <c r="EZ139" s="64"/>
      <c r="FA139" s="74"/>
      <c r="FB139" s="73">
        <f t="shared" ca="1" si="686"/>
        <v>0</v>
      </c>
      <c r="FC139" s="64"/>
      <c r="FD139" s="74"/>
      <c r="FE139" s="73">
        <f t="shared" ca="1" si="687"/>
        <v>0</v>
      </c>
      <c r="FF139" s="64"/>
      <c r="FG139" s="74"/>
      <c r="FH139" s="73">
        <f t="shared" ca="1" si="688"/>
        <v>0</v>
      </c>
      <c r="FI139" s="64"/>
      <c r="FJ139" s="74"/>
      <c r="FK139" s="73">
        <f t="shared" ca="1" si="689"/>
        <v>0</v>
      </c>
      <c r="FL139" s="64"/>
      <c r="FM139" s="64"/>
    </row>
    <row r="140" spans="1:169">
      <c r="A140" s="49"/>
      <c r="B140" s="49"/>
      <c r="C140" s="49"/>
      <c r="D140" s="49"/>
      <c r="E140" s="65"/>
      <c r="F140" s="127">
        <f t="shared" si="690"/>
        <v>3</v>
      </c>
      <c r="G140" s="445">
        <f ca="1">VLOOKUP(H140,Equipos!$Q$1:$R$25,2,0)</f>
        <v>19</v>
      </c>
      <c r="H140" s="447" t="str">
        <f>Idiomas!$D$137</f>
        <v>CLASIFICADOS PARA DIECISEISAVOS</v>
      </c>
      <c r="I140" s="50"/>
      <c r="J140" s="849"/>
      <c r="K140" s="56" t="str">
        <f>Idiomas!$D$198&amp;"-"&amp;ROWS($L$130:L140)</f>
        <v>Dieciseisavofinalista-11</v>
      </c>
      <c r="L140" s="53"/>
      <c r="M140" s="55" t="str">
        <f ca="1">WORLDCUP!AA111</f>
        <v>1H</v>
      </c>
      <c r="N140" s="25"/>
      <c r="O140" s="25"/>
      <c r="P140" s="25"/>
      <c r="Q140" s="25"/>
      <c r="R140" s="110"/>
      <c r="S140" s="74" t="s">
        <v>38</v>
      </c>
      <c r="T140" s="73">
        <f t="shared" ca="1" si="640"/>
        <v>0</v>
      </c>
      <c r="U140" s="64"/>
      <c r="V140" s="74" t="s">
        <v>38</v>
      </c>
      <c r="W140" s="73">
        <f t="shared" ca="1" si="641"/>
        <v>0</v>
      </c>
      <c r="X140" s="64"/>
      <c r="Y140" s="74" t="s">
        <v>38</v>
      </c>
      <c r="Z140" s="73">
        <f t="shared" ca="1" si="642"/>
        <v>0</v>
      </c>
      <c r="AA140" s="64"/>
      <c r="AB140" s="74" t="s">
        <v>38</v>
      </c>
      <c r="AC140" s="73">
        <f t="shared" ca="1" si="643"/>
        <v>0</v>
      </c>
      <c r="AD140" s="64"/>
      <c r="AE140" s="74" t="s">
        <v>38</v>
      </c>
      <c r="AF140" s="73">
        <f t="shared" ca="1" si="644"/>
        <v>0</v>
      </c>
      <c r="AG140" s="64"/>
      <c r="AH140" s="74" t="s">
        <v>38</v>
      </c>
      <c r="AI140" s="73">
        <f t="shared" ca="1" si="645"/>
        <v>0</v>
      </c>
      <c r="AJ140" s="64"/>
      <c r="AK140" s="74" t="s">
        <v>38</v>
      </c>
      <c r="AL140" s="73">
        <f t="shared" ca="1" si="646"/>
        <v>0</v>
      </c>
      <c r="AM140" s="64"/>
      <c r="AN140" s="74" t="s">
        <v>38</v>
      </c>
      <c r="AO140" s="73">
        <f t="shared" ca="1" si="647"/>
        <v>0</v>
      </c>
      <c r="AP140" s="64"/>
      <c r="AQ140" s="74" t="s">
        <v>38</v>
      </c>
      <c r="AR140" s="73">
        <f t="shared" ca="1" si="648"/>
        <v>0</v>
      </c>
      <c r="AS140" s="64"/>
      <c r="AT140" s="74" t="s">
        <v>38</v>
      </c>
      <c r="AU140" s="73">
        <f t="shared" ca="1" si="649"/>
        <v>0</v>
      </c>
      <c r="AV140" s="64"/>
      <c r="AW140" s="74" t="s">
        <v>38</v>
      </c>
      <c r="AX140" s="73">
        <f t="shared" ca="1" si="650"/>
        <v>0</v>
      </c>
      <c r="AY140" s="64"/>
      <c r="AZ140" s="74" t="s">
        <v>38</v>
      </c>
      <c r="BA140" s="73">
        <f t="shared" ca="1" si="651"/>
        <v>0</v>
      </c>
      <c r="BB140" s="64"/>
      <c r="BC140" s="74" t="s">
        <v>38</v>
      </c>
      <c r="BD140" s="73">
        <f t="shared" ca="1" si="652"/>
        <v>0</v>
      </c>
      <c r="BE140" s="64"/>
      <c r="BF140" s="74" t="s">
        <v>38</v>
      </c>
      <c r="BG140" s="73">
        <f t="shared" ca="1" si="653"/>
        <v>0</v>
      </c>
      <c r="BH140" s="64"/>
      <c r="BI140" s="74" t="s">
        <v>38</v>
      </c>
      <c r="BJ140" s="73">
        <f t="shared" ca="1" si="654"/>
        <v>0</v>
      </c>
      <c r="BK140" s="64"/>
      <c r="BL140" s="74" t="s">
        <v>38</v>
      </c>
      <c r="BM140" s="73">
        <f t="shared" ca="1" si="655"/>
        <v>0</v>
      </c>
      <c r="BN140" s="64"/>
      <c r="BO140" s="74" t="s">
        <v>38</v>
      </c>
      <c r="BP140" s="73">
        <f t="shared" ca="1" si="656"/>
        <v>0</v>
      </c>
      <c r="BQ140" s="64"/>
      <c r="BR140" s="74" t="s">
        <v>38</v>
      </c>
      <c r="BS140" s="73">
        <f t="shared" ca="1" si="657"/>
        <v>0</v>
      </c>
      <c r="BT140" s="64"/>
      <c r="BU140" s="74" t="s">
        <v>38</v>
      </c>
      <c r="BV140" s="73">
        <f t="shared" ca="1" si="658"/>
        <v>0</v>
      </c>
      <c r="BW140" s="64"/>
      <c r="BX140" s="74" t="s">
        <v>38</v>
      </c>
      <c r="BY140" s="73">
        <f t="shared" ca="1" si="659"/>
        <v>0</v>
      </c>
      <c r="BZ140" s="64"/>
      <c r="CA140" s="74" t="s">
        <v>38</v>
      </c>
      <c r="CB140" s="73">
        <f t="shared" ca="1" si="660"/>
        <v>0</v>
      </c>
      <c r="CC140" s="64"/>
      <c r="CD140" s="74" t="s">
        <v>38</v>
      </c>
      <c r="CE140" s="73">
        <f t="shared" ca="1" si="661"/>
        <v>0</v>
      </c>
      <c r="CF140" s="64"/>
      <c r="CG140" s="74" t="s">
        <v>38</v>
      </c>
      <c r="CH140" s="73">
        <f t="shared" ca="1" si="662"/>
        <v>0</v>
      </c>
      <c r="CI140" s="64"/>
      <c r="CJ140" s="74" t="s">
        <v>38</v>
      </c>
      <c r="CK140" s="73">
        <f t="shared" ca="1" si="663"/>
        <v>0</v>
      </c>
      <c r="CL140" s="64"/>
      <c r="CM140" s="74" t="s">
        <v>38</v>
      </c>
      <c r="CN140" s="73">
        <f t="shared" ca="1" si="664"/>
        <v>0</v>
      </c>
      <c r="CO140" s="64"/>
      <c r="CP140" s="74" t="s">
        <v>38</v>
      </c>
      <c r="CQ140" s="73">
        <f t="shared" ca="1" si="665"/>
        <v>0</v>
      </c>
      <c r="CR140" s="64"/>
      <c r="CS140" s="74" t="s">
        <v>38</v>
      </c>
      <c r="CT140" s="73">
        <f t="shared" ca="1" si="666"/>
        <v>0</v>
      </c>
      <c r="CU140" s="64"/>
      <c r="CV140" s="74" t="s">
        <v>38</v>
      </c>
      <c r="CW140" s="73">
        <f t="shared" ca="1" si="667"/>
        <v>0</v>
      </c>
      <c r="CX140" s="64"/>
      <c r="CY140" s="74" t="s">
        <v>38</v>
      </c>
      <c r="CZ140" s="73">
        <f t="shared" ca="1" si="668"/>
        <v>0</v>
      </c>
      <c r="DA140" s="64"/>
      <c r="DB140" s="74" t="s">
        <v>38</v>
      </c>
      <c r="DC140" s="73">
        <f t="shared" ca="1" si="669"/>
        <v>0</v>
      </c>
      <c r="DD140" s="64"/>
      <c r="DE140" s="74" t="s">
        <v>38</v>
      </c>
      <c r="DF140" s="73">
        <f t="shared" ca="1" si="670"/>
        <v>0</v>
      </c>
      <c r="DG140" s="64"/>
      <c r="DH140" s="74" t="s">
        <v>38</v>
      </c>
      <c r="DI140" s="73">
        <f t="shared" ca="1" si="671"/>
        <v>0</v>
      </c>
      <c r="DJ140" s="64"/>
      <c r="DK140" s="74" t="s">
        <v>38</v>
      </c>
      <c r="DL140" s="73">
        <f t="shared" ca="1" si="672"/>
        <v>0</v>
      </c>
      <c r="DM140" s="64"/>
      <c r="DN140" s="795" t="s">
        <v>38</v>
      </c>
      <c r="DO140" s="73">
        <f t="shared" ca="1" si="673"/>
        <v>0</v>
      </c>
      <c r="DP140" s="64"/>
      <c r="DQ140" s="795" t="s">
        <v>38</v>
      </c>
      <c r="DR140" s="73">
        <f t="shared" ca="1" si="674"/>
        <v>0</v>
      </c>
      <c r="DS140" s="64"/>
      <c r="DT140" s="74" t="s">
        <v>38</v>
      </c>
      <c r="DU140" s="73">
        <f t="shared" ca="1" si="675"/>
        <v>0</v>
      </c>
      <c r="DV140" s="64"/>
      <c r="DW140" s="74" t="s">
        <v>38</v>
      </c>
      <c r="DX140" s="73">
        <f t="shared" ca="1" si="676"/>
        <v>0</v>
      </c>
      <c r="DY140" s="64"/>
      <c r="DZ140" s="74" t="s">
        <v>38</v>
      </c>
      <c r="EA140" s="73">
        <f t="shared" ca="1" si="677"/>
        <v>0</v>
      </c>
      <c r="EB140" s="64"/>
      <c r="EC140" s="74" t="s">
        <v>38</v>
      </c>
      <c r="ED140" s="73">
        <f t="shared" ca="1" si="678"/>
        <v>0</v>
      </c>
      <c r="EE140" s="64"/>
      <c r="EF140" s="74" t="s">
        <v>38</v>
      </c>
      <c r="EG140" s="73">
        <f t="shared" ca="1" si="679"/>
        <v>0</v>
      </c>
      <c r="EH140" s="64"/>
      <c r="EI140" s="74" t="s">
        <v>38</v>
      </c>
      <c r="EJ140" s="73">
        <f t="shared" ca="1" si="680"/>
        <v>0</v>
      </c>
      <c r="EK140" s="64"/>
      <c r="EL140" s="74"/>
      <c r="EM140" s="73">
        <f t="shared" ca="1" si="681"/>
        <v>0</v>
      </c>
      <c r="EN140" s="64"/>
      <c r="EO140" s="74"/>
      <c r="EP140" s="73">
        <f t="shared" ca="1" si="682"/>
        <v>0</v>
      </c>
      <c r="EQ140" s="64"/>
      <c r="ER140" s="74"/>
      <c r="ES140" s="73">
        <f t="shared" ca="1" si="683"/>
        <v>0</v>
      </c>
      <c r="ET140" s="64"/>
      <c r="EU140" s="74"/>
      <c r="EV140" s="73">
        <f t="shared" ca="1" si="684"/>
        <v>0</v>
      </c>
      <c r="EW140" s="64"/>
      <c r="EX140" s="74"/>
      <c r="EY140" s="73">
        <f t="shared" ca="1" si="685"/>
        <v>0</v>
      </c>
      <c r="EZ140" s="64"/>
      <c r="FA140" s="74"/>
      <c r="FB140" s="73">
        <f t="shared" ca="1" si="686"/>
        <v>0</v>
      </c>
      <c r="FC140" s="64"/>
      <c r="FD140" s="74"/>
      <c r="FE140" s="73">
        <f t="shared" ca="1" si="687"/>
        <v>0</v>
      </c>
      <c r="FF140" s="64"/>
      <c r="FG140" s="74"/>
      <c r="FH140" s="73">
        <f t="shared" ca="1" si="688"/>
        <v>0</v>
      </c>
      <c r="FI140" s="64"/>
      <c r="FJ140" s="74"/>
      <c r="FK140" s="73">
        <f t="shared" ca="1" si="689"/>
        <v>0</v>
      </c>
      <c r="FL140" s="64"/>
      <c r="FM140" s="64"/>
    </row>
    <row r="141" spans="1:169">
      <c r="A141" s="49"/>
      <c r="B141" s="49"/>
      <c r="C141" s="49"/>
      <c r="D141" s="49"/>
      <c r="E141" s="65"/>
      <c r="F141" s="127">
        <f t="shared" si="690"/>
        <v>3</v>
      </c>
      <c r="G141" s="445">
        <f ca="1">VLOOKUP(H141,Equipos!$Q$1:$R$25,2,0)</f>
        <v>19</v>
      </c>
      <c r="H141" s="447" t="str">
        <f>Idiomas!$D$137</f>
        <v>CLASIFICADOS PARA DIECISEISAVOS</v>
      </c>
      <c r="I141" s="50"/>
      <c r="J141" s="849"/>
      <c r="K141" s="56" t="str">
        <f>Idiomas!$D$198&amp;"-"&amp;ROWS($L$130:L141)</f>
        <v>Dieciseisavofinalista-12</v>
      </c>
      <c r="L141" s="53"/>
      <c r="M141" s="55" t="str">
        <f ca="1">WORLDCUP!AA112</f>
        <v>2K</v>
      </c>
      <c r="N141" s="25"/>
      <c r="O141" s="25"/>
      <c r="P141" s="25"/>
      <c r="Q141" s="25"/>
      <c r="R141" s="110"/>
      <c r="S141" s="74" t="s">
        <v>79</v>
      </c>
      <c r="T141" s="73">
        <f t="shared" ca="1" si="640"/>
        <v>0</v>
      </c>
      <c r="U141" s="64"/>
      <c r="V141" s="74" t="s">
        <v>1320</v>
      </c>
      <c r="W141" s="73">
        <f t="shared" ca="1" si="641"/>
        <v>0</v>
      </c>
      <c r="X141" s="64"/>
      <c r="Y141" s="74" t="s">
        <v>1320</v>
      </c>
      <c r="Z141" s="73">
        <f t="shared" ca="1" si="642"/>
        <v>0</v>
      </c>
      <c r="AA141" s="64"/>
      <c r="AB141" s="74" t="s">
        <v>1320</v>
      </c>
      <c r="AC141" s="73">
        <f t="shared" ca="1" si="643"/>
        <v>0</v>
      </c>
      <c r="AD141" s="64"/>
      <c r="AE141" s="74" t="s">
        <v>79</v>
      </c>
      <c r="AF141" s="73">
        <f t="shared" ca="1" si="644"/>
        <v>0</v>
      </c>
      <c r="AG141" s="64"/>
      <c r="AH141" s="74" t="s">
        <v>1320</v>
      </c>
      <c r="AI141" s="73">
        <f t="shared" ca="1" si="645"/>
        <v>0</v>
      </c>
      <c r="AJ141" s="64"/>
      <c r="AK141" s="74" t="s">
        <v>1320</v>
      </c>
      <c r="AL141" s="73">
        <f t="shared" ca="1" si="646"/>
        <v>0</v>
      </c>
      <c r="AM141" s="64"/>
      <c r="AN141" s="74" t="s">
        <v>1320</v>
      </c>
      <c r="AO141" s="73">
        <f t="shared" ca="1" si="647"/>
        <v>0</v>
      </c>
      <c r="AP141" s="64"/>
      <c r="AQ141" s="74" t="s">
        <v>1320</v>
      </c>
      <c r="AR141" s="73">
        <f t="shared" ca="1" si="648"/>
        <v>0</v>
      </c>
      <c r="AS141" s="64"/>
      <c r="AT141" s="74" t="s">
        <v>1320</v>
      </c>
      <c r="AU141" s="73">
        <f t="shared" ca="1" si="649"/>
        <v>0</v>
      </c>
      <c r="AV141" s="64"/>
      <c r="AW141" s="74" t="s">
        <v>1839</v>
      </c>
      <c r="AX141" s="73">
        <f t="shared" ca="1" si="650"/>
        <v>0</v>
      </c>
      <c r="AY141" s="64"/>
      <c r="AZ141" s="74" t="s">
        <v>1320</v>
      </c>
      <c r="BA141" s="73">
        <f t="shared" ca="1" si="651"/>
        <v>0</v>
      </c>
      <c r="BB141" s="64"/>
      <c r="BC141" s="74" t="s">
        <v>1320</v>
      </c>
      <c r="BD141" s="73">
        <f t="shared" ca="1" si="652"/>
        <v>0</v>
      </c>
      <c r="BE141" s="64"/>
      <c r="BF141" s="74" t="s">
        <v>1320</v>
      </c>
      <c r="BG141" s="73">
        <f t="shared" ca="1" si="653"/>
        <v>0</v>
      </c>
      <c r="BH141" s="64"/>
      <c r="BI141" s="74" t="s">
        <v>1320</v>
      </c>
      <c r="BJ141" s="73">
        <f t="shared" ca="1" si="654"/>
        <v>0</v>
      </c>
      <c r="BK141" s="64"/>
      <c r="BL141" s="74" t="s">
        <v>1320</v>
      </c>
      <c r="BM141" s="73">
        <f t="shared" ca="1" si="655"/>
        <v>0</v>
      </c>
      <c r="BN141" s="64"/>
      <c r="BO141" s="74" t="s">
        <v>1320</v>
      </c>
      <c r="BP141" s="73">
        <f t="shared" ca="1" si="656"/>
        <v>0</v>
      </c>
      <c r="BQ141" s="64"/>
      <c r="BR141" s="74" t="s">
        <v>1320</v>
      </c>
      <c r="BS141" s="73">
        <f t="shared" ca="1" si="657"/>
        <v>0</v>
      </c>
      <c r="BT141" s="64"/>
      <c r="BU141" s="74" t="s">
        <v>1320</v>
      </c>
      <c r="BV141" s="73">
        <f t="shared" ca="1" si="658"/>
        <v>0</v>
      </c>
      <c r="BW141" s="64"/>
      <c r="BX141" s="74" t="s">
        <v>79</v>
      </c>
      <c r="BY141" s="73">
        <f t="shared" ca="1" si="659"/>
        <v>0</v>
      </c>
      <c r="BZ141" s="64"/>
      <c r="CA141" s="74" t="s">
        <v>1320</v>
      </c>
      <c r="CB141" s="73">
        <f t="shared" ca="1" si="660"/>
        <v>0</v>
      </c>
      <c r="CC141" s="64"/>
      <c r="CD141" s="74" t="s">
        <v>1320</v>
      </c>
      <c r="CE141" s="73">
        <f t="shared" ca="1" si="661"/>
        <v>0</v>
      </c>
      <c r="CF141" s="64"/>
      <c r="CG141" s="74" t="s">
        <v>1320</v>
      </c>
      <c r="CH141" s="73">
        <f t="shared" ca="1" si="662"/>
        <v>0</v>
      </c>
      <c r="CI141" s="64"/>
      <c r="CJ141" s="74" t="s">
        <v>1320</v>
      </c>
      <c r="CK141" s="73">
        <f t="shared" ca="1" si="663"/>
        <v>0</v>
      </c>
      <c r="CL141" s="64"/>
      <c r="CM141" s="74" t="s">
        <v>1320</v>
      </c>
      <c r="CN141" s="73">
        <f t="shared" ca="1" si="664"/>
        <v>0</v>
      </c>
      <c r="CO141" s="64"/>
      <c r="CP141" s="74" t="s">
        <v>1320</v>
      </c>
      <c r="CQ141" s="73">
        <f t="shared" ca="1" si="665"/>
        <v>0</v>
      </c>
      <c r="CR141" s="64"/>
      <c r="CS141" s="74" t="s">
        <v>1320</v>
      </c>
      <c r="CT141" s="73">
        <f t="shared" ca="1" si="666"/>
        <v>0</v>
      </c>
      <c r="CU141" s="64"/>
      <c r="CV141" s="74" t="s">
        <v>1320</v>
      </c>
      <c r="CW141" s="73">
        <f t="shared" ca="1" si="667"/>
        <v>0</v>
      </c>
      <c r="CX141" s="64"/>
      <c r="CY141" s="74" t="s">
        <v>1320</v>
      </c>
      <c r="CZ141" s="73">
        <f t="shared" ca="1" si="668"/>
        <v>0</v>
      </c>
      <c r="DA141" s="64"/>
      <c r="DB141" s="74" t="s">
        <v>1320</v>
      </c>
      <c r="DC141" s="73">
        <f t="shared" ca="1" si="669"/>
        <v>0</v>
      </c>
      <c r="DD141" s="64"/>
      <c r="DE141" s="74" t="s">
        <v>1320</v>
      </c>
      <c r="DF141" s="73">
        <f t="shared" ca="1" si="670"/>
        <v>0</v>
      </c>
      <c r="DG141" s="64"/>
      <c r="DH141" s="74" t="s">
        <v>1320</v>
      </c>
      <c r="DI141" s="73">
        <f t="shared" ca="1" si="671"/>
        <v>0</v>
      </c>
      <c r="DJ141" s="64"/>
      <c r="DK141" s="74" t="s">
        <v>1320</v>
      </c>
      <c r="DL141" s="73">
        <f t="shared" ca="1" si="672"/>
        <v>0</v>
      </c>
      <c r="DM141" s="64"/>
      <c r="DN141" s="795" t="s">
        <v>1320</v>
      </c>
      <c r="DO141" s="73">
        <f t="shared" ca="1" si="673"/>
        <v>0</v>
      </c>
      <c r="DP141" s="64"/>
      <c r="DQ141" s="795" t="s">
        <v>1320</v>
      </c>
      <c r="DR141" s="73">
        <f t="shared" ca="1" si="674"/>
        <v>0</v>
      </c>
      <c r="DS141" s="64"/>
      <c r="DT141" s="74" t="s">
        <v>79</v>
      </c>
      <c r="DU141" s="73">
        <f t="shared" ca="1" si="675"/>
        <v>0</v>
      </c>
      <c r="DV141" s="64"/>
      <c r="DW141" s="74" t="s">
        <v>1320</v>
      </c>
      <c r="DX141" s="73">
        <f t="shared" ca="1" si="676"/>
        <v>0</v>
      </c>
      <c r="DY141" s="64"/>
      <c r="DZ141" s="74" t="s">
        <v>1320</v>
      </c>
      <c r="EA141" s="73">
        <f t="shared" ca="1" si="677"/>
        <v>0</v>
      </c>
      <c r="EB141" s="64"/>
      <c r="EC141" s="74" t="s">
        <v>1320</v>
      </c>
      <c r="ED141" s="73">
        <f t="shared" ca="1" si="678"/>
        <v>0</v>
      </c>
      <c r="EE141" s="64"/>
      <c r="EF141" s="74" t="s">
        <v>1320</v>
      </c>
      <c r="EG141" s="73">
        <f t="shared" ca="1" si="679"/>
        <v>0</v>
      </c>
      <c r="EH141" s="64"/>
      <c r="EI141" s="74" t="s">
        <v>1320</v>
      </c>
      <c r="EJ141" s="73">
        <f t="shared" ca="1" si="680"/>
        <v>0</v>
      </c>
      <c r="EK141" s="64"/>
      <c r="EL141" s="74"/>
      <c r="EM141" s="73">
        <f t="shared" ca="1" si="681"/>
        <v>0</v>
      </c>
      <c r="EN141" s="64"/>
      <c r="EO141" s="74"/>
      <c r="EP141" s="73">
        <f t="shared" ca="1" si="682"/>
        <v>0</v>
      </c>
      <c r="EQ141" s="64"/>
      <c r="ER141" s="74"/>
      <c r="ES141" s="73">
        <f t="shared" ca="1" si="683"/>
        <v>0</v>
      </c>
      <c r="ET141" s="64"/>
      <c r="EU141" s="74"/>
      <c r="EV141" s="73">
        <f t="shared" ca="1" si="684"/>
        <v>0</v>
      </c>
      <c r="EW141" s="64"/>
      <c r="EX141" s="74"/>
      <c r="EY141" s="73">
        <f t="shared" ca="1" si="685"/>
        <v>0</v>
      </c>
      <c r="EZ141" s="64"/>
      <c r="FA141" s="74"/>
      <c r="FB141" s="73">
        <f t="shared" ca="1" si="686"/>
        <v>0</v>
      </c>
      <c r="FC141" s="64"/>
      <c r="FD141" s="74"/>
      <c r="FE141" s="73">
        <f t="shared" ca="1" si="687"/>
        <v>0</v>
      </c>
      <c r="FF141" s="64"/>
      <c r="FG141" s="74"/>
      <c r="FH141" s="73">
        <f t="shared" ca="1" si="688"/>
        <v>0</v>
      </c>
      <c r="FI141" s="64"/>
      <c r="FJ141" s="74"/>
      <c r="FK141" s="73">
        <f t="shared" ca="1" si="689"/>
        <v>0</v>
      </c>
      <c r="FL141" s="64"/>
      <c r="FM141" s="64"/>
    </row>
    <row r="142" spans="1:169">
      <c r="A142" s="49"/>
      <c r="B142" s="49"/>
      <c r="C142" s="49"/>
      <c r="D142" s="49"/>
      <c r="E142" s="65"/>
      <c r="F142" s="127">
        <f t="shared" si="690"/>
        <v>3</v>
      </c>
      <c r="G142" s="445">
        <f ca="1">VLOOKUP(H142,Equipos!$Q$1:$R$25,2,0)</f>
        <v>19</v>
      </c>
      <c r="H142" s="447" t="str">
        <f>Idiomas!$D$137</f>
        <v>CLASIFICADOS PARA DIECISEISAVOS</v>
      </c>
      <c r="I142" s="50"/>
      <c r="J142" s="849"/>
      <c r="K142" s="56" t="str">
        <f>Idiomas!$D$198&amp;"-"&amp;ROWS($L$130:L142)</f>
        <v>Dieciseisavofinalista-13</v>
      </c>
      <c r="L142" s="53"/>
      <c r="M142" s="55" t="str">
        <f ca="1">WORLDCUP!AA113</f>
        <v>1B</v>
      </c>
      <c r="N142" s="25"/>
      <c r="O142" s="25"/>
      <c r="P142" s="25"/>
      <c r="Q142" s="25"/>
      <c r="R142" s="110"/>
      <c r="S142" s="74" t="s">
        <v>1259</v>
      </c>
      <c r="T142" s="73">
        <f t="shared" ca="1" si="640"/>
        <v>0</v>
      </c>
      <c r="U142" s="64"/>
      <c r="V142" s="74" t="s">
        <v>75</v>
      </c>
      <c r="W142" s="73">
        <f t="shared" ca="1" si="641"/>
        <v>0</v>
      </c>
      <c r="X142" s="64"/>
      <c r="Y142" s="74" t="s">
        <v>75</v>
      </c>
      <c r="Z142" s="73">
        <f t="shared" ca="1" si="642"/>
        <v>0</v>
      </c>
      <c r="AA142" s="64"/>
      <c r="AB142" s="74" t="s">
        <v>75</v>
      </c>
      <c r="AC142" s="73">
        <f t="shared" ca="1" si="643"/>
        <v>0</v>
      </c>
      <c r="AD142" s="64"/>
      <c r="AE142" s="74" t="s">
        <v>75</v>
      </c>
      <c r="AF142" s="73">
        <f t="shared" ca="1" si="644"/>
        <v>0</v>
      </c>
      <c r="AG142" s="64"/>
      <c r="AH142" s="74" t="s">
        <v>75</v>
      </c>
      <c r="AI142" s="73">
        <f t="shared" ca="1" si="645"/>
        <v>0</v>
      </c>
      <c r="AJ142" s="64"/>
      <c r="AK142" s="74" t="s">
        <v>75</v>
      </c>
      <c r="AL142" s="73">
        <f t="shared" ca="1" si="646"/>
        <v>0</v>
      </c>
      <c r="AM142" s="64"/>
      <c r="AN142" s="74" t="s">
        <v>75</v>
      </c>
      <c r="AO142" s="73">
        <f t="shared" ca="1" si="647"/>
        <v>0</v>
      </c>
      <c r="AP142" s="64"/>
      <c r="AQ142" s="74" t="s">
        <v>75</v>
      </c>
      <c r="AR142" s="73">
        <f t="shared" ca="1" si="648"/>
        <v>0</v>
      </c>
      <c r="AS142" s="64"/>
      <c r="AT142" s="74" t="s">
        <v>75</v>
      </c>
      <c r="AU142" s="73">
        <f t="shared" ca="1" si="649"/>
        <v>0</v>
      </c>
      <c r="AV142" s="64"/>
      <c r="AW142" s="74" t="s">
        <v>1841</v>
      </c>
      <c r="AX142" s="73">
        <f t="shared" ca="1" si="650"/>
        <v>0</v>
      </c>
      <c r="AY142" s="64"/>
      <c r="AZ142" s="74" t="s">
        <v>75</v>
      </c>
      <c r="BA142" s="73">
        <f t="shared" ca="1" si="651"/>
        <v>0</v>
      </c>
      <c r="BB142" s="64"/>
      <c r="BC142" s="74" t="s">
        <v>75</v>
      </c>
      <c r="BD142" s="73">
        <f t="shared" ca="1" si="652"/>
        <v>0</v>
      </c>
      <c r="BE142" s="64"/>
      <c r="BF142" s="74" t="s">
        <v>75</v>
      </c>
      <c r="BG142" s="73">
        <f t="shared" ca="1" si="653"/>
        <v>0</v>
      </c>
      <c r="BH142" s="64"/>
      <c r="BI142" s="74" t="s">
        <v>75</v>
      </c>
      <c r="BJ142" s="73">
        <f t="shared" ca="1" si="654"/>
        <v>0</v>
      </c>
      <c r="BK142" s="64"/>
      <c r="BL142" s="74" t="s">
        <v>75</v>
      </c>
      <c r="BM142" s="73">
        <f t="shared" ca="1" si="655"/>
        <v>0</v>
      </c>
      <c r="BN142" s="64"/>
      <c r="BO142" s="74" t="s">
        <v>75</v>
      </c>
      <c r="BP142" s="73">
        <f t="shared" ca="1" si="656"/>
        <v>0</v>
      </c>
      <c r="BQ142" s="64"/>
      <c r="BR142" s="74" t="s">
        <v>75</v>
      </c>
      <c r="BS142" s="73">
        <f t="shared" ca="1" si="657"/>
        <v>0</v>
      </c>
      <c r="BT142" s="64"/>
      <c r="BU142" s="74" t="s">
        <v>75</v>
      </c>
      <c r="BV142" s="73">
        <f t="shared" ca="1" si="658"/>
        <v>0</v>
      </c>
      <c r="BW142" s="64"/>
      <c r="BX142" s="74" t="s">
        <v>75</v>
      </c>
      <c r="BY142" s="73">
        <f t="shared" ca="1" si="659"/>
        <v>0</v>
      </c>
      <c r="BZ142" s="64"/>
      <c r="CA142" s="74" t="s">
        <v>75</v>
      </c>
      <c r="CB142" s="73">
        <f t="shared" ca="1" si="660"/>
        <v>0</v>
      </c>
      <c r="CC142" s="64"/>
      <c r="CD142" s="74" t="s">
        <v>75</v>
      </c>
      <c r="CE142" s="73">
        <f t="shared" ca="1" si="661"/>
        <v>0</v>
      </c>
      <c r="CF142" s="64"/>
      <c r="CG142" s="74" t="s">
        <v>1259</v>
      </c>
      <c r="CH142" s="73">
        <f t="shared" ca="1" si="662"/>
        <v>0</v>
      </c>
      <c r="CI142" s="64"/>
      <c r="CJ142" s="74" t="s">
        <v>75</v>
      </c>
      <c r="CK142" s="73">
        <f t="shared" ca="1" si="663"/>
        <v>0</v>
      </c>
      <c r="CL142" s="64"/>
      <c r="CM142" s="74" t="s">
        <v>75</v>
      </c>
      <c r="CN142" s="73">
        <f t="shared" ca="1" si="664"/>
        <v>0</v>
      </c>
      <c r="CO142" s="64"/>
      <c r="CP142" s="74" t="s">
        <v>75</v>
      </c>
      <c r="CQ142" s="73">
        <f t="shared" ca="1" si="665"/>
        <v>0</v>
      </c>
      <c r="CR142" s="64"/>
      <c r="CS142" s="74" t="s">
        <v>75</v>
      </c>
      <c r="CT142" s="73">
        <f t="shared" ca="1" si="666"/>
        <v>0</v>
      </c>
      <c r="CU142" s="64"/>
      <c r="CV142" s="74" t="s">
        <v>75</v>
      </c>
      <c r="CW142" s="73">
        <f t="shared" ca="1" si="667"/>
        <v>0</v>
      </c>
      <c r="CX142" s="64"/>
      <c r="CY142" s="74" t="s">
        <v>75</v>
      </c>
      <c r="CZ142" s="73">
        <f t="shared" ca="1" si="668"/>
        <v>0</v>
      </c>
      <c r="DA142" s="64"/>
      <c r="DB142" s="74" t="s">
        <v>75</v>
      </c>
      <c r="DC142" s="73">
        <f t="shared" ca="1" si="669"/>
        <v>0</v>
      </c>
      <c r="DD142" s="64"/>
      <c r="DE142" s="74" t="s">
        <v>75</v>
      </c>
      <c r="DF142" s="73">
        <f t="shared" ca="1" si="670"/>
        <v>0</v>
      </c>
      <c r="DG142" s="64"/>
      <c r="DH142" s="74" t="s">
        <v>75</v>
      </c>
      <c r="DI142" s="73">
        <f t="shared" ca="1" si="671"/>
        <v>0</v>
      </c>
      <c r="DJ142" s="64"/>
      <c r="DK142" s="74" t="s">
        <v>75</v>
      </c>
      <c r="DL142" s="73">
        <f t="shared" ca="1" si="672"/>
        <v>0</v>
      </c>
      <c r="DM142" s="64"/>
      <c r="DN142" s="795" t="s">
        <v>75</v>
      </c>
      <c r="DO142" s="73">
        <f t="shared" ca="1" si="673"/>
        <v>0</v>
      </c>
      <c r="DP142" s="64"/>
      <c r="DQ142" s="795" t="s">
        <v>75</v>
      </c>
      <c r="DR142" s="73">
        <f t="shared" ca="1" si="674"/>
        <v>0</v>
      </c>
      <c r="DS142" s="64"/>
      <c r="DT142" s="74" t="s">
        <v>75</v>
      </c>
      <c r="DU142" s="73">
        <f t="shared" ca="1" si="675"/>
        <v>0</v>
      </c>
      <c r="DV142" s="64"/>
      <c r="DW142" s="74" t="s">
        <v>75</v>
      </c>
      <c r="DX142" s="73">
        <f t="shared" ca="1" si="676"/>
        <v>0</v>
      </c>
      <c r="DY142" s="64"/>
      <c r="DZ142" s="74" t="s">
        <v>1259</v>
      </c>
      <c r="EA142" s="73">
        <f t="shared" ca="1" si="677"/>
        <v>0</v>
      </c>
      <c r="EB142" s="64"/>
      <c r="EC142" s="74" t="s">
        <v>75</v>
      </c>
      <c r="ED142" s="73">
        <f t="shared" ca="1" si="678"/>
        <v>0</v>
      </c>
      <c r="EE142" s="64"/>
      <c r="EF142" s="74" t="s">
        <v>75</v>
      </c>
      <c r="EG142" s="73">
        <f t="shared" ca="1" si="679"/>
        <v>0</v>
      </c>
      <c r="EH142" s="64"/>
      <c r="EI142" s="74" t="s">
        <v>75</v>
      </c>
      <c r="EJ142" s="73">
        <f t="shared" ca="1" si="680"/>
        <v>0</v>
      </c>
      <c r="EK142" s="64"/>
      <c r="EL142" s="74"/>
      <c r="EM142" s="73">
        <f t="shared" ca="1" si="681"/>
        <v>0</v>
      </c>
      <c r="EN142" s="64"/>
      <c r="EO142" s="74"/>
      <c r="EP142" s="73">
        <f t="shared" ca="1" si="682"/>
        <v>0</v>
      </c>
      <c r="EQ142" s="64"/>
      <c r="ER142" s="74"/>
      <c r="ES142" s="73">
        <f t="shared" ca="1" si="683"/>
        <v>0</v>
      </c>
      <c r="ET142" s="64"/>
      <c r="EU142" s="74"/>
      <c r="EV142" s="73">
        <f t="shared" ca="1" si="684"/>
        <v>0</v>
      </c>
      <c r="EW142" s="64"/>
      <c r="EX142" s="74"/>
      <c r="EY142" s="73">
        <f t="shared" ca="1" si="685"/>
        <v>0</v>
      </c>
      <c r="EZ142" s="64"/>
      <c r="FA142" s="74"/>
      <c r="FB142" s="73">
        <f t="shared" ca="1" si="686"/>
        <v>0</v>
      </c>
      <c r="FC142" s="64"/>
      <c r="FD142" s="74"/>
      <c r="FE142" s="73">
        <f t="shared" ca="1" si="687"/>
        <v>0</v>
      </c>
      <c r="FF142" s="64"/>
      <c r="FG142" s="74"/>
      <c r="FH142" s="73">
        <f t="shared" ca="1" si="688"/>
        <v>0</v>
      </c>
      <c r="FI142" s="64"/>
      <c r="FJ142" s="74"/>
      <c r="FK142" s="73">
        <f t="shared" ca="1" si="689"/>
        <v>0</v>
      </c>
      <c r="FL142" s="64"/>
      <c r="FM142" s="64"/>
    </row>
    <row r="143" spans="1:169">
      <c r="A143" s="49"/>
      <c r="B143" s="49"/>
      <c r="C143" s="49"/>
      <c r="D143" s="49"/>
      <c r="E143" s="65"/>
      <c r="F143" s="127">
        <f t="shared" si="690"/>
        <v>3</v>
      </c>
      <c r="G143" s="445">
        <f ca="1">VLOOKUP(H143,Equipos!$Q$1:$R$25,2,0)</f>
        <v>19</v>
      </c>
      <c r="H143" s="447" t="str">
        <f>Idiomas!$D$137</f>
        <v>CLASIFICADOS PARA DIECISEISAVOS</v>
      </c>
      <c r="I143" s="50"/>
      <c r="J143" s="849"/>
      <c r="K143" s="56" t="str">
        <f>Idiomas!$D$198&amp;"-"&amp;ROWS($L$130:L143)</f>
        <v>Dieciseisavofinalista-14</v>
      </c>
      <c r="L143" s="53"/>
      <c r="M143" s="55" t="str">
        <f ca="1">WORLDCUP!AA114</f>
        <v>2D</v>
      </c>
      <c r="N143" s="25"/>
      <c r="O143" s="25"/>
      <c r="P143" s="25"/>
      <c r="Q143" s="25"/>
      <c r="R143" s="110"/>
      <c r="S143" s="74" t="s">
        <v>1835</v>
      </c>
      <c r="T143" s="73">
        <f t="shared" ca="1" si="640"/>
        <v>0</v>
      </c>
      <c r="U143" s="64"/>
      <c r="V143" s="74" t="s">
        <v>497</v>
      </c>
      <c r="W143" s="73">
        <f t="shared" ca="1" si="641"/>
        <v>0</v>
      </c>
      <c r="X143" s="64"/>
      <c r="Y143" s="74" t="s">
        <v>497</v>
      </c>
      <c r="Z143" s="73">
        <f t="shared" ca="1" si="642"/>
        <v>0</v>
      </c>
      <c r="AA143" s="64"/>
      <c r="AB143" s="74" t="s">
        <v>497</v>
      </c>
      <c r="AC143" s="73">
        <f t="shared" ca="1" si="643"/>
        <v>0</v>
      </c>
      <c r="AD143" s="64"/>
      <c r="AE143" s="74" t="s">
        <v>1835</v>
      </c>
      <c r="AF143" s="73">
        <f t="shared" ca="1" si="644"/>
        <v>0</v>
      </c>
      <c r="AG143" s="64"/>
      <c r="AH143" s="74" t="s">
        <v>1835</v>
      </c>
      <c r="AI143" s="73">
        <f t="shared" ca="1" si="645"/>
        <v>0</v>
      </c>
      <c r="AJ143" s="64"/>
      <c r="AK143" s="74" t="s">
        <v>1319</v>
      </c>
      <c r="AL143" s="73">
        <f t="shared" ca="1" si="646"/>
        <v>0</v>
      </c>
      <c r="AM143" s="64"/>
      <c r="AN143" s="74" t="s">
        <v>497</v>
      </c>
      <c r="AO143" s="73">
        <f t="shared" ca="1" si="647"/>
        <v>0</v>
      </c>
      <c r="AP143" s="64"/>
      <c r="AQ143" s="74" t="s">
        <v>1319</v>
      </c>
      <c r="AR143" s="73">
        <f t="shared" ca="1" si="648"/>
        <v>0</v>
      </c>
      <c r="AS143" s="64"/>
      <c r="AT143" s="74" t="s">
        <v>497</v>
      </c>
      <c r="AU143" s="73">
        <f t="shared" ca="1" si="649"/>
        <v>0</v>
      </c>
      <c r="AV143" s="64"/>
      <c r="AW143" s="74" t="s">
        <v>1319</v>
      </c>
      <c r="AX143" s="73">
        <f t="shared" ca="1" si="650"/>
        <v>0</v>
      </c>
      <c r="AY143" s="64"/>
      <c r="AZ143" s="74" t="s">
        <v>497</v>
      </c>
      <c r="BA143" s="73">
        <f t="shared" ca="1" si="651"/>
        <v>0</v>
      </c>
      <c r="BB143" s="64"/>
      <c r="BC143" s="74" t="s">
        <v>497</v>
      </c>
      <c r="BD143" s="73">
        <f t="shared" ca="1" si="652"/>
        <v>0</v>
      </c>
      <c r="BE143" s="64"/>
      <c r="BF143" s="74" t="s">
        <v>1835</v>
      </c>
      <c r="BG143" s="73">
        <f t="shared" ca="1" si="653"/>
        <v>0</v>
      </c>
      <c r="BH143" s="64"/>
      <c r="BI143" s="74" t="s">
        <v>1319</v>
      </c>
      <c r="BJ143" s="73">
        <f t="shared" ca="1" si="654"/>
        <v>0</v>
      </c>
      <c r="BK143" s="64"/>
      <c r="BL143" s="74" t="s">
        <v>1835</v>
      </c>
      <c r="BM143" s="73">
        <f t="shared" ca="1" si="655"/>
        <v>0</v>
      </c>
      <c r="BN143" s="64"/>
      <c r="BO143" s="74" t="s">
        <v>497</v>
      </c>
      <c r="BP143" s="73">
        <f t="shared" ca="1" si="656"/>
        <v>0</v>
      </c>
      <c r="BQ143" s="64"/>
      <c r="BR143" s="74" t="s">
        <v>1319</v>
      </c>
      <c r="BS143" s="73">
        <f t="shared" ca="1" si="657"/>
        <v>0</v>
      </c>
      <c r="BT143" s="64"/>
      <c r="BU143" s="74" t="s">
        <v>497</v>
      </c>
      <c r="BV143" s="73">
        <f t="shared" ca="1" si="658"/>
        <v>0</v>
      </c>
      <c r="BW143" s="64"/>
      <c r="BX143" s="74" t="s">
        <v>497</v>
      </c>
      <c r="BY143" s="73">
        <f t="shared" ca="1" si="659"/>
        <v>0</v>
      </c>
      <c r="BZ143" s="64"/>
      <c r="CA143" s="74" t="s">
        <v>497</v>
      </c>
      <c r="CB143" s="73">
        <f t="shared" ca="1" si="660"/>
        <v>0</v>
      </c>
      <c r="CC143" s="64"/>
      <c r="CD143" s="74" t="s">
        <v>497</v>
      </c>
      <c r="CE143" s="73">
        <f t="shared" ca="1" si="661"/>
        <v>0</v>
      </c>
      <c r="CF143" s="64"/>
      <c r="CG143" s="74" t="s">
        <v>1835</v>
      </c>
      <c r="CH143" s="73">
        <f t="shared" ca="1" si="662"/>
        <v>0</v>
      </c>
      <c r="CI143" s="64"/>
      <c r="CJ143" s="74" t="s">
        <v>1835</v>
      </c>
      <c r="CK143" s="73">
        <f t="shared" ca="1" si="663"/>
        <v>0</v>
      </c>
      <c r="CL143" s="64"/>
      <c r="CM143" s="74" t="s">
        <v>497</v>
      </c>
      <c r="CN143" s="73">
        <f t="shared" ca="1" si="664"/>
        <v>0</v>
      </c>
      <c r="CO143" s="64"/>
      <c r="CP143" s="74" t="s">
        <v>497</v>
      </c>
      <c r="CQ143" s="73">
        <f t="shared" ca="1" si="665"/>
        <v>0</v>
      </c>
      <c r="CR143" s="64"/>
      <c r="CS143" s="74" t="s">
        <v>497</v>
      </c>
      <c r="CT143" s="73">
        <f t="shared" ca="1" si="666"/>
        <v>0</v>
      </c>
      <c r="CU143" s="64"/>
      <c r="CV143" s="74" t="s">
        <v>497</v>
      </c>
      <c r="CW143" s="73">
        <f t="shared" ca="1" si="667"/>
        <v>0</v>
      </c>
      <c r="CX143" s="64"/>
      <c r="CY143" s="74" t="s">
        <v>497</v>
      </c>
      <c r="CZ143" s="73">
        <f t="shared" ca="1" si="668"/>
        <v>0</v>
      </c>
      <c r="DA143" s="64"/>
      <c r="DB143" s="74" t="s">
        <v>497</v>
      </c>
      <c r="DC143" s="73">
        <f t="shared" ca="1" si="669"/>
        <v>0</v>
      </c>
      <c r="DD143" s="64"/>
      <c r="DE143" s="74" t="s">
        <v>497</v>
      </c>
      <c r="DF143" s="73">
        <f t="shared" ca="1" si="670"/>
        <v>0</v>
      </c>
      <c r="DG143" s="64"/>
      <c r="DH143" s="74" t="s">
        <v>497</v>
      </c>
      <c r="DI143" s="73">
        <f t="shared" ca="1" si="671"/>
        <v>0</v>
      </c>
      <c r="DJ143" s="64"/>
      <c r="DK143" s="74" t="s">
        <v>497</v>
      </c>
      <c r="DL143" s="73">
        <f t="shared" ca="1" si="672"/>
        <v>0</v>
      </c>
      <c r="DM143" s="64"/>
      <c r="DN143" s="795" t="s">
        <v>1319</v>
      </c>
      <c r="DO143" s="73">
        <f t="shared" ca="1" si="673"/>
        <v>0</v>
      </c>
      <c r="DP143" s="64"/>
      <c r="DQ143" s="795" t="s">
        <v>1835</v>
      </c>
      <c r="DR143" s="73">
        <f t="shared" ca="1" si="674"/>
        <v>0</v>
      </c>
      <c r="DS143" s="64"/>
      <c r="DT143" s="74" t="s">
        <v>1835</v>
      </c>
      <c r="DU143" s="73">
        <f t="shared" ca="1" si="675"/>
        <v>0</v>
      </c>
      <c r="DV143" s="64"/>
      <c r="DW143" s="74" t="s">
        <v>497</v>
      </c>
      <c r="DX143" s="73">
        <f t="shared" ca="1" si="676"/>
        <v>0</v>
      </c>
      <c r="DY143" s="64"/>
      <c r="DZ143" s="74" t="s">
        <v>1835</v>
      </c>
      <c r="EA143" s="73">
        <f t="shared" ca="1" si="677"/>
        <v>0</v>
      </c>
      <c r="EB143" s="64"/>
      <c r="EC143" s="74" t="s">
        <v>1319</v>
      </c>
      <c r="ED143" s="73">
        <f t="shared" ca="1" si="678"/>
        <v>0</v>
      </c>
      <c r="EE143" s="64"/>
      <c r="EF143" s="74" t="s">
        <v>1835</v>
      </c>
      <c r="EG143" s="73">
        <f t="shared" ca="1" si="679"/>
        <v>0</v>
      </c>
      <c r="EH143" s="64"/>
      <c r="EI143" s="74" t="s">
        <v>497</v>
      </c>
      <c r="EJ143" s="73">
        <f t="shared" ca="1" si="680"/>
        <v>0</v>
      </c>
      <c r="EK143" s="64"/>
      <c r="EL143" s="74"/>
      <c r="EM143" s="73">
        <f t="shared" ca="1" si="681"/>
        <v>0</v>
      </c>
      <c r="EN143" s="64"/>
      <c r="EO143" s="74"/>
      <c r="EP143" s="73">
        <f t="shared" ca="1" si="682"/>
        <v>0</v>
      </c>
      <c r="EQ143" s="64"/>
      <c r="ER143" s="74"/>
      <c r="ES143" s="73">
        <f t="shared" ca="1" si="683"/>
        <v>0</v>
      </c>
      <c r="ET143" s="64"/>
      <c r="EU143" s="74"/>
      <c r="EV143" s="73">
        <f t="shared" ca="1" si="684"/>
        <v>0</v>
      </c>
      <c r="EW143" s="64"/>
      <c r="EX143" s="74"/>
      <c r="EY143" s="73">
        <f t="shared" ca="1" si="685"/>
        <v>0</v>
      </c>
      <c r="EZ143" s="64"/>
      <c r="FA143" s="74"/>
      <c r="FB143" s="73">
        <f t="shared" ca="1" si="686"/>
        <v>0</v>
      </c>
      <c r="FC143" s="64"/>
      <c r="FD143" s="74"/>
      <c r="FE143" s="73">
        <f t="shared" ca="1" si="687"/>
        <v>0</v>
      </c>
      <c r="FF143" s="64"/>
      <c r="FG143" s="74"/>
      <c r="FH143" s="73">
        <f t="shared" ca="1" si="688"/>
        <v>0</v>
      </c>
      <c r="FI143" s="64"/>
      <c r="FJ143" s="74"/>
      <c r="FK143" s="73">
        <f t="shared" ca="1" si="689"/>
        <v>0</v>
      </c>
      <c r="FL143" s="64"/>
      <c r="FM143" s="64"/>
    </row>
    <row r="144" spans="1:169">
      <c r="A144" s="49"/>
      <c r="B144" s="49"/>
      <c r="C144" s="49"/>
      <c r="D144" s="49"/>
      <c r="E144" s="65"/>
      <c r="F144" s="127">
        <f t="shared" si="690"/>
        <v>3</v>
      </c>
      <c r="G144" s="445">
        <f ca="1">VLOOKUP(H144,Equipos!$Q$1:$R$25,2,0)</f>
        <v>19</v>
      </c>
      <c r="H144" s="447" t="str">
        <f>Idiomas!$D$137</f>
        <v>CLASIFICADOS PARA DIECISEISAVOS</v>
      </c>
      <c r="I144" s="50"/>
      <c r="J144" s="849"/>
      <c r="K144" s="56" t="str">
        <f>Idiomas!$D$198&amp;"-"&amp;ROWS($L$130:L144)</f>
        <v>Dieciseisavofinalista-15</v>
      </c>
      <c r="L144" s="53"/>
      <c r="M144" s="55" t="str">
        <f ca="1">WORLDCUP!AA115</f>
        <v>1J</v>
      </c>
      <c r="N144" s="25"/>
      <c r="O144" s="25"/>
      <c r="P144" s="25"/>
      <c r="Q144" s="25"/>
      <c r="R144" s="110"/>
      <c r="S144" s="74" t="s">
        <v>1256</v>
      </c>
      <c r="T144" s="73">
        <f t="shared" ca="1" si="640"/>
        <v>0</v>
      </c>
      <c r="U144" s="64"/>
      <c r="V144" s="74" t="s">
        <v>1256</v>
      </c>
      <c r="W144" s="73">
        <f t="shared" ca="1" si="641"/>
        <v>0</v>
      </c>
      <c r="X144" s="64"/>
      <c r="Y144" s="74" t="s">
        <v>1256</v>
      </c>
      <c r="Z144" s="73">
        <f t="shared" ca="1" si="642"/>
        <v>0</v>
      </c>
      <c r="AA144" s="64"/>
      <c r="AB144" s="74" t="s">
        <v>1256</v>
      </c>
      <c r="AC144" s="73">
        <f t="shared" ca="1" si="643"/>
        <v>0</v>
      </c>
      <c r="AD144" s="64"/>
      <c r="AE144" s="74" t="s">
        <v>1256</v>
      </c>
      <c r="AF144" s="73">
        <f t="shared" ca="1" si="644"/>
        <v>0</v>
      </c>
      <c r="AG144" s="64"/>
      <c r="AH144" s="74" t="s">
        <v>1256</v>
      </c>
      <c r="AI144" s="73">
        <f t="shared" ca="1" si="645"/>
        <v>0</v>
      </c>
      <c r="AJ144" s="64"/>
      <c r="AK144" s="74" t="s">
        <v>1256</v>
      </c>
      <c r="AL144" s="73">
        <f t="shared" ca="1" si="646"/>
        <v>0</v>
      </c>
      <c r="AM144" s="64"/>
      <c r="AN144" s="74" t="s">
        <v>1256</v>
      </c>
      <c r="AO144" s="73">
        <f t="shared" ca="1" si="647"/>
        <v>0</v>
      </c>
      <c r="AP144" s="64"/>
      <c r="AQ144" s="74" t="s">
        <v>1256</v>
      </c>
      <c r="AR144" s="73">
        <f t="shared" ca="1" si="648"/>
        <v>0</v>
      </c>
      <c r="AS144" s="64"/>
      <c r="AT144" s="74" t="s">
        <v>1256</v>
      </c>
      <c r="AU144" s="73">
        <f t="shared" ca="1" si="649"/>
        <v>0</v>
      </c>
      <c r="AV144" s="64"/>
      <c r="AW144" s="74" t="s">
        <v>1256</v>
      </c>
      <c r="AX144" s="73">
        <f t="shared" ca="1" si="650"/>
        <v>0</v>
      </c>
      <c r="AY144" s="64"/>
      <c r="AZ144" s="74" t="s">
        <v>1256</v>
      </c>
      <c r="BA144" s="73">
        <f t="shared" ca="1" si="651"/>
        <v>0</v>
      </c>
      <c r="BB144" s="64"/>
      <c r="BC144" s="74" t="s">
        <v>1256</v>
      </c>
      <c r="BD144" s="73">
        <f t="shared" ca="1" si="652"/>
        <v>0</v>
      </c>
      <c r="BE144" s="64"/>
      <c r="BF144" s="74" t="s">
        <v>1256</v>
      </c>
      <c r="BG144" s="73">
        <f t="shared" ca="1" si="653"/>
        <v>0</v>
      </c>
      <c r="BH144" s="64"/>
      <c r="BI144" s="74" t="s">
        <v>1256</v>
      </c>
      <c r="BJ144" s="73">
        <f t="shared" ca="1" si="654"/>
        <v>0</v>
      </c>
      <c r="BK144" s="64"/>
      <c r="BL144" s="74" t="s">
        <v>1256</v>
      </c>
      <c r="BM144" s="73">
        <f t="shared" ca="1" si="655"/>
        <v>0</v>
      </c>
      <c r="BN144" s="64"/>
      <c r="BO144" s="74" t="s">
        <v>1256</v>
      </c>
      <c r="BP144" s="73">
        <f t="shared" ca="1" si="656"/>
        <v>0</v>
      </c>
      <c r="BQ144" s="64"/>
      <c r="BR144" s="74" t="s">
        <v>1256</v>
      </c>
      <c r="BS144" s="73">
        <f t="shared" ca="1" si="657"/>
        <v>0</v>
      </c>
      <c r="BT144" s="64"/>
      <c r="BU144" s="74" t="s">
        <v>1256</v>
      </c>
      <c r="BV144" s="73">
        <f t="shared" ca="1" si="658"/>
        <v>0</v>
      </c>
      <c r="BW144" s="64"/>
      <c r="BX144" s="74" t="s">
        <v>1256</v>
      </c>
      <c r="BY144" s="73">
        <f t="shared" ca="1" si="659"/>
        <v>0</v>
      </c>
      <c r="BZ144" s="64"/>
      <c r="CA144" s="74" t="s">
        <v>1256</v>
      </c>
      <c r="CB144" s="73">
        <f t="shared" ca="1" si="660"/>
        <v>0</v>
      </c>
      <c r="CC144" s="64"/>
      <c r="CD144" s="74" t="s">
        <v>1256</v>
      </c>
      <c r="CE144" s="73">
        <f t="shared" ca="1" si="661"/>
        <v>0</v>
      </c>
      <c r="CF144" s="64"/>
      <c r="CG144" s="74" t="s">
        <v>1256</v>
      </c>
      <c r="CH144" s="73">
        <f t="shared" ca="1" si="662"/>
        <v>0</v>
      </c>
      <c r="CI144" s="64"/>
      <c r="CJ144" s="74" t="s">
        <v>1256</v>
      </c>
      <c r="CK144" s="73">
        <f t="shared" ca="1" si="663"/>
        <v>0</v>
      </c>
      <c r="CL144" s="64"/>
      <c r="CM144" s="74" t="s">
        <v>1256</v>
      </c>
      <c r="CN144" s="73">
        <f t="shared" ca="1" si="664"/>
        <v>0</v>
      </c>
      <c r="CO144" s="64"/>
      <c r="CP144" s="74" t="s">
        <v>1256</v>
      </c>
      <c r="CQ144" s="73">
        <f t="shared" ca="1" si="665"/>
        <v>0</v>
      </c>
      <c r="CR144" s="64"/>
      <c r="CS144" s="74" t="s">
        <v>1256</v>
      </c>
      <c r="CT144" s="73">
        <f t="shared" ca="1" si="666"/>
        <v>0</v>
      </c>
      <c r="CU144" s="64"/>
      <c r="CV144" s="74" t="s">
        <v>1256</v>
      </c>
      <c r="CW144" s="73">
        <f t="shared" ca="1" si="667"/>
        <v>0</v>
      </c>
      <c r="CX144" s="64"/>
      <c r="CY144" s="74" t="s">
        <v>1256</v>
      </c>
      <c r="CZ144" s="73">
        <f t="shared" ca="1" si="668"/>
        <v>0</v>
      </c>
      <c r="DA144" s="64"/>
      <c r="DB144" s="74" t="s">
        <v>1256</v>
      </c>
      <c r="DC144" s="73">
        <f t="shared" ca="1" si="669"/>
        <v>0</v>
      </c>
      <c r="DD144" s="64"/>
      <c r="DE144" s="74" t="s">
        <v>1256</v>
      </c>
      <c r="DF144" s="73">
        <f t="shared" ca="1" si="670"/>
        <v>0</v>
      </c>
      <c r="DG144" s="64"/>
      <c r="DH144" s="74" t="s">
        <v>1256</v>
      </c>
      <c r="DI144" s="73">
        <f t="shared" ca="1" si="671"/>
        <v>0</v>
      </c>
      <c r="DJ144" s="64"/>
      <c r="DK144" s="74" t="s">
        <v>1256</v>
      </c>
      <c r="DL144" s="73">
        <f t="shared" ca="1" si="672"/>
        <v>0</v>
      </c>
      <c r="DM144" s="64"/>
      <c r="DN144" s="795" t="s">
        <v>1256</v>
      </c>
      <c r="DO144" s="73">
        <f t="shared" ca="1" si="673"/>
        <v>0</v>
      </c>
      <c r="DP144" s="64"/>
      <c r="DQ144" s="795" t="s">
        <v>1256</v>
      </c>
      <c r="DR144" s="73">
        <f t="shared" ca="1" si="674"/>
        <v>0</v>
      </c>
      <c r="DS144" s="64"/>
      <c r="DT144" s="74" t="s">
        <v>1256</v>
      </c>
      <c r="DU144" s="73">
        <f t="shared" ca="1" si="675"/>
        <v>0</v>
      </c>
      <c r="DV144" s="64"/>
      <c r="DW144" s="74" t="s">
        <v>1256</v>
      </c>
      <c r="DX144" s="73">
        <f t="shared" ca="1" si="676"/>
        <v>0</v>
      </c>
      <c r="DY144" s="64"/>
      <c r="DZ144" s="74" t="s">
        <v>1256</v>
      </c>
      <c r="EA144" s="73">
        <f t="shared" ca="1" si="677"/>
        <v>0</v>
      </c>
      <c r="EB144" s="64"/>
      <c r="EC144" s="74" t="s">
        <v>1256</v>
      </c>
      <c r="ED144" s="73">
        <f t="shared" ca="1" si="678"/>
        <v>0</v>
      </c>
      <c r="EE144" s="64"/>
      <c r="EF144" s="74" t="s">
        <v>1256</v>
      </c>
      <c r="EG144" s="73">
        <f t="shared" ca="1" si="679"/>
        <v>0</v>
      </c>
      <c r="EH144" s="64"/>
      <c r="EI144" s="74" t="s">
        <v>1256</v>
      </c>
      <c r="EJ144" s="73">
        <f t="shared" ca="1" si="680"/>
        <v>0</v>
      </c>
      <c r="EK144" s="64"/>
      <c r="EL144" s="74"/>
      <c r="EM144" s="73">
        <f t="shared" ca="1" si="681"/>
        <v>0</v>
      </c>
      <c r="EN144" s="64"/>
      <c r="EO144" s="74"/>
      <c r="EP144" s="73">
        <f t="shared" ca="1" si="682"/>
        <v>0</v>
      </c>
      <c r="EQ144" s="64"/>
      <c r="ER144" s="74"/>
      <c r="ES144" s="73">
        <f t="shared" ca="1" si="683"/>
        <v>0</v>
      </c>
      <c r="ET144" s="64"/>
      <c r="EU144" s="74"/>
      <c r="EV144" s="73">
        <f t="shared" ca="1" si="684"/>
        <v>0</v>
      </c>
      <c r="EW144" s="64"/>
      <c r="EX144" s="74"/>
      <c r="EY144" s="73">
        <f t="shared" ca="1" si="685"/>
        <v>0</v>
      </c>
      <c r="EZ144" s="64"/>
      <c r="FA144" s="74"/>
      <c r="FB144" s="73">
        <f t="shared" ca="1" si="686"/>
        <v>0</v>
      </c>
      <c r="FC144" s="64"/>
      <c r="FD144" s="74"/>
      <c r="FE144" s="73">
        <f t="shared" ca="1" si="687"/>
        <v>0</v>
      </c>
      <c r="FF144" s="64"/>
      <c r="FG144" s="74"/>
      <c r="FH144" s="73">
        <f t="shared" ca="1" si="688"/>
        <v>0</v>
      </c>
      <c r="FI144" s="64"/>
      <c r="FJ144" s="74"/>
      <c r="FK144" s="73">
        <f t="shared" ca="1" si="689"/>
        <v>0</v>
      </c>
      <c r="FL144" s="64"/>
      <c r="FM144" s="64"/>
    </row>
    <row r="145" spans="1:169">
      <c r="A145" s="49"/>
      <c r="B145" s="49"/>
      <c r="C145" s="49"/>
      <c r="D145" s="49"/>
      <c r="E145" s="65"/>
      <c r="F145" s="127">
        <f t="shared" si="690"/>
        <v>3</v>
      </c>
      <c r="G145" s="445">
        <f ca="1">VLOOKUP(H145,Equipos!$Q$1:$R$25,2,0)</f>
        <v>19</v>
      </c>
      <c r="H145" s="447" t="str">
        <f>Idiomas!$D$137</f>
        <v>CLASIFICADOS PARA DIECISEISAVOS</v>
      </c>
      <c r="I145" s="50"/>
      <c r="J145" s="849"/>
      <c r="K145" s="56" t="str">
        <f>Idiomas!$D$198&amp;"-"&amp;ROWS($L$130:L145)</f>
        <v>Dieciseisavofinalista-16</v>
      </c>
      <c r="L145" s="53"/>
      <c r="M145" s="55" t="str">
        <f ca="1">WORLDCUP!AA116</f>
        <v>1K</v>
      </c>
      <c r="N145" s="25"/>
      <c r="O145" s="25"/>
      <c r="P145" s="25"/>
      <c r="Q145" s="25"/>
      <c r="R145" s="110"/>
      <c r="S145" s="74" t="s">
        <v>1320</v>
      </c>
      <c r="T145" s="73">
        <f t="shared" ca="1" si="640"/>
        <v>0</v>
      </c>
      <c r="U145" s="64"/>
      <c r="V145" s="74" t="s">
        <v>79</v>
      </c>
      <c r="W145" s="73">
        <f t="shared" ca="1" si="641"/>
        <v>0</v>
      </c>
      <c r="X145" s="64"/>
      <c r="Y145" s="74" t="s">
        <v>79</v>
      </c>
      <c r="Z145" s="73">
        <f t="shared" ca="1" si="642"/>
        <v>0</v>
      </c>
      <c r="AA145" s="64"/>
      <c r="AB145" s="74" t="s">
        <v>79</v>
      </c>
      <c r="AC145" s="73">
        <f t="shared" ca="1" si="643"/>
        <v>0</v>
      </c>
      <c r="AD145" s="64"/>
      <c r="AE145" s="74" t="s">
        <v>1320</v>
      </c>
      <c r="AF145" s="73">
        <f t="shared" ca="1" si="644"/>
        <v>0</v>
      </c>
      <c r="AG145" s="64"/>
      <c r="AH145" s="74" t="s">
        <v>79</v>
      </c>
      <c r="AI145" s="73">
        <f t="shared" ca="1" si="645"/>
        <v>0</v>
      </c>
      <c r="AJ145" s="64"/>
      <c r="AK145" s="74" t="s">
        <v>79</v>
      </c>
      <c r="AL145" s="73">
        <f t="shared" ca="1" si="646"/>
        <v>0</v>
      </c>
      <c r="AM145" s="64"/>
      <c r="AN145" s="74" t="s">
        <v>79</v>
      </c>
      <c r="AO145" s="73">
        <f t="shared" ca="1" si="647"/>
        <v>0</v>
      </c>
      <c r="AP145" s="64"/>
      <c r="AQ145" s="74" t="s">
        <v>79</v>
      </c>
      <c r="AR145" s="73">
        <f t="shared" ca="1" si="648"/>
        <v>0</v>
      </c>
      <c r="AS145" s="64"/>
      <c r="AT145" s="74" t="s">
        <v>79</v>
      </c>
      <c r="AU145" s="73">
        <f t="shared" ca="1" si="649"/>
        <v>0</v>
      </c>
      <c r="AV145" s="64"/>
      <c r="AW145" s="74" t="s">
        <v>79</v>
      </c>
      <c r="AX145" s="73">
        <f t="shared" ca="1" si="650"/>
        <v>0</v>
      </c>
      <c r="AY145" s="64"/>
      <c r="AZ145" s="74" t="s">
        <v>79</v>
      </c>
      <c r="BA145" s="73">
        <f t="shared" ca="1" si="651"/>
        <v>0</v>
      </c>
      <c r="BB145" s="64"/>
      <c r="BC145" s="74" t="s">
        <v>79</v>
      </c>
      <c r="BD145" s="73">
        <f t="shared" ca="1" si="652"/>
        <v>0</v>
      </c>
      <c r="BE145" s="64"/>
      <c r="BF145" s="74" t="s">
        <v>79</v>
      </c>
      <c r="BG145" s="73">
        <f t="shared" ca="1" si="653"/>
        <v>0</v>
      </c>
      <c r="BH145" s="64"/>
      <c r="BI145" s="74" t="s">
        <v>79</v>
      </c>
      <c r="BJ145" s="73">
        <f t="shared" ca="1" si="654"/>
        <v>0</v>
      </c>
      <c r="BK145" s="64"/>
      <c r="BL145" s="74" t="s">
        <v>79</v>
      </c>
      <c r="BM145" s="73">
        <f t="shared" ca="1" si="655"/>
        <v>0</v>
      </c>
      <c r="BN145" s="64"/>
      <c r="BO145" s="74" t="s">
        <v>79</v>
      </c>
      <c r="BP145" s="73">
        <f t="shared" ca="1" si="656"/>
        <v>0</v>
      </c>
      <c r="BQ145" s="64"/>
      <c r="BR145" s="74" t="s">
        <v>79</v>
      </c>
      <c r="BS145" s="73">
        <f t="shared" ca="1" si="657"/>
        <v>0</v>
      </c>
      <c r="BT145" s="64"/>
      <c r="BU145" s="74" t="s">
        <v>79</v>
      </c>
      <c r="BV145" s="73">
        <f t="shared" ca="1" si="658"/>
        <v>0</v>
      </c>
      <c r="BW145" s="64"/>
      <c r="BX145" s="74" t="s">
        <v>1320</v>
      </c>
      <c r="BY145" s="73">
        <f t="shared" ca="1" si="659"/>
        <v>0</v>
      </c>
      <c r="BZ145" s="64"/>
      <c r="CA145" s="74" t="s">
        <v>79</v>
      </c>
      <c r="CB145" s="73">
        <f t="shared" ca="1" si="660"/>
        <v>0</v>
      </c>
      <c r="CC145" s="64"/>
      <c r="CD145" s="74" t="s">
        <v>79</v>
      </c>
      <c r="CE145" s="73">
        <f t="shared" ca="1" si="661"/>
        <v>0</v>
      </c>
      <c r="CF145" s="64"/>
      <c r="CG145" s="74" t="s">
        <v>79</v>
      </c>
      <c r="CH145" s="73">
        <f t="shared" ca="1" si="662"/>
        <v>0</v>
      </c>
      <c r="CI145" s="64"/>
      <c r="CJ145" s="74" t="s">
        <v>79</v>
      </c>
      <c r="CK145" s="73">
        <f t="shared" ca="1" si="663"/>
        <v>0</v>
      </c>
      <c r="CL145" s="64"/>
      <c r="CM145" s="74" t="s">
        <v>79</v>
      </c>
      <c r="CN145" s="73">
        <f t="shared" ca="1" si="664"/>
        <v>0</v>
      </c>
      <c r="CO145" s="64"/>
      <c r="CP145" s="74" t="s">
        <v>79</v>
      </c>
      <c r="CQ145" s="73">
        <f t="shared" ca="1" si="665"/>
        <v>0</v>
      </c>
      <c r="CR145" s="64"/>
      <c r="CS145" s="74" t="s">
        <v>79</v>
      </c>
      <c r="CT145" s="73">
        <f t="shared" ca="1" si="666"/>
        <v>0</v>
      </c>
      <c r="CU145" s="64"/>
      <c r="CV145" s="74" t="s">
        <v>79</v>
      </c>
      <c r="CW145" s="73">
        <f t="shared" ca="1" si="667"/>
        <v>0</v>
      </c>
      <c r="CX145" s="64"/>
      <c r="CY145" s="74" t="s">
        <v>79</v>
      </c>
      <c r="CZ145" s="73">
        <f t="shared" ca="1" si="668"/>
        <v>0</v>
      </c>
      <c r="DA145" s="64"/>
      <c r="DB145" s="74" t="s">
        <v>79</v>
      </c>
      <c r="DC145" s="73">
        <f t="shared" ca="1" si="669"/>
        <v>0</v>
      </c>
      <c r="DD145" s="64"/>
      <c r="DE145" s="74" t="s">
        <v>79</v>
      </c>
      <c r="DF145" s="73">
        <f t="shared" ca="1" si="670"/>
        <v>0</v>
      </c>
      <c r="DG145" s="64"/>
      <c r="DH145" s="74" t="s">
        <v>79</v>
      </c>
      <c r="DI145" s="73">
        <f t="shared" ca="1" si="671"/>
        <v>0</v>
      </c>
      <c r="DJ145" s="64"/>
      <c r="DK145" s="74" t="s">
        <v>79</v>
      </c>
      <c r="DL145" s="73">
        <f t="shared" ca="1" si="672"/>
        <v>0</v>
      </c>
      <c r="DM145" s="64"/>
      <c r="DN145" s="795" t="s">
        <v>79</v>
      </c>
      <c r="DO145" s="73">
        <f t="shared" ca="1" si="673"/>
        <v>0</v>
      </c>
      <c r="DP145" s="64"/>
      <c r="DQ145" s="795" t="s">
        <v>79</v>
      </c>
      <c r="DR145" s="73">
        <f t="shared" ca="1" si="674"/>
        <v>0</v>
      </c>
      <c r="DS145" s="64"/>
      <c r="DT145" s="74" t="s">
        <v>1320</v>
      </c>
      <c r="DU145" s="73">
        <f t="shared" ca="1" si="675"/>
        <v>0</v>
      </c>
      <c r="DV145" s="64"/>
      <c r="DW145" s="74" t="s">
        <v>79</v>
      </c>
      <c r="DX145" s="73">
        <f t="shared" ca="1" si="676"/>
        <v>0</v>
      </c>
      <c r="DY145" s="64"/>
      <c r="DZ145" s="74" t="s">
        <v>79</v>
      </c>
      <c r="EA145" s="73">
        <f t="shared" ca="1" si="677"/>
        <v>0</v>
      </c>
      <c r="EB145" s="64"/>
      <c r="EC145" s="74" t="s">
        <v>79</v>
      </c>
      <c r="ED145" s="73">
        <f t="shared" ca="1" si="678"/>
        <v>0</v>
      </c>
      <c r="EE145" s="64"/>
      <c r="EF145" s="74" t="s">
        <v>79</v>
      </c>
      <c r="EG145" s="73">
        <f t="shared" ca="1" si="679"/>
        <v>0</v>
      </c>
      <c r="EH145" s="64"/>
      <c r="EI145" s="74" t="s">
        <v>79</v>
      </c>
      <c r="EJ145" s="73">
        <f t="shared" ca="1" si="680"/>
        <v>0</v>
      </c>
      <c r="EK145" s="64"/>
      <c r="EL145" s="74"/>
      <c r="EM145" s="73">
        <f t="shared" ca="1" si="681"/>
        <v>0</v>
      </c>
      <c r="EN145" s="64"/>
      <c r="EO145" s="74"/>
      <c r="EP145" s="73">
        <f t="shared" ca="1" si="682"/>
        <v>0</v>
      </c>
      <c r="EQ145" s="64"/>
      <c r="ER145" s="74"/>
      <c r="ES145" s="73">
        <f t="shared" ca="1" si="683"/>
        <v>0</v>
      </c>
      <c r="ET145" s="64"/>
      <c r="EU145" s="74"/>
      <c r="EV145" s="73">
        <f t="shared" ca="1" si="684"/>
        <v>0</v>
      </c>
      <c r="EW145" s="64"/>
      <c r="EX145" s="74"/>
      <c r="EY145" s="73">
        <f t="shared" ca="1" si="685"/>
        <v>0</v>
      </c>
      <c r="EZ145" s="64"/>
      <c r="FA145" s="74"/>
      <c r="FB145" s="73">
        <f t="shared" ca="1" si="686"/>
        <v>0</v>
      </c>
      <c r="FC145" s="64"/>
      <c r="FD145" s="74"/>
      <c r="FE145" s="73">
        <f t="shared" ca="1" si="687"/>
        <v>0</v>
      </c>
      <c r="FF145" s="64"/>
      <c r="FG145" s="74"/>
      <c r="FH145" s="73">
        <f t="shared" ca="1" si="688"/>
        <v>0</v>
      </c>
      <c r="FI145" s="64"/>
      <c r="FJ145" s="74"/>
      <c r="FK145" s="73">
        <f t="shared" ca="1" si="689"/>
        <v>0</v>
      </c>
      <c r="FL145" s="64"/>
      <c r="FM145" s="64"/>
    </row>
    <row r="146" spans="1:169">
      <c r="A146" s="49"/>
      <c r="B146" s="49"/>
      <c r="C146" s="49"/>
      <c r="D146" s="49"/>
      <c r="E146" s="65"/>
      <c r="F146" s="127">
        <f t="shared" si="690"/>
        <v>3</v>
      </c>
      <c r="G146" s="445">
        <f ca="1">VLOOKUP(H146,Equipos!$Q$1:$R$25,2,0)</f>
        <v>19</v>
      </c>
      <c r="H146" s="447" t="str">
        <f>Idiomas!$D$137</f>
        <v>CLASIFICADOS PARA DIECISEISAVOS</v>
      </c>
      <c r="I146" s="50"/>
      <c r="J146" s="849"/>
      <c r="K146" s="56" t="str">
        <f>Idiomas!$D$198&amp;"-"&amp;ROWS($L$130:L146)</f>
        <v>Dieciseisavofinalista-17</v>
      </c>
      <c r="L146" s="53"/>
      <c r="M146" s="55" t="str">
        <f ca="1">WORLDCUP!AF101</f>
        <v>2B</v>
      </c>
      <c r="N146" s="25"/>
      <c r="O146" s="25"/>
      <c r="P146" s="25"/>
      <c r="Q146" s="25"/>
      <c r="R146" s="110"/>
      <c r="S146" s="74" t="s">
        <v>75</v>
      </c>
      <c r="T146" s="73">
        <f t="shared" ca="1" si="640"/>
        <v>0</v>
      </c>
      <c r="U146" s="64"/>
      <c r="V146" s="74" t="s">
        <v>1841</v>
      </c>
      <c r="W146" s="73">
        <f t="shared" ca="1" si="641"/>
        <v>0</v>
      </c>
      <c r="X146" s="64"/>
      <c r="Y146" s="74" t="s">
        <v>1841</v>
      </c>
      <c r="Z146" s="73">
        <f t="shared" ca="1" si="642"/>
        <v>0</v>
      </c>
      <c r="AA146" s="64"/>
      <c r="AB146" s="74" t="s">
        <v>1841</v>
      </c>
      <c r="AC146" s="73">
        <f t="shared" ca="1" si="643"/>
        <v>0</v>
      </c>
      <c r="AD146" s="64"/>
      <c r="AE146" s="74" t="s">
        <v>1259</v>
      </c>
      <c r="AF146" s="73">
        <f t="shared" ca="1" si="644"/>
        <v>0</v>
      </c>
      <c r="AG146" s="64"/>
      <c r="AH146" s="74" t="s">
        <v>1259</v>
      </c>
      <c r="AI146" s="73">
        <f t="shared" ca="1" si="645"/>
        <v>0</v>
      </c>
      <c r="AJ146" s="64"/>
      <c r="AK146" s="74" t="s">
        <v>1841</v>
      </c>
      <c r="AL146" s="73">
        <f t="shared" ca="1" si="646"/>
        <v>0</v>
      </c>
      <c r="AM146" s="64"/>
      <c r="AN146" s="74" t="s">
        <v>1259</v>
      </c>
      <c r="AO146" s="73">
        <f t="shared" ca="1" si="647"/>
        <v>0</v>
      </c>
      <c r="AP146" s="64"/>
      <c r="AQ146" s="74" t="s">
        <v>1259</v>
      </c>
      <c r="AR146" s="73">
        <f t="shared" ca="1" si="648"/>
        <v>0</v>
      </c>
      <c r="AS146" s="64"/>
      <c r="AT146" s="74" t="s">
        <v>1841</v>
      </c>
      <c r="AU146" s="73">
        <f t="shared" ca="1" si="649"/>
        <v>0</v>
      </c>
      <c r="AV146" s="64"/>
      <c r="AW146" s="74" t="s">
        <v>75</v>
      </c>
      <c r="AX146" s="73">
        <f t="shared" ca="1" si="650"/>
        <v>0</v>
      </c>
      <c r="AY146" s="64"/>
      <c r="AZ146" s="74" t="s">
        <v>1259</v>
      </c>
      <c r="BA146" s="73">
        <f t="shared" ca="1" si="651"/>
        <v>0</v>
      </c>
      <c r="BB146" s="64"/>
      <c r="BC146" s="74" t="s">
        <v>1259</v>
      </c>
      <c r="BD146" s="73">
        <f t="shared" ca="1" si="652"/>
        <v>0</v>
      </c>
      <c r="BE146" s="64"/>
      <c r="BF146" s="74" t="s">
        <v>1259</v>
      </c>
      <c r="BG146" s="73">
        <f t="shared" ca="1" si="653"/>
        <v>0</v>
      </c>
      <c r="BH146" s="64"/>
      <c r="BI146" s="74" t="s">
        <v>1841</v>
      </c>
      <c r="BJ146" s="73">
        <f t="shared" ca="1" si="654"/>
        <v>0</v>
      </c>
      <c r="BK146" s="64"/>
      <c r="BL146" s="74" t="s">
        <v>1259</v>
      </c>
      <c r="BM146" s="73">
        <f t="shared" ca="1" si="655"/>
        <v>0</v>
      </c>
      <c r="BN146" s="64"/>
      <c r="BO146" s="74" t="s">
        <v>1259</v>
      </c>
      <c r="BP146" s="73">
        <f t="shared" ca="1" si="656"/>
        <v>0</v>
      </c>
      <c r="BQ146" s="64"/>
      <c r="BR146" s="74" t="s">
        <v>1841</v>
      </c>
      <c r="BS146" s="73">
        <f t="shared" ca="1" si="657"/>
        <v>0</v>
      </c>
      <c r="BT146" s="64"/>
      <c r="BU146" s="74" t="s">
        <v>1841</v>
      </c>
      <c r="BV146" s="73">
        <f t="shared" ca="1" si="658"/>
        <v>0</v>
      </c>
      <c r="BW146" s="64"/>
      <c r="BX146" s="74" t="s">
        <v>1259</v>
      </c>
      <c r="BY146" s="73">
        <f t="shared" ca="1" si="659"/>
        <v>0</v>
      </c>
      <c r="BZ146" s="64"/>
      <c r="CA146" s="74" t="s">
        <v>1259</v>
      </c>
      <c r="CB146" s="73">
        <f t="shared" ca="1" si="660"/>
        <v>0</v>
      </c>
      <c r="CC146" s="64"/>
      <c r="CD146" s="74" t="s">
        <v>1259</v>
      </c>
      <c r="CE146" s="73">
        <f t="shared" ca="1" si="661"/>
        <v>0</v>
      </c>
      <c r="CF146" s="64"/>
      <c r="CG146" s="74" t="s">
        <v>75</v>
      </c>
      <c r="CH146" s="73">
        <f t="shared" ca="1" si="662"/>
        <v>0</v>
      </c>
      <c r="CI146" s="64"/>
      <c r="CJ146" s="74" t="s">
        <v>1259</v>
      </c>
      <c r="CK146" s="73">
        <f t="shared" ca="1" si="663"/>
        <v>0</v>
      </c>
      <c r="CL146" s="64"/>
      <c r="CM146" s="74" t="s">
        <v>1259</v>
      </c>
      <c r="CN146" s="73">
        <f t="shared" ca="1" si="664"/>
        <v>0</v>
      </c>
      <c r="CO146" s="64"/>
      <c r="CP146" s="74" t="s">
        <v>1259</v>
      </c>
      <c r="CQ146" s="73">
        <f t="shared" ca="1" si="665"/>
        <v>0</v>
      </c>
      <c r="CR146" s="64"/>
      <c r="CS146" s="74" t="s">
        <v>1259</v>
      </c>
      <c r="CT146" s="73">
        <f t="shared" ca="1" si="666"/>
        <v>0</v>
      </c>
      <c r="CU146" s="64"/>
      <c r="CV146" s="74" t="s">
        <v>1841</v>
      </c>
      <c r="CW146" s="73">
        <f t="shared" ca="1" si="667"/>
        <v>0</v>
      </c>
      <c r="CX146" s="64"/>
      <c r="CY146" s="74" t="s">
        <v>1841</v>
      </c>
      <c r="CZ146" s="73">
        <f t="shared" ca="1" si="668"/>
        <v>0</v>
      </c>
      <c r="DA146" s="64"/>
      <c r="DB146" s="74" t="s">
        <v>1259</v>
      </c>
      <c r="DC146" s="73">
        <f t="shared" ca="1" si="669"/>
        <v>0</v>
      </c>
      <c r="DD146" s="64"/>
      <c r="DE146" s="74" t="s">
        <v>1259</v>
      </c>
      <c r="DF146" s="73">
        <f t="shared" ca="1" si="670"/>
        <v>0</v>
      </c>
      <c r="DG146" s="64"/>
      <c r="DH146" s="74" t="s">
        <v>1259</v>
      </c>
      <c r="DI146" s="73">
        <f t="shared" ca="1" si="671"/>
        <v>0</v>
      </c>
      <c r="DJ146" s="64"/>
      <c r="DK146" s="74" t="s">
        <v>1841</v>
      </c>
      <c r="DL146" s="73">
        <f t="shared" ca="1" si="672"/>
        <v>0</v>
      </c>
      <c r="DM146" s="64"/>
      <c r="DN146" s="795" t="s">
        <v>1841</v>
      </c>
      <c r="DO146" s="73">
        <f t="shared" ca="1" si="673"/>
        <v>0</v>
      </c>
      <c r="DP146" s="64"/>
      <c r="DQ146" s="795" t="s">
        <v>1841</v>
      </c>
      <c r="DR146" s="73">
        <f t="shared" ca="1" si="674"/>
        <v>0</v>
      </c>
      <c r="DS146" s="64"/>
      <c r="DT146" s="74" t="s">
        <v>1259</v>
      </c>
      <c r="DU146" s="73">
        <f t="shared" ca="1" si="675"/>
        <v>0</v>
      </c>
      <c r="DV146" s="64"/>
      <c r="DW146" s="74" t="s">
        <v>1259</v>
      </c>
      <c r="DX146" s="73">
        <f t="shared" ca="1" si="676"/>
        <v>0</v>
      </c>
      <c r="DY146" s="64"/>
      <c r="DZ146" s="74" t="s">
        <v>75</v>
      </c>
      <c r="EA146" s="73">
        <f t="shared" ca="1" si="677"/>
        <v>0</v>
      </c>
      <c r="EB146" s="64"/>
      <c r="EC146" s="74" t="s">
        <v>1841</v>
      </c>
      <c r="ED146" s="73">
        <f t="shared" ca="1" si="678"/>
        <v>0</v>
      </c>
      <c r="EE146" s="64"/>
      <c r="EF146" s="74" t="s">
        <v>1259</v>
      </c>
      <c r="EG146" s="73">
        <f t="shared" ca="1" si="679"/>
        <v>0</v>
      </c>
      <c r="EH146" s="64"/>
      <c r="EI146" s="74" t="s">
        <v>1841</v>
      </c>
      <c r="EJ146" s="73">
        <f t="shared" ca="1" si="680"/>
        <v>0</v>
      </c>
      <c r="EK146" s="64"/>
      <c r="EL146" s="74"/>
      <c r="EM146" s="73">
        <f t="shared" ca="1" si="681"/>
        <v>0</v>
      </c>
      <c r="EN146" s="64"/>
      <c r="EO146" s="74"/>
      <c r="EP146" s="73">
        <f t="shared" ca="1" si="682"/>
        <v>0</v>
      </c>
      <c r="EQ146" s="64"/>
      <c r="ER146" s="74"/>
      <c r="ES146" s="73">
        <f t="shared" ca="1" si="683"/>
        <v>0</v>
      </c>
      <c r="ET146" s="64"/>
      <c r="EU146" s="74"/>
      <c r="EV146" s="73">
        <f t="shared" ca="1" si="684"/>
        <v>0</v>
      </c>
      <c r="EW146" s="64"/>
      <c r="EX146" s="74"/>
      <c r="EY146" s="73">
        <f t="shared" ca="1" si="685"/>
        <v>0</v>
      </c>
      <c r="EZ146" s="64"/>
      <c r="FA146" s="74"/>
      <c r="FB146" s="73">
        <f t="shared" ca="1" si="686"/>
        <v>0</v>
      </c>
      <c r="FC146" s="64"/>
      <c r="FD146" s="74"/>
      <c r="FE146" s="73">
        <f t="shared" ca="1" si="687"/>
        <v>0</v>
      </c>
      <c r="FF146" s="64"/>
      <c r="FG146" s="74"/>
      <c r="FH146" s="73">
        <f t="shared" ca="1" si="688"/>
        <v>0</v>
      </c>
      <c r="FI146" s="64"/>
      <c r="FJ146" s="74"/>
      <c r="FK146" s="73">
        <f t="shared" ca="1" si="689"/>
        <v>0</v>
      </c>
      <c r="FL146" s="64"/>
      <c r="FM146" s="64"/>
    </row>
    <row r="147" spans="1:169">
      <c r="A147" s="49"/>
      <c r="B147" s="49"/>
      <c r="C147" s="49"/>
      <c r="D147" s="49"/>
      <c r="E147" s="65"/>
      <c r="F147" s="127">
        <f t="shared" si="690"/>
        <v>3</v>
      </c>
      <c r="G147" s="445">
        <f ca="1">VLOOKUP(H147,Equipos!$Q$1:$R$25,2,0)</f>
        <v>19</v>
      </c>
      <c r="H147" s="447" t="str">
        <f>Idiomas!$D$137</f>
        <v>CLASIFICADOS PARA DIECISEISAVOS</v>
      </c>
      <c r="I147" s="50"/>
      <c r="J147" s="849"/>
      <c r="K147" s="56" t="str">
        <f>Idiomas!$D$198&amp;"-"&amp;ROWS($L$130:L147)</f>
        <v>Dieciseisavofinalista-18</v>
      </c>
      <c r="L147" s="53"/>
      <c r="M147" s="55" t="str">
        <f ca="1">WORLDCUP!AF102</f>
        <v>2F</v>
      </c>
      <c r="N147" s="25"/>
      <c r="O147" s="25"/>
      <c r="P147" s="25"/>
      <c r="Q147" s="25"/>
      <c r="R147" s="110"/>
      <c r="S147" s="74" t="s">
        <v>111</v>
      </c>
      <c r="T147" s="73">
        <f t="shared" ca="1" si="640"/>
        <v>0</v>
      </c>
      <c r="U147" s="64"/>
      <c r="V147" s="74" t="s">
        <v>1263</v>
      </c>
      <c r="W147" s="73">
        <f t="shared" ca="1" si="641"/>
        <v>0</v>
      </c>
      <c r="X147" s="64"/>
      <c r="Y147" s="74" t="s">
        <v>1263</v>
      </c>
      <c r="Z147" s="73">
        <f t="shared" ca="1" si="642"/>
        <v>0</v>
      </c>
      <c r="AA147" s="64"/>
      <c r="AB147" s="74" t="s">
        <v>1263</v>
      </c>
      <c r="AC147" s="73">
        <f t="shared" ca="1" si="643"/>
        <v>0</v>
      </c>
      <c r="AD147" s="64"/>
      <c r="AE147" s="74" t="s">
        <v>111</v>
      </c>
      <c r="AF147" s="73">
        <f t="shared" ca="1" si="644"/>
        <v>0</v>
      </c>
      <c r="AG147" s="64"/>
      <c r="AH147" s="74" t="s">
        <v>1833</v>
      </c>
      <c r="AI147" s="73">
        <f t="shared" ca="1" si="645"/>
        <v>0</v>
      </c>
      <c r="AJ147" s="64"/>
      <c r="AK147" s="74" t="s">
        <v>1263</v>
      </c>
      <c r="AL147" s="73">
        <f t="shared" ca="1" si="646"/>
        <v>0</v>
      </c>
      <c r="AM147" s="64"/>
      <c r="AN147" s="74" t="s">
        <v>1263</v>
      </c>
      <c r="AO147" s="73">
        <f t="shared" ca="1" si="647"/>
        <v>0</v>
      </c>
      <c r="AP147" s="64"/>
      <c r="AQ147" s="74" t="s">
        <v>1833</v>
      </c>
      <c r="AR147" s="73">
        <f t="shared" ca="1" si="648"/>
        <v>0</v>
      </c>
      <c r="AS147" s="64"/>
      <c r="AT147" s="74" t="s">
        <v>1263</v>
      </c>
      <c r="AU147" s="73">
        <f t="shared" ca="1" si="649"/>
        <v>0</v>
      </c>
      <c r="AV147" s="64"/>
      <c r="AW147" s="74" t="s">
        <v>1263</v>
      </c>
      <c r="AX147" s="73">
        <f t="shared" ca="1" si="650"/>
        <v>0</v>
      </c>
      <c r="AY147" s="64"/>
      <c r="AZ147" s="74" t="s">
        <v>1263</v>
      </c>
      <c r="BA147" s="73">
        <f t="shared" ca="1" si="651"/>
        <v>0</v>
      </c>
      <c r="BB147" s="64"/>
      <c r="BC147" s="74" t="s">
        <v>1833</v>
      </c>
      <c r="BD147" s="73">
        <f t="shared" ca="1" si="652"/>
        <v>0</v>
      </c>
      <c r="BE147" s="64"/>
      <c r="BF147" s="74" t="s">
        <v>1263</v>
      </c>
      <c r="BG147" s="73">
        <f t="shared" ca="1" si="653"/>
        <v>0</v>
      </c>
      <c r="BH147" s="64"/>
      <c r="BI147" s="74" t="s">
        <v>1263</v>
      </c>
      <c r="BJ147" s="73">
        <f t="shared" ca="1" si="654"/>
        <v>0</v>
      </c>
      <c r="BK147" s="64"/>
      <c r="BL147" s="74" t="s">
        <v>1263</v>
      </c>
      <c r="BM147" s="73">
        <f t="shared" ca="1" si="655"/>
        <v>0</v>
      </c>
      <c r="BN147" s="64"/>
      <c r="BO147" s="74" t="s">
        <v>1263</v>
      </c>
      <c r="BP147" s="73">
        <f t="shared" ca="1" si="656"/>
        <v>0</v>
      </c>
      <c r="BQ147" s="64"/>
      <c r="BR147" s="74" t="s">
        <v>1263</v>
      </c>
      <c r="BS147" s="73">
        <f t="shared" ca="1" si="657"/>
        <v>0</v>
      </c>
      <c r="BT147" s="64"/>
      <c r="BU147" s="74" t="s">
        <v>111</v>
      </c>
      <c r="BV147" s="73">
        <f t="shared" ca="1" si="658"/>
        <v>0</v>
      </c>
      <c r="BW147" s="64"/>
      <c r="BX147" s="74" t="s">
        <v>1263</v>
      </c>
      <c r="BY147" s="73">
        <f t="shared" ca="1" si="659"/>
        <v>0</v>
      </c>
      <c r="BZ147" s="64"/>
      <c r="CA147" s="74" t="s">
        <v>1833</v>
      </c>
      <c r="CB147" s="73">
        <f t="shared" ca="1" si="660"/>
        <v>0</v>
      </c>
      <c r="CC147" s="64"/>
      <c r="CD147" s="74" t="s">
        <v>111</v>
      </c>
      <c r="CE147" s="73">
        <f t="shared" ca="1" si="661"/>
        <v>0</v>
      </c>
      <c r="CF147" s="64"/>
      <c r="CG147" s="74" t="s">
        <v>1263</v>
      </c>
      <c r="CH147" s="73">
        <f t="shared" ca="1" si="662"/>
        <v>0</v>
      </c>
      <c r="CI147" s="64"/>
      <c r="CJ147" s="74" t="s">
        <v>1263</v>
      </c>
      <c r="CK147" s="73">
        <f t="shared" ca="1" si="663"/>
        <v>0</v>
      </c>
      <c r="CL147" s="64"/>
      <c r="CM147" s="74" t="s">
        <v>111</v>
      </c>
      <c r="CN147" s="73">
        <f t="shared" ca="1" si="664"/>
        <v>0</v>
      </c>
      <c r="CO147" s="64"/>
      <c r="CP147" s="74" t="s">
        <v>111</v>
      </c>
      <c r="CQ147" s="73">
        <f t="shared" ca="1" si="665"/>
        <v>0</v>
      </c>
      <c r="CR147" s="64"/>
      <c r="CS147" s="74" t="s">
        <v>1263</v>
      </c>
      <c r="CT147" s="73">
        <f t="shared" ca="1" si="666"/>
        <v>0</v>
      </c>
      <c r="CU147" s="64"/>
      <c r="CV147" s="74" t="s">
        <v>1263</v>
      </c>
      <c r="CW147" s="73">
        <f t="shared" ca="1" si="667"/>
        <v>0</v>
      </c>
      <c r="CX147" s="64"/>
      <c r="CY147" s="74" t="s">
        <v>111</v>
      </c>
      <c r="CZ147" s="73">
        <f t="shared" ca="1" si="668"/>
        <v>0</v>
      </c>
      <c r="DA147" s="64"/>
      <c r="DB147" s="74" t="s">
        <v>1263</v>
      </c>
      <c r="DC147" s="73">
        <f t="shared" ca="1" si="669"/>
        <v>0</v>
      </c>
      <c r="DD147" s="64"/>
      <c r="DE147" s="74" t="s">
        <v>1263</v>
      </c>
      <c r="DF147" s="73">
        <f t="shared" ca="1" si="670"/>
        <v>0</v>
      </c>
      <c r="DG147" s="64"/>
      <c r="DH147" s="74" t="s">
        <v>1263</v>
      </c>
      <c r="DI147" s="73">
        <f t="shared" ca="1" si="671"/>
        <v>0</v>
      </c>
      <c r="DJ147" s="64"/>
      <c r="DK147" s="74" t="s">
        <v>1833</v>
      </c>
      <c r="DL147" s="73">
        <f t="shared" ca="1" si="672"/>
        <v>0</v>
      </c>
      <c r="DM147" s="64"/>
      <c r="DN147" s="795" t="s">
        <v>1263</v>
      </c>
      <c r="DO147" s="73">
        <f t="shared" ca="1" si="673"/>
        <v>0</v>
      </c>
      <c r="DP147" s="64"/>
      <c r="DQ147" s="795" t="s">
        <v>111</v>
      </c>
      <c r="DR147" s="73">
        <f t="shared" ca="1" si="674"/>
        <v>0</v>
      </c>
      <c r="DS147" s="64"/>
      <c r="DT147" s="74" t="s">
        <v>111</v>
      </c>
      <c r="DU147" s="73">
        <f t="shared" ca="1" si="675"/>
        <v>0</v>
      </c>
      <c r="DV147" s="64"/>
      <c r="DW147" s="74" t="s">
        <v>1263</v>
      </c>
      <c r="DX147" s="73">
        <f t="shared" ca="1" si="676"/>
        <v>0</v>
      </c>
      <c r="DY147" s="64"/>
      <c r="DZ147" s="74" t="s">
        <v>1263</v>
      </c>
      <c r="EA147" s="73">
        <f t="shared" ca="1" si="677"/>
        <v>0</v>
      </c>
      <c r="EB147" s="64"/>
      <c r="EC147" s="74" t="s">
        <v>1322</v>
      </c>
      <c r="ED147" s="73">
        <f t="shared" ca="1" si="678"/>
        <v>0</v>
      </c>
      <c r="EE147" s="64"/>
      <c r="EF147" s="74" t="s">
        <v>1263</v>
      </c>
      <c r="EG147" s="73">
        <f t="shared" ca="1" si="679"/>
        <v>0</v>
      </c>
      <c r="EH147" s="64"/>
      <c r="EI147" s="74" t="s">
        <v>1263</v>
      </c>
      <c r="EJ147" s="73">
        <f t="shared" ca="1" si="680"/>
        <v>0</v>
      </c>
      <c r="EK147" s="64"/>
      <c r="EL147" s="74"/>
      <c r="EM147" s="73">
        <f t="shared" ca="1" si="681"/>
        <v>0</v>
      </c>
      <c r="EN147" s="64"/>
      <c r="EO147" s="74"/>
      <c r="EP147" s="73">
        <f t="shared" ca="1" si="682"/>
        <v>0</v>
      </c>
      <c r="EQ147" s="64"/>
      <c r="ER147" s="74"/>
      <c r="ES147" s="73">
        <f t="shared" ca="1" si="683"/>
        <v>0</v>
      </c>
      <c r="ET147" s="64"/>
      <c r="EU147" s="74"/>
      <c r="EV147" s="73">
        <f t="shared" ca="1" si="684"/>
        <v>0</v>
      </c>
      <c r="EW147" s="64"/>
      <c r="EX147" s="74"/>
      <c r="EY147" s="73">
        <f t="shared" ca="1" si="685"/>
        <v>0</v>
      </c>
      <c r="EZ147" s="64"/>
      <c r="FA147" s="74"/>
      <c r="FB147" s="73">
        <f t="shared" ca="1" si="686"/>
        <v>0</v>
      </c>
      <c r="FC147" s="64"/>
      <c r="FD147" s="74"/>
      <c r="FE147" s="73">
        <f t="shared" ca="1" si="687"/>
        <v>0</v>
      </c>
      <c r="FF147" s="64"/>
      <c r="FG147" s="74"/>
      <c r="FH147" s="73">
        <f t="shared" ca="1" si="688"/>
        <v>0</v>
      </c>
      <c r="FI147" s="64"/>
      <c r="FJ147" s="74"/>
      <c r="FK147" s="73">
        <f t="shared" ca="1" si="689"/>
        <v>0</v>
      </c>
      <c r="FL147" s="64"/>
      <c r="FM147" s="64"/>
    </row>
    <row r="148" spans="1:169">
      <c r="A148" s="49"/>
      <c r="B148" s="49"/>
      <c r="C148" s="49"/>
      <c r="D148" s="49"/>
      <c r="E148" s="65"/>
      <c r="F148" s="127">
        <f t="shared" si="690"/>
        <v>3</v>
      </c>
      <c r="G148" s="445">
        <f ca="1">VLOOKUP(H148,Equipos!$Q$1:$R$25,2,0)</f>
        <v>19</v>
      </c>
      <c r="H148" s="447" t="str">
        <f>Idiomas!$D$137</f>
        <v>CLASIFICADOS PARA DIECISEISAVOS</v>
      </c>
      <c r="I148" s="50"/>
      <c r="J148" s="849"/>
      <c r="K148" s="56" t="str">
        <f>Idiomas!$D$198&amp;"-"&amp;ROWS($L$130:L148)</f>
        <v>Dieciseisavofinalista-19</v>
      </c>
      <c r="L148" s="53"/>
      <c r="M148" s="55" t="str">
        <f ca="1">WORLDCUP!AF103</f>
        <v>3ABCDF</v>
      </c>
      <c r="N148" s="25"/>
      <c r="O148" s="25"/>
      <c r="P148" s="25"/>
      <c r="Q148" s="25"/>
      <c r="R148" s="110"/>
      <c r="S148" s="74" t="s">
        <v>134</v>
      </c>
      <c r="T148" s="73">
        <f t="shared" ca="1" si="640"/>
        <v>0</v>
      </c>
      <c r="U148" s="64"/>
      <c r="V148" s="74" t="s">
        <v>134</v>
      </c>
      <c r="W148" s="73">
        <f t="shared" ca="1" si="641"/>
        <v>0</v>
      </c>
      <c r="X148" s="64"/>
      <c r="Y148" s="74" t="s">
        <v>134</v>
      </c>
      <c r="Z148" s="73">
        <f t="shared" ca="1" si="642"/>
        <v>0</v>
      </c>
      <c r="AA148" s="64"/>
      <c r="AB148" s="74" t="s">
        <v>1319</v>
      </c>
      <c r="AC148" s="73">
        <f t="shared" ca="1" si="643"/>
        <v>0</v>
      </c>
      <c r="AD148" s="64"/>
      <c r="AE148" s="74" t="s">
        <v>1319</v>
      </c>
      <c r="AF148" s="73">
        <f t="shared" ca="1" si="644"/>
        <v>0</v>
      </c>
      <c r="AG148" s="64"/>
      <c r="AH148" s="74" t="s">
        <v>1319</v>
      </c>
      <c r="AI148" s="73">
        <f t="shared" ca="1" si="645"/>
        <v>0</v>
      </c>
      <c r="AJ148" s="64"/>
      <c r="AK148" s="74" t="s">
        <v>497</v>
      </c>
      <c r="AL148" s="73">
        <f t="shared" ca="1" si="646"/>
        <v>0</v>
      </c>
      <c r="AM148" s="64"/>
      <c r="AN148" s="74" t="s">
        <v>134</v>
      </c>
      <c r="AO148" s="73">
        <f t="shared" ca="1" si="647"/>
        <v>0</v>
      </c>
      <c r="AP148" s="64"/>
      <c r="AQ148" s="74" t="s">
        <v>1835</v>
      </c>
      <c r="AR148" s="73">
        <f t="shared" ca="1" si="648"/>
        <v>0</v>
      </c>
      <c r="AS148" s="64"/>
      <c r="AT148" s="74" t="s">
        <v>1843</v>
      </c>
      <c r="AU148" s="73">
        <f t="shared" ca="1" si="649"/>
        <v>0</v>
      </c>
      <c r="AV148" s="64"/>
      <c r="AW148" s="74" t="s">
        <v>1843</v>
      </c>
      <c r="AX148" s="73">
        <f t="shared" ca="1" si="650"/>
        <v>0</v>
      </c>
      <c r="AY148" s="64"/>
      <c r="AZ148" s="74" t="s">
        <v>1833</v>
      </c>
      <c r="BA148" s="73">
        <f t="shared" ca="1" si="651"/>
        <v>0</v>
      </c>
      <c r="BB148" s="64"/>
      <c r="BC148" s="74" t="s">
        <v>1319</v>
      </c>
      <c r="BD148" s="73">
        <f t="shared" ca="1" si="652"/>
        <v>0</v>
      </c>
      <c r="BE148" s="64"/>
      <c r="BF148" s="74" t="s">
        <v>134</v>
      </c>
      <c r="BG148" s="73">
        <f t="shared" ca="1" si="653"/>
        <v>0</v>
      </c>
      <c r="BH148" s="64"/>
      <c r="BI148" s="74" t="s">
        <v>134</v>
      </c>
      <c r="BJ148" s="73">
        <f t="shared" ca="1" si="654"/>
        <v>0</v>
      </c>
      <c r="BK148" s="64"/>
      <c r="BL148" s="74" t="s">
        <v>1319</v>
      </c>
      <c r="BM148" s="73">
        <f t="shared" ca="1" si="655"/>
        <v>0</v>
      </c>
      <c r="BN148" s="64"/>
      <c r="BO148" s="74" t="s">
        <v>134</v>
      </c>
      <c r="BP148" s="73">
        <f t="shared" ca="1" si="656"/>
        <v>0</v>
      </c>
      <c r="BQ148" s="64"/>
      <c r="BR148" s="74" t="s">
        <v>134</v>
      </c>
      <c r="BS148" s="73">
        <f t="shared" ca="1" si="657"/>
        <v>0</v>
      </c>
      <c r="BT148" s="64"/>
      <c r="BU148" s="74" t="s">
        <v>1321</v>
      </c>
      <c r="BV148" s="73">
        <f t="shared" ca="1" si="658"/>
        <v>0</v>
      </c>
      <c r="BW148" s="64"/>
      <c r="BX148" s="74" t="s">
        <v>134</v>
      </c>
      <c r="BY148" s="73">
        <f t="shared" ca="1" si="659"/>
        <v>0</v>
      </c>
      <c r="BZ148" s="64"/>
      <c r="CA148" s="74" t="s">
        <v>1319</v>
      </c>
      <c r="CB148" s="73">
        <f t="shared" ca="1" si="660"/>
        <v>0</v>
      </c>
      <c r="CC148" s="64"/>
      <c r="CD148" s="74" t="s">
        <v>1257</v>
      </c>
      <c r="CE148" s="73">
        <f t="shared" ca="1" si="661"/>
        <v>0</v>
      </c>
      <c r="CF148" s="64"/>
      <c r="CG148" s="74" t="s">
        <v>1843</v>
      </c>
      <c r="CH148" s="73">
        <f t="shared" ca="1" si="662"/>
        <v>0</v>
      </c>
      <c r="CI148" s="64"/>
      <c r="CJ148" s="74" t="s">
        <v>134</v>
      </c>
      <c r="CK148" s="73">
        <f t="shared" ca="1" si="663"/>
        <v>0</v>
      </c>
      <c r="CL148" s="64"/>
      <c r="CM148" s="74" t="s">
        <v>134</v>
      </c>
      <c r="CN148" s="73">
        <f t="shared" ca="1" si="664"/>
        <v>0</v>
      </c>
      <c r="CO148" s="64"/>
      <c r="CP148" s="74" t="s">
        <v>134</v>
      </c>
      <c r="CQ148" s="73">
        <f t="shared" ca="1" si="665"/>
        <v>0</v>
      </c>
      <c r="CR148" s="64"/>
      <c r="CS148" s="74" t="s">
        <v>1319</v>
      </c>
      <c r="CT148" s="73">
        <f t="shared" ca="1" si="666"/>
        <v>0</v>
      </c>
      <c r="CU148" s="64"/>
      <c r="CV148" s="74" t="s">
        <v>134</v>
      </c>
      <c r="CW148" s="73">
        <f t="shared" ca="1" si="667"/>
        <v>0</v>
      </c>
      <c r="CX148" s="64"/>
      <c r="CY148" s="74" t="s">
        <v>134</v>
      </c>
      <c r="CZ148" s="73">
        <f t="shared" ca="1" si="668"/>
        <v>0</v>
      </c>
      <c r="DA148" s="64"/>
      <c r="DB148" s="74" t="s">
        <v>1319</v>
      </c>
      <c r="DC148" s="73">
        <f t="shared" ca="1" si="669"/>
        <v>0</v>
      </c>
      <c r="DD148" s="64"/>
      <c r="DE148" s="74" t="s">
        <v>134</v>
      </c>
      <c r="DF148" s="73">
        <f t="shared" ca="1" si="670"/>
        <v>0</v>
      </c>
      <c r="DG148" s="64"/>
      <c r="DH148" s="74" t="s">
        <v>1319</v>
      </c>
      <c r="DI148" s="73">
        <f t="shared" ca="1" si="671"/>
        <v>0</v>
      </c>
      <c r="DJ148" s="64"/>
      <c r="DK148" s="74" t="s">
        <v>134</v>
      </c>
      <c r="DL148" s="73">
        <f t="shared" ca="1" si="672"/>
        <v>0</v>
      </c>
      <c r="DM148" s="64"/>
      <c r="DN148" s="795" t="s">
        <v>134</v>
      </c>
      <c r="DO148" s="73">
        <f t="shared" ca="1" si="673"/>
        <v>0</v>
      </c>
      <c r="DP148" s="64"/>
      <c r="DQ148" s="795" t="s">
        <v>1833</v>
      </c>
      <c r="DR148" s="73">
        <f t="shared" ca="1" si="674"/>
        <v>0</v>
      </c>
      <c r="DS148" s="64"/>
      <c r="DT148" s="74" t="s">
        <v>1319</v>
      </c>
      <c r="DU148" s="73">
        <f t="shared" ca="1" si="675"/>
        <v>0</v>
      </c>
      <c r="DV148" s="64"/>
      <c r="DW148" s="74" t="s">
        <v>1319</v>
      </c>
      <c r="DX148" s="73">
        <f t="shared" ca="1" si="676"/>
        <v>0</v>
      </c>
      <c r="DY148" s="64"/>
      <c r="DZ148" s="74" t="s">
        <v>1843</v>
      </c>
      <c r="EA148" s="73">
        <f t="shared" ca="1" si="677"/>
        <v>0</v>
      </c>
      <c r="EB148" s="64"/>
      <c r="EC148" s="74" t="s">
        <v>497</v>
      </c>
      <c r="ED148" s="73">
        <f t="shared" ca="1" si="678"/>
        <v>0</v>
      </c>
      <c r="EE148" s="64"/>
      <c r="EF148" s="74" t="s">
        <v>134</v>
      </c>
      <c r="EG148" s="73">
        <f t="shared" ca="1" si="679"/>
        <v>0</v>
      </c>
      <c r="EH148" s="64"/>
      <c r="EI148" s="74" t="s">
        <v>134</v>
      </c>
      <c r="EJ148" s="73">
        <f t="shared" ca="1" si="680"/>
        <v>0</v>
      </c>
      <c r="EK148" s="64"/>
      <c r="EL148" s="74"/>
      <c r="EM148" s="73">
        <f t="shared" ca="1" si="681"/>
        <v>0</v>
      </c>
      <c r="EN148" s="64"/>
      <c r="EO148" s="74"/>
      <c r="EP148" s="73">
        <f t="shared" ca="1" si="682"/>
        <v>0</v>
      </c>
      <c r="EQ148" s="64"/>
      <c r="ER148" s="74"/>
      <c r="ES148" s="73">
        <f t="shared" ca="1" si="683"/>
        <v>0</v>
      </c>
      <c r="ET148" s="64"/>
      <c r="EU148" s="74"/>
      <c r="EV148" s="73">
        <f t="shared" ca="1" si="684"/>
        <v>0</v>
      </c>
      <c r="EW148" s="64"/>
      <c r="EX148" s="74"/>
      <c r="EY148" s="73">
        <f t="shared" ca="1" si="685"/>
        <v>0</v>
      </c>
      <c r="EZ148" s="64"/>
      <c r="FA148" s="74"/>
      <c r="FB148" s="73">
        <f t="shared" ca="1" si="686"/>
        <v>0</v>
      </c>
      <c r="FC148" s="64"/>
      <c r="FD148" s="74"/>
      <c r="FE148" s="73">
        <f t="shared" ca="1" si="687"/>
        <v>0</v>
      </c>
      <c r="FF148" s="64"/>
      <c r="FG148" s="74"/>
      <c r="FH148" s="73">
        <f t="shared" ca="1" si="688"/>
        <v>0</v>
      </c>
      <c r="FI148" s="64"/>
      <c r="FJ148" s="74"/>
      <c r="FK148" s="73">
        <f t="shared" ca="1" si="689"/>
        <v>0</v>
      </c>
      <c r="FL148" s="64"/>
      <c r="FM148" s="64"/>
    </row>
    <row r="149" spans="1:169">
      <c r="A149" s="49"/>
      <c r="B149" s="49"/>
      <c r="C149" s="49"/>
      <c r="D149" s="49"/>
      <c r="E149" s="65"/>
      <c r="F149" s="127">
        <f t="shared" si="690"/>
        <v>3</v>
      </c>
      <c r="G149" s="445">
        <f ca="1">VLOOKUP(H149,Equipos!$Q$1:$R$25,2,0)</f>
        <v>19</v>
      </c>
      <c r="H149" s="447" t="str">
        <f>Idiomas!$D$137</f>
        <v>CLASIFICADOS PARA DIECISEISAVOS</v>
      </c>
      <c r="I149" s="50"/>
      <c r="J149" s="849"/>
      <c r="K149" s="56" t="str">
        <f>Idiomas!$D$198&amp;"-"&amp;ROWS($L$130:L149)</f>
        <v>Dieciseisavofinalista-20</v>
      </c>
      <c r="L149" s="53"/>
      <c r="M149" s="55" t="str">
        <f ca="1">WORLDCUP!AF104</f>
        <v>2C</v>
      </c>
      <c r="N149" s="25"/>
      <c r="O149" s="25"/>
      <c r="P149" s="25"/>
      <c r="Q149" s="25"/>
      <c r="R149" s="110"/>
      <c r="S149" s="74" t="s">
        <v>1321</v>
      </c>
      <c r="T149" s="73">
        <f t="shared" ca="1" si="640"/>
        <v>0</v>
      </c>
      <c r="U149" s="64"/>
      <c r="V149" s="74" t="s">
        <v>1321</v>
      </c>
      <c r="W149" s="73">
        <f t="shared" ca="1" si="641"/>
        <v>0</v>
      </c>
      <c r="X149" s="64"/>
      <c r="Y149" s="74" t="s">
        <v>1321</v>
      </c>
      <c r="Z149" s="73">
        <f t="shared" ca="1" si="642"/>
        <v>0</v>
      </c>
      <c r="AA149" s="64"/>
      <c r="AB149" s="74" t="s">
        <v>1321</v>
      </c>
      <c r="AC149" s="73">
        <f t="shared" ca="1" si="643"/>
        <v>0</v>
      </c>
      <c r="AD149" s="64"/>
      <c r="AE149" s="74" t="s">
        <v>1321</v>
      </c>
      <c r="AF149" s="73">
        <f t="shared" ca="1" si="644"/>
        <v>0</v>
      </c>
      <c r="AG149" s="64"/>
      <c r="AH149" s="74" t="s">
        <v>1258</v>
      </c>
      <c r="AI149" s="73">
        <f t="shared" ca="1" si="645"/>
        <v>0</v>
      </c>
      <c r="AJ149" s="64"/>
      <c r="AK149" s="74" t="s">
        <v>1321</v>
      </c>
      <c r="AL149" s="73">
        <f t="shared" ca="1" si="646"/>
        <v>0</v>
      </c>
      <c r="AM149" s="64"/>
      <c r="AN149" s="74" t="s">
        <v>1321</v>
      </c>
      <c r="AO149" s="73">
        <f t="shared" ca="1" si="647"/>
        <v>0</v>
      </c>
      <c r="AP149" s="64"/>
      <c r="AQ149" s="74" t="s">
        <v>1321</v>
      </c>
      <c r="AR149" s="73">
        <f t="shared" ca="1" si="648"/>
        <v>0</v>
      </c>
      <c r="AS149" s="64"/>
      <c r="AT149" s="74" t="s">
        <v>1321</v>
      </c>
      <c r="AU149" s="73">
        <f t="shared" ca="1" si="649"/>
        <v>0</v>
      </c>
      <c r="AV149" s="64"/>
      <c r="AW149" s="74" t="s">
        <v>1321</v>
      </c>
      <c r="AX149" s="73">
        <f t="shared" ca="1" si="650"/>
        <v>0</v>
      </c>
      <c r="AY149" s="64"/>
      <c r="AZ149" s="74" t="s">
        <v>1321</v>
      </c>
      <c r="BA149" s="73">
        <f t="shared" ca="1" si="651"/>
        <v>0</v>
      </c>
      <c r="BB149" s="64"/>
      <c r="BC149" s="74" t="s">
        <v>1321</v>
      </c>
      <c r="BD149" s="73">
        <f t="shared" ca="1" si="652"/>
        <v>0</v>
      </c>
      <c r="BE149" s="64"/>
      <c r="BF149" s="74" t="s">
        <v>1321</v>
      </c>
      <c r="BG149" s="73">
        <f t="shared" ca="1" si="653"/>
        <v>0</v>
      </c>
      <c r="BH149" s="64"/>
      <c r="BI149" s="74" t="s">
        <v>1321</v>
      </c>
      <c r="BJ149" s="73">
        <f t="shared" ca="1" si="654"/>
        <v>0</v>
      </c>
      <c r="BK149" s="64"/>
      <c r="BL149" s="74" t="s">
        <v>1321</v>
      </c>
      <c r="BM149" s="73">
        <f t="shared" ca="1" si="655"/>
        <v>0</v>
      </c>
      <c r="BN149" s="64"/>
      <c r="BO149" s="74" t="s">
        <v>1321</v>
      </c>
      <c r="BP149" s="73">
        <f t="shared" ca="1" si="656"/>
        <v>0</v>
      </c>
      <c r="BQ149" s="64"/>
      <c r="BR149" s="74" t="s">
        <v>1321</v>
      </c>
      <c r="BS149" s="73">
        <f t="shared" ca="1" si="657"/>
        <v>0</v>
      </c>
      <c r="BT149" s="64"/>
      <c r="BU149" s="74" t="s">
        <v>134</v>
      </c>
      <c r="BV149" s="73">
        <f t="shared" ca="1" si="658"/>
        <v>0</v>
      </c>
      <c r="BW149" s="64"/>
      <c r="BX149" s="74" t="s">
        <v>1321</v>
      </c>
      <c r="BY149" s="73">
        <f t="shared" ca="1" si="659"/>
        <v>0</v>
      </c>
      <c r="BZ149" s="64"/>
      <c r="CA149" s="74" t="s">
        <v>1258</v>
      </c>
      <c r="CB149" s="73">
        <f t="shared" ca="1" si="660"/>
        <v>0</v>
      </c>
      <c r="CC149" s="64"/>
      <c r="CD149" s="74" t="s">
        <v>1321</v>
      </c>
      <c r="CE149" s="73">
        <f t="shared" ca="1" si="661"/>
        <v>0</v>
      </c>
      <c r="CF149" s="64"/>
      <c r="CG149" s="74" t="s">
        <v>1321</v>
      </c>
      <c r="CH149" s="73">
        <f t="shared" ca="1" si="662"/>
        <v>0</v>
      </c>
      <c r="CI149" s="64"/>
      <c r="CJ149" s="74" t="s">
        <v>1321</v>
      </c>
      <c r="CK149" s="73">
        <f t="shared" ca="1" si="663"/>
        <v>0</v>
      </c>
      <c r="CL149" s="64"/>
      <c r="CM149" s="74" t="s">
        <v>1321</v>
      </c>
      <c r="CN149" s="73">
        <f t="shared" ca="1" si="664"/>
        <v>0</v>
      </c>
      <c r="CO149" s="64"/>
      <c r="CP149" s="74" t="s">
        <v>1321</v>
      </c>
      <c r="CQ149" s="73">
        <f t="shared" ca="1" si="665"/>
        <v>0</v>
      </c>
      <c r="CR149" s="64"/>
      <c r="CS149" s="74" t="s">
        <v>1321</v>
      </c>
      <c r="CT149" s="73">
        <f t="shared" ca="1" si="666"/>
        <v>0</v>
      </c>
      <c r="CU149" s="64"/>
      <c r="CV149" s="74" t="s">
        <v>1321</v>
      </c>
      <c r="CW149" s="73">
        <f t="shared" ca="1" si="667"/>
        <v>0</v>
      </c>
      <c r="CX149" s="64"/>
      <c r="CY149" s="74" t="s">
        <v>1321</v>
      </c>
      <c r="CZ149" s="73">
        <f t="shared" ca="1" si="668"/>
        <v>0</v>
      </c>
      <c r="DA149" s="64"/>
      <c r="DB149" s="74" t="s">
        <v>1321</v>
      </c>
      <c r="DC149" s="73">
        <f t="shared" ca="1" si="669"/>
        <v>0</v>
      </c>
      <c r="DD149" s="64"/>
      <c r="DE149" s="74" t="s">
        <v>1321</v>
      </c>
      <c r="DF149" s="73">
        <f t="shared" ca="1" si="670"/>
        <v>0</v>
      </c>
      <c r="DG149" s="64"/>
      <c r="DH149" s="74" t="s">
        <v>1321</v>
      </c>
      <c r="DI149" s="73">
        <f t="shared" ca="1" si="671"/>
        <v>0</v>
      </c>
      <c r="DJ149" s="64"/>
      <c r="DK149" s="74" t="s">
        <v>1258</v>
      </c>
      <c r="DL149" s="73">
        <f t="shared" ca="1" si="672"/>
        <v>0</v>
      </c>
      <c r="DM149" s="64"/>
      <c r="DN149" s="795" t="s">
        <v>1321</v>
      </c>
      <c r="DO149" s="73">
        <f t="shared" ca="1" si="673"/>
        <v>0</v>
      </c>
      <c r="DP149" s="64"/>
      <c r="DQ149" s="795" t="s">
        <v>1258</v>
      </c>
      <c r="DR149" s="73">
        <f t="shared" ca="1" si="674"/>
        <v>0</v>
      </c>
      <c r="DS149" s="64"/>
      <c r="DT149" s="74" t="s">
        <v>134</v>
      </c>
      <c r="DU149" s="73">
        <f t="shared" ca="1" si="675"/>
        <v>0</v>
      </c>
      <c r="DV149" s="64"/>
      <c r="DW149" s="74" t="s">
        <v>1321</v>
      </c>
      <c r="DX149" s="73">
        <f t="shared" ca="1" si="676"/>
        <v>0</v>
      </c>
      <c r="DY149" s="64"/>
      <c r="DZ149" s="74" t="s">
        <v>134</v>
      </c>
      <c r="EA149" s="73">
        <f t="shared" ca="1" si="677"/>
        <v>0</v>
      </c>
      <c r="EB149" s="64"/>
      <c r="EC149" s="74" t="s">
        <v>1321</v>
      </c>
      <c r="ED149" s="73">
        <f t="shared" ca="1" si="678"/>
        <v>0</v>
      </c>
      <c r="EE149" s="64"/>
      <c r="EF149" s="74" t="s">
        <v>1321</v>
      </c>
      <c r="EG149" s="73">
        <f t="shared" ca="1" si="679"/>
        <v>0</v>
      </c>
      <c r="EH149" s="64"/>
      <c r="EI149" s="74" t="s">
        <v>1321</v>
      </c>
      <c r="EJ149" s="73">
        <f t="shared" ca="1" si="680"/>
        <v>0</v>
      </c>
      <c r="EK149" s="64"/>
      <c r="EL149" s="74"/>
      <c r="EM149" s="73">
        <f t="shared" ca="1" si="681"/>
        <v>0</v>
      </c>
      <c r="EN149" s="64"/>
      <c r="EO149" s="74"/>
      <c r="EP149" s="73">
        <f t="shared" ca="1" si="682"/>
        <v>0</v>
      </c>
      <c r="EQ149" s="64"/>
      <c r="ER149" s="74"/>
      <c r="ES149" s="73">
        <f t="shared" ca="1" si="683"/>
        <v>0</v>
      </c>
      <c r="ET149" s="64"/>
      <c r="EU149" s="74"/>
      <c r="EV149" s="73">
        <f t="shared" ca="1" si="684"/>
        <v>0</v>
      </c>
      <c r="EW149" s="64"/>
      <c r="EX149" s="74"/>
      <c r="EY149" s="73">
        <f t="shared" ca="1" si="685"/>
        <v>0</v>
      </c>
      <c r="EZ149" s="64"/>
      <c r="FA149" s="74"/>
      <c r="FB149" s="73">
        <f t="shared" ca="1" si="686"/>
        <v>0</v>
      </c>
      <c r="FC149" s="64"/>
      <c r="FD149" s="74"/>
      <c r="FE149" s="73">
        <f t="shared" ca="1" si="687"/>
        <v>0</v>
      </c>
      <c r="FF149" s="64"/>
      <c r="FG149" s="74"/>
      <c r="FH149" s="73">
        <f t="shared" ca="1" si="688"/>
        <v>0</v>
      </c>
      <c r="FI149" s="64"/>
      <c r="FJ149" s="74"/>
      <c r="FK149" s="73">
        <f t="shared" ca="1" si="689"/>
        <v>0</v>
      </c>
      <c r="FL149" s="64"/>
      <c r="FM149" s="64"/>
    </row>
    <row r="150" spans="1:169">
      <c r="A150" s="49"/>
      <c r="B150" s="49"/>
      <c r="C150" s="49"/>
      <c r="D150" s="49"/>
      <c r="E150" s="65"/>
      <c r="F150" s="127">
        <f t="shared" si="690"/>
        <v>3</v>
      </c>
      <c r="G150" s="445">
        <f ca="1">VLOOKUP(H150,Equipos!$Q$1:$R$25,2,0)</f>
        <v>19</v>
      </c>
      <c r="H150" s="447" t="str">
        <f>Idiomas!$D$137</f>
        <v>CLASIFICADOS PARA DIECISEISAVOS</v>
      </c>
      <c r="I150" s="50"/>
      <c r="J150" s="849"/>
      <c r="K150" s="56" t="str">
        <f>Idiomas!$D$198&amp;"-"&amp;ROWS($L$130:L150)</f>
        <v>Dieciseisavofinalista-21</v>
      </c>
      <c r="L150" s="53"/>
      <c r="M150" s="55" t="str">
        <f ca="1">WORLDCUP!AF105</f>
        <v>2I</v>
      </c>
      <c r="N150" s="25"/>
      <c r="O150" s="25"/>
      <c r="P150" s="25"/>
      <c r="Q150" s="25"/>
      <c r="R150" s="110"/>
      <c r="S150" s="74" t="s">
        <v>135</v>
      </c>
      <c r="T150" s="73">
        <f t="shared" ca="1" si="640"/>
        <v>0</v>
      </c>
      <c r="U150" s="64"/>
      <c r="V150" s="74" t="s">
        <v>1634</v>
      </c>
      <c r="W150" s="73">
        <f t="shared" ca="1" si="641"/>
        <v>0</v>
      </c>
      <c r="X150" s="64"/>
      <c r="Y150" s="74" t="s">
        <v>135</v>
      </c>
      <c r="Z150" s="73">
        <f t="shared" ca="1" si="642"/>
        <v>0</v>
      </c>
      <c r="AA150" s="64"/>
      <c r="AB150" s="74" t="s">
        <v>135</v>
      </c>
      <c r="AC150" s="73">
        <f t="shared" ca="1" si="643"/>
        <v>0</v>
      </c>
      <c r="AD150" s="64"/>
      <c r="AE150" s="74" t="s">
        <v>135</v>
      </c>
      <c r="AF150" s="73">
        <f t="shared" ca="1" si="644"/>
        <v>0</v>
      </c>
      <c r="AG150" s="64"/>
      <c r="AH150" s="74" t="s">
        <v>135</v>
      </c>
      <c r="AI150" s="73">
        <f t="shared" ca="1" si="645"/>
        <v>0</v>
      </c>
      <c r="AJ150" s="64"/>
      <c r="AK150" s="74" t="s">
        <v>1634</v>
      </c>
      <c r="AL150" s="73">
        <f t="shared" ca="1" si="646"/>
        <v>0</v>
      </c>
      <c r="AM150" s="64"/>
      <c r="AN150" s="74" t="s">
        <v>135</v>
      </c>
      <c r="AO150" s="73">
        <f t="shared" ca="1" si="647"/>
        <v>0</v>
      </c>
      <c r="AP150" s="64"/>
      <c r="AQ150" s="74" t="s">
        <v>135</v>
      </c>
      <c r="AR150" s="73">
        <f t="shared" ca="1" si="648"/>
        <v>0</v>
      </c>
      <c r="AS150" s="64"/>
      <c r="AT150" s="74" t="s">
        <v>135</v>
      </c>
      <c r="AU150" s="73">
        <f t="shared" ca="1" si="649"/>
        <v>0</v>
      </c>
      <c r="AV150" s="64"/>
      <c r="AW150" s="74" t="s">
        <v>135</v>
      </c>
      <c r="AX150" s="73">
        <f t="shared" ca="1" si="650"/>
        <v>0</v>
      </c>
      <c r="AY150" s="64"/>
      <c r="AZ150" s="74" t="s">
        <v>135</v>
      </c>
      <c r="BA150" s="73">
        <f t="shared" ca="1" si="651"/>
        <v>0</v>
      </c>
      <c r="BB150" s="64"/>
      <c r="BC150" s="74" t="s">
        <v>135</v>
      </c>
      <c r="BD150" s="73">
        <f t="shared" ca="1" si="652"/>
        <v>0</v>
      </c>
      <c r="BE150" s="64"/>
      <c r="BF150" s="74" t="s">
        <v>135</v>
      </c>
      <c r="BG150" s="73">
        <f t="shared" ca="1" si="653"/>
        <v>0</v>
      </c>
      <c r="BH150" s="64"/>
      <c r="BI150" s="74" t="s">
        <v>135</v>
      </c>
      <c r="BJ150" s="73">
        <f t="shared" ca="1" si="654"/>
        <v>0</v>
      </c>
      <c r="BK150" s="64"/>
      <c r="BL150" s="74" t="s">
        <v>1634</v>
      </c>
      <c r="BM150" s="73">
        <f t="shared" ca="1" si="655"/>
        <v>0</v>
      </c>
      <c r="BN150" s="64"/>
      <c r="BO150" s="74" t="s">
        <v>1634</v>
      </c>
      <c r="BP150" s="73">
        <f t="shared" ca="1" si="656"/>
        <v>0</v>
      </c>
      <c r="BQ150" s="64"/>
      <c r="BR150" s="74" t="s">
        <v>1634</v>
      </c>
      <c r="BS150" s="73">
        <f t="shared" ca="1" si="657"/>
        <v>0</v>
      </c>
      <c r="BT150" s="64"/>
      <c r="BU150" s="74" t="s">
        <v>1634</v>
      </c>
      <c r="BV150" s="73">
        <f t="shared" ca="1" si="658"/>
        <v>0</v>
      </c>
      <c r="BW150" s="64"/>
      <c r="BX150" s="74" t="s">
        <v>1634</v>
      </c>
      <c r="BY150" s="73">
        <f t="shared" ca="1" si="659"/>
        <v>0</v>
      </c>
      <c r="BZ150" s="64"/>
      <c r="CA150" s="74" t="s">
        <v>1634</v>
      </c>
      <c r="CB150" s="73">
        <f t="shared" ca="1" si="660"/>
        <v>0</v>
      </c>
      <c r="CC150" s="64"/>
      <c r="CD150" s="74" t="s">
        <v>135</v>
      </c>
      <c r="CE150" s="73">
        <f t="shared" ca="1" si="661"/>
        <v>0</v>
      </c>
      <c r="CF150" s="64"/>
      <c r="CG150" s="74" t="s">
        <v>1634</v>
      </c>
      <c r="CH150" s="73">
        <f t="shared" ca="1" si="662"/>
        <v>0</v>
      </c>
      <c r="CI150" s="64"/>
      <c r="CJ150" s="74" t="s">
        <v>135</v>
      </c>
      <c r="CK150" s="73">
        <f t="shared" ca="1" si="663"/>
        <v>0</v>
      </c>
      <c r="CL150" s="64"/>
      <c r="CM150" s="74" t="s">
        <v>135</v>
      </c>
      <c r="CN150" s="73">
        <f t="shared" ca="1" si="664"/>
        <v>0</v>
      </c>
      <c r="CO150" s="64"/>
      <c r="CP150" s="74" t="s">
        <v>135</v>
      </c>
      <c r="CQ150" s="73">
        <f t="shared" ca="1" si="665"/>
        <v>0</v>
      </c>
      <c r="CR150" s="64"/>
      <c r="CS150" s="74" t="s">
        <v>135</v>
      </c>
      <c r="CT150" s="73">
        <f t="shared" ca="1" si="666"/>
        <v>0</v>
      </c>
      <c r="CU150" s="64"/>
      <c r="CV150" s="74" t="s">
        <v>135</v>
      </c>
      <c r="CW150" s="73">
        <f t="shared" ca="1" si="667"/>
        <v>0</v>
      </c>
      <c r="CX150" s="64"/>
      <c r="CY150" s="74" t="s">
        <v>135</v>
      </c>
      <c r="CZ150" s="73">
        <f t="shared" ca="1" si="668"/>
        <v>0</v>
      </c>
      <c r="DA150" s="64"/>
      <c r="DB150" s="74" t="s">
        <v>135</v>
      </c>
      <c r="DC150" s="73">
        <f t="shared" ca="1" si="669"/>
        <v>0</v>
      </c>
      <c r="DD150" s="64"/>
      <c r="DE150" s="74" t="s">
        <v>1634</v>
      </c>
      <c r="DF150" s="73">
        <f t="shared" ca="1" si="670"/>
        <v>0</v>
      </c>
      <c r="DG150" s="64"/>
      <c r="DH150" s="74" t="s">
        <v>135</v>
      </c>
      <c r="DI150" s="73">
        <f t="shared" ca="1" si="671"/>
        <v>0</v>
      </c>
      <c r="DJ150" s="64"/>
      <c r="DK150" s="74" t="s">
        <v>135</v>
      </c>
      <c r="DL150" s="73">
        <f t="shared" ca="1" si="672"/>
        <v>0</v>
      </c>
      <c r="DM150" s="64"/>
      <c r="DN150" s="795" t="s">
        <v>135</v>
      </c>
      <c r="DO150" s="73">
        <f t="shared" ca="1" si="673"/>
        <v>0</v>
      </c>
      <c r="DP150" s="64"/>
      <c r="DQ150" s="795" t="s">
        <v>1757</v>
      </c>
      <c r="DR150" s="73">
        <f t="shared" ca="1" si="674"/>
        <v>0</v>
      </c>
      <c r="DS150" s="64"/>
      <c r="DT150" s="74" t="s">
        <v>135</v>
      </c>
      <c r="DU150" s="73">
        <f t="shared" ca="1" si="675"/>
        <v>0</v>
      </c>
      <c r="DV150" s="64"/>
      <c r="DW150" s="74" t="s">
        <v>135</v>
      </c>
      <c r="DX150" s="73">
        <f t="shared" ca="1" si="676"/>
        <v>0</v>
      </c>
      <c r="DY150" s="64"/>
      <c r="DZ150" s="74" t="s">
        <v>135</v>
      </c>
      <c r="EA150" s="73">
        <f t="shared" ca="1" si="677"/>
        <v>0</v>
      </c>
      <c r="EB150" s="64"/>
      <c r="EC150" s="74" t="s">
        <v>1634</v>
      </c>
      <c r="ED150" s="73">
        <f t="shared" ca="1" si="678"/>
        <v>0</v>
      </c>
      <c r="EE150" s="64"/>
      <c r="EF150" s="74" t="s">
        <v>74</v>
      </c>
      <c r="EG150" s="73">
        <f t="shared" ca="1" si="679"/>
        <v>0</v>
      </c>
      <c r="EH150" s="64"/>
      <c r="EI150" s="74" t="s">
        <v>1634</v>
      </c>
      <c r="EJ150" s="73">
        <f t="shared" ca="1" si="680"/>
        <v>0</v>
      </c>
      <c r="EK150" s="64"/>
      <c r="EL150" s="74"/>
      <c r="EM150" s="73">
        <f t="shared" ca="1" si="681"/>
        <v>0</v>
      </c>
      <c r="EN150" s="64"/>
      <c r="EO150" s="74"/>
      <c r="EP150" s="73">
        <f t="shared" ca="1" si="682"/>
        <v>0</v>
      </c>
      <c r="EQ150" s="64"/>
      <c r="ER150" s="74"/>
      <c r="ES150" s="73">
        <f t="shared" ca="1" si="683"/>
        <v>0</v>
      </c>
      <c r="ET150" s="64"/>
      <c r="EU150" s="74"/>
      <c r="EV150" s="73">
        <f t="shared" ca="1" si="684"/>
        <v>0</v>
      </c>
      <c r="EW150" s="64"/>
      <c r="EX150" s="74"/>
      <c r="EY150" s="73">
        <f t="shared" ca="1" si="685"/>
        <v>0</v>
      </c>
      <c r="EZ150" s="64"/>
      <c r="FA150" s="74"/>
      <c r="FB150" s="73">
        <f t="shared" ca="1" si="686"/>
        <v>0</v>
      </c>
      <c r="FC150" s="64"/>
      <c r="FD150" s="74"/>
      <c r="FE150" s="73">
        <f t="shared" ca="1" si="687"/>
        <v>0</v>
      </c>
      <c r="FF150" s="64"/>
      <c r="FG150" s="74"/>
      <c r="FH150" s="73">
        <f t="shared" ca="1" si="688"/>
        <v>0</v>
      </c>
      <c r="FI150" s="64"/>
      <c r="FJ150" s="74"/>
      <c r="FK150" s="73">
        <f t="shared" ca="1" si="689"/>
        <v>0</v>
      </c>
      <c r="FL150" s="64"/>
      <c r="FM150" s="64"/>
    </row>
    <row r="151" spans="1:169">
      <c r="A151" s="49"/>
      <c r="B151" s="49"/>
      <c r="C151" s="49"/>
      <c r="D151" s="49"/>
      <c r="E151" s="65"/>
      <c r="F151" s="127">
        <f t="shared" si="690"/>
        <v>3</v>
      </c>
      <c r="G151" s="445">
        <f ca="1">VLOOKUP(H151,Equipos!$Q$1:$R$25,2,0)</f>
        <v>19</v>
      </c>
      <c r="H151" s="447" t="str">
        <f>Idiomas!$D$137</f>
        <v>CLASIFICADOS PARA DIECISEISAVOS</v>
      </c>
      <c r="I151" s="50"/>
      <c r="J151" s="849"/>
      <c r="K151" s="56" t="str">
        <f>Idiomas!$D$198&amp;"-"&amp;ROWS($L$130:L151)</f>
        <v>Dieciseisavofinalista-22</v>
      </c>
      <c r="L151" s="53"/>
      <c r="M151" s="55" t="str">
        <f ca="1">WORLDCUP!AF106</f>
        <v>3CDFGH</v>
      </c>
      <c r="N151" s="25"/>
      <c r="O151" s="25"/>
      <c r="P151" s="25"/>
      <c r="Q151" s="25"/>
      <c r="R151" s="110"/>
      <c r="S151" s="74" t="s">
        <v>1322</v>
      </c>
      <c r="T151" s="73">
        <f t="shared" ca="1" si="640"/>
        <v>0</v>
      </c>
      <c r="U151" s="64"/>
      <c r="V151" s="74" t="s">
        <v>1833</v>
      </c>
      <c r="W151" s="73">
        <f t="shared" ca="1" si="641"/>
        <v>0</v>
      </c>
      <c r="X151" s="64"/>
      <c r="Y151" s="74" t="s">
        <v>1833</v>
      </c>
      <c r="Z151" s="73">
        <f t="shared" ca="1" si="642"/>
        <v>0</v>
      </c>
      <c r="AA151" s="64"/>
      <c r="AB151" s="74" t="s">
        <v>1833</v>
      </c>
      <c r="AC151" s="73">
        <f t="shared" ca="1" si="643"/>
        <v>0</v>
      </c>
      <c r="AD151" s="64"/>
      <c r="AE151" s="74" t="s">
        <v>1833</v>
      </c>
      <c r="AF151" s="73">
        <f t="shared" ca="1" si="644"/>
        <v>0</v>
      </c>
      <c r="AG151" s="64"/>
      <c r="AH151" s="74" t="s">
        <v>1263</v>
      </c>
      <c r="AI151" s="73">
        <f t="shared" ca="1" si="645"/>
        <v>0</v>
      </c>
      <c r="AJ151" s="64"/>
      <c r="AK151" s="74" t="s">
        <v>1833</v>
      </c>
      <c r="AL151" s="73">
        <f t="shared" ca="1" si="646"/>
        <v>0</v>
      </c>
      <c r="AM151" s="64"/>
      <c r="AN151" s="74" t="s">
        <v>1262</v>
      </c>
      <c r="AO151" s="73">
        <f t="shared" ca="1" si="647"/>
        <v>0</v>
      </c>
      <c r="AP151" s="64"/>
      <c r="AQ151" s="74" t="s">
        <v>1263</v>
      </c>
      <c r="AR151" s="73">
        <f t="shared" ca="1" si="648"/>
        <v>0</v>
      </c>
      <c r="AS151" s="64"/>
      <c r="AT151" s="74" t="s">
        <v>134</v>
      </c>
      <c r="AU151" s="73">
        <f t="shared" ca="1" si="649"/>
        <v>0</v>
      </c>
      <c r="AV151" s="64"/>
      <c r="AW151" s="74" t="s">
        <v>497</v>
      </c>
      <c r="AX151" s="73">
        <f t="shared" ca="1" si="650"/>
        <v>0</v>
      </c>
      <c r="AY151" s="64"/>
      <c r="AZ151" s="74" t="s">
        <v>1632</v>
      </c>
      <c r="BA151" s="73">
        <f t="shared" ca="1" si="651"/>
        <v>0</v>
      </c>
      <c r="BB151" s="64"/>
      <c r="BC151" s="74" t="s">
        <v>1263</v>
      </c>
      <c r="BD151" s="73">
        <f t="shared" ca="1" si="652"/>
        <v>0</v>
      </c>
      <c r="BE151" s="64"/>
      <c r="BF151" s="74" t="s">
        <v>1319</v>
      </c>
      <c r="BG151" s="73">
        <f t="shared" ca="1" si="653"/>
        <v>0</v>
      </c>
      <c r="BH151" s="64"/>
      <c r="BI151" s="74" t="s">
        <v>497</v>
      </c>
      <c r="BJ151" s="73">
        <f t="shared" ca="1" si="654"/>
        <v>0</v>
      </c>
      <c r="BK151" s="64"/>
      <c r="BL151" s="74" t="s">
        <v>1833</v>
      </c>
      <c r="BM151" s="73">
        <f t="shared" ca="1" si="655"/>
        <v>0</v>
      </c>
      <c r="BN151" s="64"/>
      <c r="BO151" s="74" t="s">
        <v>1833</v>
      </c>
      <c r="BP151" s="73">
        <f t="shared" ca="1" si="656"/>
        <v>0</v>
      </c>
      <c r="BQ151" s="64"/>
      <c r="BR151" s="74" t="s">
        <v>497</v>
      </c>
      <c r="BS151" s="73">
        <f t="shared" ca="1" si="657"/>
        <v>0</v>
      </c>
      <c r="BT151" s="64"/>
      <c r="BU151" s="74" t="s">
        <v>1833</v>
      </c>
      <c r="BV151" s="73">
        <f t="shared" ca="1" si="658"/>
        <v>0</v>
      </c>
      <c r="BW151" s="64"/>
      <c r="BX151" s="74" t="s">
        <v>1319</v>
      </c>
      <c r="BY151" s="73">
        <f t="shared" ca="1" si="659"/>
        <v>0</v>
      </c>
      <c r="BZ151" s="64"/>
      <c r="CA151" s="74" t="s">
        <v>1263</v>
      </c>
      <c r="CB151" s="73">
        <f t="shared" ca="1" si="660"/>
        <v>0</v>
      </c>
      <c r="CC151" s="64"/>
      <c r="CD151" s="74" t="s">
        <v>1833</v>
      </c>
      <c r="CE151" s="73">
        <f t="shared" ca="1" si="661"/>
        <v>0</v>
      </c>
      <c r="CF151" s="64"/>
      <c r="CG151" s="74" t="s">
        <v>1833</v>
      </c>
      <c r="CH151" s="73">
        <f t="shared" ca="1" si="662"/>
        <v>0</v>
      </c>
      <c r="CI151" s="64"/>
      <c r="CJ151" s="74" t="s">
        <v>1632</v>
      </c>
      <c r="CK151" s="73">
        <f t="shared" ca="1" si="663"/>
        <v>0</v>
      </c>
      <c r="CL151" s="64"/>
      <c r="CM151" s="74" t="s">
        <v>1319</v>
      </c>
      <c r="CN151" s="73">
        <f t="shared" ca="1" si="664"/>
        <v>0</v>
      </c>
      <c r="CO151" s="64"/>
      <c r="CP151" s="74" t="s">
        <v>1833</v>
      </c>
      <c r="CQ151" s="73">
        <f t="shared" ca="1" si="665"/>
        <v>0</v>
      </c>
      <c r="CR151" s="64"/>
      <c r="CS151" s="74" t="s">
        <v>1262</v>
      </c>
      <c r="CT151" s="73">
        <f t="shared" ca="1" si="666"/>
        <v>0</v>
      </c>
      <c r="CU151" s="64"/>
      <c r="CV151" s="74" t="s">
        <v>1833</v>
      </c>
      <c r="CW151" s="73">
        <f t="shared" ca="1" si="667"/>
        <v>0</v>
      </c>
      <c r="CX151" s="64"/>
      <c r="CY151" s="74" t="s">
        <v>1319</v>
      </c>
      <c r="CZ151" s="73">
        <f t="shared" ca="1" si="668"/>
        <v>0</v>
      </c>
      <c r="DA151" s="64"/>
      <c r="DB151" s="74" t="s">
        <v>1833</v>
      </c>
      <c r="DC151" s="73">
        <f t="shared" ca="1" si="669"/>
        <v>0</v>
      </c>
      <c r="DD151" s="64"/>
      <c r="DE151" s="74" t="s">
        <v>1632</v>
      </c>
      <c r="DF151" s="73">
        <f t="shared" ca="1" si="670"/>
        <v>0</v>
      </c>
      <c r="DG151" s="64"/>
      <c r="DH151" s="74" t="s">
        <v>1833</v>
      </c>
      <c r="DI151" s="73">
        <f t="shared" ca="1" si="671"/>
        <v>0</v>
      </c>
      <c r="DJ151" s="64"/>
      <c r="DK151" s="74" t="s">
        <v>1632</v>
      </c>
      <c r="DL151" s="73">
        <f t="shared" ca="1" si="672"/>
        <v>0</v>
      </c>
      <c r="DM151" s="64"/>
      <c r="DN151" s="795" t="s">
        <v>497</v>
      </c>
      <c r="DO151" s="73">
        <f t="shared" ca="1" si="673"/>
        <v>0</v>
      </c>
      <c r="DP151" s="64"/>
      <c r="DQ151" s="795" t="s">
        <v>1318</v>
      </c>
      <c r="DR151" s="73">
        <f t="shared" ca="1" si="674"/>
        <v>0</v>
      </c>
      <c r="DS151" s="64"/>
      <c r="DT151" s="74" t="s">
        <v>1263</v>
      </c>
      <c r="DU151" s="73">
        <f t="shared" ca="1" si="675"/>
        <v>0</v>
      </c>
      <c r="DV151" s="64"/>
      <c r="DW151" s="74" t="s">
        <v>1833</v>
      </c>
      <c r="DX151" s="73">
        <f t="shared" ca="1" si="676"/>
        <v>0</v>
      </c>
      <c r="DY151" s="64"/>
      <c r="DZ151" s="74" t="s">
        <v>1321</v>
      </c>
      <c r="EA151" s="73">
        <f t="shared" ca="1" si="677"/>
        <v>0</v>
      </c>
      <c r="EB151" s="64"/>
      <c r="EC151" s="74" t="s">
        <v>1833</v>
      </c>
      <c r="ED151" s="73">
        <f t="shared" ca="1" si="678"/>
        <v>0</v>
      </c>
      <c r="EE151" s="64"/>
      <c r="EF151" s="74" t="s">
        <v>1257</v>
      </c>
      <c r="EG151" s="73">
        <f t="shared" ca="1" si="679"/>
        <v>0</v>
      </c>
      <c r="EH151" s="64"/>
      <c r="EI151" s="74" t="s">
        <v>1319</v>
      </c>
      <c r="EJ151" s="73">
        <f t="shared" ca="1" si="680"/>
        <v>0</v>
      </c>
      <c r="EK151" s="64"/>
      <c r="EL151" s="74"/>
      <c r="EM151" s="73">
        <f t="shared" ca="1" si="681"/>
        <v>0</v>
      </c>
      <c r="EN151" s="64"/>
      <c r="EO151" s="74"/>
      <c r="EP151" s="73">
        <f t="shared" ca="1" si="682"/>
        <v>0</v>
      </c>
      <c r="EQ151" s="64"/>
      <c r="ER151" s="74"/>
      <c r="ES151" s="73">
        <f t="shared" ca="1" si="683"/>
        <v>0</v>
      </c>
      <c r="ET151" s="64"/>
      <c r="EU151" s="74"/>
      <c r="EV151" s="73">
        <f t="shared" ca="1" si="684"/>
        <v>0</v>
      </c>
      <c r="EW151" s="64"/>
      <c r="EX151" s="74"/>
      <c r="EY151" s="73">
        <f t="shared" ca="1" si="685"/>
        <v>0</v>
      </c>
      <c r="EZ151" s="64"/>
      <c r="FA151" s="74"/>
      <c r="FB151" s="73">
        <f t="shared" ca="1" si="686"/>
        <v>0</v>
      </c>
      <c r="FC151" s="64"/>
      <c r="FD151" s="74"/>
      <c r="FE151" s="73">
        <f t="shared" ca="1" si="687"/>
        <v>0</v>
      </c>
      <c r="FF151" s="64"/>
      <c r="FG151" s="74"/>
      <c r="FH151" s="73">
        <f t="shared" ca="1" si="688"/>
        <v>0</v>
      </c>
      <c r="FI151" s="64"/>
      <c r="FJ151" s="74"/>
      <c r="FK151" s="73">
        <f t="shared" ca="1" si="689"/>
        <v>0</v>
      </c>
      <c r="FL151" s="64"/>
      <c r="FM151" s="64"/>
    </row>
    <row r="152" spans="1:169">
      <c r="A152" s="49"/>
      <c r="B152" s="49"/>
      <c r="C152" s="49"/>
      <c r="D152" s="49"/>
      <c r="E152" s="65"/>
      <c r="F152" s="127">
        <f t="shared" si="690"/>
        <v>3</v>
      </c>
      <c r="G152" s="445">
        <f ca="1">VLOOKUP(H152,Equipos!$Q$1:$R$25,2,0)</f>
        <v>19</v>
      </c>
      <c r="H152" s="447" t="str">
        <f>Idiomas!$D$137</f>
        <v>CLASIFICADOS PARA DIECISEISAVOS</v>
      </c>
      <c r="I152" s="50"/>
      <c r="J152" s="849"/>
      <c r="K152" s="56" t="str">
        <f>Idiomas!$D$198&amp;"-"&amp;ROWS($L$130:L152)</f>
        <v>Dieciseisavofinalista-23</v>
      </c>
      <c r="L152" s="53"/>
      <c r="M152" s="55" t="str">
        <f ca="1">WORLDCUP!AF107</f>
        <v>3CEFHI</v>
      </c>
      <c r="N152" s="25"/>
      <c r="O152" s="25"/>
      <c r="P152" s="25"/>
      <c r="Q152" s="25"/>
      <c r="R152" s="110"/>
      <c r="S152" s="74" t="s">
        <v>1261</v>
      </c>
      <c r="T152" s="73">
        <f t="shared" ca="1" si="640"/>
        <v>0</v>
      </c>
      <c r="U152" s="64"/>
      <c r="V152" s="74" t="s">
        <v>1633</v>
      </c>
      <c r="W152" s="73">
        <f t="shared" ca="1" si="641"/>
        <v>0</v>
      </c>
      <c r="X152" s="64"/>
      <c r="Y152" s="74" t="s">
        <v>1632</v>
      </c>
      <c r="Z152" s="73">
        <f t="shared" ca="1" si="642"/>
        <v>0</v>
      </c>
      <c r="AA152" s="64"/>
      <c r="AB152" s="74" t="s">
        <v>134</v>
      </c>
      <c r="AC152" s="73">
        <f t="shared" ca="1" si="643"/>
        <v>0</v>
      </c>
      <c r="AD152" s="64"/>
      <c r="AE152" s="74" t="s">
        <v>134</v>
      </c>
      <c r="AF152" s="73">
        <f t="shared" ca="1" si="644"/>
        <v>0</v>
      </c>
      <c r="AG152" s="64"/>
      <c r="AH152" s="74" t="s">
        <v>134</v>
      </c>
      <c r="AI152" s="73">
        <f t="shared" ca="1" si="645"/>
        <v>0</v>
      </c>
      <c r="AJ152" s="64"/>
      <c r="AK152" s="74" t="s">
        <v>134</v>
      </c>
      <c r="AL152" s="73">
        <f t="shared" ca="1" si="646"/>
        <v>0</v>
      </c>
      <c r="AM152" s="64"/>
      <c r="AN152" s="74" t="s">
        <v>1261</v>
      </c>
      <c r="AO152" s="73">
        <f t="shared" ca="1" si="647"/>
        <v>0</v>
      </c>
      <c r="AP152" s="64"/>
      <c r="AQ152" s="74" t="s">
        <v>134</v>
      </c>
      <c r="AR152" s="73">
        <f t="shared" ca="1" si="648"/>
        <v>0</v>
      </c>
      <c r="AS152" s="64"/>
      <c r="AT152" s="74" t="s">
        <v>1633</v>
      </c>
      <c r="AU152" s="73">
        <f t="shared" ca="1" si="649"/>
        <v>0</v>
      </c>
      <c r="AV152" s="64"/>
      <c r="AW152" s="74" t="s">
        <v>1261</v>
      </c>
      <c r="AX152" s="73">
        <f t="shared" ca="1" si="650"/>
        <v>0</v>
      </c>
      <c r="AY152" s="64"/>
      <c r="AZ152" s="74" t="s">
        <v>1633</v>
      </c>
      <c r="BA152" s="73">
        <f t="shared" ca="1" si="651"/>
        <v>0</v>
      </c>
      <c r="BB152" s="64"/>
      <c r="BC152" s="74" t="s">
        <v>134</v>
      </c>
      <c r="BD152" s="73">
        <f t="shared" ca="1" si="652"/>
        <v>0</v>
      </c>
      <c r="BE152" s="64"/>
      <c r="BF152" s="74" t="s">
        <v>1632</v>
      </c>
      <c r="BG152" s="73">
        <f t="shared" ca="1" si="653"/>
        <v>0</v>
      </c>
      <c r="BH152" s="64"/>
      <c r="BI152" s="74" t="s">
        <v>1261</v>
      </c>
      <c r="BJ152" s="73">
        <f t="shared" ca="1" si="654"/>
        <v>0</v>
      </c>
      <c r="BK152" s="64"/>
      <c r="BL152" s="74" t="s">
        <v>134</v>
      </c>
      <c r="BM152" s="73">
        <f t="shared" ca="1" si="655"/>
        <v>0</v>
      </c>
      <c r="BN152" s="64"/>
      <c r="BO152" s="74" t="s">
        <v>1632</v>
      </c>
      <c r="BP152" s="73">
        <f t="shared" ca="1" si="656"/>
        <v>0</v>
      </c>
      <c r="BQ152" s="64"/>
      <c r="BR152" s="74" t="s">
        <v>1632</v>
      </c>
      <c r="BS152" s="73">
        <f t="shared" ca="1" si="657"/>
        <v>0</v>
      </c>
      <c r="BT152" s="64"/>
      <c r="BU152" s="74" t="s">
        <v>135</v>
      </c>
      <c r="BV152" s="73">
        <f t="shared" ca="1" si="658"/>
        <v>0</v>
      </c>
      <c r="BW152" s="64"/>
      <c r="BX152" s="74" t="s">
        <v>1632</v>
      </c>
      <c r="BY152" s="73">
        <f t="shared" ca="1" si="659"/>
        <v>0</v>
      </c>
      <c r="BZ152" s="64"/>
      <c r="CA152" s="74" t="s">
        <v>1321</v>
      </c>
      <c r="CB152" s="73">
        <f t="shared" ca="1" si="660"/>
        <v>0</v>
      </c>
      <c r="CC152" s="64"/>
      <c r="CD152" s="74" t="s">
        <v>134</v>
      </c>
      <c r="CE152" s="73">
        <f t="shared" ca="1" si="661"/>
        <v>0</v>
      </c>
      <c r="CF152" s="64"/>
      <c r="CG152" s="74" t="s">
        <v>1261</v>
      </c>
      <c r="CH152" s="73">
        <f t="shared" ca="1" si="662"/>
        <v>0</v>
      </c>
      <c r="CI152" s="64"/>
      <c r="CJ152" s="74" t="s">
        <v>1633</v>
      </c>
      <c r="CK152" s="73">
        <f t="shared" ca="1" si="663"/>
        <v>0</v>
      </c>
      <c r="CL152" s="64"/>
      <c r="CM152" s="74" t="s">
        <v>1632</v>
      </c>
      <c r="CN152" s="73">
        <f t="shared" ca="1" si="664"/>
        <v>0</v>
      </c>
      <c r="CO152" s="64"/>
      <c r="CP152" s="74" t="s">
        <v>1633</v>
      </c>
      <c r="CQ152" s="73">
        <f t="shared" ca="1" si="665"/>
        <v>0</v>
      </c>
      <c r="CR152" s="64"/>
      <c r="CS152" s="74" t="s">
        <v>1261</v>
      </c>
      <c r="CT152" s="73">
        <f t="shared" ca="1" si="666"/>
        <v>0</v>
      </c>
      <c r="CU152" s="64"/>
      <c r="CV152" s="74" t="s">
        <v>1632</v>
      </c>
      <c r="CW152" s="73">
        <f t="shared" ca="1" si="667"/>
        <v>0</v>
      </c>
      <c r="CX152" s="64"/>
      <c r="CY152" s="74" t="s">
        <v>1318</v>
      </c>
      <c r="CZ152" s="73">
        <f t="shared" ca="1" si="668"/>
        <v>0</v>
      </c>
      <c r="DA152" s="64"/>
      <c r="DB152" s="74" t="s">
        <v>1633</v>
      </c>
      <c r="DC152" s="73">
        <f t="shared" ca="1" si="669"/>
        <v>0</v>
      </c>
      <c r="DD152" s="64"/>
      <c r="DE152" s="74" t="s">
        <v>1633</v>
      </c>
      <c r="DF152" s="73">
        <f t="shared" ca="1" si="670"/>
        <v>0</v>
      </c>
      <c r="DG152" s="64"/>
      <c r="DH152" s="74" t="s">
        <v>134</v>
      </c>
      <c r="DI152" s="73">
        <f t="shared" ca="1" si="671"/>
        <v>0</v>
      </c>
      <c r="DJ152" s="64"/>
      <c r="DK152" s="74" t="s">
        <v>1633</v>
      </c>
      <c r="DL152" s="73">
        <f t="shared" ca="1" si="672"/>
        <v>0</v>
      </c>
      <c r="DM152" s="64"/>
      <c r="DN152" s="795" t="s">
        <v>1632</v>
      </c>
      <c r="DO152" s="73">
        <f t="shared" ca="1" si="673"/>
        <v>0</v>
      </c>
      <c r="DP152" s="64"/>
      <c r="DQ152" s="795" t="s">
        <v>1633</v>
      </c>
      <c r="DR152" s="73">
        <f t="shared" ca="1" si="674"/>
        <v>0</v>
      </c>
      <c r="DS152" s="64"/>
      <c r="DT152" s="74" t="s">
        <v>1258</v>
      </c>
      <c r="DU152" s="73">
        <f t="shared" ca="1" si="675"/>
        <v>0</v>
      </c>
      <c r="DV152" s="64"/>
      <c r="DW152" s="74" t="s">
        <v>134</v>
      </c>
      <c r="DX152" s="73">
        <f t="shared" ca="1" si="676"/>
        <v>0</v>
      </c>
      <c r="DY152" s="64"/>
      <c r="DZ152" s="74" t="s">
        <v>1633</v>
      </c>
      <c r="EA152" s="73">
        <f t="shared" ca="1" si="677"/>
        <v>0</v>
      </c>
      <c r="EB152" s="64"/>
      <c r="EC152" s="74" t="s">
        <v>134</v>
      </c>
      <c r="ED152" s="73">
        <f t="shared" ca="1" si="678"/>
        <v>0</v>
      </c>
      <c r="EE152" s="64"/>
      <c r="EF152" s="74" t="s">
        <v>1633</v>
      </c>
      <c r="EG152" s="73">
        <f t="shared" ca="1" si="679"/>
        <v>0</v>
      </c>
      <c r="EH152" s="64"/>
      <c r="EI152" s="74" t="s">
        <v>1633</v>
      </c>
      <c r="EJ152" s="73">
        <f t="shared" ca="1" si="680"/>
        <v>0</v>
      </c>
      <c r="EK152" s="64"/>
      <c r="EL152" s="74"/>
      <c r="EM152" s="73">
        <f t="shared" ca="1" si="681"/>
        <v>0</v>
      </c>
      <c r="EN152" s="64"/>
      <c r="EO152" s="74"/>
      <c r="EP152" s="73">
        <f t="shared" ca="1" si="682"/>
        <v>0</v>
      </c>
      <c r="EQ152" s="64"/>
      <c r="ER152" s="74"/>
      <c r="ES152" s="73">
        <f t="shared" ca="1" si="683"/>
        <v>0</v>
      </c>
      <c r="ET152" s="64"/>
      <c r="EU152" s="74"/>
      <c r="EV152" s="73">
        <f t="shared" ca="1" si="684"/>
        <v>0</v>
      </c>
      <c r="EW152" s="64"/>
      <c r="EX152" s="74"/>
      <c r="EY152" s="73">
        <f t="shared" ca="1" si="685"/>
        <v>0</v>
      </c>
      <c r="EZ152" s="64"/>
      <c r="FA152" s="74"/>
      <c r="FB152" s="73">
        <f t="shared" ca="1" si="686"/>
        <v>0</v>
      </c>
      <c r="FC152" s="64"/>
      <c r="FD152" s="74"/>
      <c r="FE152" s="73">
        <f t="shared" ca="1" si="687"/>
        <v>0</v>
      </c>
      <c r="FF152" s="64"/>
      <c r="FG152" s="74"/>
      <c r="FH152" s="73">
        <f t="shared" ca="1" si="688"/>
        <v>0</v>
      </c>
      <c r="FI152" s="64"/>
      <c r="FJ152" s="74"/>
      <c r="FK152" s="73">
        <f t="shared" ca="1" si="689"/>
        <v>0</v>
      </c>
      <c r="FL152" s="64"/>
      <c r="FM152" s="64"/>
    </row>
    <row r="153" spans="1:169">
      <c r="A153" s="49"/>
      <c r="B153" s="49"/>
      <c r="C153" s="49"/>
      <c r="D153" s="49"/>
      <c r="E153" s="65"/>
      <c r="F153" s="127">
        <f t="shared" si="690"/>
        <v>3</v>
      </c>
      <c r="G153" s="445">
        <f ca="1">VLOOKUP(H153,Equipos!$Q$1:$R$25,2,0)</f>
        <v>19</v>
      </c>
      <c r="H153" s="447" t="str">
        <f>Idiomas!$D$137</f>
        <v>CLASIFICADOS PARA DIECISEISAVOS</v>
      </c>
      <c r="I153" s="50"/>
      <c r="J153" s="849"/>
      <c r="K153" s="56" t="str">
        <f>Idiomas!$D$198&amp;"-"&amp;ROWS($L$130:L153)</f>
        <v>Dieciseisavofinalista-24</v>
      </c>
      <c r="L153" s="53"/>
      <c r="M153" s="55" t="str">
        <f ca="1">WORLDCUP!AF108</f>
        <v>3EHIJK</v>
      </c>
      <c r="N153" s="25"/>
      <c r="O153" s="25"/>
      <c r="P153" s="25"/>
      <c r="Q153" s="25"/>
      <c r="R153" s="110"/>
      <c r="S153" s="74" t="s">
        <v>1839</v>
      </c>
      <c r="T153" s="73">
        <f t="shared" ca="1" si="640"/>
        <v>0</v>
      </c>
      <c r="U153" s="64"/>
      <c r="V153" s="74" t="s">
        <v>1839</v>
      </c>
      <c r="W153" s="73">
        <f t="shared" ca="1" si="641"/>
        <v>0</v>
      </c>
      <c r="X153" s="64"/>
      <c r="Y153" s="74" t="s">
        <v>1634</v>
      </c>
      <c r="Z153" s="73">
        <f t="shared" ca="1" si="642"/>
        <v>0</v>
      </c>
      <c r="AA153" s="64"/>
      <c r="AB153" s="74" t="s">
        <v>1634</v>
      </c>
      <c r="AC153" s="73">
        <f t="shared" ca="1" si="643"/>
        <v>0</v>
      </c>
      <c r="AD153" s="64"/>
      <c r="AE153" s="74" t="s">
        <v>1267</v>
      </c>
      <c r="AF153" s="73">
        <f t="shared" ca="1" si="644"/>
        <v>0</v>
      </c>
      <c r="AG153" s="64"/>
      <c r="AH153" s="74" t="s">
        <v>1634</v>
      </c>
      <c r="AI153" s="73">
        <f t="shared" ca="1" si="645"/>
        <v>0</v>
      </c>
      <c r="AJ153" s="64"/>
      <c r="AK153" s="74" t="s">
        <v>135</v>
      </c>
      <c r="AL153" s="73">
        <f t="shared" ca="1" si="646"/>
        <v>0</v>
      </c>
      <c r="AM153" s="64"/>
      <c r="AN153" s="74" t="s">
        <v>1839</v>
      </c>
      <c r="AO153" s="73">
        <f t="shared" ca="1" si="647"/>
        <v>0</v>
      </c>
      <c r="AP153" s="64"/>
      <c r="AQ153" s="74" t="s">
        <v>1634</v>
      </c>
      <c r="AR153" s="73">
        <f t="shared" ca="1" si="648"/>
        <v>0</v>
      </c>
      <c r="AS153" s="64"/>
      <c r="AT153" s="74" t="s">
        <v>1839</v>
      </c>
      <c r="AU153" s="73">
        <f t="shared" ca="1" si="649"/>
        <v>0</v>
      </c>
      <c r="AV153" s="64"/>
      <c r="AW153" s="74" t="s">
        <v>1320</v>
      </c>
      <c r="AX153" s="73">
        <f t="shared" ca="1" si="650"/>
        <v>0</v>
      </c>
      <c r="AY153" s="64"/>
      <c r="AZ153" s="74" t="s">
        <v>1634</v>
      </c>
      <c r="BA153" s="73">
        <f t="shared" ca="1" si="651"/>
        <v>0</v>
      </c>
      <c r="BB153" s="64"/>
      <c r="BC153" s="74" t="s">
        <v>1839</v>
      </c>
      <c r="BD153" s="73">
        <f t="shared" ca="1" si="652"/>
        <v>0</v>
      </c>
      <c r="BE153" s="64"/>
      <c r="BF153" s="74" t="s">
        <v>1634</v>
      </c>
      <c r="BG153" s="73">
        <f t="shared" ca="1" si="653"/>
        <v>0</v>
      </c>
      <c r="BH153" s="64"/>
      <c r="BI153" s="74" t="s">
        <v>1634</v>
      </c>
      <c r="BJ153" s="73">
        <f t="shared" ca="1" si="654"/>
        <v>0</v>
      </c>
      <c r="BK153" s="64"/>
      <c r="BL153" s="74" t="s">
        <v>135</v>
      </c>
      <c r="BM153" s="73">
        <f t="shared" ca="1" si="655"/>
        <v>0</v>
      </c>
      <c r="BN153" s="64"/>
      <c r="BO153" s="74" t="s">
        <v>135</v>
      </c>
      <c r="BP153" s="73">
        <f t="shared" ca="1" si="656"/>
        <v>0</v>
      </c>
      <c r="BQ153" s="64"/>
      <c r="BR153" s="74" t="s">
        <v>135</v>
      </c>
      <c r="BS153" s="73">
        <f t="shared" ca="1" si="657"/>
        <v>0</v>
      </c>
      <c r="BT153" s="64"/>
      <c r="BU153" s="74" t="s">
        <v>1839</v>
      </c>
      <c r="BV153" s="73">
        <f t="shared" ca="1" si="658"/>
        <v>0</v>
      </c>
      <c r="BW153" s="64"/>
      <c r="BX153" s="74" t="s">
        <v>1839</v>
      </c>
      <c r="BY153" s="73">
        <f t="shared" ca="1" si="659"/>
        <v>0</v>
      </c>
      <c r="BZ153" s="64"/>
      <c r="CA153" s="74" t="s">
        <v>135</v>
      </c>
      <c r="CB153" s="73">
        <f t="shared" ca="1" si="660"/>
        <v>0</v>
      </c>
      <c r="CC153" s="64"/>
      <c r="CD153" s="74" t="s">
        <v>1634</v>
      </c>
      <c r="CE153" s="73">
        <f t="shared" ca="1" si="661"/>
        <v>0</v>
      </c>
      <c r="CF153" s="64"/>
      <c r="CG153" s="74" t="s">
        <v>1839</v>
      </c>
      <c r="CH153" s="73">
        <f t="shared" ca="1" si="662"/>
        <v>0</v>
      </c>
      <c r="CI153" s="64"/>
      <c r="CJ153" s="74" t="s">
        <v>1634</v>
      </c>
      <c r="CK153" s="73">
        <f t="shared" ca="1" si="663"/>
        <v>0</v>
      </c>
      <c r="CL153" s="64"/>
      <c r="CM153" s="74" t="s">
        <v>1634</v>
      </c>
      <c r="CN153" s="73">
        <f t="shared" ca="1" si="664"/>
        <v>0</v>
      </c>
      <c r="CO153" s="64"/>
      <c r="CP153" s="74" t="s">
        <v>1634</v>
      </c>
      <c r="CQ153" s="73">
        <f t="shared" ca="1" si="665"/>
        <v>0</v>
      </c>
      <c r="CR153" s="64"/>
      <c r="CS153" s="74" t="s">
        <v>1267</v>
      </c>
      <c r="CT153" s="73">
        <f t="shared" ca="1" si="666"/>
        <v>0</v>
      </c>
      <c r="CU153" s="64"/>
      <c r="CV153" s="74" t="s">
        <v>1634</v>
      </c>
      <c r="CW153" s="73">
        <f t="shared" ca="1" si="667"/>
        <v>0</v>
      </c>
      <c r="CX153" s="64"/>
      <c r="CY153" s="74" t="s">
        <v>1267</v>
      </c>
      <c r="CZ153" s="73">
        <f t="shared" ca="1" si="668"/>
        <v>0</v>
      </c>
      <c r="DA153" s="64"/>
      <c r="DB153" s="74" t="s">
        <v>1558</v>
      </c>
      <c r="DC153" s="73">
        <f t="shared" ca="1" si="669"/>
        <v>0</v>
      </c>
      <c r="DD153" s="64"/>
      <c r="DE153" s="74" t="s">
        <v>135</v>
      </c>
      <c r="DF153" s="73">
        <f t="shared" ca="1" si="670"/>
        <v>0</v>
      </c>
      <c r="DG153" s="64"/>
      <c r="DH153" s="74" t="s">
        <v>1634</v>
      </c>
      <c r="DI153" s="73">
        <f t="shared" ca="1" si="671"/>
        <v>0</v>
      </c>
      <c r="DJ153" s="64"/>
      <c r="DK153" s="74" t="s">
        <v>1634</v>
      </c>
      <c r="DL153" s="73">
        <f t="shared" ca="1" si="672"/>
        <v>0</v>
      </c>
      <c r="DM153" s="64"/>
      <c r="DN153" s="795" t="s">
        <v>1839</v>
      </c>
      <c r="DO153" s="73">
        <f t="shared" ca="1" si="673"/>
        <v>0</v>
      </c>
      <c r="DP153" s="64"/>
      <c r="DQ153" s="795" t="s">
        <v>1267</v>
      </c>
      <c r="DR153" s="73">
        <f t="shared" ca="1" si="674"/>
        <v>0</v>
      </c>
      <c r="DS153" s="64"/>
      <c r="DT153" s="74" t="s">
        <v>1633</v>
      </c>
      <c r="DU153" s="73">
        <f t="shared" ca="1" si="675"/>
        <v>0</v>
      </c>
      <c r="DV153" s="64"/>
      <c r="DW153" s="74" t="s">
        <v>1634</v>
      </c>
      <c r="DX153" s="73">
        <f t="shared" ca="1" si="676"/>
        <v>0</v>
      </c>
      <c r="DY153" s="64"/>
      <c r="DZ153" s="74" t="s">
        <v>1839</v>
      </c>
      <c r="EA153" s="73">
        <f t="shared" ca="1" si="677"/>
        <v>0</v>
      </c>
      <c r="EB153" s="64"/>
      <c r="EC153" s="74" t="s">
        <v>135</v>
      </c>
      <c r="ED153" s="73">
        <f t="shared" ca="1" si="678"/>
        <v>0</v>
      </c>
      <c r="EE153" s="64"/>
      <c r="EF153" s="74" t="s">
        <v>135</v>
      </c>
      <c r="EG153" s="73">
        <f t="shared" ca="1" si="679"/>
        <v>0</v>
      </c>
      <c r="EH153" s="64"/>
      <c r="EI153" s="74" t="s">
        <v>1558</v>
      </c>
      <c r="EJ153" s="73">
        <f t="shared" ca="1" si="680"/>
        <v>0</v>
      </c>
      <c r="EK153" s="64"/>
      <c r="EL153" s="74"/>
      <c r="EM153" s="73">
        <f t="shared" ca="1" si="681"/>
        <v>0</v>
      </c>
      <c r="EN153" s="64"/>
      <c r="EO153" s="74"/>
      <c r="EP153" s="73">
        <f t="shared" ca="1" si="682"/>
        <v>0</v>
      </c>
      <c r="EQ153" s="64"/>
      <c r="ER153" s="74"/>
      <c r="ES153" s="73">
        <f t="shared" ca="1" si="683"/>
        <v>0</v>
      </c>
      <c r="ET153" s="64"/>
      <c r="EU153" s="74"/>
      <c r="EV153" s="73">
        <f t="shared" ca="1" si="684"/>
        <v>0</v>
      </c>
      <c r="EW153" s="64"/>
      <c r="EX153" s="74"/>
      <c r="EY153" s="73">
        <f t="shared" ca="1" si="685"/>
        <v>0</v>
      </c>
      <c r="EZ153" s="64"/>
      <c r="FA153" s="74"/>
      <c r="FB153" s="73">
        <f t="shared" ca="1" si="686"/>
        <v>0</v>
      </c>
      <c r="FC153" s="64"/>
      <c r="FD153" s="74"/>
      <c r="FE153" s="73">
        <f t="shared" ca="1" si="687"/>
        <v>0</v>
      </c>
      <c r="FF153" s="64"/>
      <c r="FG153" s="74"/>
      <c r="FH153" s="73">
        <f t="shared" ca="1" si="688"/>
        <v>0</v>
      </c>
      <c r="FI153" s="64"/>
      <c r="FJ153" s="74"/>
      <c r="FK153" s="73">
        <f t="shared" ca="1" si="689"/>
        <v>0</v>
      </c>
      <c r="FL153" s="64"/>
      <c r="FM153" s="64"/>
    </row>
    <row r="154" spans="1:169">
      <c r="A154" s="49"/>
      <c r="B154" s="49"/>
      <c r="C154" s="49"/>
      <c r="D154" s="49"/>
      <c r="E154" s="65"/>
      <c r="F154" s="127">
        <f t="shared" si="690"/>
        <v>3</v>
      </c>
      <c r="G154" s="445">
        <f ca="1">VLOOKUP(H154,Equipos!$Q$1:$R$25,2,0)</f>
        <v>19</v>
      </c>
      <c r="H154" s="447" t="str">
        <f>Idiomas!$D$137</f>
        <v>CLASIFICADOS PARA DIECISEISAVOS</v>
      </c>
      <c r="I154" s="50"/>
      <c r="J154" s="849"/>
      <c r="K154" s="56" t="str">
        <f>Idiomas!$D$198&amp;"-"&amp;ROWS($L$130:L154)</f>
        <v>Dieciseisavofinalista-25</v>
      </c>
      <c r="L154" s="53"/>
      <c r="M154" s="55" t="str">
        <f ca="1">WORLDCUP!AF109</f>
        <v>3AEHIJ</v>
      </c>
      <c r="N154" s="25"/>
      <c r="O154" s="25"/>
      <c r="P154" s="25"/>
      <c r="Q154" s="25"/>
      <c r="R154" s="110"/>
      <c r="S154" s="74" t="s">
        <v>1843</v>
      </c>
      <c r="T154" s="73">
        <f t="shared" ca="1" si="640"/>
        <v>0</v>
      </c>
      <c r="U154" s="64"/>
      <c r="V154" s="74" t="s">
        <v>1632</v>
      </c>
      <c r="W154" s="73">
        <f t="shared" ca="1" si="641"/>
        <v>0</v>
      </c>
      <c r="X154" s="64"/>
      <c r="Y154" s="74" t="s">
        <v>1260</v>
      </c>
      <c r="Z154" s="73">
        <f t="shared" ca="1" si="642"/>
        <v>0</v>
      </c>
      <c r="AA154" s="64"/>
      <c r="AB154" s="74" t="s">
        <v>1632</v>
      </c>
      <c r="AC154" s="73">
        <f t="shared" ca="1" si="643"/>
        <v>0</v>
      </c>
      <c r="AD154" s="64"/>
      <c r="AE154" s="74" t="s">
        <v>1843</v>
      </c>
      <c r="AF154" s="73">
        <f t="shared" ca="1" si="644"/>
        <v>0</v>
      </c>
      <c r="AG154" s="64"/>
      <c r="AH154" s="74" t="s">
        <v>1632</v>
      </c>
      <c r="AI154" s="73">
        <f t="shared" ca="1" si="645"/>
        <v>0</v>
      </c>
      <c r="AJ154" s="64"/>
      <c r="AK154" s="74" t="s">
        <v>1632</v>
      </c>
      <c r="AL154" s="73">
        <f t="shared" ca="1" si="646"/>
        <v>0</v>
      </c>
      <c r="AM154" s="64"/>
      <c r="AN154" s="74" t="s">
        <v>1843</v>
      </c>
      <c r="AO154" s="73">
        <f t="shared" ca="1" si="647"/>
        <v>0</v>
      </c>
      <c r="AP154" s="64"/>
      <c r="AQ154" s="74" t="s">
        <v>1843</v>
      </c>
      <c r="AR154" s="73">
        <f t="shared" ca="1" si="648"/>
        <v>0</v>
      </c>
      <c r="AS154" s="64"/>
      <c r="AT154" s="74" t="s">
        <v>1634</v>
      </c>
      <c r="AU154" s="73">
        <f t="shared" ca="1" si="649"/>
        <v>0</v>
      </c>
      <c r="AV154" s="64"/>
      <c r="AW154" s="74" t="s">
        <v>1634</v>
      </c>
      <c r="AX154" s="73">
        <f t="shared" ca="1" si="650"/>
        <v>0</v>
      </c>
      <c r="AY154" s="64"/>
      <c r="AZ154" s="74" t="s">
        <v>1843</v>
      </c>
      <c r="BA154" s="73">
        <f t="shared" ca="1" si="651"/>
        <v>0</v>
      </c>
      <c r="BB154" s="64"/>
      <c r="BC154" s="74" t="s">
        <v>1630</v>
      </c>
      <c r="BD154" s="73">
        <f t="shared" ca="1" si="652"/>
        <v>0</v>
      </c>
      <c r="BE154" s="64"/>
      <c r="BF154" s="74" t="s">
        <v>1260</v>
      </c>
      <c r="BG154" s="73">
        <f t="shared" ca="1" si="653"/>
        <v>0</v>
      </c>
      <c r="BH154" s="64"/>
      <c r="BI154" s="74" t="s">
        <v>1260</v>
      </c>
      <c r="BJ154" s="73">
        <f t="shared" ca="1" si="654"/>
        <v>0</v>
      </c>
      <c r="BK154" s="64"/>
      <c r="BL154" s="74" t="s">
        <v>1558</v>
      </c>
      <c r="BM154" s="73">
        <f t="shared" ca="1" si="655"/>
        <v>0</v>
      </c>
      <c r="BN154" s="64"/>
      <c r="BO154" s="74" t="s">
        <v>1843</v>
      </c>
      <c r="BP154" s="73">
        <f t="shared" ca="1" si="656"/>
        <v>0</v>
      </c>
      <c r="BQ154" s="64"/>
      <c r="BR154" s="74" t="s">
        <v>1260</v>
      </c>
      <c r="BS154" s="73">
        <f t="shared" ca="1" si="657"/>
        <v>0</v>
      </c>
      <c r="BT154" s="64"/>
      <c r="BU154" s="74" t="s">
        <v>1843</v>
      </c>
      <c r="BV154" s="73">
        <f t="shared" ca="1" si="658"/>
        <v>0</v>
      </c>
      <c r="BW154" s="64"/>
      <c r="BX154" s="74" t="s">
        <v>135</v>
      </c>
      <c r="BY154" s="73">
        <f t="shared" ca="1" si="659"/>
        <v>0</v>
      </c>
      <c r="BZ154" s="64"/>
      <c r="CA154" s="74" t="s">
        <v>1630</v>
      </c>
      <c r="CB154" s="73">
        <f t="shared" ca="1" si="660"/>
        <v>0</v>
      </c>
      <c r="CC154" s="64"/>
      <c r="CD154" s="74" t="s">
        <v>1632</v>
      </c>
      <c r="CE154" s="73">
        <f t="shared" ca="1" si="661"/>
        <v>0</v>
      </c>
      <c r="CF154" s="64"/>
      <c r="CG154" s="74" t="s">
        <v>135</v>
      </c>
      <c r="CH154" s="73">
        <f t="shared" ca="1" si="662"/>
        <v>0</v>
      </c>
      <c r="CI154" s="64"/>
      <c r="CJ154" s="74" t="s">
        <v>1843</v>
      </c>
      <c r="CK154" s="73">
        <f t="shared" ca="1" si="663"/>
        <v>0</v>
      </c>
      <c r="CL154" s="64"/>
      <c r="CM154" s="74" t="s">
        <v>1843</v>
      </c>
      <c r="CN154" s="73">
        <f t="shared" ca="1" si="664"/>
        <v>0</v>
      </c>
      <c r="CO154" s="64"/>
      <c r="CP154" s="74" t="s">
        <v>1630</v>
      </c>
      <c r="CQ154" s="73">
        <f t="shared" ca="1" si="665"/>
        <v>0</v>
      </c>
      <c r="CR154" s="64"/>
      <c r="CS154" s="74" t="s">
        <v>1260</v>
      </c>
      <c r="CT154" s="73">
        <f t="shared" ca="1" si="666"/>
        <v>0</v>
      </c>
      <c r="CU154" s="64"/>
      <c r="CV154" s="74" t="s">
        <v>1843</v>
      </c>
      <c r="CW154" s="73">
        <f t="shared" ca="1" si="667"/>
        <v>0</v>
      </c>
      <c r="CX154" s="64"/>
      <c r="CY154" s="74" t="s">
        <v>1260</v>
      </c>
      <c r="CZ154" s="73">
        <f t="shared" ca="1" si="668"/>
        <v>0</v>
      </c>
      <c r="DA154" s="64"/>
      <c r="DB154" s="74" t="s">
        <v>1260</v>
      </c>
      <c r="DC154" s="73">
        <f t="shared" ca="1" si="669"/>
        <v>0</v>
      </c>
      <c r="DD154" s="64"/>
      <c r="DE154" s="74" t="s">
        <v>1260</v>
      </c>
      <c r="DF154" s="73">
        <f t="shared" ca="1" si="670"/>
        <v>0</v>
      </c>
      <c r="DG154" s="64"/>
      <c r="DH154" s="74" t="s">
        <v>1843</v>
      </c>
      <c r="DI154" s="73">
        <f t="shared" ca="1" si="671"/>
        <v>0</v>
      </c>
      <c r="DJ154" s="64"/>
      <c r="DK154" s="74" t="s">
        <v>1260</v>
      </c>
      <c r="DL154" s="73">
        <f t="shared" ca="1" si="672"/>
        <v>0</v>
      </c>
      <c r="DM154" s="64"/>
      <c r="DN154" s="795" t="s">
        <v>1260</v>
      </c>
      <c r="DO154" s="73">
        <f t="shared" ca="1" si="673"/>
        <v>0</v>
      </c>
      <c r="DP154" s="64"/>
      <c r="DQ154" s="795" t="s">
        <v>135</v>
      </c>
      <c r="DR154" s="73">
        <f t="shared" ca="1" si="674"/>
        <v>0</v>
      </c>
      <c r="DS154" s="64"/>
      <c r="DT154" s="74" t="s">
        <v>1630</v>
      </c>
      <c r="DU154" s="73">
        <f t="shared" ca="1" si="675"/>
        <v>0</v>
      </c>
      <c r="DV154" s="64"/>
      <c r="DW154" s="74" t="s">
        <v>1558</v>
      </c>
      <c r="DX154" s="73">
        <f t="shared" ca="1" si="676"/>
        <v>0</v>
      </c>
      <c r="DY154" s="64"/>
      <c r="DZ154" s="74" t="s">
        <v>1634</v>
      </c>
      <c r="EA154" s="73">
        <f t="shared" ca="1" si="677"/>
        <v>0</v>
      </c>
      <c r="EB154" s="64"/>
      <c r="EC154" s="74" t="s">
        <v>1632</v>
      </c>
      <c r="ED154" s="73">
        <f t="shared" ca="1" si="678"/>
        <v>0</v>
      </c>
      <c r="EE154" s="64"/>
      <c r="EF154" s="74" t="s">
        <v>1843</v>
      </c>
      <c r="EG154" s="73">
        <f t="shared" ca="1" si="679"/>
        <v>0</v>
      </c>
      <c r="EH154" s="64"/>
      <c r="EI154" s="74" t="s">
        <v>1843</v>
      </c>
      <c r="EJ154" s="73">
        <f t="shared" ca="1" si="680"/>
        <v>0</v>
      </c>
      <c r="EK154" s="64"/>
      <c r="EL154" s="74"/>
      <c r="EM154" s="73">
        <f t="shared" ca="1" si="681"/>
        <v>0</v>
      </c>
      <c r="EN154" s="64"/>
      <c r="EO154" s="74"/>
      <c r="EP154" s="73">
        <f t="shared" ca="1" si="682"/>
        <v>0</v>
      </c>
      <c r="EQ154" s="64"/>
      <c r="ER154" s="74"/>
      <c r="ES154" s="73">
        <f t="shared" ca="1" si="683"/>
        <v>0</v>
      </c>
      <c r="ET154" s="64"/>
      <c r="EU154" s="74"/>
      <c r="EV154" s="73">
        <f t="shared" ca="1" si="684"/>
        <v>0</v>
      </c>
      <c r="EW154" s="64"/>
      <c r="EX154" s="74"/>
      <c r="EY154" s="73">
        <f t="shared" ca="1" si="685"/>
        <v>0</v>
      </c>
      <c r="EZ154" s="64"/>
      <c r="FA154" s="74"/>
      <c r="FB154" s="73">
        <f t="shared" ca="1" si="686"/>
        <v>0</v>
      </c>
      <c r="FC154" s="64"/>
      <c r="FD154" s="74"/>
      <c r="FE154" s="73">
        <f t="shared" ca="1" si="687"/>
        <v>0</v>
      </c>
      <c r="FF154" s="64"/>
      <c r="FG154" s="74"/>
      <c r="FH154" s="73">
        <f t="shared" ca="1" si="688"/>
        <v>0</v>
      </c>
      <c r="FI154" s="64"/>
      <c r="FJ154" s="74"/>
      <c r="FK154" s="73">
        <f t="shared" ca="1" si="689"/>
        <v>0</v>
      </c>
      <c r="FL154" s="64"/>
      <c r="FM154" s="64"/>
    </row>
    <row r="155" spans="1:169">
      <c r="A155" s="49"/>
      <c r="B155" s="49"/>
      <c r="C155" s="49"/>
      <c r="D155" s="49"/>
      <c r="E155" s="65"/>
      <c r="F155" s="127">
        <f t="shared" si="690"/>
        <v>3</v>
      </c>
      <c r="G155" s="445">
        <f ca="1">VLOOKUP(H155,Equipos!$Q$1:$R$25,2,0)</f>
        <v>19</v>
      </c>
      <c r="H155" s="447" t="str">
        <f>Idiomas!$D$137</f>
        <v>CLASIFICADOS PARA DIECISEISAVOS</v>
      </c>
      <c r="I155" s="50"/>
      <c r="J155" s="849"/>
      <c r="K155" s="56" t="str">
        <f>Idiomas!$D$198&amp;"-"&amp;ROWS($L$130:L155)</f>
        <v>Dieciseisavofinalista-26</v>
      </c>
      <c r="L155" s="53"/>
      <c r="M155" s="55" t="str">
        <f ca="1">WORLDCUP!AF110</f>
        <v>3BEFIJ</v>
      </c>
      <c r="N155" s="25"/>
      <c r="O155" s="25"/>
      <c r="P155" s="25"/>
      <c r="Q155" s="25"/>
      <c r="R155" s="110"/>
      <c r="S155" s="74" t="s">
        <v>1841</v>
      </c>
      <c r="T155" s="73">
        <f t="shared" ca="1" si="640"/>
        <v>0</v>
      </c>
      <c r="U155" s="64"/>
      <c r="V155" s="74" t="s">
        <v>135</v>
      </c>
      <c r="W155" s="73">
        <f t="shared" ca="1" si="641"/>
        <v>0</v>
      </c>
      <c r="X155" s="64"/>
      <c r="Y155" s="74" t="s">
        <v>1259</v>
      </c>
      <c r="Z155" s="73">
        <f t="shared" ca="1" si="642"/>
        <v>0</v>
      </c>
      <c r="AA155" s="64"/>
      <c r="AB155" s="74" t="s">
        <v>1633</v>
      </c>
      <c r="AC155" s="73">
        <f t="shared" ca="1" si="643"/>
        <v>0</v>
      </c>
      <c r="AD155" s="64"/>
      <c r="AE155" s="74" t="s">
        <v>1633</v>
      </c>
      <c r="AF155" s="73">
        <f t="shared" ca="1" si="644"/>
        <v>0</v>
      </c>
      <c r="AG155" s="64"/>
      <c r="AH155" s="74" t="s">
        <v>80</v>
      </c>
      <c r="AI155" s="73">
        <f t="shared" ca="1" si="645"/>
        <v>0</v>
      </c>
      <c r="AJ155" s="64"/>
      <c r="AK155" s="74" t="s">
        <v>1633</v>
      </c>
      <c r="AL155" s="73">
        <f t="shared" ca="1" si="646"/>
        <v>0</v>
      </c>
      <c r="AM155" s="64"/>
      <c r="AN155" s="74" t="s">
        <v>1634</v>
      </c>
      <c r="AO155" s="73">
        <f t="shared" ca="1" si="647"/>
        <v>0</v>
      </c>
      <c r="AP155" s="64"/>
      <c r="AQ155" s="74" t="s">
        <v>1841</v>
      </c>
      <c r="AR155" s="73">
        <f t="shared" ca="1" si="648"/>
        <v>0</v>
      </c>
      <c r="AS155" s="64"/>
      <c r="AT155" s="74" t="s">
        <v>1259</v>
      </c>
      <c r="AU155" s="73">
        <f t="shared" ca="1" si="649"/>
        <v>0</v>
      </c>
      <c r="AV155" s="64"/>
      <c r="AW155" s="74" t="s">
        <v>1259</v>
      </c>
      <c r="AX155" s="73">
        <f t="shared" ca="1" si="650"/>
        <v>0</v>
      </c>
      <c r="AY155" s="64"/>
      <c r="AZ155" s="74" t="s">
        <v>1841</v>
      </c>
      <c r="BA155" s="73">
        <f t="shared" ca="1" si="651"/>
        <v>0</v>
      </c>
      <c r="BB155" s="64"/>
      <c r="BC155" s="74" t="s">
        <v>1631</v>
      </c>
      <c r="BD155" s="73">
        <f t="shared" ca="1" si="652"/>
        <v>0</v>
      </c>
      <c r="BE155" s="64"/>
      <c r="BF155" s="74" t="s">
        <v>1631</v>
      </c>
      <c r="BG155" s="73">
        <f t="shared" ca="1" si="653"/>
        <v>0</v>
      </c>
      <c r="BH155" s="64"/>
      <c r="BI155" s="74" t="s">
        <v>1259</v>
      </c>
      <c r="BJ155" s="73">
        <f t="shared" ca="1" si="654"/>
        <v>0</v>
      </c>
      <c r="BK155" s="64"/>
      <c r="BL155" s="74" t="s">
        <v>1633</v>
      </c>
      <c r="BM155" s="73">
        <f t="shared" ca="1" si="655"/>
        <v>0</v>
      </c>
      <c r="BN155" s="64"/>
      <c r="BO155" s="74" t="s">
        <v>80</v>
      </c>
      <c r="BP155" s="73">
        <f t="shared" ca="1" si="656"/>
        <v>0</v>
      </c>
      <c r="BQ155" s="64"/>
      <c r="BR155" s="74" t="s">
        <v>1259</v>
      </c>
      <c r="BS155" s="73">
        <f t="shared" ca="1" si="657"/>
        <v>0</v>
      </c>
      <c r="BT155" s="64"/>
      <c r="BU155" s="74" t="s">
        <v>1259</v>
      </c>
      <c r="BV155" s="73">
        <f t="shared" ca="1" si="658"/>
        <v>0</v>
      </c>
      <c r="BW155" s="64"/>
      <c r="BX155" s="74" t="s">
        <v>1841</v>
      </c>
      <c r="BY155" s="73">
        <f t="shared" ca="1" si="659"/>
        <v>0</v>
      </c>
      <c r="BZ155" s="64"/>
      <c r="CA155" s="74" t="s">
        <v>1841</v>
      </c>
      <c r="CB155" s="73">
        <f t="shared" ca="1" si="660"/>
        <v>0</v>
      </c>
      <c r="CC155" s="64"/>
      <c r="CD155" s="74" t="s">
        <v>1841</v>
      </c>
      <c r="CE155" s="73">
        <f t="shared" ca="1" si="661"/>
        <v>0</v>
      </c>
      <c r="CF155" s="64"/>
      <c r="CG155" s="74" t="s">
        <v>1841</v>
      </c>
      <c r="CH155" s="73">
        <f t="shared" ca="1" si="662"/>
        <v>0</v>
      </c>
      <c r="CI155" s="64"/>
      <c r="CJ155" s="74" t="s">
        <v>1631</v>
      </c>
      <c r="CK155" s="73">
        <f t="shared" ca="1" si="663"/>
        <v>0</v>
      </c>
      <c r="CL155" s="64"/>
      <c r="CM155" s="74" t="s">
        <v>1841</v>
      </c>
      <c r="CN155" s="73">
        <f t="shared" ca="1" si="664"/>
        <v>0</v>
      </c>
      <c r="CO155" s="64"/>
      <c r="CP155" s="74" t="s">
        <v>1841</v>
      </c>
      <c r="CQ155" s="73">
        <f t="shared" ca="1" si="665"/>
        <v>0</v>
      </c>
      <c r="CR155" s="64"/>
      <c r="CS155" s="74" t="s">
        <v>1841</v>
      </c>
      <c r="CT155" s="73">
        <f t="shared" ca="1" si="666"/>
        <v>0</v>
      </c>
      <c r="CU155" s="64"/>
      <c r="CV155" s="74" t="s">
        <v>1259</v>
      </c>
      <c r="CW155" s="73">
        <f t="shared" ca="1" si="667"/>
        <v>0</v>
      </c>
      <c r="CX155" s="64"/>
      <c r="CY155" s="74" t="s">
        <v>1558</v>
      </c>
      <c r="CZ155" s="73">
        <f t="shared" ca="1" si="668"/>
        <v>0</v>
      </c>
      <c r="DA155" s="64"/>
      <c r="DB155" s="74" t="s">
        <v>1841</v>
      </c>
      <c r="DC155" s="73">
        <f t="shared" ca="1" si="669"/>
        <v>0</v>
      </c>
      <c r="DD155" s="64"/>
      <c r="DE155" s="74" t="s">
        <v>1841</v>
      </c>
      <c r="DF155" s="73">
        <f t="shared" ca="1" si="670"/>
        <v>0</v>
      </c>
      <c r="DG155" s="64"/>
      <c r="DH155" s="74" t="s">
        <v>1631</v>
      </c>
      <c r="DI155" s="73">
        <f t="shared" ca="1" si="671"/>
        <v>0</v>
      </c>
      <c r="DJ155" s="64"/>
      <c r="DK155" s="74" t="s">
        <v>1259</v>
      </c>
      <c r="DL155" s="73">
        <f t="shared" ca="1" si="672"/>
        <v>0</v>
      </c>
      <c r="DM155" s="64"/>
      <c r="DN155" s="795" t="s">
        <v>1633</v>
      </c>
      <c r="DO155" s="73">
        <f t="shared" ca="1" si="673"/>
        <v>0</v>
      </c>
      <c r="DP155" s="64"/>
      <c r="DQ155" s="795" t="s">
        <v>1631</v>
      </c>
      <c r="DR155" s="73">
        <f t="shared" ca="1" si="674"/>
        <v>0</v>
      </c>
      <c r="DS155" s="64"/>
      <c r="DT155" s="74" t="s">
        <v>1841</v>
      </c>
      <c r="DU155" s="73">
        <f t="shared" ca="1" si="675"/>
        <v>0</v>
      </c>
      <c r="DV155" s="64"/>
      <c r="DW155" s="74" t="s">
        <v>1633</v>
      </c>
      <c r="DX155" s="73">
        <f t="shared" ca="1" si="676"/>
        <v>0</v>
      </c>
      <c r="DY155" s="64"/>
      <c r="DZ155" s="74" t="s">
        <v>1841</v>
      </c>
      <c r="EA155" s="73">
        <f t="shared" ca="1" si="677"/>
        <v>0</v>
      </c>
      <c r="EB155" s="64"/>
      <c r="EC155" s="74" t="s">
        <v>1633</v>
      </c>
      <c r="ED155" s="73">
        <f t="shared" ca="1" si="678"/>
        <v>0</v>
      </c>
      <c r="EE155" s="64"/>
      <c r="EF155" s="74" t="s">
        <v>80</v>
      </c>
      <c r="EG155" s="73">
        <f t="shared" ca="1" si="679"/>
        <v>0</v>
      </c>
      <c r="EH155" s="64"/>
      <c r="EI155" s="74" t="s">
        <v>1259</v>
      </c>
      <c r="EJ155" s="73">
        <f t="shared" ca="1" si="680"/>
        <v>0</v>
      </c>
      <c r="EK155" s="64"/>
      <c r="EL155" s="74"/>
      <c r="EM155" s="73">
        <f t="shared" ca="1" si="681"/>
        <v>0</v>
      </c>
      <c r="EN155" s="64"/>
      <c r="EO155" s="74"/>
      <c r="EP155" s="73">
        <f t="shared" ca="1" si="682"/>
        <v>0</v>
      </c>
      <c r="EQ155" s="64"/>
      <c r="ER155" s="74"/>
      <c r="ES155" s="73">
        <f t="shared" ca="1" si="683"/>
        <v>0</v>
      </c>
      <c r="ET155" s="64"/>
      <c r="EU155" s="74"/>
      <c r="EV155" s="73">
        <f t="shared" ca="1" si="684"/>
        <v>0</v>
      </c>
      <c r="EW155" s="64"/>
      <c r="EX155" s="74"/>
      <c r="EY155" s="73">
        <f t="shared" ca="1" si="685"/>
        <v>0</v>
      </c>
      <c r="EZ155" s="64"/>
      <c r="FA155" s="74"/>
      <c r="FB155" s="73">
        <f t="shared" ca="1" si="686"/>
        <v>0</v>
      </c>
      <c r="FC155" s="64"/>
      <c r="FD155" s="74"/>
      <c r="FE155" s="73">
        <f t="shared" ca="1" si="687"/>
        <v>0</v>
      </c>
      <c r="FF155" s="64"/>
      <c r="FG155" s="74"/>
      <c r="FH155" s="73">
        <f t="shared" ca="1" si="688"/>
        <v>0</v>
      </c>
      <c r="FI155" s="64"/>
      <c r="FJ155" s="74"/>
      <c r="FK155" s="73">
        <f t="shared" ca="1" si="689"/>
        <v>0</v>
      </c>
      <c r="FL155" s="64"/>
      <c r="FM155" s="64"/>
    </row>
    <row r="156" spans="1:169">
      <c r="A156" s="49"/>
      <c r="B156" s="49"/>
      <c r="C156" s="49"/>
      <c r="D156" s="49"/>
      <c r="E156" s="65"/>
      <c r="F156" s="127">
        <f t="shared" si="690"/>
        <v>3</v>
      </c>
      <c r="G156" s="445">
        <f ca="1">VLOOKUP(H156,Equipos!$Q$1:$R$25,2,0)</f>
        <v>19</v>
      </c>
      <c r="H156" s="447" t="str">
        <f>Idiomas!$D$137</f>
        <v>CLASIFICADOS PARA DIECISEISAVOS</v>
      </c>
      <c r="I156" s="50"/>
      <c r="J156" s="849"/>
      <c r="K156" s="56" t="str">
        <f>Idiomas!$D$198&amp;"-"&amp;ROWS($L$130:L156)</f>
        <v>Dieciseisavofinalista-27</v>
      </c>
      <c r="L156" s="53"/>
      <c r="M156" s="55" t="str">
        <f ca="1">WORLDCUP!AF111</f>
        <v>2J</v>
      </c>
      <c r="N156" s="25"/>
      <c r="O156" s="25"/>
      <c r="P156" s="25"/>
      <c r="Q156" s="25"/>
      <c r="R156" s="110"/>
      <c r="S156" s="74" t="s">
        <v>80</v>
      </c>
      <c r="T156" s="73">
        <f t="shared" ca="1" si="640"/>
        <v>0</v>
      </c>
      <c r="U156" s="64"/>
      <c r="V156" s="74" t="s">
        <v>80</v>
      </c>
      <c r="W156" s="73">
        <f t="shared" ca="1" si="641"/>
        <v>0</v>
      </c>
      <c r="X156" s="64"/>
      <c r="Y156" s="74" t="s">
        <v>80</v>
      </c>
      <c r="Z156" s="73">
        <f t="shared" ca="1" si="642"/>
        <v>0</v>
      </c>
      <c r="AA156" s="64"/>
      <c r="AB156" s="74" t="s">
        <v>80</v>
      </c>
      <c r="AC156" s="73">
        <f t="shared" ca="1" si="643"/>
        <v>0</v>
      </c>
      <c r="AD156" s="64"/>
      <c r="AE156" s="74" t="s">
        <v>80</v>
      </c>
      <c r="AF156" s="73">
        <f t="shared" ca="1" si="644"/>
        <v>0</v>
      </c>
      <c r="AG156" s="64"/>
      <c r="AH156" s="74" t="s">
        <v>1558</v>
      </c>
      <c r="AI156" s="73">
        <f t="shared" ca="1" si="645"/>
        <v>0</v>
      </c>
      <c r="AJ156" s="64"/>
      <c r="AK156" s="74" t="s">
        <v>80</v>
      </c>
      <c r="AL156" s="73">
        <f t="shared" ca="1" si="646"/>
        <v>0</v>
      </c>
      <c r="AM156" s="64"/>
      <c r="AN156" s="74" t="s">
        <v>1558</v>
      </c>
      <c r="AO156" s="73">
        <f t="shared" ca="1" si="647"/>
        <v>0</v>
      </c>
      <c r="AP156" s="64"/>
      <c r="AQ156" s="74" t="s">
        <v>80</v>
      </c>
      <c r="AR156" s="73">
        <f t="shared" ca="1" si="648"/>
        <v>0</v>
      </c>
      <c r="AS156" s="64"/>
      <c r="AT156" s="74" t="s">
        <v>80</v>
      </c>
      <c r="AU156" s="73">
        <f t="shared" ca="1" si="649"/>
        <v>0</v>
      </c>
      <c r="AV156" s="64"/>
      <c r="AW156" s="74" t="s">
        <v>1558</v>
      </c>
      <c r="AX156" s="73">
        <f t="shared" ca="1" si="650"/>
        <v>0</v>
      </c>
      <c r="AY156" s="64"/>
      <c r="AZ156" s="74" t="s">
        <v>80</v>
      </c>
      <c r="BA156" s="73">
        <f t="shared" ca="1" si="651"/>
        <v>0</v>
      </c>
      <c r="BB156" s="64"/>
      <c r="BC156" s="74" t="s">
        <v>80</v>
      </c>
      <c r="BD156" s="73">
        <f t="shared" ca="1" si="652"/>
        <v>0</v>
      </c>
      <c r="BE156" s="64"/>
      <c r="BF156" s="74" t="s">
        <v>80</v>
      </c>
      <c r="BG156" s="73">
        <f t="shared" ca="1" si="653"/>
        <v>0</v>
      </c>
      <c r="BH156" s="64"/>
      <c r="BI156" s="74" t="s">
        <v>80</v>
      </c>
      <c r="BJ156" s="73">
        <f t="shared" ca="1" si="654"/>
        <v>0</v>
      </c>
      <c r="BK156" s="64"/>
      <c r="BL156" s="74" t="s">
        <v>80</v>
      </c>
      <c r="BM156" s="73">
        <f t="shared" ca="1" si="655"/>
        <v>0</v>
      </c>
      <c r="BN156" s="64"/>
      <c r="BO156" s="74" t="s">
        <v>1558</v>
      </c>
      <c r="BP156" s="73">
        <f t="shared" ca="1" si="656"/>
        <v>0</v>
      </c>
      <c r="BQ156" s="64"/>
      <c r="BR156" s="74" t="s">
        <v>80</v>
      </c>
      <c r="BS156" s="73">
        <f t="shared" ca="1" si="657"/>
        <v>0</v>
      </c>
      <c r="BT156" s="64"/>
      <c r="BU156" s="74" t="s">
        <v>80</v>
      </c>
      <c r="BV156" s="73">
        <f t="shared" ca="1" si="658"/>
        <v>0</v>
      </c>
      <c r="BW156" s="64"/>
      <c r="BX156" s="74" t="s">
        <v>1558</v>
      </c>
      <c r="BY156" s="73">
        <f t="shared" ca="1" si="659"/>
        <v>0</v>
      </c>
      <c r="BZ156" s="64"/>
      <c r="CA156" s="74" t="s">
        <v>80</v>
      </c>
      <c r="CB156" s="73">
        <f t="shared" ca="1" si="660"/>
        <v>0</v>
      </c>
      <c r="CC156" s="64"/>
      <c r="CD156" s="74" t="s">
        <v>80</v>
      </c>
      <c r="CE156" s="73">
        <f t="shared" ca="1" si="661"/>
        <v>0</v>
      </c>
      <c r="CF156" s="64"/>
      <c r="CG156" s="74" t="s">
        <v>80</v>
      </c>
      <c r="CH156" s="73">
        <f t="shared" ca="1" si="662"/>
        <v>0</v>
      </c>
      <c r="CI156" s="64"/>
      <c r="CJ156" s="74" t="s">
        <v>80</v>
      </c>
      <c r="CK156" s="73">
        <f t="shared" ca="1" si="663"/>
        <v>0</v>
      </c>
      <c r="CL156" s="64"/>
      <c r="CM156" s="74" t="s">
        <v>80</v>
      </c>
      <c r="CN156" s="73">
        <f t="shared" ca="1" si="664"/>
        <v>0</v>
      </c>
      <c r="CO156" s="64"/>
      <c r="CP156" s="74" t="s">
        <v>1558</v>
      </c>
      <c r="CQ156" s="73">
        <f t="shared" ca="1" si="665"/>
        <v>0</v>
      </c>
      <c r="CR156" s="64"/>
      <c r="CS156" s="74" t="s">
        <v>80</v>
      </c>
      <c r="CT156" s="73">
        <f t="shared" ca="1" si="666"/>
        <v>0</v>
      </c>
      <c r="CU156" s="64"/>
      <c r="CV156" s="74" t="s">
        <v>80</v>
      </c>
      <c r="CW156" s="73">
        <f t="shared" ca="1" si="667"/>
        <v>0</v>
      </c>
      <c r="CX156" s="64"/>
      <c r="CY156" s="74" t="s">
        <v>80</v>
      </c>
      <c r="CZ156" s="73">
        <f t="shared" ca="1" si="668"/>
        <v>0</v>
      </c>
      <c r="DA156" s="64"/>
      <c r="DB156" s="74" t="s">
        <v>80</v>
      </c>
      <c r="DC156" s="73">
        <f t="shared" ca="1" si="669"/>
        <v>0</v>
      </c>
      <c r="DD156" s="64"/>
      <c r="DE156" s="74" t="s">
        <v>80</v>
      </c>
      <c r="DF156" s="73">
        <f t="shared" ca="1" si="670"/>
        <v>0</v>
      </c>
      <c r="DG156" s="64"/>
      <c r="DH156" s="74" t="s">
        <v>80</v>
      </c>
      <c r="DI156" s="73">
        <f t="shared" ca="1" si="671"/>
        <v>0</v>
      </c>
      <c r="DJ156" s="64"/>
      <c r="DK156" s="74" t="s">
        <v>80</v>
      </c>
      <c r="DL156" s="73">
        <f t="shared" ca="1" si="672"/>
        <v>0</v>
      </c>
      <c r="DM156" s="64"/>
      <c r="DN156" s="795" t="s">
        <v>80</v>
      </c>
      <c r="DO156" s="73">
        <f t="shared" ca="1" si="673"/>
        <v>0</v>
      </c>
      <c r="DP156" s="64"/>
      <c r="DQ156" s="795" t="s">
        <v>80</v>
      </c>
      <c r="DR156" s="73">
        <f t="shared" ca="1" si="674"/>
        <v>0</v>
      </c>
      <c r="DS156" s="64"/>
      <c r="DT156" s="74" t="s">
        <v>1558</v>
      </c>
      <c r="DU156" s="73">
        <f t="shared" ca="1" si="675"/>
        <v>0</v>
      </c>
      <c r="DV156" s="64"/>
      <c r="DW156" s="74" t="s">
        <v>80</v>
      </c>
      <c r="DX156" s="73">
        <f t="shared" ca="1" si="676"/>
        <v>0</v>
      </c>
      <c r="DY156" s="64"/>
      <c r="DZ156" s="74" t="s">
        <v>80</v>
      </c>
      <c r="EA156" s="73">
        <f t="shared" ca="1" si="677"/>
        <v>0</v>
      </c>
      <c r="EB156" s="64"/>
      <c r="EC156" s="74" t="s">
        <v>80</v>
      </c>
      <c r="ED156" s="73">
        <f t="shared" ca="1" si="678"/>
        <v>0</v>
      </c>
      <c r="EE156" s="64"/>
      <c r="EF156" s="74" t="s">
        <v>1558</v>
      </c>
      <c r="EG156" s="73">
        <f t="shared" ca="1" si="679"/>
        <v>0</v>
      </c>
      <c r="EH156" s="64"/>
      <c r="EI156" s="74" t="s">
        <v>80</v>
      </c>
      <c r="EJ156" s="73">
        <f t="shared" ca="1" si="680"/>
        <v>0</v>
      </c>
      <c r="EK156" s="64"/>
      <c r="EL156" s="74"/>
      <c r="EM156" s="73">
        <f t="shared" ca="1" si="681"/>
        <v>0</v>
      </c>
      <c r="EN156" s="64"/>
      <c r="EO156" s="74"/>
      <c r="EP156" s="73">
        <f t="shared" ca="1" si="682"/>
        <v>0</v>
      </c>
      <c r="EQ156" s="64"/>
      <c r="ER156" s="74"/>
      <c r="ES156" s="73">
        <f t="shared" ca="1" si="683"/>
        <v>0</v>
      </c>
      <c r="ET156" s="64"/>
      <c r="EU156" s="74"/>
      <c r="EV156" s="73">
        <f t="shared" ca="1" si="684"/>
        <v>0</v>
      </c>
      <c r="EW156" s="64"/>
      <c r="EX156" s="74"/>
      <c r="EY156" s="73">
        <f t="shared" ca="1" si="685"/>
        <v>0</v>
      </c>
      <c r="EZ156" s="64"/>
      <c r="FA156" s="74"/>
      <c r="FB156" s="73">
        <f t="shared" ca="1" si="686"/>
        <v>0</v>
      </c>
      <c r="FC156" s="64"/>
      <c r="FD156" s="74"/>
      <c r="FE156" s="73">
        <f t="shared" ca="1" si="687"/>
        <v>0</v>
      </c>
      <c r="FF156" s="64"/>
      <c r="FG156" s="74"/>
      <c r="FH156" s="73">
        <f t="shared" ca="1" si="688"/>
        <v>0</v>
      </c>
      <c r="FI156" s="64"/>
      <c r="FJ156" s="74"/>
      <c r="FK156" s="73">
        <f t="shared" ca="1" si="689"/>
        <v>0</v>
      </c>
      <c r="FL156" s="64"/>
      <c r="FM156" s="64"/>
    </row>
    <row r="157" spans="1:169">
      <c r="A157" s="49"/>
      <c r="B157" s="49"/>
      <c r="C157" s="49"/>
      <c r="D157" s="49"/>
      <c r="E157" s="65"/>
      <c r="F157" s="127">
        <f t="shared" si="690"/>
        <v>3</v>
      </c>
      <c r="G157" s="445">
        <f ca="1">VLOOKUP(H157,Equipos!$Q$1:$R$25,2,0)</f>
        <v>19</v>
      </c>
      <c r="H157" s="447" t="str">
        <f>Idiomas!$D$137</f>
        <v>CLASIFICADOS PARA DIECISEISAVOS</v>
      </c>
      <c r="I157" s="50"/>
      <c r="J157" s="849"/>
      <c r="K157" s="56" t="str">
        <f>Idiomas!$D$198&amp;"-"&amp;ROWS($L$130:L157)</f>
        <v>Dieciseisavofinalista-28</v>
      </c>
      <c r="L157" s="53"/>
      <c r="M157" s="55" t="str">
        <f ca="1">WORLDCUP!AF112</f>
        <v>2L</v>
      </c>
      <c r="N157" s="25"/>
      <c r="O157" s="25"/>
      <c r="P157" s="25"/>
      <c r="Q157" s="25"/>
      <c r="R157" s="110"/>
      <c r="S157" s="74" t="s">
        <v>78</v>
      </c>
      <c r="T157" s="73">
        <f t="shared" ca="1" si="640"/>
        <v>0</v>
      </c>
      <c r="U157" s="64"/>
      <c r="V157" s="74" t="s">
        <v>78</v>
      </c>
      <c r="W157" s="73">
        <f t="shared" ca="1" si="641"/>
        <v>0</v>
      </c>
      <c r="X157" s="64"/>
      <c r="Y157" s="74" t="s">
        <v>78</v>
      </c>
      <c r="Z157" s="73">
        <f t="shared" ca="1" si="642"/>
        <v>0</v>
      </c>
      <c r="AA157" s="64"/>
      <c r="AB157" s="74" t="s">
        <v>78</v>
      </c>
      <c r="AC157" s="73">
        <f t="shared" ca="1" si="643"/>
        <v>0</v>
      </c>
      <c r="AD157" s="64"/>
      <c r="AE157" s="74" t="s">
        <v>78</v>
      </c>
      <c r="AF157" s="73">
        <f t="shared" ca="1" si="644"/>
        <v>0</v>
      </c>
      <c r="AG157" s="64"/>
      <c r="AH157" s="74" t="s">
        <v>76</v>
      </c>
      <c r="AI157" s="73">
        <f t="shared" ca="1" si="645"/>
        <v>0</v>
      </c>
      <c r="AJ157" s="64"/>
      <c r="AK157" s="74" t="s">
        <v>1551</v>
      </c>
      <c r="AL157" s="73">
        <f t="shared" ca="1" si="646"/>
        <v>0</v>
      </c>
      <c r="AM157" s="64"/>
      <c r="AN157" s="74" t="s">
        <v>78</v>
      </c>
      <c r="AO157" s="73">
        <f t="shared" ca="1" si="647"/>
        <v>0</v>
      </c>
      <c r="AP157" s="64"/>
      <c r="AQ157" s="74" t="s">
        <v>1551</v>
      </c>
      <c r="AR157" s="73">
        <f t="shared" ca="1" si="648"/>
        <v>0</v>
      </c>
      <c r="AS157" s="64"/>
      <c r="AT157" s="74" t="s">
        <v>78</v>
      </c>
      <c r="AU157" s="73">
        <f t="shared" ca="1" si="649"/>
        <v>0</v>
      </c>
      <c r="AV157" s="64"/>
      <c r="AW157" s="74" t="s">
        <v>1551</v>
      </c>
      <c r="AX157" s="73">
        <f t="shared" ca="1" si="650"/>
        <v>0</v>
      </c>
      <c r="AY157" s="64"/>
      <c r="AZ157" s="74" t="s">
        <v>78</v>
      </c>
      <c r="BA157" s="73">
        <f t="shared" ca="1" si="651"/>
        <v>0</v>
      </c>
      <c r="BB157" s="64"/>
      <c r="BC157" s="74" t="s">
        <v>76</v>
      </c>
      <c r="BD157" s="73">
        <f t="shared" ca="1" si="652"/>
        <v>0</v>
      </c>
      <c r="BE157" s="64"/>
      <c r="BF157" s="74" t="s">
        <v>78</v>
      </c>
      <c r="BG157" s="73">
        <f t="shared" ca="1" si="653"/>
        <v>0</v>
      </c>
      <c r="BH157" s="64"/>
      <c r="BI157" s="74" t="s">
        <v>78</v>
      </c>
      <c r="BJ157" s="73">
        <f t="shared" ca="1" si="654"/>
        <v>0</v>
      </c>
      <c r="BK157" s="64"/>
      <c r="BL157" s="74" t="s">
        <v>78</v>
      </c>
      <c r="BM157" s="73">
        <f t="shared" ca="1" si="655"/>
        <v>0</v>
      </c>
      <c r="BN157" s="64"/>
      <c r="BO157" s="74" t="s">
        <v>78</v>
      </c>
      <c r="BP157" s="73">
        <f t="shared" ca="1" si="656"/>
        <v>0</v>
      </c>
      <c r="BQ157" s="64"/>
      <c r="BR157" s="74" t="s">
        <v>78</v>
      </c>
      <c r="BS157" s="73">
        <f t="shared" ca="1" si="657"/>
        <v>0</v>
      </c>
      <c r="BT157" s="64"/>
      <c r="BU157" s="74" t="s">
        <v>78</v>
      </c>
      <c r="BV157" s="73">
        <f t="shared" ca="1" si="658"/>
        <v>0</v>
      </c>
      <c r="BW157" s="64"/>
      <c r="BX157" s="74" t="s">
        <v>78</v>
      </c>
      <c r="BY157" s="73">
        <f t="shared" ca="1" si="659"/>
        <v>0</v>
      </c>
      <c r="BZ157" s="64"/>
      <c r="CA157" s="74" t="s">
        <v>78</v>
      </c>
      <c r="CB157" s="73">
        <f t="shared" ca="1" si="660"/>
        <v>0</v>
      </c>
      <c r="CC157" s="64"/>
      <c r="CD157" s="74" t="s">
        <v>76</v>
      </c>
      <c r="CE157" s="73">
        <f t="shared" ca="1" si="661"/>
        <v>0</v>
      </c>
      <c r="CF157" s="64"/>
      <c r="CG157" s="74" t="s">
        <v>78</v>
      </c>
      <c r="CH157" s="73">
        <f t="shared" ca="1" si="662"/>
        <v>0</v>
      </c>
      <c r="CI157" s="64"/>
      <c r="CJ157" s="74" t="s">
        <v>78</v>
      </c>
      <c r="CK157" s="73">
        <f t="shared" ca="1" si="663"/>
        <v>0</v>
      </c>
      <c r="CL157" s="64"/>
      <c r="CM157" s="74" t="s">
        <v>78</v>
      </c>
      <c r="CN157" s="73">
        <f t="shared" ca="1" si="664"/>
        <v>0</v>
      </c>
      <c r="CO157" s="64"/>
      <c r="CP157" s="74" t="s">
        <v>78</v>
      </c>
      <c r="CQ157" s="73">
        <f t="shared" ca="1" si="665"/>
        <v>0</v>
      </c>
      <c r="CR157" s="64"/>
      <c r="CS157" s="74" t="s">
        <v>78</v>
      </c>
      <c r="CT157" s="73">
        <f t="shared" ca="1" si="666"/>
        <v>0</v>
      </c>
      <c r="CU157" s="64"/>
      <c r="CV157" s="74" t="s">
        <v>78</v>
      </c>
      <c r="CW157" s="73">
        <f t="shared" ca="1" si="667"/>
        <v>0</v>
      </c>
      <c r="CX157" s="64"/>
      <c r="CY157" s="74" t="s">
        <v>1551</v>
      </c>
      <c r="CZ157" s="73">
        <f t="shared" ca="1" si="668"/>
        <v>0</v>
      </c>
      <c r="DA157" s="64"/>
      <c r="DB157" s="74" t="s">
        <v>78</v>
      </c>
      <c r="DC157" s="73">
        <f t="shared" ca="1" si="669"/>
        <v>0</v>
      </c>
      <c r="DD157" s="64"/>
      <c r="DE157" s="74" t="s">
        <v>78</v>
      </c>
      <c r="DF157" s="73">
        <f t="shared" ca="1" si="670"/>
        <v>0</v>
      </c>
      <c r="DG157" s="64"/>
      <c r="DH157" s="74" t="s">
        <v>78</v>
      </c>
      <c r="DI157" s="73">
        <f t="shared" ca="1" si="671"/>
        <v>0</v>
      </c>
      <c r="DJ157" s="64"/>
      <c r="DK157" s="74" t="s">
        <v>76</v>
      </c>
      <c r="DL157" s="73">
        <f t="shared" ca="1" si="672"/>
        <v>0</v>
      </c>
      <c r="DM157" s="64"/>
      <c r="DN157" s="795" t="s">
        <v>78</v>
      </c>
      <c r="DO157" s="73">
        <f t="shared" ca="1" si="673"/>
        <v>0</v>
      </c>
      <c r="DP157" s="64"/>
      <c r="DQ157" s="795" t="s">
        <v>76</v>
      </c>
      <c r="DR157" s="73">
        <f t="shared" ca="1" si="674"/>
        <v>0</v>
      </c>
      <c r="DS157" s="64"/>
      <c r="DT157" s="74" t="s">
        <v>76</v>
      </c>
      <c r="DU157" s="73">
        <f t="shared" ca="1" si="675"/>
        <v>0</v>
      </c>
      <c r="DV157" s="64"/>
      <c r="DW157" s="74" t="s">
        <v>1551</v>
      </c>
      <c r="DX157" s="73">
        <f t="shared" ca="1" si="676"/>
        <v>0</v>
      </c>
      <c r="DY157" s="64"/>
      <c r="DZ157" s="74" t="s">
        <v>78</v>
      </c>
      <c r="EA157" s="73">
        <f t="shared" ca="1" si="677"/>
        <v>0</v>
      </c>
      <c r="EB157" s="64"/>
      <c r="EC157" s="74" t="s">
        <v>78</v>
      </c>
      <c r="ED157" s="73">
        <f t="shared" ca="1" si="678"/>
        <v>0</v>
      </c>
      <c r="EE157" s="64"/>
      <c r="EF157" s="74" t="s">
        <v>78</v>
      </c>
      <c r="EG157" s="73">
        <f t="shared" ca="1" si="679"/>
        <v>0</v>
      </c>
      <c r="EH157" s="64"/>
      <c r="EI157" s="74" t="s">
        <v>78</v>
      </c>
      <c r="EJ157" s="73">
        <f t="shared" ca="1" si="680"/>
        <v>0</v>
      </c>
      <c r="EK157" s="64"/>
      <c r="EL157" s="74"/>
      <c r="EM157" s="73">
        <f t="shared" ca="1" si="681"/>
        <v>0</v>
      </c>
      <c r="EN157" s="64"/>
      <c r="EO157" s="74"/>
      <c r="EP157" s="73">
        <f t="shared" ca="1" si="682"/>
        <v>0</v>
      </c>
      <c r="EQ157" s="64"/>
      <c r="ER157" s="74"/>
      <c r="ES157" s="73">
        <f t="shared" ca="1" si="683"/>
        <v>0</v>
      </c>
      <c r="ET157" s="64"/>
      <c r="EU157" s="74"/>
      <c r="EV157" s="73">
        <f t="shared" ca="1" si="684"/>
        <v>0</v>
      </c>
      <c r="EW157" s="64"/>
      <c r="EX157" s="74"/>
      <c r="EY157" s="73">
        <f t="shared" ca="1" si="685"/>
        <v>0</v>
      </c>
      <c r="EZ157" s="64"/>
      <c r="FA157" s="74"/>
      <c r="FB157" s="73">
        <f t="shared" ca="1" si="686"/>
        <v>0</v>
      </c>
      <c r="FC157" s="64"/>
      <c r="FD157" s="74"/>
      <c r="FE157" s="73">
        <f t="shared" ca="1" si="687"/>
        <v>0</v>
      </c>
      <c r="FF157" s="64"/>
      <c r="FG157" s="74"/>
      <c r="FH157" s="73">
        <f t="shared" ca="1" si="688"/>
        <v>0</v>
      </c>
      <c r="FI157" s="64"/>
      <c r="FJ157" s="74"/>
      <c r="FK157" s="73">
        <f t="shared" ca="1" si="689"/>
        <v>0</v>
      </c>
      <c r="FL157" s="64"/>
      <c r="FM157" s="64"/>
    </row>
    <row r="158" spans="1:169">
      <c r="A158" s="49"/>
      <c r="B158" s="49"/>
      <c r="C158" s="49"/>
      <c r="D158" s="49"/>
      <c r="E158" s="65"/>
      <c r="F158" s="127">
        <f t="shared" si="690"/>
        <v>3</v>
      </c>
      <c r="G158" s="445">
        <f ca="1">VLOOKUP(H158,Equipos!$Q$1:$R$25,2,0)</f>
        <v>19</v>
      </c>
      <c r="H158" s="447" t="str">
        <f>Idiomas!$D$137</f>
        <v>CLASIFICADOS PARA DIECISEISAVOS</v>
      </c>
      <c r="I158" s="50"/>
      <c r="J158" s="849"/>
      <c r="K158" s="56" t="str">
        <f>Idiomas!$D$198&amp;"-"&amp;ROWS($L$130:L158)</f>
        <v>Dieciseisavofinalista-29</v>
      </c>
      <c r="L158" s="53"/>
      <c r="M158" s="55" t="str">
        <f ca="1">WORLDCUP!AF113</f>
        <v>3EFGIJ</v>
      </c>
      <c r="N158" s="25"/>
      <c r="O158" s="25"/>
      <c r="P158" s="25"/>
      <c r="Q158" s="25"/>
      <c r="R158" s="110"/>
      <c r="S158" s="74" t="s">
        <v>1558</v>
      </c>
      <c r="T158" s="73">
        <f t="shared" ca="1" si="640"/>
        <v>0</v>
      </c>
      <c r="U158" s="64"/>
      <c r="V158" s="74" t="s">
        <v>1558</v>
      </c>
      <c r="W158" s="73">
        <f t="shared" ca="1" si="641"/>
        <v>0</v>
      </c>
      <c r="X158" s="64"/>
      <c r="Y158" s="74" t="s">
        <v>1261</v>
      </c>
      <c r="Z158" s="73">
        <f t="shared" ca="1" si="642"/>
        <v>0</v>
      </c>
      <c r="AA158" s="64"/>
      <c r="AB158" s="74" t="s">
        <v>1262</v>
      </c>
      <c r="AC158" s="73">
        <f t="shared" ca="1" si="643"/>
        <v>0</v>
      </c>
      <c r="AD158" s="64"/>
      <c r="AE158" s="74" t="s">
        <v>1262</v>
      </c>
      <c r="AF158" s="73">
        <f t="shared" ca="1" si="644"/>
        <v>0</v>
      </c>
      <c r="AG158" s="64"/>
      <c r="AH158" s="74" t="s">
        <v>1262</v>
      </c>
      <c r="AI158" s="73">
        <f t="shared" ca="1" si="645"/>
        <v>0</v>
      </c>
      <c r="AJ158" s="64"/>
      <c r="AK158" s="74" t="s">
        <v>1558</v>
      </c>
      <c r="AL158" s="73">
        <f t="shared" ca="1" si="646"/>
        <v>0</v>
      </c>
      <c r="AM158" s="64"/>
      <c r="AN158" s="74" t="s">
        <v>80</v>
      </c>
      <c r="AO158" s="73">
        <f t="shared" ca="1" si="647"/>
        <v>0</v>
      </c>
      <c r="AP158" s="64"/>
      <c r="AQ158" s="74" t="s">
        <v>1558</v>
      </c>
      <c r="AR158" s="73">
        <f t="shared" ca="1" si="648"/>
        <v>0</v>
      </c>
      <c r="AS158" s="64"/>
      <c r="AT158" s="74" t="s">
        <v>1558</v>
      </c>
      <c r="AU158" s="73">
        <f t="shared" ca="1" si="649"/>
        <v>0</v>
      </c>
      <c r="AV158" s="64"/>
      <c r="AW158" s="74" t="s">
        <v>80</v>
      </c>
      <c r="AX158" s="73">
        <f t="shared" ca="1" si="650"/>
        <v>0</v>
      </c>
      <c r="AY158" s="64"/>
      <c r="AZ158" s="74" t="s">
        <v>1266</v>
      </c>
      <c r="BA158" s="73">
        <f t="shared" ca="1" si="651"/>
        <v>0</v>
      </c>
      <c r="BB158" s="64"/>
      <c r="BC158" s="74" t="s">
        <v>1633</v>
      </c>
      <c r="BD158" s="73">
        <f t="shared" ca="1" si="652"/>
        <v>0</v>
      </c>
      <c r="BE158" s="64"/>
      <c r="BF158" s="74" t="s">
        <v>1262</v>
      </c>
      <c r="BG158" s="73">
        <f t="shared" ca="1" si="653"/>
        <v>0</v>
      </c>
      <c r="BH158" s="64"/>
      <c r="BI158" s="74" t="s">
        <v>1266</v>
      </c>
      <c r="BJ158" s="73">
        <f t="shared" ca="1" si="654"/>
        <v>0</v>
      </c>
      <c r="BK158" s="64"/>
      <c r="BL158" s="74" t="s">
        <v>1550</v>
      </c>
      <c r="BM158" s="73">
        <f t="shared" ca="1" si="655"/>
        <v>0</v>
      </c>
      <c r="BN158" s="64"/>
      <c r="BO158" s="74" t="s">
        <v>1550</v>
      </c>
      <c r="BP158" s="73">
        <f t="shared" ca="1" si="656"/>
        <v>0</v>
      </c>
      <c r="BQ158" s="64"/>
      <c r="BR158" s="74" t="s">
        <v>1262</v>
      </c>
      <c r="BS158" s="73">
        <f t="shared" ca="1" si="657"/>
        <v>0</v>
      </c>
      <c r="BT158" s="64"/>
      <c r="BU158" s="74" t="s">
        <v>1262</v>
      </c>
      <c r="BV158" s="73">
        <f t="shared" ca="1" si="658"/>
        <v>0</v>
      </c>
      <c r="BW158" s="64"/>
      <c r="BX158" s="74" t="s">
        <v>80</v>
      </c>
      <c r="BY158" s="73">
        <f t="shared" ca="1" si="659"/>
        <v>0</v>
      </c>
      <c r="BZ158" s="64"/>
      <c r="CA158" s="74" t="s">
        <v>1262</v>
      </c>
      <c r="CB158" s="73">
        <f t="shared" ca="1" si="660"/>
        <v>0</v>
      </c>
      <c r="CC158" s="64"/>
      <c r="CD158" s="74" t="s">
        <v>1550</v>
      </c>
      <c r="CE158" s="73">
        <f t="shared" ca="1" si="661"/>
        <v>0</v>
      </c>
      <c r="CF158" s="64"/>
      <c r="CG158" s="74" t="s">
        <v>1266</v>
      </c>
      <c r="CH158" s="73">
        <f t="shared" ca="1" si="662"/>
        <v>0</v>
      </c>
      <c r="CI158" s="64"/>
      <c r="CJ158" s="74" t="s">
        <v>1266</v>
      </c>
      <c r="CK158" s="73">
        <f t="shared" ca="1" si="663"/>
        <v>0</v>
      </c>
      <c r="CL158" s="64"/>
      <c r="CM158" s="74" t="s">
        <v>1262</v>
      </c>
      <c r="CN158" s="73">
        <f t="shared" ca="1" si="664"/>
        <v>0</v>
      </c>
      <c r="CO158" s="64"/>
      <c r="CP158" s="74" t="s">
        <v>80</v>
      </c>
      <c r="CQ158" s="73">
        <f t="shared" ca="1" si="665"/>
        <v>0</v>
      </c>
      <c r="CR158" s="64"/>
      <c r="CS158" s="74" t="s">
        <v>1558</v>
      </c>
      <c r="CT158" s="73">
        <f t="shared" ca="1" si="666"/>
        <v>0</v>
      </c>
      <c r="CU158" s="64"/>
      <c r="CV158" s="74" t="s">
        <v>1633</v>
      </c>
      <c r="CW158" s="73">
        <f t="shared" ca="1" si="667"/>
        <v>0</v>
      </c>
      <c r="CX158" s="64"/>
      <c r="CY158" s="74" t="s">
        <v>1262</v>
      </c>
      <c r="CZ158" s="73">
        <f t="shared" ca="1" si="668"/>
        <v>0</v>
      </c>
      <c r="DA158" s="64"/>
      <c r="DB158" s="74" t="s">
        <v>1262</v>
      </c>
      <c r="DC158" s="73">
        <f t="shared" ca="1" si="669"/>
        <v>0</v>
      </c>
      <c r="DD158" s="64"/>
      <c r="DE158" s="74" t="s">
        <v>1262</v>
      </c>
      <c r="DF158" s="73">
        <f t="shared" ca="1" si="670"/>
        <v>0</v>
      </c>
      <c r="DG158" s="64"/>
      <c r="DH158" s="74" t="s">
        <v>1558</v>
      </c>
      <c r="DI158" s="73">
        <f t="shared" ca="1" si="671"/>
        <v>0</v>
      </c>
      <c r="DJ158" s="64"/>
      <c r="DK158" s="74" t="s">
        <v>1262</v>
      </c>
      <c r="DL158" s="73">
        <f t="shared" ca="1" si="672"/>
        <v>0</v>
      </c>
      <c r="DM158" s="64"/>
      <c r="DN158" s="795" t="s">
        <v>1558</v>
      </c>
      <c r="DO158" s="73">
        <f t="shared" ca="1" si="673"/>
        <v>0</v>
      </c>
      <c r="DP158" s="64"/>
      <c r="DQ158" s="795" t="s">
        <v>1558</v>
      </c>
      <c r="DR158" s="73">
        <f t="shared" ca="1" si="674"/>
        <v>0</v>
      </c>
      <c r="DS158" s="64"/>
      <c r="DT158" s="74" t="s">
        <v>80</v>
      </c>
      <c r="DU158" s="73">
        <f t="shared" ca="1" si="675"/>
        <v>0</v>
      </c>
      <c r="DV158" s="64"/>
      <c r="DW158" s="74" t="s">
        <v>1262</v>
      </c>
      <c r="DX158" s="73">
        <f t="shared" ca="1" si="676"/>
        <v>0</v>
      </c>
      <c r="DY158" s="64"/>
      <c r="DZ158" s="74" t="s">
        <v>1558</v>
      </c>
      <c r="EA158" s="73">
        <f t="shared" ca="1" si="677"/>
        <v>0</v>
      </c>
      <c r="EB158" s="64"/>
      <c r="EC158" s="74" t="s">
        <v>1558</v>
      </c>
      <c r="ED158" s="73">
        <f t="shared" ca="1" si="678"/>
        <v>0</v>
      </c>
      <c r="EE158" s="64"/>
      <c r="EF158" s="74" t="s">
        <v>1262</v>
      </c>
      <c r="EG158" s="73">
        <f t="shared" ca="1" si="679"/>
        <v>0</v>
      </c>
      <c r="EH158" s="64"/>
      <c r="EI158" s="74" t="s">
        <v>1262</v>
      </c>
      <c r="EJ158" s="73">
        <f t="shared" ca="1" si="680"/>
        <v>0</v>
      </c>
      <c r="EK158" s="64"/>
      <c r="EL158" s="74"/>
      <c r="EM158" s="73">
        <f t="shared" ca="1" si="681"/>
        <v>0</v>
      </c>
      <c r="EN158" s="64"/>
      <c r="EO158" s="74"/>
      <c r="EP158" s="73">
        <f t="shared" ca="1" si="682"/>
        <v>0</v>
      </c>
      <c r="EQ158" s="64"/>
      <c r="ER158" s="74"/>
      <c r="ES158" s="73">
        <f t="shared" ca="1" si="683"/>
        <v>0</v>
      </c>
      <c r="ET158" s="64"/>
      <c r="EU158" s="74"/>
      <c r="EV158" s="73">
        <f t="shared" ca="1" si="684"/>
        <v>0</v>
      </c>
      <c r="EW158" s="64"/>
      <c r="EX158" s="74"/>
      <c r="EY158" s="73">
        <f t="shared" ca="1" si="685"/>
        <v>0</v>
      </c>
      <c r="EZ158" s="64"/>
      <c r="FA158" s="74"/>
      <c r="FB158" s="73">
        <f t="shared" ca="1" si="686"/>
        <v>0</v>
      </c>
      <c r="FC158" s="64"/>
      <c r="FD158" s="74"/>
      <c r="FE158" s="73">
        <f t="shared" ca="1" si="687"/>
        <v>0</v>
      </c>
      <c r="FF158" s="64"/>
      <c r="FG158" s="74"/>
      <c r="FH158" s="73">
        <f t="shared" ca="1" si="688"/>
        <v>0</v>
      </c>
      <c r="FI158" s="64"/>
      <c r="FJ158" s="74"/>
      <c r="FK158" s="73">
        <f t="shared" ca="1" si="689"/>
        <v>0</v>
      </c>
      <c r="FL158" s="64"/>
      <c r="FM158" s="64"/>
    </row>
    <row r="159" spans="1:169">
      <c r="A159" s="49"/>
      <c r="B159" s="49"/>
      <c r="C159" s="49"/>
      <c r="D159" s="49"/>
      <c r="E159" s="65"/>
      <c r="F159" s="127">
        <f t="shared" si="690"/>
        <v>3</v>
      </c>
      <c r="G159" s="445">
        <f ca="1">VLOOKUP(H159,Equipos!$Q$1:$R$25,2,0)</f>
        <v>19</v>
      </c>
      <c r="H159" s="447" t="str">
        <f>Idiomas!$D$137</f>
        <v>CLASIFICADOS PARA DIECISEISAVOS</v>
      </c>
      <c r="I159" s="50"/>
      <c r="J159" s="849"/>
      <c r="K159" s="56" t="str">
        <f>Idiomas!$D$198&amp;"-"&amp;ROWS($L$130:L159)</f>
        <v>Dieciseisavofinalista-30</v>
      </c>
      <c r="L159" s="53"/>
      <c r="M159" s="55" t="str">
        <f ca="1">WORLDCUP!AF114</f>
        <v>2G</v>
      </c>
      <c r="N159" s="25"/>
      <c r="O159" s="25"/>
      <c r="P159" s="25"/>
      <c r="Q159" s="25"/>
      <c r="R159" s="110"/>
      <c r="S159" s="74" t="s">
        <v>1550</v>
      </c>
      <c r="T159" s="73">
        <f t="shared" ca="1" si="640"/>
        <v>0</v>
      </c>
      <c r="U159" s="64"/>
      <c r="V159" s="74" t="s">
        <v>1550</v>
      </c>
      <c r="W159" s="73">
        <f t="shared" ca="1" si="641"/>
        <v>0</v>
      </c>
      <c r="X159" s="64"/>
      <c r="Y159" s="74" t="s">
        <v>1550</v>
      </c>
      <c r="Z159" s="73">
        <f t="shared" ca="1" si="642"/>
        <v>0</v>
      </c>
      <c r="AA159" s="64"/>
      <c r="AB159" s="74" t="s">
        <v>1550</v>
      </c>
      <c r="AC159" s="73">
        <f t="shared" ca="1" si="643"/>
        <v>0</v>
      </c>
      <c r="AD159" s="64"/>
      <c r="AE159" s="74" t="s">
        <v>1550</v>
      </c>
      <c r="AF159" s="73">
        <f t="shared" ca="1" si="644"/>
        <v>0</v>
      </c>
      <c r="AG159" s="64"/>
      <c r="AH159" s="74" t="s">
        <v>1550</v>
      </c>
      <c r="AI159" s="73">
        <f t="shared" ca="1" si="645"/>
        <v>0</v>
      </c>
      <c r="AJ159" s="64"/>
      <c r="AK159" s="74" t="s">
        <v>1550</v>
      </c>
      <c r="AL159" s="73">
        <f t="shared" ca="1" si="646"/>
        <v>0</v>
      </c>
      <c r="AM159" s="64"/>
      <c r="AN159" s="74" t="s">
        <v>1550</v>
      </c>
      <c r="AO159" s="73">
        <f t="shared" ca="1" si="647"/>
        <v>0</v>
      </c>
      <c r="AP159" s="64"/>
      <c r="AQ159" s="74" t="s">
        <v>1550</v>
      </c>
      <c r="AR159" s="73">
        <f t="shared" ca="1" si="648"/>
        <v>0</v>
      </c>
      <c r="AS159" s="64"/>
      <c r="AT159" s="74" t="s">
        <v>1550</v>
      </c>
      <c r="AU159" s="73">
        <f t="shared" ca="1" si="649"/>
        <v>0</v>
      </c>
      <c r="AV159" s="64"/>
      <c r="AW159" s="74" t="s">
        <v>1550</v>
      </c>
      <c r="AX159" s="73">
        <f t="shared" ca="1" si="650"/>
        <v>0</v>
      </c>
      <c r="AY159" s="64"/>
      <c r="AZ159" s="74" t="s">
        <v>1550</v>
      </c>
      <c r="BA159" s="73">
        <f t="shared" ca="1" si="651"/>
        <v>0</v>
      </c>
      <c r="BB159" s="64"/>
      <c r="BC159" s="74" t="s">
        <v>1550</v>
      </c>
      <c r="BD159" s="73">
        <f t="shared" ca="1" si="652"/>
        <v>0</v>
      </c>
      <c r="BE159" s="64"/>
      <c r="BF159" s="74" t="s">
        <v>1550</v>
      </c>
      <c r="BG159" s="73">
        <f t="shared" ca="1" si="653"/>
        <v>0</v>
      </c>
      <c r="BH159" s="64"/>
      <c r="BI159" s="74" t="s">
        <v>1550</v>
      </c>
      <c r="BJ159" s="73">
        <f t="shared" ca="1" si="654"/>
        <v>0</v>
      </c>
      <c r="BK159" s="64"/>
      <c r="BL159" s="74" t="s">
        <v>1262</v>
      </c>
      <c r="BM159" s="73">
        <f t="shared" ca="1" si="655"/>
        <v>0</v>
      </c>
      <c r="BN159" s="64"/>
      <c r="BO159" s="74" t="s">
        <v>1262</v>
      </c>
      <c r="BP159" s="73">
        <f t="shared" ca="1" si="656"/>
        <v>0</v>
      </c>
      <c r="BQ159" s="64"/>
      <c r="BR159" s="74" t="s">
        <v>1550</v>
      </c>
      <c r="BS159" s="73">
        <f t="shared" ca="1" si="657"/>
        <v>0</v>
      </c>
      <c r="BT159" s="64"/>
      <c r="BU159" s="74" t="s">
        <v>1550</v>
      </c>
      <c r="BV159" s="73">
        <f t="shared" ca="1" si="658"/>
        <v>0</v>
      </c>
      <c r="BW159" s="64"/>
      <c r="BX159" s="74" t="s">
        <v>110</v>
      </c>
      <c r="BY159" s="73">
        <f t="shared" ca="1" si="659"/>
        <v>0</v>
      </c>
      <c r="BZ159" s="64"/>
      <c r="CA159" s="74" t="s">
        <v>1550</v>
      </c>
      <c r="CB159" s="73">
        <f t="shared" ca="1" si="660"/>
        <v>0</v>
      </c>
      <c r="CC159" s="64"/>
      <c r="CD159" s="74" t="s">
        <v>1266</v>
      </c>
      <c r="CE159" s="73">
        <f t="shared" ca="1" si="661"/>
        <v>0</v>
      </c>
      <c r="CF159" s="64"/>
      <c r="CG159" s="74" t="s">
        <v>1262</v>
      </c>
      <c r="CH159" s="73">
        <f t="shared" ca="1" si="662"/>
        <v>0</v>
      </c>
      <c r="CI159" s="64"/>
      <c r="CJ159" s="74" t="s">
        <v>1550</v>
      </c>
      <c r="CK159" s="73">
        <f t="shared" ca="1" si="663"/>
        <v>0</v>
      </c>
      <c r="CL159" s="64"/>
      <c r="CM159" s="74" t="s">
        <v>1550</v>
      </c>
      <c r="CN159" s="73">
        <f t="shared" ca="1" si="664"/>
        <v>0</v>
      </c>
      <c r="CO159" s="64"/>
      <c r="CP159" s="74" t="s">
        <v>1550</v>
      </c>
      <c r="CQ159" s="73">
        <f t="shared" ca="1" si="665"/>
        <v>0</v>
      </c>
      <c r="CR159" s="64"/>
      <c r="CS159" s="74" t="s">
        <v>1550</v>
      </c>
      <c r="CT159" s="73">
        <f t="shared" ca="1" si="666"/>
        <v>0</v>
      </c>
      <c r="CU159" s="64"/>
      <c r="CV159" s="74" t="s">
        <v>1550</v>
      </c>
      <c r="CW159" s="73">
        <f t="shared" ca="1" si="667"/>
        <v>0</v>
      </c>
      <c r="CX159" s="64"/>
      <c r="CY159" s="74" t="s">
        <v>1550</v>
      </c>
      <c r="CZ159" s="73">
        <f t="shared" ca="1" si="668"/>
        <v>0</v>
      </c>
      <c r="DA159" s="64"/>
      <c r="DB159" s="74" t="s">
        <v>1550</v>
      </c>
      <c r="DC159" s="73">
        <f t="shared" ca="1" si="669"/>
        <v>0</v>
      </c>
      <c r="DD159" s="64"/>
      <c r="DE159" s="74" t="s">
        <v>1550</v>
      </c>
      <c r="DF159" s="73">
        <f t="shared" ca="1" si="670"/>
        <v>0</v>
      </c>
      <c r="DG159" s="64"/>
      <c r="DH159" s="74" t="s">
        <v>1550</v>
      </c>
      <c r="DI159" s="73">
        <f t="shared" ca="1" si="671"/>
        <v>0</v>
      </c>
      <c r="DJ159" s="64"/>
      <c r="DK159" s="74" t="s">
        <v>1550</v>
      </c>
      <c r="DL159" s="73">
        <f t="shared" ca="1" si="672"/>
        <v>0</v>
      </c>
      <c r="DM159" s="64"/>
      <c r="DN159" s="795" t="s">
        <v>1550</v>
      </c>
      <c r="DO159" s="73">
        <f t="shared" ca="1" si="673"/>
        <v>0</v>
      </c>
      <c r="DP159" s="64"/>
      <c r="DQ159" s="795" t="s">
        <v>110</v>
      </c>
      <c r="DR159" s="73">
        <f t="shared" ca="1" si="674"/>
        <v>0</v>
      </c>
      <c r="DS159" s="64"/>
      <c r="DT159" s="74" t="s">
        <v>1550</v>
      </c>
      <c r="DU159" s="73">
        <f t="shared" ca="1" si="675"/>
        <v>0</v>
      </c>
      <c r="DV159" s="64"/>
      <c r="DW159" s="74" t="s">
        <v>1550</v>
      </c>
      <c r="DX159" s="73">
        <f t="shared" ca="1" si="676"/>
        <v>0</v>
      </c>
      <c r="DY159" s="64"/>
      <c r="DZ159" s="74" t="s">
        <v>1262</v>
      </c>
      <c r="EA159" s="73">
        <f t="shared" ca="1" si="677"/>
        <v>0</v>
      </c>
      <c r="EB159" s="64"/>
      <c r="EC159" s="74" t="s">
        <v>1550</v>
      </c>
      <c r="ED159" s="73">
        <f t="shared" ca="1" si="678"/>
        <v>0</v>
      </c>
      <c r="EE159" s="64"/>
      <c r="EF159" s="74" t="s">
        <v>1550</v>
      </c>
      <c r="EG159" s="73">
        <f t="shared" ca="1" si="679"/>
        <v>0</v>
      </c>
      <c r="EH159" s="64"/>
      <c r="EI159" s="74" t="s">
        <v>1550</v>
      </c>
      <c r="EJ159" s="73">
        <f t="shared" ca="1" si="680"/>
        <v>0</v>
      </c>
      <c r="EK159" s="64"/>
      <c r="EL159" s="74"/>
      <c r="EM159" s="73">
        <f t="shared" ca="1" si="681"/>
        <v>0</v>
      </c>
      <c r="EN159" s="64"/>
      <c r="EO159" s="74"/>
      <c r="EP159" s="73">
        <f t="shared" ca="1" si="682"/>
        <v>0</v>
      </c>
      <c r="EQ159" s="64"/>
      <c r="ER159" s="74"/>
      <c r="ES159" s="73">
        <f t="shared" ca="1" si="683"/>
        <v>0</v>
      </c>
      <c r="ET159" s="64"/>
      <c r="EU159" s="74"/>
      <c r="EV159" s="73">
        <f t="shared" ca="1" si="684"/>
        <v>0</v>
      </c>
      <c r="EW159" s="64"/>
      <c r="EX159" s="74"/>
      <c r="EY159" s="73">
        <f t="shared" ca="1" si="685"/>
        <v>0</v>
      </c>
      <c r="EZ159" s="64"/>
      <c r="FA159" s="74"/>
      <c r="FB159" s="73">
        <f t="shared" ca="1" si="686"/>
        <v>0</v>
      </c>
      <c r="FC159" s="64"/>
      <c r="FD159" s="74"/>
      <c r="FE159" s="73">
        <f t="shared" ca="1" si="687"/>
        <v>0</v>
      </c>
      <c r="FF159" s="64"/>
      <c r="FG159" s="74"/>
      <c r="FH159" s="73">
        <f t="shared" ca="1" si="688"/>
        <v>0</v>
      </c>
      <c r="FI159" s="64"/>
      <c r="FJ159" s="74"/>
      <c r="FK159" s="73">
        <f t="shared" ca="1" si="689"/>
        <v>0</v>
      </c>
      <c r="FL159" s="64"/>
      <c r="FM159" s="64"/>
    </row>
    <row r="160" spans="1:169">
      <c r="A160" s="49"/>
      <c r="B160" s="49"/>
      <c r="C160" s="49"/>
      <c r="D160" s="49"/>
      <c r="E160" s="65"/>
      <c r="F160" s="127">
        <f t="shared" si="690"/>
        <v>3</v>
      </c>
      <c r="G160" s="445">
        <f ca="1">VLOOKUP(H160,Equipos!$Q$1:$R$25,2,0)</f>
        <v>19</v>
      </c>
      <c r="H160" s="447" t="str">
        <f>Idiomas!$D$137</f>
        <v>CLASIFICADOS PARA DIECISEISAVOS</v>
      </c>
      <c r="I160" s="50"/>
      <c r="J160" s="849"/>
      <c r="K160" s="56" t="str">
        <f>Idiomas!$D$198&amp;"-"&amp;ROWS($L$130:L160)</f>
        <v>Dieciseisavofinalista-31</v>
      </c>
      <c r="L160" s="53"/>
      <c r="M160" s="55" t="str">
        <f ca="1">WORLDCUP!AF115</f>
        <v>2H</v>
      </c>
      <c r="N160" s="25"/>
      <c r="O160" s="25"/>
      <c r="P160" s="25"/>
      <c r="Q160" s="25"/>
      <c r="R160" s="110"/>
      <c r="S160" s="74" t="s">
        <v>1318</v>
      </c>
      <c r="T160" s="73">
        <f t="shared" ca="1" si="640"/>
        <v>0</v>
      </c>
      <c r="U160" s="64"/>
      <c r="V160" s="74" t="s">
        <v>1318</v>
      </c>
      <c r="W160" s="73">
        <f t="shared" ca="1" si="641"/>
        <v>0</v>
      </c>
      <c r="X160" s="64"/>
      <c r="Y160" s="74" t="s">
        <v>1318</v>
      </c>
      <c r="Z160" s="73">
        <f t="shared" ca="1" si="642"/>
        <v>0</v>
      </c>
      <c r="AA160" s="64"/>
      <c r="AB160" s="74" t="s">
        <v>1318</v>
      </c>
      <c r="AC160" s="73">
        <f t="shared" ca="1" si="643"/>
        <v>0</v>
      </c>
      <c r="AD160" s="64"/>
      <c r="AE160" s="74" t="s">
        <v>1318</v>
      </c>
      <c r="AF160" s="73">
        <f t="shared" ca="1" si="644"/>
        <v>0</v>
      </c>
      <c r="AG160" s="64"/>
      <c r="AH160" s="74" t="s">
        <v>1318</v>
      </c>
      <c r="AI160" s="73">
        <f t="shared" ca="1" si="645"/>
        <v>0</v>
      </c>
      <c r="AJ160" s="64"/>
      <c r="AK160" s="74" t="s">
        <v>1318</v>
      </c>
      <c r="AL160" s="73">
        <f t="shared" ca="1" si="646"/>
        <v>0</v>
      </c>
      <c r="AM160" s="64"/>
      <c r="AN160" s="74" t="s">
        <v>1318</v>
      </c>
      <c r="AO160" s="73">
        <f t="shared" ca="1" si="647"/>
        <v>0</v>
      </c>
      <c r="AP160" s="64"/>
      <c r="AQ160" s="74" t="s">
        <v>1318</v>
      </c>
      <c r="AR160" s="73">
        <f t="shared" ca="1" si="648"/>
        <v>0</v>
      </c>
      <c r="AS160" s="64"/>
      <c r="AT160" s="74" t="s">
        <v>1318</v>
      </c>
      <c r="AU160" s="73">
        <f t="shared" ca="1" si="649"/>
        <v>0</v>
      </c>
      <c r="AV160" s="64"/>
      <c r="AW160" s="74" t="s">
        <v>1318</v>
      </c>
      <c r="AX160" s="73">
        <f t="shared" ca="1" si="650"/>
        <v>0</v>
      </c>
      <c r="AY160" s="64"/>
      <c r="AZ160" s="74" t="s">
        <v>1318</v>
      </c>
      <c r="BA160" s="73">
        <f t="shared" ca="1" si="651"/>
        <v>0</v>
      </c>
      <c r="BB160" s="64"/>
      <c r="BC160" s="74" t="s">
        <v>1318</v>
      </c>
      <c r="BD160" s="73">
        <f t="shared" ca="1" si="652"/>
        <v>0</v>
      </c>
      <c r="BE160" s="64"/>
      <c r="BF160" s="74" t="s">
        <v>1318</v>
      </c>
      <c r="BG160" s="73">
        <f t="shared" ca="1" si="653"/>
        <v>0</v>
      </c>
      <c r="BH160" s="64"/>
      <c r="BI160" s="74" t="s">
        <v>1318</v>
      </c>
      <c r="BJ160" s="73">
        <f t="shared" ca="1" si="654"/>
        <v>0</v>
      </c>
      <c r="BK160" s="64"/>
      <c r="BL160" s="74" t="s">
        <v>1318</v>
      </c>
      <c r="BM160" s="73">
        <f t="shared" ca="1" si="655"/>
        <v>0</v>
      </c>
      <c r="BN160" s="64"/>
      <c r="BO160" s="74" t="s">
        <v>1318</v>
      </c>
      <c r="BP160" s="73">
        <f t="shared" ca="1" si="656"/>
        <v>0</v>
      </c>
      <c r="BQ160" s="64"/>
      <c r="BR160" s="74" t="s">
        <v>1318</v>
      </c>
      <c r="BS160" s="73">
        <f t="shared" ca="1" si="657"/>
        <v>0</v>
      </c>
      <c r="BT160" s="64"/>
      <c r="BU160" s="74" t="s">
        <v>1318</v>
      </c>
      <c r="BV160" s="73">
        <f t="shared" ca="1" si="658"/>
        <v>0</v>
      </c>
      <c r="BW160" s="64"/>
      <c r="BX160" s="74" t="s">
        <v>1318</v>
      </c>
      <c r="BY160" s="73">
        <f t="shared" ca="1" si="659"/>
        <v>0</v>
      </c>
      <c r="BZ160" s="64"/>
      <c r="CA160" s="74" t="s">
        <v>1318</v>
      </c>
      <c r="CB160" s="73">
        <f t="shared" ca="1" si="660"/>
        <v>0</v>
      </c>
      <c r="CC160" s="64"/>
      <c r="CD160" s="74" t="s">
        <v>1318</v>
      </c>
      <c r="CE160" s="73">
        <f t="shared" ca="1" si="661"/>
        <v>0</v>
      </c>
      <c r="CF160" s="64"/>
      <c r="CG160" s="74" t="s">
        <v>1318</v>
      </c>
      <c r="CH160" s="73">
        <f t="shared" ca="1" si="662"/>
        <v>0</v>
      </c>
      <c r="CI160" s="64"/>
      <c r="CJ160" s="74" t="s">
        <v>1318</v>
      </c>
      <c r="CK160" s="73">
        <f t="shared" ca="1" si="663"/>
        <v>0</v>
      </c>
      <c r="CL160" s="64"/>
      <c r="CM160" s="74" t="s">
        <v>1318</v>
      </c>
      <c r="CN160" s="73">
        <f t="shared" ca="1" si="664"/>
        <v>0</v>
      </c>
      <c r="CO160" s="64"/>
      <c r="CP160" s="74" t="s">
        <v>1318</v>
      </c>
      <c r="CQ160" s="73">
        <f t="shared" ca="1" si="665"/>
        <v>0</v>
      </c>
      <c r="CR160" s="64"/>
      <c r="CS160" s="74" t="s">
        <v>1318</v>
      </c>
      <c r="CT160" s="73">
        <f t="shared" ca="1" si="666"/>
        <v>0</v>
      </c>
      <c r="CU160" s="64"/>
      <c r="CV160" s="74" t="s">
        <v>1318</v>
      </c>
      <c r="CW160" s="73">
        <f t="shared" ca="1" si="667"/>
        <v>0</v>
      </c>
      <c r="CX160" s="64"/>
      <c r="CY160" s="74" t="s">
        <v>1632</v>
      </c>
      <c r="CZ160" s="73">
        <f t="shared" ca="1" si="668"/>
        <v>0</v>
      </c>
      <c r="DA160" s="64"/>
      <c r="DB160" s="74" t="s">
        <v>1318</v>
      </c>
      <c r="DC160" s="73">
        <f t="shared" ca="1" si="669"/>
        <v>0</v>
      </c>
      <c r="DD160" s="64"/>
      <c r="DE160" s="74" t="s">
        <v>1318</v>
      </c>
      <c r="DF160" s="73">
        <f t="shared" ca="1" si="670"/>
        <v>0</v>
      </c>
      <c r="DG160" s="64"/>
      <c r="DH160" s="74" t="s">
        <v>1318</v>
      </c>
      <c r="DI160" s="73">
        <f t="shared" ca="1" si="671"/>
        <v>0</v>
      </c>
      <c r="DJ160" s="64"/>
      <c r="DK160" s="74" t="s">
        <v>1318</v>
      </c>
      <c r="DL160" s="73">
        <f t="shared" ca="1" si="672"/>
        <v>0</v>
      </c>
      <c r="DM160" s="64"/>
      <c r="DN160" s="795" t="s">
        <v>1318</v>
      </c>
      <c r="DO160" s="73">
        <f t="shared" ca="1" si="673"/>
        <v>0</v>
      </c>
      <c r="DP160" s="64"/>
      <c r="DQ160" s="795" t="s">
        <v>1632</v>
      </c>
      <c r="DR160" s="73">
        <f t="shared" ca="1" si="674"/>
        <v>0</v>
      </c>
      <c r="DS160" s="64"/>
      <c r="DT160" s="74" t="s">
        <v>1318</v>
      </c>
      <c r="DU160" s="73">
        <f t="shared" ca="1" si="675"/>
        <v>0</v>
      </c>
      <c r="DV160" s="64"/>
      <c r="DW160" s="74" t="s">
        <v>1318</v>
      </c>
      <c r="DX160" s="73">
        <f t="shared" ca="1" si="676"/>
        <v>0</v>
      </c>
      <c r="DY160" s="64"/>
      <c r="DZ160" s="74" t="s">
        <v>1318</v>
      </c>
      <c r="EA160" s="73">
        <f t="shared" ca="1" si="677"/>
        <v>0</v>
      </c>
      <c r="EB160" s="64"/>
      <c r="EC160" s="74" t="s">
        <v>1318</v>
      </c>
      <c r="ED160" s="73">
        <f t="shared" ca="1" si="678"/>
        <v>0</v>
      </c>
      <c r="EE160" s="64"/>
      <c r="EF160" s="74" t="s">
        <v>1318</v>
      </c>
      <c r="EG160" s="73">
        <f t="shared" ca="1" si="679"/>
        <v>0</v>
      </c>
      <c r="EH160" s="64"/>
      <c r="EI160" s="74" t="s">
        <v>1318</v>
      </c>
      <c r="EJ160" s="73">
        <f t="shared" ca="1" si="680"/>
        <v>0</v>
      </c>
      <c r="EK160" s="64"/>
      <c r="EL160" s="74"/>
      <c r="EM160" s="73">
        <f t="shared" ca="1" si="681"/>
        <v>0</v>
      </c>
      <c r="EN160" s="64"/>
      <c r="EO160" s="74"/>
      <c r="EP160" s="73">
        <f t="shared" ca="1" si="682"/>
        <v>0</v>
      </c>
      <c r="EQ160" s="64"/>
      <c r="ER160" s="74"/>
      <c r="ES160" s="73">
        <f t="shared" ca="1" si="683"/>
        <v>0</v>
      </c>
      <c r="ET160" s="64"/>
      <c r="EU160" s="74"/>
      <c r="EV160" s="73">
        <f t="shared" ca="1" si="684"/>
        <v>0</v>
      </c>
      <c r="EW160" s="64"/>
      <c r="EX160" s="74"/>
      <c r="EY160" s="73">
        <f t="shared" ca="1" si="685"/>
        <v>0</v>
      </c>
      <c r="EZ160" s="64"/>
      <c r="FA160" s="74"/>
      <c r="FB160" s="73">
        <f t="shared" ca="1" si="686"/>
        <v>0</v>
      </c>
      <c r="FC160" s="64"/>
      <c r="FD160" s="74"/>
      <c r="FE160" s="73">
        <f t="shared" ca="1" si="687"/>
        <v>0</v>
      </c>
      <c r="FF160" s="64"/>
      <c r="FG160" s="74"/>
      <c r="FH160" s="73">
        <f t="shared" ca="1" si="688"/>
        <v>0</v>
      </c>
      <c r="FI160" s="64"/>
      <c r="FJ160" s="74"/>
      <c r="FK160" s="73">
        <f t="shared" ca="1" si="689"/>
        <v>0</v>
      </c>
      <c r="FL160" s="64"/>
      <c r="FM160" s="64"/>
    </row>
    <row r="161" spans="1:169">
      <c r="A161" s="49"/>
      <c r="B161" s="49"/>
      <c r="C161" s="49"/>
      <c r="D161" s="49"/>
      <c r="E161" s="65"/>
      <c r="F161" s="127">
        <f t="shared" si="690"/>
        <v>3</v>
      </c>
      <c r="G161" s="445">
        <f ca="1">VLOOKUP(H161,Equipos!$Q$1:$R$25,2,0)</f>
        <v>19</v>
      </c>
      <c r="H161" s="447" t="str">
        <f>Idiomas!$D$137</f>
        <v>CLASIFICADOS PARA DIECISEISAVOS</v>
      </c>
      <c r="I161" s="50"/>
      <c r="J161" s="849"/>
      <c r="K161" s="115" t="str">
        <f>Idiomas!$D$198&amp;"-"&amp;ROWS($L$130:L161)</f>
        <v>Dieciseisavofinalista-32</v>
      </c>
      <c r="L161" s="115"/>
      <c r="M161" s="116" t="str">
        <f ca="1">WORLDCUP!AF116</f>
        <v>3DEIJL</v>
      </c>
      <c r="N161" s="25"/>
      <c r="O161" s="25"/>
      <c r="P161" s="25"/>
      <c r="Q161" s="25"/>
      <c r="R161" s="110"/>
      <c r="S161" s="80" t="s">
        <v>1634</v>
      </c>
      <c r="T161" s="81">
        <f t="shared" ca="1" si="640"/>
        <v>0</v>
      </c>
      <c r="U161" s="64"/>
      <c r="V161" s="80" t="s">
        <v>1551</v>
      </c>
      <c r="W161" s="81">
        <f t="shared" ca="1" si="641"/>
        <v>0</v>
      </c>
      <c r="X161" s="64"/>
      <c r="Y161" s="80" t="s">
        <v>1551</v>
      </c>
      <c r="Z161" s="81">
        <f t="shared" ca="1" si="642"/>
        <v>0</v>
      </c>
      <c r="AA161" s="64"/>
      <c r="AB161" s="80" t="s">
        <v>1730</v>
      </c>
      <c r="AC161" s="81">
        <f t="shared" ca="1" si="643"/>
        <v>0</v>
      </c>
      <c r="AD161" s="64"/>
      <c r="AE161" s="80" t="s">
        <v>1634</v>
      </c>
      <c r="AF161" s="81">
        <f t="shared" ca="1" si="644"/>
        <v>0</v>
      </c>
      <c r="AG161" s="64"/>
      <c r="AH161" s="80" t="s">
        <v>1730</v>
      </c>
      <c r="AI161" s="81">
        <f t="shared" ca="1" si="645"/>
        <v>0</v>
      </c>
      <c r="AJ161" s="64"/>
      <c r="AK161" s="80" t="s">
        <v>78</v>
      </c>
      <c r="AL161" s="81">
        <f t="shared" ca="1" si="646"/>
        <v>0</v>
      </c>
      <c r="AM161" s="64"/>
      <c r="AN161" s="80" t="s">
        <v>1551</v>
      </c>
      <c r="AO161" s="81">
        <f t="shared" ca="1" si="647"/>
        <v>0</v>
      </c>
      <c r="AP161" s="64"/>
      <c r="AQ161" s="80" t="s">
        <v>78</v>
      </c>
      <c r="AR161" s="81">
        <f t="shared" ca="1" si="648"/>
        <v>0</v>
      </c>
      <c r="AS161" s="64"/>
      <c r="AT161" s="80" t="s">
        <v>1551</v>
      </c>
      <c r="AU161" s="81">
        <f t="shared" ca="1" si="649"/>
        <v>0</v>
      </c>
      <c r="AV161" s="64"/>
      <c r="AW161" s="80" t="s">
        <v>78</v>
      </c>
      <c r="AX161" s="81">
        <f t="shared" ca="1" si="650"/>
        <v>0</v>
      </c>
      <c r="AY161" s="64"/>
      <c r="AZ161" s="80" t="s">
        <v>1551</v>
      </c>
      <c r="BA161" s="81">
        <f t="shared" ca="1" si="651"/>
        <v>0</v>
      </c>
      <c r="BB161" s="64"/>
      <c r="BC161" s="80" t="s">
        <v>1551</v>
      </c>
      <c r="BD161" s="81">
        <f t="shared" ca="1" si="652"/>
        <v>0</v>
      </c>
      <c r="BE161" s="64"/>
      <c r="BF161" s="80" t="s">
        <v>1633</v>
      </c>
      <c r="BG161" s="81">
        <f t="shared" ca="1" si="653"/>
        <v>0</v>
      </c>
      <c r="BH161" s="64"/>
      <c r="BI161" s="80" t="s">
        <v>1551</v>
      </c>
      <c r="BJ161" s="81">
        <f t="shared" ca="1" si="654"/>
        <v>0</v>
      </c>
      <c r="BK161" s="64"/>
      <c r="BL161" s="80" t="s">
        <v>1551</v>
      </c>
      <c r="BM161" s="81">
        <f t="shared" ca="1" si="655"/>
        <v>0</v>
      </c>
      <c r="BN161" s="64"/>
      <c r="BO161" s="80" t="s">
        <v>1261</v>
      </c>
      <c r="BP161" s="81">
        <f t="shared" ca="1" si="656"/>
        <v>0</v>
      </c>
      <c r="BQ161" s="64"/>
      <c r="BR161" s="80" t="s">
        <v>1551</v>
      </c>
      <c r="BS161" s="81">
        <f t="shared" ca="1" si="657"/>
        <v>0</v>
      </c>
      <c r="BT161" s="64"/>
      <c r="BU161" s="80" t="s">
        <v>1551</v>
      </c>
      <c r="BV161" s="81">
        <f t="shared" ca="1" si="658"/>
        <v>0</v>
      </c>
      <c r="BW161" s="64"/>
      <c r="BX161" s="80" t="s">
        <v>1551</v>
      </c>
      <c r="BY161" s="81">
        <f t="shared" ca="1" si="659"/>
        <v>0</v>
      </c>
      <c r="BZ161" s="64"/>
      <c r="CA161" s="80" t="s">
        <v>1633</v>
      </c>
      <c r="CB161" s="81">
        <f t="shared" ca="1" si="660"/>
        <v>0</v>
      </c>
      <c r="CC161" s="64"/>
      <c r="CD161" s="80" t="s">
        <v>1633</v>
      </c>
      <c r="CE161" s="81">
        <f t="shared" ca="1" si="661"/>
        <v>0</v>
      </c>
      <c r="CF161" s="64"/>
      <c r="CG161" s="80" t="s">
        <v>1730</v>
      </c>
      <c r="CH161" s="81">
        <f t="shared" ca="1" si="662"/>
        <v>0</v>
      </c>
      <c r="CI161" s="64"/>
      <c r="CJ161" s="80" t="s">
        <v>1551</v>
      </c>
      <c r="CK161" s="81">
        <f t="shared" ca="1" si="663"/>
        <v>0</v>
      </c>
      <c r="CL161" s="64"/>
      <c r="CM161" s="80" t="s">
        <v>1633</v>
      </c>
      <c r="CN161" s="81">
        <f t="shared" ca="1" si="664"/>
        <v>0</v>
      </c>
      <c r="CO161" s="64"/>
      <c r="CP161" s="80" t="s">
        <v>1551</v>
      </c>
      <c r="CQ161" s="81">
        <f t="shared" ca="1" si="665"/>
        <v>0</v>
      </c>
      <c r="CR161" s="64"/>
      <c r="CS161" s="80" t="s">
        <v>1634</v>
      </c>
      <c r="CT161" s="81">
        <f t="shared" ca="1" si="666"/>
        <v>0</v>
      </c>
      <c r="CU161" s="64"/>
      <c r="CV161" s="80" t="s">
        <v>1319</v>
      </c>
      <c r="CW161" s="81">
        <f t="shared" ca="1" si="667"/>
        <v>0</v>
      </c>
      <c r="CX161" s="64"/>
      <c r="CY161" s="80" t="s">
        <v>77</v>
      </c>
      <c r="CZ161" s="81">
        <f t="shared" ca="1" si="668"/>
        <v>0</v>
      </c>
      <c r="DA161" s="64"/>
      <c r="DB161" s="80" t="s">
        <v>1634</v>
      </c>
      <c r="DC161" s="81">
        <f t="shared" ca="1" si="669"/>
        <v>0</v>
      </c>
      <c r="DD161" s="64"/>
      <c r="DE161" s="80" t="s">
        <v>1551</v>
      </c>
      <c r="DF161" s="81">
        <f t="shared" ca="1" si="670"/>
        <v>0</v>
      </c>
      <c r="DG161" s="64"/>
      <c r="DH161" s="80" t="s">
        <v>1633</v>
      </c>
      <c r="DI161" s="81">
        <f t="shared" ca="1" si="671"/>
        <v>0</v>
      </c>
      <c r="DJ161" s="64"/>
      <c r="DK161" s="80" t="s">
        <v>78</v>
      </c>
      <c r="DL161" s="81">
        <f t="shared" ca="1" si="672"/>
        <v>0</v>
      </c>
      <c r="DM161" s="64"/>
      <c r="DN161" s="795" t="s">
        <v>1634</v>
      </c>
      <c r="DO161" s="81">
        <f t="shared" ca="1" si="673"/>
        <v>0</v>
      </c>
      <c r="DP161" s="64"/>
      <c r="DQ161" s="795" t="s">
        <v>1730</v>
      </c>
      <c r="DR161" s="81">
        <f t="shared" ca="1" si="674"/>
        <v>0</v>
      </c>
      <c r="DS161" s="64"/>
      <c r="DT161" s="80" t="s">
        <v>1551</v>
      </c>
      <c r="DU161" s="81">
        <f t="shared" ca="1" si="675"/>
        <v>0</v>
      </c>
      <c r="DV161" s="64"/>
      <c r="DW161" s="80" t="s">
        <v>78</v>
      </c>
      <c r="DX161" s="81">
        <f t="shared" ca="1" si="676"/>
        <v>0</v>
      </c>
      <c r="DY161" s="64"/>
      <c r="DZ161" s="80" t="s">
        <v>1551</v>
      </c>
      <c r="EA161" s="81">
        <f t="shared" ca="1" si="677"/>
        <v>0</v>
      </c>
      <c r="EB161" s="64"/>
      <c r="EC161" s="80" t="s">
        <v>1551</v>
      </c>
      <c r="ED161" s="81">
        <f t="shared" ca="1" si="678"/>
        <v>0</v>
      </c>
      <c r="EE161" s="64"/>
      <c r="EF161" s="80" t="s">
        <v>1551</v>
      </c>
      <c r="EG161" s="81">
        <f t="shared" ca="1" si="679"/>
        <v>0</v>
      </c>
      <c r="EH161" s="64"/>
      <c r="EI161" s="80" t="s">
        <v>135</v>
      </c>
      <c r="EJ161" s="81">
        <f t="shared" ca="1" si="680"/>
        <v>0</v>
      </c>
      <c r="EK161" s="64"/>
      <c r="EL161" s="80"/>
      <c r="EM161" s="81">
        <f t="shared" ca="1" si="681"/>
        <v>0</v>
      </c>
      <c r="EN161" s="64"/>
      <c r="EO161" s="80"/>
      <c r="EP161" s="81">
        <f t="shared" ca="1" si="682"/>
        <v>0</v>
      </c>
      <c r="EQ161" s="64"/>
      <c r="ER161" s="80"/>
      <c r="ES161" s="81">
        <f t="shared" ca="1" si="683"/>
        <v>0</v>
      </c>
      <c r="ET161" s="64"/>
      <c r="EU161" s="80"/>
      <c r="EV161" s="81">
        <f t="shared" ca="1" si="684"/>
        <v>0</v>
      </c>
      <c r="EW161" s="64"/>
      <c r="EX161" s="80"/>
      <c r="EY161" s="81">
        <f t="shared" ca="1" si="685"/>
        <v>0</v>
      </c>
      <c r="EZ161" s="64"/>
      <c r="FA161" s="80"/>
      <c r="FB161" s="81">
        <f t="shared" ca="1" si="686"/>
        <v>0</v>
      </c>
      <c r="FC161" s="64"/>
      <c r="FD161" s="80"/>
      <c r="FE161" s="81">
        <f t="shared" ca="1" si="687"/>
        <v>0</v>
      </c>
      <c r="FF161" s="64"/>
      <c r="FG161" s="80"/>
      <c r="FH161" s="81">
        <f t="shared" ca="1" si="688"/>
        <v>0</v>
      </c>
      <c r="FI161" s="64"/>
      <c r="FJ161" s="80"/>
      <c r="FK161" s="81">
        <f t="shared" ca="1" si="689"/>
        <v>0</v>
      </c>
      <c r="FL161" s="64"/>
      <c r="FM161" s="64"/>
    </row>
    <row r="162" spans="1:169">
      <c r="A162" s="49"/>
      <c r="B162" s="49"/>
      <c r="C162" s="49"/>
      <c r="D162" s="49"/>
      <c r="E162" s="65"/>
      <c r="F162" s="127"/>
      <c r="G162" s="445"/>
      <c r="H162" s="65"/>
      <c r="I162" s="50"/>
      <c r="J162" s="94"/>
      <c r="K162" s="434" t="str">
        <f>Idiomas!D457</f>
        <v>Equipos 1/16</v>
      </c>
      <c r="L162" s="435"/>
      <c r="M162" s="434" t="str">
        <f ca="1">"Max: "&amp;$D$15*COUNT(T130:T161)</f>
        <v>Max: 96</v>
      </c>
      <c r="N162" s="25"/>
      <c r="O162" s="25"/>
      <c r="P162" s="25"/>
      <c r="Q162" s="25"/>
      <c r="R162" s="49"/>
      <c r="S162" s="84"/>
      <c r="T162" s="71">
        <f ca="1">SUM(T130:T161)</f>
        <v>0</v>
      </c>
      <c r="U162" s="65"/>
      <c r="V162" s="84"/>
      <c r="W162" s="71">
        <f t="shared" ref="W162" ca="1" si="691">SUM(W130:W161)</f>
        <v>0</v>
      </c>
      <c r="X162" s="65"/>
      <c r="Y162" s="84"/>
      <c r="Z162" s="71">
        <f t="shared" ref="Z162" ca="1" si="692">SUM(Z130:Z161)</f>
        <v>0</v>
      </c>
      <c r="AA162" s="65"/>
      <c r="AB162" s="84"/>
      <c r="AC162" s="71">
        <f t="shared" ref="AC162" ca="1" si="693">SUM(AC130:AC161)</f>
        <v>0</v>
      </c>
      <c r="AD162" s="65"/>
      <c r="AE162" s="84"/>
      <c r="AF162" s="71">
        <f t="shared" ref="AF162" ca="1" si="694">SUM(AF130:AF161)</f>
        <v>0</v>
      </c>
      <c r="AG162" s="65"/>
      <c r="AH162" s="84"/>
      <c r="AI162" s="71">
        <f t="shared" ref="AI162" ca="1" si="695">SUM(AI130:AI161)</f>
        <v>0</v>
      </c>
      <c r="AJ162" s="65"/>
      <c r="AK162" s="84"/>
      <c r="AL162" s="71">
        <f t="shared" ref="AL162" ca="1" si="696">SUM(AL130:AL161)</f>
        <v>0</v>
      </c>
      <c r="AM162" s="65"/>
      <c r="AN162" s="84"/>
      <c r="AO162" s="71">
        <f t="shared" ref="AO162" ca="1" si="697">SUM(AO130:AO161)</f>
        <v>0</v>
      </c>
      <c r="AP162" s="65"/>
      <c r="AQ162" s="84"/>
      <c r="AR162" s="71">
        <f t="shared" ref="AR162" ca="1" si="698">SUM(AR130:AR161)</f>
        <v>0</v>
      </c>
      <c r="AS162" s="65"/>
      <c r="AT162" s="84"/>
      <c r="AU162" s="71">
        <f t="shared" ref="AU162" ca="1" si="699">SUM(AU130:AU161)</f>
        <v>0</v>
      </c>
      <c r="AV162" s="65"/>
      <c r="AW162" s="84"/>
      <c r="AX162" s="71">
        <f t="shared" ref="AX162" ca="1" si="700">SUM(AX130:AX161)</f>
        <v>0</v>
      </c>
      <c r="AY162" s="65"/>
      <c r="AZ162" s="84"/>
      <c r="BA162" s="71">
        <f t="shared" ref="BA162" ca="1" si="701">SUM(BA130:BA161)</f>
        <v>0</v>
      </c>
      <c r="BB162" s="65"/>
      <c r="BC162" s="84"/>
      <c r="BD162" s="71">
        <f t="shared" ref="BD162" ca="1" si="702">SUM(BD130:BD161)</f>
        <v>0</v>
      </c>
      <c r="BE162" s="65"/>
      <c r="BF162" s="84"/>
      <c r="BG162" s="71">
        <f t="shared" ref="BG162" ca="1" si="703">SUM(BG130:BG161)</f>
        <v>0</v>
      </c>
      <c r="BH162" s="65"/>
      <c r="BI162" s="84"/>
      <c r="BJ162" s="71">
        <f t="shared" ref="BJ162" ca="1" si="704">SUM(BJ130:BJ161)</f>
        <v>0</v>
      </c>
      <c r="BK162" s="65"/>
      <c r="BL162" s="84"/>
      <c r="BM162" s="71">
        <f t="shared" ref="BM162" ca="1" si="705">SUM(BM130:BM161)</f>
        <v>0</v>
      </c>
      <c r="BN162" s="65"/>
      <c r="BO162" s="84"/>
      <c r="BP162" s="71">
        <f t="shared" ref="BP162" ca="1" si="706">SUM(BP130:BP161)</f>
        <v>0</v>
      </c>
      <c r="BQ162" s="65"/>
      <c r="BR162" s="84"/>
      <c r="BS162" s="71">
        <f t="shared" ref="BS162" ca="1" si="707">SUM(BS130:BS161)</f>
        <v>0</v>
      </c>
      <c r="BT162" s="65"/>
      <c r="BU162" s="84"/>
      <c r="BV162" s="71">
        <f t="shared" ref="BV162" ca="1" si="708">SUM(BV130:BV161)</f>
        <v>0</v>
      </c>
      <c r="BW162" s="65"/>
      <c r="BX162" s="84"/>
      <c r="BY162" s="71">
        <f t="shared" ref="BY162" ca="1" si="709">SUM(BY130:BY161)</f>
        <v>0</v>
      </c>
      <c r="BZ162" s="65"/>
      <c r="CA162" s="84"/>
      <c r="CB162" s="71">
        <f t="shared" ref="CB162" ca="1" si="710">SUM(CB130:CB161)</f>
        <v>0</v>
      </c>
      <c r="CC162" s="65"/>
      <c r="CD162" s="84"/>
      <c r="CE162" s="71">
        <f t="shared" ref="CE162" ca="1" si="711">SUM(CE130:CE161)</f>
        <v>0</v>
      </c>
      <c r="CF162" s="65"/>
      <c r="CG162" s="84"/>
      <c r="CH162" s="71">
        <f t="shared" ref="CH162" ca="1" si="712">SUM(CH130:CH161)</f>
        <v>0</v>
      </c>
      <c r="CI162" s="65"/>
      <c r="CJ162" s="84"/>
      <c r="CK162" s="71">
        <f t="shared" ref="CK162" ca="1" si="713">SUM(CK130:CK161)</f>
        <v>0</v>
      </c>
      <c r="CL162" s="65"/>
      <c r="CM162" s="84"/>
      <c r="CN162" s="71">
        <f t="shared" ref="CN162" ca="1" si="714">SUM(CN130:CN161)</f>
        <v>0</v>
      </c>
      <c r="CO162" s="65"/>
      <c r="CP162" s="84"/>
      <c r="CQ162" s="71">
        <f t="shared" ref="CQ162" ca="1" si="715">SUM(CQ130:CQ161)</f>
        <v>0</v>
      </c>
      <c r="CR162" s="65"/>
      <c r="CS162" s="84"/>
      <c r="CT162" s="71">
        <f t="shared" ref="CT162" ca="1" si="716">SUM(CT130:CT161)</f>
        <v>0</v>
      </c>
      <c r="CU162" s="65"/>
      <c r="CV162" s="84"/>
      <c r="CW162" s="71">
        <f t="shared" ref="CW162" ca="1" si="717">SUM(CW130:CW161)</f>
        <v>0</v>
      </c>
      <c r="CX162" s="65"/>
      <c r="CY162" s="84"/>
      <c r="CZ162" s="71">
        <f t="shared" ref="CZ162" ca="1" si="718">SUM(CZ130:CZ161)</f>
        <v>0</v>
      </c>
      <c r="DA162" s="65"/>
      <c r="DB162" s="84"/>
      <c r="DC162" s="71">
        <f t="shared" ref="DC162" ca="1" si="719">SUM(DC130:DC161)</f>
        <v>0</v>
      </c>
      <c r="DD162" s="65"/>
      <c r="DE162" s="84"/>
      <c r="DF162" s="71">
        <f t="shared" ref="DF162" ca="1" si="720">SUM(DF130:DF161)</f>
        <v>0</v>
      </c>
      <c r="DG162" s="65"/>
      <c r="DH162" s="84"/>
      <c r="DI162" s="71">
        <f t="shared" ref="DI162" ca="1" si="721">SUM(DI130:DI161)</f>
        <v>0</v>
      </c>
      <c r="DJ162" s="65"/>
      <c r="DK162" s="84"/>
      <c r="DL162" s="71">
        <f t="shared" ref="DL162" ca="1" si="722">SUM(DL130:DL161)</f>
        <v>0</v>
      </c>
      <c r="DM162" s="65"/>
      <c r="DN162" s="796"/>
      <c r="DO162" s="71">
        <f t="shared" ref="DO162" ca="1" si="723">SUM(DO130:DO161)</f>
        <v>0</v>
      </c>
      <c r="DP162" s="65"/>
      <c r="DQ162" s="796"/>
      <c r="DR162" s="71">
        <f t="shared" ref="DR162" ca="1" si="724">SUM(DR130:DR161)</f>
        <v>0</v>
      </c>
      <c r="DS162" s="65"/>
      <c r="DT162" s="84"/>
      <c r="DU162" s="71">
        <f t="shared" ref="DU162" ca="1" si="725">SUM(DU130:DU161)</f>
        <v>0</v>
      </c>
      <c r="DV162" s="65"/>
      <c r="DW162" s="84"/>
      <c r="DX162" s="71">
        <f t="shared" ref="DX162" ca="1" si="726">SUM(DX130:DX161)</f>
        <v>0</v>
      </c>
      <c r="DY162" s="65"/>
      <c r="DZ162" s="84"/>
      <c r="EA162" s="71">
        <f t="shared" ref="EA162" ca="1" si="727">SUM(EA130:EA161)</f>
        <v>0</v>
      </c>
      <c r="EB162" s="65"/>
      <c r="EC162" s="84"/>
      <c r="ED162" s="71">
        <f t="shared" ref="ED162" ca="1" si="728">SUM(ED130:ED161)</f>
        <v>0</v>
      </c>
      <c r="EE162" s="65"/>
      <c r="EF162" s="84"/>
      <c r="EG162" s="71">
        <f t="shared" ref="EG162" ca="1" si="729">SUM(EG130:EG161)</f>
        <v>0</v>
      </c>
      <c r="EH162" s="65"/>
      <c r="EI162" s="84"/>
      <c r="EJ162" s="71">
        <f t="shared" ref="EJ162" ca="1" si="730">SUM(EJ130:EJ161)</f>
        <v>0</v>
      </c>
      <c r="EK162" s="65"/>
      <c r="EL162" s="84"/>
      <c r="EM162" s="71">
        <f t="shared" ref="EM162" ca="1" si="731">SUM(EM130:EM161)</f>
        <v>0</v>
      </c>
      <c r="EN162" s="65"/>
      <c r="EO162" s="84"/>
      <c r="EP162" s="71">
        <f t="shared" ref="EP162" ca="1" si="732">SUM(EP130:EP161)</f>
        <v>0</v>
      </c>
      <c r="EQ162" s="65"/>
      <c r="ER162" s="84"/>
      <c r="ES162" s="71">
        <f t="shared" ref="ES162" ca="1" si="733">SUM(ES130:ES161)</f>
        <v>0</v>
      </c>
      <c r="ET162" s="65"/>
      <c r="EU162" s="84"/>
      <c r="EV162" s="71">
        <f t="shared" ref="EV162" ca="1" si="734">SUM(EV130:EV161)</f>
        <v>0</v>
      </c>
      <c r="EW162" s="65"/>
      <c r="EX162" s="84"/>
      <c r="EY162" s="71">
        <f t="shared" ref="EY162" ca="1" si="735">SUM(EY130:EY161)</f>
        <v>0</v>
      </c>
      <c r="EZ162" s="65"/>
      <c r="FA162" s="84"/>
      <c r="FB162" s="71">
        <f t="shared" ref="FB162" ca="1" si="736">SUM(FB130:FB161)</f>
        <v>0</v>
      </c>
      <c r="FC162" s="65"/>
      <c r="FD162" s="84"/>
      <c r="FE162" s="71">
        <f t="shared" ref="FE162" ca="1" si="737">SUM(FE130:FE161)</f>
        <v>0</v>
      </c>
      <c r="FF162" s="65"/>
      <c r="FG162" s="84"/>
      <c r="FH162" s="71">
        <f t="shared" ref="FH162" ca="1" si="738">SUM(FH130:FH161)</f>
        <v>0</v>
      </c>
      <c r="FI162" s="65"/>
      <c r="FJ162" s="84"/>
      <c r="FK162" s="71">
        <f t="shared" ref="FK162" ca="1" si="739">SUM(FK130:FK161)</f>
        <v>0</v>
      </c>
      <c r="FL162" s="65"/>
      <c r="FM162" s="65"/>
    </row>
    <row r="163" spans="1:169">
      <c r="A163" s="65" t="s">
        <v>1764</v>
      </c>
      <c r="B163" s="65" t="s">
        <v>1765</v>
      </c>
      <c r="C163" s="65" t="s">
        <v>1763</v>
      </c>
      <c r="D163" s="65" t="s">
        <v>1761</v>
      </c>
      <c r="E163" s="65" t="s">
        <v>1762</v>
      </c>
      <c r="F163" s="127"/>
      <c r="G163" s="445"/>
      <c r="H163" s="65"/>
      <c r="I163" s="52" t="s">
        <v>1578</v>
      </c>
      <c r="J163" s="94"/>
      <c r="K163" s="113" t="str">
        <f>Idiomas!D138</f>
        <v>ENFRENTAMIENTOS DIECISEISAVOS</v>
      </c>
      <c r="L163" s="50"/>
      <c r="M163" s="71"/>
      <c r="N163" s="89"/>
      <c r="O163" s="89"/>
      <c r="P163" s="89"/>
      <c r="Q163" s="89"/>
      <c r="R163" s="49"/>
      <c r="S163" s="84"/>
      <c r="T163" s="112"/>
      <c r="U163" s="112"/>
      <c r="V163" s="442"/>
      <c r="W163" s="71"/>
      <c r="X163" s="65"/>
      <c r="Y163" s="84"/>
      <c r="Z163" s="71"/>
      <c r="AA163" s="65"/>
      <c r="AB163" s="84"/>
      <c r="AC163" s="71"/>
      <c r="AD163" s="65"/>
      <c r="AE163" s="84"/>
      <c r="AF163" s="71"/>
      <c r="AG163" s="65"/>
      <c r="AH163" s="84"/>
      <c r="AI163" s="71"/>
      <c r="AJ163" s="65"/>
      <c r="AK163" s="84"/>
      <c r="AL163" s="71"/>
      <c r="AM163" s="65"/>
      <c r="AN163" s="84"/>
      <c r="AO163" s="71"/>
      <c r="AP163" s="65"/>
      <c r="AQ163" s="84"/>
      <c r="AR163" s="71"/>
      <c r="AS163" s="65"/>
      <c r="AT163" s="84"/>
      <c r="AU163" s="71"/>
      <c r="AV163" s="65"/>
      <c r="AW163" s="84"/>
      <c r="AX163" s="71"/>
      <c r="AY163" s="65"/>
      <c r="AZ163" s="84"/>
      <c r="BA163" s="71"/>
      <c r="BB163" s="65"/>
      <c r="BC163" s="84"/>
      <c r="BD163" s="71"/>
      <c r="BE163" s="65"/>
      <c r="BF163" s="84"/>
      <c r="BG163" s="71"/>
      <c r="BH163" s="65"/>
      <c r="BI163" s="84"/>
      <c r="BJ163" s="71"/>
      <c r="BK163" s="65"/>
      <c r="BL163" s="84"/>
      <c r="BM163" s="71"/>
      <c r="BN163" s="65"/>
      <c r="BO163" s="84"/>
      <c r="BP163" s="71"/>
      <c r="BQ163" s="65"/>
      <c r="BR163" s="84"/>
      <c r="BS163" s="71"/>
      <c r="BT163" s="65"/>
      <c r="BU163" s="84"/>
      <c r="BV163" s="71"/>
      <c r="BW163" s="65"/>
      <c r="BX163" s="84"/>
      <c r="BY163" s="71"/>
      <c r="BZ163" s="65"/>
      <c r="CA163" s="84"/>
      <c r="CB163" s="71"/>
      <c r="CC163" s="65"/>
      <c r="CD163" s="84"/>
      <c r="CE163" s="71"/>
      <c r="CF163" s="65"/>
      <c r="CG163" s="84"/>
      <c r="CH163" s="71"/>
      <c r="CI163" s="65"/>
      <c r="CJ163" s="84"/>
      <c r="CK163" s="71"/>
      <c r="CL163" s="65"/>
      <c r="CM163" s="84"/>
      <c r="CN163" s="71"/>
      <c r="CO163" s="65"/>
      <c r="CP163" s="84"/>
      <c r="CQ163" s="71"/>
      <c r="CR163" s="65"/>
      <c r="CS163" s="84"/>
      <c r="CT163" s="71"/>
      <c r="CU163" s="65"/>
      <c r="CV163" s="84"/>
      <c r="CW163" s="71"/>
      <c r="CX163" s="65"/>
      <c r="CY163" s="84"/>
      <c r="CZ163" s="71"/>
      <c r="DA163" s="65"/>
      <c r="DB163" s="84"/>
      <c r="DC163" s="71"/>
      <c r="DD163" s="65"/>
      <c r="DE163" s="84"/>
      <c r="DF163" s="71"/>
      <c r="DG163" s="65"/>
      <c r="DH163" s="84"/>
      <c r="DI163" s="71"/>
      <c r="DJ163" s="65"/>
      <c r="DK163" s="84"/>
      <c r="DL163" s="71"/>
      <c r="DM163" s="65"/>
      <c r="DN163" s="796"/>
      <c r="DO163" s="71"/>
      <c r="DP163" s="65"/>
      <c r="DQ163" s="796"/>
      <c r="DR163" s="71"/>
      <c r="DS163" s="65"/>
      <c r="DT163" s="84"/>
      <c r="DU163" s="71"/>
      <c r="DV163" s="65"/>
      <c r="DW163" s="84"/>
      <c r="DX163" s="71"/>
      <c r="DY163" s="65"/>
      <c r="DZ163" s="84"/>
      <c r="EA163" s="71"/>
      <c r="EB163" s="65"/>
      <c r="EC163" s="84"/>
      <c r="ED163" s="71"/>
      <c r="EE163" s="65"/>
      <c r="EF163" s="84"/>
      <c r="EG163" s="71"/>
      <c r="EH163" s="65"/>
      <c r="EI163" s="84"/>
      <c r="EJ163" s="71"/>
      <c r="EK163" s="65"/>
      <c r="EL163" s="84"/>
      <c r="EM163" s="71"/>
      <c r="EN163" s="65"/>
      <c r="EO163" s="84"/>
      <c r="EP163" s="71"/>
      <c r="EQ163" s="65"/>
      <c r="ER163" s="84"/>
      <c r="ES163" s="71"/>
      <c r="ET163" s="65"/>
      <c r="EU163" s="84"/>
      <c r="EV163" s="71"/>
      <c r="EW163" s="65"/>
      <c r="EX163" s="84"/>
      <c r="EY163" s="71"/>
      <c r="EZ163" s="65"/>
      <c r="FA163" s="84"/>
      <c r="FB163" s="71"/>
      <c r="FC163" s="65"/>
      <c r="FD163" s="84"/>
      <c r="FE163" s="71"/>
      <c r="FF163" s="65"/>
      <c r="FG163" s="84"/>
      <c r="FH163" s="71"/>
      <c r="FI163" s="65"/>
      <c r="FJ163" s="84"/>
      <c r="FK163" s="71"/>
      <c r="FL163" s="65"/>
      <c r="FM163" s="65"/>
    </row>
    <row r="164" spans="1:169">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07">
        <f>SUM($D$16:$D$18)*I164</f>
        <v>4</v>
      </c>
      <c r="G164" s="407">
        <f ca="1">VLOOKUP(H164,Equipos!$Q$1:$R$25,2,0)</f>
        <v>20</v>
      </c>
      <c r="H164" s="446" t="str">
        <f>Idiomas!$D$260</f>
        <v>Dieciseisavos de final</v>
      </c>
      <c r="I164" s="43">
        <v>1</v>
      </c>
      <c r="J164" s="849" t="s">
        <v>483</v>
      </c>
      <c r="K164" s="53" t="str">
        <f ca="1">CONCATENATE(WORLDCUP!AA101,"-",WORLDCUP!AF101)</f>
        <v>2A-2B</v>
      </c>
      <c r="L164" s="53" t="str">
        <f>IF(OR(WORLDCUP!AC101="",WORLDCUP!AD101=""),"PD",IF(WORLDCUP!AC101&gt;WORLDCUP!AD101,1,IF(WORLDCUP!AC101&lt;WORLDCUP!AD101,2,0)))</f>
        <v>PD</v>
      </c>
      <c r="M164" s="55" t="str">
        <f>IF(L164="PD","-",N164&amp;"-"&amp;O164)</f>
        <v>-</v>
      </c>
      <c r="N164" s="25">
        <f>WORLDCUP!AC101</f>
        <v>0</v>
      </c>
      <c r="O164" s="25">
        <f>WORLDCUP!AD101</f>
        <v>0</v>
      </c>
      <c r="P164" s="25">
        <f>N164-O164</f>
        <v>0</v>
      </c>
      <c r="Q164" s="25">
        <f>A164-B164</f>
        <v>0</v>
      </c>
      <c r="R164" s="110"/>
      <c r="S164" s="76" t="s">
        <v>1964</v>
      </c>
      <c r="T164" s="77">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0"/>
      <c r="V164" s="76" t="s">
        <v>2003</v>
      </c>
      <c r="W164" s="77">
        <f t="shared" ref="W164:CH176" ca="1" si="740">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0"/>
      <c r="Y164" s="76" t="s">
        <v>2041</v>
      </c>
      <c r="Z164" s="77">
        <f t="shared" ref="Z164" ca="1" si="741">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0"/>
      <c r="AB164" s="76" t="s">
        <v>2074</v>
      </c>
      <c r="AC164" s="77">
        <f t="shared" ref="AC164" ca="1" si="742">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0"/>
      <c r="AE164" s="76" t="s">
        <v>2097</v>
      </c>
      <c r="AF164" s="77">
        <f t="shared" ref="AF164" ca="1" si="743">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0"/>
      <c r="AH164" s="76" t="s">
        <v>2097</v>
      </c>
      <c r="AI164" s="77">
        <f t="shared" ref="AI164" ca="1" si="744">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v>0</v>
      </c>
      <c r="AJ164" s="110"/>
      <c r="AK164" s="76" t="s">
        <v>2041</v>
      </c>
      <c r="AL164" s="77">
        <f t="shared" ref="AL164" ca="1" si="745">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v>0</v>
      </c>
      <c r="AM164" s="110"/>
      <c r="AN164" s="76" t="s">
        <v>2186</v>
      </c>
      <c r="AO164" s="77">
        <f t="shared" ref="AO164" ca="1" si="746">IFERROR(IF(COUNTIF($K$164:$K$179,LEFT(AN164,FIND("·",AN164)-1))&gt;0,IF(INDEX($L$164:$L$179,MATCH(LEFT(AN164,FIND("·",AN164)-1),$K$164:$K$179,0))=IFERROR(VALUE(MID(AN164,FIND("·",AN164)+1,1)),0),($D$16+(INDEX($M$164:$M$179,MATCH(LEFT(AN164,FIND("·",AN164)-1),$K$164:$K$179,0))=MID(AN164,FIND("|",AN164)+1,10))*$D$18+MAX(0,IF($D$50=1,$D$17*(1-(ABS(INDEX($P$164:$P$179,MATCH(LEFT(AN164,FIND("·",AN164)-1),$K$164:$K$179,0))-(VALUE(MID(AN164,FIND("|",AN164)+1,FIND("-",AN164,FIND("|",AN164))-FIND("|",AN164)-1))-VALUE(MID(AN164,FIND("-",AN164,FIND("|",AN164))+1,10)))))*$D$50),$D$17*(1-(IF(INDEX($L$164:$L$179,MATCH(LEFT(AN164,FIND("·",AN164)-1),$K$164:$K$179,0))=0,ABS(INDEX($N$164:$N$179,MATCH(LEFT(AN164,FIND("·",AN164)-1),$K$164:$K$179,0))-VALUE(MID(AN164,FIND("|",AN164)+1,FIND("-",AN164,FIND("|",AN164))-FIND("|",AN164)-1))),ABS(INDEX($P$164:$P$179,MATCH(LEFT(AN164,FIND("·",AN164)-1),$K$164:$K$179,0))-(VALUE(MID(AN164,FIND("|",AN164)+1,FIND("-",AN164,FIND("|",AN164))-FIND("|",AN164)-1))-VALUE(MID(AN164,FIND("-",AN164,FIND("|",AN164))+1,10)))))*$D$50)))))*INDEX($I$164:$I$179,MATCH(LEFT(AN164,FIND("·",AN164)-1),$K$164:$K$179,0)),0),0),0)+IFERROR(IF(COUNTIF($C$164:$C$179,LEFT(AN164,FIND("·",AN164)-1))&gt;0,IF(INDEX($D$164:$D$179,MATCH(LEFT(AN164,FIND("·",AN164)-1),$C$164:$C$179,0))=IFERROR(VALUE(MID(AN164,FIND("·",AN164)+1,1)),0),($D$16+(INDEX($E$164:$E$179,MATCH(LEFT(AN164,FIND("·",AN164)-1),$C$164:$C$179,0))=MID(AN164,FIND("|",AN164)+1,10))*$D$18+MAX(0,IF($D$50=1,$D$17*(1-(ABS(INDEX($Q$164:$Q$179,MATCH(LEFT(AN164,FIND("·",AN164)-1),$C$164:$C$179,0))-(VALUE(MID(AN164,FIND("|",AN164)+1,FIND("-",AN164,FIND("|",AN164))-FIND("|",AN164)-1))-VALUE(MID(AN164,FIND("-",AN164,FIND("|",AN164))+1,10)))))*$D$50),$D$17*(1-(IF(INDEX($D$164:$D$179,MATCH(LEFT(AN164,FIND("·",AN164)-1),$C$164:$C$179,0))=0,ABS(INDEX($A$164:$A$179,MATCH(LEFT(AN164,FIND("·",AN164)-1),$C$164:$C$179,0))-VALUE(MID(AN164,FIND("|",AN164)+1,FIND("-",AN164,FIND("|",AN164))-FIND("|",AN164)-1))),ABS(INDEX($Q$164:$Q$179,MATCH(LEFT(AN164,FIND("·",AN164)-1),$C$164:$C$179,0))-(VALUE(MID(AN164,FIND("|",AN164)+1,FIND("-",AN164,FIND("|",AN164))-FIND("|",AN164)-1))-VALUE(MID(AN164,FIND("-",AN164,FIND("|",AN164))+1,10)))))*$D$50)))))*INDEX($I$164:$I$179,MATCH(LEFT(AN164,FIND("·",AN164)-1),$C$164:$C$179,0)),0),0),0)</f>
        <v>0</v>
      </c>
      <c r="AP164" s="110"/>
      <c r="AQ164" s="76" t="s">
        <v>2216</v>
      </c>
      <c r="AR164" s="77">
        <f t="shared" ref="AR164" ca="1" si="747">IFERROR(IF(COUNTIF($K$164:$K$179,LEFT(AQ164,FIND("·",AQ164)-1))&gt;0,IF(INDEX($L$164:$L$179,MATCH(LEFT(AQ164,FIND("·",AQ164)-1),$K$164:$K$179,0))=IFERROR(VALUE(MID(AQ164,FIND("·",AQ164)+1,1)),0),($D$16+(INDEX($M$164:$M$179,MATCH(LEFT(AQ164,FIND("·",AQ164)-1),$K$164:$K$179,0))=MID(AQ164,FIND("|",AQ164)+1,10))*$D$18+MAX(0,IF($D$50=1,$D$17*(1-(ABS(INDEX($P$164:$P$179,MATCH(LEFT(AQ164,FIND("·",AQ164)-1),$K$164:$K$179,0))-(VALUE(MID(AQ164,FIND("|",AQ164)+1,FIND("-",AQ164,FIND("|",AQ164))-FIND("|",AQ164)-1))-VALUE(MID(AQ164,FIND("-",AQ164,FIND("|",AQ164))+1,10)))))*$D$50),$D$17*(1-(IF(INDEX($L$164:$L$179,MATCH(LEFT(AQ164,FIND("·",AQ164)-1),$K$164:$K$179,0))=0,ABS(INDEX($N$164:$N$179,MATCH(LEFT(AQ164,FIND("·",AQ164)-1),$K$164:$K$179,0))-VALUE(MID(AQ164,FIND("|",AQ164)+1,FIND("-",AQ164,FIND("|",AQ164))-FIND("|",AQ164)-1))),ABS(INDEX($P$164:$P$179,MATCH(LEFT(AQ164,FIND("·",AQ164)-1),$K$164:$K$179,0))-(VALUE(MID(AQ164,FIND("|",AQ164)+1,FIND("-",AQ164,FIND("|",AQ164))-FIND("|",AQ164)-1))-VALUE(MID(AQ164,FIND("-",AQ164,FIND("|",AQ164))+1,10)))))*$D$50)))))*INDEX($I$164:$I$179,MATCH(LEFT(AQ164,FIND("·",AQ164)-1),$K$164:$K$179,0)),0),0),0)+IFERROR(IF(COUNTIF($C$164:$C$179,LEFT(AQ164,FIND("·",AQ164)-1))&gt;0,IF(INDEX($D$164:$D$179,MATCH(LEFT(AQ164,FIND("·",AQ164)-1),$C$164:$C$179,0))=IFERROR(VALUE(MID(AQ164,FIND("·",AQ164)+1,1)),0),($D$16+(INDEX($E$164:$E$179,MATCH(LEFT(AQ164,FIND("·",AQ164)-1),$C$164:$C$179,0))=MID(AQ164,FIND("|",AQ164)+1,10))*$D$18+MAX(0,IF($D$50=1,$D$17*(1-(ABS(INDEX($Q$164:$Q$179,MATCH(LEFT(AQ164,FIND("·",AQ164)-1),$C$164:$C$179,0))-(VALUE(MID(AQ164,FIND("|",AQ164)+1,FIND("-",AQ164,FIND("|",AQ164))-FIND("|",AQ164)-1))-VALUE(MID(AQ164,FIND("-",AQ164,FIND("|",AQ164))+1,10)))))*$D$50),$D$17*(1-(IF(INDEX($D$164:$D$179,MATCH(LEFT(AQ164,FIND("·",AQ164)-1),$C$164:$C$179,0))=0,ABS(INDEX($A$164:$A$179,MATCH(LEFT(AQ164,FIND("·",AQ164)-1),$C$164:$C$179,0))-VALUE(MID(AQ164,FIND("|",AQ164)+1,FIND("-",AQ164,FIND("|",AQ164))-FIND("|",AQ164)-1))),ABS(INDEX($Q$164:$Q$179,MATCH(LEFT(AQ164,FIND("·",AQ164)-1),$C$164:$C$179,0))-(VALUE(MID(AQ164,FIND("|",AQ164)+1,FIND("-",AQ164,FIND("|",AQ164))-FIND("|",AQ164)-1))-VALUE(MID(AQ164,FIND("-",AQ164,FIND("|",AQ164))+1,10)))))*$D$50)))))*INDEX($I$164:$I$179,MATCH(LEFT(AQ164,FIND("·",AQ164)-1),$C$164:$C$179,0)),0),0),0)</f>
        <v>0</v>
      </c>
      <c r="AS164" s="110"/>
      <c r="AT164" s="76" t="s">
        <v>2240</v>
      </c>
      <c r="AU164" s="77">
        <f t="shared" ref="AU164" ca="1" si="748">IFERROR(IF(COUNTIF($K$164:$K$179,LEFT(AT164,FIND("·",AT164)-1))&gt;0,IF(INDEX($L$164:$L$179,MATCH(LEFT(AT164,FIND("·",AT164)-1),$K$164:$K$179,0))=IFERROR(VALUE(MID(AT164,FIND("·",AT164)+1,1)),0),($D$16+(INDEX($M$164:$M$179,MATCH(LEFT(AT164,FIND("·",AT164)-1),$K$164:$K$179,0))=MID(AT164,FIND("|",AT164)+1,10))*$D$18+MAX(0,IF($D$50=1,$D$17*(1-(ABS(INDEX($P$164:$P$179,MATCH(LEFT(AT164,FIND("·",AT164)-1),$K$164:$K$179,0))-(VALUE(MID(AT164,FIND("|",AT164)+1,FIND("-",AT164,FIND("|",AT164))-FIND("|",AT164)-1))-VALUE(MID(AT164,FIND("-",AT164,FIND("|",AT164))+1,10)))))*$D$50),$D$17*(1-(IF(INDEX($L$164:$L$179,MATCH(LEFT(AT164,FIND("·",AT164)-1),$K$164:$K$179,0))=0,ABS(INDEX($N$164:$N$179,MATCH(LEFT(AT164,FIND("·",AT164)-1),$K$164:$K$179,0))-VALUE(MID(AT164,FIND("|",AT164)+1,FIND("-",AT164,FIND("|",AT164))-FIND("|",AT164)-1))),ABS(INDEX($P$164:$P$179,MATCH(LEFT(AT164,FIND("·",AT164)-1),$K$164:$K$179,0))-(VALUE(MID(AT164,FIND("|",AT164)+1,FIND("-",AT164,FIND("|",AT164))-FIND("|",AT164)-1))-VALUE(MID(AT164,FIND("-",AT164,FIND("|",AT164))+1,10)))))*$D$50)))))*INDEX($I$164:$I$179,MATCH(LEFT(AT164,FIND("·",AT164)-1),$K$164:$K$179,0)),0),0),0)+IFERROR(IF(COUNTIF($C$164:$C$179,LEFT(AT164,FIND("·",AT164)-1))&gt;0,IF(INDEX($D$164:$D$179,MATCH(LEFT(AT164,FIND("·",AT164)-1),$C$164:$C$179,0))=IFERROR(VALUE(MID(AT164,FIND("·",AT164)+1,1)),0),($D$16+(INDEX($E$164:$E$179,MATCH(LEFT(AT164,FIND("·",AT164)-1),$C$164:$C$179,0))=MID(AT164,FIND("|",AT164)+1,10))*$D$18+MAX(0,IF($D$50=1,$D$17*(1-(ABS(INDEX($Q$164:$Q$179,MATCH(LEFT(AT164,FIND("·",AT164)-1),$C$164:$C$179,0))-(VALUE(MID(AT164,FIND("|",AT164)+1,FIND("-",AT164,FIND("|",AT164))-FIND("|",AT164)-1))-VALUE(MID(AT164,FIND("-",AT164,FIND("|",AT164))+1,10)))))*$D$50),$D$17*(1-(IF(INDEX($D$164:$D$179,MATCH(LEFT(AT164,FIND("·",AT164)-1),$C$164:$C$179,0))=0,ABS(INDEX($A$164:$A$179,MATCH(LEFT(AT164,FIND("·",AT164)-1),$C$164:$C$179,0))-VALUE(MID(AT164,FIND("|",AT164)+1,FIND("-",AT164,FIND("|",AT164))-FIND("|",AT164)-1))),ABS(INDEX($Q$164:$Q$179,MATCH(LEFT(AT164,FIND("·",AT164)-1),$C$164:$C$179,0))-(VALUE(MID(AT164,FIND("|",AT164)+1,FIND("-",AT164,FIND("|",AT164))-FIND("|",AT164)-1))-VALUE(MID(AT164,FIND("-",AT164,FIND("|",AT164))+1,10)))))*$D$50)))))*INDEX($I$164:$I$179,MATCH(LEFT(AT164,FIND("·",AT164)-1),$C$164:$C$179,0)),0),0),0)</f>
        <v>0</v>
      </c>
      <c r="AV164" s="110"/>
      <c r="AW164" s="76" t="s">
        <v>2265</v>
      </c>
      <c r="AX164" s="77">
        <f t="shared" ref="AX164" ca="1" si="749">IFERROR(IF(COUNTIF($K$164:$K$179,LEFT(AW164,FIND("·",AW164)-1))&gt;0,IF(INDEX($L$164:$L$179,MATCH(LEFT(AW164,FIND("·",AW164)-1),$K$164:$K$179,0))=IFERROR(VALUE(MID(AW164,FIND("·",AW164)+1,1)),0),($D$16+(INDEX($M$164:$M$179,MATCH(LEFT(AW164,FIND("·",AW164)-1),$K$164:$K$179,0))=MID(AW164,FIND("|",AW164)+1,10))*$D$18+MAX(0,IF($D$50=1,$D$17*(1-(ABS(INDEX($P$164:$P$179,MATCH(LEFT(AW164,FIND("·",AW164)-1),$K$164:$K$179,0))-(VALUE(MID(AW164,FIND("|",AW164)+1,FIND("-",AW164,FIND("|",AW164))-FIND("|",AW164)-1))-VALUE(MID(AW164,FIND("-",AW164,FIND("|",AW164))+1,10)))))*$D$50),$D$17*(1-(IF(INDEX($L$164:$L$179,MATCH(LEFT(AW164,FIND("·",AW164)-1),$K$164:$K$179,0))=0,ABS(INDEX($N$164:$N$179,MATCH(LEFT(AW164,FIND("·",AW164)-1),$K$164:$K$179,0))-VALUE(MID(AW164,FIND("|",AW164)+1,FIND("-",AW164,FIND("|",AW164))-FIND("|",AW164)-1))),ABS(INDEX($P$164:$P$179,MATCH(LEFT(AW164,FIND("·",AW164)-1),$K$164:$K$179,0))-(VALUE(MID(AW164,FIND("|",AW164)+1,FIND("-",AW164,FIND("|",AW164))-FIND("|",AW164)-1))-VALUE(MID(AW164,FIND("-",AW164,FIND("|",AW164))+1,10)))))*$D$50)))))*INDEX($I$164:$I$179,MATCH(LEFT(AW164,FIND("·",AW164)-1),$K$164:$K$179,0)),0),0),0)+IFERROR(IF(COUNTIF($C$164:$C$179,LEFT(AW164,FIND("·",AW164)-1))&gt;0,IF(INDEX($D$164:$D$179,MATCH(LEFT(AW164,FIND("·",AW164)-1),$C$164:$C$179,0))=IFERROR(VALUE(MID(AW164,FIND("·",AW164)+1,1)),0),($D$16+(INDEX($E$164:$E$179,MATCH(LEFT(AW164,FIND("·",AW164)-1),$C$164:$C$179,0))=MID(AW164,FIND("|",AW164)+1,10))*$D$18+MAX(0,IF($D$50=1,$D$17*(1-(ABS(INDEX($Q$164:$Q$179,MATCH(LEFT(AW164,FIND("·",AW164)-1),$C$164:$C$179,0))-(VALUE(MID(AW164,FIND("|",AW164)+1,FIND("-",AW164,FIND("|",AW164))-FIND("|",AW164)-1))-VALUE(MID(AW164,FIND("-",AW164,FIND("|",AW164))+1,10)))))*$D$50),$D$17*(1-(IF(INDEX($D$164:$D$179,MATCH(LEFT(AW164,FIND("·",AW164)-1),$C$164:$C$179,0))=0,ABS(INDEX($A$164:$A$179,MATCH(LEFT(AW164,FIND("·",AW164)-1),$C$164:$C$179,0))-VALUE(MID(AW164,FIND("|",AW164)+1,FIND("-",AW164,FIND("|",AW164))-FIND("|",AW164)-1))),ABS(INDEX($Q$164:$Q$179,MATCH(LEFT(AW164,FIND("·",AW164)-1),$C$164:$C$179,0))-(VALUE(MID(AW164,FIND("|",AW164)+1,FIND("-",AW164,FIND("|",AW164))-FIND("|",AW164)-1))-VALUE(MID(AW164,FIND("-",AW164,FIND("|",AW164))+1,10)))))*$D$50)))))*INDEX($I$164:$I$179,MATCH(LEFT(AW164,FIND("·",AW164)-1),$C$164:$C$179,0)),0),0),0)</f>
        <v>0</v>
      </c>
      <c r="AY164" s="110"/>
      <c r="AZ164" s="76" t="s">
        <v>2186</v>
      </c>
      <c r="BA164" s="77">
        <f t="shared" ref="BA164" ca="1" si="750">IFERROR(IF(COUNTIF($K$164:$K$179,LEFT(AZ164,FIND("·",AZ164)-1))&gt;0,IF(INDEX($L$164:$L$179,MATCH(LEFT(AZ164,FIND("·",AZ164)-1),$K$164:$K$179,0))=IFERROR(VALUE(MID(AZ164,FIND("·",AZ164)+1,1)),0),($D$16+(INDEX($M$164:$M$179,MATCH(LEFT(AZ164,FIND("·",AZ164)-1),$K$164:$K$179,0))=MID(AZ164,FIND("|",AZ164)+1,10))*$D$18+MAX(0,IF($D$50=1,$D$17*(1-(ABS(INDEX($P$164:$P$179,MATCH(LEFT(AZ164,FIND("·",AZ164)-1),$K$164:$K$179,0))-(VALUE(MID(AZ164,FIND("|",AZ164)+1,FIND("-",AZ164,FIND("|",AZ164))-FIND("|",AZ164)-1))-VALUE(MID(AZ164,FIND("-",AZ164,FIND("|",AZ164))+1,10)))))*$D$50),$D$17*(1-(IF(INDEX($L$164:$L$179,MATCH(LEFT(AZ164,FIND("·",AZ164)-1),$K$164:$K$179,0))=0,ABS(INDEX($N$164:$N$179,MATCH(LEFT(AZ164,FIND("·",AZ164)-1),$K$164:$K$179,0))-VALUE(MID(AZ164,FIND("|",AZ164)+1,FIND("-",AZ164,FIND("|",AZ164))-FIND("|",AZ164)-1))),ABS(INDEX($P$164:$P$179,MATCH(LEFT(AZ164,FIND("·",AZ164)-1),$K$164:$K$179,0))-(VALUE(MID(AZ164,FIND("|",AZ164)+1,FIND("-",AZ164,FIND("|",AZ164))-FIND("|",AZ164)-1))-VALUE(MID(AZ164,FIND("-",AZ164,FIND("|",AZ164))+1,10)))))*$D$50)))))*INDEX($I$164:$I$179,MATCH(LEFT(AZ164,FIND("·",AZ164)-1),$K$164:$K$179,0)),0),0),0)+IFERROR(IF(COUNTIF($C$164:$C$179,LEFT(AZ164,FIND("·",AZ164)-1))&gt;0,IF(INDEX($D$164:$D$179,MATCH(LEFT(AZ164,FIND("·",AZ164)-1),$C$164:$C$179,0))=IFERROR(VALUE(MID(AZ164,FIND("·",AZ164)+1,1)),0),($D$16+(INDEX($E$164:$E$179,MATCH(LEFT(AZ164,FIND("·",AZ164)-1),$C$164:$C$179,0))=MID(AZ164,FIND("|",AZ164)+1,10))*$D$18+MAX(0,IF($D$50=1,$D$17*(1-(ABS(INDEX($Q$164:$Q$179,MATCH(LEFT(AZ164,FIND("·",AZ164)-1),$C$164:$C$179,0))-(VALUE(MID(AZ164,FIND("|",AZ164)+1,FIND("-",AZ164,FIND("|",AZ164))-FIND("|",AZ164)-1))-VALUE(MID(AZ164,FIND("-",AZ164,FIND("|",AZ164))+1,10)))))*$D$50),$D$17*(1-(IF(INDEX($D$164:$D$179,MATCH(LEFT(AZ164,FIND("·",AZ164)-1),$C$164:$C$179,0))=0,ABS(INDEX($A$164:$A$179,MATCH(LEFT(AZ164,FIND("·",AZ164)-1),$C$164:$C$179,0))-VALUE(MID(AZ164,FIND("|",AZ164)+1,FIND("-",AZ164,FIND("|",AZ164))-FIND("|",AZ164)-1))),ABS(INDEX($Q$164:$Q$179,MATCH(LEFT(AZ164,FIND("·",AZ164)-1),$C$164:$C$179,0))-(VALUE(MID(AZ164,FIND("|",AZ164)+1,FIND("-",AZ164,FIND("|",AZ164))-FIND("|",AZ164)-1))-VALUE(MID(AZ164,FIND("-",AZ164,FIND("|",AZ164))+1,10)))))*$D$50)))))*INDEX($I$164:$I$179,MATCH(LEFT(AZ164,FIND("·",AZ164)-1),$C$164:$C$179,0)),0),0),0)</f>
        <v>0</v>
      </c>
      <c r="BB164" s="110"/>
      <c r="BC164" s="76" t="s">
        <v>2312</v>
      </c>
      <c r="BD164" s="77">
        <f t="shared" ref="BD164" ca="1" si="751">IFERROR(IF(COUNTIF($K$164:$K$179,LEFT(BC164,FIND("·",BC164)-1))&gt;0,IF(INDEX($L$164:$L$179,MATCH(LEFT(BC164,FIND("·",BC164)-1),$K$164:$K$179,0))=IFERROR(VALUE(MID(BC164,FIND("·",BC164)+1,1)),0),($D$16+(INDEX($M$164:$M$179,MATCH(LEFT(BC164,FIND("·",BC164)-1),$K$164:$K$179,0))=MID(BC164,FIND("|",BC164)+1,10))*$D$18+MAX(0,IF($D$50=1,$D$17*(1-(ABS(INDEX($P$164:$P$179,MATCH(LEFT(BC164,FIND("·",BC164)-1),$K$164:$K$179,0))-(VALUE(MID(BC164,FIND("|",BC164)+1,FIND("-",BC164,FIND("|",BC164))-FIND("|",BC164)-1))-VALUE(MID(BC164,FIND("-",BC164,FIND("|",BC164))+1,10)))))*$D$50),$D$17*(1-(IF(INDEX($L$164:$L$179,MATCH(LEFT(BC164,FIND("·",BC164)-1),$K$164:$K$179,0))=0,ABS(INDEX($N$164:$N$179,MATCH(LEFT(BC164,FIND("·",BC164)-1),$K$164:$K$179,0))-VALUE(MID(BC164,FIND("|",BC164)+1,FIND("-",BC164,FIND("|",BC164))-FIND("|",BC164)-1))),ABS(INDEX($P$164:$P$179,MATCH(LEFT(BC164,FIND("·",BC164)-1),$K$164:$K$179,0))-(VALUE(MID(BC164,FIND("|",BC164)+1,FIND("-",BC164,FIND("|",BC164))-FIND("|",BC164)-1))-VALUE(MID(BC164,FIND("-",BC164,FIND("|",BC164))+1,10)))))*$D$50)))))*INDEX($I$164:$I$179,MATCH(LEFT(BC164,FIND("·",BC164)-1),$K$164:$K$179,0)),0),0),0)+IFERROR(IF(COUNTIF($C$164:$C$179,LEFT(BC164,FIND("·",BC164)-1))&gt;0,IF(INDEX($D$164:$D$179,MATCH(LEFT(BC164,FIND("·",BC164)-1),$C$164:$C$179,0))=IFERROR(VALUE(MID(BC164,FIND("·",BC164)+1,1)),0),($D$16+(INDEX($E$164:$E$179,MATCH(LEFT(BC164,FIND("·",BC164)-1),$C$164:$C$179,0))=MID(BC164,FIND("|",BC164)+1,10))*$D$18+MAX(0,IF($D$50=1,$D$17*(1-(ABS(INDEX($Q$164:$Q$179,MATCH(LEFT(BC164,FIND("·",BC164)-1),$C$164:$C$179,0))-(VALUE(MID(BC164,FIND("|",BC164)+1,FIND("-",BC164,FIND("|",BC164))-FIND("|",BC164)-1))-VALUE(MID(BC164,FIND("-",BC164,FIND("|",BC164))+1,10)))))*$D$50),$D$17*(1-(IF(INDEX($D$164:$D$179,MATCH(LEFT(BC164,FIND("·",BC164)-1),$C$164:$C$179,0))=0,ABS(INDEX($A$164:$A$179,MATCH(LEFT(BC164,FIND("·",BC164)-1),$C$164:$C$179,0))-VALUE(MID(BC164,FIND("|",BC164)+1,FIND("-",BC164,FIND("|",BC164))-FIND("|",BC164)-1))),ABS(INDEX($Q$164:$Q$179,MATCH(LEFT(BC164,FIND("·",BC164)-1),$C$164:$C$179,0))-(VALUE(MID(BC164,FIND("|",BC164)+1,FIND("-",BC164,FIND("|",BC164))-FIND("|",BC164)-1))-VALUE(MID(BC164,FIND("-",BC164,FIND("|",BC164))+1,10)))))*$D$50)))))*INDEX($I$164:$I$179,MATCH(LEFT(BC164,FIND("·",BC164)-1),$C$164:$C$179,0)),0),0),0)</f>
        <v>0</v>
      </c>
      <c r="BE164" s="110"/>
      <c r="BF164" s="76" t="s">
        <v>2341</v>
      </c>
      <c r="BG164" s="77">
        <f t="shared" ref="BG164" ca="1" si="752">IFERROR(IF(COUNTIF($K$164:$K$179,LEFT(BF164,FIND("·",BF164)-1))&gt;0,IF(INDEX($L$164:$L$179,MATCH(LEFT(BF164,FIND("·",BF164)-1),$K$164:$K$179,0))=IFERROR(VALUE(MID(BF164,FIND("·",BF164)+1,1)),0),($D$16+(INDEX($M$164:$M$179,MATCH(LEFT(BF164,FIND("·",BF164)-1),$K$164:$K$179,0))=MID(BF164,FIND("|",BF164)+1,10))*$D$18+MAX(0,IF($D$50=1,$D$17*(1-(ABS(INDEX($P$164:$P$179,MATCH(LEFT(BF164,FIND("·",BF164)-1),$K$164:$K$179,0))-(VALUE(MID(BF164,FIND("|",BF164)+1,FIND("-",BF164,FIND("|",BF164))-FIND("|",BF164)-1))-VALUE(MID(BF164,FIND("-",BF164,FIND("|",BF164))+1,10)))))*$D$50),$D$17*(1-(IF(INDEX($L$164:$L$179,MATCH(LEFT(BF164,FIND("·",BF164)-1),$K$164:$K$179,0))=0,ABS(INDEX($N$164:$N$179,MATCH(LEFT(BF164,FIND("·",BF164)-1),$K$164:$K$179,0))-VALUE(MID(BF164,FIND("|",BF164)+1,FIND("-",BF164,FIND("|",BF164))-FIND("|",BF164)-1))),ABS(INDEX($P$164:$P$179,MATCH(LEFT(BF164,FIND("·",BF164)-1),$K$164:$K$179,0))-(VALUE(MID(BF164,FIND("|",BF164)+1,FIND("-",BF164,FIND("|",BF164))-FIND("|",BF164)-1))-VALUE(MID(BF164,FIND("-",BF164,FIND("|",BF164))+1,10)))))*$D$50)))))*INDEX($I$164:$I$179,MATCH(LEFT(BF164,FIND("·",BF164)-1),$K$164:$K$179,0)),0),0),0)+IFERROR(IF(COUNTIF($C$164:$C$179,LEFT(BF164,FIND("·",BF164)-1))&gt;0,IF(INDEX($D$164:$D$179,MATCH(LEFT(BF164,FIND("·",BF164)-1),$C$164:$C$179,0))=IFERROR(VALUE(MID(BF164,FIND("·",BF164)+1,1)),0),($D$16+(INDEX($E$164:$E$179,MATCH(LEFT(BF164,FIND("·",BF164)-1),$C$164:$C$179,0))=MID(BF164,FIND("|",BF164)+1,10))*$D$18+MAX(0,IF($D$50=1,$D$17*(1-(ABS(INDEX($Q$164:$Q$179,MATCH(LEFT(BF164,FIND("·",BF164)-1),$C$164:$C$179,0))-(VALUE(MID(BF164,FIND("|",BF164)+1,FIND("-",BF164,FIND("|",BF164))-FIND("|",BF164)-1))-VALUE(MID(BF164,FIND("-",BF164,FIND("|",BF164))+1,10)))))*$D$50),$D$17*(1-(IF(INDEX($D$164:$D$179,MATCH(LEFT(BF164,FIND("·",BF164)-1),$C$164:$C$179,0))=0,ABS(INDEX($A$164:$A$179,MATCH(LEFT(BF164,FIND("·",BF164)-1),$C$164:$C$179,0))-VALUE(MID(BF164,FIND("|",BF164)+1,FIND("-",BF164,FIND("|",BF164))-FIND("|",BF164)-1))),ABS(INDEX($Q$164:$Q$179,MATCH(LEFT(BF164,FIND("·",BF164)-1),$C$164:$C$179,0))-(VALUE(MID(BF164,FIND("|",BF164)+1,FIND("-",BF164,FIND("|",BF164))-FIND("|",BF164)-1))-VALUE(MID(BF164,FIND("-",BF164,FIND("|",BF164))+1,10)))))*$D$50)))))*INDEX($I$164:$I$179,MATCH(LEFT(BF164,FIND("·",BF164)-1),$C$164:$C$179,0)),0),0),0)</f>
        <v>0</v>
      </c>
      <c r="BH164" s="110"/>
      <c r="BI164" s="76" t="s">
        <v>2041</v>
      </c>
      <c r="BJ164" s="77">
        <f t="shared" ref="BJ164" ca="1" si="753">IFERROR(IF(COUNTIF($K$164:$K$179,LEFT(BI164,FIND("·",BI164)-1))&gt;0,IF(INDEX($L$164:$L$179,MATCH(LEFT(BI164,FIND("·",BI164)-1),$K$164:$K$179,0))=IFERROR(VALUE(MID(BI164,FIND("·",BI164)+1,1)),0),($D$16+(INDEX($M$164:$M$179,MATCH(LEFT(BI164,FIND("·",BI164)-1),$K$164:$K$179,0))=MID(BI164,FIND("|",BI164)+1,10))*$D$18+MAX(0,IF($D$50=1,$D$17*(1-(ABS(INDEX($P$164:$P$179,MATCH(LEFT(BI164,FIND("·",BI164)-1),$K$164:$K$179,0))-(VALUE(MID(BI164,FIND("|",BI164)+1,FIND("-",BI164,FIND("|",BI164))-FIND("|",BI164)-1))-VALUE(MID(BI164,FIND("-",BI164,FIND("|",BI164))+1,10)))))*$D$50),$D$17*(1-(IF(INDEX($L$164:$L$179,MATCH(LEFT(BI164,FIND("·",BI164)-1),$K$164:$K$179,0))=0,ABS(INDEX($N$164:$N$179,MATCH(LEFT(BI164,FIND("·",BI164)-1),$K$164:$K$179,0))-VALUE(MID(BI164,FIND("|",BI164)+1,FIND("-",BI164,FIND("|",BI164))-FIND("|",BI164)-1))),ABS(INDEX($P$164:$P$179,MATCH(LEFT(BI164,FIND("·",BI164)-1),$K$164:$K$179,0))-(VALUE(MID(BI164,FIND("|",BI164)+1,FIND("-",BI164,FIND("|",BI164))-FIND("|",BI164)-1))-VALUE(MID(BI164,FIND("-",BI164,FIND("|",BI164))+1,10)))))*$D$50)))))*INDEX($I$164:$I$179,MATCH(LEFT(BI164,FIND("·",BI164)-1),$K$164:$K$179,0)),0),0),0)+IFERROR(IF(COUNTIF($C$164:$C$179,LEFT(BI164,FIND("·",BI164)-1))&gt;0,IF(INDEX($D$164:$D$179,MATCH(LEFT(BI164,FIND("·",BI164)-1),$C$164:$C$179,0))=IFERROR(VALUE(MID(BI164,FIND("·",BI164)+1,1)),0),($D$16+(INDEX($E$164:$E$179,MATCH(LEFT(BI164,FIND("·",BI164)-1),$C$164:$C$179,0))=MID(BI164,FIND("|",BI164)+1,10))*$D$18+MAX(0,IF($D$50=1,$D$17*(1-(ABS(INDEX($Q$164:$Q$179,MATCH(LEFT(BI164,FIND("·",BI164)-1),$C$164:$C$179,0))-(VALUE(MID(BI164,FIND("|",BI164)+1,FIND("-",BI164,FIND("|",BI164))-FIND("|",BI164)-1))-VALUE(MID(BI164,FIND("-",BI164,FIND("|",BI164))+1,10)))))*$D$50),$D$17*(1-(IF(INDEX($D$164:$D$179,MATCH(LEFT(BI164,FIND("·",BI164)-1),$C$164:$C$179,0))=0,ABS(INDEX($A$164:$A$179,MATCH(LEFT(BI164,FIND("·",BI164)-1),$C$164:$C$179,0))-VALUE(MID(BI164,FIND("|",BI164)+1,FIND("-",BI164,FIND("|",BI164))-FIND("|",BI164)-1))),ABS(INDEX($Q$164:$Q$179,MATCH(LEFT(BI164,FIND("·",BI164)-1),$C$164:$C$179,0))-(VALUE(MID(BI164,FIND("|",BI164)+1,FIND("-",BI164,FIND("|",BI164))-FIND("|",BI164)-1))-VALUE(MID(BI164,FIND("-",BI164,FIND("|",BI164))+1,10)))))*$D$50)))))*INDEX($I$164:$I$179,MATCH(LEFT(BI164,FIND("·",BI164)-1),$C$164:$C$179,0)),0),0),0)</f>
        <v>0</v>
      </c>
      <c r="BK164" s="110"/>
      <c r="BL164" s="76" t="s">
        <v>2380</v>
      </c>
      <c r="BM164" s="77">
        <f t="shared" ref="BM164" ca="1" si="754">IFERROR(IF(COUNTIF($K$164:$K$179,LEFT(BL164,FIND("·",BL164)-1))&gt;0,IF(INDEX($L$164:$L$179,MATCH(LEFT(BL164,FIND("·",BL164)-1),$K$164:$K$179,0))=IFERROR(VALUE(MID(BL164,FIND("·",BL164)+1,1)),0),($D$16+(INDEX($M$164:$M$179,MATCH(LEFT(BL164,FIND("·",BL164)-1),$K$164:$K$179,0))=MID(BL164,FIND("|",BL164)+1,10))*$D$18+MAX(0,IF($D$50=1,$D$17*(1-(ABS(INDEX($P$164:$P$179,MATCH(LEFT(BL164,FIND("·",BL164)-1),$K$164:$K$179,0))-(VALUE(MID(BL164,FIND("|",BL164)+1,FIND("-",BL164,FIND("|",BL164))-FIND("|",BL164)-1))-VALUE(MID(BL164,FIND("-",BL164,FIND("|",BL164))+1,10)))))*$D$50),$D$17*(1-(IF(INDEX($L$164:$L$179,MATCH(LEFT(BL164,FIND("·",BL164)-1),$K$164:$K$179,0))=0,ABS(INDEX($N$164:$N$179,MATCH(LEFT(BL164,FIND("·",BL164)-1),$K$164:$K$179,0))-VALUE(MID(BL164,FIND("|",BL164)+1,FIND("-",BL164,FIND("|",BL164))-FIND("|",BL164)-1))),ABS(INDEX($P$164:$P$179,MATCH(LEFT(BL164,FIND("·",BL164)-1),$K$164:$K$179,0))-(VALUE(MID(BL164,FIND("|",BL164)+1,FIND("-",BL164,FIND("|",BL164))-FIND("|",BL164)-1))-VALUE(MID(BL164,FIND("-",BL164,FIND("|",BL164))+1,10)))))*$D$50)))))*INDEX($I$164:$I$179,MATCH(LEFT(BL164,FIND("·",BL164)-1),$K$164:$K$179,0)),0),0),0)+IFERROR(IF(COUNTIF($C$164:$C$179,LEFT(BL164,FIND("·",BL164)-1))&gt;0,IF(INDEX($D$164:$D$179,MATCH(LEFT(BL164,FIND("·",BL164)-1),$C$164:$C$179,0))=IFERROR(VALUE(MID(BL164,FIND("·",BL164)+1,1)),0),($D$16+(INDEX($E$164:$E$179,MATCH(LEFT(BL164,FIND("·",BL164)-1),$C$164:$C$179,0))=MID(BL164,FIND("|",BL164)+1,10))*$D$18+MAX(0,IF($D$50=1,$D$17*(1-(ABS(INDEX($Q$164:$Q$179,MATCH(LEFT(BL164,FIND("·",BL164)-1),$C$164:$C$179,0))-(VALUE(MID(BL164,FIND("|",BL164)+1,FIND("-",BL164,FIND("|",BL164))-FIND("|",BL164)-1))-VALUE(MID(BL164,FIND("-",BL164,FIND("|",BL164))+1,10)))))*$D$50),$D$17*(1-(IF(INDEX($D$164:$D$179,MATCH(LEFT(BL164,FIND("·",BL164)-1),$C$164:$C$179,0))=0,ABS(INDEX($A$164:$A$179,MATCH(LEFT(BL164,FIND("·",BL164)-1),$C$164:$C$179,0))-VALUE(MID(BL164,FIND("|",BL164)+1,FIND("-",BL164,FIND("|",BL164))-FIND("|",BL164)-1))),ABS(INDEX($Q$164:$Q$179,MATCH(LEFT(BL164,FIND("·",BL164)-1),$C$164:$C$179,0))-(VALUE(MID(BL164,FIND("|",BL164)+1,FIND("-",BL164,FIND("|",BL164))-FIND("|",BL164)-1))-VALUE(MID(BL164,FIND("-",BL164,FIND("|",BL164))+1,10)))))*$D$50)))))*INDEX($I$164:$I$179,MATCH(LEFT(BL164,FIND("·",BL164)-1),$C$164:$C$179,0)),0),0),0)</f>
        <v>0</v>
      </c>
      <c r="BN164" s="110"/>
      <c r="BO164" s="76" t="s">
        <v>2397</v>
      </c>
      <c r="BP164" s="77">
        <f t="shared" ref="BP164" ca="1" si="755">IFERROR(IF(COUNTIF($K$164:$K$179,LEFT(BO164,FIND("·",BO164)-1))&gt;0,IF(INDEX($L$164:$L$179,MATCH(LEFT(BO164,FIND("·",BO164)-1),$K$164:$K$179,0))=IFERROR(VALUE(MID(BO164,FIND("·",BO164)+1,1)),0),($D$16+(INDEX($M$164:$M$179,MATCH(LEFT(BO164,FIND("·",BO164)-1),$K$164:$K$179,0))=MID(BO164,FIND("|",BO164)+1,10))*$D$18+MAX(0,IF($D$50=1,$D$17*(1-(ABS(INDEX($P$164:$P$179,MATCH(LEFT(BO164,FIND("·",BO164)-1),$K$164:$K$179,0))-(VALUE(MID(BO164,FIND("|",BO164)+1,FIND("-",BO164,FIND("|",BO164))-FIND("|",BO164)-1))-VALUE(MID(BO164,FIND("-",BO164,FIND("|",BO164))+1,10)))))*$D$50),$D$17*(1-(IF(INDEX($L$164:$L$179,MATCH(LEFT(BO164,FIND("·",BO164)-1),$K$164:$K$179,0))=0,ABS(INDEX($N$164:$N$179,MATCH(LEFT(BO164,FIND("·",BO164)-1),$K$164:$K$179,0))-VALUE(MID(BO164,FIND("|",BO164)+1,FIND("-",BO164,FIND("|",BO164))-FIND("|",BO164)-1))),ABS(INDEX($P$164:$P$179,MATCH(LEFT(BO164,FIND("·",BO164)-1),$K$164:$K$179,0))-(VALUE(MID(BO164,FIND("|",BO164)+1,FIND("-",BO164,FIND("|",BO164))-FIND("|",BO164)-1))-VALUE(MID(BO164,FIND("-",BO164,FIND("|",BO164))+1,10)))))*$D$50)))))*INDEX($I$164:$I$179,MATCH(LEFT(BO164,FIND("·",BO164)-1),$K$164:$K$179,0)),0),0),0)+IFERROR(IF(COUNTIF($C$164:$C$179,LEFT(BO164,FIND("·",BO164)-1))&gt;0,IF(INDEX($D$164:$D$179,MATCH(LEFT(BO164,FIND("·",BO164)-1),$C$164:$C$179,0))=IFERROR(VALUE(MID(BO164,FIND("·",BO164)+1,1)),0),($D$16+(INDEX($E$164:$E$179,MATCH(LEFT(BO164,FIND("·",BO164)-1),$C$164:$C$179,0))=MID(BO164,FIND("|",BO164)+1,10))*$D$18+MAX(0,IF($D$50=1,$D$17*(1-(ABS(INDEX($Q$164:$Q$179,MATCH(LEFT(BO164,FIND("·",BO164)-1),$C$164:$C$179,0))-(VALUE(MID(BO164,FIND("|",BO164)+1,FIND("-",BO164,FIND("|",BO164))-FIND("|",BO164)-1))-VALUE(MID(BO164,FIND("-",BO164,FIND("|",BO164))+1,10)))))*$D$50),$D$17*(1-(IF(INDEX($D$164:$D$179,MATCH(LEFT(BO164,FIND("·",BO164)-1),$C$164:$C$179,0))=0,ABS(INDEX($A$164:$A$179,MATCH(LEFT(BO164,FIND("·",BO164)-1),$C$164:$C$179,0))-VALUE(MID(BO164,FIND("|",BO164)+1,FIND("-",BO164,FIND("|",BO164))-FIND("|",BO164)-1))),ABS(INDEX($Q$164:$Q$179,MATCH(LEFT(BO164,FIND("·",BO164)-1),$C$164:$C$179,0))-(VALUE(MID(BO164,FIND("|",BO164)+1,FIND("-",BO164,FIND("|",BO164))-FIND("|",BO164)-1))-VALUE(MID(BO164,FIND("-",BO164,FIND("|",BO164))+1,10)))))*$D$50)))))*INDEX($I$164:$I$179,MATCH(LEFT(BO164,FIND("·",BO164)-1),$C$164:$C$179,0)),0),0),0)</f>
        <v>0</v>
      </c>
      <c r="BQ164" s="110"/>
      <c r="BR164" s="76" t="s">
        <v>2408</v>
      </c>
      <c r="BS164" s="77">
        <f t="shared" ref="BS164" ca="1" si="756">IFERROR(IF(COUNTIF($K$164:$K$179,LEFT(BR164,FIND("·",BR164)-1))&gt;0,IF(INDEX($L$164:$L$179,MATCH(LEFT(BR164,FIND("·",BR164)-1),$K$164:$K$179,0))=IFERROR(VALUE(MID(BR164,FIND("·",BR164)+1,1)),0),($D$16+(INDEX($M$164:$M$179,MATCH(LEFT(BR164,FIND("·",BR164)-1),$K$164:$K$179,0))=MID(BR164,FIND("|",BR164)+1,10))*$D$18+MAX(0,IF($D$50=1,$D$17*(1-(ABS(INDEX($P$164:$P$179,MATCH(LEFT(BR164,FIND("·",BR164)-1),$K$164:$K$179,0))-(VALUE(MID(BR164,FIND("|",BR164)+1,FIND("-",BR164,FIND("|",BR164))-FIND("|",BR164)-1))-VALUE(MID(BR164,FIND("-",BR164,FIND("|",BR164))+1,10)))))*$D$50),$D$17*(1-(IF(INDEX($L$164:$L$179,MATCH(LEFT(BR164,FIND("·",BR164)-1),$K$164:$K$179,0))=0,ABS(INDEX($N$164:$N$179,MATCH(LEFT(BR164,FIND("·",BR164)-1),$K$164:$K$179,0))-VALUE(MID(BR164,FIND("|",BR164)+1,FIND("-",BR164,FIND("|",BR164))-FIND("|",BR164)-1))),ABS(INDEX($P$164:$P$179,MATCH(LEFT(BR164,FIND("·",BR164)-1),$K$164:$K$179,0))-(VALUE(MID(BR164,FIND("|",BR164)+1,FIND("-",BR164,FIND("|",BR164))-FIND("|",BR164)-1))-VALUE(MID(BR164,FIND("-",BR164,FIND("|",BR164))+1,10)))))*$D$50)))))*INDEX($I$164:$I$179,MATCH(LEFT(BR164,FIND("·",BR164)-1),$K$164:$K$179,0)),0),0),0)+IFERROR(IF(COUNTIF($C$164:$C$179,LEFT(BR164,FIND("·",BR164)-1))&gt;0,IF(INDEX($D$164:$D$179,MATCH(LEFT(BR164,FIND("·",BR164)-1),$C$164:$C$179,0))=IFERROR(VALUE(MID(BR164,FIND("·",BR164)+1,1)),0),($D$16+(INDEX($E$164:$E$179,MATCH(LEFT(BR164,FIND("·",BR164)-1),$C$164:$C$179,0))=MID(BR164,FIND("|",BR164)+1,10))*$D$18+MAX(0,IF($D$50=1,$D$17*(1-(ABS(INDEX($Q$164:$Q$179,MATCH(LEFT(BR164,FIND("·",BR164)-1),$C$164:$C$179,0))-(VALUE(MID(BR164,FIND("|",BR164)+1,FIND("-",BR164,FIND("|",BR164))-FIND("|",BR164)-1))-VALUE(MID(BR164,FIND("-",BR164,FIND("|",BR164))+1,10)))))*$D$50),$D$17*(1-(IF(INDEX($D$164:$D$179,MATCH(LEFT(BR164,FIND("·",BR164)-1),$C$164:$C$179,0))=0,ABS(INDEX($A$164:$A$179,MATCH(LEFT(BR164,FIND("·",BR164)-1),$C$164:$C$179,0))-VALUE(MID(BR164,FIND("|",BR164)+1,FIND("-",BR164,FIND("|",BR164))-FIND("|",BR164)-1))),ABS(INDEX($Q$164:$Q$179,MATCH(LEFT(BR164,FIND("·",BR164)-1),$C$164:$C$179,0))-(VALUE(MID(BR164,FIND("|",BR164)+1,FIND("-",BR164,FIND("|",BR164))-FIND("|",BR164)-1))-VALUE(MID(BR164,FIND("-",BR164,FIND("|",BR164))+1,10)))))*$D$50)))))*INDEX($I$164:$I$179,MATCH(LEFT(BR164,FIND("·",BR164)-1),$C$164:$C$179,0)),0),0),0)</f>
        <v>0</v>
      </c>
      <c r="BT164" s="110"/>
      <c r="BU164" s="76" t="s">
        <v>2421</v>
      </c>
      <c r="BV164" s="77">
        <f t="shared" ref="BV164" ca="1" si="757">IFERROR(IF(COUNTIF($K$164:$K$179,LEFT(BU164,FIND("·",BU164)-1))&gt;0,IF(INDEX($L$164:$L$179,MATCH(LEFT(BU164,FIND("·",BU164)-1),$K$164:$K$179,0))=IFERROR(VALUE(MID(BU164,FIND("·",BU164)+1,1)),0),($D$16+(INDEX($M$164:$M$179,MATCH(LEFT(BU164,FIND("·",BU164)-1),$K$164:$K$179,0))=MID(BU164,FIND("|",BU164)+1,10))*$D$18+MAX(0,IF($D$50=1,$D$17*(1-(ABS(INDEX($P$164:$P$179,MATCH(LEFT(BU164,FIND("·",BU164)-1),$K$164:$K$179,0))-(VALUE(MID(BU164,FIND("|",BU164)+1,FIND("-",BU164,FIND("|",BU164))-FIND("|",BU164)-1))-VALUE(MID(BU164,FIND("-",BU164,FIND("|",BU164))+1,10)))))*$D$50),$D$17*(1-(IF(INDEX($L$164:$L$179,MATCH(LEFT(BU164,FIND("·",BU164)-1),$K$164:$K$179,0))=0,ABS(INDEX($N$164:$N$179,MATCH(LEFT(BU164,FIND("·",BU164)-1),$K$164:$K$179,0))-VALUE(MID(BU164,FIND("|",BU164)+1,FIND("-",BU164,FIND("|",BU164))-FIND("|",BU164)-1))),ABS(INDEX($P$164:$P$179,MATCH(LEFT(BU164,FIND("·",BU164)-1),$K$164:$K$179,0))-(VALUE(MID(BU164,FIND("|",BU164)+1,FIND("-",BU164,FIND("|",BU164))-FIND("|",BU164)-1))-VALUE(MID(BU164,FIND("-",BU164,FIND("|",BU164))+1,10)))))*$D$50)))))*INDEX($I$164:$I$179,MATCH(LEFT(BU164,FIND("·",BU164)-1),$K$164:$K$179,0)),0),0),0)+IFERROR(IF(COUNTIF($C$164:$C$179,LEFT(BU164,FIND("·",BU164)-1))&gt;0,IF(INDEX($D$164:$D$179,MATCH(LEFT(BU164,FIND("·",BU164)-1),$C$164:$C$179,0))=IFERROR(VALUE(MID(BU164,FIND("·",BU164)+1,1)),0),($D$16+(INDEX($E$164:$E$179,MATCH(LEFT(BU164,FIND("·",BU164)-1),$C$164:$C$179,0))=MID(BU164,FIND("|",BU164)+1,10))*$D$18+MAX(0,IF($D$50=1,$D$17*(1-(ABS(INDEX($Q$164:$Q$179,MATCH(LEFT(BU164,FIND("·",BU164)-1),$C$164:$C$179,0))-(VALUE(MID(BU164,FIND("|",BU164)+1,FIND("-",BU164,FIND("|",BU164))-FIND("|",BU164)-1))-VALUE(MID(BU164,FIND("-",BU164,FIND("|",BU164))+1,10)))))*$D$50),$D$17*(1-(IF(INDEX($D$164:$D$179,MATCH(LEFT(BU164,FIND("·",BU164)-1),$C$164:$C$179,0))=0,ABS(INDEX($A$164:$A$179,MATCH(LEFT(BU164,FIND("·",BU164)-1),$C$164:$C$179,0))-VALUE(MID(BU164,FIND("|",BU164)+1,FIND("-",BU164,FIND("|",BU164))-FIND("|",BU164)-1))),ABS(INDEX($Q$164:$Q$179,MATCH(LEFT(BU164,FIND("·",BU164)-1),$C$164:$C$179,0))-(VALUE(MID(BU164,FIND("|",BU164)+1,FIND("-",BU164,FIND("|",BU164))-FIND("|",BU164)-1))-VALUE(MID(BU164,FIND("-",BU164,FIND("|",BU164))+1,10)))))*$D$50)))))*INDEX($I$164:$I$179,MATCH(LEFT(BU164,FIND("·",BU164)-1),$C$164:$C$179,0)),0),0),0)</f>
        <v>0</v>
      </c>
      <c r="BW164" s="110"/>
      <c r="BX164" s="76" t="s">
        <v>2397</v>
      </c>
      <c r="BY164" s="77">
        <f t="shared" ref="BY164" ca="1" si="758">IFERROR(IF(COUNTIF($K$164:$K$179,LEFT(BX164,FIND("·",BX164)-1))&gt;0,IF(INDEX($L$164:$L$179,MATCH(LEFT(BX164,FIND("·",BX164)-1),$K$164:$K$179,0))=IFERROR(VALUE(MID(BX164,FIND("·",BX164)+1,1)),0),($D$16+(INDEX($M$164:$M$179,MATCH(LEFT(BX164,FIND("·",BX164)-1),$K$164:$K$179,0))=MID(BX164,FIND("|",BX164)+1,10))*$D$18+MAX(0,IF($D$50=1,$D$17*(1-(ABS(INDEX($P$164:$P$179,MATCH(LEFT(BX164,FIND("·",BX164)-1),$K$164:$K$179,0))-(VALUE(MID(BX164,FIND("|",BX164)+1,FIND("-",BX164,FIND("|",BX164))-FIND("|",BX164)-1))-VALUE(MID(BX164,FIND("-",BX164,FIND("|",BX164))+1,10)))))*$D$50),$D$17*(1-(IF(INDEX($L$164:$L$179,MATCH(LEFT(BX164,FIND("·",BX164)-1),$K$164:$K$179,0))=0,ABS(INDEX($N$164:$N$179,MATCH(LEFT(BX164,FIND("·",BX164)-1),$K$164:$K$179,0))-VALUE(MID(BX164,FIND("|",BX164)+1,FIND("-",BX164,FIND("|",BX164))-FIND("|",BX164)-1))),ABS(INDEX($P$164:$P$179,MATCH(LEFT(BX164,FIND("·",BX164)-1),$K$164:$K$179,0))-(VALUE(MID(BX164,FIND("|",BX164)+1,FIND("-",BX164,FIND("|",BX164))-FIND("|",BX164)-1))-VALUE(MID(BX164,FIND("-",BX164,FIND("|",BX164))+1,10)))))*$D$50)))))*INDEX($I$164:$I$179,MATCH(LEFT(BX164,FIND("·",BX164)-1),$K$164:$K$179,0)),0),0),0)+IFERROR(IF(COUNTIF($C$164:$C$179,LEFT(BX164,FIND("·",BX164)-1))&gt;0,IF(INDEX($D$164:$D$179,MATCH(LEFT(BX164,FIND("·",BX164)-1),$C$164:$C$179,0))=IFERROR(VALUE(MID(BX164,FIND("·",BX164)+1,1)),0),($D$16+(INDEX($E$164:$E$179,MATCH(LEFT(BX164,FIND("·",BX164)-1),$C$164:$C$179,0))=MID(BX164,FIND("|",BX164)+1,10))*$D$18+MAX(0,IF($D$50=1,$D$17*(1-(ABS(INDEX($Q$164:$Q$179,MATCH(LEFT(BX164,FIND("·",BX164)-1),$C$164:$C$179,0))-(VALUE(MID(BX164,FIND("|",BX164)+1,FIND("-",BX164,FIND("|",BX164))-FIND("|",BX164)-1))-VALUE(MID(BX164,FIND("-",BX164,FIND("|",BX164))+1,10)))))*$D$50),$D$17*(1-(IF(INDEX($D$164:$D$179,MATCH(LEFT(BX164,FIND("·",BX164)-1),$C$164:$C$179,0))=0,ABS(INDEX($A$164:$A$179,MATCH(LEFT(BX164,FIND("·",BX164)-1),$C$164:$C$179,0))-VALUE(MID(BX164,FIND("|",BX164)+1,FIND("-",BX164,FIND("|",BX164))-FIND("|",BX164)-1))),ABS(INDEX($Q$164:$Q$179,MATCH(LEFT(BX164,FIND("·",BX164)-1),$C$164:$C$179,0))-(VALUE(MID(BX164,FIND("|",BX164)+1,FIND("-",BX164,FIND("|",BX164))-FIND("|",BX164)-1))-VALUE(MID(BX164,FIND("-",BX164,FIND("|",BX164))+1,10)))))*$D$50)))))*INDEX($I$164:$I$179,MATCH(LEFT(BX164,FIND("·",BX164)-1),$C$164:$C$179,0)),0),0),0)</f>
        <v>0</v>
      </c>
      <c r="BZ164" s="110"/>
      <c r="CA164" s="76" t="s">
        <v>2462</v>
      </c>
      <c r="CB164" s="77">
        <f t="shared" ref="CB164" ca="1" si="759">IFERROR(IF(COUNTIF($K$164:$K$179,LEFT(CA164,FIND("·",CA164)-1))&gt;0,IF(INDEX($L$164:$L$179,MATCH(LEFT(CA164,FIND("·",CA164)-1),$K$164:$K$179,0))=IFERROR(VALUE(MID(CA164,FIND("·",CA164)+1,1)),0),($D$16+(INDEX($M$164:$M$179,MATCH(LEFT(CA164,FIND("·",CA164)-1),$K$164:$K$179,0))=MID(CA164,FIND("|",CA164)+1,10))*$D$18+MAX(0,IF($D$50=1,$D$17*(1-(ABS(INDEX($P$164:$P$179,MATCH(LEFT(CA164,FIND("·",CA164)-1),$K$164:$K$179,0))-(VALUE(MID(CA164,FIND("|",CA164)+1,FIND("-",CA164,FIND("|",CA164))-FIND("|",CA164)-1))-VALUE(MID(CA164,FIND("-",CA164,FIND("|",CA164))+1,10)))))*$D$50),$D$17*(1-(IF(INDEX($L$164:$L$179,MATCH(LEFT(CA164,FIND("·",CA164)-1),$K$164:$K$179,0))=0,ABS(INDEX($N$164:$N$179,MATCH(LEFT(CA164,FIND("·",CA164)-1),$K$164:$K$179,0))-VALUE(MID(CA164,FIND("|",CA164)+1,FIND("-",CA164,FIND("|",CA164))-FIND("|",CA164)-1))),ABS(INDEX($P$164:$P$179,MATCH(LEFT(CA164,FIND("·",CA164)-1),$K$164:$K$179,0))-(VALUE(MID(CA164,FIND("|",CA164)+1,FIND("-",CA164,FIND("|",CA164))-FIND("|",CA164)-1))-VALUE(MID(CA164,FIND("-",CA164,FIND("|",CA164))+1,10)))))*$D$50)))))*INDEX($I$164:$I$179,MATCH(LEFT(CA164,FIND("·",CA164)-1),$K$164:$K$179,0)),0),0),0)+IFERROR(IF(COUNTIF($C$164:$C$179,LEFT(CA164,FIND("·",CA164)-1))&gt;0,IF(INDEX($D$164:$D$179,MATCH(LEFT(CA164,FIND("·",CA164)-1),$C$164:$C$179,0))=IFERROR(VALUE(MID(CA164,FIND("·",CA164)+1,1)),0),($D$16+(INDEX($E$164:$E$179,MATCH(LEFT(CA164,FIND("·",CA164)-1),$C$164:$C$179,0))=MID(CA164,FIND("|",CA164)+1,10))*$D$18+MAX(0,IF($D$50=1,$D$17*(1-(ABS(INDEX($Q$164:$Q$179,MATCH(LEFT(CA164,FIND("·",CA164)-1),$C$164:$C$179,0))-(VALUE(MID(CA164,FIND("|",CA164)+1,FIND("-",CA164,FIND("|",CA164))-FIND("|",CA164)-1))-VALUE(MID(CA164,FIND("-",CA164,FIND("|",CA164))+1,10)))))*$D$50),$D$17*(1-(IF(INDEX($D$164:$D$179,MATCH(LEFT(CA164,FIND("·",CA164)-1),$C$164:$C$179,0))=0,ABS(INDEX($A$164:$A$179,MATCH(LEFT(CA164,FIND("·",CA164)-1),$C$164:$C$179,0))-VALUE(MID(CA164,FIND("|",CA164)+1,FIND("-",CA164,FIND("|",CA164))-FIND("|",CA164)-1))),ABS(INDEX($Q$164:$Q$179,MATCH(LEFT(CA164,FIND("·",CA164)-1),$C$164:$C$179,0))-(VALUE(MID(CA164,FIND("|",CA164)+1,FIND("-",CA164,FIND("|",CA164))-FIND("|",CA164)-1))-VALUE(MID(CA164,FIND("-",CA164,FIND("|",CA164))+1,10)))))*$D$50)))))*INDEX($I$164:$I$179,MATCH(LEFT(CA164,FIND("·",CA164)-1),$C$164:$C$179,0)),0),0),0)</f>
        <v>0</v>
      </c>
      <c r="CC164" s="110"/>
      <c r="CD164" s="76" t="s">
        <v>2397</v>
      </c>
      <c r="CE164" s="77">
        <f t="shared" ref="CE164" ca="1" si="760">IFERROR(IF(COUNTIF($K$164:$K$179,LEFT(CD164,FIND("·",CD164)-1))&gt;0,IF(INDEX($L$164:$L$179,MATCH(LEFT(CD164,FIND("·",CD164)-1),$K$164:$K$179,0))=IFERROR(VALUE(MID(CD164,FIND("·",CD164)+1,1)),0),($D$16+(INDEX($M$164:$M$179,MATCH(LEFT(CD164,FIND("·",CD164)-1),$K$164:$K$179,0))=MID(CD164,FIND("|",CD164)+1,10))*$D$18+MAX(0,IF($D$50=1,$D$17*(1-(ABS(INDEX($P$164:$P$179,MATCH(LEFT(CD164,FIND("·",CD164)-1),$K$164:$K$179,0))-(VALUE(MID(CD164,FIND("|",CD164)+1,FIND("-",CD164,FIND("|",CD164))-FIND("|",CD164)-1))-VALUE(MID(CD164,FIND("-",CD164,FIND("|",CD164))+1,10)))))*$D$50),$D$17*(1-(IF(INDEX($L$164:$L$179,MATCH(LEFT(CD164,FIND("·",CD164)-1),$K$164:$K$179,0))=0,ABS(INDEX($N$164:$N$179,MATCH(LEFT(CD164,FIND("·",CD164)-1),$K$164:$K$179,0))-VALUE(MID(CD164,FIND("|",CD164)+1,FIND("-",CD164,FIND("|",CD164))-FIND("|",CD164)-1))),ABS(INDEX($P$164:$P$179,MATCH(LEFT(CD164,FIND("·",CD164)-1),$K$164:$K$179,0))-(VALUE(MID(CD164,FIND("|",CD164)+1,FIND("-",CD164,FIND("|",CD164))-FIND("|",CD164)-1))-VALUE(MID(CD164,FIND("-",CD164,FIND("|",CD164))+1,10)))))*$D$50)))))*INDEX($I$164:$I$179,MATCH(LEFT(CD164,FIND("·",CD164)-1),$K$164:$K$179,0)),0),0),0)+IFERROR(IF(COUNTIF($C$164:$C$179,LEFT(CD164,FIND("·",CD164)-1))&gt;0,IF(INDEX($D$164:$D$179,MATCH(LEFT(CD164,FIND("·",CD164)-1),$C$164:$C$179,0))=IFERROR(VALUE(MID(CD164,FIND("·",CD164)+1,1)),0),($D$16+(INDEX($E$164:$E$179,MATCH(LEFT(CD164,FIND("·",CD164)-1),$C$164:$C$179,0))=MID(CD164,FIND("|",CD164)+1,10))*$D$18+MAX(0,IF($D$50=1,$D$17*(1-(ABS(INDEX($Q$164:$Q$179,MATCH(LEFT(CD164,FIND("·",CD164)-1),$C$164:$C$179,0))-(VALUE(MID(CD164,FIND("|",CD164)+1,FIND("-",CD164,FIND("|",CD164))-FIND("|",CD164)-1))-VALUE(MID(CD164,FIND("-",CD164,FIND("|",CD164))+1,10)))))*$D$50),$D$17*(1-(IF(INDEX($D$164:$D$179,MATCH(LEFT(CD164,FIND("·",CD164)-1),$C$164:$C$179,0))=0,ABS(INDEX($A$164:$A$179,MATCH(LEFT(CD164,FIND("·",CD164)-1),$C$164:$C$179,0))-VALUE(MID(CD164,FIND("|",CD164)+1,FIND("-",CD164,FIND("|",CD164))-FIND("|",CD164)-1))),ABS(INDEX($Q$164:$Q$179,MATCH(LEFT(CD164,FIND("·",CD164)-1),$C$164:$C$179,0))-(VALUE(MID(CD164,FIND("|",CD164)+1,FIND("-",CD164,FIND("|",CD164))-FIND("|",CD164)-1))-VALUE(MID(CD164,FIND("-",CD164,FIND("|",CD164))+1,10)))))*$D$50)))))*INDEX($I$164:$I$179,MATCH(LEFT(CD164,FIND("·",CD164)-1),$C$164:$C$179,0)),0),0),0)</f>
        <v>0</v>
      </c>
      <c r="CF164" s="110"/>
      <c r="CG164" s="76" t="s">
        <v>2502</v>
      </c>
      <c r="CH164" s="77">
        <f t="shared" ref="CH164" ca="1" si="761">IFERROR(IF(COUNTIF($K$164:$K$179,LEFT(CG164,FIND("·",CG164)-1))&gt;0,IF(INDEX($L$164:$L$179,MATCH(LEFT(CG164,FIND("·",CG164)-1),$K$164:$K$179,0))=IFERROR(VALUE(MID(CG164,FIND("·",CG164)+1,1)),0),($D$16+(INDEX($M$164:$M$179,MATCH(LEFT(CG164,FIND("·",CG164)-1),$K$164:$K$179,0))=MID(CG164,FIND("|",CG164)+1,10))*$D$18+MAX(0,IF($D$50=1,$D$17*(1-(ABS(INDEX($P$164:$P$179,MATCH(LEFT(CG164,FIND("·",CG164)-1),$K$164:$K$179,0))-(VALUE(MID(CG164,FIND("|",CG164)+1,FIND("-",CG164,FIND("|",CG164))-FIND("|",CG164)-1))-VALUE(MID(CG164,FIND("-",CG164,FIND("|",CG164))+1,10)))))*$D$50),$D$17*(1-(IF(INDEX($L$164:$L$179,MATCH(LEFT(CG164,FIND("·",CG164)-1),$K$164:$K$179,0))=0,ABS(INDEX($N$164:$N$179,MATCH(LEFT(CG164,FIND("·",CG164)-1),$K$164:$K$179,0))-VALUE(MID(CG164,FIND("|",CG164)+1,FIND("-",CG164,FIND("|",CG164))-FIND("|",CG164)-1))),ABS(INDEX($P$164:$P$179,MATCH(LEFT(CG164,FIND("·",CG164)-1),$K$164:$K$179,0))-(VALUE(MID(CG164,FIND("|",CG164)+1,FIND("-",CG164,FIND("|",CG164))-FIND("|",CG164)-1))-VALUE(MID(CG164,FIND("-",CG164,FIND("|",CG164))+1,10)))))*$D$50)))))*INDEX($I$164:$I$179,MATCH(LEFT(CG164,FIND("·",CG164)-1),$K$164:$K$179,0)),0),0),0)+IFERROR(IF(COUNTIF($C$164:$C$179,LEFT(CG164,FIND("·",CG164)-1))&gt;0,IF(INDEX($D$164:$D$179,MATCH(LEFT(CG164,FIND("·",CG164)-1),$C$164:$C$179,0))=IFERROR(VALUE(MID(CG164,FIND("·",CG164)+1,1)),0),($D$16+(INDEX($E$164:$E$179,MATCH(LEFT(CG164,FIND("·",CG164)-1),$C$164:$C$179,0))=MID(CG164,FIND("|",CG164)+1,10))*$D$18+MAX(0,IF($D$50=1,$D$17*(1-(ABS(INDEX($Q$164:$Q$179,MATCH(LEFT(CG164,FIND("·",CG164)-1),$C$164:$C$179,0))-(VALUE(MID(CG164,FIND("|",CG164)+1,FIND("-",CG164,FIND("|",CG164))-FIND("|",CG164)-1))-VALUE(MID(CG164,FIND("-",CG164,FIND("|",CG164))+1,10)))))*$D$50),$D$17*(1-(IF(INDEX($D$164:$D$179,MATCH(LEFT(CG164,FIND("·",CG164)-1),$C$164:$C$179,0))=0,ABS(INDEX($A$164:$A$179,MATCH(LEFT(CG164,FIND("·",CG164)-1),$C$164:$C$179,0))-VALUE(MID(CG164,FIND("|",CG164)+1,FIND("-",CG164,FIND("|",CG164))-FIND("|",CG164)-1))),ABS(INDEX($Q$164:$Q$179,MATCH(LEFT(CG164,FIND("·",CG164)-1),$C$164:$C$179,0))-(VALUE(MID(CG164,FIND("|",CG164)+1,FIND("-",CG164,FIND("|",CG164))-FIND("|",CG164)-1))-VALUE(MID(CG164,FIND("-",CG164,FIND("|",CG164))+1,10)))))*$D$50)))))*INDEX($I$164:$I$179,MATCH(LEFT(CG164,FIND("·",CG164)-1),$C$164:$C$179,0)),0),0),0)</f>
        <v>0</v>
      </c>
      <c r="CI164" s="110"/>
      <c r="CJ164" s="76" t="s">
        <v>2521</v>
      </c>
      <c r="CK164" s="77">
        <f t="shared" ref="CK164:EV177" ca="1" si="762">IFERROR(IF(COUNTIF($K$164:$K$179,LEFT(CJ164,FIND("·",CJ164)-1))&gt;0,IF(INDEX($L$164:$L$179,MATCH(LEFT(CJ164,FIND("·",CJ164)-1),$K$164:$K$179,0))=IFERROR(VALUE(MID(CJ164,FIND("·",CJ164)+1,1)),0),($D$16+(INDEX($M$164:$M$179,MATCH(LEFT(CJ164,FIND("·",CJ164)-1),$K$164:$K$179,0))=MID(CJ164,FIND("|",CJ164)+1,10))*$D$18+MAX(0,IF($D$50=1,$D$17*(1-(ABS(INDEX($P$164:$P$179,MATCH(LEFT(CJ164,FIND("·",CJ164)-1),$K$164:$K$179,0))-(VALUE(MID(CJ164,FIND("|",CJ164)+1,FIND("-",CJ164,FIND("|",CJ164))-FIND("|",CJ164)-1))-VALUE(MID(CJ164,FIND("-",CJ164,FIND("|",CJ164))+1,10)))))*$D$50),$D$17*(1-(IF(INDEX($L$164:$L$179,MATCH(LEFT(CJ164,FIND("·",CJ164)-1),$K$164:$K$179,0))=0,ABS(INDEX($N$164:$N$179,MATCH(LEFT(CJ164,FIND("·",CJ164)-1),$K$164:$K$179,0))-VALUE(MID(CJ164,FIND("|",CJ164)+1,FIND("-",CJ164,FIND("|",CJ164))-FIND("|",CJ164)-1))),ABS(INDEX($P$164:$P$179,MATCH(LEFT(CJ164,FIND("·",CJ164)-1),$K$164:$K$179,0))-(VALUE(MID(CJ164,FIND("|",CJ164)+1,FIND("-",CJ164,FIND("|",CJ164))-FIND("|",CJ164)-1))-VALUE(MID(CJ164,FIND("-",CJ164,FIND("|",CJ164))+1,10)))))*$D$50)))))*INDEX($I$164:$I$179,MATCH(LEFT(CJ164,FIND("·",CJ164)-1),$K$164:$K$179,0)),0),0),0)+IFERROR(IF(COUNTIF($C$164:$C$179,LEFT(CJ164,FIND("·",CJ164)-1))&gt;0,IF(INDEX($D$164:$D$179,MATCH(LEFT(CJ164,FIND("·",CJ164)-1),$C$164:$C$179,0))=IFERROR(VALUE(MID(CJ164,FIND("·",CJ164)+1,1)),0),($D$16+(INDEX($E$164:$E$179,MATCH(LEFT(CJ164,FIND("·",CJ164)-1),$C$164:$C$179,0))=MID(CJ164,FIND("|",CJ164)+1,10))*$D$18+MAX(0,IF($D$50=1,$D$17*(1-(ABS(INDEX($Q$164:$Q$179,MATCH(LEFT(CJ164,FIND("·",CJ164)-1),$C$164:$C$179,0))-(VALUE(MID(CJ164,FIND("|",CJ164)+1,FIND("-",CJ164,FIND("|",CJ164))-FIND("|",CJ164)-1))-VALUE(MID(CJ164,FIND("-",CJ164,FIND("|",CJ164))+1,10)))))*$D$50),$D$17*(1-(IF(INDEX($D$164:$D$179,MATCH(LEFT(CJ164,FIND("·",CJ164)-1),$C$164:$C$179,0))=0,ABS(INDEX($A$164:$A$179,MATCH(LEFT(CJ164,FIND("·",CJ164)-1),$C$164:$C$179,0))-VALUE(MID(CJ164,FIND("|",CJ164)+1,FIND("-",CJ164,FIND("|",CJ164))-FIND("|",CJ164)-1))),ABS(INDEX($Q$164:$Q$179,MATCH(LEFT(CJ164,FIND("·",CJ164)-1),$C$164:$C$179,0))-(VALUE(MID(CJ164,FIND("|",CJ164)+1,FIND("-",CJ164,FIND("|",CJ164))-FIND("|",CJ164)-1))-VALUE(MID(CJ164,FIND("-",CJ164,FIND("|",CJ164))+1,10)))))*$D$50)))))*INDEX($I$164:$I$179,MATCH(LEFT(CJ164,FIND("·",CJ164)-1),$C$164:$C$179,0)),0),0),0)</f>
        <v>0</v>
      </c>
      <c r="CL164" s="110"/>
      <c r="CM164" s="76" t="s">
        <v>2535</v>
      </c>
      <c r="CN164" s="77">
        <f t="shared" ref="CN164" ca="1" si="763">IFERROR(IF(COUNTIF($K$164:$K$179,LEFT(CM164,FIND("·",CM164)-1))&gt;0,IF(INDEX($L$164:$L$179,MATCH(LEFT(CM164,FIND("·",CM164)-1),$K$164:$K$179,0))=IFERROR(VALUE(MID(CM164,FIND("·",CM164)+1,1)),0),($D$16+(INDEX($M$164:$M$179,MATCH(LEFT(CM164,FIND("·",CM164)-1),$K$164:$K$179,0))=MID(CM164,FIND("|",CM164)+1,10))*$D$18+MAX(0,IF($D$50=1,$D$17*(1-(ABS(INDEX($P$164:$P$179,MATCH(LEFT(CM164,FIND("·",CM164)-1),$K$164:$K$179,0))-(VALUE(MID(CM164,FIND("|",CM164)+1,FIND("-",CM164,FIND("|",CM164))-FIND("|",CM164)-1))-VALUE(MID(CM164,FIND("-",CM164,FIND("|",CM164))+1,10)))))*$D$50),$D$17*(1-(IF(INDEX($L$164:$L$179,MATCH(LEFT(CM164,FIND("·",CM164)-1),$K$164:$K$179,0))=0,ABS(INDEX($N$164:$N$179,MATCH(LEFT(CM164,FIND("·",CM164)-1),$K$164:$K$179,0))-VALUE(MID(CM164,FIND("|",CM164)+1,FIND("-",CM164,FIND("|",CM164))-FIND("|",CM164)-1))),ABS(INDEX($P$164:$P$179,MATCH(LEFT(CM164,FIND("·",CM164)-1),$K$164:$K$179,0))-(VALUE(MID(CM164,FIND("|",CM164)+1,FIND("-",CM164,FIND("|",CM164))-FIND("|",CM164)-1))-VALUE(MID(CM164,FIND("-",CM164,FIND("|",CM164))+1,10)))))*$D$50)))))*INDEX($I$164:$I$179,MATCH(LEFT(CM164,FIND("·",CM164)-1),$K$164:$K$179,0)),0),0),0)+IFERROR(IF(COUNTIF($C$164:$C$179,LEFT(CM164,FIND("·",CM164)-1))&gt;0,IF(INDEX($D$164:$D$179,MATCH(LEFT(CM164,FIND("·",CM164)-1),$C$164:$C$179,0))=IFERROR(VALUE(MID(CM164,FIND("·",CM164)+1,1)),0),($D$16+(INDEX($E$164:$E$179,MATCH(LEFT(CM164,FIND("·",CM164)-1),$C$164:$C$179,0))=MID(CM164,FIND("|",CM164)+1,10))*$D$18+MAX(0,IF($D$50=1,$D$17*(1-(ABS(INDEX($Q$164:$Q$179,MATCH(LEFT(CM164,FIND("·",CM164)-1),$C$164:$C$179,0))-(VALUE(MID(CM164,FIND("|",CM164)+1,FIND("-",CM164,FIND("|",CM164))-FIND("|",CM164)-1))-VALUE(MID(CM164,FIND("-",CM164,FIND("|",CM164))+1,10)))))*$D$50),$D$17*(1-(IF(INDEX($D$164:$D$179,MATCH(LEFT(CM164,FIND("·",CM164)-1),$C$164:$C$179,0))=0,ABS(INDEX($A$164:$A$179,MATCH(LEFT(CM164,FIND("·",CM164)-1),$C$164:$C$179,0))-VALUE(MID(CM164,FIND("|",CM164)+1,FIND("-",CM164,FIND("|",CM164))-FIND("|",CM164)-1))),ABS(INDEX($Q$164:$Q$179,MATCH(LEFT(CM164,FIND("·",CM164)-1),$C$164:$C$179,0))-(VALUE(MID(CM164,FIND("|",CM164)+1,FIND("-",CM164,FIND("|",CM164))-FIND("|",CM164)-1))-VALUE(MID(CM164,FIND("-",CM164,FIND("|",CM164))+1,10)))))*$D$50)))))*INDEX($I$164:$I$179,MATCH(LEFT(CM164,FIND("·",CM164)-1),$C$164:$C$179,0)),0),0),0)</f>
        <v>0</v>
      </c>
      <c r="CO164" s="110"/>
      <c r="CP164" s="76" t="s">
        <v>2552</v>
      </c>
      <c r="CQ164" s="77">
        <f t="shared" ref="CQ164" ca="1" si="764">IFERROR(IF(COUNTIF($K$164:$K$179,LEFT(CP164,FIND("·",CP164)-1))&gt;0,IF(INDEX($L$164:$L$179,MATCH(LEFT(CP164,FIND("·",CP164)-1),$K$164:$K$179,0))=IFERROR(VALUE(MID(CP164,FIND("·",CP164)+1,1)),0),($D$16+(INDEX($M$164:$M$179,MATCH(LEFT(CP164,FIND("·",CP164)-1),$K$164:$K$179,0))=MID(CP164,FIND("|",CP164)+1,10))*$D$18+MAX(0,IF($D$50=1,$D$17*(1-(ABS(INDEX($P$164:$P$179,MATCH(LEFT(CP164,FIND("·",CP164)-1),$K$164:$K$179,0))-(VALUE(MID(CP164,FIND("|",CP164)+1,FIND("-",CP164,FIND("|",CP164))-FIND("|",CP164)-1))-VALUE(MID(CP164,FIND("-",CP164,FIND("|",CP164))+1,10)))))*$D$50),$D$17*(1-(IF(INDEX($L$164:$L$179,MATCH(LEFT(CP164,FIND("·",CP164)-1),$K$164:$K$179,0))=0,ABS(INDEX($N$164:$N$179,MATCH(LEFT(CP164,FIND("·",CP164)-1),$K$164:$K$179,0))-VALUE(MID(CP164,FIND("|",CP164)+1,FIND("-",CP164,FIND("|",CP164))-FIND("|",CP164)-1))),ABS(INDEX($P$164:$P$179,MATCH(LEFT(CP164,FIND("·",CP164)-1),$K$164:$K$179,0))-(VALUE(MID(CP164,FIND("|",CP164)+1,FIND("-",CP164,FIND("|",CP164))-FIND("|",CP164)-1))-VALUE(MID(CP164,FIND("-",CP164,FIND("|",CP164))+1,10)))))*$D$50)))))*INDEX($I$164:$I$179,MATCH(LEFT(CP164,FIND("·",CP164)-1),$K$164:$K$179,0)),0),0),0)+IFERROR(IF(COUNTIF($C$164:$C$179,LEFT(CP164,FIND("·",CP164)-1))&gt;0,IF(INDEX($D$164:$D$179,MATCH(LEFT(CP164,FIND("·",CP164)-1),$C$164:$C$179,0))=IFERROR(VALUE(MID(CP164,FIND("·",CP164)+1,1)),0),($D$16+(INDEX($E$164:$E$179,MATCH(LEFT(CP164,FIND("·",CP164)-1),$C$164:$C$179,0))=MID(CP164,FIND("|",CP164)+1,10))*$D$18+MAX(0,IF($D$50=1,$D$17*(1-(ABS(INDEX($Q$164:$Q$179,MATCH(LEFT(CP164,FIND("·",CP164)-1),$C$164:$C$179,0))-(VALUE(MID(CP164,FIND("|",CP164)+1,FIND("-",CP164,FIND("|",CP164))-FIND("|",CP164)-1))-VALUE(MID(CP164,FIND("-",CP164,FIND("|",CP164))+1,10)))))*$D$50),$D$17*(1-(IF(INDEX($D$164:$D$179,MATCH(LEFT(CP164,FIND("·",CP164)-1),$C$164:$C$179,0))=0,ABS(INDEX($A$164:$A$179,MATCH(LEFT(CP164,FIND("·",CP164)-1),$C$164:$C$179,0))-VALUE(MID(CP164,FIND("|",CP164)+1,FIND("-",CP164,FIND("|",CP164))-FIND("|",CP164)-1))),ABS(INDEX($Q$164:$Q$179,MATCH(LEFT(CP164,FIND("·",CP164)-1),$C$164:$C$179,0))-(VALUE(MID(CP164,FIND("|",CP164)+1,FIND("-",CP164,FIND("|",CP164))-FIND("|",CP164)-1))-VALUE(MID(CP164,FIND("-",CP164,FIND("|",CP164))+1,10)))))*$D$50)))))*INDEX($I$164:$I$179,MATCH(LEFT(CP164,FIND("·",CP164)-1),$C$164:$C$179,0)),0),0),0)</f>
        <v>0</v>
      </c>
      <c r="CR164" s="110"/>
      <c r="CS164" s="76" t="s">
        <v>2341</v>
      </c>
      <c r="CT164" s="77">
        <f t="shared" ref="CT164" ca="1" si="765">IFERROR(IF(COUNTIF($K$164:$K$179,LEFT(CS164,FIND("·",CS164)-1))&gt;0,IF(INDEX($L$164:$L$179,MATCH(LEFT(CS164,FIND("·",CS164)-1),$K$164:$K$179,0))=IFERROR(VALUE(MID(CS164,FIND("·",CS164)+1,1)),0),($D$16+(INDEX($M$164:$M$179,MATCH(LEFT(CS164,FIND("·",CS164)-1),$K$164:$K$179,0))=MID(CS164,FIND("|",CS164)+1,10))*$D$18+MAX(0,IF($D$50=1,$D$17*(1-(ABS(INDEX($P$164:$P$179,MATCH(LEFT(CS164,FIND("·",CS164)-1),$K$164:$K$179,0))-(VALUE(MID(CS164,FIND("|",CS164)+1,FIND("-",CS164,FIND("|",CS164))-FIND("|",CS164)-1))-VALUE(MID(CS164,FIND("-",CS164,FIND("|",CS164))+1,10)))))*$D$50),$D$17*(1-(IF(INDEX($L$164:$L$179,MATCH(LEFT(CS164,FIND("·",CS164)-1),$K$164:$K$179,0))=0,ABS(INDEX($N$164:$N$179,MATCH(LEFT(CS164,FIND("·",CS164)-1),$K$164:$K$179,0))-VALUE(MID(CS164,FIND("|",CS164)+1,FIND("-",CS164,FIND("|",CS164))-FIND("|",CS164)-1))),ABS(INDEX($P$164:$P$179,MATCH(LEFT(CS164,FIND("·",CS164)-1),$K$164:$K$179,0))-(VALUE(MID(CS164,FIND("|",CS164)+1,FIND("-",CS164,FIND("|",CS164))-FIND("|",CS164)-1))-VALUE(MID(CS164,FIND("-",CS164,FIND("|",CS164))+1,10)))))*$D$50)))))*INDEX($I$164:$I$179,MATCH(LEFT(CS164,FIND("·",CS164)-1),$K$164:$K$179,0)),0),0),0)+IFERROR(IF(COUNTIF($C$164:$C$179,LEFT(CS164,FIND("·",CS164)-1))&gt;0,IF(INDEX($D$164:$D$179,MATCH(LEFT(CS164,FIND("·",CS164)-1),$C$164:$C$179,0))=IFERROR(VALUE(MID(CS164,FIND("·",CS164)+1,1)),0),($D$16+(INDEX($E$164:$E$179,MATCH(LEFT(CS164,FIND("·",CS164)-1),$C$164:$C$179,0))=MID(CS164,FIND("|",CS164)+1,10))*$D$18+MAX(0,IF($D$50=1,$D$17*(1-(ABS(INDEX($Q$164:$Q$179,MATCH(LEFT(CS164,FIND("·",CS164)-1),$C$164:$C$179,0))-(VALUE(MID(CS164,FIND("|",CS164)+1,FIND("-",CS164,FIND("|",CS164))-FIND("|",CS164)-1))-VALUE(MID(CS164,FIND("-",CS164,FIND("|",CS164))+1,10)))))*$D$50),$D$17*(1-(IF(INDEX($D$164:$D$179,MATCH(LEFT(CS164,FIND("·",CS164)-1),$C$164:$C$179,0))=0,ABS(INDEX($A$164:$A$179,MATCH(LEFT(CS164,FIND("·",CS164)-1),$C$164:$C$179,0))-VALUE(MID(CS164,FIND("|",CS164)+1,FIND("-",CS164,FIND("|",CS164))-FIND("|",CS164)-1))),ABS(INDEX($Q$164:$Q$179,MATCH(LEFT(CS164,FIND("·",CS164)-1),$C$164:$C$179,0))-(VALUE(MID(CS164,FIND("|",CS164)+1,FIND("-",CS164,FIND("|",CS164))-FIND("|",CS164)-1))-VALUE(MID(CS164,FIND("-",CS164,FIND("|",CS164))+1,10)))))*$D$50)))))*INDEX($I$164:$I$179,MATCH(LEFT(CS164,FIND("·",CS164)-1),$C$164:$C$179,0)),0),0),0)</f>
        <v>0</v>
      </c>
      <c r="CU164" s="110"/>
      <c r="CV164" s="76" t="s">
        <v>2074</v>
      </c>
      <c r="CW164" s="77">
        <f t="shared" ref="CW164" ca="1" si="766">IFERROR(IF(COUNTIF($K$164:$K$179,LEFT(CV164,FIND("·",CV164)-1))&gt;0,IF(INDEX($L$164:$L$179,MATCH(LEFT(CV164,FIND("·",CV164)-1),$K$164:$K$179,0))=IFERROR(VALUE(MID(CV164,FIND("·",CV164)+1,1)),0),($D$16+(INDEX($M$164:$M$179,MATCH(LEFT(CV164,FIND("·",CV164)-1),$K$164:$K$179,0))=MID(CV164,FIND("|",CV164)+1,10))*$D$18+MAX(0,IF($D$50=1,$D$17*(1-(ABS(INDEX($P$164:$P$179,MATCH(LEFT(CV164,FIND("·",CV164)-1),$K$164:$K$179,0))-(VALUE(MID(CV164,FIND("|",CV164)+1,FIND("-",CV164,FIND("|",CV164))-FIND("|",CV164)-1))-VALUE(MID(CV164,FIND("-",CV164,FIND("|",CV164))+1,10)))))*$D$50),$D$17*(1-(IF(INDEX($L$164:$L$179,MATCH(LEFT(CV164,FIND("·",CV164)-1),$K$164:$K$179,0))=0,ABS(INDEX($N$164:$N$179,MATCH(LEFT(CV164,FIND("·",CV164)-1),$K$164:$K$179,0))-VALUE(MID(CV164,FIND("|",CV164)+1,FIND("-",CV164,FIND("|",CV164))-FIND("|",CV164)-1))),ABS(INDEX($P$164:$P$179,MATCH(LEFT(CV164,FIND("·",CV164)-1),$K$164:$K$179,0))-(VALUE(MID(CV164,FIND("|",CV164)+1,FIND("-",CV164,FIND("|",CV164))-FIND("|",CV164)-1))-VALUE(MID(CV164,FIND("-",CV164,FIND("|",CV164))+1,10)))))*$D$50)))))*INDEX($I$164:$I$179,MATCH(LEFT(CV164,FIND("·",CV164)-1),$K$164:$K$179,0)),0),0),0)+IFERROR(IF(COUNTIF($C$164:$C$179,LEFT(CV164,FIND("·",CV164)-1))&gt;0,IF(INDEX($D$164:$D$179,MATCH(LEFT(CV164,FIND("·",CV164)-1),$C$164:$C$179,0))=IFERROR(VALUE(MID(CV164,FIND("·",CV164)+1,1)),0),($D$16+(INDEX($E$164:$E$179,MATCH(LEFT(CV164,FIND("·",CV164)-1),$C$164:$C$179,0))=MID(CV164,FIND("|",CV164)+1,10))*$D$18+MAX(0,IF($D$50=1,$D$17*(1-(ABS(INDEX($Q$164:$Q$179,MATCH(LEFT(CV164,FIND("·",CV164)-1),$C$164:$C$179,0))-(VALUE(MID(CV164,FIND("|",CV164)+1,FIND("-",CV164,FIND("|",CV164))-FIND("|",CV164)-1))-VALUE(MID(CV164,FIND("-",CV164,FIND("|",CV164))+1,10)))))*$D$50),$D$17*(1-(IF(INDEX($D$164:$D$179,MATCH(LEFT(CV164,FIND("·",CV164)-1),$C$164:$C$179,0))=0,ABS(INDEX($A$164:$A$179,MATCH(LEFT(CV164,FIND("·",CV164)-1),$C$164:$C$179,0))-VALUE(MID(CV164,FIND("|",CV164)+1,FIND("-",CV164,FIND("|",CV164))-FIND("|",CV164)-1))),ABS(INDEX($Q$164:$Q$179,MATCH(LEFT(CV164,FIND("·",CV164)-1),$C$164:$C$179,0))-(VALUE(MID(CV164,FIND("|",CV164)+1,FIND("-",CV164,FIND("|",CV164))-FIND("|",CV164)-1))-VALUE(MID(CV164,FIND("-",CV164,FIND("|",CV164))+1,10)))))*$D$50)))))*INDEX($I$164:$I$179,MATCH(LEFT(CV164,FIND("·",CV164)-1),$C$164:$C$179,0)),0),0),0)</f>
        <v>0</v>
      </c>
      <c r="CX164" s="110"/>
      <c r="CY164" s="76" t="s">
        <v>2587</v>
      </c>
      <c r="CZ164" s="77">
        <f t="shared" ref="CZ164" ca="1" si="767">IFERROR(IF(COUNTIF($K$164:$K$179,LEFT(CY164,FIND("·",CY164)-1))&gt;0,IF(INDEX($L$164:$L$179,MATCH(LEFT(CY164,FIND("·",CY164)-1),$K$164:$K$179,0))=IFERROR(VALUE(MID(CY164,FIND("·",CY164)+1,1)),0),($D$16+(INDEX($M$164:$M$179,MATCH(LEFT(CY164,FIND("·",CY164)-1),$K$164:$K$179,0))=MID(CY164,FIND("|",CY164)+1,10))*$D$18+MAX(0,IF($D$50=1,$D$17*(1-(ABS(INDEX($P$164:$P$179,MATCH(LEFT(CY164,FIND("·",CY164)-1),$K$164:$K$179,0))-(VALUE(MID(CY164,FIND("|",CY164)+1,FIND("-",CY164,FIND("|",CY164))-FIND("|",CY164)-1))-VALUE(MID(CY164,FIND("-",CY164,FIND("|",CY164))+1,10)))))*$D$50),$D$17*(1-(IF(INDEX($L$164:$L$179,MATCH(LEFT(CY164,FIND("·",CY164)-1),$K$164:$K$179,0))=0,ABS(INDEX($N$164:$N$179,MATCH(LEFT(CY164,FIND("·",CY164)-1),$K$164:$K$179,0))-VALUE(MID(CY164,FIND("|",CY164)+1,FIND("-",CY164,FIND("|",CY164))-FIND("|",CY164)-1))),ABS(INDEX($P$164:$P$179,MATCH(LEFT(CY164,FIND("·",CY164)-1),$K$164:$K$179,0))-(VALUE(MID(CY164,FIND("|",CY164)+1,FIND("-",CY164,FIND("|",CY164))-FIND("|",CY164)-1))-VALUE(MID(CY164,FIND("-",CY164,FIND("|",CY164))+1,10)))))*$D$50)))))*INDEX($I$164:$I$179,MATCH(LEFT(CY164,FIND("·",CY164)-1),$K$164:$K$179,0)),0),0),0)+IFERROR(IF(COUNTIF($C$164:$C$179,LEFT(CY164,FIND("·",CY164)-1))&gt;0,IF(INDEX($D$164:$D$179,MATCH(LEFT(CY164,FIND("·",CY164)-1),$C$164:$C$179,0))=IFERROR(VALUE(MID(CY164,FIND("·",CY164)+1,1)),0),($D$16+(INDEX($E$164:$E$179,MATCH(LEFT(CY164,FIND("·",CY164)-1),$C$164:$C$179,0))=MID(CY164,FIND("|",CY164)+1,10))*$D$18+MAX(0,IF($D$50=1,$D$17*(1-(ABS(INDEX($Q$164:$Q$179,MATCH(LEFT(CY164,FIND("·",CY164)-1),$C$164:$C$179,0))-(VALUE(MID(CY164,FIND("|",CY164)+1,FIND("-",CY164,FIND("|",CY164))-FIND("|",CY164)-1))-VALUE(MID(CY164,FIND("-",CY164,FIND("|",CY164))+1,10)))))*$D$50),$D$17*(1-(IF(INDEX($D$164:$D$179,MATCH(LEFT(CY164,FIND("·",CY164)-1),$C$164:$C$179,0))=0,ABS(INDEX($A$164:$A$179,MATCH(LEFT(CY164,FIND("·",CY164)-1),$C$164:$C$179,0))-VALUE(MID(CY164,FIND("|",CY164)+1,FIND("-",CY164,FIND("|",CY164))-FIND("|",CY164)-1))),ABS(INDEX($Q$164:$Q$179,MATCH(LEFT(CY164,FIND("·",CY164)-1),$C$164:$C$179,0))-(VALUE(MID(CY164,FIND("|",CY164)+1,FIND("-",CY164,FIND("|",CY164))-FIND("|",CY164)-1))-VALUE(MID(CY164,FIND("-",CY164,FIND("|",CY164))+1,10)))))*$D$50)))))*INDEX($I$164:$I$179,MATCH(LEFT(CY164,FIND("·",CY164)-1),$C$164:$C$179,0)),0),0),0)</f>
        <v>0</v>
      </c>
      <c r="DA164" s="110"/>
      <c r="DB164" s="76" t="s">
        <v>2380</v>
      </c>
      <c r="DC164" s="77">
        <f t="shared" ref="DC164" ca="1" si="768">IFERROR(IF(COUNTIF($K$164:$K$179,LEFT(DB164,FIND("·",DB164)-1))&gt;0,IF(INDEX($L$164:$L$179,MATCH(LEFT(DB164,FIND("·",DB164)-1),$K$164:$K$179,0))=IFERROR(VALUE(MID(DB164,FIND("·",DB164)+1,1)),0),($D$16+(INDEX($M$164:$M$179,MATCH(LEFT(DB164,FIND("·",DB164)-1),$K$164:$K$179,0))=MID(DB164,FIND("|",DB164)+1,10))*$D$18+MAX(0,IF($D$50=1,$D$17*(1-(ABS(INDEX($P$164:$P$179,MATCH(LEFT(DB164,FIND("·",DB164)-1),$K$164:$K$179,0))-(VALUE(MID(DB164,FIND("|",DB164)+1,FIND("-",DB164,FIND("|",DB164))-FIND("|",DB164)-1))-VALUE(MID(DB164,FIND("-",DB164,FIND("|",DB164))+1,10)))))*$D$50),$D$17*(1-(IF(INDEX($L$164:$L$179,MATCH(LEFT(DB164,FIND("·",DB164)-1),$K$164:$K$179,0))=0,ABS(INDEX($N$164:$N$179,MATCH(LEFT(DB164,FIND("·",DB164)-1),$K$164:$K$179,0))-VALUE(MID(DB164,FIND("|",DB164)+1,FIND("-",DB164,FIND("|",DB164))-FIND("|",DB164)-1))),ABS(INDEX($P$164:$P$179,MATCH(LEFT(DB164,FIND("·",DB164)-1),$K$164:$K$179,0))-(VALUE(MID(DB164,FIND("|",DB164)+1,FIND("-",DB164,FIND("|",DB164))-FIND("|",DB164)-1))-VALUE(MID(DB164,FIND("-",DB164,FIND("|",DB164))+1,10)))))*$D$50)))))*INDEX($I$164:$I$179,MATCH(LEFT(DB164,FIND("·",DB164)-1),$K$164:$K$179,0)),0),0),0)+IFERROR(IF(COUNTIF($C$164:$C$179,LEFT(DB164,FIND("·",DB164)-1))&gt;0,IF(INDEX($D$164:$D$179,MATCH(LEFT(DB164,FIND("·",DB164)-1),$C$164:$C$179,0))=IFERROR(VALUE(MID(DB164,FIND("·",DB164)+1,1)),0),($D$16+(INDEX($E$164:$E$179,MATCH(LEFT(DB164,FIND("·",DB164)-1),$C$164:$C$179,0))=MID(DB164,FIND("|",DB164)+1,10))*$D$18+MAX(0,IF($D$50=1,$D$17*(1-(ABS(INDEX($Q$164:$Q$179,MATCH(LEFT(DB164,FIND("·",DB164)-1),$C$164:$C$179,0))-(VALUE(MID(DB164,FIND("|",DB164)+1,FIND("-",DB164,FIND("|",DB164))-FIND("|",DB164)-1))-VALUE(MID(DB164,FIND("-",DB164,FIND("|",DB164))+1,10)))))*$D$50),$D$17*(1-(IF(INDEX($D$164:$D$179,MATCH(LEFT(DB164,FIND("·",DB164)-1),$C$164:$C$179,0))=0,ABS(INDEX($A$164:$A$179,MATCH(LEFT(DB164,FIND("·",DB164)-1),$C$164:$C$179,0))-VALUE(MID(DB164,FIND("|",DB164)+1,FIND("-",DB164,FIND("|",DB164))-FIND("|",DB164)-1))),ABS(INDEX($Q$164:$Q$179,MATCH(LEFT(DB164,FIND("·",DB164)-1),$C$164:$C$179,0))-(VALUE(MID(DB164,FIND("|",DB164)+1,FIND("-",DB164,FIND("|",DB164))-FIND("|",DB164)-1))-VALUE(MID(DB164,FIND("-",DB164,FIND("|",DB164))+1,10)))))*$D$50)))))*INDEX($I$164:$I$179,MATCH(LEFT(DB164,FIND("·",DB164)-1),$C$164:$C$179,0)),0),0),0)</f>
        <v>0</v>
      </c>
      <c r="DD164" s="110"/>
      <c r="DE164" s="76" t="s">
        <v>2623</v>
      </c>
      <c r="DF164" s="77">
        <f t="shared" ref="DF164" ca="1" si="769">IFERROR(IF(COUNTIF($K$164:$K$179,LEFT(DE164,FIND("·",DE164)-1))&gt;0,IF(INDEX($L$164:$L$179,MATCH(LEFT(DE164,FIND("·",DE164)-1),$K$164:$K$179,0))=IFERROR(VALUE(MID(DE164,FIND("·",DE164)+1,1)),0),($D$16+(INDEX($M$164:$M$179,MATCH(LEFT(DE164,FIND("·",DE164)-1),$K$164:$K$179,0))=MID(DE164,FIND("|",DE164)+1,10))*$D$18+MAX(0,IF($D$50=1,$D$17*(1-(ABS(INDEX($P$164:$P$179,MATCH(LEFT(DE164,FIND("·",DE164)-1),$K$164:$K$179,0))-(VALUE(MID(DE164,FIND("|",DE164)+1,FIND("-",DE164,FIND("|",DE164))-FIND("|",DE164)-1))-VALUE(MID(DE164,FIND("-",DE164,FIND("|",DE164))+1,10)))))*$D$50),$D$17*(1-(IF(INDEX($L$164:$L$179,MATCH(LEFT(DE164,FIND("·",DE164)-1),$K$164:$K$179,0))=0,ABS(INDEX($N$164:$N$179,MATCH(LEFT(DE164,FIND("·",DE164)-1),$K$164:$K$179,0))-VALUE(MID(DE164,FIND("|",DE164)+1,FIND("-",DE164,FIND("|",DE164))-FIND("|",DE164)-1))),ABS(INDEX($P$164:$P$179,MATCH(LEFT(DE164,FIND("·",DE164)-1),$K$164:$K$179,0))-(VALUE(MID(DE164,FIND("|",DE164)+1,FIND("-",DE164,FIND("|",DE164))-FIND("|",DE164)-1))-VALUE(MID(DE164,FIND("-",DE164,FIND("|",DE164))+1,10)))))*$D$50)))))*INDEX($I$164:$I$179,MATCH(LEFT(DE164,FIND("·",DE164)-1),$K$164:$K$179,0)),0),0),0)+IFERROR(IF(COUNTIF($C$164:$C$179,LEFT(DE164,FIND("·",DE164)-1))&gt;0,IF(INDEX($D$164:$D$179,MATCH(LEFT(DE164,FIND("·",DE164)-1),$C$164:$C$179,0))=IFERROR(VALUE(MID(DE164,FIND("·",DE164)+1,1)),0),($D$16+(INDEX($E$164:$E$179,MATCH(LEFT(DE164,FIND("·",DE164)-1),$C$164:$C$179,0))=MID(DE164,FIND("|",DE164)+1,10))*$D$18+MAX(0,IF($D$50=1,$D$17*(1-(ABS(INDEX($Q$164:$Q$179,MATCH(LEFT(DE164,FIND("·",DE164)-1),$C$164:$C$179,0))-(VALUE(MID(DE164,FIND("|",DE164)+1,FIND("-",DE164,FIND("|",DE164))-FIND("|",DE164)-1))-VALUE(MID(DE164,FIND("-",DE164,FIND("|",DE164))+1,10)))))*$D$50),$D$17*(1-(IF(INDEX($D$164:$D$179,MATCH(LEFT(DE164,FIND("·",DE164)-1),$C$164:$C$179,0))=0,ABS(INDEX($A$164:$A$179,MATCH(LEFT(DE164,FIND("·",DE164)-1),$C$164:$C$179,0))-VALUE(MID(DE164,FIND("|",DE164)+1,FIND("-",DE164,FIND("|",DE164))-FIND("|",DE164)-1))),ABS(INDEX($Q$164:$Q$179,MATCH(LEFT(DE164,FIND("·",DE164)-1),$C$164:$C$179,0))-(VALUE(MID(DE164,FIND("|",DE164)+1,FIND("-",DE164,FIND("|",DE164))-FIND("|",DE164)-1))-VALUE(MID(DE164,FIND("-",DE164,FIND("|",DE164))+1,10)))))*$D$50)))))*INDEX($I$164:$I$179,MATCH(LEFT(DE164,FIND("·",DE164)-1),$C$164:$C$179,0)),0),0),0)</f>
        <v>0</v>
      </c>
      <c r="DG164" s="110"/>
      <c r="DH164" s="76" t="s">
        <v>2641</v>
      </c>
      <c r="DI164" s="77">
        <f t="shared" ref="DI164" ca="1" si="770">IFERROR(IF(COUNTIF($K$164:$K$179,LEFT(DH164,FIND("·",DH164)-1))&gt;0,IF(INDEX($L$164:$L$179,MATCH(LEFT(DH164,FIND("·",DH164)-1),$K$164:$K$179,0))=IFERROR(VALUE(MID(DH164,FIND("·",DH164)+1,1)),0),($D$16+(INDEX($M$164:$M$179,MATCH(LEFT(DH164,FIND("·",DH164)-1),$K$164:$K$179,0))=MID(DH164,FIND("|",DH164)+1,10))*$D$18+MAX(0,IF($D$50=1,$D$17*(1-(ABS(INDEX($P$164:$P$179,MATCH(LEFT(DH164,FIND("·",DH164)-1),$K$164:$K$179,0))-(VALUE(MID(DH164,FIND("|",DH164)+1,FIND("-",DH164,FIND("|",DH164))-FIND("|",DH164)-1))-VALUE(MID(DH164,FIND("-",DH164,FIND("|",DH164))+1,10)))))*$D$50),$D$17*(1-(IF(INDEX($L$164:$L$179,MATCH(LEFT(DH164,FIND("·",DH164)-1),$K$164:$K$179,0))=0,ABS(INDEX($N$164:$N$179,MATCH(LEFT(DH164,FIND("·",DH164)-1),$K$164:$K$179,0))-VALUE(MID(DH164,FIND("|",DH164)+1,FIND("-",DH164,FIND("|",DH164))-FIND("|",DH164)-1))),ABS(INDEX($P$164:$P$179,MATCH(LEFT(DH164,FIND("·",DH164)-1),$K$164:$K$179,0))-(VALUE(MID(DH164,FIND("|",DH164)+1,FIND("-",DH164,FIND("|",DH164))-FIND("|",DH164)-1))-VALUE(MID(DH164,FIND("-",DH164,FIND("|",DH164))+1,10)))))*$D$50)))))*INDEX($I$164:$I$179,MATCH(LEFT(DH164,FIND("·",DH164)-1),$K$164:$K$179,0)),0),0),0)+IFERROR(IF(COUNTIF($C$164:$C$179,LEFT(DH164,FIND("·",DH164)-1))&gt;0,IF(INDEX($D$164:$D$179,MATCH(LEFT(DH164,FIND("·",DH164)-1),$C$164:$C$179,0))=IFERROR(VALUE(MID(DH164,FIND("·",DH164)+1,1)),0),($D$16+(INDEX($E$164:$E$179,MATCH(LEFT(DH164,FIND("·",DH164)-1),$C$164:$C$179,0))=MID(DH164,FIND("|",DH164)+1,10))*$D$18+MAX(0,IF($D$50=1,$D$17*(1-(ABS(INDEX($Q$164:$Q$179,MATCH(LEFT(DH164,FIND("·",DH164)-1),$C$164:$C$179,0))-(VALUE(MID(DH164,FIND("|",DH164)+1,FIND("-",DH164,FIND("|",DH164))-FIND("|",DH164)-1))-VALUE(MID(DH164,FIND("-",DH164,FIND("|",DH164))+1,10)))))*$D$50),$D$17*(1-(IF(INDEX($D$164:$D$179,MATCH(LEFT(DH164,FIND("·",DH164)-1),$C$164:$C$179,0))=0,ABS(INDEX($A$164:$A$179,MATCH(LEFT(DH164,FIND("·",DH164)-1),$C$164:$C$179,0))-VALUE(MID(DH164,FIND("|",DH164)+1,FIND("-",DH164,FIND("|",DH164))-FIND("|",DH164)-1))),ABS(INDEX($Q$164:$Q$179,MATCH(LEFT(DH164,FIND("·",DH164)-1),$C$164:$C$179,0))-(VALUE(MID(DH164,FIND("|",DH164)+1,FIND("-",DH164,FIND("|",DH164))-FIND("|",DH164)-1))-VALUE(MID(DH164,FIND("-",DH164,FIND("|",DH164))+1,10)))))*$D$50)))))*INDEX($I$164:$I$179,MATCH(LEFT(DH164,FIND("·",DH164)-1),$C$164:$C$179,0)),0),0),0)</f>
        <v>0</v>
      </c>
      <c r="DJ164" s="110"/>
      <c r="DK164" s="76" t="s">
        <v>2655</v>
      </c>
      <c r="DL164" s="77">
        <f t="shared" ref="DL164" ca="1" si="771">IFERROR(IF(COUNTIF($K$164:$K$179,LEFT(DK164,FIND("·",DK164)-1))&gt;0,IF(INDEX($L$164:$L$179,MATCH(LEFT(DK164,FIND("·",DK164)-1),$K$164:$K$179,0))=IFERROR(VALUE(MID(DK164,FIND("·",DK164)+1,1)),0),($D$16+(INDEX($M$164:$M$179,MATCH(LEFT(DK164,FIND("·",DK164)-1),$K$164:$K$179,0))=MID(DK164,FIND("|",DK164)+1,10))*$D$18+MAX(0,IF($D$50=1,$D$17*(1-(ABS(INDEX($P$164:$P$179,MATCH(LEFT(DK164,FIND("·",DK164)-1),$K$164:$K$179,0))-(VALUE(MID(DK164,FIND("|",DK164)+1,FIND("-",DK164,FIND("|",DK164))-FIND("|",DK164)-1))-VALUE(MID(DK164,FIND("-",DK164,FIND("|",DK164))+1,10)))))*$D$50),$D$17*(1-(IF(INDEX($L$164:$L$179,MATCH(LEFT(DK164,FIND("·",DK164)-1),$K$164:$K$179,0))=0,ABS(INDEX($N$164:$N$179,MATCH(LEFT(DK164,FIND("·",DK164)-1),$K$164:$K$179,0))-VALUE(MID(DK164,FIND("|",DK164)+1,FIND("-",DK164,FIND("|",DK164))-FIND("|",DK164)-1))),ABS(INDEX($P$164:$P$179,MATCH(LEFT(DK164,FIND("·",DK164)-1),$K$164:$K$179,0))-(VALUE(MID(DK164,FIND("|",DK164)+1,FIND("-",DK164,FIND("|",DK164))-FIND("|",DK164)-1))-VALUE(MID(DK164,FIND("-",DK164,FIND("|",DK164))+1,10)))))*$D$50)))))*INDEX($I$164:$I$179,MATCH(LEFT(DK164,FIND("·",DK164)-1),$K$164:$K$179,0)),0),0),0)+IFERROR(IF(COUNTIF($C$164:$C$179,LEFT(DK164,FIND("·",DK164)-1))&gt;0,IF(INDEX($D$164:$D$179,MATCH(LEFT(DK164,FIND("·",DK164)-1),$C$164:$C$179,0))=IFERROR(VALUE(MID(DK164,FIND("·",DK164)+1,1)),0),($D$16+(INDEX($E$164:$E$179,MATCH(LEFT(DK164,FIND("·",DK164)-1),$C$164:$C$179,0))=MID(DK164,FIND("|",DK164)+1,10))*$D$18+MAX(0,IF($D$50=1,$D$17*(1-(ABS(INDEX($Q$164:$Q$179,MATCH(LEFT(DK164,FIND("·",DK164)-1),$C$164:$C$179,0))-(VALUE(MID(DK164,FIND("|",DK164)+1,FIND("-",DK164,FIND("|",DK164))-FIND("|",DK164)-1))-VALUE(MID(DK164,FIND("-",DK164,FIND("|",DK164))+1,10)))))*$D$50),$D$17*(1-(IF(INDEX($D$164:$D$179,MATCH(LEFT(DK164,FIND("·",DK164)-1),$C$164:$C$179,0))=0,ABS(INDEX($A$164:$A$179,MATCH(LEFT(DK164,FIND("·",DK164)-1),$C$164:$C$179,0))-VALUE(MID(DK164,FIND("|",DK164)+1,FIND("-",DK164,FIND("|",DK164))-FIND("|",DK164)-1))),ABS(INDEX($Q$164:$Q$179,MATCH(LEFT(DK164,FIND("·",DK164)-1),$C$164:$C$179,0))-(VALUE(MID(DK164,FIND("|",DK164)+1,FIND("-",DK164,FIND("|",DK164))-FIND("|",DK164)-1))-VALUE(MID(DK164,FIND("-",DK164,FIND("|",DK164))+1,10)))))*$D$50)))))*INDEX($I$164:$I$179,MATCH(LEFT(DK164,FIND("·",DK164)-1),$C$164:$C$179,0)),0),0),0)</f>
        <v>0</v>
      </c>
      <c r="DM164" s="110"/>
      <c r="DN164" s="795" t="s">
        <v>2669</v>
      </c>
      <c r="DO164" s="77">
        <f t="shared" ref="DO164" ca="1" si="772">IFERROR(IF(COUNTIF($K$164:$K$179,LEFT(DN164,FIND("·",DN164)-1))&gt;0,IF(INDEX($L$164:$L$179,MATCH(LEFT(DN164,FIND("·",DN164)-1),$K$164:$K$179,0))=IFERROR(VALUE(MID(DN164,FIND("·",DN164)+1,1)),0),($D$16+(INDEX($M$164:$M$179,MATCH(LEFT(DN164,FIND("·",DN164)-1),$K$164:$K$179,0))=MID(DN164,FIND("|",DN164)+1,10))*$D$18+MAX(0,IF($D$50=1,$D$17*(1-(ABS(INDEX($P$164:$P$179,MATCH(LEFT(DN164,FIND("·",DN164)-1),$K$164:$K$179,0))-(VALUE(MID(DN164,FIND("|",DN164)+1,FIND("-",DN164,FIND("|",DN164))-FIND("|",DN164)-1))-VALUE(MID(DN164,FIND("-",DN164,FIND("|",DN164))+1,10)))))*$D$50),$D$17*(1-(IF(INDEX($L$164:$L$179,MATCH(LEFT(DN164,FIND("·",DN164)-1),$K$164:$K$179,0))=0,ABS(INDEX($N$164:$N$179,MATCH(LEFT(DN164,FIND("·",DN164)-1),$K$164:$K$179,0))-VALUE(MID(DN164,FIND("|",DN164)+1,FIND("-",DN164,FIND("|",DN164))-FIND("|",DN164)-1))),ABS(INDEX($P$164:$P$179,MATCH(LEFT(DN164,FIND("·",DN164)-1),$K$164:$K$179,0))-(VALUE(MID(DN164,FIND("|",DN164)+1,FIND("-",DN164,FIND("|",DN164))-FIND("|",DN164)-1))-VALUE(MID(DN164,FIND("-",DN164,FIND("|",DN164))+1,10)))))*$D$50)))))*INDEX($I$164:$I$179,MATCH(LEFT(DN164,FIND("·",DN164)-1),$K$164:$K$179,0)),0),0),0)+IFERROR(IF(COUNTIF($C$164:$C$179,LEFT(DN164,FIND("·",DN164)-1))&gt;0,IF(INDEX($D$164:$D$179,MATCH(LEFT(DN164,FIND("·",DN164)-1),$C$164:$C$179,0))=IFERROR(VALUE(MID(DN164,FIND("·",DN164)+1,1)),0),($D$16+(INDEX($E$164:$E$179,MATCH(LEFT(DN164,FIND("·",DN164)-1),$C$164:$C$179,0))=MID(DN164,FIND("|",DN164)+1,10))*$D$18+MAX(0,IF($D$50=1,$D$17*(1-(ABS(INDEX($Q$164:$Q$179,MATCH(LEFT(DN164,FIND("·",DN164)-1),$C$164:$C$179,0))-(VALUE(MID(DN164,FIND("|",DN164)+1,FIND("-",DN164,FIND("|",DN164))-FIND("|",DN164)-1))-VALUE(MID(DN164,FIND("-",DN164,FIND("|",DN164))+1,10)))))*$D$50),$D$17*(1-(IF(INDEX($D$164:$D$179,MATCH(LEFT(DN164,FIND("·",DN164)-1),$C$164:$C$179,0))=0,ABS(INDEX($A$164:$A$179,MATCH(LEFT(DN164,FIND("·",DN164)-1),$C$164:$C$179,0))-VALUE(MID(DN164,FIND("|",DN164)+1,FIND("-",DN164,FIND("|",DN164))-FIND("|",DN164)-1))),ABS(INDEX($Q$164:$Q$179,MATCH(LEFT(DN164,FIND("·",DN164)-1),$C$164:$C$179,0))-(VALUE(MID(DN164,FIND("|",DN164)+1,FIND("-",DN164,FIND("|",DN164))-FIND("|",DN164)-1))-VALUE(MID(DN164,FIND("-",DN164,FIND("|",DN164))+1,10)))))*$D$50)))))*INDEX($I$164:$I$179,MATCH(LEFT(DN164,FIND("·",DN164)-1),$C$164:$C$179,0)),0),0),0)</f>
        <v>0</v>
      </c>
      <c r="DP164" s="110"/>
      <c r="DQ164" s="795" t="s">
        <v>2041</v>
      </c>
      <c r="DR164" s="77">
        <f t="shared" ref="DR164" ca="1" si="773">IFERROR(IF(COUNTIF($K$164:$K$179,LEFT(DQ164,FIND("·",DQ164)-1))&gt;0,IF(INDEX($L$164:$L$179,MATCH(LEFT(DQ164,FIND("·",DQ164)-1),$K$164:$K$179,0))=IFERROR(VALUE(MID(DQ164,FIND("·",DQ164)+1,1)),0),($D$16+(INDEX($M$164:$M$179,MATCH(LEFT(DQ164,FIND("·",DQ164)-1),$K$164:$K$179,0))=MID(DQ164,FIND("|",DQ164)+1,10))*$D$18+MAX(0,IF($D$50=1,$D$17*(1-(ABS(INDEX($P$164:$P$179,MATCH(LEFT(DQ164,FIND("·",DQ164)-1),$K$164:$K$179,0))-(VALUE(MID(DQ164,FIND("|",DQ164)+1,FIND("-",DQ164,FIND("|",DQ164))-FIND("|",DQ164)-1))-VALUE(MID(DQ164,FIND("-",DQ164,FIND("|",DQ164))+1,10)))))*$D$50),$D$17*(1-(IF(INDEX($L$164:$L$179,MATCH(LEFT(DQ164,FIND("·",DQ164)-1),$K$164:$K$179,0))=0,ABS(INDEX($N$164:$N$179,MATCH(LEFT(DQ164,FIND("·",DQ164)-1),$K$164:$K$179,0))-VALUE(MID(DQ164,FIND("|",DQ164)+1,FIND("-",DQ164,FIND("|",DQ164))-FIND("|",DQ164)-1))),ABS(INDEX($P$164:$P$179,MATCH(LEFT(DQ164,FIND("·",DQ164)-1),$K$164:$K$179,0))-(VALUE(MID(DQ164,FIND("|",DQ164)+1,FIND("-",DQ164,FIND("|",DQ164))-FIND("|",DQ164)-1))-VALUE(MID(DQ164,FIND("-",DQ164,FIND("|",DQ164))+1,10)))))*$D$50)))))*INDEX($I$164:$I$179,MATCH(LEFT(DQ164,FIND("·",DQ164)-1),$K$164:$K$179,0)),0),0),0)+IFERROR(IF(COUNTIF($C$164:$C$179,LEFT(DQ164,FIND("·",DQ164)-1))&gt;0,IF(INDEX($D$164:$D$179,MATCH(LEFT(DQ164,FIND("·",DQ164)-1),$C$164:$C$179,0))=IFERROR(VALUE(MID(DQ164,FIND("·",DQ164)+1,1)),0),($D$16+(INDEX($E$164:$E$179,MATCH(LEFT(DQ164,FIND("·",DQ164)-1),$C$164:$C$179,0))=MID(DQ164,FIND("|",DQ164)+1,10))*$D$18+MAX(0,IF($D$50=1,$D$17*(1-(ABS(INDEX($Q$164:$Q$179,MATCH(LEFT(DQ164,FIND("·",DQ164)-1),$C$164:$C$179,0))-(VALUE(MID(DQ164,FIND("|",DQ164)+1,FIND("-",DQ164,FIND("|",DQ164))-FIND("|",DQ164)-1))-VALUE(MID(DQ164,FIND("-",DQ164,FIND("|",DQ164))+1,10)))))*$D$50),$D$17*(1-(IF(INDEX($D$164:$D$179,MATCH(LEFT(DQ164,FIND("·",DQ164)-1),$C$164:$C$179,0))=0,ABS(INDEX($A$164:$A$179,MATCH(LEFT(DQ164,FIND("·",DQ164)-1),$C$164:$C$179,0))-VALUE(MID(DQ164,FIND("|",DQ164)+1,FIND("-",DQ164,FIND("|",DQ164))-FIND("|",DQ164)-1))),ABS(INDEX($Q$164:$Q$179,MATCH(LEFT(DQ164,FIND("·",DQ164)-1),$C$164:$C$179,0))-(VALUE(MID(DQ164,FIND("|",DQ164)+1,FIND("-",DQ164,FIND("|",DQ164))-FIND("|",DQ164)-1))-VALUE(MID(DQ164,FIND("-",DQ164,FIND("|",DQ164))+1,10)))))*$D$50)))))*INDEX($I$164:$I$179,MATCH(LEFT(DQ164,FIND("·",DQ164)-1),$C$164:$C$179,0)),0),0),0)</f>
        <v>0</v>
      </c>
      <c r="DS164" s="110"/>
      <c r="DT164" s="76" t="s">
        <v>2341</v>
      </c>
      <c r="DU164" s="77">
        <f t="shared" ref="DU164" ca="1" si="774">IFERROR(IF(COUNTIF($K$164:$K$179,LEFT(DT164,FIND("·",DT164)-1))&gt;0,IF(INDEX($L$164:$L$179,MATCH(LEFT(DT164,FIND("·",DT164)-1),$K$164:$K$179,0))=IFERROR(VALUE(MID(DT164,FIND("·",DT164)+1,1)),0),($D$16+(INDEX($M$164:$M$179,MATCH(LEFT(DT164,FIND("·",DT164)-1),$K$164:$K$179,0))=MID(DT164,FIND("|",DT164)+1,10))*$D$18+MAX(0,IF($D$50=1,$D$17*(1-(ABS(INDEX($P$164:$P$179,MATCH(LEFT(DT164,FIND("·",DT164)-1),$K$164:$K$179,0))-(VALUE(MID(DT164,FIND("|",DT164)+1,FIND("-",DT164,FIND("|",DT164))-FIND("|",DT164)-1))-VALUE(MID(DT164,FIND("-",DT164,FIND("|",DT164))+1,10)))))*$D$50),$D$17*(1-(IF(INDEX($L$164:$L$179,MATCH(LEFT(DT164,FIND("·",DT164)-1),$K$164:$K$179,0))=0,ABS(INDEX($N$164:$N$179,MATCH(LEFT(DT164,FIND("·",DT164)-1),$K$164:$K$179,0))-VALUE(MID(DT164,FIND("|",DT164)+1,FIND("-",DT164,FIND("|",DT164))-FIND("|",DT164)-1))),ABS(INDEX($P$164:$P$179,MATCH(LEFT(DT164,FIND("·",DT164)-1),$K$164:$K$179,0))-(VALUE(MID(DT164,FIND("|",DT164)+1,FIND("-",DT164,FIND("|",DT164))-FIND("|",DT164)-1))-VALUE(MID(DT164,FIND("-",DT164,FIND("|",DT164))+1,10)))))*$D$50)))))*INDEX($I$164:$I$179,MATCH(LEFT(DT164,FIND("·",DT164)-1),$K$164:$K$179,0)),0),0),0)+IFERROR(IF(COUNTIF($C$164:$C$179,LEFT(DT164,FIND("·",DT164)-1))&gt;0,IF(INDEX($D$164:$D$179,MATCH(LEFT(DT164,FIND("·",DT164)-1),$C$164:$C$179,0))=IFERROR(VALUE(MID(DT164,FIND("·",DT164)+1,1)),0),($D$16+(INDEX($E$164:$E$179,MATCH(LEFT(DT164,FIND("·",DT164)-1),$C$164:$C$179,0))=MID(DT164,FIND("|",DT164)+1,10))*$D$18+MAX(0,IF($D$50=1,$D$17*(1-(ABS(INDEX($Q$164:$Q$179,MATCH(LEFT(DT164,FIND("·",DT164)-1),$C$164:$C$179,0))-(VALUE(MID(DT164,FIND("|",DT164)+1,FIND("-",DT164,FIND("|",DT164))-FIND("|",DT164)-1))-VALUE(MID(DT164,FIND("-",DT164,FIND("|",DT164))+1,10)))))*$D$50),$D$17*(1-(IF(INDEX($D$164:$D$179,MATCH(LEFT(DT164,FIND("·",DT164)-1),$C$164:$C$179,0))=0,ABS(INDEX($A$164:$A$179,MATCH(LEFT(DT164,FIND("·",DT164)-1),$C$164:$C$179,0))-VALUE(MID(DT164,FIND("|",DT164)+1,FIND("-",DT164,FIND("|",DT164))-FIND("|",DT164)-1))),ABS(INDEX($Q$164:$Q$179,MATCH(LEFT(DT164,FIND("·",DT164)-1),$C$164:$C$179,0))-(VALUE(MID(DT164,FIND("|",DT164)+1,FIND("-",DT164,FIND("|",DT164))-FIND("|",DT164)-1))-VALUE(MID(DT164,FIND("-",DT164,FIND("|",DT164))+1,10)))))*$D$50)))))*INDEX($I$164:$I$179,MATCH(LEFT(DT164,FIND("·",DT164)-1),$C$164:$C$179,0)),0),0),0)</f>
        <v>0</v>
      </c>
      <c r="DV164" s="110"/>
      <c r="DW164" s="76" t="s">
        <v>2397</v>
      </c>
      <c r="DX164" s="77">
        <f t="shared" ref="DX164" ca="1" si="775">IFERROR(IF(COUNTIF($K$164:$K$179,LEFT(DW164,FIND("·",DW164)-1))&gt;0,IF(INDEX($L$164:$L$179,MATCH(LEFT(DW164,FIND("·",DW164)-1),$K$164:$K$179,0))=IFERROR(VALUE(MID(DW164,FIND("·",DW164)+1,1)),0),($D$16+(INDEX($M$164:$M$179,MATCH(LEFT(DW164,FIND("·",DW164)-1),$K$164:$K$179,0))=MID(DW164,FIND("|",DW164)+1,10))*$D$18+MAX(0,IF($D$50=1,$D$17*(1-(ABS(INDEX($P$164:$P$179,MATCH(LEFT(DW164,FIND("·",DW164)-1),$K$164:$K$179,0))-(VALUE(MID(DW164,FIND("|",DW164)+1,FIND("-",DW164,FIND("|",DW164))-FIND("|",DW164)-1))-VALUE(MID(DW164,FIND("-",DW164,FIND("|",DW164))+1,10)))))*$D$50),$D$17*(1-(IF(INDEX($L$164:$L$179,MATCH(LEFT(DW164,FIND("·",DW164)-1),$K$164:$K$179,0))=0,ABS(INDEX($N$164:$N$179,MATCH(LEFT(DW164,FIND("·",DW164)-1),$K$164:$K$179,0))-VALUE(MID(DW164,FIND("|",DW164)+1,FIND("-",DW164,FIND("|",DW164))-FIND("|",DW164)-1))),ABS(INDEX($P$164:$P$179,MATCH(LEFT(DW164,FIND("·",DW164)-1),$K$164:$K$179,0))-(VALUE(MID(DW164,FIND("|",DW164)+1,FIND("-",DW164,FIND("|",DW164))-FIND("|",DW164)-1))-VALUE(MID(DW164,FIND("-",DW164,FIND("|",DW164))+1,10)))))*$D$50)))))*INDEX($I$164:$I$179,MATCH(LEFT(DW164,FIND("·",DW164)-1),$K$164:$K$179,0)),0),0),0)+IFERROR(IF(COUNTIF($C$164:$C$179,LEFT(DW164,FIND("·",DW164)-1))&gt;0,IF(INDEX($D$164:$D$179,MATCH(LEFT(DW164,FIND("·",DW164)-1),$C$164:$C$179,0))=IFERROR(VALUE(MID(DW164,FIND("·",DW164)+1,1)),0),($D$16+(INDEX($E$164:$E$179,MATCH(LEFT(DW164,FIND("·",DW164)-1),$C$164:$C$179,0))=MID(DW164,FIND("|",DW164)+1,10))*$D$18+MAX(0,IF($D$50=1,$D$17*(1-(ABS(INDEX($Q$164:$Q$179,MATCH(LEFT(DW164,FIND("·",DW164)-1),$C$164:$C$179,0))-(VALUE(MID(DW164,FIND("|",DW164)+1,FIND("-",DW164,FIND("|",DW164))-FIND("|",DW164)-1))-VALUE(MID(DW164,FIND("-",DW164,FIND("|",DW164))+1,10)))))*$D$50),$D$17*(1-(IF(INDEX($D$164:$D$179,MATCH(LEFT(DW164,FIND("·",DW164)-1),$C$164:$C$179,0))=0,ABS(INDEX($A$164:$A$179,MATCH(LEFT(DW164,FIND("·",DW164)-1),$C$164:$C$179,0))-VALUE(MID(DW164,FIND("|",DW164)+1,FIND("-",DW164,FIND("|",DW164))-FIND("|",DW164)-1))),ABS(INDEX($Q$164:$Q$179,MATCH(LEFT(DW164,FIND("·",DW164)-1),$C$164:$C$179,0))-(VALUE(MID(DW164,FIND("|",DW164)+1,FIND("-",DW164,FIND("|",DW164))-FIND("|",DW164)-1))-VALUE(MID(DW164,FIND("-",DW164,FIND("|",DW164))+1,10)))))*$D$50)))))*INDEX($I$164:$I$179,MATCH(LEFT(DW164,FIND("·",DW164)-1),$C$164:$C$179,0)),0),0),0)</f>
        <v>0</v>
      </c>
      <c r="DY164" s="110"/>
      <c r="DZ164" s="76" t="s">
        <v>2752</v>
      </c>
      <c r="EA164" s="77">
        <f t="shared" ref="EA164" ca="1" si="776">IFERROR(IF(COUNTIF($K$164:$K$179,LEFT(DZ164,FIND("·",DZ164)-1))&gt;0,IF(INDEX($L$164:$L$179,MATCH(LEFT(DZ164,FIND("·",DZ164)-1),$K$164:$K$179,0))=IFERROR(VALUE(MID(DZ164,FIND("·",DZ164)+1,1)),0),($D$16+(INDEX($M$164:$M$179,MATCH(LEFT(DZ164,FIND("·",DZ164)-1),$K$164:$K$179,0))=MID(DZ164,FIND("|",DZ164)+1,10))*$D$18+MAX(0,IF($D$50=1,$D$17*(1-(ABS(INDEX($P$164:$P$179,MATCH(LEFT(DZ164,FIND("·",DZ164)-1),$K$164:$K$179,0))-(VALUE(MID(DZ164,FIND("|",DZ164)+1,FIND("-",DZ164,FIND("|",DZ164))-FIND("|",DZ164)-1))-VALUE(MID(DZ164,FIND("-",DZ164,FIND("|",DZ164))+1,10)))))*$D$50),$D$17*(1-(IF(INDEX($L$164:$L$179,MATCH(LEFT(DZ164,FIND("·",DZ164)-1),$K$164:$K$179,0))=0,ABS(INDEX($N$164:$N$179,MATCH(LEFT(DZ164,FIND("·",DZ164)-1),$K$164:$K$179,0))-VALUE(MID(DZ164,FIND("|",DZ164)+1,FIND("-",DZ164,FIND("|",DZ164))-FIND("|",DZ164)-1))),ABS(INDEX($P$164:$P$179,MATCH(LEFT(DZ164,FIND("·",DZ164)-1),$K$164:$K$179,0))-(VALUE(MID(DZ164,FIND("|",DZ164)+1,FIND("-",DZ164,FIND("|",DZ164))-FIND("|",DZ164)-1))-VALUE(MID(DZ164,FIND("-",DZ164,FIND("|",DZ164))+1,10)))))*$D$50)))))*INDEX($I$164:$I$179,MATCH(LEFT(DZ164,FIND("·",DZ164)-1),$K$164:$K$179,0)),0),0),0)+IFERROR(IF(COUNTIF($C$164:$C$179,LEFT(DZ164,FIND("·",DZ164)-1))&gt;0,IF(INDEX($D$164:$D$179,MATCH(LEFT(DZ164,FIND("·",DZ164)-1),$C$164:$C$179,0))=IFERROR(VALUE(MID(DZ164,FIND("·",DZ164)+1,1)),0),($D$16+(INDEX($E$164:$E$179,MATCH(LEFT(DZ164,FIND("·",DZ164)-1),$C$164:$C$179,0))=MID(DZ164,FIND("|",DZ164)+1,10))*$D$18+MAX(0,IF($D$50=1,$D$17*(1-(ABS(INDEX($Q$164:$Q$179,MATCH(LEFT(DZ164,FIND("·",DZ164)-1),$C$164:$C$179,0))-(VALUE(MID(DZ164,FIND("|",DZ164)+1,FIND("-",DZ164,FIND("|",DZ164))-FIND("|",DZ164)-1))-VALUE(MID(DZ164,FIND("-",DZ164,FIND("|",DZ164))+1,10)))))*$D$50),$D$17*(1-(IF(INDEX($D$164:$D$179,MATCH(LEFT(DZ164,FIND("·",DZ164)-1),$C$164:$C$179,0))=0,ABS(INDEX($A$164:$A$179,MATCH(LEFT(DZ164,FIND("·",DZ164)-1),$C$164:$C$179,0))-VALUE(MID(DZ164,FIND("|",DZ164)+1,FIND("-",DZ164,FIND("|",DZ164))-FIND("|",DZ164)-1))),ABS(INDEX($Q$164:$Q$179,MATCH(LEFT(DZ164,FIND("·",DZ164)-1),$C$164:$C$179,0))-(VALUE(MID(DZ164,FIND("|",DZ164)+1,FIND("-",DZ164,FIND("|",DZ164))-FIND("|",DZ164)-1))-VALUE(MID(DZ164,FIND("-",DZ164,FIND("|",DZ164))+1,10)))))*$D$50)))))*INDEX($I$164:$I$179,MATCH(LEFT(DZ164,FIND("·",DZ164)-1),$C$164:$C$179,0)),0),0),0)</f>
        <v>0</v>
      </c>
      <c r="EB164" s="110"/>
      <c r="EC164" s="76" t="s">
        <v>2003</v>
      </c>
      <c r="ED164" s="77">
        <f t="shared" ref="ED164" ca="1" si="777">IFERROR(IF(COUNTIF($K$164:$K$179,LEFT(EC164,FIND("·",EC164)-1))&gt;0,IF(INDEX($L$164:$L$179,MATCH(LEFT(EC164,FIND("·",EC164)-1),$K$164:$K$179,0))=IFERROR(VALUE(MID(EC164,FIND("·",EC164)+1,1)),0),($D$16+(INDEX($M$164:$M$179,MATCH(LEFT(EC164,FIND("·",EC164)-1),$K$164:$K$179,0))=MID(EC164,FIND("|",EC164)+1,10))*$D$18+MAX(0,IF($D$50=1,$D$17*(1-(ABS(INDEX($P$164:$P$179,MATCH(LEFT(EC164,FIND("·",EC164)-1),$K$164:$K$179,0))-(VALUE(MID(EC164,FIND("|",EC164)+1,FIND("-",EC164,FIND("|",EC164))-FIND("|",EC164)-1))-VALUE(MID(EC164,FIND("-",EC164,FIND("|",EC164))+1,10)))))*$D$50),$D$17*(1-(IF(INDEX($L$164:$L$179,MATCH(LEFT(EC164,FIND("·",EC164)-1),$K$164:$K$179,0))=0,ABS(INDEX($N$164:$N$179,MATCH(LEFT(EC164,FIND("·",EC164)-1),$K$164:$K$179,0))-VALUE(MID(EC164,FIND("|",EC164)+1,FIND("-",EC164,FIND("|",EC164))-FIND("|",EC164)-1))),ABS(INDEX($P$164:$P$179,MATCH(LEFT(EC164,FIND("·",EC164)-1),$K$164:$K$179,0))-(VALUE(MID(EC164,FIND("|",EC164)+1,FIND("-",EC164,FIND("|",EC164))-FIND("|",EC164)-1))-VALUE(MID(EC164,FIND("-",EC164,FIND("|",EC164))+1,10)))))*$D$50)))))*INDEX($I$164:$I$179,MATCH(LEFT(EC164,FIND("·",EC164)-1),$K$164:$K$179,0)),0),0),0)+IFERROR(IF(COUNTIF($C$164:$C$179,LEFT(EC164,FIND("·",EC164)-1))&gt;0,IF(INDEX($D$164:$D$179,MATCH(LEFT(EC164,FIND("·",EC164)-1),$C$164:$C$179,0))=IFERROR(VALUE(MID(EC164,FIND("·",EC164)+1,1)),0),($D$16+(INDEX($E$164:$E$179,MATCH(LEFT(EC164,FIND("·",EC164)-1),$C$164:$C$179,0))=MID(EC164,FIND("|",EC164)+1,10))*$D$18+MAX(0,IF($D$50=1,$D$17*(1-(ABS(INDEX($Q$164:$Q$179,MATCH(LEFT(EC164,FIND("·",EC164)-1),$C$164:$C$179,0))-(VALUE(MID(EC164,FIND("|",EC164)+1,FIND("-",EC164,FIND("|",EC164))-FIND("|",EC164)-1))-VALUE(MID(EC164,FIND("-",EC164,FIND("|",EC164))+1,10)))))*$D$50),$D$17*(1-(IF(INDEX($D$164:$D$179,MATCH(LEFT(EC164,FIND("·",EC164)-1),$C$164:$C$179,0))=0,ABS(INDEX($A$164:$A$179,MATCH(LEFT(EC164,FIND("·",EC164)-1),$C$164:$C$179,0))-VALUE(MID(EC164,FIND("|",EC164)+1,FIND("-",EC164,FIND("|",EC164))-FIND("|",EC164)-1))),ABS(INDEX($Q$164:$Q$179,MATCH(LEFT(EC164,FIND("·",EC164)-1),$C$164:$C$179,0))-(VALUE(MID(EC164,FIND("|",EC164)+1,FIND("-",EC164,FIND("|",EC164))-FIND("|",EC164)-1))-VALUE(MID(EC164,FIND("-",EC164,FIND("|",EC164))+1,10)))))*$D$50)))))*INDEX($I$164:$I$179,MATCH(LEFT(EC164,FIND("·",EC164)-1),$C$164:$C$179,0)),0),0),0)</f>
        <v>0</v>
      </c>
      <c r="EE164" s="110"/>
      <c r="EF164" s="76" t="s">
        <v>2777</v>
      </c>
      <c r="EG164" s="77">
        <f t="shared" ref="EG164" ca="1" si="778">IFERROR(IF(COUNTIF($K$164:$K$179,LEFT(EF164,FIND("·",EF164)-1))&gt;0,IF(INDEX($L$164:$L$179,MATCH(LEFT(EF164,FIND("·",EF164)-1),$K$164:$K$179,0))=IFERROR(VALUE(MID(EF164,FIND("·",EF164)+1,1)),0),($D$16+(INDEX($M$164:$M$179,MATCH(LEFT(EF164,FIND("·",EF164)-1),$K$164:$K$179,0))=MID(EF164,FIND("|",EF164)+1,10))*$D$18+MAX(0,IF($D$50=1,$D$17*(1-(ABS(INDEX($P$164:$P$179,MATCH(LEFT(EF164,FIND("·",EF164)-1),$K$164:$K$179,0))-(VALUE(MID(EF164,FIND("|",EF164)+1,FIND("-",EF164,FIND("|",EF164))-FIND("|",EF164)-1))-VALUE(MID(EF164,FIND("-",EF164,FIND("|",EF164))+1,10)))))*$D$50),$D$17*(1-(IF(INDEX($L$164:$L$179,MATCH(LEFT(EF164,FIND("·",EF164)-1),$K$164:$K$179,0))=0,ABS(INDEX($N$164:$N$179,MATCH(LEFT(EF164,FIND("·",EF164)-1),$K$164:$K$179,0))-VALUE(MID(EF164,FIND("|",EF164)+1,FIND("-",EF164,FIND("|",EF164))-FIND("|",EF164)-1))),ABS(INDEX($P$164:$P$179,MATCH(LEFT(EF164,FIND("·",EF164)-1),$K$164:$K$179,0))-(VALUE(MID(EF164,FIND("|",EF164)+1,FIND("-",EF164,FIND("|",EF164))-FIND("|",EF164)-1))-VALUE(MID(EF164,FIND("-",EF164,FIND("|",EF164))+1,10)))))*$D$50)))))*INDEX($I$164:$I$179,MATCH(LEFT(EF164,FIND("·",EF164)-1),$K$164:$K$179,0)),0),0),0)+IFERROR(IF(COUNTIF($C$164:$C$179,LEFT(EF164,FIND("·",EF164)-1))&gt;0,IF(INDEX($D$164:$D$179,MATCH(LEFT(EF164,FIND("·",EF164)-1),$C$164:$C$179,0))=IFERROR(VALUE(MID(EF164,FIND("·",EF164)+1,1)),0),($D$16+(INDEX($E$164:$E$179,MATCH(LEFT(EF164,FIND("·",EF164)-1),$C$164:$C$179,0))=MID(EF164,FIND("|",EF164)+1,10))*$D$18+MAX(0,IF($D$50=1,$D$17*(1-(ABS(INDEX($Q$164:$Q$179,MATCH(LEFT(EF164,FIND("·",EF164)-1),$C$164:$C$179,0))-(VALUE(MID(EF164,FIND("|",EF164)+1,FIND("-",EF164,FIND("|",EF164))-FIND("|",EF164)-1))-VALUE(MID(EF164,FIND("-",EF164,FIND("|",EF164))+1,10)))))*$D$50),$D$17*(1-(IF(INDEX($D$164:$D$179,MATCH(LEFT(EF164,FIND("·",EF164)-1),$C$164:$C$179,0))=0,ABS(INDEX($A$164:$A$179,MATCH(LEFT(EF164,FIND("·",EF164)-1),$C$164:$C$179,0))-VALUE(MID(EF164,FIND("|",EF164)+1,FIND("-",EF164,FIND("|",EF164))-FIND("|",EF164)-1))),ABS(INDEX($Q$164:$Q$179,MATCH(LEFT(EF164,FIND("·",EF164)-1),$C$164:$C$179,0))-(VALUE(MID(EF164,FIND("|",EF164)+1,FIND("-",EF164,FIND("|",EF164))-FIND("|",EF164)-1))-VALUE(MID(EF164,FIND("-",EF164,FIND("|",EF164))+1,10)))))*$D$50)))))*INDEX($I$164:$I$179,MATCH(LEFT(EF164,FIND("·",EF164)-1),$C$164:$C$179,0)),0),0),0)</f>
        <v>0</v>
      </c>
      <c r="EH164" s="110"/>
      <c r="EI164" s="76" t="s">
        <v>2074</v>
      </c>
      <c r="EJ164" s="77">
        <f t="shared" ref="EJ164" ca="1" si="779">IFERROR(IF(COUNTIF($K$164:$K$179,LEFT(EI164,FIND("·",EI164)-1))&gt;0,IF(INDEX($L$164:$L$179,MATCH(LEFT(EI164,FIND("·",EI164)-1),$K$164:$K$179,0))=IFERROR(VALUE(MID(EI164,FIND("·",EI164)+1,1)),0),($D$16+(INDEX($M$164:$M$179,MATCH(LEFT(EI164,FIND("·",EI164)-1),$K$164:$K$179,0))=MID(EI164,FIND("|",EI164)+1,10))*$D$18+MAX(0,IF($D$50=1,$D$17*(1-(ABS(INDEX($P$164:$P$179,MATCH(LEFT(EI164,FIND("·",EI164)-1),$K$164:$K$179,0))-(VALUE(MID(EI164,FIND("|",EI164)+1,FIND("-",EI164,FIND("|",EI164))-FIND("|",EI164)-1))-VALUE(MID(EI164,FIND("-",EI164,FIND("|",EI164))+1,10)))))*$D$50),$D$17*(1-(IF(INDEX($L$164:$L$179,MATCH(LEFT(EI164,FIND("·",EI164)-1),$K$164:$K$179,0))=0,ABS(INDEX($N$164:$N$179,MATCH(LEFT(EI164,FIND("·",EI164)-1),$K$164:$K$179,0))-VALUE(MID(EI164,FIND("|",EI164)+1,FIND("-",EI164,FIND("|",EI164))-FIND("|",EI164)-1))),ABS(INDEX($P$164:$P$179,MATCH(LEFT(EI164,FIND("·",EI164)-1),$K$164:$K$179,0))-(VALUE(MID(EI164,FIND("|",EI164)+1,FIND("-",EI164,FIND("|",EI164))-FIND("|",EI164)-1))-VALUE(MID(EI164,FIND("-",EI164,FIND("|",EI164))+1,10)))))*$D$50)))))*INDEX($I$164:$I$179,MATCH(LEFT(EI164,FIND("·",EI164)-1),$K$164:$K$179,0)),0),0),0)+IFERROR(IF(COUNTIF($C$164:$C$179,LEFT(EI164,FIND("·",EI164)-1))&gt;0,IF(INDEX($D$164:$D$179,MATCH(LEFT(EI164,FIND("·",EI164)-1),$C$164:$C$179,0))=IFERROR(VALUE(MID(EI164,FIND("·",EI164)+1,1)),0),($D$16+(INDEX($E$164:$E$179,MATCH(LEFT(EI164,FIND("·",EI164)-1),$C$164:$C$179,0))=MID(EI164,FIND("|",EI164)+1,10))*$D$18+MAX(0,IF($D$50=1,$D$17*(1-(ABS(INDEX($Q$164:$Q$179,MATCH(LEFT(EI164,FIND("·",EI164)-1),$C$164:$C$179,0))-(VALUE(MID(EI164,FIND("|",EI164)+1,FIND("-",EI164,FIND("|",EI164))-FIND("|",EI164)-1))-VALUE(MID(EI164,FIND("-",EI164,FIND("|",EI164))+1,10)))))*$D$50),$D$17*(1-(IF(INDEX($D$164:$D$179,MATCH(LEFT(EI164,FIND("·",EI164)-1),$C$164:$C$179,0))=0,ABS(INDEX($A$164:$A$179,MATCH(LEFT(EI164,FIND("·",EI164)-1),$C$164:$C$179,0))-VALUE(MID(EI164,FIND("|",EI164)+1,FIND("-",EI164,FIND("|",EI164))-FIND("|",EI164)-1))),ABS(INDEX($Q$164:$Q$179,MATCH(LEFT(EI164,FIND("·",EI164)-1),$C$164:$C$179,0))-(VALUE(MID(EI164,FIND("|",EI164)+1,FIND("-",EI164,FIND("|",EI164))-FIND("|",EI164)-1))-VALUE(MID(EI164,FIND("-",EI164,FIND("|",EI164))+1,10)))))*$D$50)))))*INDEX($I$164:$I$179,MATCH(LEFT(EI164,FIND("·",EI164)-1),$C$164:$C$179,0)),0),0),0)</f>
        <v>0</v>
      </c>
      <c r="EK164" s="110"/>
      <c r="EL164" s="76" t="str">
        <f>Idiomas!$D$367</f>
        <v>Pegar Valores Dieciseisavos</v>
      </c>
      <c r="EM164" s="77">
        <f t="shared" ref="EM164" ca="1" si="780">IFERROR(IF(COUNTIF($K$164:$K$179,LEFT(EL164,FIND("·",EL164)-1))&gt;0,IF(INDEX($L$164:$L$179,MATCH(LEFT(EL164,FIND("·",EL164)-1),$K$164:$K$179,0))=IFERROR(VALUE(MID(EL164,FIND("·",EL164)+1,1)),0),($D$16+(INDEX($M$164:$M$179,MATCH(LEFT(EL164,FIND("·",EL164)-1),$K$164:$K$179,0))=MID(EL164,FIND("|",EL164)+1,10))*$D$18+MAX(0,IF($D$50=1,$D$17*(1-(ABS(INDEX($P$164:$P$179,MATCH(LEFT(EL164,FIND("·",EL164)-1),$K$164:$K$179,0))-(VALUE(MID(EL164,FIND("|",EL164)+1,FIND("-",EL164,FIND("|",EL164))-FIND("|",EL164)-1))-VALUE(MID(EL164,FIND("-",EL164,FIND("|",EL164))+1,10)))))*$D$50),$D$17*(1-(IF(INDEX($L$164:$L$179,MATCH(LEFT(EL164,FIND("·",EL164)-1),$K$164:$K$179,0))=0,ABS(INDEX($N$164:$N$179,MATCH(LEFT(EL164,FIND("·",EL164)-1),$K$164:$K$179,0))-VALUE(MID(EL164,FIND("|",EL164)+1,FIND("-",EL164,FIND("|",EL164))-FIND("|",EL164)-1))),ABS(INDEX($P$164:$P$179,MATCH(LEFT(EL164,FIND("·",EL164)-1),$K$164:$K$179,0))-(VALUE(MID(EL164,FIND("|",EL164)+1,FIND("-",EL164,FIND("|",EL164))-FIND("|",EL164)-1))-VALUE(MID(EL164,FIND("-",EL164,FIND("|",EL164))+1,10)))))*$D$50)))))*INDEX($I$164:$I$179,MATCH(LEFT(EL164,FIND("·",EL164)-1),$K$164:$K$179,0)),0),0),0)+IFERROR(IF(COUNTIF($C$164:$C$179,LEFT(EL164,FIND("·",EL164)-1))&gt;0,IF(INDEX($D$164:$D$179,MATCH(LEFT(EL164,FIND("·",EL164)-1),$C$164:$C$179,0))=IFERROR(VALUE(MID(EL164,FIND("·",EL164)+1,1)),0),($D$16+(INDEX($E$164:$E$179,MATCH(LEFT(EL164,FIND("·",EL164)-1),$C$164:$C$179,0))=MID(EL164,FIND("|",EL164)+1,10))*$D$18+MAX(0,IF($D$50=1,$D$17*(1-(ABS(INDEX($Q$164:$Q$179,MATCH(LEFT(EL164,FIND("·",EL164)-1),$C$164:$C$179,0))-(VALUE(MID(EL164,FIND("|",EL164)+1,FIND("-",EL164,FIND("|",EL164))-FIND("|",EL164)-1))-VALUE(MID(EL164,FIND("-",EL164,FIND("|",EL164))+1,10)))))*$D$50),$D$17*(1-(IF(INDEX($D$164:$D$179,MATCH(LEFT(EL164,FIND("·",EL164)-1),$C$164:$C$179,0))=0,ABS(INDEX($A$164:$A$179,MATCH(LEFT(EL164,FIND("·",EL164)-1),$C$164:$C$179,0))-VALUE(MID(EL164,FIND("|",EL164)+1,FIND("-",EL164,FIND("|",EL164))-FIND("|",EL164)-1))),ABS(INDEX($Q$164:$Q$179,MATCH(LEFT(EL164,FIND("·",EL164)-1),$C$164:$C$179,0))-(VALUE(MID(EL164,FIND("|",EL164)+1,FIND("-",EL164,FIND("|",EL164))-FIND("|",EL164)-1))-VALUE(MID(EL164,FIND("-",EL164,FIND("|",EL164))+1,10)))))*$D$50)))))*INDEX($I$164:$I$179,MATCH(LEFT(EL164,FIND("·",EL164)-1),$C$164:$C$179,0)),0),0),0)</f>
        <v>0</v>
      </c>
      <c r="EN164" s="110"/>
      <c r="EO164" s="76" t="str">
        <f>Idiomas!$D$367</f>
        <v>Pegar Valores Dieciseisavos</v>
      </c>
      <c r="EP164" s="77">
        <f t="shared" ref="EP164" ca="1" si="781">IFERROR(IF(COUNTIF($K$164:$K$179,LEFT(EO164,FIND("·",EO164)-1))&gt;0,IF(INDEX($L$164:$L$179,MATCH(LEFT(EO164,FIND("·",EO164)-1),$K$164:$K$179,0))=IFERROR(VALUE(MID(EO164,FIND("·",EO164)+1,1)),0),($D$16+(INDEX($M$164:$M$179,MATCH(LEFT(EO164,FIND("·",EO164)-1),$K$164:$K$179,0))=MID(EO164,FIND("|",EO164)+1,10))*$D$18+MAX(0,IF($D$50=1,$D$17*(1-(ABS(INDEX($P$164:$P$179,MATCH(LEFT(EO164,FIND("·",EO164)-1),$K$164:$K$179,0))-(VALUE(MID(EO164,FIND("|",EO164)+1,FIND("-",EO164,FIND("|",EO164))-FIND("|",EO164)-1))-VALUE(MID(EO164,FIND("-",EO164,FIND("|",EO164))+1,10)))))*$D$50),$D$17*(1-(IF(INDEX($L$164:$L$179,MATCH(LEFT(EO164,FIND("·",EO164)-1),$K$164:$K$179,0))=0,ABS(INDEX($N$164:$N$179,MATCH(LEFT(EO164,FIND("·",EO164)-1),$K$164:$K$179,0))-VALUE(MID(EO164,FIND("|",EO164)+1,FIND("-",EO164,FIND("|",EO164))-FIND("|",EO164)-1))),ABS(INDEX($P$164:$P$179,MATCH(LEFT(EO164,FIND("·",EO164)-1),$K$164:$K$179,0))-(VALUE(MID(EO164,FIND("|",EO164)+1,FIND("-",EO164,FIND("|",EO164))-FIND("|",EO164)-1))-VALUE(MID(EO164,FIND("-",EO164,FIND("|",EO164))+1,10)))))*$D$50)))))*INDEX($I$164:$I$179,MATCH(LEFT(EO164,FIND("·",EO164)-1),$K$164:$K$179,0)),0),0),0)+IFERROR(IF(COUNTIF($C$164:$C$179,LEFT(EO164,FIND("·",EO164)-1))&gt;0,IF(INDEX($D$164:$D$179,MATCH(LEFT(EO164,FIND("·",EO164)-1),$C$164:$C$179,0))=IFERROR(VALUE(MID(EO164,FIND("·",EO164)+1,1)),0),($D$16+(INDEX($E$164:$E$179,MATCH(LEFT(EO164,FIND("·",EO164)-1),$C$164:$C$179,0))=MID(EO164,FIND("|",EO164)+1,10))*$D$18+MAX(0,IF($D$50=1,$D$17*(1-(ABS(INDEX($Q$164:$Q$179,MATCH(LEFT(EO164,FIND("·",EO164)-1),$C$164:$C$179,0))-(VALUE(MID(EO164,FIND("|",EO164)+1,FIND("-",EO164,FIND("|",EO164))-FIND("|",EO164)-1))-VALUE(MID(EO164,FIND("-",EO164,FIND("|",EO164))+1,10)))))*$D$50),$D$17*(1-(IF(INDEX($D$164:$D$179,MATCH(LEFT(EO164,FIND("·",EO164)-1),$C$164:$C$179,0))=0,ABS(INDEX($A$164:$A$179,MATCH(LEFT(EO164,FIND("·",EO164)-1),$C$164:$C$179,0))-VALUE(MID(EO164,FIND("|",EO164)+1,FIND("-",EO164,FIND("|",EO164))-FIND("|",EO164)-1))),ABS(INDEX($Q$164:$Q$179,MATCH(LEFT(EO164,FIND("·",EO164)-1),$C$164:$C$179,0))-(VALUE(MID(EO164,FIND("|",EO164)+1,FIND("-",EO164,FIND("|",EO164))-FIND("|",EO164)-1))-VALUE(MID(EO164,FIND("-",EO164,FIND("|",EO164))+1,10)))))*$D$50)))))*INDEX($I$164:$I$179,MATCH(LEFT(EO164,FIND("·",EO164)-1),$C$164:$C$179,0)),0),0),0)</f>
        <v>0</v>
      </c>
      <c r="EQ164" s="110"/>
      <c r="ER164" s="76" t="str">
        <f>Idiomas!$D$367</f>
        <v>Pegar Valores Dieciseisavos</v>
      </c>
      <c r="ES164" s="77">
        <f t="shared" ref="ES164" ca="1" si="782">IFERROR(IF(COUNTIF($K$164:$K$179,LEFT(ER164,FIND("·",ER164)-1))&gt;0,IF(INDEX($L$164:$L$179,MATCH(LEFT(ER164,FIND("·",ER164)-1),$K$164:$K$179,0))=IFERROR(VALUE(MID(ER164,FIND("·",ER164)+1,1)),0),($D$16+(INDEX($M$164:$M$179,MATCH(LEFT(ER164,FIND("·",ER164)-1),$K$164:$K$179,0))=MID(ER164,FIND("|",ER164)+1,10))*$D$18+MAX(0,IF($D$50=1,$D$17*(1-(ABS(INDEX($P$164:$P$179,MATCH(LEFT(ER164,FIND("·",ER164)-1),$K$164:$K$179,0))-(VALUE(MID(ER164,FIND("|",ER164)+1,FIND("-",ER164,FIND("|",ER164))-FIND("|",ER164)-1))-VALUE(MID(ER164,FIND("-",ER164,FIND("|",ER164))+1,10)))))*$D$50),$D$17*(1-(IF(INDEX($L$164:$L$179,MATCH(LEFT(ER164,FIND("·",ER164)-1),$K$164:$K$179,0))=0,ABS(INDEX($N$164:$N$179,MATCH(LEFT(ER164,FIND("·",ER164)-1),$K$164:$K$179,0))-VALUE(MID(ER164,FIND("|",ER164)+1,FIND("-",ER164,FIND("|",ER164))-FIND("|",ER164)-1))),ABS(INDEX($P$164:$P$179,MATCH(LEFT(ER164,FIND("·",ER164)-1),$K$164:$K$179,0))-(VALUE(MID(ER164,FIND("|",ER164)+1,FIND("-",ER164,FIND("|",ER164))-FIND("|",ER164)-1))-VALUE(MID(ER164,FIND("-",ER164,FIND("|",ER164))+1,10)))))*$D$50)))))*INDEX($I$164:$I$179,MATCH(LEFT(ER164,FIND("·",ER164)-1),$K$164:$K$179,0)),0),0),0)+IFERROR(IF(COUNTIF($C$164:$C$179,LEFT(ER164,FIND("·",ER164)-1))&gt;0,IF(INDEX($D$164:$D$179,MATCH(LEFT(ER164,FIND("·",ER164)-1),$C$164:$C$179,0))=IFERROR(VALUE(MID(ER164,FIND("·",ER164)+1,1)),0),($D$16+(INDEX($E$164:$E$179,MATCH(LEFT(ER164,FIND("·",ER164)-1),$C$164:$C$179,0))=MID(ER164,FIND("|",ER164)+1,10))*$D$18+MAX(0,IF($D$50=1,$D$17*(1-(ABS(INDEX($Q$164:$Q$179,MATCH(LEFT(ER164,FIND("·",ER164)-1),$C$164:$C$179,0))-(VALUE(MID(ER164,FIND("|",ER164)+1,FIND("-",ER164,FIND("|",ER164))-FIND("|",ER164)-1))-VALUE(MID(ER164,FIND("-",ER164,FIND("|",ER164))+1,10)))))*$D$50),$D$17*(1-(IF(INDEX($D$164:$D$179,MATCH(LEFT(ER164,FIND("·",ER164)-1),$C$164:$C$179,0))=0,ABS(INDEX($A$164:$A$179,MATCH(LEFT(ER164,FIND("·",ER164)-1),$C$164:$C$179,0))-VALUE(MID(ER164,FIND("|",ER164)+1,FIND("-",ER164,FIND("|",ER164))-FIND("|",ER164)-1))),ABS(INDEX($Q$164:$Q$179,MATCH(LEFT(ER164,FIND("·",ER164)-1),$C$164:$C$179,0))-(VALUE(MID(ER164,FIND("|",ER164)+1,FIND("-",ER164,FIND("|",ER164))-FIND("|",ER164)-1))-VALUE(MID(ER164,FIND("-",ER164,FIND("|",ER164))+1,10)))))*$D$50)))))*INDEX($I$164:$I$179,MATCH(LEFT(ER164,FIND("·",ER164)-1),$C$164:$C$179,0)),0),0),0)</f>
        <v>0</v>
      </c>
      <c r="ET164" s="110"/>
      <c r="EU164" s="76" t="str">
        <f>Idiomas!$D$367</f>
        <v>Pegar Valores Dieciseisavos</v>
      </c>
      <c r="EV164" s="77">
        <f t="shared" ref="EV164" ca="1" si="783">IFERROR(IF(COUNTIF($K$164:$K$179,LEFT(EU164,FIND("·",EU164)-1))&gt;0,IF(INDEX($L$164:$L$179,MATCH(LEFT(EU164,FIND("·",EU164)-1),$K$164:$K$179,0))=IFERROR(VALUE(MID(EU164,FIND("·",EU164)+1,1)),0),($D$16+(INDEX($M$164:$M$179,MATCH(LEFT(EU164,FIND("·",EU164)-1),$K$164:$K$179,0))=MID(EU164,FIND("|",EU164)+1,10))*$D$18+MAX(0,IF($D$50=1,$D$17*(1-(ABS(INDEX($P$164:$P$179,MATCH(LEFT(EU164,FIND("·",EU164)-1),$K$164:$K$179,0))-(VALUE(MID(EU164,FIND("|",EU164)+1,FIND("-",EU164,FIND("|",EU164))-FIND("|",EU164)-1))-VALUE(MID(EU164,FIND("-",EU164,FIND("|",EU164))+1,10)))))*$D$50),$D$17*(1-(IF(INDEX($L$164:$L$179,MATCH(LEFT(EU164,FIND("·",EU164)-1),$K$164:$K$179,0))=0,ABS(INDEX($N$164:$N$179,MATCH(LEFT(EU164,FIND("·",EU164)-1),$K$164:$K$179,0))-VALUE(MID(EU164,FIND("|",EU164)+1,FIND("-",EU164,FIND("|",EU164))-FIND("|",EU164)-1))),ABS(INDEX($P$164:$P$179,MATCH(LEFT(EU164,FIND("·",EU164)-1),$K$164:$K$179,0))-(VALUE(MID(EU164,FIND("|",EU164)+1,FIND("-",EU164,FIND("|",EU164))-FIND("|",EU164)-1))-VALUE(MID(EU164,FIND("-",EU164,FIND("|",EU164))+1,10)))))*$D$50)))))*INDEX($I$164:$I$179,MATCH(LEFT(EU164,FIND("·",EU164)-1),$K$164:$K$179,0)),0),0),0)+IFERROR(IF(COUNTIF($C$164:$C$179,LEFT(EU164,FIND("·",EU164)-1))&gt;0,IF(INDEX($D$164:$D$179,MATCH(LEFT(EU164,FIND("·",EU164)-1),$C$164:$C$179,0))=IFERROR(VALUE(MID(EU164,FIND("·",EU164)+1,1)),0),($D$16+(INDEX($E$164:$E$179,MATCH(LEFT(EU164,FIND("·",EU164)-1),$C$164:$C$179,0))=MID(EU164,FIND("|",EU164)+1,10))*$D$18+MAX(0,IF($D$50=1,$D$17*(1-(ABS(INDEX($Q$164:$Q$179,MATCH(LEFT(EU164,FIND("·",EU164)-1),$C$164:$C$179,0))-(VALUE(MID(EU164,FIND("|",EU164)+1,FIND("-",EU164,FIND("|",EU164))-FIND("|",EU164)-1))-VALUE(MID(EU164,FIND("-",EU164,FIND("|",EU164))+1,10)))))*$D$50),$D$17*(1-(IF(INDEX($D$164:$D$179,MATCH(LEFT(EU164,FIND("·",EU164)-1),$C$164:$C$179,0))=0,ABS(INDEX($A$164:$A$179,MATCH(LEFT(EU164,FIND("·",EU164)-1),$C$164:$C$179,0))-VALUE(MID(EU164,FIND("|",EU164)+1,FIND("-",EU164,FIND("|",EU164))-FIND("|",EU164)-1))),ABS(INDEX($Q$164:$Q$179,MATCH(LEFT(EU164,FIND("·",EU164)-1),$C$164:$C$179,0))-(VALUE(MID(EU164,FIND("|",EU164)+1,FIND("-",EU164,FIND("|",EU164))-FIND("|",EU164)-1))-VALUE(MID(EU164,FIND("-",EU164,FIND("|",EU164))+1,10)))))*$D$50)))))*INDEX($I$164:$I$179,MATCH(LEFT(EU164,FIND("·",EU164)-1),$C$164:$C$179,0)),0),0),0)</f>
        <v>0</v>
      </c>
      <c r="EW164" s="110"/>
      <c r="EX164" s="76" t="str">
        <f>Idiomas!$D$367</f>
        <v>Pegar Valores Dieciseisavos</v>
      </c>
      <c r="EY164" s="77">
        <f t="shared" ref="EY164:FK176" ca="1" si="784">IFERROR(IF(COUNTIF($K$164:$K$179,LEFT(EX164,FIND("·",EX164)-1))&gt;0,IF(INDEX($L$164:$L$179,MATCH(LEFT(EX164,FIND("·",EX164)-1),$K$164:$K$179,0))=IFERROR(VALUE(MID(EX164,FIND("·",EX164)+1,1)),0),($D$16+(INDEX($M$164:$M$179,MATCH(LEFT(EX164,FIND("·",EX164)-1),$K$164:$K$179,0))=MID(EX164,FIND("|",EX164)+1,10))*$D$18+MAX(0,IF($D$50=1,$D$17*(1-(ABS(INDEX($P$164:$P$179,MATCH(LEFT(EX164,FIND("·",EX164)-1),$K$164:$K$179,0))-(VALUE(MID(EX164,FIND("|",EX164)+1,FIND("-",EX164,FIND("|",EX164))-FIND("|",EX164)-1))-VALUE(MID(EX164,FIND("-",EX164,FIND("|",EX164))+1,10)))))*$D$50),$D$17*(1-(IF(INDEX($L$164:$L$179,MATCH(LEFT(EX164,FIND("·",EX164)-1),$K$164:$K$179,0))=0,ABS(INDEX($N$164:$N$179,MATCH(LEFT(EX164,FIND("·",EX164)-1),$K$164:$K$179,0))-VALUE(MID(EX164,FIND("|",EX164)+1,FIND("-",EX164,FIND("|",EX164))-FIND("|",EX164)-1))),ABS(INDEX($P$164:$P$179,MATCH(LEFT(EX164,FIND("·",EX164)-1),$K$164:$K$179,0))-(VALUE(MID(EX164,FIND("|",EX164)+1,FIND("-",EX164,FIND("|",EX164))-FIND("|",EX164)-1))-VALUE(MID(EX164,FIND("-",EX164,FIND("|",EX164))+1,10)))))*$D$50)))))*INDEX($I$164:$I$179,MATCH(LEFT(EX164,FIND("·",EX164)-1),$K$164:$K$179,0)),0),0),0)+IFERROR(IF(COUNTIF($C$164:$C$179,LEFT(EX164,FIND("·",EX164)-1))&gt;0,IF(INDEX($D$164:$D$179,MATCH(LEFT(EX164,FIND("·",EX164)-1),$C$164:$C$179,0))=IFERROR(VALUE(MID(EX164,FIND("·",EX164)+1,1)),0),($D$16+(INDEX($E$164:$E$179,MATCH(LEFT(EX164,FIND("·",EX164)-1),$C$164:$C$179,0))=MID(EX164,FIND("|",EX164)+1,10))*$D$18+MAX(0,IF($D$50=1,$D$17*(1-(ABS(INDEX($Q$164:$Q$179,MATCH(LEFT(EX164,FIND("·",EX164)-1),$C$164:$C$179,0))-(VALUE(MID(EX164,FIND("|",EX164)+1,FIND("-",EX164,FIND("|",EX164))-FIND("|",EX164)-1))-VALUE(MID(EX164,FIND("-",EX164,FIND("|",EX164))+1,10)))))*$D$50),$D$17*(1-(IF(INDEX($D$164:$D$179,MATCH(LEFT(EX164,FIND("·",EX164)-1),$C$164:$C$179,0))=0,ABS(INDEX($A$164:$A$179,MATCH(LEFT(EX164,FIND("·",EX164)-1),$C$164:$C$179,0))-VALUE(MID(EX164,FIND("|",EX164)+1,FIND("-",EX164,FIND("|",EX164))-FIND("|",EX164)-1))),ABS(INDEX($Q$164:$Q$179,MATCH(LEFT(EX164,FIND("·",EX164)-1),$C$164:$C$179,0))-(VALUE(MID(EX164,FIND("|",EX164)+1,FIND("-",EX164,FIND("|",EX164))-FIND("|",EX164)-1))-VALUE(MID(EX164,FIND("-",EX164,FIND("|",EX164))+1,10)))))*$D$50)))))*INDEX($I$164:$I$179,MATCH(LEFT(EX164,FIND("·",EX164)-1),$C$164:$C$179,0)),0),0),0)</f>
        <v>0</v>
      </c>
      <c r="EZ164" s="110"/>
      <c r="FA164" s="76" t="str">
        <f>Idiomas!$D$367</f>
        <v>Pegar Valores Dieciseisavos</v>
      </c>
      <c r="FB164" s="77">
        <f t="shared" ref="FB164" ca="1" si="785">IFERROR(IF(COUNTIF($K$164:$K$179,LEFT(FA164,FIND("·",FA164)-1))&gt;0,IF(INDEX($L$164:$L$179,MATCH(LEFT(FA164,FIND("·",FA164)-1),$K$164:$K$179,0))=IFERROR(VALUE(MID(FA164,FIND("·",FA164)+1,1)),0),($D$16+(INDEX($M$164:$M$179,MATCH(LEFT(FA164,FIND("·",FA164)-1),$K$164:$K$179,0))=MID(FA164,FIND("|",FA164)+1,10))*$D$18+MAX(0,IF($D$50=1,$D$17*(1-(ABS(INDEX($P$164:$P$179,MATCH(LEFT(FA164,FIND("·",FA164)-1),$K$164:$K$179,0))-(VALUE(MID(FA164,FIND("|",FA164)+1,FIND("-",FA164,FIND("|",FA164))-FIND("|",FA164)-1))-VALUE(MID(FA164,FIND("-",FA164,FIND("|",FA164))+1,10)))))*$D$50),$D$17*(1-(IF(INDEX($L$164:$L$179,MATCH(LEFT(FA164,FIND("·",FA164)-1),$K$164:$K$179,0))=0,ABS(INDEX($N$164:$N$179,MATCH(LEFT(FA164,FIND("·",FA164)-1),$K$164:$K$179,0))-VALUE(MID(FA164,FIND("|",FA164)+1,FIND("-",FA164,FIND("|",FA164))-FIND("|",FA164)-1))),ABS(INDEX($P$164:$P$179,MATCH(LEFT(FA164,FIND("·",FA164)-1),$K$164:$K$179,0))-(VALUE(MID(FA164,FIND("|",FA164)+1,FIND("-",FA164,FIND("|",FA164))-FIND("|",FA164)-1))-VALUE(MID(FA164,FIND("-",FA164,FIND("|",FA164))+1,10)))))*$D$50)))))*INDEX($I$164:$I$179,MATCH(LEFT(FA164,FIND("·",FA164)-1),$K$164:$K$179,0)),0),0),0)+IFERROR(IF(COUNTIF($C$164:$C$179,LEFT(FA164,FIND("·",FA164)-1))&gt;0,IF(INDEX($D$164:$D$179,MATCH(LEFT(FA164,FIND("·",FA164)-1),$C$164:$C$179,0))=IFERROR(VALUE(MID(FA164,FIND("·",FA164)+1,1)),0),($D$16+(INDEX($E$164:$E$179,MATCH(LEFT(FA164,FIND("·",FA164)-1),$C$164:$C$179,0))=MID(FA164,FIND("|",FA164)+1,10))*$D$18+MAX(0,IF($D$50=1,$D$17*(1-(ABS(INDEX($Q$164:$Q$179,MATCH(LEFT(FA164,FIND("·",FA164)-1),$C$164:$C$179,0))-(VALUE(MID(FA164,FIND("|",FA164)+1,FIND("-",FA164,FIND("|",FA164))-FIND("|",FA164)-1))-VALUE(MID(FA164,FIND("-",FA164,FIND("|",FA164))+1,10)))))*$D$50),$D$17*(1-(IF(INDEX($D$164:$D$179,MATCH(LEFT(FA164,FIND("·",FA164)-1),$C$164:$C$179,0))=0,ABS(INDEX($A$164:$A$179,MATCH(LEFT(FA164,FIND("·",FA164)-1),$C$164:$C$179,0))-VALUE(MID(FA164,FIND("|",FA164)+1,FIND("-",FA164,FIND("|",FA164))-FIND("|",FA164)-1))),ABS(INDEX($Q$164:$Q$179,MATCH(LEFT(FA164,FIND("·",FA164)-1),$C$164:$C$179,0))-(VALUE(MID(FA164,FIND("|",FA164)+1,FIND("-",FA164,FIND("|",FA164))-FIND("|",FA164)-1))-VALUE(MID(FA164,FIND("-",FA164,FIND("|",FA164))+1,10)))))*$D$50)))))*INDEX($I$164:$I$179,MATCH(LEFT(FA164,FIND("·",FA164)-1),$C$164:$C$179,0)),0),0),0)</f>
        <v>0</v>
      </c>
      <c r="FC164" s="110"/>
      <c r="FD164" s="76" t="str">
        <f>Idiomas!$D$367</f>
        <v>Pegar Valores Dieciseisavos</v>
      </c>
      <c r="FE164" s="77">
        <f t="shared" ref="FE164" ca="1" si="786">IFERROR(IF(COUNTIF($K$164:$K$179,LEFT(FD164,FIND("·",FD164)-1))&gt;0,IF(INDEX($L$164:$L$179,MATCH(LEFT(FD164,FIND("·",FD164)-1),$K$164:$K$179,0))=IFERROR(VALUE(MID(FD164,FIND("·",FD164)+1,1)),0),($D$16+(INDEX($M$164:$M$179,MATCH(LEFT(FD164,FIND("·",FD164)-1),$K$164:$K$179,0))=MID(FD164,FIND("|",FD164)+1,10))*$D$18+MAX(0,IF($D$50=1,$D$17*(1-(ABS(INDEX($P$164:$P$179,MATCH(LEFT(FD164,FIND("·",FD164)-1),$K$164:$K$179,0))-(VALUE(MID(FD164,FIND("|",FD164)+1,FIND("-",FD164,FIND("|",FD164))-FIND("|",FD164)-1))-VALUE(MID(FD164,FIND("-",FD164,FIND("|",FD164))+1,10)))))*$D$50),$D$17*(1-(IF(INDEX($L$164:$L$179,MATCH(LEFT(FD164,FIND("·",FD164)-1),$K$164:$K$179,0))=0,ABS(INDEX($N$164:$N$179,MATCH(LEFT(FD164,FIND("·",FD164)-1),$K$164:$K$179,0))-VALUE(MID(FD164,FIND("|",FD164)+1,FIND("-",FD164,FIND("|",FD164))-FIND("|",FD164)-1))),ABS(INDEX($P$164:$P$179,MATCH(LEFT(FD164,FIND("·",FD164)-1),$K$164:$K$179,0))-(VALUE(MID(FD164,FIND("|",FD164)+1,FIND("-",FD164,FIND("|",FD164))-FIND("|",FD164)-1))-VALUE(MID(FD164,FIND("-",FD164,FIND("|",FD164))+1,10)))))*$D$50)))))*INDEX($I$164:$I$179,MATCH(LEFT(FD164,FIND("·",FD164)-1),$K$164:$K$179,0)),0),0),0)+IFERROR(IF(COUNTIF($C$164:$C$179,LEFT(FD164,FIND("·",FD164)-1))&gt;0,IF(INDEX($D$164:$D$179,MATCH(LEFT(FD164,FIND("·",FD164)-1),$C$164:$C$179,0))=IFERROR(VALUE(MID(FD164,FIND("·",FD164)+1,1)),0),($D$16+(INDEX($E$164:$E$179,MATCH(LEFT(FD164,FIND("·",FD164)-1),$C$164:$C$179,0))=MID(FD164,FIND("|",FD164)+1,10))*$D$18+MAX(0,IF($D$50=1,$D$17*(1-(ABS(INDEX($Q$164:$Q$179,MATCH(LEFT(FD164,FIND("·",FD164)-1),$C$164:$C$179,0))-(VALUE(MID(FD164,FIND("|",FD164)+1,FIND("-",FD164,FIND("|",FD164))-FIND("|",FD164)-1))-VALUE(MID(FD164,FIND("-",FD164,FIND("|",FD164))+1,10)))))*$D$50),$D$17*(1-(IF(INDEX($D$164:$D$179,MATCH(LEFT(FD164,FIND("·",FD164)-1),$C$164:$C$179,0))=0,ABS(INDEX($A$164:$A$179,MATCH(LEFT(FD164,FIND("·",FD164)-1),$C$164:$C$179,0))-VALUE(MID(FD164,FIND("|",FD164)+1,FIND("-",FD164,FIND("|",FD164))-FIND("|",FD164)-1))),ABS(INDEX($Q$164:$Q$179,MATCH(LEFT(FD164,FIND("·",FD164)-1),$C$164:$C$179,0))-(VALUE(MID(FD164,FIND("|",FD164)+1,FIND("-",FD164,FIND("|",FD164))-FIND("|",FD164)-1))-VALUE(MID(FD164,FIND("-",FD164,FIND("|",FD164))+1,10)))))*$D$50)))))*INDEX($I$164:$I$179,MATCH(LEFT(FD164,FIND("·",FD164)-1),$C$164:$C$179,0)),0),0),0)</f>
        <v>0</v>
      </c>
      <c r="FF164" s="110"/>
      <c r="FG164" s="76" t="str">
        <f>Idiomas!$D$367</f>
        <v>Pegar Valores Dieciseisavos</v>
      </c>
      <c r="FH164" s="77">
        <f t="shared" ref="FH164" ca="1" si="787">IFERROR(IF(COUNTIF($K$164:$K$179,LEFT(FG164,FIND("·",FG164)-1))&gt;0,IF(INDEX($L$164:$L$179,MATCH(LEFT(FG164,FIND("·",FG164)-1),$K$164:$K$179,0))=IFERROR(VALUE(MID(FG164,FIND("·",FG164)+1,1)),0),($D$16+(INDEX($M$164:$M$179,MATCH(LEFT(FG164,FIND("·",FG164)-1),$K$164:$K$179,0))=MID(FG164,FIND("|",FG164)+1,10))*$D$18+MAX(0,IF($D$50=1,$D$17*(1-(ABS(INDEX($P$164:$P$179,MATCH(LEFT(FG164,FIND("·",FG164)-1),$K$164:$K$179,0))-(VALUE(MID(FG164,FIND("|",FG164)+1,FIND("-",FG164,FIND("|",FG164))-FIND("|",FG164)-1))-VALUE(MID(FG164,FIND("-",FG164,FIND("|",FG164))+1,10)))))*$D$50),$D$17*(1-(IF(INDEX($L$164:$L$179,MATCH(LEFT(FG164,FIND("·",FG164)-1),$K$164:$K$179,0))=0,ABS(INDEX($N$164:$N$179,MATCH(LEFT(FG164,FIND("·",FG164)-1),$K$164:$K$179,0))-VALUE(MID(FG164,FIND("|",FG164)+1,FIND("-",FG164,FIND("|",FG164))-FIND("|",FG164)-1))),ABS(INDEX($P$164:$P$179,MATCH(LEFT(FG164,FIND("·",FG164)-1),$K$164:$K$179,0))-(VALUE(MID(FG164,FIND("|",FG164)+1,FIND("-",FG164,FIND("|",FG164))-FIND("|",FG164)-1))-VALUE(MID(FG164,FIND("-",FG164,FIND("|",FG164))+1,10)))))*$D$50)))))*INDEX($I$164:$I$179,MATCH(LEFT(FG164,FIND("·",FG164)-1),$K$164:$K$179,0)),0),0),0)+IFERROR(IF(COUNTIF($C$164:$C$179,LEFT(FG164,FIND("·",FG164)-1))&gt;0,IF(INDEX($D$164:$D$179,MATCH(LEFT(FG164,FIND("·",FG164)-1),$C$164:$C$179,0))=IFERROR(VALUE(MID(FG164,FIND("·",FG164)+1,1)),0),($D$16+(INDEX($E$164:$E$179,MATCH(LEFT(FG164,FIND("·",FG164)-1),$C$164:$C$179,0))=MID(FG164,FIND("|",FG164)+1,10))*$D$18+MAX(0,IF($D$50=1,$D$17*(1-(ABS(INDEX($Q$164:$Q$179,MATCH(LEFT(FG164,FIND("·",FG164)-1),$C$164:$C$179,0))-(VALUE(MID(FG164,FIND("|",FG164)+1,FIND("-",FG164,FIND("|",FG164))-FIND("|",FG164)-1))-VALUE(MID(FG164,FIND("-",FG164,FIND("|",FG164))+1,10)))))*$D$50),$D$17*(1-(IF(INDEX($D$164:$D$179,MATCH(LEFT(FG164,FIND("·",FG164)-1),$C$164:$C$179,0))=0,ABS(INDEX($A$164:$A$179,MATCH(LEFT(FG164,FIND("·",FG164)-1),$C$164:$C$179,0))-VALUE(MID(FG164,FIND("|",FG164)+1,FIND("-",FG164,FIND("|",FG164))-FIND("|",FG164)-1))),ABS(INDEX($Q$164:$Q$179,MATCH(LEFT(FG164,FIND("·",FG164)-1),$C$164:$C$179,0))-(VALUE(MID(FG164,FIND("|",FG164)+1,FIND("-",FG164,FIND("|",FG164))-FIND("|",FG164)-1))-VALUE(MID(FG164,FIND("-",FG164,FIND("|",FG164))+1,10)))))*$D$50)))))*INDEX($I$164:$I$179,MATCH(LEFT(FG164,FIND("·",FG164)-1),$C$164:$C$179,0)),0),0),0)</f>
        <v>0</v>
      </c>
      <c r="FI164" s="110"/>
      <c r="FJ164" s="76" t="str">
        <f>Idiomas!$D$367</f>
        <v>Pegar Valores Dieciseisavos</v>
      </c>
      <c r="FK164" s="77">
        <f t="shared" ref="FK164" ca="1" si="788">IFERROR(IF(COUNTIF($K$164:$K$179,LEFT(FJ164,FIND("·",FJ164)-1))&gt;0,IF(INDEX($L$164:$L$179,MATCH(LEFT(FJ164,FIND("·",FJ164)-1),$K$164:$K$179,0))=IFERROR(VALUE(MID(FJ164,FIND("·",FJ164)+1,1)),0),($D$16+(INDEX($M$164:$M$179,MATCH(LEFT(FJ164,FIND("·",FJ164)-1),$K$164:$K$179,0))=MID(FJ164,FIND("|",FJ164)+1,10))*$D$18+MAX(0,IF($D$50=1,$D$17*(1-(ABS(INDEX($P$164:$P$179,MATCH(LEFT(FJ164,FIND("·",FJ164)-1),$K$164:$K$179,0))-(VALUE(MID(FJ164,FIND("|",FJ164)+1,FIND("-",FJ164,FIND("|",FJ164))-FIND("|",FJ164)-1))-VALUE(MID(FJ164,FIND("-",FJ164,FIND("|",FJ164))+1,10)))))*$D$50),$D$17*(1-(IF(INDEX($L$164:$L$179,MATCH(LEFT(FJ164,FIND("·",FJ164)-1),$K$164:$K$179,0))=0,ABS(INDEX($N$164:$N$179,MATCH(LEFT(FJ164,FIND("·",FJ164)-1),$K$164:$K$179,0))-VALUE(MID(FJ164,FIND("|",FJ164)+1,FIND("-",FJ164,FIND("|",FJ164))-FIND("|",FJ164)-1))),ABS(INDEX($P$164:$P$179,MATCH(LEFT(FJ164,FIND("·",FJ164)-1),$K$164:$K$179,0))-(VALUE(MID(FJ164,FIND("|",FJ164)+1,FIND("-",FJ164,FIND("|",FJ164))-FIND("|",FJ164)-1))-VALUE(MID(FJ164,FIND("-",FJ164,FIND("|",FJ164))+1,10)))))*$D$50)))))*INDEX($I$164:$I$179,MATCH(LEFT(FJ164,FIND("·",FJ164)-1),$K$164:$K$179,0)),0),0),0)+IFERROR(IF(COUNTIF($C$164:$C$179,LEFT(FJ164,FIND("·",FJ164)-1))&gt;0,IF(INDEX($D$164:$D$179,MATCH(LEFT(FJ164,FIND("·",FJ164)-1),$C$164:$C$179,0))=IFERROR(VALUE(MID(FJ164,FIND("·",FJ164)+1,1)),0),($D$16+(INDEX($E$164:$E$179,MATCH(LEFT(FJ164,FIND("·",FJ164)-1),$C$164:$C$179,0))=MID(FJ164,FIND("|",FJ164)+1,10))*$D$18+MAX(0,IF($D$50=1,$D$17*(1-(ABS(INDEX($Q$164:$Q$179,MATCH(LEFT(FJ164,FIND("·",FJ164)-1),$C$164:$C$179,0))-(VALUE(MID(FJ164,FIND("|",FJ164)+1,FIND("-",FJ164,FIND("|",FJ164))-FIND("|",FJ164)-1))-VALUE(MID(FJ164,FIND("-",FJ164,FIND("|",FJ164))+1,10)))))*$D$50),$D$17*(1-(IF(INDEX($D$164:$D$179,MATCH(LEFT(FJ164,FIND("·",FJ164)-1),$C$164:$C$179,0))=0,ABS(INDEX($A$164:$A$179,MATCH(LEFT(FJ164,FIND("·",FJ164)-1),$C$164:$C$179,0))-VALUE(MID(FJ164,FIND("|",FJ164)+1,FIND("-",FJ164,FIND("|",FJ164))-FIND("|",FJ164)-1))),ABS(INDEX($Q$164:$Q$179,MATCH(LEFT(FJ164,FIND("·",FJ164)-1),$C$164:$C$179,0))-(VALUE(MID(FJ164,FIND("|",FJ164)+1,FIND("-",FJ164,FIND("|",FJ164))-FIND("|",FJ164)-1))-VALUE(MID(FJ164,FIND("-",FJ164,FIND("|",FJ164))+1,10)))))*$D$50)))))*INDEX($I$164:$I$179,MATCH(LEFT(FJ164,FIND("·",FJ164)-1),$C$164:$C$179,0)),0),0),0)</f>
        <v>0</v>
      </c>
      <c r="FL164" s="110"/>
      <c r="FM164" s="110"/>
    </row>
    <row r="165" spans="1:169">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07">
        <f t="shared" ref="F165:F179" si="789">SUM($D$16:$D$18)*I165</f>
        <v>4</v>
      </c>
      <c r="G165" s="407">
        <f ca="1">VLOOKUP(H165,Equipos!$Q$1:$R$25,2,0)</f>
        <v>20</v>
      </c>
      <c r="H165" s="446" t="str">
        <f>Idiomas!$D$260</f>
        <v>Dieciseisavos de final</v>
      </c>
      <c r="I165" s="43">
        <v>1</v>
      </c>
      <c r="J165" s="849"/>
      <c r="K165" s="56" t="str">
        <f ca="1">CONCATENATE(WORLDCUP!AA102,"-",WORLDCUP!AF102)</f>
        <v>1C-2F</v>
      </c>
      <c r="L165" s="53" t="str">
        <f>IF(OR(WORLDCUP!AC102="",WORLDCUP!AD102=""),"PD",IF(WORLDCUP!AC102&gt;WORLDCUP!AD102,1,IF(WORLDCUP!AC102&lt;WORLDCUP!AD102,2,0)))</f>
        <v>PD</v>
      </c>
      <c r="M165" s="55" t="str">
        <f t="shared" ref="M165:M179" si="790">IF(L165="PD","-",N165&amp;"-"&amp;O165)</f>
        <v>-</v>
      </c>
      <c r="N165" s="25">
        <f>WORLDCUP!AC102</f>
        <v>0</v>
      </c>
      <c r="O165" s="25">
        <f>WORLDCUP!AD102</f>
        <v>0</v>
      </c>
      <c r="P165" s="25">
        <f t="shared" ref="P165:P179" si="791">N165-O165</f>
        <v>0</v>
      </c>
      <c r="Q165" s="25">
        <f t="shared" ref="Q165:Q179" si="792">A165-B165</f>
        <v>0</v>
      </c>
      <c r="R165" s="110"/>
      <c r="S165" s="76" t="s">
        <v>1965</v>
      </c>
      <c r="T165" s="77">
        <f t="shared" ref="T165:T179" ca="1" si="793">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0"/>
      <c r="V165" s="74" t="s">
        <v>2004</v>
      </c>
      <c r="W165" s="77">
        <f t="shared" ca="1" si="740"/>
        <v>0</v>
      </c>
      <c r="X165" s="110"/>
      <c r="Y165" s="74" t="s">
        <v>2042</v>
      </c>
      <c r="Z165" s="77">
        <f t="shared" ca="1" si="740"/>
        <v>0</v>
      </c>
      <c r="AA165" s="110"/>
      <c r="AB165" s="80" t="s">
        <v>2075</v>
      </c>
      <c r="AC165" s="77">
        <f t="shared" ca="1" si="740"/>
        <v>0</v>
      </c>
      <c r="AD165" s="110"/>
      <c r="AE165" s="74" t="s">
        <v>2098</v>
      </c>
      <c r="AF165" s="77">
        <f t="shared" ca="1" si="740"/>
        <v>0</v>
      </c>
      <c r="AG165" s="110"/>
      <c r="AH165" s="74" t="s">
        <v>2128</v>
      </c>
      <c r="AI165" s="77">
        <f t="shared" ca="1" si="740"/>
        <v>0</v>
      </c>
      <c r="AJ165" s="110"/>
      <c r="AK165" s="74" t="s">
        <v>2075</v>
      </c>
      <c r="AL165" s="77">
        <f t="shared" ca="1" si="740"/>
        <v>0</v>
      </c>
      <c r="AM165" s="110"/>
      <c r="AN165" s="74" t="s">
        <v>2187</v>
      </c>
      <c r="AO165" s="77">
        <f t="shared" ca="1" si="740"/>
        <v>0</v>
      </c>
      <c r="AP165" s="110"/>
      <c r="AQ165" s="74" t="s">
        <v>2217</v>
      </c>
      <c r="AR165" s="77">
        <f t="shared" ca="1" si="740"/>
        <v>0</v>
      </c>
      <c r="AS165" s="110"/>
      <c r="AT165" s="74" t="s">
        <v>2075</v>
      </c>
      <c r="AU165" s="77">
        <f t="shared" ca="1" si="740"/>
        <v>0</v>
      </c>
      <c r="AV165" s="110"/>
      <c r="AW165" s="74" t="s">
        <v>2187</v>
      </c>
      <c r="AX165" s="77">
        <f t="shared" ca="1" si="740"/>
        <v>0</v>
      </c>
      <c r="AY165" s="110"/>
      <c r="AZ165" s="74" t="s">
        <v>2042</v>
      </c>
      <c r="BA165" s="77">
        <f t="shared" ca="1" si="740"/>
        <v>0</v>
      </c>
      <c r="BB165" s="110"/>
      <c r="BC165" s="74" t="s">
        <v>2313</v>
      </c>
      <c r="BD165" s="77">
        <f t="shared" ca="1" si="740"/>
        <v>0</v>
      </c>
      <c r="BE165" s="110"/>
      <c r="BF165" s="74" t="s">
        <v>2075</v>
      </c>
      <c r="BG165" s="77">
        <f t="shared" ca="1" si="740"/>
        <v>0</v>
      </c>
      <c r="BH165" s="110"/>
      <c r="BI165" s="74" t="s">
        <v>2042</v>
      </c>
      <c r="BJ165" s="77">
        <f t="shared" ca="1" si="740"/>
        <v>0</v>
      </c>
      <c r="BK165" s="110"/>
      <c r="BL165" s="708" t="s">
        <v>2187</v>
      </c>
      <c r="BM165" s="77">
        <f t="shared" ca="1" si="740"/>
        <v>0</v>
      </c>
      <c r="BN165" s="110"/>
      <c r="BO165" s="74" t="s">
        <v>2042</v>
      </c>
      <c r="BP165" s="77">
        <f t="shared" ca="1" si="740"/>
        <v>0</v>
      </c>
      <c r="BQ165" s="110"/>
      <c r="BR165" s="74" t="s">
        <v>2075</v>
      </c>
      <c r="BS165" s="77">
        <f t="shared" ca="1" si="740"/>
        <v>0</v>
      </c>
      <c r="BT165" s="110"/>
      <c r="BU165" s="74" t="s">
        <v>2422</v>
      </c>
      <c r="BV165" s="77">
        <f t="shared" ca="1" si="740"/>
        <v>0</v>
      </c>
      <c r="BW165" s="110"/>
      <c r="BX165" s="74" t="s">
        <v>2075</v>
      </c>
      <c r="BY165" s="77">
        <f t="shared" ca="1" si="740"/>
        <v>0</v>
      </c>
      <c r="BZ165" s="110"/>
      <c r="CA165" s="74" t="s">
        <v>2463</v>
      </c>
      <c r="CB165" s="77">
        <f t="shared" ca="1" si="740"/>
        <v>0</v>
      </c>
      <c r="CC165" s="110"/>
      <c r="CD165" s="74" t="s">
        <v>2485</v>
      </c>
      <c r="CE165" s="77">
        <f t="shared" ca="1" si="740"/>
        <v>0</v>
      </c>
      <c r="CF165" s="110"/>
      <c r="CG165" s="74" t="s">
        <v>2187</v>
      </c>
      <c r="CH165" s="77">
        <f t="shared" ca="1" si="740"/>
        <v>0</v>
      </c>
      <c r="CI165" s="110"/>
      <c r="CJ165" s="74" t="s">
        <v>2187</v>
      </c>
      <c r="CK165" s="77">
        <f t="shared" ca="1" si="762"/>
        <v>0</v>
      </c>
      <c r="CL165" s="110"/>
      <c r="CM165" s="74" t="s">
        <v>2536</v>
      </c>
      <c r="CN165" s="77">
        <f t="shared" ca="1" si="762"/>
        <v>0</v>
      </c>
      <c r="CO165" s="110"/>
      <c r="CP165" s="74" t="s">
        <v>2553</v>
      </c>
      <c r="CQ165" s="77">
        <f t="shared" ca="1" si="762"/>
        <v>0</v>
      </c>
      <c r="CR165" s="110"/>
      <c r="CS165" s="74" t="s">
        <v>2564</v>
      </c>
      <c r="CT165" s="77">
        <f t="shared" ca="1" si="762"/>
        <v>0</v>
      </c>
      <c r="CU165" s="110"/>
      <c r="CV165" s="74" t="s">
        <v>2564</v>
      </c>
      <c r="CW165" s="77">
        <f t="shared" ca="1" si="762"/>
        <v>0</v>
      </c>
      <c r="CX165" s="110"/>
      <c r="CY165" s="74" t="s">
        <v>2588</v>
      </c>
      <c r="CZ165" s="77">
        <f t="shared" ca="1" si="762"/>
        <v>0</v>
      </c>
      <c r="DA165" s="110"/>
      <c r="DB165" s="74" t="s">
        <v>2187</v>
      </c>
      <c r="DC165" s="77">
        <f t="shared" ca="1" si="762"/>
        <v>0</v>
      </c>
      <c r="DD165" s="110"/>
      <c r="DE165" s="74" t="s">
        <v>2042</v>
      </c>
      <c r="DF165" s="77">
        <f t="shared" ca="1" si="762"/>
        <v>0</v>
      </c>
      <c r="DG165" s="110"/>
      <c r="DH165" s="74" t="s">
        <v>2075</v>
      </c>
      <c r="DI165" s="77">
        <f t="shared" ca="1" si="762"/>
        <v>0</v>
      </c>
      <c r="DJ165" s="110"/>
      <c r="DK165" s="74" t="s">
        <v>2656</v>
      </c>
      <c r="DL165" s="77">
        <f t="shared" ca="1" si="762"/>
        <v>0</v>
      </c>
      <c r="DM165" s="110"/>
      <c r="DN165" s="795" t="s">
        <v>2075</v>
      </c>
      <c r="DO165" s="77">
        <f t="shared" ca="1" si="762"/>
        <v>0</v>
      </c>
      <c r="DP165" s="110"/>
      <c r="DQ165" s="795" t="s">
        <v>2681</v>
      </c>
      <c r="DR165" s="77">
        <f t="shared" ca="1" si="762"/>
        <v>0</v>
      </c>
      <c r="DS165" s="110"/>
      <c r="DT165" s="74" t="s">
        <v>2711</v>
      </c>
      <c r="DU165" s="77">
        <f t="shared" ca="1" si="762"/>
        <v>0</v>
      </c>
      <c r="DV165" s="110"/>
      <c r="DW165" s="74" t="s">
        <v>2004</v>
      </c>
      <c r="DX165" s="77">
        <f t="shared" ca="1" si="762"/>
        <v>0</v>
      </c>
      <c r="DY165" s="110"/>
      <c r="DZ165" s="74" t="s">
        <v>2753</v>
      </c>
      <c r="EA165" s="77">
        <f t="shared" ca="1" si="762"/>
        <v>0</v>
      </c>
      <c r="EB165" s="110"/>
      <c r="EC165" s="74" t="s">
        <v>2769</v>
      </c>
      <c r="ED165" s="77">
        <f t="shared" ca="1" si="762"/>
        <v>0</v>
      </c>
      <c r="EE165" s="110"/>
      <c r="EF165" s="74" t="s">
        <v>2778</v>
      </c>
      <c r="EG165" s="77">
        <f t="shared" ca="1" si="762"/>
        <v>0</v>
      </c>
      <c r="EH165" s="110"/>
      <c r="EI165" s="74" t="s">
        <v>2187</v>
      </c>
      <c r="EJ165" s="77">
        <f t="shared" ca="1" si="762"/>
        <v>0</v>
      </c>
      <c r="EK165" s="110"/>
      <c r="EL165" s="74"/>
      <c r="EM165" s="77">
        <f t="shared" ca="1" si="762"/>
        <v>0</v>
      </c>
      <c r="EN165" s="110"/>
      <c r="EO165" s="74"/>
      <c r="EP165" s="77">
        <f t="shared" ca="1" si="762"/>
        <v>0</v>
      </c>
      <c r="EQ165" s="110"/>
      <c r="ER165" s="74"/>
      <c r="ES165" s="77">
        <f t="shared" ca="1" si="762"/>
        <v>0</v>
      </c>
      <c r="ET165" s="110"/>
      <c r="EU165" s="74"/>
      <c r="EV165" s="77">
        <f t="shared" ca="1" si="762"/>
        <v>0</v>
      </c>
      <c r="EW165" s="110"/>
      <c r="EX165" s="74"/>
      <c r="EY165" s="77">
        <f t="shared" ca="1" si="784"/>
        <v>0</v>
      </c>
      <c r="EZ165" s="110"/>
      <c r="FA165" s="74"/>
      <c r="FB165" s="77">
        <f t="shared" ca="1" si="784"/>
        <v>0</v>
      </c>
      <c r="FC165" s="110"/>
      <c r="FD165" s="74"/>
      <c r="FE165" s="77">
        <f t="shared" ca="1" si="784"/>
        <v>0</v>
      </c>
      <c r="FF165" s="110"/>
      <c r="FG165" s="74"/>
      <c r="FH165" s="77">
        <f t="shared" ca="1" si="784"/>
        <v>0</v>
      </c>
      <c r="FI165" s="110"/>
      <c r="FJ165" s="74"/>
      <c r="FK165" s="77">
        <f t="shared" ca="1" si="784"/>
        <v>0</v>
      </c>
      <c r="FL165" s="110"/>
      <c r="FM165" s="110"/>
    </row>
    <row r="166" spans="1:169">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07">
        <f t="shared" si="789"/>
        <v>4</v>
      </c>
      <c r="G166" s="407">
        <f ca="1">VLOOKUP(H166,Equipos!$Q$1:$R$25,2,0)</f>
        <v>20</v>
      </c>
      <c r="H166" s="446" t="str">
        <f>Idiomas!$D$260</f>
        <v>Dieciseisavos de final</v>
      </c>
      <c r="I166" s="43">
        <v>1</v>
      </c>
      <c r="J166" s="849"/>
      <c r="K166" s="56" t="str">
        <f ca="1">CONCATENATE(WORLDCUP!AA103,"-",WORLDCUP!AF103)</f>
        <v>1E-3ABCDF</v>
      </c>
      <c r="L166" s="53" t="str">
        <f>IF(OR(WORLDCUP!AC103="",WORLDCUP!AD103=""),"PD",IF(WORLDCUP!AC103&gt;WORLDCUP!AD103,1,IF(WORLDCUP!AC103&lt;WORLDCUP!AD103,2,0)))</f>
        <v>PD</v>
      </c>
      <c r="M166" s="55" t="str">
        <f t="shared" si="790"/>
        <v>-</v>
      </c>
      <c r="N166" s="25">
        <f>WORLDCUP!AC103</f>
        <v>0</v>
      </c>
      <c r="O166" s="25">
        <f>WORLDCUP!AD103</f>
        <v>0</v>
      </c>
      <c r="P166" s="25">
        <f t="shared" si="791"/>
        <v>0</v>
      </c>
      <c r="Q166" s="25">
        <f t="shared" si="792"/>
        <v>0</v>
      </c>
      <c r="R166" s="110"/>
      <c r="S166" s="74" t="s">
        <v>1966</v>
      </c>
      <c r="T166" s="77">
        <f t="shared" ca="1" si="793"/>
        <v>0</v>
      </c>
      <c r="U166" s="110"/>
      <c r="V166" s="74" t="s">
        <v>2005</v>
      </c>
      <c r="W166" s="77">
        <f t="shared" ca="1" si="740"/>
        <v>0</v>
      </c>
      <c r="X166" s="110"/>
      <c r="Y166" s="74" t="s">
        <v>2043</v>
      </c>
      <c r="Z166" s="77">
        <f t="shared" ca="1" si="740"/>
        <v>0</v>
      </c>
      <c r="AA166" s="110"/>
      <c r="AB166" s="80" t="s">
        <v>2076</v>
      </c>
      <c r="AC166" s="77">
        <f t="shared" ca="1" si="740"/>
        <v>0</v>
      </c>
      <c r="AD166" s="110"/>
      <c r="AE166" s="74" t="s">
        <v>2099</v>
      </c>
      <c r="AF166" s="77">
        <f t="shared" ca="1" si="740"/>
        <v>0</v>
      </c>
      <c r="AG166" s="110"/>
      <c r="AH166" s="74" t="s">
        <v>2129</v>
      </c>
      <c r="AI166" s="77">
        <f t="shared" ca="1" si="740"/>
        <v>0</v>
      </c>
      <c r="AJ166" s="110"/>
      <c r="AK166" s="74" t="s">
        <v>2155</v>
      </c>
      <c r="AL166" s="77">
        <f t="shared" ca="1" si="740"/>
        <v>0</v>
      </c>
      <c r="AM166" s="110"/>
      <c r="AN166" s="74" t="s">
        <v>2005</v>
      </c>
      <c r="AO166" s="77">
        <f t="shared" ca="1" si="740"/>
        <v>0</v>
      </c>
      <c r="AP166" s="110"/>
      <c r="AQ166" s="74" t="s">
        <v>2218</v>
      </c>
      <c r="AR166" s="77">
        <f t="shared" ca="1" si="740"/>
        <v>0</v>
      </c>
      <c r="AS166" s="110"/>
      <c r="AT166" s="74" t="s">
        <v>2241</v>
      </c>
      <c r="AU166" s="77">
        <f t="shared" ca="1" si="740"/>
        <v>0</v>
      </c>
      <c r="AV166" s="110"/>
      <c r="AW166" s="74" t="s">
        <v>2266</v>
      </c>
      <c r="AX166" s="77">
        <f t="shared" ca="1" si="740"/>
        <v>0</v>
      </c>
      <c r="AY166" s="110"/>
      <c r="AZ166" s="74" t="s">
        <v>2292</v>
      </c>
      <c r="BA166" s="77">
        <f t="shared" ca="1" si="740"/>
        <v>0</v>
      </c>
      <c r="BB166" s="110"/>
      <c r="BC166" s="74" t="s">
        <v>2314</v>
      </c>
      <c r="BD166" s="77">
        <f t="shared" ca="1" si="740"/>
        <v>0</v>
      </c>
      <c r="BE166" s="110"/>
      <c r="BF166" s="74" t="s">
        <v>2342</v>
      </c>
      <c r="BG166" s="77">
        <f t="shared" ca="1" si="740"/>
        <v>0</v>
      </c>
      <c r="BH166" s="110"/>
      <c r="BI166" s="74" t="s">
        <v>2043</v>
      </c>
      <c r="BJ166" s="77">
        <f t="shared" ca="1" si="740"/>
        <v>0</v>
      </c>
      <c r="BK166" s="110"/>
      <c r="BL166" s="74" t="s">
        <v>2314</v>
      </c>
      <c r="BM166" s="77">
        <f t="shared" ca="1" si="740"/>
        <v>0</v>
      </c>
      <c r="BN166" s="110"/>
      <c r="BO166" s="74" t="s">
        <v>2005</v>
      </c>
      <c r="BP166" s="77">
        <f t="shared" ca="1" si="740"/>
        <v>0</v>
      </c>
      <c r="BQ166" s="110"/>
      <c r="BR166" s="74" t="s">
        <v>2342</v>
      </c>
      <c r="BS166" s="77">
        <f t="shared" ca="1" si="740"/>
        <v>0</v>
      </c>
      <c r="BT166" s="110"/>
      <c r="BU166" s="74" t="s">
        <v>2423</v>
      </c>
      <c r="BV166" s="77">
        <f t="shared" ca="1" si="740"/>
        <v>0</v>
      </c>
      <c r="BW166" s="110"/>
      <c r="BX166" s="74" t="s">
        <v>2005</v>
      </c>
      <c r="BY166" s="77">
        <f t="shared" ca="1" si="740"/>
        <v>0</v>
      </c>
      <c r="BZ166" s="110"/>
      <c r="CA166" s="74" t="s">
        <v>2314</v>
      </c>
      <c r="CB166" s="77">
        <f t="shared" ca="1" si="740"/>
        <v>0</v>
      </c>
      <c r="CC166" s="110"/>
      <c r="CD166" s="74" t="s">
        <v>2486</v>
      </c>
      <c r="CE166" s="77">
        <f t="shared" ca="1" si="740"/>
        <v>0</v>
      </c>
      <c r="CF166" s="110"/>
      <c r="CG166" s="74" t="s">
        <v>2503</v>
      </c>
      <c r="CH166" s="77">
        <f t="shared" ca="1" si="740"/>
        <v>0</v>
      </c>
      <c r="CI166" s="110"/>
      <c r="CJ166" s="74" t="s">
        <v>2043</v>
      </c>
      <c r="CK166" s="77">
        <f t="shared" ca="1" si="762"/>
        <v>0</v>
      </c>
      <c r="CL166" s="110"/>
      <c r="CM166" s="74" t="s">
        <v>2342</v>
      </c>
      <c r="CN166" s="77">
        <f t="shared" ca="1" si="762"/>
        <v>0</v>
      </c>
      <c r="CO166" s="110"/>
      <c r="CP166" s="74" t="s">
        <v>2043</v>
      </c>
      <c r="CQ166" s="77">
        <f t="shared" ca="1" si="762"/>
        <v>0</v>
      </c>
      <c r="CR166" s="110"/>
      <c r="CS166" s="74" t="s">
        <v>2314</v>
      </c>
      <c r="CT166" s="77">
        <f t="shared" ca="1" si="762"/>
        <v>0</v>
      </c>
      <c r="CU166" s="110"/>
      <c r="CV166" s="74" t="s">
        <v>1966</v>
      </c>
      <c r="CW166" s="77">
        <f t="shared" ca="1" si="762"/>
        <v>0</v>
      </c>
      <c r="CX166" s="110"/>
      <c r="CY166" s="74" t="s">
        <v>2589</v>
      </c>
      <c r="CZ166" s="77">
        <f t="shared" ca="1" si="762"/>
        <v>0</v>
      </c>
      <c r="DA166" s="110"/>
      <c r="DB166" s="74" t="s">
        <v>2608</v>
      </c>
      <c r="DC166" s="77">
        <f t="shared" ca="1" si="762"/>
        <v>0</v>
      </c>
      <c r="DD166" s="110"/>
      <c r="DE166" s="74" t="s">
        <v>2005</v>
      </c>
      <c r="DF166" s="77">
        <f t="shared" ca="1" si="762"/>
        <v>0</v>
      </c>
      <c r="DG166" s="110"/>
      <c r="DH166" s="74" t="s">
        <v>2314</v>
      </c>
      <c r="DI166" s="77">
        <f t="shared" ca="1" si="762"/>
        <v>0</v>
      </c>
      <c r="DJ166" s="110"/>
      <c r="DK166" s="74" t="s">
        <v>2657</v>
      </c>
      <c r="DL166" s="77">
        <f t="shared" ca="1" si="762"/>
        <v>0</v>
      </c>
      <c r="DM166" s="110"/>
      <c r="DN166" s="795" t="s">
        <v>2670</v>
      </c>
      <c r="DO166" s="77">
        <f t="shared" ca="1" si="762"/>
        <v>0</v>
      </c>
      <c r="DP166" s="110"/>
      <c r="DQ166" s="795" t="s">
        <v>2682</v>
      </c>
      <c r="DR166" s="77">
        <f t="shared" ca="1" si="762"/>
        <v>0</v>
      </c>
      <c r="DS166" s="110"/>
      <c r="DT166" s="74" t="s">
        <v>2314</v>
      </c>
      <c r="DU166" s="77">
        <f t="shared" ca="1" si="762"/>
        <v>0</v>
      </c>
      <c r="DV166" s="110"/>
      <c r="DW166" s="74" t="s">
        <v>2076</v>
      </c>
      <c r="DX166" s="77">
        <f t="shared" ca="1" si="762"/>
        <v>0</v>
      </c>
      <c r="DY166" s="110"/>
      <c r="DZ166" s="74" t="s">
        <v>2266</v>
      </c>
      <c r="EA166" s="77">
        <f t="shared" ca="1" si="762"/>
        <v>0</v>
      </c>
      <c r="EB166" s="110"/>
      <c r="EC166" s="74" t="s">
        <v>2770</v>
      </c>
      <c r="ED166" s="77">
        <f t="shared" ca="1" si="762"/>
        <v>0</v>
      </c>
      <c r="EE166" s="110"/>
      <c r="EF166" s="74" t="s">
        <v>2005</v>
      </c>
      <c r="EG166" s="77">
        <f t="shared" ca="1" si="762"/>
        <v>0</v>
      </c>
      <c r="EH166" s="110"/>
      <c r="EI166" s="74" t="s">
        <v>2670</v>
      </c>
      <c r="EJ166" s="77">
        <f t="shared" ca="1" si="762"/>
        <v>0</v>
      </c>
      <c r="EK166" s="110"/>
      <c r="EL166" s="74"/>
      <c r="EM166" s="77">
        <f t="shared" ca="1" si="762"/>
        <v>0</v>
      </c>
      <c r="EN166" s="110"/>
      <c r="EO166" s="74"/>
      <c r="EP166" s="77">
        <f t="shared" ca="1" si="762"/>
        <v>0</v>
      </c>
      <c r="EQ166" s="110"/>
      <c r="ER166" s="74"/>
      <c r="ES166" s="77">
        <f t="shared" ca="1" si="762"/>
        <v>0</v>
      </c>
      <c r="ET166" s="110"/>
      <c r="EU166" s="74"/>
      <c r="EV166" s="77">
        <f t="shared" ca="1" si="762"/>
        <v>0</v>
      </c>
      <c r="EW166" s="110"/>
      <c r="EX166" s="74"/>
      <c r="EY166" s="77">
        <f t="shared" ca="1" si="784"/>
        <v>0</v>
      </c>
      <c r="EZ166" s="110"/>
      <c r="FA166" s="74"/>
      <c r="FB166" s="77">
        <f t="shared" ca="1" si="784"/>
        <v>0</v>
      </c>
      <c r="FC166" s="110"/>
      <c r="FD166" s="74"/>
      <c r="FE166" s="77">
        <f t="shared" ca="1" si="784"/>
        <v>0</v>
      </c>
      <c r="FF166" s="110"/>
      <c r="FG166" s="74"/>
      <c r="FH166" s="77">
        <f t="shared" ca="1" si="784"/>
        <v>0</v>
      </c>
      <c r="FI166" s="110"/>
      <c r="FJ166" s="74"/>
      <c r="FK166" s="77">
        <f t="shared" ca="1" si="784"/>
        <v>0</v>
      </c>
      <c r="FL166" s="110"/>
      <c r="FM166" s="110"/>
    </row>
    <row r="167" spans="1:169">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07">
        <f t="shared" si="789"/>
        <v>4</v>
      </c>
      <c r="G167" s="407">
        <f ca="1">VLOOKUP(H167,Equipos!$Q$1:$R$25,2,0)</f>
        <v>20</v>
      </c>
      <c r="H167" s="446" t="str">
        <f>Idiomas!$D$260</f>
        <v>Dieciseisavos de final</v>
      </c>
      <c r="I167" s="43">
        <v>1</v>
      </c>
      <c r="J167" s="849"/>
      <c r="K167" s="56" t="str">
        <f ca="1">CONCATENATE(WORLDCUP!AA104,"-",WORLDCUP!AF104)</f>
        <v>1F-2C</v>
      </c>
      <c r="L167" s="53" t="str">
        <f>IF(OR(WORLDCUP!AC104="",WORLDCUP!AD104=""),"PD",IF(WORLDCUP!AC104&gt;WORLDCUP!AD104,1,IF(WORLDCUP!AC104&lt;WORLDCUP!AD104,2,0)))</f>
        <v>PD</v>
      </c>
      <c r="M167" s="55" t="str">
        <f t="shared" si="790"/>
        <v>-</v>
      </c>
      <c r="N167" s="25">
        <f>WORLDCUP!AC104</f>
        <v>0</v>
      </c>
      <c r="O167" s="25">
        <f>WORLDCUP!AD104</f>
        <v>0</v>
      </c>
      <c r="P167" s="25">
        <f t="shared" si="791"/>
        <v>0</v>
      </c>
      <c r="Q167" s="25">
        <f t="shared" si="792"/>
        <v>0</v>
      </c>
      <c r="R167" s="110"/>
      <c r="S167" s="74" t="s">
        <v>1967</v>
      </c>
      <c r="T167" s="77">
        <f t="shared" ca="1" si="793"/>
        <v>0</v>
      </c>
      <c r="U167" s="110"/>
      <c r="V167" s="74" t="s">
        <v>2006</v>
      </c>
      <c r="W167" s="77">
        <f t="shared" ca="1" si="740"/>
        <v>0</v>
      </c>
      <c r="X167" s="110"/>
      <c r="Y167" s="74" t="s">
        <v>2044</v>
      </c>
      <c r="Z167" s="77">
        <f t="shared" ca="1" si="740"/>
        <v>0</v>
      </c>
      <c r="AA167" s="110"/>
      <c r="AB167" s="80" t="s">
        <v>2006</v>
      </c>
      <c r="AC167" s="77">
        <f t="shared" ca="1" si="740"/>
        <v>0</v>
      </c>
      <c r="AD167" s="110"/>
      <c r="AE167" s="74" t="s">
        <v>2100</v>
      </c>
      <c r="AF167" s="77">
        <f t="shared" ca="1" si="740"/>
        <v>0</v>
      </c>
      <c r="AG167" s="110"/>
      <c r="AH167" s="74" t="s">
        <v>2130</v>
      </c>
      <c r="AI167" s="77">
        <f t="shared" ca="1" si="740"/>
        <v>0</v>
      </c>
      <c r="AJ167" s="110"/>
      <c r="AK167" s="74" t="s">
        <v>2156</v>
      </c>
      <c r="AL167" s="77">
        <f t="shared" ca="1" si="740"/>
        <v>0</v>
      </c>
      <c r="AM167" s="110"/>
      <c r="AN167" s="74" t="s">
        <v>2188</v>
      </c>
      <c r="AO167" s="77">
        <f t="shared" ca="1" si="740"/>
        <v>0</v>
      </c>
      <c r="AP167" s="110"/>
      <c r="AQ167" s="74" t="s">
        <v>2188</v>
      </c>
      <c r="AR167" s="77">
        <f t="shared" ca="1" si="740"/>
        <v>0</v>
      </c>
      <c r="AS167" s="110"/>
      <c r="AT167" s="74" t="s">
        <v>2044</v>
      </c>
      <c r="AU167" s="77">
        <f t="shared" ca="1" si="740"/>
        <v>0</v>
      </c>
      <c r="AV167" s="110"/>
      <c r="AW167" s="74" t="s">
        <v>2188</v>
      </c>
      <c r="AX167" s="77">
        <f t="shared" ca="1" si="740"/>
        <v>0</v>
      </c>
      <c r="AY167" s="110"/>
      <c r="AZ167" s="74" t="s">
        <v>2188</v>
      </c>
      <c r="BA167" s="77">
        <f t="shared" ca="1" si="740"/>
        <v>0</v>
      </c>
      <c r="BB167" s="110"/>
      <c r="BC167" s="74" t="s">
        <v>2315</v>
      </c>
      <c r="BD167" s="77">
        <f t="shared" ca="1" si="740"/>
        <v>0</v>
      </c>
      <c r="BE167" s="110"/>
      <c r="BF167" s="74" t="s">
        <v>2044</v>
      </c>
      <c r="BG167" s="77">
        <f t="shared" ca="1" si="740"/>
        <v>0</v>
      </c>
      <c r="BH167" s="110"/>
      <c r="BI167" s="74" t="s">
        <v>2044</v>
      </c>
      <c r="BJ167" s="77">
        <f t="shared" ca="1" si="740"/>
        <v>0</v>
      </c>
      <c r="BK167" s="110"/>
      <c r="BL167" s="74" t="s">
        <v>2188</v>
      </c>
      <c r="BM167" s="77">
        <f t="shared" ca="1" si="740"/>
        <v>0</v>
      </c>
      <c r="BN167" s="110"/>
      <c r="BO167" s="74" t="s">
        <v>2315</v>
      </c>
      <c r="BP167" s="77">
        <f t="shared" ca="1" si="740"/>
        <v>0</v>
      </c>
      <c r="BQ167" s="110"/>
      <c r="BR167" s="74" t="s">
        <v>2188</v>
      </c>
      <c r="BS167" s="77">
        <f t="shared" ca="1" si="740"/>
        <v>0</v>
      </c>
      <c r="BT167" s="110"/>
      <c r="BU167" s="74" t="s">
        <v>2424</v>
      </c>
      <c r="BV167" s="77">
        <f t="shared" ca="1" si="740"/>
        <v>0</v>
      </c>
      <c r="BW167" s="110"/>
      <c r="BX167" s="74" t="s">
        <v>2443</v>
      </c>
      <c r="BY167" s="77">
        <f t="shared" ca="1" si="740"/>
        <v>0</v>
      </c>
      <c r="BZ167" s="110"/>
      <c r="CA167" s="74" t="s">
        <v>2464</v>
      </c>
      <c r="CB167" s="77">
        <f t="shared" ca="1" si="740"/>
        <v>0</v>
      </c>
      <c r="CC167" s="110"/>
      <c r="CD167" s="74" t="s">
        <v>2100</v>
      </c>
      <c r="CE167" s="77">
        <f t="shared" ca="1" si="740"/>
        <v>0</v>
      </c>
      <c r="CF167" s="110"/>
      <c r="CG167" s="74" t="s">
        <v>2504</v>
      </c>
      <c r="CH167" s="77">
        <f t="shared" ca="1" si="740"/>
        <v>0</v>
      </c>
      <c r="CI167" s="110"/>
      <c r="CJ167" s="74" t="s">
        <v>2188</v>
      </c>
      <c r="CK167" s="77">
        <f t="shared" ca="1" si="762"/>
        <v>0</v>
      </c>
      <c r="CL167" s="110"/>
      <c r="CM167" s="74" t="s">
        <v>2537</v>
      </c>
      <c r="CN167" s="77">
        <f t="shared" ca="1" si="762"/>
        <v>0</v>
      </c>
      <c r="CO167" s="110"/>
      <c r="CP167" s="74" t="s">
        <v>2554</v>
      </c>
      <c r="CQ167" s="77">
        <f t="shared" ca="1" si="762"/>
        <v>0</v>
      </c>
      <c r="CR167" s="110"/>
      <c r="CS167" s="74" t="s">
        <v>2315</v>
      </c>
      <c r="CT167" s="77">
        <f t="shared" ca="1" si="762"/>
        <v>0</v>
      </c>
      <c r="CU167" s="110"/>
      <c r="CV167" s="74" t="s">
        <v>2188</v>
      </c>
      <c r="CW167" s="77">
        <f t="shared" ca="1" si="762"/>
        <v>0</v>
      </c>
      <c r="CX167" s="110"/>
      <c r="CY167" s="74" t="s">
        <v>2590</v>
      </c>
      <c r="CZ167" s="77">
        <f t="shared" ca="1" si="762"/>
        <v>0</v>
      </c>
      <c r="DA167" s="110"/>
      <c r="DB167" s="74" t="s">
        <v>2156</v>
      </c>
      <c r="DC167" s="77">
        <f t="shared" ca="1" si="762"/>
        <v>0</v>
      </c>
      <c r="DD167" s="110"/>
      <c r="DE167" s="74" t="s">
        <v>2188</v>
      </c>
      <c r="DF167" s="77">
        <f t="shared" ca="1" si="762"/>
        <v>0</v>
      </c>
      <c r="DG167" s="110"/>
      <c r="DH167" s="74" t="s">
        <v>2156</v>
      </c>
      <c r="DI167" s="77">
        <f t="shared" ca="1" si="762"/>
        <v>0</v>
      </c>
      <c r="DJ167" s="110"/>
      <c r="DK167" s="74" t="s">
        <v>2130</v>
      </c>
      <c r="DL167" s="77">
        <f t="shared" ca="1" si="762"/>
        <v>0</v>
      </c>
      <c r="DM167" s="110"/>
      <c r="DN167" s="795" t="s">
        <v>2044</v>
      </c>
      <c r="DO167" s="77">
        <f t="shared" ca="1" si="762"/>
        <v>0</v>
      </c>
      <c r="DP167" s="110"/>
      <c r="DQ167" s="795" t="s">
        <v>2683</v>
      </c>
      <c r="DR167" s="77">
        <f t="shared" ca="1" si="762"/>
        <v>0</v>
      </c>
      <c r="DS167" s="110"/>
      <c r="DT167" s="74" t="s">
        <v>2712</v>
      </c>
      <c r="DU167" s="77">
        <f t="shared" ca="1" si="762"/>
        <v>0</v>
      </c>
      <c r="DV167" s="110"/>
      <c r="DW167" s="74" t="s">
        <v>2735</v>
      </c>
      <c r="DX167" s="77">
        <f t="shared" ca="1" si="762"/>
        <v>0</v>
      </c>
      <c r="DY167" s="110"/>
      <c r="DZ167" s="74" t="s">
        <v>2754</v>
      </c>
      <c r="EA167" s="77">
        <f t="shared" ca="1" si="762"/>
        <v>0</v>
      </c>
      <c r="EB167" s="110"/>
      <c r="EC167" s="74" t="s">
        <v>2156</v>
      </c>
      <c r="ED167" s="77">
        <f t="shared" ca="1" si="762"/>
        <v>0</v>
      </c>
      <c r="EE167" s="110"/>
      <c r="EF167" s="74" t="s">
        <v>2735</v>
      </c>
      <c r="EG167" s="77">
        <f t="shared" ca="1" si="762"/>
        <v>0</v>
      </c>
      <c r="EH167" s="110"/>
      <c r="EI167" s="74" t="s">
        <v>2315</v>
      </c>
      <c r="EJ167" s="77">
        <f t="shared" ca="1" si="762"/>
        <v>0</v>
      </c>
      <c r="EK167" s="110"/>
      <c r="EL167" s="74"/>
      <c r="EM167" s="77">
        <f t="shared" ca="1" si="762"/>
        <v>0</v>
      </c>
      <c r="EN167" s="110"/>
      <c r="EO167" s="74"/>
      <c r="EP167" s="77">
        <f t="shared" ca="1" si="762"/>
        <v>0</v>
      </c>
      <c r="EQ167" s="110"/>
      <c r="ER167" s="74"/>
      <c r="ES167" s="77">
        <f t="shared" ca="1" si="762"/>
        <v>0</v>
      </c>
      <c r="ET167" s="110"/>
      <c r="EU167" s="74"/>
      <c r="EV167" s="77">
        <f t="shared" ca="1" si="762"/>
        <v>0</v>
      </c>
      <c r="EW167" s="110"/>
      <c r="EX167" s="74"/>
      <c r="EY167" s="77">
        <f t="shared" ca="1" si="784"/>
        <v>0</v>
      </c>
      <c r="EZ167" s="110"/>
      <c r="FA167" s="74"/>
      <c r="FB167" s="77">
        <f t="shared" ca="1" si="784"/>
        <v>0</v>
      </c>
      <c r="FC167" s="110"/>
      <c r="FD167" s="74"/>
      <c r="FE167" s="77">
        <f t="shared" ca="1" si="784"/>
        <v>0</v>
      </c>
      <c r="FF167" s="110"/>
      <c r="FG167" s="74"/>
      <c r="FH167" s="77">
        <f t="shared" ca="1" si="784"/>
        <v>0</v>
      </c>
      <c r="FI167" s="110"/>
      <c r="FJ167" s="74"/>
      <c r="FK167" s="77">
        <f t="shared" ca="1" si="784"/>
        <v>0</v>
      </c>
      <c r="FL167" s="110"/>
      <c r="FM167" s="110"/>
    </row>
    <row r="168" spans="1:169">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07">
        <f t="shared" si="789"/>
        <v>4</v>
      </c>
      <c r="G168" s="407">
        <f ca="1">VLOOKUP(H168,Equipos!$Q$1:$R$25,2,0)</f>
        <v>20</v>
      </c>
      <c r="H168" s="446" t="str">
        <f>Idiomas!$D$260</f>
        <v>Dieciseisavos de final</v>
      </c>
      <c r="I168" s="43">
        <v>1</v>
      </c>
      <c r="J168" s="849"/>
      <c r="K168" s="56" t="str">
        <f ca="1">CONCATENATE(WORLDCUP!AA105,"-",WORLDCUP!AF105)</f>
        <v>2E-2I</v>
      </c>
      <c r="L168" s="53" t="str">
        <f>IF(OR(WORLDCUP!AC105="",WORLDCUP!AD105=""),"PD",IF(WORLDCUP!AC105&gt;WORLDCUP!AD105,1,IF(WORLDCUP!AC105&lt;WORLDCUP!AD105,2,0)))</f>
        <v>PD</v>
      </c>
      <c r="M168" s="55" t="str">
        <f t="shared" si="790"/>
        <v>-</v>
      </c>
      <c r="N168" s="25">
        <f>WORLDCUP!AC105</f>
        <v>0</v>
      </c>
      <c r="O168" s="25">
        <f>WORLDCUP!AD105</f>
        <v>0</v>
      </c>
      <c r="P168" s="25">
        <f t="shared" si="791"/>
        <v>0</v>
      </c>
      <c r="Q168" s="25">
        <f t="shared" si="792"/>
        <v>0</v>
      </c>
      <c r="R168" s="110"/>
      <c r="S168" s="74" t="s">
        <v>1968</v>
      </c>
      <c r="T168" s="77">
        <f t="shared" ca="1" si="793"/>
        <v>0</v>
      </c>
      <c r="U168" s="110"/>
      <c r="V168" s="74" t="s">
        <v>2007</v>
      </c>
      <c r="W168" s="77">
        <f t="shared" ca="1" si="740"/>
        <v>0</v>
      </c>
      <c r="X168" s="110"/>
      <c r="Y168" s="74" t="s">
        <v>2045</v>
      </c>
      <c r="Z168" s="77">
        <f t="shared" ca="1" si="740"/>
        <v>0</v>
      </c>
      <c r="AA168" s="110"/>
      <c r="AB168" s="80" t="s">
        <v>2077</v>
      </c>
      <c r="AC168" s="77">
        <f t="shared" ca="1" si="740"/>
        <v>0</v>
      </c>
      <c r="AD168" s="110"/>
      <c r="AE168" s="74" t="s">
        <v>2101</v>
      </c>
      <c r="AF168" s="77">
        <f t="shared" ca="1" si="740"/>
        <v>0</v>
      </c>
      <c r="AG168" s="110"/>
      <c r="AH168" s="74" t="s">
        <v>2077</v>
      </c>
      <c r="AI168" s="77">
        <f t="shared" ca="1" si="740"/>
        <v>0</v>
      </c>
      <c r="AJ168" s="110"/>
      <c r="AK168" s="74" t="s">
        <v>2157</v>
      </c>
      <c r="AL168" s="77">
        <f t="shared" ca="1" si="740"/>
        <v>0</v>
      </c>
      <c r="AM168" s="110"/>
      <c r="AN168" s="74" t="s">
        <v>2189</v>
      </c>
      <c r="AO168" s="77">
        <f t="shared" ca="1" si="740"/>
        <v>0</v>
      </c>
      <c r="AP168" s="110"/>
      <c r="AQ168" s="74" t="s">
        <v>2219</v>
      </c>
      <c r="AR168" s="77">
        <f t="shared" ca="1" si="740"/>
        <v>0</v>
      </c>
      <c r="AS168" s="110"/>
      <c r="AT168" s="74" t="s">
        <v>2242</v>
      </c>
      <c r="AU168" s="77">
        <f t="shared" ca="1" si="740"/>
        <v>0</v>
      </c>
      <c r="AV168" s="110"/>
      <c r="AW168" s="74" t="s">
        <v>2267</v>
      </c>
      <c r="AX168" s="77">
        <f t="shared" ca="1" si="740"/>
        <v>0</v>
      </c>
      <c r="AY168" s="110"/>
      <c r="AZ168" s="74" t="s">
        <v>2101</v>
      </c>
      <c r="BA168" s="77">
        <f t="shared" ca="1" si="740"/>
        <v>0</v>
      </c>
      <c r="BB168" s="110"/>
      <c r="BC168" s="74" t="s">
        <v>2316</v>
      </c>
      <c r="BD168" s="77">
        <f t="shared" ca="1" si="740"/>
        <v>0</v>
      </c>
      <c r="BE168" s="110"/>
      <c r="BF168" s="74" t="s">
        <v>2343</v>
      </c>
      <c r="BG168" s="77">
        <f t="shared" ca="1" si="740"/>
        <v>0</v>
      </c>
      <c r="BH168" s="110"/>
      <c r="BI168" s="74" t="s">
        <v>2045</v>
      </c>
      <c r="BJ168" s="77">
        <f t="shared" ca="1" si="740"/>
        <v>0</v>
      </c>
      <c r="BK168" s="110"/>
      <c r="BL168" s="74" t="s">
        <v>2381</v>
      </c>
      <c r="BM168" s="77">
        <f t="shared" ca="1" si="740"/>
        <v>0</v>
      </c>
      <c r="BN168" s="110"/>
      <c r="BO168" s="74" t="s">
        <v>2398</v>
      </c>
      <c r="BP168" s="77">
        <f t="shared" ca="1" si="740"/>
        <v>0</v>
      </c>
      <c r="BQ168" s="110"/>
      <c r="BR168" s="74" t="s">
        <v>2409</v>
      </c>
      <c r="BS168" s="77">
        <f t="shared" ca="1" si="740"/>
        <v>0</v>
      </c>
      <c r="BT168" s="110"/>
      <c r="BU168" s="74" t="s">
        <v>2425</v>
      </c>
      <c r="BV168" s="77">
        <f t="shared" ca="1" si="740"/>
        <v>0</v>
      </c>
      <c r="BW168" s="110"/>
      <c r="BX168" s="74" t="s">
        <v>2444</v>
      </c>
      <c r="BY168" s="77">
        <f t="shared" ca="1" si="740"/>
        <v>0</v>
      </c>
      <c r="BZ168" s="110"/>
      <c r="CA168" s="74" t="s">
        <v>2007</v>
      </c>
      <c r="CB168" s="77">
        <f t="shared" ca="1" si="740"/>
        <v>0</v>
      </c>
      <c r="CC168" s="110"/>
      <c r="CD168" s="74" t="s">
        <v>2101</v>
      </c>
      <c r="CE168" s="77">
        <f t="shared" ca="1" si="740"/>
        <v>0</v>
      </c>
      <c r="CF168" s="110"/>
      <c r="CG168" s="74" t="s">
        <v>2398</v>
      </c>
      <c r="CH168" s="77">
        <f t="shared" ca="1" si="740"/>
        <v>0</v>
      </c>
      <c r="CI168" s="110"/>
      <c r="CJ168" s="74" t="s">
        <v>2522</v>
      </c>
      <c r="CK168" s="77">
        <f t="shared" ca="1" si="762"/>
        <v>0</v>
      </c>
      <c r="CL168" s="110"/>
      <c r="CM168" s="74" t="s">
        <v>2101</v>
      </c>
      <c r="CN168" s="77">
        <f t="shared" ca="1" si="762"/>
        <v>0</v>
      </c>
      <c r="CO168" s="110"/>
      <c r="CP168" s="74" t="s">
        <v>2522</v>
      </c>
      <c r="CQ168" s="77">
        <f t="shared" ca="1" si="762"/>
        <v>0</v>
      </c>
      <c r="CR168" s="110"/>
      <c r="CS168" s="74" t="s">
        <v>2045</v>
      </c>
      <c r="CT168" s="77">
        <f t="shared" ca="1" si="762"/>
        <v>0</v>
      </c>
      <c r="CU168" s="110"/>
      <c r="CV168" s="74" t="s">
        <v>2343</v>
      </c>
      <c r="CW168" s="77">
        <f t="shared" ca="1" si="762"/>
        <v>0</v>
      </c>
      <c r="CX168" s="110"/>
      <c r="CY168" s="74" t="s">
        <v>1968</v>
      </c>
      <c r="CZ168" s="77">
        <f t="shared" ca="1" si="762"/>
        <v>0</v>
      </c>
      <c r="DA168" s="110"/>
      <c r="DB168" s="74" t="s">
        <v>2101</v>
      </c>
      <c r="DC168" s="77">
        <f t="shared" ca="1" si="762"/>
        <v>0</v>
      </c>
      <c r="DD168" s="110"/>
      <c r="DE168" s="74" t="s">
        <v>2624</v>
      </c>
      <c r="DF168" s="77">
        <f t="shared" ca="1" si="762"/>
        <v>0</v>
      </c>
      <c r="DG168" s="110"/>
      <c r="DH168" s="74" t="s">
        <v>2642</v>
      </c>
      <c r="DI168" s="77">
        <f t="shared" ca="1" si="762"/>
        <v>0</v>
      </c>
      <c r="DJ168" s="110"/>
      <c r="DK168" s="74" t="s">
        <v>2316</v>
      </c>
      <c r="DL168" s="77">
        <f t="shared" ca="1" si="762"/>
        <v>0</v>
      </c>
      <c r="DM168" s="110"/>
      <c r="DN168" s="795" t="s">
        <v>2522</v>
      </c>
      <c r="DO168" s="77">
        <f t="shared" ca="1" si="762"/>
        <v>0</v>
      </c>
      <c r="DP168" s="110"/>
      <c r="DQ168" s="795" t="s">
        <v>2684</v>
      </c>
      <c r="DR168" s="77">
        <f t="shared" ca="1" si="762"/>
        <v>0</v>
      </c>
      <c r="DS168" s="110"/>
      <c r="DT168" s="74" t="s">
        <v>2713</v>
      </c>
      <c r="DU168" s="77">
        <f t="shared" ca="1" si="762"/>
        <v>0</v>
      </c>
      <c r="DV168" s="110"/>
      <c r="DW168" s="74" t="s">
        <v>2101</v>
      </c>
      <c r="DX168" s="77">
        <f t="shared" ca="1" si="762"/>
        <v>0</v>
      </c>
      <c r="DY168" s="110"/>
      <c r="DZ168" s="74" t="s">
        <v>2101</v>
      </c>
      <c r="EA168" s="77">
        <f t="shared" ca="1" si="762"/>
        <v>0</v>
      </c>
      <c r="EB168" s="110"/>
      <c r="EC168" s="74" t="s">
        <v>2771</v>
      </c>
      <c r="ED168" s="77">
        <f t="shared" ca="1" si="762"/>
        <v>0</v>
      </c>
      <c r="EE168" s="110"/>
      <c r="EF168" s="74" t="s">
        <v>2779</v>
      </c>
      <c r="EG168" s="77">
        <f t="shared" ca="1" si="762"/>
        <v>0</v>
      </c>
      <c r="EH168" s="110"/>
      <c r="EI168" s="74" t="s">
        <v>2795</v>
      </c>
      <c r="EJ168" s="77">
        <f t="shared" ca="1" si="762"/>
        <v>0</v>
      </c>
      <c r="EK168" s="110"/>
      <c r="EL168" s="74"/>
      <c r="EM168" s="77">
        <f t="shared" ca="1" si="762"/>
        <v>0</v>
      </c>
      <c r="EN168" s="110"/>
      <c r="EO168" s="74"/>
      <c r="EP168" s="77">
        <f t="shared" ca="1" si="762"/>
        <v>0</v>
      </c>
      <c r="EQ168" s="110"/>
      <c r="ER168" s="74"/>
      <c r="ES168" s="77">
        <f t="shared" ca="1" si="762"/>
        <v>0</v>
      </c>
      <c r="ET168" s="110"/>
      <c r="EU168" s="74"/>
      <c r="EV168" s="77">
        <f t="shared" ca="1" si="762"/>
        <v>0</v>
      </c>
      <c r="EW168" s="110"/>
      <c r="EX168" s="74"/>
      <c r="EY168" s="77">
        <f t="shared" ca="1" si="784"/>
        <v>0</v>
      </c>
      <c r="EZ168" s="110"/>
      <c r="FA168" s="74"/>
      <c r="FB168" s="77">
        <f t="shared" ca="1" si="784"/>
        <v>0</v>
      </c>
      <c r="FC168" s="110"/>
      <c r="FD168" s="74"/>
      <c r="FE168" s="77">
        <f t="shared" ca="1" si="784"/>
        <v>0</v>
      </c>
      <c r="FF168" s="110"/>
      <c r="FG168" s="74"/>
      <c r="FH168" s="77">
        <f t="shared" ca="1" si="784"/>
        <v>0</v>
      </c>
      <c r="FI168" s="110"/>
      <c r="FJ168" s="74"/>
      <c r="FK168" s="77">
        <f t="shared" ca="1" si="784"/>
        <v>0</v>
      </c>
      <c r="FL168" s="110"/>
      <c r="FM168" s="110"/>
    </row>
    <row r="169" spans="1:169">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07">
        <f t="shared" si="789"/>
        <v>4</v>
      </c>
      <c r="G169" s="407">
        <f ca="1">VLOOKUP(H169,Equipos!$Q$1:$R$25,2,0)</f>
        <v>20</v>
      </c>
      <c r="H169" s="446" t="str">
        <f>Idiomas!$D$260</f>
        <v>Dieciseisavos de final</v>
      </c>
      <c r="I169" s="43">
        <v>1</v>
      </c>
      <c r="J169" s="849"/>
      <c r="K169" s="56" t="str">
        <f ca="1">CONCATENATE(WORLDCUP!AA106,"-",WORLDCUP!AF106)</f>
        <v>1I-3CDFGH</v>
      </c>
      <c r="L169" s="53" t="str">
        <f>IF(OR(WORLDCUP!AC106="",WORLDCUP!AD106=""),"PD",IF(WORLDCUP!AC106&gt;WORLDCUP!AD106,1,IF(WORLDCUP!AC106&lt;WORLDCUP!AD106,2,0)))</f>
        <v>PD</v>
      </c>
      <c r="M169" s="55" t="str">
        <f t="shared" si="790"/>
        <v>-</v>
      </c>
      <c r="N169" s="25">
        <f>WORLDCUP!AC106</f>
        <v>0</v>
      </c>
      <c r="O169" s="25">
        <f>WORLDCUP!AD106</f>
        <v>0</v>
      </c>
      <c r="P169" s="25">
        <f t="shared" si="791"/>
        <v>0</v>
      </c>
      <c r="Q169" s="25">
        <f t="shared" si="792"/>
        <v>0</v>
      </c>
      <c r="R169" s="110"/>
      <c r="S169" s="74" t="s">
        <v>1969</v>
      </c>
      <c r="T169" s="77">
        <f t="shared" ca="1" si="793"/>
        <v>0</v>
      </c>
      <c r="U169" s="110"/>
      <c r="V169" s="74" t="s">
        <v>2008</v>
      </c>
      <c r="W169" s="77">
        <f t="shared" ca="1" si="740"/>
        <v>0</v>
      </c>
      <c r="X169" s="110"/>
      <c r="Y169" s="74" t="s">
        <v>2008</v>
      </c>
      <c r="Z169" s="77">
        <f t="shared" ca="1" si="740"/>
        <v>0</v>
      </c>
      <c r="AA169" s="110"/>
      <c r="AB169" s="80" t="s">
        <v>2008</v>
      </c>
      <c r="AC169" s="77">
        <f t="shared" ca="1" si="740"/>
        <v>0</v>
      </c>
      <c r="AD169" s="110"/>
      <c r="AE169" s="74" t="s">
        <v>2008</v>
      </c>
      <c r="AF169" s="77">
        <f t="shared" ca="1" si="740"/>
        <v>0</v>
      </c>
      <c r="AG169" s="110"/>
      <c r="AH169" s="74" t="s">
        <v>2131</v>
      </c>
      <c r="AI169" s="77">
        <f t="shared" ca="1" si="740"/>
        <v>0</v>
      </c>
      <c r="AJ169" s="110"/>
      <c r="AK169" s="74" t="s">
        <v>2158</v>
      </c>
      <c r="AL169" s="77">
        <f t="shared" ca="1" si="740"/>
        <v>0</v>
      </c>
      <c r="AM169" s="110"/>
      <c r="AN169" s="74" t="s">
        <v>2190</v>
      </c>
      <c r="AO169" s="77">
        <f t="shared" ca="1" si="740"/>
        <v>0</v>
      </c>
      <c r="AP169" s="110"/>
      <c r="AQ169" s="74" t="s">
        <v>2220</v>
      </c>
      <c r="AR169" s="77">
        <f t="shared" ca="1" si="740"/>
        <v>0</v>
      </c>
      <c r="AS169" s="110"/>
      <c r="AT169" s="74" t="s">
        <v>2243</v>
      </c>
      <c r="AU169" s="77">
        <f t="shared" ca="1" si="740"/>
        <v>0</v>
      </c>
      <c r="AV169" s="110"/>
      <c r="AW169" s="74" t="s">
        <v>2268</v>
      </c>
      <c r="AX169" s="77">
        <f t="shared" ca="1" si="740"/>
        <v>0</v>
      </c>
      <c r="AY169" s="110"/>
      <c r="AZ169" s="74" t="s">
        <v>2293</v>
      </c>
      <c r="BA169" s="77">
        <f t="shared" ca="1" si="740"/>
        <v>0</v>
      </c>
      <c r="BB169" s="110"/>
      <c r="BC169" s="74" t="s">
        <v>2131</v>
      </c>
      <c r="BD169" s="77">
        <f t="shared" ca="1" si="740"/>
        <v>0</v>
      </c>
      <c r="BE169" s="110"/>
      <c r="BF169" s="74" t="s">
        <v>2344</v>
      </c>
      <c r="BG169" s="77">
        <f t="shared" ca="1" si="740"/>
        <v>0</v>
      </c>
      <c r="BH169" s="110"/>
      <c r="BI169" s="74" t="s">
        <v>2360</v>
      </c>
      <c r="BJ169" s="77">
        <f t="shared" ca="1" si="740"/>
        <v>0</v>
      </c>
      <c r="BK169" s="110"/>
      <c r="BL169" s="74" t="s">
        <v>2158</v>
      </c>
      <c r="BM169" s="77">
        <f t="shared" ca="1" si="740"/>
        <v>0</v>
      </c>
      <c r="BN169" s="110"/>
      <c r="BO169" s="74" t="s">
        <v>2158</v>
      </c>
      <c r="BP169" s="77">
        <f t="shared" ca="1" si="740"/>
        <v>0</v>
      </c>
      <c r="BQ169" s="110"/>
      <c r="BR169" s="74" t="s">
        <v>2410</v>
      </c>
      <c r="BS169" s="77">
        <f t="shared" ca="1" si="740"/>
        <v>0</v>
      </c>
      <c r="BT169" s="110"/>
      <c r="BU169" s="74" t="s">
        <v>2008</v>
      </c>
      <c r="BV169" s="77">
        <f t="shared" ca="1" si="740"/>
        <v>0</v>
      </c>
      <c r="BW169" s="110"/>
      <c r="BX169" s="74" t="s">
        <v>2445</v>
      </c>
      <c r="BY169" s="77">
        <f t="shared" ca="1" si="740"/>
        <v>0</v>
      </c>
      <c r="BZ169" s="110"/>
      <c r="CA169" s="74" t="s">
        <v>2465</v>
      </c>
      <c r="CB169" s="77">
        <f t="shared" ca="1" si="740"/>
        <v>0</v>
      </c>
      <c r="CC169" s="110"/>
      <c r="CD169" s="74" t="s">
        <v>2487</v>
      </c>
      <c r="CE169" s="77">
        <f t="shared" ca="1" si="740"/>
        <v>0</v>
      </c>
      <c r="CF169" s="110"/>
      <c r="CG169" s="74" t="s">
        <v>2008</v>
      </c>
      <c r="CH169" s="77">
        <f t="shared" ca="1" si="740"/>
        <v>0</v>
      </c>
      <c r="CI169" s="110"/>
      <c r="CJ169" s="74" t="s">
        <v>2293</v>
      </c>
      <c r="CK169" s="77">
        <f t="shared" ca="1" si="762"/>
        <v>0</v>
      </c>
      <c r="CL169" s="110"/>
      <c r="CM169" s="74" t="s">
        <v>2344</v>
      </c>
      <c r="CN169" s="77">
        <f t="shared" ca="1" si="762"/>
        <v>0</v>
      </c>
      <c r="CO169" s="110"/>
      <c r="CP169" s="74" t="s">
        <v>2487</v>
      </c>
      <c r="CQ169" s="77">
        <f t="shared" ca="1" si="762"/>
        <v>0</v>
      </c>
      <c r="CR169" s="110"/>
      <c r="CS169" s="74" t="s">
        <v>2190</v>
      </c>
      <c r="CT169" s="77">
        <f t="shared" ca="1" si="762"/>
        <v>0</v>
      </c>
      <c r="CU169" s="110"/>
      <c r="CV169" s="74" t="s">
        <v>2487</v>
      </c>
      <c r="CW169" s="77">
        <f t="shared" ca="1" si="762"/>
        <v>0</v>
      </c>
      <c r="CX169" s="110"/>
      <c r="CY169" s="74" t="s">
        <v>2591</v>
      </c>
      <c r="CZ169" s="77">
        <f t="shared" ca="1" si="762"/>
        <v>0</v>
      </c>
      <c r="DA169" s="110"/>
      <c r="DB169" s="74" t="s">
        <v>2609</v>
      </c>
      <c r="DC169" s="77">
        <f t="shared" ca="1" si="762"/>
        <v>0</v>
      </c>
      <c r="DD169" s="110"/>
      <c r="DE169" s="74" t="s">
        <v>2625</v>
      </c>
      <c r="DF169" s="77">
        <f t="shared" ca="1" si="762"/>
        <v>0</v>
      </c>
      <c r="DG169" s="110"/>
      <c r="DH169" s="74" t="s">
        <v>2158</v>
      </c>
      <c r="DI169" s="77">
        <f t="shared" ca="1" si="762"/>
        <v>0</v>
      </c>
      <c r="DJ169" s="110"/>
      <c r="DK169" s="74" t="s">
        <v>2293</v>
      </c>
      <c r="DL169" s="77">
        <f t="shared" ca="1" si="762"/>
        <v>0</v>
      </c>
      <c r="DM169" s="110"/>
      <c r="DN169" s="795" t="s">
        <v>2268</v>
      </c>
      <c r="DO169" s="77">
        <f t="shared" ca="1" si="762"/>
        <v>0</v>
      </c>
      <c r="DP169" s="110"/>
      <c r="DQ169" s="795" t="s">
        <v>2685</v>
      </c>
      <c r="DR169" s="77">
        <f t="shared" ca="1" si="762"/>
        <v>0</v>
      </c>
      <c r="DS169" s="110"/>
      <c r="DT169" s="74" t="s">
        <v>2220</v>
      </c>
      <c r="DU169" s="77">
        <f t="shared" ca="1" si="762"/>
        <v>0</v>
      </c>
      <c r="DV169" s="110"/>
      <c r="DW169" s="74" t="s">
        <v>2487</v>
      </c>
      <c r="DX169" s="77">
        <f t="shared" ca="1" si="762"/>
        <v>0</v>
      </c>
      <c r="DY169" s="110"/>
      <c r="DZ169" s="74" t="s">
        <v>2755</v>
      </c>
      <c r="EA169" s="77">
        <f t="shared" ca="1" si="762"/>
        <v>0</v>
      </c>
      <c r="EB169" s="110"/>
      <c r="EC169" s="74" t="s">
        <v>2158</v>
      </c>
      <c r="ED169" s="77">
        <f t="shared" ca="1" si="762"/>
        <v>0</v>
      </c>
      <c r="EE169" s="110"/>
      <c r="EF169" s="74" t="s">
        <v>2780</v>
      </c>
      <c r="EG169" s="77">
        <f t="shared" ca="1" si="762"/>
        <v>0</v>
      </c>
      <c r="EH169" s="110"/>
      <c r="EI169" s="74" t="s">
        <v>2344</v>
      </c>
      <c r="EJ169" s="77">
        <f t="shared" ca="1" si="762"/>
        <v>0</v>
      </c>
      <c r="EK169" s="110"/>
      <c r="EL169" s="74"/>
      <c r="EM169" s="77">
        <f t="shared" ca="1" si="762"/>
        <v>0</v>
      </c>
      <c r="EN169" s="110"/>
      <c r="EO169" s="74"/>
      <c r="EP169" s="77">
        <f t="shared" ca="1" si="762"/>
        <v>0</v>
      </c>
      <c r="EQ169" s="110"/>
      <c r="ER169" s="74"/>
      <c r="ES169" s="77">
        <f t="shared" ca="1" si="762"/>
        <v>0</v>
      </c>
      <c r="ET169" s="110"/>
      <c r="EU169" s="74"/>
      <c r="EV169" s="77">
        <f t="shared" ca="1" si="762"/>
        <v>0</v>
      </c>
      <c r="EW169" s="110"/>
      <c r="EX169" s="74"/>
      <c r="EY169" s="77">
        <f t="shared" ca="1" si="784"/>
        <v>0</v>
      </c>
      <c r="EZ169" s="110"/>
      <c r="FA169" s="74"/>
      <c r="FB169" s="77">
        <f t="shared" ca="1" si="784"/>
        <v>0</v>
      </c>
      <c r="FC169" s="110"/>
      <c r="FD169" s="74"/>
      <c r="FE169" s="77">
        <f t="shared" ca="1" si="784"/>
        <v>0</v>
      </c>
      <c r="FF169" s="110"/>
      <c r="FG169" s="74"/>
      <c r="FH169" s="77">
        <f t="shared" ca="1" si="784"/>
        <v>0</v>
      </c>
      <c r="FI169" s="110"/>
      <c r="FJ169" s="74"/>
      <c r="FK169" s="77">
        <f t="shared" ca="1" si="784"/>
        <v>0</v>
      </c>
      <c r="FL169" s="110"/>
      <c r="FM169" s="110"/>
    </row>
    <row r="170" spans="1:169">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07">
        <f t="shared" si="789"/>
        <v>4</v>
      </c>
      <c r="G170" s="407">
        <f ca="1">VLOOKUP(H170,Equipos!$Q$1:$R$25,2,0)</f>
        <v>20</v>
      </c>
      <c r="H170" s="446" t="str">
        <f>Idiomas!$D$260</f>
        <v>Dieciseisavos de final</v>
      </c>
      <c r="I170" s="43">
        <v>1</v>
      </c>
      <c r="J170" s="849"/>
      <c r="K170" s="56" t="str">
        <f ca="1">CONCATENATE(WORLDCUP!AA107,"-",WORLDCUP!AF107)</f>
        <v>1A-3CEFHI</v>
      </c>
      <c r="L170" s="53" t="str">
        <f>IF(OR(WORLDCUP!AC107="",WORLDCUP!AD107=""),"PD",IF(WORLDCUP!AC107&gt;WORLDCUP!AD107,1,IF(WORLDCUP!AC107&lt;WORLDCUP!AD107,2,0)))</f>
        <v>PD</v>
      </c>
      <c r="M170" s="55" t="str">
        <f t="shared" si="790"/>
        <v>-</v>
      </c>
      <c r="N170" s="25">
        <f>WORLDCUP!AC107</f>
        <v>0</v>
      </c>
      <c r="O170" s="25">
        <f>WORLDCUP!AD107</f>
        <v>0</v>
      </c>
      <c r="P170" s="25">
        <f t="shared" si="791"/>
        <v>0</v>
      </c>
      <c r="Q170" s="25">
        <f t="shared" si="792"/>
        <v>0</v>
      </c>
      <c r="R170" s="110"/>
      <c r="S170" s="74" t="s">
        <v>1970</v>
      </c>
      <c r="T170" s="77">
        <f t="shared" ca="1" si="793"/>
        <v>0</v>
      </c>
      <c r="U170" s="110"/>
      <c r="V170" s="74" t="s">
        <v>2009</v>
      </c>
      <c r="W170" s="77">
        <f t="shared" ca="1" si="740"/>
        <v>0</v>
      </c>
      <c r="X170" s="110"/>
      <c r="Y170" s="74" t="s">
        <v>2046</v>
      </c>
      <c r="Z170" s="77">
        <f t="shared" ca="1" si="740"/>
        <v>0</v>
      </c>
      <c r="AA170" s="110"/>
      <c r="AB170" s="80" t="s">
        <v>2078</v>
      </c>
      <c r="AC170" s="77">
        <f t="shared" ca="1" si="740"/>
        <v>0</v>
      </c>
      <c r="AD170" s="110"/>
      <c r="AE170" s="74" t="s">
        <v>2102</v>
      </c>
      <c r="AF170" s="77">
        <f t="shared" ca="1" si="740"/>
        <v>0</v>
      </c>
      <c r="AG170" s="110"/>
      <c r="AH170" s="74" t="s">
        <v>2102</v>
      </c>
      <c r="AI170" s="77">
        <f t="shared" ca="1" si="740"/>
        <v>0</v>
      </c>
      <c r="AJ170" s="110"/>
      <c r="AK170" s="74" t="s">
        <v>2159</v>
      </c>
      <c r="AL170" s="77">
        <f t="shared" ca="1" si="740"/>
        <v>0</v>
      </c>
      <c r="AM170" s="110"/>
      <c r="AN170" s="74" t="s">
        <v>2191</v>
      </c>
      <c r="AO170" s="77">
        <f t="shared" ca="1" si="740"/>
        <v>0</v>
      </c>
      <c r="AP170" s="110"/>
      <c r="AQ170" s="74" t="s">
        <v>2078</v>
      </c>
      <c r="AR170" s="77">
        <f t="shared" ca="1" si="740"/>
        <v>0</v>
      </c>
      <c r="AS170" s="110"/>
      <c r="AT170" s="74" t="s">
        <v>2244</v>
      </c>
      <c r="AU170" s="77">
        <f t="shared" ca="1" si="740"/>
        <v>0</v>
      </c>
      <c r="AV170" s="110"/>
      <c r="AW170" s="74" t="s">
        <v>2269</v>
      </c>
      <c r="AX170" s="77">
        <f t="shared" ca="1" si="740"/>
        <v>0</v>
      </c>
      <c r="AY170" s="110"/>
      <c r="AZ170" s="74" t="s">
        <v>2294</v>
      </c>
      <c r="BA170" s="77">
        <f t="shared" ca="1" si="740"/>
        <v>0</v>
      </c>
      <c r="BB170" s="110"/>
      <c r="BC170" s="74" t="s">
        <v>2317</v>
      </c>
      <c r="BD170" s="77">
        <f t="shared" ca="1" si="740"/>
        <v>0</v>
      </c>
      <c r="BE170" s="110"/>
      <c r="BF170" s="74" t="s">
        <v>2345</v>
      </c>
      <c r="BG170" s="77">
        <f t="shared" ca="1" si="740"/>
        <v>0</v>
      </c>
      <c r="BH170" s="110"/>
      <c r="BI170" s="74" t="s">
        <v>2361</v>
      </c>
      <c r="BJ170" s="77">
        <f t="shared" ca="1" si="740"/>
        <v>0</v>
      </c>
      <c r="BK170" s="110"/>
      <c r="BL170" s="74" t="s">
        <v>2078</v>
      </c>
      <c r="BM170" s="77">
        <f t="shared" ca="1" si="740"/>
        <v>0</v>
      </c>
      <c r="BN170" s="110"/>
      <c r="BO170" s="74" t="s">
        <v>2345</v>
      </c>
      <c r="BP170" s="77">
        <f t="shared" ca="1" si="740"/>
        <v>0</v>
      </c>
      <c r="BQ170" s="110"/>
      <c r="BR170" s="74" t="s">
        <v>2046</v>
      </c>
      <c r="BS170" s="77">
        <f t="shared" ca="1" si="740"/>
        <v>0</v>
      </c>
      <c r="BT170" s="110"/>
      <c r="BU170" s="74" t="s">
        <v>2426</v>
      </c>
      <c r="BV170" s="77">
        <f t="shared" ca="1" si="740"/>
        <v>0</v>
      </c>
      <c r="BW170" s="110"/>
      <c r="BX170" s="74" t="s">
        <v>2446</v>
      </c>
      <c r="BY170" s="77">
        <f t="shared" ca="1" si="740"/>
        <v>0</v>
      </c>
      <c r="BZ170" s="110"/>
      <c r="CA170" s="74" t="s">
        <v>2466</v>
      </c>
      <c r="CB170" s="77">
        <f t="shared" ca="1" si="740"/>
        <v>0</v>
      </c>
      <c r="CC170" s="110"/>
      <c r="CD170" s="74" t="s">
        <v>2488</v>
      </c>
      <c r="CE170" s="77">
        <f t="shared" ca="1" si="740"/>
        <v>0</v>
      </c>
      <c r="CF170" s="110"/>
      <c r="CG170" s="74" t="s">
        <v>2505</v>
      </c>
      <c r="CH170" s="77">
        <f t="shared" ca="1" si="740"/>
        <v>0</v>
      </c>
      <c r="CI170" s="110"/>
      <c r="CJ170" s="74" t="s">
        <v>2244</v>
      </c>
      <c r="CK170" s="77">
        <f t="shared" ca="1" si="762"/>
        <v>0</v>
      </c>
      <c r="CL170" s="110"/>
      <c r="CM170" s="74" t="s">
        <v>2538</v>
      </c>
      <c r="CN170" s="77">
        <f t="shared" ca="1" si="762"/>
        <v>0</v>
      </c>
      <c r="CO170" s="110"/>
      <c r="CP170" s="74" t="s">
        <v>2555</v>
      </c>
      <c r="CQ170" s="77">
        <f t="shared" ca="1" si="762"/>
        <v>0</v>
      </c>
      <c r="CR170" s="110"/>
      <c r="CS170" s="74" t="s">
        <v>2565</v>
      </c>
      <c r="CT170" s="77">
        <f t="shared" ca="1" si="762"/>
        <v>0</v>
      </c>
      <c r="CU170" s="110"/>
      <c r="CV170" s="74" t="s">
        <v>2046</v>
      </c>
      <c r="CW170" s="77">
        <f t="shared" ca="1" si="762"/>
        <v>0</v>
      </c>
      <c r="CX170" s="110"/>
      <c r="CY170" s="74" t="s">
        <v>2592</v>
      </c>
      <c r="CZ170" s="77">
        <f t="shared" ca="1" si="762"/>
        <v>0</v>
      </c>
      <c r="DA170" s="110"/>
      <c r="DB170" s="74" t="s">
        <v>2610</v>
      </c>
      <c r="DC170" s="77">
        <f t="shared" ca="1" si="762"/>
        <v>0</v>
      </c>
      <c r="DD170" s="110"/>
      <c r="DE170" s="74" t="s">
        <v>2244</v>
      </c>
      <c r="DF170" s="77">
        <f t="shared" ca="1" si="762"/>
        <v>0</v>
      </c>
      <c r="DG170" s="110"/>
      <c r="DH170" s="74" t="s">
        <v>2643</v>
      </c>
      <c r="DI170" s="77">
        <f t="shared" ca="1" si="762"/>
        <v>0</v>
      </c>
      <c r="DJ170" s="110"/>
      <c r="DK170" s="74" t="s">
        <v>2658</v>
      </c>
      <c r="DL170" s="77">
        <f t="shared" ca="1" si="762"/>
        <v>0</v>
      </c>
      <c r="DM170" s="110"/>
      <c r="DN170" s="795" t="s">
        <v>2345</v>
      </c>
      <c r="DO170" s="77">
        <f t="shared" ca="1" si="762"/>
        <v>0</v>
      </c>
      <c r="DP170" s="110"/>
      <c r="DQ170" s="795" t="s">
        <v>2686</v>
      </c>
      <c r="DR170" s="77">
        <f t="shared" ca="1" si="762"/>
        <v>0</v>
      </c>
      <c r="DS170" s="110"/>
      <c r="DT170" s="74" t="s">
        <v>2714</v>
      </c>
      <c r="DU170" s="77">
        <f t="shared" ca="1" si="762"/>
        <v>0</v>
      </c>
      <c r="DV170" s="110"/>
      <c r="DW170" s="74" t="s">
        <v>2078</v>
      </c>
      <c r="DX170" s="77">
        <f t="shared" ca="1" si="762"/>
        <v>0</v>
      </c>
      <c r="DY170" s="110"/>
      <c r="DZ170" s="74" t="s">
        <v>2610</v>
      </c>
      <c r="EA170" s="77">
        <f t="shared" ca="1" si="762"/>
        <v>0</v>
      </c>
      <c r="EB170" s="110"/>
      <c r="EC170" s="74" t="s">
        <v>2488</v>
      </c>
      <c r="ED170" s="77">
        <f t="shared" ca="1" si="762"/>
        <v>0</v>
      </c>
      <c r="EE170" s="110"/>
      <c r="EF170" s="74" t="s">
        <v>2610</v>
      </c>
      <c r="EG170" s="77">
        <f t="shared" ca="1" si="762"/>
        <v>0</v>
      </c>
      <c r="EH170" s="110"/>
      <c r="EI170" s="74" t="s">
        <v>2610</v>
      </c>
      <c r="EJ170" s="77">
        <f t="shared" ca="1" si="762"/>
        <v>0</v>
      </c>
      <c r="EK170" s="110"/>
      <c r="EL170" s="74"/>
      <c r="EM170" s="77">
        <f t="shared" ca="1" si="762"/>
        <v>0</v>
      </c>
      <c r="EN170" s="110"/>
      <c r="EO170" s="74"/>
      <c r="EP170" s="77">
        <f t="shared" ca="1" si="762"/>
        <v>0</v>
      </c>
      <c r="EQ170" s="110"/>
      <c r="ER170" s="74"/>
      <c r="ES170" s="77">
        <f t="shared" ca="1" si="762"/>
        <v>0</v>
      </c>
      <c r="ET170" s="110"/>
      <c r="EU170" s="74"/>
      <c r="EV170" s="77">
        <f t="shared" ca="1" si="762"/>
        <v>0</v>
      </c>
      <c r="EW170" s="110"/>
      <c r="EX170" s="74"/>
      <c r="EY170" s="77">
        <f t="shared" ca="1" si="784"/>
        <v>0</v>
      </c>
      <c r="EZ170" s="110"/>
      <c r="FA170" s="74"/>
      <c r="FB170" s="77">
        <f t="shared" ca="1" si="784"/>
        <v>0</v>
      </c>
      <c r="FC170" s="110"/>
      <c r="FD170" s="74"/>
      <c r="FE170" s="77">
        <f t="shared" ca="1" si="784"/>
        <v>0</v>
      </c>
      <c r="FF170" s="110"/>
      <c r="FG170" s="74"/>
      <c r="FH170" s="77">
        <f t="shared" ca="1" si="784"/>
        <v>0</v>
      </c>
      <c r="FI170" s="110"/>
      <c r="FJ170" s="74"/>
      <c r="FK170" s="77">
        <f t="shared" ca="1" si="784"/>
        <v>0</v>
      </c>
      <c r="FL170" s="110"/>
      <c r="FM170" s="110"/>
    </row>
    <row r="171" spans="1:169">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07">
        <f t="shared" si="789"/>
        <v>4</v>
      </c>
      <c r="G171" s="407">
        <f ca="1">VLOOKUP(H171,Equipos!$Q$1:$R$25,2,0)</f>
        <v>20</v>
      </c>
      <c r="H171" s="446" t="str">
        <f>Idiomas!$D$260</f>
        <v>Dieciseisavos de final</v>
      </c>
      <c r="I171" s="43">
        <v>1</v>
      </c>
      <c r="J171" s="849"/>
      <c r="K171" s="56" t="str">
        <f ca="1">CONCATENATE(WORLDCUP!AA108,"-",WORLDCUP!AF108)</f>
        <v>1L-3EHIJK</v>
      </c>
      <c r="L171" s="53" t="str">
        <f>IF(OR(WORLDCUP!AC108="",WORLDCUP!AD108=""),"PD",IF(WORLDCUP!AC108&gt;WORLDCUP!AD108,1,IF(WORLDCUP!AC108&lt;WORLDCUP!AD108,2,0)))</f>
        <v>PD</v>
      </c>
      <c r="M171" s="55" t="str">
        <f t="shared" si="790"/>
        <v>-</v>
      </c>
      <c r="N171" s="25">
        <f>WORLDCUP!AC108</f>
        <v>0</v>
      </c>
      <c r="O171" s="25">
        <f>WORLDCUP!AD108</f>
        <v>0</v>
      </c>
      <c r="P171" s="25">
        <f t="shared" si="791"/>
        <v>0</v>
      </c>
      <c r="Q171" s="25">
        <f t="shared" si="792"/>
        <v>0</v>
      </c>
      <c r="R171" s="110"/>
      <c r="S171" s="74" t="s">
        <v>1971</v>
      </c>
      <c r="T171" s="77">
        <f t="shared" ca="1" si="793"/>
        <v>0</v>
      </c>
      <c r="U171" s="110"/>
      <c r="V171" s="74" t="s">
        <v>2010</v>
      </c>
      <c r="W171" s="77">
        <f t="shared" ca="1" si="740"/>
        <v>0</v>
      </c>
      <c r="X171" s="110"/>
      <c r="Y171" s="74" t="s">
        <v>2047</v>
      </c>
      <c r="Z171" s="77">
        <f t="shared" ca="1" si="740"/>
        <v>0</v>
      </c>
      <c r="AA171" s="110"/>
      <c r="AB171" s="80" t="s">
        <v>2047</v>
      </c>
      <c r="AC171" s="77">
        <f t="shared" ca="1" si="740"/>
        <v>0</v>
      </c>
      <c r="AD171" s="110"/>
      <c r="AE171" s="74" t="s">
        <v>2103</v>
      </c>
      <c r="AF171" s="77">
        <f t="shared" ca="1" si="740"/>
        <v>0</v>
      </c>
      <c r="AG171" s="110"/>
      <c r="AH171" s="74" t="s">
        <v>2132</v>
      </c>
      <c r="AI171" s="77">
        <f t="shared" ca="1" si="740"/>
        <v>0</v>
      </c>
      <c r="AJ171" s="110"/>
      <c r="AK171" s="74" t="s">
        <v>2160</v>
      </c>
      <c r="AL171" s="77">
        <f t="shared" ca="1" si="740"/>
        <v>0</v>
      </c>
      <c r="AM171" s="110"/>
      <c r="AN171" s="74" t="s">
        <v>2192</v>
      </c>
      <c r="AO171" s="77">
        <f t="shared" ca="1" si="740"/>
        <v>0</v>
      </c>
      <c r="AP171" s="110"/>
      <c r="AQ171" s="74" t="s">
        <v>2221</v>
      </c>
      <c r="AR171" s="77">
        <f t="shared" ca="1" si="740"/>
        <v>0</v>
      </c>
      <c r="AS171" s="110"/>
      <c r="AT171" s="74" t="s">
        <v>2192</v>
      </c>
      <c r="AU171" s="77">
        <f t="shared" ca="1" si="740"/>
        <v>0</v>
      </c>
      <c r="AV171" s="110"/>
      <c r="AW171" s="74" t="s">
        <v>2270</v>
      </c>
      <c r="AX171" s="77">
        <f t="shared" ca="1" si="740"/>
        <v>0</v>
      </c>
      <c r="AY171" s="110"/>
      <c r="AZ171" s="74" t="s">
        <v>2295</v>
      </c>
      <c r="BA171" s="77">
        <f t="shared" ca="1" si="740"/>
        <v>0</v>
      </c>
      <c r="BB171" s="110"/>
      <c r="BC171" s="74" t="s">
        <v>2318</v>
      </c>
      <c r="BD171" s="77">
        <f t="shared" ca="1" si="740"/>
        <v>0</v>
      </c>
      <c r="BE171" s="110"/>
      <c r="BF171" s="74" t="s">
        <v>2346</v>
      </c>
      <c r="BG171" s="77">
        <f t="shared" ca="1" si="740"/>
        <v>0</v>
      </c>
      <c r="BH171" s="110"/>
      <c r="BI171" s="74" t="s">
        <v>2362</v>
      </c>
      <c r="BJ171" s="77">
        <f t="shared" ca="1" si="740"/>
        <v>0</v>
      </c>
      <c r="BK171" s="110"/>
      <c r="BL171" s="74" t="s">
        <v>2382</v>
      </c>
      <c r="BM171" s="77">
        <f t="shared" ca="1" si="740"/>
        <v>0</v>
      </c>
      <c r="BN171" s="110"/>
      <c r="BO171" s="74" t="s">
        <v>2382</v>
      </c>
      <c r="BP171" s="77">
        <f t="shared" ca="1" si="740"/>
        <v>0</v>
      </c>
      <c r="BQ171" s="110"/>
      <c r="BR171" s="74" t="s">
        <v>2411</v>
      </c>
      <c r="BS171" s="77">
        <f t="shared" ca="1" si="740"/>
        <v>0</v>
      </c>
      <c r="BT171" s="110"/>
      <c r="BU171" s="74" t="s">
        <v>2427</v>
      </c>
      <c r="BV171" s="77">
        <f t="shared" ca="1" si="740"/>
        <v>0</v>
      </c>
      <c r="BW171" s="110"/>
      <c r="BX171" s="74" t="s">
        <v>2427</v>
      </c>
      <c r="BY171" s="77">
        <f t="shared" ca="1" si="740"/>
        <v>0</v>
      </c>
      <c r="BZ171" s="110"/>
      <c r="CA171" s="74" t="s">
        <v>2382</v>
      </c>
      <c r="CB171" s="77">
        <f t="shared" ca="1" si="740"/>
        <v>0</v>
      </c>
      <c r="CC171" s="110"/>
      <c r="CD171" s="74" t="s">
        <v>2489</v>
      </c>
      <c r="CE171" s="77">
        <f t="shared" ca="1" si="740"/>
        <v>0</v>
      </c>
      <c r="CF171" s="110"/>
      <c r="CG171" s="74" t="s">
        <v>2427</v>
      </c>
      <c r="CH171" s="77">
        <f t="shared" ca="1" si="740"/>
        <v>0</v>
      </c>
      <c r="CI171" s="110"/>
      <c r="CJ171" s="74" t="s">
        <v>2346</v>
      </c>
      <c r="CK171" s="77">
        <f t="shared" ca="1" si="762"/>
        <v>0</v>
      </c>
      <c r="CL171" s="110"/>
      <c r="CM171" s="74" t="s">
        <v>2362</v>
      </c>
      <c r="CN171" s="77">
        <f t="shared" ca="1" si="762"/>
        <v>0</v>
      </c>
      <c r="CO171" s="110"/>
      <c r="CP171" s="74" t="s">
        <v>2295</v>
      </c>
      <c r="CQ171" s="77">
        <f t="shared" ca="1" si="762"/>
        <v>0</v>
      </c>
      <c r="CR171" s="110"/>
      <c r="CS171" s="74" t="s">
        <v>2103</v>
      </c>
      <c r="CT171" s="77">
        <f t="shared" ca="1" si="762"/>
        <v>0</v>
      </c>
      <c r="CU171" s="110"/>
      <c r="CV171" s="74" t="s">
        <v>2570</v>
      </c>
      <c r="CW171" s="77">
        <f t="shared" ca="1" si="762"/>
        <v>0</v>
      </c>
      <c r="CX171" s="110"/>
      <c r="CY171" s="74" t="s">
        <v>2103</v>
      </c>
      <c r="CZ171" s="77">
        <f t="shared" ca="1" si="762"/>
        <v>0</v>
      </c>
      <c r="DA171" s="110"/>
      <c r="DB171" s="74" t="s">
        <v>2611</v>
      </c>
      <c r="DC171" s="77">
        <f t="shared" ca="1" si="762"/>
        <v>0</v>
      </c>
      <c r="DD171" s="110"/>
      <c r="DE171" s="74" t="s">
        <v>2626</v>
      </c>
      <c r="DF171" s="77">
        <f t="shared" ca="1" si="762"/>
        <v>0</v>
      </c>
      <c r="DG171" s="110"/>
      <c r="DH171" s="74" t="s">
        <v>2295</v>
      </c>
      <c r="DI171" s="77">
        <f t="shared" ca="1" si="762"/>
        <v>0</v>
      </c>
      <c r="DJ171" s="110"/>
      <c r="DK171" s="74" t="s">
        <v>2659</v>
      </c>
      <c r="DL171" s="77">
        <f t="shared" ca="1" si="762"/>
        <v>0</v>
      </c>
      <c r="DM171" s="110"/>
      <c r="DN171" s="795" t="s">
        <v>2010</v>
      </c>
      <c r="DO171" s="77">
        <f t="shared" ca="1" si="762"/>
        <v>0</v>
      </c>
      <c r="DP171" s="110"/>
      <c r="DQ171" s="795" t="s">
        <v>2687</v>
      </c>
      <c r="DR171" s="77">
        <f t="shared" ca="1" si="762"/>
        <v>0</v>
      </c>
      <c r="DS171" s="110"/>
      <c r="DT171" s="74" t="s">
        <v>2715</v>
      </c>
      <c r="DU171" s="77">
        <f t="shared" ca="1" si="762"/>
        <v>0</v>
      </c>
      <c r="DV171" s="110"/>
      <c r="DW171" s="74" t="s">
        <v>2295</v>
      </c>
      <c r="DX171" s="77">
        <f t="shared" ca="1" si="762"/>
        <v>0</v>
      </c>
      <c r="DY171" s="110"/>
      <c r="DZ171" s="74" t="s">
        <v>2756</v>
      </c>
      <c r="EA171" s="77">
        <f t="shared" ca="1" si="762"/>
        <v>0</v>
      </c>
      <c r="EB171" s="110"/>
      <c r="EC171" s="74" t="s">
        <v>2382</v>
      </c>
      <c r="ED171" s="77">
        <f t="shared" ca="1" si="762"/>
        <v>0</v>
      </c>
      <c r="EE171" s="110"/>
      <c r="EF171" s="74" t="s">
        <v>2160</v>
      </c>
      <c r="EG171" s="77">
        <f t="shared" ca="1" si="762"/>
        <v>0</v>
      </c>
      <c r="EH171" s="110"/>
      <c r="EI171" s="74" t="s">
        <v>2796</v>
      </c>
      <c r="EJ171" s="77">
        <f t="shared" ca="1" si="762"/>
        <v>0</v>
      </c>
      <c r="EK171" s="110"/>
      <c r="EL171" s="74"/>
      <c r="EM171" s="77">
        <f t="shared" ca="1" si="762"/>
        <v>0</v>
      </c>
      <c r="EN171" s="110"/>
      <c r="EO171" s="74"/>
      <c r="EP171" s="77">
        <f t="shared" ca="1" si="762"/>
        <v>0</v>
      </c>
      <c r="EQ171" s="110"/>
      <c r="ER171" s="74"/>
      <c r="ES171" s="77">
        <f t="shared" ca="1" si="762"/>
        <v>0</v>
      </c>
      <c r="ET171" s="110"/>
      <c r="EU171" s="74"/>
      <c r="EV171" s="77">
        <f t="shared" ca="1" si="762"/>
        <v>0</v>
      </c>
      <c r="EW171" s="110"/>
      <c r="EX171" s="74"/>
      <c r="EY171" s="77">
        <f t="shared" ca="1" si="784"/>
        <v>0</v>
      </c>
      <c r="EZ171" s="110"/>
      <c r="FA171" s="74"/>
      <c r="FB171" s="77">
        <f t="shared" ca="1" si="784"/>
        <v>0</v>
      </c>
      <c r="FC171" s="110"/>
      <c r="FD171" s="74"/>
      <c r="FE171" s="77">
        <f t="shared" ca="1" si="784"/>
        <v>0</v>
      </c>
      <c r="FF171" s="110"/>
      <c r="FG171" s="74"/>
      <c r="FH171" s="77">
        <f t="shared" ca="1" si="784"/>
        <v>0</v>
      </c>
      <c r="FI171" s="110"/>
      <c r="FJ171" s="74"/>
      <c r="FK171" s="77">
        <f t="shared" ca="1" si="784"/>
        <v>0</v>
      </c>
      <c r="FL171" s="110"/>
      <c r="FM171" s="110"/>
    </row>
    <row r="172" spans="1:169">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07">
        <f t="shared" si="789"/>
        <v>4</v>
      </c>
      <c r="G172" s="407">
        <f ca="1">VLOOKUP(H172,Equipos!$Q$1:$R$25,2,0)</f>
        <v>20</v>
      </c>
      <c r="H172" s="446" t="str">
        <f>Idiomas!$D$260</f>
        <v>Dieciseisavos de final</v>
      </c>
      <c r="I172" s="43">
        <v>1</v>
      </c>
      <c r="J172" s="849"/>
      <c r="K172" s="56" t="str">
        <f ca="1">CONCATENATE(WORLDCUP!AA109,"-",WORLDCUP!AF109)</f>
        <v>1G-3AEHIJ</v>
      </c>
      <c r="L172" s="53" t="str">
        <f>IF(OR(WORLDCUP!AC109="",WORLDCUP!AD109=""),"PD",IF(WORLDCUP!AC109&gt;WORLDCUP!AD109,1,IF(WORLDCUP!AC109&lt;WORLDCUP!AD109,2,0)))</f>
        <v>PD</v>
      </c>
      <c r="M172" s="55" t="str">
        <f t="shared" si="790"/>
        <v>-</v>
      </c>
      <c r="N172" s="25">
        <f>WORLDCUP!AC109</f>
        <v>0</v>
      </c>
      <c r="O172" s="25">
        <f>WORLDCUP!AD109</f>
        <v>0</v>
      </c>
      <c r="P172" s="25">
        <f t="shared" si="791"/>
        <v>0</v>
      </c>
      <c r="Q172" s="25">
        <f t="shared" si="792"/>
        <v>0</v>
      </c>
      <c r="R172" s="110"/>
      <c r="S172" s="74" t="s">
        <v>1972</v>
      </c>
      <c r="T172" s="77">
        <f t="shared" ca="1" si="793"/>
        <v>0</v>
      </c>
      <c r="U172" s="110"/>
      <c r="V172" s="74" t="s">
        <v>2011</v>
      </c>
      <c r="W172" s="77">
        <f t="shared" ca="1" si="740"/>
        <v>0</v>
      </c>
      <c r="X172" s="110"/>
      <c r="Y172" s="74" t="s">
        <v>2048</v>
      </c>
      <c r="Z172" s="77">
        <f t="shared" ca="1" si="740"/>
        <v>0</v>
      </c>
      <c r="AA172" s="110"/>
      <c r="AB172" s="80" t="s">
        <v>2011</v>
      </c>
      <c r="AC172" s="77">
        <f t="shared" ca="1" si="740"/>
        <v>0</v>
      </c>
      <c r="AD172" s="110"/>
      <c r="AE172" s="74" t="s">
        <v>2104</v>
      </c>
      <c r="AF172" s="77">
        <f t="shared" ca="1" si="740"/>
        <v>0</v>
      </c>
      <c r="AG172" s="110"/>
      <c r="AH172" s="74" t="s">
        <v>2133</v>
      </c>
      <c r="AI172" s="77">
        <f t="shared" ca="1" si="740"/>
        <v>0</v>
      </c>
      <c r="AJ172" s="110"/>
      <c r="AK172" s="74" t="s">
        <v>2161</v>
      </c>
      <c r="AL172" s="77">
        <f t="shared" ca="1" si="740"/>
        <v>0</v>
      </c>
      <c r="AM172" s="110"/>
      <c r="AN172" s="74" t="s">
        <v>2193</v>
      </c>
      <c r="AO172" s="77">
        <f t="shared" ca="1" si="740"/>
        <v>0</v>
      </c>
      <c r="AP172" s="110"/>
      <c r="AQ172" s="74" t="s">
        <v>2222</v>
      </c>
      <c r="AR172" s="77">
        <f t="shared" ca="1" si="740"/>
        <v>0</v>
      </c>
      <c r="AS172" s="110"/>
      <c r="AT172" s="74" t="s">
        <v>2245</v>
      </c>
      <c r="AU172" s="77">
        <f t="shared" ca="1" si="740"/>
        <v>0</v>
      </c>
      <c r="AV172" s="110"/>
      <c r="AW172" s="74" t="s">
        <v>2271</v>
      </c>
      <c r="AX172" s="77">
        <f t="shared" ca="1" si="740"/>
        <v>0</v>
      </c>
      <c r="AY172" s="110"/>
      <c r="AZ172" s="74" t="s">
        <v>2296</v>
      </c>
      <c r="BA172" s="77">
        <f t="shared" ca="1" si="740"/>
        <v>0</v>
      </c>
      <c r="BB172" s="110"/>
      <c r="BC172" s="74" t="s">
        <v>2319</v>
      </c>
      <c r="BD172" s="77">
        <f t="shared" ca="1" si="740"/>
        <v>0</v>
      </c>
      <c r="BE172" s="110"/>
      <c r="BF172" s="74" t="s">
        <v>2347</v>
      </c>
      <c r="BG172" s="77">
        <f t="shared" ca="1" si="740"/>
        <v>0</v>
      </c>
      <c r="BH172" s="110"/>
      <c r="BI172" s="74" t="s">
        <v>2363</v>
      </c>
      <c r="BJ172" s="77">
        <f t="shared" ca="1" si="740"/>
        <v>0</v>
      </c>
      <c r="BK172" s="110"/>
      <c r="BL172" s="74" t="s">
        <v>2383</v>
      </c>
      <c r="BM172" s="77">
        <f t="shared" ca="1" si="740"/>
        <v>0</v>
      </c>
      <c r="BN172" s="110"/>
      <c r="BO172" s="74" t="s">
        <v>2104</v>
      </c>
      <c r="BP172" s="77">
        <f t="shared" ca="1" si="740"/>
        <v>0</v>
      </c>
      <c r="BQ172" s="110"/>
      <c r="BR172" s="74" t="s">
        <v>2347</v>
      </c>
      <c r="BS172" s="77">
        <f t="shared" ca="1" si="740"/>
        <v>0</v>
      </c>
      <c r="BT172" s="110"/>
      <c r="BU172" s="74" t="s">
        <v>2428</v>
      </c>
      <c r="BV172" s="77">
        <f t="shared" ca="1" si="740"/>
        <v>0</v>
      </c>
      <c r="BW172" s="110"/>
      <c r="BX172" s="74" t="s">
        <v>2447</v>
      </c>
      <c r="BY172" s="77">
        <f t="shared" ca="1" si="740"/>
        <v>0</v>
      </c>
      <c r="BZ172" s="110"/>
      <c r="CA172" s="74" t="s">
        <v>2467</v>
      </c>
      <c r="CB172" s="77">
        <f t="shared" ca="1" si="740"/>
        <v>0</v>
      </c>
      <c r="CC172" s="110"/>
      <c r="CD172" s="74" t="s">
        <v>2011</v>
      </c>
      <c r="CE172" s="77">
        <f t="shared" ca="1" si="740"/>
        <v>0</v>
      </c>
      <c r="CF172" s="110"/>
      <c r="CG172" s="74" t="s">
        <v>2506</v>
      </c>
      <c r="CH172" s="77">
        <f t="shared" ca="1" si="740"/>
        <v>0</v>
      </c>
      <c r="CI172" s="110"/>
      <c r="CJ172" s="74" t="s">
        <v>2523</v>
      </c>
      <c r="CK172" s="77">
        <f t="shared" ca="1" si="762"/>
        <v>0</v>
      </c>
      <c r="CL172" s="110"/>
      <c r="CM172" s="74" t="s">
        <v>2523</v>
      </c>
      <c r="CN172" s="77">
        <f t="shared" ca="1" si="762"/>
        <v>0</v>
      </c>
      <c r="CO172" s="110"/>
      <c r="CP172" s="74" t="s">
        <v>2467</v>
      </c>
      <c r="CQ172" s="77">
        <f t="shared" ca="1" si="762"/>
        <v>0</v>
      </c>
      <c r="CR172" s="110"/>
      <c r="CS172" s="74" t="s">
        <v>2363</v>
      </c>
      <c r="CT172" s="77">
        <f t="shared" ca="1" si="762"/>
        <v>0</v>
      </c>
      <c r="CU172" s="110"/>
      <c r="CV172" s="74" t="s">
        <v>2222</v>
      </c>
      <c r="CW172" s="77">
        <f t="shared" ca="1" si="762"/>
        <v>0</v>
      </c>
      <c r="CX172" s="110"/>
      <c r="CY172" s="74" t="s">
        <v>2347</v>
      </c>
      <c r="CZ172" s="77">
        <f t="shared" ca="1" si="762"/>
        <v>0</v>
      </c>
      <c r="DA172" s="110"/>
      <c r="DB172" s="74" t="s">
        <v>2347</v>
      </c>
      <c r="DC172" s="77">
        <f t="shared" ca="1" si="762"/>
        <v>0</v>
      </c>
      <c r="DD172" s="110"/>
      <c r="DE172" s="74" t="s">
        <v>2363</v>
      </c>
      <c r="DF172" s="77">
        <f t="shared" ca="1" si="762"/>
        <v>0</v>
      </c>
      <c r="DG172" s="110"/>
      <c r="DH172" s="74" t="s">
        <v>2644</v>
      </c>
      <c r="DI172" s="77">
        <f t="shared" ca="1" si="762"/>
        <v>0</v>
      </c>
      <c r="DJ172" s="110"/>
      <c r="DK172" s="74" t="s">
        <v>2363</v>
      </c>
      <c r="DL172" s="77">
        <f t="shared" ca="1" si="762"/>
        <v>0</v>
      </c>
      <c r="DM172" s="110"/>
      <c r="DN172" s="795" t="s">
        <v>2048</v>
      </c>
      <c r="DO172" s="77">
        <f t="shared" ca="1" si="762"/>
        <v>0</v>
      </c>
      <c r="DP172" s="110"/>
      <c r="DQ172" s="795" t="s">
        <v>2688</v>
      </c>
      <c r="DR172" s="77">
        <f t="shared" ca="1" si="762"/>
        <v>0</v>
      </c>
      <c r="DS172" s="110"/>
      <c r="DT172" s="74" t="s">
        <v>2716</v>
      </c>
      <c r="DU172" s="77">
        <f t="shared" ca="1" si="762"/>
        <v>0</v>
      </c>
      <c r="DV172" s="110"/>
      <c r="DW172" s="74" t="s">
        <v>2736</v>
      </c>
      <c r="DX172" s="77">
        <f t="shared" ca="1" si="762"/>
        <v>0</v>
      </c>
      <c r="DY172" s="110"/>
      <c r="DZ172" s="74" t="s">
        <v>2757</v>
      </c>
      <c r="EA172" s="77">
        <f t="shared" ca="1" si="762"/>
        <v>0</v>
      </c>
      <c r="EB172" s="110"/>
      <c r="EC172" s="74" t="s">
        <v>2133</v>
      </c>
      <c r="ED172" s="77">
        <f t="shared" ca="1" si="762"/>
        <v>0</v>
      </c>
      <c r="EE172" s="110"/>
      <c r="EF172" s="74" t="s">
        <v>2193</v>
      </c>
      <c r="EG172" s="77">
        <f t="shared" ca="1" si="762"/>
        <v>0</v>
      </c>
      <c r="EH172" s="110"/>
      <c r="EI172" s="74" t="s">
        <v>2104</v>
      </c>
      <c r="EJ172" s="77">
        <f t="shared" ca="1" si="762"/>
        <v>0</v>
      </c>
      <c r="EK172" s="110"/>
      <c r="EL172" s="74"/>
      <c r="EM172" s="77">
        <f t="shared" ca="1" si="762"/>
        <v>0</v>
      </c>
      <c r="EN172" s="110"/>
      <c r="EO172" s="74"/>
      <c r="EP172" s="77">
        <f t="shared" ca="1" si="762"/>
        <v>0</v>
      </c>
      <c r="EQ172" s="110"/>
      <c r="ER172" s="74"/>
      <c r="ES172" s="77">
        <f t="shared" ca="1" si="762"/>
        <v>0</v>
      </c>
      <c r="ET172" s="110"/>
      <c r="EU172" s="74"/>
      <c r="EV172" s="77">
        <f t="shared" ca="1" si="762"/>
        <v>0</v>
      </c>
      <c r="EW172" s="110"/>
      <c r="EX172" s="74"/>
      <c r="EY172" s="77">
        <f t="shared" ca="1" si="784"/>
        <v>0</v>
      </c>
      <c r="EZ172" s="110"/>
      <c r="FA172" s="74"/>
      <c r="FB172" s="77">
        <f t="shared" ca="1" si="784"/>
        <v>0</v>
      </c>
      <c r="FC172" s="110"/>
      <c r="FD172" s="74"/>
      <c r="FE172" s="77">
        <f t="shared" ca="1" si="784"/>
        <v>0</v>
      </c>
      <c r="FF172" s="110"/>
      <c r="FG172" s="74"/>
      <c r="FH172" s="77">
        <f t="shared" ca="1" si="784"/>
        <v>0</v>
      </c>
      <c r="FI172" s="110"/>
      <c r="FJ172" s="74"/>
      <c r="FK172" s="77">
        <f t="shared" ca="1" si="784"/>
        <v>0</v>
      </c>
      <c r="FL172" s="110"/>
      <c r="FM172" s="110"/>
    </row>
    <row r="173" spans="1:169">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07">
        <f t="shared" si="789"/>
        <v>4</v>
      </c>
      <c r="G173" s="407">
        <f ca="1">VLOOKUP(H173,Equipos!$Q$1:$R$25,2,0)</f>
        <v>20</v>
      </c>
      <c r="H173" s="446" t="str">
        <f>Idiomas!$D$260</f>
        <v>Dieciseisavos de final</v>
      </c>
      <c r="I173" s="43">
        <v>1</v>
      </c>
      <c r="J173" s="849"/>
      <c r="K173" s="56" t="str">
        <f ca="1">CONCATENATE(WORLDCUP!AA110,"-",WORLDCUP!AF110)</f>
        <v>1D-3BEFIJ</v>
      </c>
      <c r="L173" s="53" t="str">
        <f>IF(OR(WORLDCUP!AC110="",WORLDCUP!AD110=""),"PD",IF(WORLDCUP!AC110&gt;WORLDCUP!AD110,1,IF(WORLDCUP!AC110&lt;WORLDCUP!AD110,2,0)))</f>
        <v>PD</v>
      </c>
      <c r="M173" s="55" t="str">
        <f t="shared" si="790"/>
        <v>-</v>
      </c>
      <c r="N173" s="25">
        <f>WORLDCUP!AC110</f>
        <v>0</v>
      </c>
      <c r="O173" s="25">
        <f>WORLDCUP!AD110</f>
        <v>0</v>
      </c>
      <c r="P173" s="25">
        <f t="shared" si="791"/>
        <v>0</v>
      </c>
      <c r="Q173" s="25">
        <f t="shared" si="792"/>
        <v>0</v>
      </c>
      <c r="R173" s="110"/>
      <c r="S173" s="74" t="s">
        <v>1973</v>
      </c>
      <c r="T173" s="77">
        <f t="shared" ca="1" si="793"/>
        <v>0</v>
      </c>
      <c r="U173" s="110"/>
      <c r="V173" s="74" t="s">
        <v>2012</v>
      </c>
      <c r="W173" s="77">
        <f t="shared" ca="1" si="740"/>
        <v>0</v>
      </c>
      <c r="X173" s="110"/>
      <c r="Y173" s="74" t="s">
        <v>2049</v>
      </c>
      <c r="Z173" s="77">
        <f t="shared" ca="1" si="740"/>
        <v>0</v>
      </c>
      <c r="AA173" s="110"/>
      <c r="AB173" s="74" t="s">
        <v>2079</v>
      </c>
      <c r="AC173" s="77">
        <f t="shared" ca="1" si="740"/>
        <v>0</v>
      </c>
      <c r="AD173" s="110"/>
      <c r="AE173" s="74" t="s">
        <v>2105</v>
      </c>
      <c r="AF173" s="77">
        <f t="shared" ca="1" si="740"/>
        <v>0</v>
      </c>
      <c r="AG173" s="110"/>
      <c r="AH173" s="74" t="s">
        <v>2134</v>
      </c>
      <c r="AI173" s="77">
        <f t="shared" ca="1" si="740"/>
        <v>0</v>
      </c>
      <c r="AJ173" s="110"/>
      <c r="AK173" s="74" t="s">
        <v>2162</v>
      </c>
      <c r="AL173" s="77">
        <f t="shared" ca="1" si="740"/>
        <v>0</v>
      </c>
      <c r="AM173" s="110"/>
      <c r="AN173" s="74" t="s">
        <v>2194</v>
      </c>
      <c r="AO173" s="77">
        <f t="shared" ca="1" si="740"/>
        <v>0</v>
      </c>
      <c r="AP173" s="110"/>
      <c r="AQ173" s="74" t="s">
        <v>2223</v>
      </c>
      <c r="AR173" s="77">
        <f t="shared" ca="1" si="740"/>
        <v>0</v>
      </c>
      <c r="AS173" s="110"/>
      <c r="AT173" s="74" t="s">
        <v>2246</v>
      </c>
      <c r="AU173" s="77">
        <f t="shared" ca="1" si="740"/>
        <v>0</v>
      </c>
      <c r="AV173" s="110"/>
      <c r="AW173" s="74" t="s">
        <v>2246</v>
      </c>
      <c r="AX173" s="77">
        <f t="shared" ca="1" si="740"/>
        <v>0</v>
      </c>
      <c r="AY173" s="110"/>
      <c r="AZ173" s="74" t="s">
        <v>2297</v>
      </c>
      <c r="BA173" s="77">
        <f t="shared" ca="1" si="740"/>
        <v>0</v>
      </c>
      <c r="BB173" s="110"/>
      <c r="BC173" s="74" t="s">
        <v>2320</v>
      </c>
      <c r="BD173" s="77">
        <f t="shared" ca="1" si="740"/>
        <v>0</v>
      </c>
      <c r="BE173" s="110"/>
      <c r="BF173" s="74" t="s">
        <v>2348</v>
      </c>
      <c r="BG173" s="77">
        <f t="shared" ca="1" si="740"/>
        <v>0</v>
      </c>
      <c r="BH173" s="110"/>
      <c r="BI173" s="74" t="s">
        <v>2364</v>
      </c>
      <c r="BJ173" s="77">
        <f t="shared" ca="1" si="740"/>
        <v>0</v>
      </c>
      <c r="BK173" s="110"/>
      <c r="BL173" s="74" t="s">
        <v>2384</v>
      </c>
      <c r="BM173" s="77">
        <f t="shared" ca="1" si="740"/>
        <v>0</v>
      </c>
      <c r="BN173" s="110"/>
      <c r="BO173" s="74" t="s">
        <v>2399</v>
      </c>
      <c r="BP173" s="77">
        <f t="shared" ca="1" si="740"/>
        <v>0</v>
      </c>
      <c r="BQ173" s="110"/>
      <c r="BR173" s="74" t="s">
        <v>2246</v>
      </c>
      <c r="BS173" s="77">
        <f t="shared" ca="1" si="740"/>
        <v>0</v>
      </c>
      <c r="BT173" s="110"/>
      <c r="BU173" s="74" t="s">
        <v>2429</v>
      </c>
      <c r="BV173" s="77">
        <f t="shared" ca="1" si="740"/>
        <v>0</v>
      </c>
      <c r="BW173" s="110"/>
      <c r="BX173" s="74" t="s">
        <v>2448</v>
      </c>
      <c r="BY173" s="77">
        <f t="shared" ca="1" si="740"/>
        <v>0</v>
      </c>
      <c r="BZ173" s="110"/>
      <c r="CA173" s="74" t="s">
        <v>2448</v>
      </c>
      <c r="CB173" s="77">
        <f t="shared" ca="1" si="740"/>
        <v>0</v>
      </c>
      <c r="CC173" s="110"/>
      <c r="CD173" s="74" t="s">
        <v>2490</v>
      </c>
      <c r="CE173" s="77">
        <f t="shared" ca="1" si="740"/>
        <v>0</v>
      </c>
      <c r="CF173" s="110"/>
      <c r="CG173" s="74" t="s">
        <v>2223</v>
      </c>
      <c r="CH173" s="77">
        <f t="shared" ca="1" si="740"/>
        <v>0</v>
      </c>
      <c r="CI173" s="110"/>
      <c r="CJ173" s="74" t="s">
        <v>2524</v>
      </c>
      <c r="CK173" s="77">
        <f t="shared" ca="1" si="762"/>
        <v>0</v>
      </c>
      <c r="CL173" s="110"/>
      <c r="CM173" s="74" t="s">
        <v>2490</v>
      </c>
      <c r="CN173" s="77">
        <f t="shared" ca="1" si="762"/>
        <v>0</v>
      </c>
      <c r="CO173" s="110"/>
      <c r="CP173" s="74" t="s">
        <v>2490</v>
      </c>
      <c r="CQ173" s="77">
        <f t="shared" ca="1" si="762"/>
        <v>0</v>
      </c>
      <c r="CR173" s="110"/>
      <c r="CS173" s="74" t="s">
        <v>2297</v>
      </c>
      <c r="CT173" s="77">
        <f t="shared" ca="1" si="762"/>
        <v>0</v>
      </c>
      <c r="CU173" s="110"/>
      <c r="CV173" s="74" t="s">
        <v>2364</v>
      </c>
      <c r="CW173" s="77">
        <f t="shared" ca="1" si="762"/>
        <v>0</v>
      </c>
      <c r="CX173" s="110"/>
      <c r="CY173" s="74" t="s">
        <v>2593</v>
      </c>
      <c r="CZ173" s="77">
        <f t="shared" ca="1" si="762"/>
        <v>0</v>
      </c>
      <c r="DA173" s="110"/>
      <c r="DB173" s="74" t="s">
        <v>2297</v>
      </c>
      <c r="DC173" s="77">
        <f t="shared" ca="1" si="762"/>
        <v>0</v>
      </c>
      <c r="DD173" s="110"/>
      <c r="DE173" s="74" t="s">
        <v>2490</v>
      </c>
      <c r="DF173" s="77">
        <f t="shared" ca="1" si="762"/>
        <v>0</v>
      </c>
      <c r="DG173" s="110"/>
      <c r="DH173" s="74" t="s">
        <v>2645</v>
      </c>
      <c r="DI173" s="77">
        <f t="shared" ca="1" si="762"/>
        <v>0</v>
      </c>
      <c r="DJ173" s="110"/>
      <c r="DK173" s="74" t="s">
        <v>2429</v>
      </c>
      <c r="DL173" s="77">
        <f t="shared" ca="1" si="762"/>
        <v>0</v>
      </c>
      <c r="DM173" s="110"/>
      <c r="DN173" s="795" t="s">
        <v>2671</v>
      </c>
      <c r="DO173" s="77">
        <f t="shared" ca="1" si="762"/>
        <v>0</v>
      </c>
      <c r="DP173" s="110"/>
      <c r="DQ173" s="795" t="s">
        <v>2524</v>
      </c>
      <c r="DR173" s="77">
        <f t="shared" ca="1" si="762"/>
        <v>0</v>
      </c>
      <c r="DS173" s="110"/>
      <c r="DT173" s="74" t="s">
        <v>2717</v>
      </c>
      <c r="DU173" s="77">
        <f t="shared" ca="1" si="762"/>
        <v>0</v>
      </c>
      <c r="DV173" s="110"/>
      <c r="DW173" s="74" t="s">
        <v>2737</v>
      </c>
      <c r="DX173" s="77">
        <f t="shared" ca="1" si="762"/>
        <v>0</v>
      </c>
      <c r="DY173" s="110"/>
      <c r="DZ173" s="74" t="s">
        <v>2223</v>
      </c>
      <c r="EA173" s="77">
        <f t="shared" ca="1" si="762"/>
        <v>0</v>
      </c>
      <c r="EB173" s="110"/>
      <c r="EC173" s="74" t="s">
        <v>2772</v>
      </c>
      <c r="ED173" s="77">
        <f t="shared" ca="1" si="762"/>
        <v>0</v>
      </c>
      <c r="EE173" s="110"/>
      <c r="EF173" s="74" t="s">
        <v>2781</v>
      </c>
      <c r="EG173" s="77">
        <f t="shared" ca="1" si="762"/>
        <v>0</v>
      </c>
      <c r="EH173" s="110"/>
      <c r="EI173" s="74" t="s">
        <v>2246</v>
      </c>
      <c r="EJ173" s="77">
        <f t="shared" ca="1" si="762"/>
        <v>0</v>
      </c>
      <c r="EK173" s="110"/>
      <c r="EL173" s="74"/>
      <c r="EM173" s="77">
        <f t="shared" ca="1" si="762"/>
        <v>0</v>
      </c>
      <c r="EN173" s="110"/>
      <c r="EO173" s="74"/>
      <c r="EP173" s="77">
        <f t="shared" ca="1" si="762"/>
        <v>0</v>
      </c>
      <c r="EQ173" s="110"/>
      <c r="ER173" s="74"/>
      <c r="ES173" s="77">
        <f t="shared" ca="1" si="762"/>
        <v>0</v>
      </c>
      <c r="ET173" s="110"/>
      <c r="EU173" s="74"/>
      <c r="EV173" s="77">
        <f t="shared" ca="1" si="762"/>
        <v>0</v>
      </c>
      <c r="EW173" s="110"/>
      <c r="EX173" s="74"/>
      <c r="EY173" s="77">
        <f t="shared" ca="1" si="784"/>
        <v>0</v>
      </c>
      <c r="EZ173" s="110"/>
      <c r="FA173" s="74"/>
      <c r="FB173" s="77">
        <f t="shared" ca="1" si="784"/>
        <v>0</v>
      </c>
      <c r="FC173" s="110"/>
      <c r="FD173" s="74"/>
      <c r="FE173" s="77">
        <f t="shared" ca="1" si="784"/>
        <v>0</v>
      </c>
      <c r="FF173" s="110"/>
      <c r="FG173" s="74"/>
      <c r="FH173" s="77">
        <f t="shared" ca="1" si="784"/>
        <v>0</v>
      </c>
      <c r="FI173" s="110"/>
      <c r="FJ173" s="74"/>
      <c r="FK173" s="77">
        <f t="shared" ca="1" si="784"/>
        <v>0</v>
      </c>
      <c r="FL173" s="110"/>
      <c r="FM173" s="110"/>
    </row>
    <row r="174" spans="1:169">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07">
        <f t="shared" si="789"/>
        <v>4</v>
      </c>
      <c r="G174" s="407">
        <f ca="1">VLOOKUP(H174,Equipos!$Q$1:$R$25,2,0)</f>
        <v>20</v>
      </c>
      <c r="H174" s="446" t="str">
        <f>Idiomas!$D$260</f>
        <v>Dieciseisavos de final</v>
      </c>
      <c r="I174" s="43">
        <v>1</v>
      </c>
      <c r="J174" s="849"/>
      <c r="K174" s="56" t="str">
        <f ca="1">CONCATENATE(WORLDCUP!AA111,"-",WORLDCUP!AF111)</f>
        <v>1H-2J</v>
      </c>
      <c r="L174" s="53" t="str">
        <f>IF(OR(WORLDCUP!AC111="",WORLDCUP!AD111=""),"PD",IF(WORLDCUP!AC111&gt;WORLDCUP!AD111,1,IF(WORLDCUP!AC111&lt;WORLDCUP!AD111,2,0)))</f>
        <v>PD</v>
      </c>
      <c r="M174" s="55" t="str">
        <f t="shared" si="790"/>
        <v>-</v>
      </c>
      <c r="N174" s="25">
        <f>WORLDCUP!AC111</f>
        <v>0</v>
      </c>
      <c r="O174" s="25">
        <f>WORLDCUP!AD111</f>
        <v>0</v>
      </c>
      <c r="P174" s="25">
        <f t="shared" si="791"/>
        <v>0</v>
      </c>
      <c r="Q174" s="25">
        <f t="shared" si="792"/>
        <v>0</v>
      </c>
      <c r="R174" s="110"/>
      <c r="S174" s="74" t="s">
        <v>1974</v>
      </c>
      <c r="T174" s="77">
        <f t="shared" ca="1" si="793"/>
        <v>0</v>
      </c>
      <c r="U174" s="110"/>
      <c r="V174" s="74" t="s">
        <v>2013</v>
      </c>
      <c r="W174" s="77">
        <f t="shared" ca="1" si="740"/>
        <v>0</v>
      </c>
      <c r="X174" s="110"/>
      <c r="Y174" s="74" t="s">
        <v>2050</v>
      </c>
      <c r="Z174" s="77">
        <f t="shared" ca="1" si="740"/>
        <v>0</v>
      </c>
      <c r="AA174" s="110"/>
      <c r="AB174" s="74" t="s">
        <v>1974</v>
      </c>
      <c r="AC174" s="77">
        <f t="shared" ca="1" si="740"/>
        <v>0</v>
      </c>
      <c r="AD174" s="110"/>
      <c r="AE174" s="74" t="s">
        <v>2013</v>
      </c>
      <c r="AF174" s="77">
        <f t="shared" ca="1" si="740"/>
        <v>0</v>
      </c>
      <c r="AG174" s="110"/>
      <c r="AH174" s="74" t="s">
        <v>2135</v>
      </c>
      <c r="AI174" s="77">
        <f t="shared" ca="1" si="740"/>
        <v>0</v>
      </c>
      <c r="AJ174" s="110"/>
      <c r="AK174" s="74" t="s">
        <v>1974</v>
      </c>
      <c r="AL174" s="77">
        <f t="shared" ca="1" si="740"/>
        <v>0</v>
      </c>
      <c r="AM174" s="110"/>
      <c r="AN174" s="74" t="s">
        <v>2195</v>
      </c>
      <c r="AO174" s="77">
        <f t="shared" ca="1" si="740"/>
        <v>0</v>
      </c>
      <c r="AP174" s="110"/>
      <c r="AQ174" s="74" t="s">
        <v>2224</v>
      </c>
      <c r="AR174" s="77">
        <f t="shared" ca="1" si="740"/>
        <v>0</v>
      </c>
      <c r="AS174" s="110"/>
      <c r="AT174" s="74" t="s">
        <v>2013</v>
      </c>
      <c r="AU174" s="77">
        <f t="shared" ca="1" si="740"/>
        <v>0</v>
      </c>
      <c r="AV174" s="110"/>
      <c r="AW174" s="74" t="s">
        <v>2272</v>
      </c>
      <c r="AX174" s="77">
        <f t="shared" ca="1" si="740"/>
        <v>0</v>
      </c>
      <c r="AY174" s="110"/>
      <c r="AZ174" s="74" t="s">
        <v>1974</v>
      </c>
      <c r="BA174" s="77">
        <f t="shared" ca="1" si="740"/>
        <v>0</v>
      </c>
      <c r="BB174" s="110"/>
      <c r="BC174" s="74" t="s">
        <v>2013</v>
      </c>
      <c r="BD174" s="77">
        <f t="shared" ca="1" si="740"/>
        <v>0</v>
      </c>
      <c r="BE174" s="110"/>
      <c r="BF174" s="74" t="s">
        <v>2349</v>
      </c>
      <c r="BG174" s="77">
        <f t="shared" ca="1" si="740"/>
        <v>0</v>
      </c>
      <c r="BH174" s="110"/>
      <c r="BI174" s="74" t="s">
        <v>2349</v>
      </c>
      <c r="BJ174" s="77">
        <f t="shared" ca="1" si="740"/>
        <v>0</v>
      </c>
      <c r="BK174" s="110"/>
      <c r="BL174" s="74" t="s">
        <v>2050</v>
      </c>
      <c r="BM174" s="77">
        <f t="shared" ca="1" si="740"/>
        <v>0</v>
      </c>
      <c r="BN174" s="110"/>
      <c r="BO174" s="74" t="s">
        <v>2272</v>
      </c>
      <c r="BP174" s="77">
        <f t="shared" ca="1" si="740"/>
        <v>0</v>
      </c>
      <c r="BQ174" s="110"/>
      <c r="BR174" s="74" t="s">
        <v>1974</v>
      </c>
      <c r="BS174" s="77">
        <f t="shared" ca="1" si="740"/>
        <v>0</v>
      </c>
      <c r="BT174" s="110"/>
      <c r="BU174" s="74" t="s">
        <v>1974</v>
      </c>
      <c r="BV174" s="77">
        <f t="shared" ca="1" si="740"/>
        <v>0</v>
      </c>
      <c r="BW174" s="110"/>
      <c r="BX174" s="74" t="s">
        <v>2272</v>
      </c>
      <c r="BY174" s="77">
        <f t="shared" ca="1" si="740"/>
        <v>0</v>
      </c>
      <c r="BZ174" s="110"/>
      <c r="CA174" s="74" t="s">
        <v>2468</v>
      </c>
      <c r="CB174" s="77">
        <f t="shared" ca="1" si="740"/>
        <v>0</v>
      </c>
      <c r="CC174" s="110"/>
      <c r="CD174" s="74" t="s">
        <v>2050</v>
      </c>
      <c r="CE174" s="77">
        <f t="shared" ca="1" si="740"/>
        <v>0</v>
      </c>
      <c r="CF174" s="110"/>
      <c r="CG174" s="74" t="s">
        <v>2349</v>
      </c>
      <c r="CH174" s="77">
        <f t="shared" ca="1" si="740"/>
        <v>0</v>
      </c>
      <c r="CI174" s="110"/>
      <c r="CJ174" s="74" t="s">
        <v>2013</v>
      </c>
      <c r="CK174" s="77">
        <f t="shared" ca="1" si="762"/>
        <v>0</v>
      </c>
      <c r="CL174" s="110"/>
      <c r="CM174" s="74" t="s">
        <v>2349</v>
      </c>
      <c r="CN174" s="77">
        <f t="shared" ca="1" si="762"/>
        <v>0</v>
      </c>
      <c r="CO174" s="110"/>
      <c r="CP174" s="74" t="s">
        <v>2556</v>
      </c>
      <c r="CQ174" s="77">
        <f t="shared" ca="1" si="762"/>
        <v>0</v>
      </c>
      <c r="CR174" s="110"/>
      <c r="CS174" s="74" t="s">
        <v>1974</v>
      </c>
      <c r="CT174" s="77">
        <f t="shared" ca="1" si="762"/>
        <v>0</v>
      </c>
      <c r="CU174" s="110"/>
      <c r="CV174" s="74" t="s">
        <v>2013</v>
      </c>
      <c r="CW174" s="77">
        <f t="shared" ca="1" si="762"/>
        <v>0</v>
      </c>
      <c r="CX174" s="110"/>
      <c r="CY174" s="74" t="s">
        <v>2594</v>
      </c>
      <c r="CZ174" s="77">
        <f t="shared" ca="1" si="762"/>
        <v>0</v>
      </c>
      <c r="DA174" s="110"/>
      <c r="DB174" s="74" t="s">
        <v>1974</v>
      </c>
      <c r="DC174" s="77">
        <f t="shared" ca="1" si="762"/>
        <v>0</v>
      </c>
      <c r="DD174" s="110"/>
      <c r="DE174" s="74" t="s">
        <v>1974</v>
      </c>
      <c r="DF174" s="77">
        <f t="shared" ca="1" si="762"/>
        <v>0</v>
      </c>
      <c r="DG174" s="110"/>
      <c r="DH174" s="74" t="s">
        <v>2468</v>
      </c>
      <c r="DI174" s="77">
        <f t="shared" ca="1" si="762"/>
        <v>0</v>
      </c>
      <c r="DJ174" s="110"/>
      <c r="DK174" s="74" t="s">
        <v>2050</v>
      </c>
      <c r="DL174" s="77">
        <f t="shared" ca="1" si="762"/>
        <v>0</v>
      </c>
      <c r="DM174" s="110"/>
      <c r="DN174" s="795" t="s">
        <v>2013</v>
      </c>
      <c r="DO174" s="77">
        <f t="shared" ca="1" si="762"/>
        <v>0</v>
      </c>
      <c r="DP174" s="110"/>
      <c r="DQ174" s="795" t="s">
        <v>2013</v>
      </c>
      <c r="DR174" s="77">
        <f t="shared" ca="1" si="762"/>
        <v>0</v>
      </c>
      <c r="DS174" s="110"/>
      <c r="DT174" s="74" t="s">
        <v>2556</v>
      </c>
      <c r="DU174" s="77">
        <f t="shared" ca="1" si="762"/>
        <v>0</v>
      </c>
      <c r="DV174" s="110"/>
      <c r="DW174" s="74" t="s">
        <v>2468</v>
      </c>
      <c r="DX174" s="77">
        <f t="shared" ca="1" si="762"/>
        <v>0</v>
      </c>
      <c r="DY174" s="110"/>
      <c r="DZ174" s="74" t="s">
        <v>2050</v>
      </c>
      <c r="EA174" s="77">
        <f t="shared" ca="1" si="762"/>
        <v>0</v>
      </c>
      <c r="EB174" s="110"/>
      <c r="EC174" s="74" t="s">
        <v>2468</v>
      </c>
      <c r="ED174" s="77">
        <f t="shared" ca="1" si="762"/>
        <v>0</v>
      </c>
      <c r="EE174" s="110"/>
      <c r="EF174" s="74" t="s">
        <v>2135</v>
      </c>
      <c r="EG174" s="77">
        <f t="shared" ca="1" si="762"/>
        <v>0</v>
      </c>
      <c r="EH174" s="110"/>
      <c r="EI174" s="74" t="s">
        <v>2013</v>
      </c>
      <c r="EJ174" s="77">
        <f t="shared" ca="1" si="762"/>
        <v>0</v>
      </c>
      <c r="EK174" s="110"/>
      <c r="EL174" s="74"/>
      <c r="EM174" s="77">
        <f t="shared" ca="1" si="762"/>
        <v>0</v>
      </c>
      <c r="EN174" s="110"/>
      <c r="EO174" s="74"/>
      <c r="EP174" s="77">
        <f t="shared" ca="1" si="762"/>
        <v>0</v>
      </c>
      <c r="EQ174" s="110"/>
      <c r="ER174" s="74"/>
      <c r="ES174" s="77">
        <f t="shared" ca="1" si="762"/>
        <v>0</v>
      </c>
      <c r="ET174" s="110"/>
      <c r="EU174" s="74"/>
      <c r="EV174" s="77">
        <f t="shared" ca="1" si="762"/>
        <v>0</v>
      </c>
      <c r="EW174" s="110"/>
      <c r="EX174" s="74"/>
      <c r="EY174" s="77">
        <f t="shared" ca="1" si="784"/>
        <v>0</v>
      </c>
      <c r="EZ174" s="110"/>
      <c r="FA174" s="74"/>
      <c r="FB174" s="77">
        <f t="shared" ca="1" si="784"/>
        <v>0</v>
      </c>
      <c r="FC174" s="110"/>
      <c r="FD174" s="74"/>
      <c r="FE174" s="77">
        <f t="shared" ca="1" si="784"/>
        <v>0</v>
      </c>
      <c r="FF174" s="110"/>
      <c r="FG174" s="74"/>
      <c r="FH174" s="77">
        <f t="shared" ca="1" si="784"/>
        <v>0</v>
      </c>
      <c r="FI174" s="110"/>
      <c r="FJ174" s="74"/>
      <c r="FK174" s="77">
        <f t="shared" ca="1" si="784"/>
        <v>0</v>
      </c>
      <c r="FL174" s="110"/>
      <c r="FM174" s="110"/>
    </row>
    <row r="175" spans="1:169">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07">
        <f t="shared" si="789"/>
        <v>4</v>
      </c>
      <c r="G175" s="407">
        <f ca="1">VLOOKUP(H175,Equipos!$Q$1:$R$25,2,0)</f>
        <v>20</v>
      </c>
      <c r="H175" s="446" t="str">
        <f>Idiomas!$D$260</f>
        <v>Dieciseisavos de final</v>
      </c>
      <c r="I175" s="43">
        <v>1</v>
      </c>
      <c r="J175" s="849"/>
      <c r="K175" s="56" t="str">
        <f ca="1">CONCATENATE(WORLDCUP!AA112,"-",WORLDCUP!AF112)</f>
        <v>2K-2L</v>
      </c>
      <c r="L175" s="53" t="str">
        <f>IF(OR(WORLDCUP!AC112="",WORLDCUP!AD112=""),"PD",IF(WORLDCUP!AC112&gt;WORLDCUP!AD112,1,IF(WORLDCUP!AC112&lt;WORLDCUP!AD112,2,0)))</f>
        <v>PD</v>
      </c>
      <c r="M175" s="55" t="str">
        <f t="shared" si="790"/>
        <v>-</v>
      </c>
      <c r="N175" s="25">
        <f>WORLDCUP!AC112</f>
        <v>0</v>
      </c>
      <c r="O175" s="25">
        <f>WORLDCUP!AD112</f>
        <v>0</v>
      </c>
      <c r="P175" s="25">
        <f t="shared" si="791"/>
        <v>0</v>
      </c>
      <c r="Q175" s="25">
        <f t="shared" si="792"/>
        <v>0</v>
      </c>
      <c r="R175" s="110"/>
      <c r="S175" s="74" t="s">
        <v>1975</v>
      </c>
      <c r="T175" s="77">
        <f t="shared" ca="1" si="793"/>
        <v>0</v>
      </c>
      <c r="U175" s="110"/>
      <c r="V175" s="74" t="s">
        <v>2014</v>
      </c>
      <c r="W175" s="77">
        <f t="shared" ca="1" si="740"/>
        <v>0</v>
      </c>
      <c r="X175" s="110"/>
      <c r="Y175" s="74" t="s">
        <v>2051</v>
      </c>
      <c r="Z175" s="77">
        <f t="shared" ca="1" si="740"/>
        <v>0</v>
      </c>
      <c r="AA175" s="110"/>
      <c r="AB175" s="74" t="s">
        <v>2080</v>
      </c>
      <c r="AC175" s="77">
        <f t="shared" ca="1" si="740"/>
        <v>0</v>
      </c>
      <c r="AD175" s="110"/>
      <c r="AE175" s="74" t="s">
        <v>2106</v>
      </c>
      <c r="AF175" s="77">
        <f t="shared" ca="1" si="740"/>
        <v>0</v>
      </c>
      <c r="AG175" s="110"/>
      <c r="AH175" s="74" t="s">
        <v>2136</v>
      </c>
      <c r="AI175" s="77">
        <f t="shared" ca="1" si="740"/>
        <v>0</v>
      </c>
      <c r="AJ175" s="110"/>
      <c r="AK175" s="74" t="s">
        <v>2163</v>
      </c>
      <c r="AL175" s="77">
        <f t="shared" ca="1" si="740"/>
        <v>0</v>
      </c>
      <c r="AM175" s="110"/>
      <c r="AN175" s="74" t="s">
        <v>2080</v>
      </c>
      <c r="AO175" s="77">
        <f t="shared" ca="1" si="740"/>
        <v>0</v>
      </c>
      <c r="AP175" s="110"/>
      <c r="AQ175" s="74" t="s">
        <v>2225</v>
      </c>
      <c r="AR175" s="77">
        <f t="shared" ca="1" si="740"/>
        <v>0</v>
      </c>
      <c r="AS175" s="110"/>
      <c r="AT175" s="74" t="s">
        <v>2080</v>
      </c>
      <c r="AU175" s="77">
        <f t="shared" ca="1" si="740"/>
        <v>0</v>
      </c>
      <c r="AV175" s="110"/>
      <c r="AW175" s="74" t="s">
        <v>2273</v>
      </c>
      <c r="AX175" s="77">
        <f t="shared" ca="1" si="740"/>
        <v>0</v>
      </c>
      <c r="AY175" s="110"/>
      <c r="AZ175" s="74" t="s">
        <v>2298</v>
      </c>
      <c r="BA175" s="77">
        <f t="shared" ca="1" si="740"/>
        <v>0</v>
      </c>
      <c r="BB175" s="110"/>
      <c r="BC175" s="74" t="s">
        <v>2321</v>
      </c>
      <c r="BD175" s="77">
        <f t="shared" ca="1" si="740"/>
        <v>0</v>
      </c>
      <c r="BE175" s="110"/>
      <c r="BF175" s="74" t="s">
        <v>2080</v>
      </c>
      <c r="BG175" s="77">
        <f t="shared" ca="1" si="740"/>
        <v>0</v>
      </c>
      <c r="BH175" s="110"/>
      <c r="BI175" s="74" t="s">
        <v>2365</v>
      </c>
      <c r="BJ175" s="77">
        <f t="shared" ca="1" si="740"/>
        <v>0</v>
      </c>
      <c r="BK175" s="110"/>
      <c r="BL175" s="74" t="s">
        <v>2385</v>
      </c>
      <c r="BM175" s="77">
        <f t="shared" ca="1" si="740"/>
        <v>0</v>
      </c>
      <c r="BN175" s="110"/>
      <c r="BO175" s="74" t="s">
        <v>2400</v>
      </c>
      <c r="BP175" s="77">
        <f t="shared" ca="1" si="740"/>
        <v>0</v>
      </c>
      <c r="BQ175" s="110"/>
      <c r="BR175" s="74" t="s">
        <v>2051</v>
      </c>
      <c r="BS175" s="77">
        <f t="shared" ca="1" si="740"/>
        <v>0</v>
      </c>
      <c r="BT175" s="110"/>
      <c r="BU175" s="74" t="s">
        <v>2430</v>
      </c>
      <c r="BV175" s="77">
        <f t="shared" ca="1" si="740"/>
        <v>0</v>
      </c>
      <c r="BW175" s="110"/>
      <c r="BX175" s="74" t="s">
        <v>2449</v>
      </c>
      <c r="BY175" s="77">
        <f t="shared" ca="1" si="740"/>
        <v>0</v>
      </c>
      <c r="BZ175" s="110"/>
      <c r="CA175" s="74" t="s">
        <v>2385</v>
      </c>
      <c r="CB175" s="77">
        <f t="shared" ca="1" si="740"/>
        <v>0</v>
      </c>
      <c r="CC175" s="110"/>
      <c r="CD175" s="74" t="s">
        <v>2491</v>
      </c>
      <c r="CE175" s="77">
        <f t="shared" ca="1" si="740"/>
        <v>0</v>
      </c>
      <c r="CF175" s="110"/>
      <c r="CG175" s="74" t="s">
        <v>2298</v>
      </c>
      <c r="CH175" s="77">
        <f t="shared" ca="1" si="740"/>
        <v>0</v>
      </c>
      <c r="CI175" s="110"/>
      <c r="CJ175" s="74" t="s">
        <v>2525</v>
      </c>
      <c r="CK175" s="77">
        <f t="shared" ca="1" si="762"/>
        <v>0</v>
      </c>
      <c r="CL175" s="110"/>
      <c r="CM175" s="74" t="s">
        <v>2051</v>
      </c>
      <c r="CN175" s="77">
        <f t="shared" ca="1" si="762"/>
        <v>0</v>
      </c>
      <c r="CO175" s="110"/>
      <c r="CP175" s="74" t="s">
        <v>2385</v>
      </c>
      <c r="CQ175" s="77">
        <f t="shared" ca="1" si="762"/>
        <v>0</v>
      </c>
      <c r="CR175" s="110"/>
      <c r="CS175" s="74" t="s">
        <v>2298</v>
      </c>
      <c r="CT175" s="77">
        <f t="shared" ca="1" si="762"/>
        <v>0</v>
      </c>
      <c r="CU175" s="110"/>
      <c r="CV175" s="74" t="s">
        <v>2571</v>
      </c>
      <c r="CW175" s="77">
        <f t="shared" ca="1" si="762"/>
        <v>0</v>
      </c>
      <c r="CX175" s="110"/>
      <c r="CY175" s="74" t="s">
        <v>2595</v>
      </c>
      <c r="CZ175" s="77">
        <f t="shared" ca="1" si="762"/>
        <v>0</v>
      </c>
      <c r="DA175" s="110"/>
      <c r="DB175" s="74" t="s">
        <v>2612</v>
      </c>
      <c r="DC175" s="77">
        <f t="shared" ca="1" si="762"/>
        <v>0</v>
      </c>
      <c r="DD175" s="110"/>
      <c r="DE175" s="74" t="s">
        <v>2298</v>
      </c>
      <c r="DF175" s="77">
        <f t="shared" ca="1" si="762"/>
        <v>0</v>
      </c>
      <c r="DG175" s="110"/>
      <c r="DH175" s="74" t="s">
        <v>2051</v>
      </c>
      <c r="DI175" s="77">
        <f t="shared" ca="1" si="762"/>
        <v>0</v>
      </c>
      <c r="DJ175" s="110"/>
      <c r="DK175" s="74" t="s">
        <v>2211</v>
      </c>
      <c r="DL175" s="77">
        <f t="shared" ca="1" si="762"/>
        <v>0</v>
      </c>
      <c r="DM175" s="110"/>
      <c r="DN175" s="795" t="s">
        <v>2525</v>
      </c>
      <c r="DO175" s="77">
        <f t="shared" ca="1" si="762"/>
        <v>0</v>
      </c>
      <c r="DP175" s="110"/>
      <c r="DQ175" s="795" t="s">
        <v>2689</v>
      </c>
      <c r="DR175" s="77">
        <f t="shared" ca="1" si="762"/>
        <v>0</v>
      </c>
      <c r="DS175" s="110"/>
      <c r="DT175" s="74" t="s">
        <v>2718</v>
      </c>
      <c r="DU175" s="77">
        <f t="shared" ca="1" si="762"/>
        <v>0</v>
      </c>
      <c r="DV175" s="110"/>
      <c r="DW175" s="74" t="s">
        <v>2738</v>
      </c>
      <c r="DX175" s="77">
        <f t="shared" ca="1" si="762"/>
        <v>0</v>
      </c>
      <c r="DY175" s="110"/>
      <c r="DZ175" s="74" t="s">
        <v>2385</v>
      </c>
      <c r="EA175" s="77">
        <f t="shared" ca="1" si="762"/>
        <v>0</v>
      </c>
      <c r="EB175" s="110"/>
      <c r="EC175" s="74" t="s">
        <v>2385</v>
      </c>
      <c r="ED175" s="77">
        <f t="shared" ca="1" si="762"/>
        <v>0</v>
      </c>
      <c r="EE175" s="110"/>
      <c r="EF175" s="74" t="s">
        <v>2051</v>
      </c>
      <c r="EG175" s="77">
        <f t="shared" ca="1" si="762"/>
        <v>0</v>
      </c>
      <c r="EH175" s="110"/>
      <c r="EI175" s="74" t="s">
        <v>2051</v>
      </c>
      <c r="EJ175" s="77">
        <f t="shared" ca="1" si="762"/>
        <v>0</v>
      </c>
      <c r="EK175" s="110"/>
      <c r="EL175" s="74"/>
      <c r="EM175" s="77">
        <f t="shared" ca="1" si="762"/>
        <v>0</v>
      </c>
      <c r="EN175" s="110"/>
      <c r="EO175" s="74"/>
      <c r="EP175" s="77">
        <f t="shared" ca="1" si="762"/>
        <v>0</v>
      </c>
      <c r="EQ175" s="110"/>
      <c r="ER175" s="74"/>
      <c r="ES175" s="77">
        <f t="shared" ca="1" si="762"/>
        <v>0</v>
      </c>
      <c r="ET175" s="110"/>
      <c r="EU175" s="74"/>
      <c r="EV175" s="77">
        <f t="shared" ca="1" si="762"/>
        <v>0</v>
      </c>
      <c r="EW175" s="110"/>
      <c r="EX175" s="74"/>
      <c r="EY175" s="77">
        <f t="shared" ca="1" si="784"/>
        <v>0</v>
      </c>
      <c r="EZ175" s="110"/>
      <c r="FA175" s="74"/>
      <c r="FB175" s="77">
        <f t="shared" ca="1" si="784"/>
        <v>0</v>
      </c>
      <c r="FC175" s="110"/>
      <c r="FD175" s="74"/>
      <c r="FE175" s="77">
        <f t="shared" ca="1" si="784"/>
        <v>0</v>
      </c>
      <c r="FF175" s="110"/>
      <c r="FG175" s="74"/>
      <c r="FH175" s="77">
        <f t="shared" ca="1" si="784"/>
        <v>0</v>
      </c>
      <c r="FI175" s="110"/>
      <c r="FJ175" s="74"/>
      <c r="FK175" s="77">
        <f t="shared" ca="1" si="784"/>
        <v>0</v>
      </c>
      <c r="FL175" s="110"/>
      <c r="FM175" s="110"/>
    </row>
    <row r="176" spans="1:169">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07">
        <f t="shared" si="789"/>
        <v>4</v>
      </c>
      <c r="G176" s="407">
        <f ca="1">VLOOKUP(H176,Equipos!$Q$1:$R$25,2,0)</f>
        <v>20</v>
      </c>
      <c r="H176" s="446" t="str">
        <f>Idiomas!$D$260</f>
        <v>Dieciseisavos de final</v>
      </c>
      <c r="I176" s="43">
        <v>1</v>
      </c>
      <c r="J176" s="849"/>
      <c r="K176" s="56" t="str">
        <f ca="1">CONCATENATE(WORLDCUP!AA113,"-",WORLDCUP!AF113)</f>
        <v>1B-3EFGIJ</v>
      </c>
      <c r="L176" s="53" t="str">
        <f>IF(OR(WORLDCUP!AC113="",WORLDCUP!AD113=""),"PD",IF(WORLDCUP!AC113&gt;WORLDCUP!AD113,1,IF(WORLDCUP!AC113&lt;WORLDCUP!AD113,2,0)))</f>
        <v>PD</v>
      </c>
      <c r="M176" s="55" t="str">
        <f t="shared" si="790"/>
        <v>-</v>
      </c>
      <c r="N176" s="25">
        <f>WORLDCUP!AC113</f>
        <v>0</v>
      </c>
      <c r="O176" s="25">
        <f>WORLDCUP!AD113</f>
        <v>0</v>
      </c>
      <c r="P176" s="25">
        <f t="shared" si="791"/>
        <v>0</v>
      </c>
      <c r="Q176" s="25">
        <f t="shared" si="792"/>
        <v>0</v>
      </c>
      <c r="R176" s="110"/>
      <c r="S176" s="74" t="s">
        <v>1976</v>
      </c>
      <c r="T176" s="77">
        <f t="shared" ca="1" si="793"/>
        <v>0</v>
      </c>
      <c r="U176" s="110"/>
      <c r="V176" s="74" t="s">
        <v>2015</v>
      </c>
      <c r="W176" s="77">
        <f t="shared" ca="1" si="740"/>
        <v>0</v>
      </c>
      <c r="X176" s="110"/>
      <c r="Y176" s="74" t="s">
        <v>2052</v>
      </c>
      <c r="Z176" s="77">
        <f t="shared" ca="1" si="740"/>
        <v>0</v>
      </c>
      <c r="AA176" s="110"/>
      <c r="AB176" s="74" t="s">
        <v>2081</v>
      </c>
      <c r="AC176" s="77">
        <f t="shared" ca="1" si="740"/>
        <v>0</v>
      </c>
      <c r="AD176" s="110"/>
      <c r="AE176" s="74" t="s">
        <v>2081</v>
      </c>
      <c r="AF176" s="77">
        <f t="shared" ca="1" si="740"/>
        <v>0</v>
      </c>
      <c r="AG176" s="110"/>
      <c r="AH176" s="74" t="s">
        <v>2137</v>
      </c>
      <c r="AI176" s="77">
        <f t="shared" ca="1" si="740"/>
        <v>0</v>
      </c>
      <c r="AJ176" s="110"/>
      <c r="AK176" s="74" t="s">
        <v>2015</v>
      </c>
      <c r="AL176" s="77">
        <f t="shared" ca="1" si="740"/>
        <v>0</v>
      </c>
      <c r="AM176" s="110"/>
      <c r="AN176" s="74" t="s">
        <v>2196</v>
      </c>
      <c r="AO176" s="77">
        <f t="shared" ca="1" si="740"/>
        <v>0</v>
      </c>
      <c r="AP176" s="110"/>
      <c r="AQ176" s="74" t="s">
        <v>2226</v>
      </c>
      <c r="AR176" s="77">
        <f t="shared" ca="1" si="740"/>
        <v>0</v>
      </c>
      <c r="AS176" s="110"/>
      <c r="AT176" s="74" t="s">
        <v>2247</v>
      </c>
      <c r="AU176" s="77">
        <f t="shared" ca="1" si="740"/>
        <v>0</v>
      </c>
      <c r="AV176" s="110"/>
      <c r="AW176" s="74" t="s">
        <v>2274</v>
      </c>
      <c r="AX176" s="77">
        <f t="shared" ca="1" si="740"/>
        <v>0</v>
      </c>
      <c r="AY176" s="110"/>
      <c r="AZ176" s="74" t="s">
        <v>2299</v>
      </c>
      <c r="BA176" s="77">
        <f t="shared" ca="1" si="740"/>
        <v>0</v>
      </c>
      <c r="BB176" s="110"/>
      <c r="BC176" s="74" t="s">
        <v>2322</v>
      </c>
      <c r="BD176" s="77">
        <f t="shared" ca="1" si="740"/>
        <v>0</v>
      </c>
      <c r="BE176" s="110"/>
      <c r="BF176" s="74" t="s">
        <v>2350</v>
      </c>
      <c r="BG176" s="77">
        <f t="shared" ref="BG176:DR179" ca="1" si="794">IFERROR(IF(COUNTIF($K$164:$K$179,LEFT(BF176,FIND("·",BF176)-1))&gt;0,IF(INDEX($L$164:$L$179,MATCH(LEFT(BF176,FIND("·",BF176)-1),$K$164:$K$179,0))=IFERROR(VALUE(MID(BF176,FIND("·",BF176)+1,1)),0),($D$16+(INDEX($M$164:$M$179,MATCH(LEFT(BF176,FIND("·",BF176)-1),$K$164:$K$179,0))=MID(BF176,FIND("|",BF176)+1,10))*$D$18+MAX(0,IF($D$50=1,$D$17*(1-(ABS(INDEX($P$164:$P$179,MATCH(LEFT(BF176,FIND("·",BF176)-1),$K$164:$K$179,0))-(VALUE(MID(BF176,FIND("|",BF176)+1,FIND("-",BF176,FIND("|",BF176))-FIND("|",BF176)-1))-VALUE(MID(BF176,FIND("-",BF176,FIND("|",BF176))+1,10)))))*$D$50),$D$17*(1-(IF(INDEX($L$164:$L$179,MATCH(LEFT(BF176,FIND("·",BF176)-1),$K$164:$K$179,0))=0,ABS(INDEX($N$164:$N$179,MATCH(LEFT(BF176,FIND("·",BF176)-1),$K$164:$K$179,0))-VALUE(MID(BF176,FIND("|",BF176)+1,FIND("-",BF176,FIND("|",BF176))-FIND("|",BF176)-1))),ABS(INDEX($P$164:$P$179,MATCH(LEFT(BF176,FIND("·",BF176)-1),$K$164:$K$179,0))-(VALUE(MID(BF176,FIND("|",BF176)+1,FIND("-",BF176,FIND("|",BF176))-FIND("|",BF176)-1))-VALUE(MID(BF176,FIND("-",BF176,FIND("|",BF176))+1,10)))))*$D$50)))))*INDEX($I$164:$I$179,MATCH(LEFT(BF176,FIND("·",BF176)-1),$K$164:$K$179,0)),0),0),0)+IFERROR(IF(COUNTIF($C$164:$C$179,LEFT(BF176,FIND("·",BF176)-1))&gt;0,IF(INDEX($D$164:$D$179,MATCH(LEFT(BF176,FIND("·",BF176)-1),$C$164:$C$179,0))=IFERROR(VALUE(MID(BF176,FIND("·",BF176)+1,1)),0),($D$16+(INDEX($E$164:$E$179,MATCH(LEFT(BF176,FIND("·",BF176)-1),$C$164:$C$179,0))=MID(BF176,FIND("|",BF176)+1,10))*$D$18+MAX(0,IF($D$50=1,$D$17*(1-(ABS(INDEX($Q$164:$Q$179,MATCH(LEFT(BF176,FIND("·",BF176)-1),$C$164:$C$179,0))-(VALUE(MID(BF176,FIND("|",BF176)+1,FIND("-",BF176,FIND("|",BF176))-FIND("|",BF176)-1))-VALUE(MID(BF176,FIND("-",BF176,FIND("|",BF176))+1,10)))))*$D$50),$D$17*(1-(IF(INDEX($D$164:$D$179,MATCH(LEFT(BF176,FIND("·",BF176)-1),$C$164:$C$179,0))=0,ABS(INDEX($A$164:$A$179,MATCH(LEFT(BF176,FIND("·",BF176)-1),$C$164:$C$179,0))-VALUE(MID(BF176,FIND("|",BF176)+1,FIND("-",BF176,FIND("|",BF176))-FIND("|",BF176)-1))),ABS(INDEX($Q$164:$Q$179,MATCH(LEFT(BF176,FIND("·",BF176)-1),$C$164:$C$179,0))-(VALUE(MID(BF176,FIND("|",BF176)+1,FIND("-",BF176,FIND("|",BF176))-FIND("|",BF176)-1))-VALUE(MID(BF176,FIND("-",BF176,FIND("|",BF176))+1,10)))))*$D$50)))))*INDEX($I$164:$I$179,MATCH(LEFT(BF176,FIND("·",BF176)-1),$C$164:$C$179,0)),0),0),0)</f>
        <v>0</v>
      </c>
      <c r="BH176" s="110"/>
      <c r="BI176" s="74" t="s">
        <v>2299</v>
      </c>
      <c r="BJ176" s="77">
        <f t="shared" ca="1" si="794"/>
        <v>0</v>
      </c>
      <c r="BK176" s="110"/>
      <c r="BL176" s="74" t="s">
        <v>2386</v>
      </c>
      <c r="BM176" s="77">
        <f t="shared" ca="1" si="794"/>
        <v>0</v>
      </c>
      <c r="BN176" s="110"/>
      <c r="BO176" s="74" t="s">
        <v>2386</v>
      </c>
      <c r="BP176" s="77">
        <f t="shared" ca="1" si="794"/>
        <v>0</v>
      </c>
      <c r="BQ176" s="110"/>
      <c r="BR176" s="74" t="s">
        <v>2350</v>
      </c>
      <c r="BS176" s="77">
        <f t="shared" ca="1" si="794"/>
        <v>0</v>
      </c>
      <c r="BT176" s="110"/>
      <c r="BU176" s="74" t="s">
        <v>2431</v>
      </c>
      <c r="BV176" s="77">
        <f t="shared" ca="1" si="794"/>
        <v>0</v>
      </c>
      <c r="BW176" s="110"/>
      <c r="BX176" s="74" t="s">
        <v>2450</v>
      </c>
      <c r="BY176" s="77">
        <f t="shared" ca="1" si="794"/>
        <v>0</v>
      </c>
      <c r="BZ176" s="110"/>
      <c r="CA176" s="74" t="s">
        <v>2081</v>
      </c>
      <c r="CB176" s="77">
        <f t="shared" ca="1" si="794"/>
        <v>0</v>
      </c>
      <c r="CC176" s="110"/>
      <c r="CD176" s="74" t="s">
        <v>2386</v>
      </c>
      <c r="CE176" s="77">
        <f t="shared" ca="1" si="794"/>
        <v>0</v>
      </c>
      <c r="CF176" s="110"/>
      <c r="CG176" s="74" t="s">
        <v>2507</v>
      </c>
      <c r="CH176" s="77">
        <f t="shared" ca="1" si="794"/>
        <v>0</v>
      </c>
      <c r="CI176" s="110"/>
      <c r="CJ176" s="74" t="s">
        <v>2526</v>
      </c>
      <c r="CK176" s="77">
        <f t="shared" ca="1" si="794"/>
        <v>0</v>
      </c>
      <c r="CL176" s="110"/>
      <c r="CM176" s="74" t="s">
        <v>2431</v>
      </c>
      <c r="CN176" s="77">
        <f t="shared" ca="1" si="794"/>
        <v>0</v>
      </c>
      <c r="CO176" s="110"/>
      <c r="CP176" s="74" t="s">
        <v>2557</v>
      </c>
      <c r="CQ176" s="77">
        <f t="shared" ca="1" si="794"/>
        <v>0</v>
      </c>
      <c r="CR176" s="110"/>
      <c r="CS176" s="74" t="s">
        <v>2247</v>
      </c>
      <c r="CT176" s="77">
        <f t="shared" ca="1" si="794"/>
        <v>0</v>
      </c>
      <c r="CU176" s="110"/>
      <c r="CV176" s="74" t="s">
        <v>2572</v>
      </c>
      <c r="CW176" s="77">
        <f t="shared" ca="1" si="794"/>
        <v>0</v>
      </c>
      <c r="CX176" s="110"/>
      <c r="CY176" s="74" t="s">
        <v>2081</v>
      </c>
      <c r="CZ176" s="77">
        <f t="shared" ca="1" si="794"/>
        <v>0</v>
      </c>
      <c r="DA176" s="110"/>
      <c r="DB176" s="74" t="s">
        <v>2350</v>
      </c>
      <c r="DC176" s="77">
        <f t="shared" ca="1" si="794"/>
        <v>0</v>
      </c>
      <c r="DD176" s="110"/>
      <c r="DE176" s="74" t="s">
        <v>2350</v>
      </c>
      <c r="DF176" s="77">
        <f t="shared" ca="1" si="794"/>
        <v>0</v>
      </c>
      <c r="DG176" s="110"/>
      <c r="DH176" s="74" t="s">
        <v>2247</v>
      </c>
      <c r="DI176" s="77">
        <f t="shared" ca="1" si="794"/>
        <v>0</v>
      </c>
      <c r="DJ176" s="110"/>
      <c r="DK176" s="74" t="s">
        <v>2350</v>
      </c>
      <c r="DL176" s="77">
        <f t="shared" ca="1" si="794"/>
        <v>0</v>
      </c>
      <c r="DM176" s="110"/>
      <c r="DN176" s="795" t="s">
        <v>2247</v>
      </c>
      <c r="DO176" s="77">
        <f t="shared" ca="1" si="794"/>
        <v>0</v>
      </c>
      <c r="DP176" s="110"/>
      <c r="DQ176" s="795" t="s">
        <v>2690</v>
      </c>
      <c r="DR176" s="77">
        <f t="shared" ca="1" si="794"/>
        <v>0</v>
      </c>
      <c r="DS176" s="110"/>
      <c r="DT176" s="74" t="s">
        <v>2450</v>
      </c>
      <c r="DU176" s="77">
        <f t="shared" ca="1" si="762"/>
        <v>0</v>
      </c>
      <c r="DV176" s="110"/>
      <c r="DW176" s="74" t="s">
        <v>2350</v>
      </c>
      <c r="DX176" s="77">
        <f t="shared" ca="1" si="762"/>
        <v>0</v>
      </c>
      <c r="DY176" s="110"/>
      <c r="DZ176" s="74" t="s">
        <v>2758</v>
      </c>
      <c r="EA176" s="77">
        <f t="shared" ca="1" si="762"/>
        <v>0</v>
      </c>
      <c r="EB176" s="110"/>
      <c r="EC176" s="74" t="s">
        <v>2015</v>
      </c>
      <c r="ED176" s="77">
        <f t="shared" ca="1" si="762"/>
        <v>0</v>
      </c>
      <c r="EE176" s="110"/>
      <c r="EF176" s="74" t="s">
        <v>2081</v>
      </c>
      <c r="EG176" s="77">
        <f t="shared" ca="1" si="762"/>
        <v>0</v>
      </c>
      <c r="EH176" s="110"/>
      <c r="EI176" s="74" t="s">
        <v>2350</v>
      </c>
      <c r="EJ176" s="77">
        <f t="shared" ca="1" si="762"/>
        <v>0</v>
      </c>
      <c r="EK176" s="110"/>
      <c r="EL176" s="74"/>
      <c r="EM176" s="77">
        <f t="shared" ca="1" si="762"/>
        <v>0</v>
      </c>
      <c r="EN176" s="110"/>
      <c r="EO176" s="74"/>
      <c r="EP176" s="77">
        <f t="shared" ca="1" si="762"/>
        <v>0</v>
      </c>
      <c r="EQ176" s="110"/>
      <c r="ER176" s="74"/>
      <c r="ES176" s="77">
        <f t="shared" ca="1" si="762"/>
        <v>0</v>
      </c>
      <c r="ET176" s="110"/>
      <c r="EU176" s="74"/>
      <c r="EV176" s="77">
        <f t="shared" ca="1" si="762"/>
        <v>0</v>
      </c>
      <c r="EW176" s="110"/>
      <c r="EX176" s="74"/>
      <c r="EY176" s="77">
        <f t="shared" ca="1" si="784"/>
        <v>0</v>
      </c>
      <c r="EZ176" s="110"/>
      <c r="FA176" s="74"/>
      <c r="FB176" s="77">
        <f t="shared" ca="1" si="784"/>
        <v>0</v>
      </c>
      <c r="FC176" s="110"/>
      <c r="FD176" s="74"/>
      <c r="FE176" s="77">
        <f t="shared" ca="1" si="784"/>
        <v>0</v>
      </c>
      <c r="FF176" s="110"/>
      <c r="FG176" s="74"/>
      <c r="FH176" s="77">
        <f t="shared" ca="1" si="784"/>
        <v>0</v>
      </c>
      <c r="FI176" s="110"/>
      <c r="FJ176" s="74"/>
      <c r="FK176" s="77">
        <f t="shared" ca="1" si="784"/>
        <v>0</v>
      </c>
      <c r="FL176" s="110"/>
      <c r="FM176" s="110"/>
    </row>
    <row r="177" spans="1:169">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07">
        <f t="shared" si="789"/>
        <v>4</v>
      </c>
      <c r="G177" s="407">
        <f ca="1">VLOOKUP(H177,Equipos!$Q$1:$R$25,2,0)</f>
        <v>20</v>
      </c>
      <c r="H177" s="446" t="str">
        <f>Idiomas!$D$260</f>
        <v>Dieciseisavos de final</v>
      </c>
      <c r="I177" s="43">
        <v>1</v>
      </c>
      <c r="J177" s="849"/>
      <c r="K177" s="56" t="str">
        <f ca="1">CONCATENATE(WORLDCUP!AA114,"-",WORLDCUP!AF114)</f>
        <v>2D-2G</v>
      </c>
      <c r="L177" s="53" t="str">
        <f>IF(OR(WORLDCUP!AC114="",WORLDCUP!AD114=""),"PD",IF(WORLDCUP!AC114&gt;WORLDCUP!AD114,1,IF(WORLDCUP!AC114&lt;WORLDCUP!AD114,2,0)))</f>
        <v>PD</v>
      </c>
      <c r="M177" s="55" t="str">
        <f t="shared" si="790"/>
        <v>-</v>
      </c>
      <c r="N177" s="25">
        <f>WORLDCUP!AC114</f>
        <v>0</v>
      </c>
      <c r="O177" s="25">
        <f>WORLDCUP!AD114</f>
        <v>0</v>
      </c>
      <c r="P177" s="25">
        <f t="shared" si="791"/>
        <v>0</v>
      </c>
      <c r="Q177" s="25">
        <f t="shared" si="792"/>
        <v>0</v>
      </c>
      <c r="R177" s="110"/>
      <c r="S177" s="74" t="s">
        <v>1977</v>
      </c>
      <c r="T177" s="77">
        <f t="shared" ca="1" si="793"/>
        <v>0</v>
      </c>
      <c r="U177" s="110"/>
      <c r="V177" s="74" t="s">
        <v>2016</v>
      </c>
      <c r="W177" s="77">
        <f t="shared" ref="W177:CH179" ca="1" si="795">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0"/>
      <c r="Y177" s="74" t="s">
        <v>2053</v>
      </c>
      <c r="Z177" s="77">
        <f t="shared" ca="1" si="795"/>
        <v>0</v>
      </c>
      <c r="AA177" s="110"/>
      <c r="AB177" s="74" t="s">
        <v>2016</v>
      </c>
      <c r="AC177" s="77">
        <f t="shared" ca="1" si="795"/>
        <v>0</v>
      </c>
      <c r="AD177" s="110"/>
      <c r="AE177" s="74" t="s">
        <v>2107</v>
      </c>
      <c r="AF177" s="77">
        <f t="shared" ca="1" si="795"/>
        <v>0</v>
      </c>
      <c r="AG177" s="110"/>
      <c r="AH177" s="74" t="s">
        <v>2138</v>
      </c>
      <c r="AI177" s="77">
        <f t="shared" ca="1" si="795"/>
        <v>0</v>
      </c>
      <c r="AJ177" s="110"/>
      <c r="AK177" s="74" t="s">
        <v>2164</v>
      </c>
      <c r="AL177" s="77">
        <f t="shared" ca="1" si="795"/>
        <v>0</v>
      </c>
      <c r="AM177" s="110"/>
      <c r="AN177" s="74" t="s">
        <v>2016</v>
      </c>
      <c r="AO177" s="77">
        <f t="shared" ca="1" si="795"/>
        <v>0</v>
      </c>
      <c r="AP177" s="110"/>
      <c r="AQ177" s="74" t="s">
        <v>2227</v>
      </c>
      <c r="AR177" s="77">
        <f t="shared" ca="1" si="795"/>
        <v>0</v>
      </c>
      <c r="AS177" s="110"/>
      <c r="AT177" s="74" t="s">
        <v>2248</v>
      </c>
      <c r="AU177" s="77">
        <f t="shared" ca="1" si="795"/>
        <v>0</v>
      </c>
      <c r="AV177" s="110"/>
      <c r="AW177" s="74" t="s">
        <v>2275</v>
      </c>
      <c r="AX177" s="77">
        <f t="shared" ca="1" si="795"/>
        <v>0</v>
      </c>
      <c r="AY177" s="110"/>
      <c r="AZ177" s="74" t="s">
        <v>2300</v>
      </c>
      <c r="BA177" s="77">
        <f t="shared" ca="1" si="795"/>
        <v>0</v>
      </c>
      <c r="BB177" s="110"/>
      <c r="BC177" s="74" t="s">
        <v>2323</v>
      </c>
      <c r="BD177" s="77">
        <f t="shared" ca="1" si="795"/>
        <v>0</v>
      </c>
      <c r="BE177" s="110"/>
      <c r="BF177" s="74" t="s">
        <v>1977</v>
      </c>
      <c r="BG177" s="77">
        <f t="shared" ca="1" si="795"/>
        <v>0</v>
      </c>
      <c r="BH177" s="110"/>
      <c r="BI177" s="74" t="s">
        <v>2366</v>
      </c>
      <c r="BJ177" s="77">
        <f t="shared" ca="1" si="795"/>
        <v>0</v>
      </c>
      <c r="BK177" s="110"/>
      <c r="BL177" s="74" t="s">
        <v>2387</v>
      </c>
      <c r="BM177" s="77">
        <f t="shared" ca="1" si="795"/>
        <v>0</v>
      </c>
      <c r="BN177" s="110"/>
      <c r="BO177" s="74" t="s">
        <v>2401</v>
      </c>
      <c r="BP177" s="77">
        <f t="shared" ca="1" si="795"/>
        <v>0</v>
      </c>
      <c r="BQ177" s="110"/>
      <c r="BR177" s="74" t="s">
        <v>2412</v>
      </c>
      <c r="BS177" s="77">
        <f t="shared" ca="1" si="795"/>
        <v>0</v>
      </c>
      <c r="BT177" s="110"/>
      <c r="BU177" s="74" t="s">
        <v>2248</v>
      </c>
      <c r="BV177" s="77">
        <f t="shared" ca="1" si="795"/>
        <v>0</v>
      </c>
      <c r="BW177" s="110"/>
      <c r="BX177" s="74" t="s">
        <v>2354</v>
      </c>
      <c r="BY177" s="77">
        <f t="shared" ca="1" si="795"/>
        <v>0</v>
      </c>
      <c r="BZ177" s="110"/>
      <c r="CA177" s="74" t="s">
        <v>2016</v>
      </c>
      <c r="CB177" s="77">
        <f t="shared" ca="1" si="795"/>
        <v>0</v>
      </c>
      <c r="CC177" s="110"/>
      <c r="CD177" s="74" t="s">
        <v>2492</v>
      </c>
      <c r="CE177" s="77">
        <f t="shared" ca="1" si="795"/>
        <v>0</v>
      </c>
      <c r="CF177" s="110"/>
      <c r="CG177" s="74" t="s">
        <v>2508</v>
      </c>
      <c r="CH177" s="77">
        <f t="shared" ca="1" si="795"/>
        <v>0</v>
      </c>
      <c r="CI177" s="110"/>
      <c r="CJ177" s="74" t="s">
        <v>2527</v>
      </c>
      <c r="CK177" s="77">
        <f t="shared" ca="1" si="794"/>
        <v>0</v>
      </c>
      <c r="CL177" s="110"/>
      <c r="CM177" s="74" t="s">
        <v>2539</v>
      </c>
      <c r="CN177" s="77">
        <f t="shared" ca="1" si="794"/>
        <v>0</v>
      </c>
      <c r="CO177" s="110"/>
      <c r="CP177" s="74" t="s">
        <v>2539</v>
      </c>
      <c r="CQ177" s="77">
        <f t="shared" ca="1" si="794"/>
        <v>0</v>
      </c>
      <c r="CR177" s="110"/>
      <c r="CS177" s="74" t="s">
        <v>2539</v>
      </c>
      <c r="CT177" s="77">
        <f t="shared" ca="1" si="794"/>
        <v>0</v>
      </c>
      <c r="CU177" s="110"/>
      <c r="CV177" s="74" t="s">
        <v>2323</v>
      </c>
      <c r="CW177" s="77">
        <f t="shared" ca="1" si="794"/>
        <v>0</v>
      </c>
      <c r="CX177" s="110"/>
      <c r="CY177" s="74" t="s">
        <v>2248</v>
      </c>
      <c r="CZ177" s="77">
        <f t="shared" ca="1" si="794"/>
        <v>0</v>
      </c>
      <c r="DA177" s="110"/>
      <c r="DB177" s="74" t="s">
        <v>2539</v>
      </c>
      <c r="DC177" s="77">
        <f t="shared" ca="1" si="794"/>
        <v>0</v>
      </c>
      <c r="DD177" s="110"/>
      <c r="DE177" s="74" t="s">
        <v>2539</v>
      </c>
      <c r="DF177" s="77">
        <f t="shared" ca="1" si="794"/>
        <v>0</v>
      </c>
      <c r="DG177" s="110"/>
      <c r="DH177" s="74" t="s">
        <v>2248</v>
      </c>
      <c r="DI177" s="77">
        <f t="shared" ca="1" si="794"/>
        <v>0</v>
      </c>
      <c r="DJ177" s="110"/>
      <c r="DK177" s="74" t="s">
        <v>2660</v>
      </c>
      <c r="DL177" s="77">
        <f t="shared" ca="1" si="794"/>
        <v>0</v>
      </c>
      <c r="DM177" s="110"/>
      <c r="DN177" s="795" t="s">
        <v>2672</v>
      </c>
      <c r="DO177" s="77">
        <f t="shared" ca="1" si="794"/>
        <v>0</v>
      </c>
      <c r="DP177" s="110"/>
      <c r="DQ177" s="795" t="s">
        <v>2691</v>
      </c>
      <c r="DR177" s="77">
        <f t="shared" ca="1" si="794"/>
        <v>0</v>
      </c>
      <c r="DS177" s="110"/>
      <c r="DT177" s="74" t="s">
        <v>1977</v>
      </c>
      <c r="DU177" s="77">
        <f t="shared" ca="1" si="762"/>
        <v>0</v>
      </c>
      <c r="DV177" s="110"/>
      <c r="DW177" s="74" t="s">
        <v>2248</v>
      </c>
      <c r="DX177" s="77">
        <f t="shared" ca="1" si="762"/>
        <v>0</v>
      </c>
      <c r="DY177" s="110"/>
      <c r="DZ177" s="74" t="s">
        <v>2387</v>
      </c>
      <c r="EA177" s="77">
        <f t="shared" ref="EA177:FK177" ca="1" si="796">IFERROR(IF(COUNTIF($K$164:$K$179,LEFT(DZ177,FIND("·",DZ177)-1))&gt;0,IF(INDEX($L$164:$L$179,MATCH(LEFT(DZ177,FIND("·",DZ177)-1),$K$164:$K$179,0))=IFERROR(VALUE(MID(DZ177,FIND("·",DZ177)+1,1)),0),($D$16+(INDEX($M$164:$M$179,MATCH(LEFT(DZ177,FIND("·",DZ177)-1),$K$164:$K$179,0))=MID(DZ177,FIND("|",DZ177)+1,10))*$D$18+MAX(0,IF($D$50=1,$D$17*(1-(ABS(INDEX($P$164:$P$179,MATCH(LEFT(DZ177,FIND("·",DZ177)-1),$K$164:$K$179,0))-(VALUE(MID(DZ177,FIND("|",DZ177)+1,FIND("-",DZ177,FIND("|",DZ177))-FIND("|",DZ177)-1))-VALUE(MID(DZ177,FIND("-",DZ177,FIND("|",DZ177))+1,10)))))*$D$50),$D$17*(1-(IF(INDEX($L$164:$L$179,MATCH(LEFT(DZ177,FIND("·",DZ177)-1),$K$164:$K$179,0))=0,ABS(INDEX($N$164:$N$179,MATCH(LEFT(DZ177,FIND("·",DZ177)-1),$K$164:$K$179,0))-VALUE(MID(DZ177,FIND("|",DZ177)+1,FIND("-",DZ177,FIND("|",DZ177))-FIND("|",DZ177)-1))),ABS(INDEX($P$164:$P$179,MATCH(LEFT(DZ177,FIND("·",DZ177)-1),$K$164:$K$179,0))-(VALUE(MID(DZ177,FIND("|",DZ177)+1,FIND("-",DZ177,FIND("|",DZ177))-FIND("|",DZ177)-1))-VALUE(MID(DZ177,FIND("-",DZ177,FIND("|",DZ177))+1,10)))))*$D$50)))))*INDEX($I$164:$I$179,MATCH(LEFT(DZ177,FIND("·",DZ177)-1),$K$164:$K$179,0)),0),0),0)+IFERROR(IF(COUNTIF($C$164:$C$179,LEFT(DZ177,FIND("·",DZ177)-1))&gt;0,IF(INDEX($D$164:$D$179,MATCH(LEFT(DZ177,FIND("·",DZ177)-1),$C$164:$C$179,0))=IFERROR(VALUE(MID(DZ177,FIND("·",DZ177)+1,1)),0),($D$16+(INDEX($E$164:$E$179,MATCH(LEFT(DZ177,FIND("·",DZ177)-1),$C$164:$C$179,0))=MID(DZ177,FIND("|",DZ177)+1,10))*$D$18+MAX(0,IF($D$50=1,$D$17*(1-(ABS(INDEX($Q$164:$Q$179,MATCH(LEFT(DZ177,FIND("·",DZ177)-1),$C$164:$C$179,0))-(VALUE(MID(DZ177,FIND("|",DZ177)+1,FIND("-",DZ177,FIND("|",DZ177))-FIND("|",DZ177)-1))-VALUE(MID(DZ177,FIND("-",DZ177,FIND("|",DZ177))+1,10)))))*$D$50),$D$17*(1-(IF(INDEX($D$164:$D$179,MATCH(LEFT(DZ177,FIND("·",DZ177)-1),$C$164:$C$179,0))=0,ABS(INDEX($A$164:$A$179,MATCH(LEFT(DZ177,FIND("·",DZ177)-1),$C$164:$C$179,0))-VALUE(MID(DZ177,FIND("|",DZ177)+1,FIND("-",DZ177,FIND("|",DZ177))-FIND("|",DZ177)-1))),ABS(INDEX($Q$164:$Q$179,MATCH(LEFT(DZ177,FIND("·",DZ177)-1),$C$164:$C$179,0))-(VALUE(MID(DZ177,FIND("|",DZ177)+1,FIND("-",DZ177,FIND("|",DZ177))-FIND("|",DZ177)-1))-VALUE(MID(DZ177,FIND("-",DZ177,FIND("|",DZ177))+1,10)))))*$D$50)))))*INDEX($I$164:$I$179,MATCH(LEFT(DZ177,FIND("·",DZ177)-1),$C$164:$C$179,0)),0),0),0)</f>
        <v>0</v>
      </c>
      <c r="EB177" s="110"/>
      <c r="EC177" s="74" t="s">
        <v>2227</v>
      </c>
      <c r="ED177" s="77">
        <f t="shared" ca="1" si="796"/>
        <v>0</v>
      </c>
      <c r="EE177" s="110"/>
      <c r="EF177" s="74" t="s">
        <v>1977</v>
      </c>
      <c r="EG177" s="77">
        <f t="shared" ca="1" si="796"/>
        <v>0</v>
      </c>
      <c r="EH177" s="110"/>
      <c r="EI177" s="74" t="s">
        <v>2660</v>
      </c>
      <c r="EJ177" s="77">
        <f t="shared" ca="1" si="796"/>
        <v>0</v>
      </c>
      <c r="EK177" s="110"/>
      <c r="EL177" s="74"/>
      <c r="EM177" s="77">
        <f t="shared" ca="1" si="796"/>
        <v>0</v>
      </c>
      <c r="EN177" s="110"/>
      <c r="EO177" s="74"/>
      <c r="EP177" s="77">
        <f t="shared" ca="1" si="796"/>
        <v>0</v>
      </c>
      <c r="EQ177" s="110"/>
      <c r="ER177" s="74"/>
      <c r="ES177" s="77">
        <f t="shared" ca="1" si="796"/>
        <v>0</v>
      </c>
      <c r="ET177" s="110"/>
      <c r="EU177" s="74"/>
      <c r="EV177" s="77">
        <f t="shared" ca="1" si="796"/>
        <v>0</v>
      </c>
      <c r="EW177" s="110"/>
      <c r="EX177" s="74"/>
      <c r="EY177" s="77">
        <f t="shared" ca="1" si="796"/>
        <v>0</v>
      </c>
      <c r="EZ177" s="110"/>
      <c r="FA177" s="74"/>
      <c r="FB177" s="77">
        <f t="shared" ca="1" si="796"/>
        <v>0</v>
      </c>
      <c r="FC177" s="110"/>
      <c r="FD177" s="74"/>
      <c r="FE177" s="77">
        <f t="shared" ca="1" si="796"/>
        <v>0</v>
      </c>
      <c r="FF177" s="110"/>
      <c r="FG177" s="74"/>
      <c r="FH177" s="77">
        <f t="shared" ca="1" si="796"/>
        <v>0</v>
      </c>
      <c r="FI177" s="110"/>
      <c r="FJ177" s="74"/>
      <c r="FK177" s="77">
        <f t="shared" ca="1" si="796"/>
        <v>0</v>
      </c>
      <c r="FL177" s="110"/>
      <c r="FM177" s="110"/>
    </row>
    <row r="178" spans="1:169">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07">
        <f t="shared" si="789"/>
        <v>4</v>
      </c>
      <c r="G178" s="407">
        <f ca="1">VLOOKUP(H178,Equipos!$Q$1:$R$25,2,0)</f>
        <v>20</v>
      </c>
      <c r="H178" s="446" t="str">
        <f>Idiomas!$D$260</f>
        <v>Dieciseisavos de final</v>
      </c>
      <c r="I178" s="43">
        <v>1</v>
      </c>
      <c r="J178" s="849"/>
      <c r="K178" s="56" t="str">
        <f ca="1">CONCATENATE(WORLDCUP!AA115,"-",WORLDCUP!AF115)</f>
        <v>1J-2H</v>
      </c>
      <c r="L178" s="53" t="str">
        <f>IF(OR(WORLDCUP!AC115="",WORLDCUP!AD115=""),"PD",IF(WORLDCUP!AC115&gt;WORLDCUP!AD115,1,IF(WORLDCUP!AC115&lt;WORLDCUP!AD115,2,0)))</f>
        <v>PD</v>
      </c>
      <c r="M178" s="55" t="str">
        <f t="shared" si="790"/>
        <v>-</v>
      </c>
      <c r="N178" s="25">
        <f>WORLDCUP!AC115</f>
        <v>0</v>
      </c>
      <c r="O178" s="25">
        <f>WORLDCUP!AD115</f>
        <v>0</v>
      </c>
      <c r="P178" s="25">
        <f t="shared" si="791"/>
        <v>0</v>
      </c>
      <c r="Q178" s="25">
        <f t="shared" si="792"/>
        <v>0</v>
      </c>
      <c r="R178" s="110"/>
      <c r="S178" s="74" t="s">
        <v>1978</v>
      </c>
      <c r="T178" s="77">
        <f t="shared" ca="1" si="793"/>
        <v>0</v>
      </c>
      <c r="U178" s="110"/>
      <c r="V178" s="74" t="s">
        <v>2017</v>
      </c>
      <c r="W178" s="77">
        <f t="shared" ca="1" si="795"/>
        <v>0</v>
      </c>
      <c r="X178" s="110"/>
      <c r="Y178" s="74" t="s">
        <v>2017</v>
      </c>
      <c r="Z178" s="77">
        <f t="shared" ca="1" si="795"/>
        <v>0</v>
      </c>
      <c r="AA178" s="110"/>
      <c r="AB178" s="74" t="s">
        <v>2017</v>
      </c>
      <c r="AC178" s="77">
        <f t="shared" ca="1" si="795"/>
        <v>0</v>
      </c>
      <c r="AD178" s="110"/>
      <c r="AE178" s="74" t="s">
        <v>2108</v>
      </c>
      <c r="AF178" s="77">
        <f t="shared" ca="1" si="795"/>
        <v>0</v>
      </c>
      <c r="AG178" s="110"/>
      <c r="AH178" s="74" t="s">
        <v>2139</v>
      </c>
      <c r="AI178" s="77">
        <f t="shared" ca="1" si="795"/>
        <v>0</v>
      </c>
      <c r="AJ178" s="110"/>
      <c r="AK178" s="74" t="s">
        <v>2165</v>
      </c>
      <c r="AL178" s="77">
        <f t="shared" ca="1" si="795"/>
        <v>0</v>
      </c>
      <c r="AM178" s="110"/>
      <c r="AN178" s="74" t="s">
        <v>2197</v>
      </c>
      <c r="AO178" s="77">
        <f t="shared" ca="1" si="795"/>
        <v>0</v>
      </c>
      <c r="AP178" s="110"/>
      <c r="AQ178" s="74" t="s">
        <v>2228</v>
      </c>
      <c r="AR178" s="77">
        <f t="shared" ca="1" si="795"/>
        <v>0</v>
      </c>
      <c r="AS178" s="110"/>
      <c r="AT178" s="74" t="s">
        <v>2249</v>
      </c>
      <c r="AU178" s="77">
        <f t="shared" ca="1" si="795"/>
        <v>0</v>
      </c>
      <c r="AV178" s="110"/>
      <c r="AW178" s="74" t="s">
        <v>2228</v>
      </c>
      <c r="AX178" s="77">
        <f t="shared" ca="1" si="795"/>
        <v>0</v>
      </c>
      <c r="AY178" s="110"/>
      <c r="AZ178" s="74" t="s">
        <v>2017</v>
      </c>
      <c r="BA178" s="77">
        <f t="shared" ca="1" si="795"/>
        <v>0</v>
      </c>
      <c r="BB178" s="110"/>
      <c r="BC178" s="74" t="s">
        <v>2017</v>
      </c>
      <c r="BD178" s="77">
        <f t="shared" ca="1" si="795"/>
        <v>0</v>
      </c>
      <c r="BE178" s="110"/>
      <c r="BF178" s="74" t="s">
        <v>2165</v>
      </c>
      <c r="BG178" s="77">
        <f t="shared" ca="1" si="795"/>
        <v>0</v>
      </c>
      <c r="BH178" s="110"/>
      <c r="BI178" s="74" t="s">
        <v>2228</v>
      </c>
      <c r="BJ178" s="77">
        <f t="shared" ca="1" si="795"/>
        <v>0</v>
      </c>
      <c r="BK178" s="110"/>
      <c r="BL178" s="74" t="s">
        <v>2017</v>
      </c>
      <c r="BM178" s="77">
        <f t="shared" ca="1" si="795"/>
        <v>0</v>
      </c>
      <c r="BN178" s="110"/>
      <c r="BO178" s="74" t="s">
        <v>2017</v>
      </c>
      <c r="BP178" s="77">
        <f t="shared" ca="1" si="795"/>
        <v>0</v>
      </c>
      <c r="BQ178" s="110"/>
      <c r="BR178" s="74" t="s">
        <v>1978</v>
      </c>
      <c r="BS178" s="77">
        <f t="shared" ca="1" si="795"/>
        <v>0</v>
      </c>
      <c r="BT178" s="110"/>
      <c r="BU178" s="74" t="s">
        <v>2197</v>
      </c>
      <c r="BV178" s="77">
        <f t="shared" ca="1" si="795"/>
        <v>0</v>
      </c>
      <c r="BW178" s="110"/>
      <c r="BX178" s="74" t="s">
        <v>2108</v>
      </c>
      <c r="BY178" s="77">
        <f t="shared" ca="1" si="795"/>
        <v>0</v>
      </c>
      <c r="BZ178" s="110"/>
      <c r="CA178" s="74" t="s">
        <v>2017</v>
      </c>
      <c r="CB178" s="77">
        <f t="shared" ca="1" si="795"/>
        <v>0</v>
      </c>
      <c r="CC178" s="110"/>
      <c r="CD178" s="74" t="s">
        <v>2108</v>
      </c>
      <c r="CE178" s="77">
        <f t="shared" ca="1" si="795"/>
        <v>0</v>
      </c>
      <c r="CF178" s="110"/>
      <c r="CG178" s="74" t="s">
        <v>2017</v>
      </c>
      <c r="CH178" s="77">
        <f t="shared" ca="1" si="795"/>
        <v>0</v>
      </c>
      <c r="CI178" s="110"/>
      <c r="CJ178" s="74" t="s">
        <v>2017</v>
      </c>
      <c r="CK178" s="77">
        <f t="shared" ca="1" si="794"/>
        <v>0</v>
      </c>
      <c r="CL178" s="110"/>
      <c r="CM178" s="74" t="s">
        <v>2017</v>
      </c>
      <c r="CN178" s="77">
        <f t="shared" ca="1" si="794"/>
        <v>0</v>
      </c>
      <c r="CO178" s="110"/>
      <c r="CP178" s="74" t="s">
        <v>2017</v>
      </c>
      <c r="CQ178" s="77">
        <f t="shared" ca="1" si="794"/>
        <v>0</v>
      </c>
      <c r="CR178" s="110"/>
      <c r="CS178" s="74" t="s">
        <v>2017</v>
      </c>
      <c r="CT178" s="77">
        <f t="shared" ca="1" si="794"/>
        <v>0</v>
      </c>
      <c r="CU178" s="110"/>
      <c r="CV178" s="74" t="s">
        <v>2197</v>
      </c>
      <c r="CW178" s="77">
        <f t="shared" ca="1" si="794"/>
        <v>0</v>
      </c>
      <c r="CX178" s="110"/>
      <c r="CY178" s="74" t="s">
        <v>2596</v>
      </c>
      <c r="CZ178" s="77">
        <f t="shared" ca="1" si="794"/>
        <v>0</v>
      </c>
      <c r="DA178" s="110"/>
      <c r="DB178" s="74" t="s">
        <v>2017</v>
      </c>
      <c r="DC178" s="77">
        <f t="shared" ca="1" si="794"/>
        <v>0</v>
      </c>
      <c r="DD178" s="110"/>
      <c r="DE178" s="74" t="s">
        <v>2017</v>
      </c>
      <c r="DF178" s="77">
        <f t="shared" ca="1" si="794"/>
        <v>0</v>
      </c>
      <c r="DG178" s="110"/>
      <c r="DH178" s="74" t="s">
        <v>2165</v>
      </c>
      <c r="DI178" s="77">
        <f t="shared" ca="1" si="794"/>
        <v>0</v>
      </c>
      <c r="DJ178" s="110"/>
      <c r="DK178" s="74" t="s">
        <v>2165</v>
      </c>
      <c r="DL178" s="77">
        <f t="shared" ca="1" si="794"/>
        <v>0</v>
      </c>
      <c r="DM178" s="110"/>
      <c r="DN178" s="795" t="s">
        <v>2165</v>
      </c>
      <c r="DO178" s="77">
        <f t="shared" ca="1" si="794"/>
        <v>0</v>
      </c>
      <c r="DP178" s="110"/>
      <c r="DQ178" s="795" t="s">
        <v>2692</v>
      </c>
      <c r="DR178" s="77">
        <f t="shared" ca="1" si="794"/>
        <v>0</v>
      </c>
      <c r="DS178" s="110"/>
      <c r="DT178" s="74" t="s">
        <v>2719</v>
      </c>
      <c r="DU178" s="77">
        <f t="shared" ref="DU178:FK179" ca="1" si="797">IFERROR(IF(COUNTIF($K$164:$K$179,LEFT(DT178,FIND("·",DT178)-1))&gt;0,IF(INDEX($L$164:$L$179,MATCH(LEFT(DT178,FIND("·",DT178)-1),$K$164:$K$179,0))=IFERROR(VALUE(MID(DT178,FIND("·",DT178)+1,1)),0),($D$16+(INDEX($M$164:$M$179,MATCH(LEFT(DT178,FIND("·",DT178)-1),$K$164:$K$179,0))=MID(DT178,FIND("|",DT178)+1,10))*$D$18+MAX(0,IF($D$50=1,$D$17*(1-(ABS(INDEX($P$164:$P$179,MATCH(LEFT(DT178,FIND("·",DT178)-1),$K$164:$K$179,0))-(VALUE(MID(DT178,FIND("|",DT178)+1,FIND("-",DT178,FIND("|",DT178))-FIND("|",DT178)-1))-VALUE(MID(DT178,FIND("-",DT178,FIND("|",DT178))+1,10)))))*$D$50),$D$17*(1-(IF(INDEX($L$164:$L$179,MATCH(LEFT(DT178,FIND("·",DT178)-1),$K$164:$K$179,0))=0,ABS(INDEX($N$164:$N$179,MATCH(LEFT(DT178,FIND("·",DT178)-1),$K$164:$K$179,0))-VALUE(MID(DT178,FIND("|",DT178)+1,FIND("-",DT178,FIND("|",DT178))-FIND("|",DT178)-1))),ABS(INDEX($P$164:$P$179,MATCH(LEFT(DT178,FIND("·",DT178)-1),$K$164:$K$179,0))-(VALUE(MID(DT178,FIND("|",DT178)+1,FIND("-",DT178,FIND("|",DT178))-FIND("|",DT178)-1))-VALUE(MID(DT178,FIND("-",DT178,FIND("|",DT178))+1,10)))))*$D$50)))))*INDEX($I$164:$I$179,MATCH(LEFT(DT178,FIND("·",DT178)-1),$K$164:$K$179,0)),0),0),0)+IFERROR(IF(COUNTIF($C$164:$C$179,LEFT(DT178,FIND("·",DT178)-1))&gt;0,IF(INDEX($D$164:$D$179,MATCH(LEFT(DT178,FIND("·",DT178)-1),$C$164:$C$179,0))=IFERROR(VALUE(MID(DT178,FIND("·",DT178)+1,1)),0),($D$16+(INDEX($E$164:$E$179,MATCH(LEFT(DT178,FIND("·",DT178)-1),$C$164:$C$179,0))=MID(DT178,FIND("|",DT178)+1,10))*$D$18+MAX(0,IF($D$50=1,$D$17*(1-(ABS(INDEX($Q$164:$Q$179,MATCH(LEFT(DT178,FIND("·",DT178)-1),$C$164:$C$179,0))-(VALUE(MID(DT178,FIND("|",DT178)+1,FIND("-",DT178,FIND("|",DT178))-FIND("|",DT178)-1))-VALUE(MID(DT178,FIND("-",DT178,FIND("|",DT178))+1,10)))))*$D$50),$D$17*(1-(IF(INDEX($D$164:$D$179,MATCH(LEFT(DT178,FIND("·",DT178)-1),$C$164:$C$179,0))=0,ABS(INDEX($A$164:$A$179,MATCH(LEFT(DT178,FIND("·",DT178)-1),$C$164:$C$179,0))-VALUE(MID(DT178,FIND("|",DT178)+1,FIND("-",DT178,FIND("|",DT178))-FIND("|",DT178)-1))),ABS(INDEX($Q$164:$Q$179,MATCH(LEFT(DT178,FIND("·",DT178)-1),$C$164:$C$179,0))-(VALUE(MID(DT178,FIND("|",DT178)+1,FIND("-",DT178,FIND("|",DT178))-FIND("|",DT178)-1))-VALUE(MID(DT178,FIND("-",DT178,FIND("|",DT178))+1,10)))))*$D$50)))))*INDEX($I$164:$I$179,MATCH(LEFT(DT178,FIND("·",DT178)-1),$C$164:$C$179,0)),0),0),0)</f>
        <v>0</v>
      </c>
      <c r="DV178" s="110"/>
      <c r="DW178" s="74" t="s">
        <v>2165</v>
      </c>
      <c r="DX178" s="77">
        <f t="shared" ca="1" si="797"/>
        <v>0</v>
      </c>
      <c r="DY178" s="110"/>
      <c r="DZ178" s="74" t="s">
        <v>2017</v>
      </c>
      <c r="EA178" s="77">
        <f t="shared" ca="1" si="797"/>
        <v>0</v>
      </c>
      <c r="EB178" s="110"/>
      <c r="EC178" s="74" t="s">
        <v>2108</v>
      </c>
      <c r="ED178" s="77">
        <f t="shared" ca="1" si="797"/>
        <v>0</v>
      </c>
      <c r="EE178" s="110"/>
      <c r="EF178" s="74" t="s">
        <v>2719</v>
      </c>
      <c r="EG178" s="77">
        <f t="shared" ca="1" si="797"/>
        <v>0</v>
      </c>
      <c r="EH178" s="110"/>
      <c r="EI178" s="74" t="s">
        <v>2017</v>
      </c>
      <c r="EJ178" s="77">
        <f t="shared" ca="1" si="797"/>
        <v>0</v>
      </c>
      <c r="EK178" s="110"/>
      <c r="EL178" s="74"/>
      <c r="EM178" s="77">
        <f t="shared" ca="1" si="797"/>
        <v>0</v>
      </c>
      <c r="EN178" s="110"/>
      <c r="EO178" s="74"/>
      <c r="EP178" s="77">
        <f t="shared" ca="1" si="797"/>
        <v>0</v>
      </c>
      <c r="EQ178" s="110"/>
      <c r="ER178" s="74"/>
      <c r="ES178" s="77">
        <f t="shared" ca="1" si="797"/>
        <v>0</v>
      </c>
      <c r="ET178" s="110"/>
      <c r="EU178" s="74"/>
      <c r="EV178" s="77">
        <f t="shared" ca="1" si="797"/>
        <v>0</v>
      </c>
      <c r="EW178" s="110"/>
      <c r="EX178" s="74"/>
      <c r="EY178" s="77">
        <f t="shared" ca="1" si="797"/>
        <v>0</v>
      </c>
      <c r="EZ178" s="110"/>
      <c r="FA178" s="74"/>
      <c r="FB178" s="77">
        <f t="shared" ca="1" si="797"/>
        <v>0</v>
      </c>
      <c r="FC178" s="110"/>
      <c r="FD178" s="74"/>
      <c r="FE178" s="77">
        <f t="shared" ca="1" si="797"/>
        <v>0</v>
      </c>
      <c r="FF178" s="110"/>
      <c r="FG178" s="74"/>
      <c r="FH178" s="77">
        <f t="shared" ca="1" si="797"/>
        <v>0</v>
      </c>
      <c r="FI178" s="110"/>
      <c r="FJ178" s="74"/>
      <c r="FK178" s="77">
        <f t="shared" ca="1" si="797"/>
        <v>0</v>
      </c>
      <c r="FL178" s="110"/>
      <c r="FM178" s="110"/>
    </row>
    <row r="179" spans="1:169">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07">
        <f t="shared" si="789"/>
        <v>4</v>
      </c>
      <c r="G179" s="407">
        <f ca="1">VLOOKUP(H179,Equipos!$Q$1:$R$25,2,0)</f>
        <v>20</v>
      </c>
      <c r="H179" s="446" t="str">
        <f>Idiomas!$D$260</f>
        <v>Dieciseisavos de final</v>
      </c>
      <c r="I179" s="43">
        <v>1</v>
      </c>
      <c r="J179" s="849"/>
      <c r="K179" s="115" t="str">
        <f ca="1">CONCATENATE(WORLDCUP!AA116,"-",WORLDCUP!AF116)</f>
        <v>1K-3DEIJL</v>
      </c>
      <c r="L179" s="115" t="str">
        <f>IF(OR(WORLDCUP!AC116="",WORLDCUP!AD116=""),"PD",IF(WORLDCUP!AC116&gt;WORLDCUP!AD116,1,IF(WORLDCUP!AC116&lt;WORLDCUP!AD116,2,0)))</f>
        <v>PD</v>
      </c>
      <c r="M179" s="116" t="str">
        <f t="shared" si="790"/>
        <v>-</v>
      </c>
      <c r="N179" s="25">
        <f>WORLDCUP!AC116</f>
        <v>0</v>
      </c>
      <c r="O179" s="25">
        <f>WORLDCUP!AD116</f>
        <v>0</v>
      </c>
      <c r="P179" s="25">
        <f t="shared" si="791"/>
        <v>0</v>
      </c>
      <c r="Q179" s="25">
        <f t="shared" si="792"/>
        <v>0</v>
      </c>
      <c r="R179" s="110"/>
      <c r="S179" s="80" t="s">
        <v>1979</v>
      </c>
      <c r="T179" s="81">
        <f t="shared" ca="1" si="793"/>
        <v>0</v>
      </c>
      <c r="U179" s="110"/>
      <c r="V179" s="80" t="s">
        <v>2018</v>
      </c>
      <c r="W179" s="81">
        <f t="shared" ca="1" si="795"/>
        <v>0</v>
      </c>
      <c r="X179" s="110"/>
      <c r="Y179" s="80" t="s">
        <v>2054</v>
      </c>
      <c r="Z179" s="81">
        <f t="shared" ca="1" si="795"/>
        <v>0</v>
      </c>
      <c r="AA179" s="110"/>
      <c r="AB179" s="80" t="s">
        <v>2082</v>
      </c>
      <c r="AC179" s="81">
        <f t="shared" ca="1" si="795"/>
        <v>0</v>
      </c>
      <c r="AD179" s="110"/>
      <c r="AE179" s="80" t="s">
        <v>2109</v>
      </c>
      <c r="AF179" s="81">
        <f t="shared" ca="1" si="795"/>
        <v>0</v>
      </c>
      <c r="AG179" s="110"/>
      <c r="AH179" s="80" t="s">
        <v>2140</v>
      </c>
      <c r="AI179" s="81">
        <f t="shared" ca="1" si="795"/>
        <v>0</v>
      </c>
      <c r="AJ179" s="110"/>
      <c r="AK179" s="80" t="s">
        <v>2166</v>
      </c>
      <c r="AL179" s="81">
        <f t="shared" ca="1" si="795"/>
        <v>0</v>
      </c>
      <c r="AM179" s="110"/>
      <c r="AN179" s="80" t="s">
        <v>2054</v>
      </c>
      <c r="AO179" s="81">
        <f t="shared" ca="1" si="795"/>
        <v>0</v>
      </c>
      <c r="AP179" s="110"/>
      <c r="AQ179" s="80" t="s">
        <v>2229</v>
      </c>
      <c r="AR179" s="81">
        <f t="shared" ca="1" si="795"/>
        <v>0</v>
      </c>
      <c r="AS179" s="110"/>
      <c r="AT179" s="80" t="s">
        <v>2054</v>
      </c>
      <c r="AU179" s="81">
        <f t="shared" ca="1" si="795"/>
        <v>0</v>
      </c>
      <c r="AV179" s="110"/>
      <c r="AW179" s="80" t="s">
        <v>1975</v>
      </c>
      <c r="AX179" s="81">
        <f t="shared" ca="1" si="795"/>
        <v>0</v>
      </c>
      <c r="AY179" s="110"/>
      <c r="AZ179" s="80" t="s">
        <v>2301</v>
      </c>
      <c r="BA179" s="81">
        <f t="shared" ca="1" si="795"/>
        <v>0</v>
      </c>
      <c r="BB179" s="110"/>
      <c r="BC179" s="80" t="s">
        <v>2324</v>
      </c>
      <c r="BD179" s="81">
        <f t="shared" ca="1" si="795"/>
        <v>0</v>
      </c>
      <c r="BE179" s="110"/>
      <c r="BF179" s="80" t="s">
        <v>2351</v>
      </c>
      <c r="BG179" s="81">
        <f t="shared" ca="1" si="795"/>
        <v>0</v>
      </c>
      <c r="BH179" s="110"/>
      <c r="BI179" s="80" t="s">
        <v>2301</v>
      </c>
      <c r="BJ179" s="81">
        <f t="shared" ca="1" si="795"/>
        <v>0</v>
      </c>
      <c r="BK179" s="110"/>
      <c r="BL179" s="80" t="s">
        <v>2054</v>
      </c>
      <c r="BM179" s="81">
        <f t="shared" ca="1" si="795"/>
        <v>0</v>
      </c>
      <c r="BN179" s="110"/>
      <c r="BO179" s="80" t="s">
        <v>2402</v>
      </c>
      <c r="BP179" s="81">
        <f t="shared" ca="1" si="795"/>
        <v>0</v>
      </c>
      <c r="BQ179" s="110"/>
      <c r="BR179" s="80" t="s">
        <v>2054</v>
      </c>
      <c r="BS179" s="81">
        <f t="shared" ca="1" si="795"/>
        <v>0</v>
      </c>
      <c r="BT179" s="110"/>
      <c r="BU179" s="80" t="s">
        <v>2301</v>
      </c>
      <c r="BV179" s="81">
        <f t="shared" ca="1" si="795"/>
        <v>0</v>
      </c>
      <c r="BW179" s="110"/>
      <c r="BX179" s="80" t="s">
        <v>2163</v>
      </c>
      <c r="BY179" s="81">
        <f t="shared" ca="1" si="795"/>
        <v>0</v>
      </c>
      <c r="BZ179" s="110"/>
      <c r="CA179" s="80" t="s">
        <v>2469</v>
      </c>
      <c r="CB179" s="81">
        <f t="shared" ca="1" si="795"/>
        <v>0</v>
      </c>
      <c r="CC179" s="110"/>
      <c r="CD179" s="80" t="s">
        <v>2351</v>
      </c>
      <c r="CE179" s="81">
        <f t="shared" ca="1" si="795"/>
        <v>0</v>
      </c>
      <c r="CF179" s="110"/>
      <c r="CG179" s="80" t="s">
        <v>2509</v>
      </c>
      <c r="CH179" s="81">
        <f t="shared" ca="1" si="795"/>
        <v>0</v>
      </c>
      <c r="CI179" s="110"/>
      <c r="CJ179" s="80" t="s">
        <v>2528</v>
      </c>
      <c r="CK179" s="81">
        <f t="shared" ca="1" si="794"/>
        <v>0</v>
      </c>
      <c r="CL179" s="110"/>
      <c r="CM179" s="80" t="s">
        <v>2540</v>
      </c>
      <c r="CN179" s="81">
        <f t="shared" ca="1" si="794"/>
        <v>0</v>
      </c>
      <c r="CO179" s="110"/>
      <c r="CP179" s="80" t="s">
        <v>2528</v>
      </c>
      <c r="CQ179" s="81">
        <f t="shared" ca="1" si="794"/>
        <v>0</v>
      </c>
      <c r="CR179" s="110"/>
      <c r="CS179" s="80" t="s">
        <v>2566</v>
      </c>
      <c r="CT179" s="81">
        <f t="shared" ca="1" si="794"/>
        <v>0</v>
      </c>
      <c r="CU179" s="110"/>
      <c r="CV179" s="80" t="s">
        <v>2573</v>
      </c>
      <c r="CW179" s="81">
        <f t="shared" ca="1" si="794"/>
        <v>0</v>
      </c>
      <c r="CX179" s="110"/>
      <c r="CY179" s="80" t="s">
        <v>2597</v>
      </c>
      <c r="CZ179" s="81">
        <f t="shared" ca="1" si="794"/>
        <v>0</v>
      </c>
      <c r="DA179" s="110"/>
      <c r="DB179" s="80" t="s">
        <v>2613</v>
      </c>
      <c r="DC179" s="81">
        <f t="shared" ca="1" si="794"/>
        <v>0</v>
      </c>
      <c r="DD179" s="110"/>
      <c r="DE179" s="80" t="s">
        <v>2054</v>
      </c>
      <c r="DF179" s="81">
        <f t="shared" ca="1" si="794"/>
        <v>0</v>
      </c>
      <c r="DG179" s="110"/>
      <c r="DH179" s="80" t="s">
        <v>2351</v>
      </c>
      <c r="DI179" s="81">
        <f t="shared" ca="1" si="794"/>
        <v>0</v>
      </c>
      <c r="DJ179" s="110"/>
      <c r="DK179" s="80" t="s">
        <v>2661</v>
      </c>
      <c r="DL179" s="81">
        <f t="shared" ca="1" si="794"/>
        <v>0</v>
      </c>
      <c r="DM179" s="110"/>
      <c r="DN179" s="795" t="s">
        <v>2673</v>
      </c>
      <c r="DO179" s="81">
        <f t="shared" ca="1" si="794"/>
        <v>0</v>
      </c>
      <c r="DP179" s="110"/>
      <c r="DQ179" s="795" t="s">
        <v>2693</v>
      </c>
      <c r="DR179" s="81">
        <f t="shared" ca="1" si="794"/>
        <v>0</v>
      </c>
      <c r="DS179" s="110"/>
      <c r="DT179" s="80" t="s">
        <v>2720</v>
      </c>
      <c r="DU179" s="81">
        <f t="shared" ca="1" si="797"/>
        <v>0</v>
      </c>
      <c r="DV179" s="110"/>
      <c r="DW179" s="80" t="s">
        <v>2166</v>
      </c>
      <c r="DX179" s="81">
        <f t="shared" ca="1" si="797"/>
        <v>0</v>
      </c>
      <c r="DY179" s="110"/>
      <c r="DZ179" s="80" t="s">
        <v>2054</v>
      </c>
      <c r="EA179" s="81">
        <f t="shared" ca="1" si="797"/>
        <v>0</v>
      </c>
      <c r="EB179" s="110"/>
      <c r="EC179" s="80" t="s">
        <v>2054</v>
      </c>
      <c r="ED179" s="81">
        <f t="shared" ca="1" si="797"/>
        <v>0</v>
      </c>
      <c r="EE179" s="110"/>
      <c r="EF179" s="80" t="s">
        <v>2782</v>
      </c>
      <c r="EG179" s="81">
        <f t="shared" ca="1" si="797"/>
        <v>0</v>
      </c>
      <c r="EH179" s="110"/>
      <c r="EI179" s="80" t="s">
        <v>2797</v>
      </c>
      <c r="EJ179" s="81">
        <f t="shared" ca="1" si="797"/>
        <v>0</v>
      </c>
      <c r="EK179" s="110"/>
      <c r="EL179" s="80"/>
      <c r="EM179" s="81">
        <f t="shared" ca="1" si="797"/>
        <v>0</v>
      </c>
      <c r="EN179" s="110"/>
      <c r="EO179" s="80"/>
      <c r="EP179" s="81">
        <f t="shared" ca="1" si="797"/>
        <v>0</v>
      </c>
      <c r="EQ179" s="110"/>
      <c r="ER179" s="80"/>
      <c r="ES179" s="81">
        <f t="shared" ca="1" si="797"/>
        <v>0</v>
      </c>
      <c r="ET179" s="110"/>
      <c r="EU179" s="80"/>
      <c r="EV179" s="81">
        <f t="shared" ca="1" si="797"/>
        <v>0</v>
      </c>
      <c r="EW179" s="110"/>
      <c r="EX179" s="80"/>
      <c r="EY179" s="81">
        <f t="shared" ca="1" si="797"/>
        <v>0</v>
      </c>
      <c r="EZ179" s="110"/>
      <c r="FA179" s="80"/>
      <c r="FB179" s="81">
        <f t="shared" ca="1" si="797"/>
        <v>0</v>
      </c>
      <c r="FC179" s="110"/>
      <c r="FD179" s="80"/>
      <c r="FE179" s="81">
        <f t="shared" ca="1" si="797"/>
        <v>0</v>
      </c>
      <c r="FF179" s="110"/>
      <c r="FG179" s="80"/>
      <c r="FH179" s="81">
        <f t="shared" ca="1" si="797"/>
        <v>0</v>
      </c>
      <c r="FI179" s="110"/>
      <c r="FJ179" s="80"/>
      <c r="FK179" s="81">
        <f t="shared" ca="1" si="797"/>
        <v>0</v>
      </c>
      <c r="FL179" s="110"/>
      <c r="FM179" s="110"/>
    </row>
    <row r="180" spans="1:169">
      <c r="A180" s="25"/>
      <c r="B180" s="25"/>
      <c r="C180" s="25"/>
      <c r="D180" s="25"/>
      <c r="E180" s="25"/>
      <c r="F180" s="407"/>
      <c r="G180" s="407"/>
      <c r="H180" s="446"/>
      <c r="I180" s="50"/>
      <c r="J180" s="94"/>
      <c r="K180" s="434" t="str">
        <f>Idiomas!D458</f>
        <v>Partidos 1/16</v>
      </c>
      <c r="L180" s="435"/>
      <c r="M180" s="434" t="str">
        <f>"Max: "&amp;SUM($D$16:$D$18)*SUM($I$164:$I$179)</f>
        <v>Max: 64</v>
      </c>
      <c r="N180" s="25"/>
      <c r="O180" s="25"/>
      <c r="P180" s="25"/>
      <c r="Q180" s="25"/>
      <c r="R180" s="49"/>
      <c r="S180" s="84"/>
      <c r="T180" s="71">
        <f ca="1">SUM(T164:T179)</f>
        <v>0</v>
      </c>
      <c r="U180" s="65"/>
      <c r="V180" s="84"/>
      <c r="W180" s="71">
        <f t="shared" ref="W180" ca="1" si="798">SUM(W164:W179)</f>
        <v>0</v>
      </c>
      <c r="X180" s="65"/>
      <c r="Y180" s="84"/>
      <c r="Z180" s="71">
        <f t="shared" ref="Z180" ca="1" si="799">SUM(Z164:Z179)</f>
        <v>0</v>
      </c>
      <c r="AA180" s="65"/>
      <c r="AB180" s="84"/>
      <c r="AC180" s="71">
        <f t="shared" ref="AC180" ca="1" si="800">SUM(AC164:AC179)</f>
        <v>0</v>
      </c>
      <c r="AD180" s="65"/>
      <c r="AE180" s="84"/>
      <c r="AF180" s="71">
        <f t="shared" ref="AF180" ca="1" si="801">SUM(AF164:AF179)</f>
        <v>0</v>
      </c>
      <c r="AG180" s="65"/>
      <c r="AH180" s="84"/>
      <c r="AI180" s="71">
        <f t="shared" ref="AI180" ca="1" si="802">SUM(AI164:AI179)</f>
        <v>0</v>
      </c>
      <c r="AJ180" s="65"/>
      <c r="AK180" s="84"/>
      <c r="AL180" s="71">
        <f t="shared" ref="AL180" ca="1" si="803">SUM(AL164:AL179)</f>
        <v>0</v>
      </c>
      <c r="AM180" s="65"/>
      <c r="AN180" s="84"/>
      <c r="AO180" s="71">
        <f t="shared" ref="AO180" ca="1" si="804">SUM(AO164:AO179)</f>
        <v>0</v>
      </c>
      <c r="AP180" s="65"/>
      <c r="AQ180" s="84"/>
      <c r="AR180" s="71">
        <f t="shared" ref="AR180" ca="1" si="805">SUM(AR164:AR179)</f>
        <v>0</v>
      </c>
      <c r="AS180" s="65"/>
      <c r="AT180" s="84"/>
      <c r="AU180" s="71">
        <f t="shared" ref="AU180" ca="1" si="806">SUM(AU164:AU179)</f>
        <v>0</v>
      </c>
      <c r="AV180" s="65"/>
      <c r="AW180" s="84"/>
      <c r="AX180" s="71">
        <f t="shared" ref="AX180" ca="1" si="807">SUM(AX164:AX179)</f>
        <v>0</v>
      </c>
      <c r="AY180" s="65"/>
      <c r="AZ180" s="84"/>
      <c r="BA180" s="71">
        <f t="shared" ref="BA180" ca="1" si="808">SUM(BA164:BA179)</f>
        <v>0</v>
      </c>
      <c r="BB180" s="65"/>
      <c r="BC180" s="84"/>
      <c r="BD180" s="71">
        <f t="shared" ref="BD180" ca="1" si="809">SUM(BD164:BD179)</f>
        <v>0</v>
      </c>
      <c r="BE180" s="65"/>
      <c r="BF180" s="84"/>
      <c r="BG180" s="71">
        <f t="shared" ref="BG180" ca="1" si="810">SUM(BG164:BG179)</f>
        <v>0</v>
      </c>
      <c r="BH180" s="65"/>
      <c r="BI180" s="84"/>
      <c r="BJ180" s="71">
        <f t="shared" ref="BJ180" ca="1" si="811">SUM(BJ164:BJ179)</f>
        <v>0</v>
      </c>
      <c r="BK180" s="65"/>
      <c r="BL180" s="84"/>
      <c r="BM180" s="71">
        <f t="shared" ref="BM180" ca="1" si="812">SUM(BM164:BM179)</f>
        <v>0</v>
      </c>
      <c r="BN180" s="65"/>
      <c r="BO180" s="84"/>
      <c r="BP180" s="71">
        <f t="shared" ref="BP180" ca="1" si="813">SUM(BP164:BP179)</f>
        <v>0</v>
      </c>
      <c r="BQ180" s="65"/>
      <c r="BR180" s="84"/>
      <c r="BS180" s="71">
        <f t="shared" ref="BS180" ca="1" si="814">SUM(BS164:BS179)</f>
        <v>0</v>
      </c>
      <c r="BT180" s="65"/>
      <c r="BU180" s="84"/>
      <c r="BV180" s="71">
        <f t="shared" ref="BV180" ca="1" si="815">SUM(BV164:BV179)</f>
        <v>0</v>
      </c>
      <c r="BW180" s="65"/>
      <c r="BX180" s="84"/>
      <c r="BY180" s="71">
        <f t="shared" ref="BY180" ca="1" si="816">SUM(BY164:BY179)</f>
        <v>0</v>
      </c>
      <c r="BZ180" s="65"/>
      <c r="CA180" s="84"/>
      <c r="CB180" s="71">
        <f t="shared" ref="CB180" ca="1" si="817">SUM(CB164:CB179)</f>
        <v>0</v>
      </c>
      <c r="CC180" s="65"/>
      <c r="CD180" s="84"/>
      <c r="CE180" s="71">
        <f t="shared" ref="CE180" ca="1" si="818">SUM(CE164:CE179)</f>
        <v>0</v>
      </c>
      <c r="CF180" s="65"/>
      <c r="CG180" s="84"/>
      <c r="CH180" s="71">
        <f t="shared" ref="CH180" ca="1" si="819">SUM(CH164:CH179)</f>
        <v>0</v>
      </c>
      <c r="CI180" s="65"/>
      <c r="CJ180" s="84"/>
      <c r="CK180" s="71">
        <f t="shared" ref="CK180" ca="1" si="820">SUM(CK164:CK179)</f>
        <v>0</v>
      </c>
      <c r="CL180" s="65"/>
      <c r="CM180" s="84"/>
      <c r="CN180" s="71">
        <f t="shared" ref="CN180" ca="1" si="821">SUM(CN164:CN179)</f>
        <v>0</v>
      </c>
      <c r="CO180" s="65"/>
      <c r="CP180" s="84"/>
      <c r="CQ180" s="71">
        <f t="shared" ref="CQ180" ca="1" si="822">SUM(CQ164:CQ179)</f>
        <v>0</v>
      </c>
      <c r="CR180" s="65"/>
      <c r="CS180" s="84"/>
      <c r="CT180" s="71">
        <f t="shared" ref="CT180" ca="1" si="823">SUM(CT164:CT179)</f>
        <v>0</v>
      </c>
      <c r="CU180" s="65"/>
      <c r="CV180" s="84"/>
      <c r="CW180" s="71">
        <f t="shared" ref="CW180" ca="1" si="824">SUM(CW164:CW179)</f>
        <v>0</v>
      </c>
      <c r="CX180" s="65"/>
      <c r="CY180" s="84"/>
      <c r="CZ180" s="71">
        <f t="shared" ref="CZ180" ca="1" si="825">SUM(CZ164:CZ179)</f>
        <v>0</v>
      </c>
      <c r="DA180" s="65"/>
      <c r="DB180" s="84"/>
      <c r="DC180" s="71">
        <f t="shared" ref="DC180" ca="1" si="826">SUM(DC164:DC179)</f>
        <v>0</v>
      </c>
      <c r="DD180" s="65"/>
      <c r="DE180" s="84"/>
      <c r="DF180" s="71">
        <f t="shared" ref="DF180" ca="1" si="827">SUM(DF164:DF179)</f>
        <v>0</v>
      </c>
      <c r="DG180" s="65"/>
      <c r="DH180" s="84"/>
      <c r="DI180" s="71">
        <f t="shared" ref="DI180" ca="1" si="828">SUM(DI164:DI179)</f>
        <v>0</v>
      </c>
      <c r="DJ180" s="65"/>
      <c r="DK180" s="84"/>
      <c r="DL180" s="71">
        <f t="shared" ref="DL180" ca="1" si="829">SUM(DL164:DL179)</f>
        <v>0</v>
      </c>
      <c r="DM180" s="65"/>
      <c r="DN180" s="796"/>
      <c r="DO180" s="71">
        <f t="shared" ref="DO180" ca="1" si="830">SUM(DO164:DO179)</f>
        <v>0</v>
      </c>
      <c r="DP180" s="65"/>
      <c r="DQ180" s="796"/>
      <c r="DR180" s="71">
        <f t="shared" ref="DR180" ca="1" si="831">SUM(DR164:DR179)</f>
        <v>0</v>
      </c>
      <c r="DS180" s="65"/>
      <c r="DT180" s="84"/>
      <c r="DU180" s="71">
        <f t="shared" ref="DU180" ca="1" si="832">SUM(DU164:DU179)</f>
        <v>0</v>
      </c>
      <c r="DV180" s="65"/>
      <c r="DW180" s="84"/>
      <c r="DX180" s="71">
        <f t="shared" ref="DX180" ca="1" si="833">SUM(DX164:DX179)</f>
        <v>0</v>
      </c>
      <c r="DY180" s="65"/>
      <c r="DZ180" s="84"/>
      <c r="EA180" s="71">
        <f t="shared" ref="EA180" ca="1" si="834">SUM(EA164:EA179)</f>
        <v>0</v>
      </c>
      <c r="EB180" s="65"/>
      <c r="EC180" s="84"/>
      <c r="ED180" s="71">
        <f t="shared" ref="ED180" ca="1" si="835">SUM(ED164:ED179)</f>
        <v>0</v>
      </c>
      <c r="EE180" s="65"/>
      <c r="EF180" s="84"/>
      <c r="EG180" s="71">
        <f t="shared" ref="EG180" ca="1" si="836">SUM(EG164:EG179)</f>
        <v>0</v>
      </c>
      <c r="EH180" s="65"/>
      <c r="EI180" s="84"/>
      <c r="EJ180" s="71">
        <f t="shared" ref="EJ180" ca="1" si="837">SUM(EJ164:EJ179)</f>
        <v>0</v>
      </c>
      <c r="EK180" s="65"/>
      <c r="EL180" s="84"/>
      <c r="EM180" s="71">
        <f t="shared" ref="EM180" ca="1" si="838">SUM(EM164:EM179)</f>
        <v>0</v>
      </c>
      <c r="EN180" s="65"/>
      <c r="EO180" s="84"/>
      <c r="EP180" s="71">
        <f t="shared" ref="EP180" ca="1" si="839">SUM(EP164:EP179)</f>
        <v>0</v>
      </c>
      <c r="EQ180" s="65"/>
      <c r="ER180" s="84"/>
      <c r="ES180" s="71">
        <f t="shared" ref="ES180" ca="1" si="840">SUM(ES164:ES179)</f>
        <v>0</v>
      </c>
      <c r="ET180" s="65"/>
      <c r="EU180" s="84"/>
      <c r="EV180" s="71">
        <f t="shared" ref="EV180" ca="1" si="841">SUM(EV164:EV179)</f>
        <v>0</v>
      </c>
      <c r="EW180" s="65"/>
      <c r="EX180" s="84"/>
      <c r="EY180" s="71">
        <f t="shared" ref="EY180" ca="1" si="842">SUM(EY164:EY179)</f>
        <v>0</v>
      </c>
      <c r="EZ180" s="65"/>
      <c r="FA180" s="84"/>
      <c r="FB180" s="71">
        <f t="shared" ref="FB180" ca="1" si="843">SUM(FB164:FB179)</f>
        <v>0</v>
      </c>
      <c r="FC180" s="65"/>
      <c r="FD180" s="84"/>
      <c r="FE180" s="71">
        <f t="shared" ref="FE180" ca="1" si="844">SUM(FE164:FE179)</f>
        <v>0</v>
      </c>
      <c r="FF180" s="65"/>
      <c r="FG180" s="84"/>
      <c r="FH180" s="71">
        <f t="shared" ref="FH180" ca="1" si="845">SUM(FH164:FH179)</f>
        <v>0</v>
      </c>
      <c r="FI180" s="65"/>
      <c r="FJ180" s="84"/>
      <c r="FK180" s="71">
        <f t="shared" ref="FK180" ca="1" si="846">SUM(FK164:FK179)</f>
        <v>0</v>
      </c>
      <c r="FL180" s="65"/>
      <c r="FM180" s="65"/>
    </row>
    <row r="181" spans="1:169">
      <c r="A181" s="25"/>
      <c r="B181" s="25"/>
      <c r="C181" s="25"/>
      <c r="D181" s="25"/>
      <c r="E181" s="25"/>
      <c r="F181" s="407"/>
      <c r="G181" s="407"/>
      <c r="H181" s="446"/>
      <c r="I181" s="50"/>
      <c r="J181" s="94"/>
      <c r="K181" s="113" t="str">
        <f>Idiomas!D139</f>
        <v>CLASIFICADOS PARA OCTAVOS</v>
      </c>
      <c r="L181" s="50"/>
      <c r="M181" s="71"/>
      <c r="N181" s="25"/>
      <c r="O181" s="25"/>
      <c r="P181" s="25"/>
      <c r="Q181" s="25"/>
      <c r="R181" s="49"/>
      <c r="S181" s="84"/>
      <c r="T181" s="71"/>
      <c r="U181" s="65"/>
      <c r="V181" s="84"/>
      <c r="W181" s="71"/>
      <c r="X181" s="65"/>
      <c r="Y181" s="84"/>
      <c r="Z181" s="71"/>
      <c r="AA181" s="65"/>
      <c r="AB181" s="84"/>
      <c r="AC181" s="71"/>
      <c r="AD181" s="65"/>
      <c r="AE181" s="84"/>
      <c r="AF181" s="71"/>
      <c r="AG181" s="65"/>
      <c r="AH181" s="84"/>
      <c r="AI181" s="71"/>
      <c r="AJ181" s="65"/>
      <c r="AK181" s="84"/>
      <c r="AL181" s="71"/>
      <c r="AM181" s="65"/>
      <c r="AN181" s="84"/>
      <c r="AO181" s="71"/>
      <c r="AP181" s="65"/>
      <c r="AQ181" s="84"/>
      <c r="AR181" s="71"/>
      <c r="AS181" s="65"/>
      <c r="AT181" s="84"/>
      <c r="AU181" s="71"/>
      <c r="AV181" s="65"/>
      <c r="AW181" s="84"/>
      <c r="AX181" s="71"/>
      <c r="AY181" s="65"/>
      <c r="AZ181" s="84"/>
      <c r="BA181" s="71"/>
      <c r="BB181" s="65"/>
      <c r="BC181" s="84"/>
      <c r="BD181" s="71"/>
      <c r="BE181" s="65"/>
      <c r="BF181" s="84"/>
      <c r="BG181" s="71"/>
      <c r="BH181" s="65"/>
      <c r="BI181" s="84"/>
      <c r="BJ181" s="71"/>
      <c r="BK181" s="65"/>
      <c r="BL181" s="84"/>
      <c r="BM181" s="71"/>
      <c r="BN181" s="65"/>
      <c r="BO181" s="84"/>
      <c r="BP181" s="71"/>
      <c r="BQ181" s="65"/>
      <c r="BR181" s="84"/>
      <c r="BS181" s="71"/>
      <c r="BT181" s="65"/>
      <c r="BU181" s="84"/>
      <c r="BV181" s="71"/>
      <c r="BW181" s="65"/>
      <c r="BX181" s="84"/>
      <c r="BY181" s="71"/>
      <c r="BZ181" s="65"/>
      <c r="CA181" s="84"/>
      <c r="CB181" s="71"/>
      <c r="CC181" s="65"/>
      <c r="CD181" s="84"/>
      <c r="CE181" s="71"/>
      <c r="CF181" s="65"/>
      <c r="CG181" s="84"/>
      <c r="CH181" s="71"/>
      <c r="CI181" s="65"/>
      <c r="CJ181" s="84"/>
      <c r="CK181" s="71"/>
      <c r="CL181" s="65"/>
      <c r="CM181" s="84"/>
      <c r="CN181" s="71"/>
      <c r="CO181" s="65"/>
      <c r="CP181" s="84"/>
      <c r="CQ181" s="71"/>
      <c r="CR181" s="65"/>
      <c r="CS181" s="84"/>
      <c r="CT181" s="71"/>
      <c r="CU181" s="65"/>
      <c r="CV181" s="84"/>
      <c r="CW181" s="71"/>
      <c r="CX181" s="65"/>
      <c r="CY181" s="84"/>
      <c r="CZ181" s="71"/>
      <c r="DA181" s="65"/>
      <c r="DB181" s="84"/>
      <c r="DC181" s="71"/>
      <c r="DD181" s="65"/>
      <c r="DE181" s="84"/>
      <c r="DF181" s="71"/>
      <c r="DG181" s="65"/>
      <c r="DH181" s="84"/>
      <c r="DI181" s="71"/>
      <c r="DJ181" s="65"/>
      <c r="DK181" s="84"/>
      <c r="DL181" s="71"/>
      <c r="DM181" s="65"/>
      <c r="DN181" s="796"/>
      <c r="DO181" s="71"/>
      <c r="DP181" s="65"/>
      <c r="DQ181" s="796"/>
      <c r="DR181" s="71"/>
      <c r="DS181" s="65"/>
      <c r="DT181" s="84"/>
      <c r="DU181" s="71"/>
      <c r="DV181" s="65"/>
      <c r="DW181" s="84"/>
      <c r="DX181" s="71"/>
      <c r="DY181" s="65"/>
      <c r="DZ181" s="84"/>
      <c r="EA181" s="71"/>
      <c r="EB181" s="65"/>
      <c r="EC181" s="84"/>
      <c r="ED181" s="71"/>
      <c r="EE181" s="65"/>
      <c r="EF181" s="84"/>
      <c r="EG181" s="71"/>
      <c r="EH181" s="65"/>
      <c r="EI181" s="84"/>
      <c r="EJ181" s="71"/>
      <c r="EK181" s="65"/>
      <c r="EL181" s="84"/>
      <c r="EM181" s="71"/>
      <c r="EN181" s="65"/>
      <c r="EO181" s="84"/>
      <c r="EP181" s="71"/>
      <c r="EQ181" s="65"/>
      <c r="ER181" s="84"/>
      <c r="ES181" s="71"/>
      <c r="ET181" s="65"/>
      <c r="EU181" s="84"/>
      <c r="EV181" s="71"/>
      <c r="EW181" s="65"/>
      <c r="EX181" s="84"/>
      <c r="EY181" s="71"/>
      <c r="EZ181" s="65"/>
      <c r="FA181" s="84"/>
      <c r="FB181" s="71"/>
      <c r="FC181" s="65"/>
      <c r="FD181" s="84"/>
      <c r="FE181" s="71"/>
      <c r="FF181" s="65"/>
      <c r="FG181" s="84"/>
      <c r="FH181" s="71"/>
      <c r="FI181" s="65"/>
      <c r="FJ181" s="84"/>
      <c r="FK181" s="71"/>
      <c r="FL181" s="65"/>
      <c r="FM181" s="65"/>
    </row>
    <row r="182" spans="1:169">
      <c r="A182" s="25"/>
      <c r="B182" s="25"/>
      <c r="C182" s="25"/>
      <c r="D182" s="25"/>
      <c r="E182" s="25"/>
      <c r="F182" s="407">
        <f>$D$19</f>
        <v>4</v>
      </c>
      <c r="G182" s="407">
        <f ca="1">VLOOKUP(H182,Equipos!$Q$1:$R$25,2,0)</f>
        <v>20</v>
      </c>
      <c r="H182" s="446" t="str">
        <f>Idiomas!$D$260</f>
        <v>Dieciseisavos de final</v>
      </c>
      <c r="I182" s="50"/>
      <c r="J182" s="849" t="s">
        <v>88</v>
      </c>
      <c r="K182" s="53" t="str">
        <f>Idiomas!$D$199&amp;"-"&amp;ROWS($L$182:L182)</f>
        <v>Octavofinalista-1</v>
      </c>
      <c r="L182" s="53"/>
      <c r="M182" s="55" t="str">
        <f>WORLDCUP!AA120</f>
        <v>W73</v>
      </c>
      <c r="N182" s="25"/>
      <c r="O182" s="25"/>
      <c r="P182" s="25"/>
      <c r="Q182" s="25"/>
      <c r="R182" s="110"/>
      <c r="S182" s="76" t="s">
        <v>1260</v>
      </c>
      <c r="T182" s="77">
        <f t="shared" ref="T182:T197" si="847">COUNTIF($M$182:$M$197,S182)*$D$19</f>
        <v>0</v>
      </c>
      <c r="U182" s="64"/>
      <c r="V182" s="76" t="s">
        <v>1843</v>
      </c>
      <c r="W182" s="77">
        <f t="shared" ref="W182:W197" si="848">COUNTIF($M$182:$M$197,V182)*$D$19</f>
        <v>0</v>
      </c>
      <c r="X182" s="64"/>
      <c r="Y182" s="76" t="s">
        <v>1843</v>
      </c>
      <c r="Z182" s="77">
        <f t="shared" ref="Z182:Z197" si="849">COUNTIF($M$182:$M$197,Y182)*$D$19</f>
        <v>0</v>
      </c>
      <c r="AA182" s="64"/>
      <c r="AB182" s="76" t="s">
        <v>1260</v>
      </c>
      <c r="AC182" s="77">
        <f t="shared" ref="AC182:AC197" si="850">COUNTIF($M$182:$M$197,AB182)*$D$19</f>
        <v>0</v>
      </c>
      <c r="AD182" s="64"/>
      <c r="AE182" s="76" t="s">
        <v>1259</v>
      </c>
      <c r="AF182" s="77">
        <f t="shared" ref="AF182:AF197" si="851">COUNTIF($M$182:$M$197,AE182)*$D$19</f>
        <v>0</v>
      </c>
      <c r="AG182" s="64"/>
      <c r="AH182" s="76" t="s">
        <v>1259</v>
      </c>
      <c r="AI182" s="77">
        <f t="shared" ref="AI182:AI197" si="852">COUNTIF($M$182:$M$197,AH182)*$D$19</f>
        <v>0</v>
      </c>
      <c r="AJ182" s="64"/>
      <c r="AK182" s="76" t="s">
        <v>1843</v>
      </c>
      <c r="AL182" s="77">
        <f t="shared" ref="AL182:AL197" si="853">COUNTIF($M$182:$M$197,AK182)*$D$19</f>
        <v>0</v>
      </c>
      <c r="AM182" s="64"/>
      <c r="AN182" s="76" t="s">
        <v>1259</v>
      </c>
      <c r="AO182" s="77">
        <f t="shared" ref="AO182:AO197" si="854">COUNTIF($M$182:$M$197,AN182)*$D$19</f>
        <v>0</v>
      </c>
      <c r="AP182" s="64"/>
      <c r="AQ182" s="76" t="s">
        <v>1260</v>
      </c>
      <c r="AR182" s="77">
        <f t="shared" ref="AR182:AR197" si="855">COUNTIF($M$182:$M$197,AQ182)*$D$19</f>
        <v>0</v>
      </c>
      <c r="AS182" s="64"/>
      <c r="AT182" s="76" t="s">
        <v>1841</v>
      </c>
      <c r="AU182" s="77">
        <f t="shared" ref="AU182:AU197" si="856">COUNTIF($M$182:$M$197,AT182)*$D$19</f>
        <v>0</v>
      </c>
      <c r="AV182" s="64"/>
      <c r="AW182" s="76" t="s">
        <v>1260</v>
      </c>
      <c r="AX182" s="77">
        <f t="shared" ref="AX182:AX197" si="857">COUNTIF($M$182:$M$197,AW182)*$D$19</f>
        <v>0</v>
      </c>
      <c r="AY182" s="64"/>
      <c r="AZ182" s="76" t="s">
        <v>1260</v>
      </c>
      <c r="BA182" s="77">
        <f t="shared" ref="BA182:BA197" si="858">COUNTIF($M$182:$M$197,AZ182)*$D$19</f>
        <v>0</v>
      </c>
      <c r="BB182" s="64"/>
      <c r="BC182" s="76" t="s">
        <v>1265</v>
      </c>
      <c r="BD182" s="77">
        <f t="shared" ref="BD182:BD197" si="859">COUNTIF($M$182:$M$197,BC182)*$D$19</f>
        <v>0</v>
      </c>
      <c r="BE182" s="64"/>
      <c r="BF182" s="76" t="s">
        <v>1259</v>
      </c>
      <c r="BG182" s="77">
        <f t="shared" ref="BG182:BG197" si="860">COUNTIF($M$182:$M$197,BF182)*$D$19</f>
        <v>0</v>
      </c>
      <c r="BH182" s="64"/>
      <c r="BI182" s="76" t="s">
        <v>1843</v>
      </c>
      <c r="BJ182" s="77">
        <f t="shared" ref="BJ182:BJ197" si="861">COUNTIF($M$182:$M$197,BI182)*$D$19</f>
        <v>0</v>
      </c>
      <c r="BK182" s="64"/>
      <c r="BL182" s="76" t="s">
        <v>1259</v>
      </c>
      <c r="BM182" s="77">
        <f t="shared" ref="BM182:BM197" si="862">COUNTIF($M$182:$M$197,BL182)*$D$19</f>
        <v>0</v>
      </c>
      <c r="BN182" s="64"/>
      <c r="BO182" s="76" t="s">
        <v>1260</v>
      </c>
      <c r="BP182" s="77">
        <f t="shared" ref="BP182:BP197" si="863">COUNTIF($M$182:$M$197,BO182)*$D$19</f>
        <v>0</v>
      </c>
      <c r="BQ182" s="64"/>
      <c r="BR182" s="76" t="s">
        <v>1841</v>
      </c>
      <c r="BS182" s="77">
        <f t="shared" ref="BS182:BS197" si="864">COUNTIF($M$182:$M$197,BR182)*$D$19</f>
        <v>0</v>
      </c>
      <c r="BT182" s="64"/>
      <c r="BU182" s="76" t="s">
        <v>1265</v>
      </c>
      <c r="BV182" s="77">
        <f t="shared" ref="BV182:BV197" si="865">COUNTIF($M$182:$M$197,BU182)*$D$19</f>
        <v>0</v>
      </c>
      <c r="BW182" s="64"/>
      <c r="BX182" s="76" t="s">
        <v>1260</v>
      </c>
      <c r="BY182" s="77">
        <f t="shared" ref="BY182:BY197" si="866">COUNTIF($M$182:$M$197,BX182)*$D$19</f>
        <v>0</v>
      </c>
      <c r="BZ182" s="64"/>
      <c r="CA182" s="76" t="s">
        <v>1259</v>
      </c>
      <c r="CB182" s="77">
        <f t="shared" ref="CB182:CB197" si="867">COUNTIF($M$182:$M$197,CA182)*$D$19</f>
        <v>0</v>
      </c>
      <c r="CC182" s="64"/>
      <c r="CD182" s="76" t="s">
        <v>1260</v>
      </c>
      <c r="CE182" s="77">
        <f t="shared" ref="CE182:CE197" si="868">COUNTIF($M$182:$M$197,CD182)*$D$19</f>
        <v>0</v>
      </c>
      <c r="CF182" s="64"/>
      <c r="CG182" s="76" t="s">
        <v>75</v>
      </c>
      <c r="CH182" s="77">
        <f t="shared" ref="CH182:CH197" si="869">COUNTIF($M$182:$M$197,CG182)*$D$19</f>
        <v>0</v>
      </c>
      <c r="CI182" s="64"/>
      <c r="CJ182" s="76" t="s">
        <v>1260</v>
      </c>
      <c r="CK182" s="77">
        <f t="shared" ref="CK182:CK197" si="870">COUNTIF($M$182:$M$197,CJ182)*$D$19</f>
        <v>0</v>
      </c>
      <c r="CL182" s="64"/>
      <c r="CM182" s="76" t="s">
        <v>1260</v>
      </c>
      <c r="CN182" s="77">
        <f t="shared" ref="CN182:CN197" si="871">COUNTIF($M$182:$M$197,CM182)*$D$19</f>
        <v>0</v>
      </c>
      <c r="CO182" s="64"/>
      <c r="CP182" s="76" t="s">
        <v>1259</v>
      </c>
      <c r="CQ182" s="77">
        <f t="shared" ref="CQ182:CQ197" si="872">COUNTIF($M$182:$M$197,CP182)*$D$19</f>
        <v>0</v>
      </c>
      <c r="CR182" s="64"/>
      <c r="CS182" s="76" t="s">
        <v>1259</v>
      </c>
      <c r="CT182" s="77">
        <f t="shared" ref="CT182:CT197" si="873">COUNTIF($M$182:$M$197,CS182)*$D$19</f>
        <v>0</v>
      </c>
      <c r="CU182" s="64"/>
      <c r="CV182" s="76" t="s">
        <v>1260</v>
      </c>
      <c r="CW182" s="77">
        <f t="shared" ref="CW182:CW197" si="874">COUNTIF($M$182:$M$197,CV182)*$D$19</f>
        <v>0</v>
      </c>
      <c r="CX182" s="64"/>
      <c r="CY182" s="76" t="s">
        <v>1841</v>
      </c>
      <c r="CZ182" s="77">
        <f t="shared" ref="CZ182:CZ197" si="875">COUNTIF($M$182:$M$197,CY182)*$D$19</f>
        <v>0</v>
      </c>
      <c r="DA182" s="64"/>
      <c r="DB182" s="76" t="s">
        <v>1843</v>
      </c>
      <c r="DC182" s="77">
        <f t="shared" ref="DC182:DC197" si="876">COUNTIF($M$182:$M$197,DB182)*$D$19</f>
        <v>0</v>
      </c>
      <c r="DD182" s="64"/>
      <c r="DE182" s="76" t="s">
        <v>1259</v>
      </c>
      <c r="DF182" s="77">
        <f t="shared" ref="DF182:DF197" si="877">COUNTIF($M$182:$M$197,DE182)*$D$19</f>
        <v>0</v>
      </c>
      <c r="DG182" s="64"/>
      <c r="DH182" s="76" t="s">
        <v>1259</v>
      </c>
      <c r="DI182" s="77">
        <f t="shared" ref="DI182:DI197" si="878">COUNTIF($M$182:$M$197,DH182)*$D$19</f>
        <v>0</v>
      </c>
      <c r="DJ182" s="64"/>
      <c r="DK182" s="76" t="s">
        <v>1265</v>
      </c>
      <c r="DL182" s="77">
        <f t="shared" ref="DL182:DL197" si="879">COUNTIF($M$182:$M$197,DK182)*$D$19</f>
        <v>0</v>
      </c>
      <c r="DM182" s="64"/>
      <c r="DN182" s="795" t="s">
        <v>1841</v>
      </c>
      <c r="DO182" s="77">
        <f t="shared" ref="DO182:DO197" si="880">COUNTIF($M$182:$M$197,DN182)*$D$19</f>
        <v>0</v>
      </c>
      <c r="DP182" s="64"/>
      <c r="DQ182" s="795" t="s">
        <v>1843</v>
      </c>
      <c r="DR182" s="77">
        <f t="shared" ref="DR182:DR197" si="881">COUNTIF($M$182:$M$197,DQ182)*$D$19</f>
        <v>0</v>
      </c>
      <c r="DS182" s="64"/>
      <c r="DT182" s="76" t="s">
        <v>1259</v>
      </c>
      <c r="DU182" s="77">
        <f t="shared" ref="DU182:DU197" si="882">COUNTIF($M$182:$M$197,DT182)*$D$19</f>
        <v>0</v>
      </c>
      <c r="DV182" s="64"/>
      <c r="DW182" s="76" t="s">
        <v>1260</v>
      </c>
      <c r="DX182" s="77">
        <f t="shared" ref="DX182:DX197" si="883">COUNTIF($M$182:$M$197,DW182)*$D$19</f>
        <v>0</v>
      </c>
      <c r="DY182" s="64"/>
      <c r="DZ182" s="76" t="s">
        <v>75</v>
      </c>
      <c r="EA182" s="77">
        <f t="shared" ref="EA182:EA197" si="884">COUNTIF($M$182:$M$197,DZ182)*$D$19</f>
        <v>0</v>
      </c>
      <c r="EB182" s="64"/>
      <c r="EC182" s="76" t="s">
        <v>1843</v>
      </c>
      <c r="ED182" s="77">
        <f t="shared" ref="ED182:ED197" si="885">COUNTIF($M$182:$M$197,EC182)*$D$19</f>
        <v>0</v>
      </c>
      <c r="EE182" s="64"/>
      <c r="EF182" s="76" t="s">
        <v>1260</v>
      </c>
      <c r="EG182" s="77">
        <f t="shared" ref="EG182:EG197" si="886">COUNTIF($M$182:$M$197,EF182)*$D$19</f>
        <v>0</v>
      </c>
      <c r="EH182" s="64"/>
      <c r="EI182" s="76" t="s">
        <v>1260</v>
      </c>
      <c r="EJ182" s="77">
        <f t="shared" ref="EJ182:EJ197" si="887">COUNTIF($M$182:$M$197,EI182)*$D$19</f>
        <v>0</v>
      </c>
      <c r="EK182" s="64"/>
      <c r="EL182" s="76"/>
      <c r="EM182" s="77">
        <f t="shared" ref="EM182:EM197" si="888">COUNTIF($M$182:$M$197,EL182)*$D$19</f>
        <v>0</v>
      </c>
      <c r="EN182" s="64"/>
      <c r="EO182" s="76"/>
      <c r="EP182" s="77">
        <f t="shared" ref="EP182:EP197" si="889">COUNTIF($M$182:$M$197,EO182)*$D$19</f>
        <v>0</v>
      </c>
      <c r="EQ182" s="64"/>
      <c r="ER182" s="76"/>
      <c r="ES182" s="77">
        <f t="shared" ref="ES182:ES197" si="890">COUNTIF($M$182:$M$197,ER182)*$D$19</f>
        <v>0</v>
      </c>
      <c r="ET182" s="64"/>
      <c r="EU182" s="76"/>
      <c r="EV182" s="77">
        <f t="shared" ref="EV182:EV197" si="891">COUNTIF($M$182:$M$197,EU182)*$D$19</f>
        <v>0</v>
      </c>
      <c r="EW182" s="64"/>
      <c r="EX182" s="76"/>
      <c r="EY182" s="77">
        <f t="shared" ref="EY182:EY197" si="892">COUNTIF($M$182:$M$197,EX182)*$D$19</f>
        <v>0</v>
      </c>
      <c r="EZ182" s="64"/>
      <c r="FA182" s="76"/>
      <c r="FB182" s="77">
        <f t="shared" ref="FB182:FB197" si="893">COUNTIF($M$182:$M$197,FA182)*$D$19</f>
        <v>0</v>
      </c>
      <c r="FC182" s="64"/>
      <c r="FD182" s="76"/>
      <c r="FE182" s="77">
        <f t="shared" ref="FE182:FE197" si="894">COUNTIF($M$182:$M$197,FD182)*$D$19</f>
        <v>0</v>
      </c>
      <c r="FF182" s="64"/>
      <c r="FG182" s="76"/>
      <c r="FH182" s="77">
        <f t="shared" ref="FH182:FH197" si="895">COUNTIF($M$182:$M$197,FG182)*$D$19</f>
        <v>0</v>
      </c>
      <c r="FI182" s="64"/>
      <c r="FJ182" s="76"/>
      <c r="FK182" s="77">
        <f t="shared" ref="FK182:FK197" si="896">COUNTIF($M$182:$M$197,FJ182)*$D$19</f>
        <v>0</v>
      </c>
      <c r="FL182" s="64"/>
      <c r="FM182" s="64"/>
    </row>
    <row r="183" spans="1:169">
      <c r="A183" s="25"/>
      <c r="B183" s="25"/>
      <c r="C183" s="25"/>
      <c r="D183" s="25"/>
      <c r="E183" s="25"/>
      <c r="F183" s="407">
        <f t="shared" ref="F183:F197" si="897">$D$19</f>
        <v>4</v>
      </c>
      <c r="G183" s="407">
        <f ca="1">VLOOKUP(H183,Equipos!$Q$1:$R$25,2,0)</f>
        <v>20</v>
      </c>
      <c r="H183" s="446" t="str">
        <f>Idiomas!$D$260</f>
        <v>Dieciseisavos de final</v>
      </c>
      <c r="I183" s="50"/>
      <c r="J183" s="849"/>
      <c r="K183" s="56" t="str">
        <f>Idiomas!$D$199&amp;"-"&amp;ROWS($L$182:L183)</f>
        <v>Octavofinalista-2</v>
      </c>
      <c r="L183" s="53"/>
      <c r="M183" s="55" t="str">
        <f>WORLDCUP!AA121</f>
        <v>W74</v>
      </c>
      <c r="N183" s="25"/>
      <c r="O183" s="25"/>
      <c r="P183" s="25"/>
      <c r="Q183" s="25"/>
      <c r="R183" s="110"/>
      <c r="S183" s="74" t="s">
        <v>77</v>
      </c>
      <c r="T183" s="73">
        <f t="shared" si="847"/>
        <v>0</v>
      </c>
      <c r="U183" s="64"/>
      <c r="V183" s="74" t="s">
        <v>77</v>
      </c>
      <c r="W183" s="73">
        <f t="shared" si="848"/>
        <v>0</v>
      </c>
      <c r="X183" s="64"/>
      <c r="Y183" s="74" t="s">
        <v>77</v>
      </c>
      <c r="Z183" s="73">
        <f t="shared" si="849"/>
        <v>0</v>
      </c>
      <c r="AA183" s="64"/>
      <c r="AB183" s="74" t="s">
        <v>77</v>
      </c>
      <c r="AC183" s="73">
        <f t="shared" si="850"/>
        <v>0</v>
      </c>
      <c r="AD183" s="64"/>
      <c r="AE183" s="74" t="s">
        <v>1319</v>
      </c>
      <c r="AF183" s="73">
        <f t="shared" si="851"/>
        <v>0</v>
      </c>
      <c r="AG183" s="64"/>
      <c r="AH183" s="74" t="s">
        <v>77</v>
      </c>
      <c r="AI183" s="73">
        <f t="shared" si="852"/>
        <v>0</v>
      </c>
      <c r="AJ183" s="64"/>
      <c r="AK183" s="74" t="s">
        <v>77</v>
      </c>
      <c r="AL183" s="73">
        <f t="shared" si="853"/>
        <v>0</v>
      </c>
      <c r="AM183" s="64"/>
      <c r="AN183" s="74" t="s">
        <v>77</v>
      </c>
      <c r="AO183" s="73">
        <f t="shared" si="854"/>
        <v>0</v>
      </c>
      <c r="AP183" s="64"/>
      <c r="AQ183" s="74" t="s">
        <v>77</v>
      </c>
      <c r="AR183" s="73">
        <f t="shared" si="855"/>
        <v>0</v>
      </c>
      <c r="AS183" s="64"/>
      <c r="AT183" s="74" t="s">
        <v>77</v>
      </c>
      <c r="AU183" s="73">
        <f t="shared" si="856"/>
        <v>0</v>
      </c>
      <c r="AV183" s="64"/>
      <c r="AW183" s="74" t="s">
        <v>77</v>
      </c>
      <c r="AX183" s="73">
        <f t="shared" si="857"/>
        <v>0</v>
      </c>
      <c r="AY183" s="64"/>
      <c r="AZ183" s="74" t="s">
        <v>77</v>
      </c>
      <c r="BA183" s="73">
        <f t="shared" si="858"/>
        <v>0</v>
      </c>
      <c r="BB183" s="64"/>
      <c r="BC183" s="74" t="s">
        <v>77</v>
      </c>
      <c r="BD183" s="73">
        <f t="shared" si="859"/>
        <v>0</v>
      </c>
      <c r="BE183" s="64"/>
      <c r="BF183" s="74" t="s">
        <v>77</v>
      </c>
      <c r="BG183" s="73">
        <f t="shared" si="860"/>
        <v>0</v>
      </c>
      <c r="BH183" s="64"/>
      <c r="BI183" s="74" t="s">
        <v>77</v>
      </c>
      <c r="BJ183" s="73">
        <f t="shared" si="861"/>
        <v>0</v>
      </c>
      <c r="BK183" s="64"/>
      <c r="BL183" s="74" t="s">
        <v>77</v>
      </c>
      <c r="BM183" s="73">
        <f t="shared" si="862"/>
        <v>0</v>
      </c>
      <c r="BN183" s="64"/>
      <c r="BO183" s="74" t="s">
        <v>77</v>
      </c>
      <c r="BP183" s="73">
        <f t="shared" si="863"/>
        <v>0</v>
      </c>
      <c r="BQ183" s="64"/>
      <c r="BR183" s="74" t="s">
        <v>77</v>
      </c>
      <c r="BS183" s="73">
        <f t="shared" si="864"/>
        <v>0</v>
      </c>
      <c r="BT183" s="64"/>
      <c r="BU183" s="74" t="s">
        <v>77</v>
      </c>
      <c r="BV183" s="73">
        <f t="shared" si="865"/>
        <v>0</v>
      </c>
      <c r="BW183" s="64"/>
      <c r="BX183" s="74" t="s">
        <v>77</v>
      </c>
      <c r="BY183" s="73">
        <f t="shared" si="866"/>
        <v>0</v>
      </c>
      <c r="BZ183" s="64"/>
      <c r="CA183" s="74" t="s">
        <v>77</v>
      </c>
      <c r="CB183" s="73">
        <f t="shared" si="867"/>
        <v>0</v>
      </c>
      <c r="CC183" s="64"/>
      <c r="CD183" s="74" t="s">
        <v>77</v>
      </c>
      <c r="CE183" s="73">
        <f t="shared" si="868"/>
        <v>0</v>
      </c>
      <c r="CF183" s="64"/>
      <c r="CG183" s="74" t="s">
        <v>77</v>
      </c>
      <c r="CH183" s="73">
        <f t="shared" si="869"/>
        <v>0</v>
      </c>
      <c r="CI183" s="64"/>
      <c r="CJ183" s="74" t="s">
        <v>77</v>
      </c>
      <c r="CK183" s="73">
        <f t="shared" si="870"/>
        <v>0</v>
      </c>
      <c r="CL183" s="64"/>
      <c r="CM183" s="74" t="s">
        <v>77</v>
      </c>
      <c r="CN183" s="73">
        <f t="shared" si="871"/>
        <v>0</v>
      </c>
      <c r="CO183" s="64"/>
      <c r="CP183" s="74" t="s">
        <v>77</v>
      </c>
      <c r="CQ183" s="73">
        <f t="shared" si="872"/>
        <v>0</v>
      </c>
      <c r="CR183" s="64"/>
      <c r="CS183" s="74" t="s">
        <v>77</v>
      </c>
      <c r="CT183" s="73">
        <f t="shared" si="873"/>
        <v>0</v>
      </c>
      <c r="CU183" s="64"/>
      <c r="CV183" s="74" t="s">
        <v>77</v>
      </c>
      <c r="CW183" s="73">
        <f t="shared" si="874"/>
        <v>0</v>
      </c>
      <c r="CX183" s="64"/>
      <c r="CY183" s="74" t="s">
        <v>1261</v>
      </c>
      <c r="CZ183" s="73">
        <f t="shared" si="875"/>
        <v>0</v>
      </c>
      <c r="DA183" s="64"/>
      <c r="DB183" s="74" t="s">
        <v>77</v>
      </c>
      <c r="DC183" s="73">
        <f t="shared" si="876"/>
        <v>0</v>
      </c>
      <c r="DD183" s="64"/>
      <c r="DE183" s="74" t="s">
        <v>77</v>
      </c>
      <c r="DF183" s="73">
        <f t="shared" si="877"/>
        <v>0</v>
      </c>
      <c r="DG183" s="64"/>
      <c r="DH183" s="74" t="s">
        <v>77</v>
      </c>
      <c r="DI183" s="73">
        <f t="shared" si="878"/>
        <v>0</v>
      </c>
      <c r="DJ183" s="64"/>
      <c r="DK183" s="74" t="s">
        <v>77</v>
      </c>
      <c r="DL183" s="73">
        <f t="shared" si="879"/>
        <v>0</v>
      </c>
      <c r="DM183" s="64"/>
      <c r="DN183" s="795" t="s">
        <v>77</v>
      </c>
      <c r="DO183" s="73">
        <f t="shared" si="880"/>
        <v>0</v>
      </c>
      <c r="DP183" s="64"/>
      <c r="DQ183" s="795" t="s">
        <v>77</v>
      </c>
      <c r="DR183" s="73">
        <f t="shared" si="881"/>
        <v>0</v>
      </c>
      <c r="DS183" s="64"/>
      <c r="DT183" s="74" t="s">
        <v>77</v>
      </c>
      <c r="DU183" s="73">
        <f t="shared" si="882"/>
        <v>0</v>
      </c>
      <c r="DV183" s="64"/>
      <c r="DW183" s="74" t="s">
        <v>77</v>
      </c>
      <c r="DX183" s="73">
        <f t="shared" si="883"/>
        <v>0</v>
      </c>
      <c r="DY183" s="64"/>
      <c r="DZ183" s="74" t="s">
        <v>77</v>
      </c>
      <c r="EA183" s="73">
        <f t="shared" si="884"/>
        <v>0</v>
      </c>
      <c r="EB183" s="64"/>
      <c r="EC183" s="74" t="s">
        <v>77</v>
      </c>
      <c r="ED183" s="73">
        <f t="shared" si="885"/>
        <v>0</v>
      </c>
      <c r="EE183" s="64"/>
      <c r="EF183" s="74" t="s">
        <v>77</v>
      </c>
      <c r="EG183" s="73">
        <f t="shared" si="886"/>
        <v>0</v>
      </c>
      <c r="EH183" s="64"/>
      <c r="EI183" s="74" t="s">
        <v>77</v>
      </c>
      <c r="EJ183" s="73">
        <f t="shared" si="887"/>
        <v>0</v>
      </c>
      <c r="EK183" s="64"/>
      <c r="EL183" s="74"/>
      <c r="EM183" s="73">
        <f t="shared" si="888"/>
        <v>0</v>
      </c>
      <c r="EN183" s="64"/>
      <c r="EO183" s="74"/>
      <c r="EP183" s="73">
        <f t="shared" si="889"/>
        <v>0</v>
      </c>
      <c r="EQ183" s="64"/>
      <c r="ER183" s="74"/>
      <c r="ES183" s="73">
        <f t="shared" si="890"/>
        <v>0</v>
      </c>
      <c r="ET183" s="64"/>
      <c r="EU183" s="74"/>
      <c r="EV183" s="73">
        <f t="shared" si="891"/>
        <v>0</v>
      </c>
      <c r="EW183" s="64"/>
      <c r="EX183" s="74"/>
      <c r="EY183" s="73">
        <f t="shared" si="892"/>
        <v>0</v>
      </c>
      <c r="EZ183" s="64"/>
      <c r="FA183" s="74"/>
      <c r="FB183" s="73">
        <f t="shared" si="893"/>
        <v>0</v>
      </c>
      <c r="FC183" s="64"/>
      <c r="FD183" s="74"/>
      <c r="FE183" s="73">
        <f t="shared" si="894"/>
        <v>0</v>
      </c>
      <c r="FF183" s="64"/>
      <c r="FG183" s="74"/>
      <c r="FH183" s="73">
        <f t="shared" si="895"/>
        <v>0</v>
      </c>
      <c r="FI183" s="64"/>
      <c r="FJ183" s="74"/>
      <c r="FK183" s="73">
        <f t="shared" si="896"/>
        <v>0</v>
      </c>
      <c r="FL183" s="64"/>
      <c r="FM183" s="64"/>
    </row>
    <row r="184" spans="1:169">
      <c r="A184" s="25"/>
      <c r="B184" s="25"/>
      <c r="C184" s="25"/>
      <c r="D184" s="25"/>
      <c r="E184" s="25"/>
      <c r="F184" s="407">
        <f t="shared" si="897"/>
        <v>4</v>
      </c>
      <c r="G184" s="407">
        <f ca="1">VLOOKUP(H184,Equipos!$Q$1:$R$25,2,0)</f>
        <v>20</v>
      </c>
      <c r="H184" s="446" t="str">
        <f>Idiomas!$D$260</f>
        <v>Dieciseisavos de final</v>
      </c>
      <c r="I184" s="50"/>
      <c r="J184" s="849"/>
      <c r="K184" s="56" t="str">
        <f>Idiomas!$D$199&amp;"-"&amp;ROWS($L$182:L184)</f>
        <v>Octavofinalista-3</v>
      </c>
      <c r="L184" s="53"/>
      <c r="M184" s="55" t="str">
        <f>WORLDCUP!AA122</f>
        <v>W76</v>
      </c>
      <c r="N184" s="25"/>
      <c r="O184" s="25"/>
      <c r="P184" s="25"/>
      <c r="Q184" s="25"/>
      <c r="R184" s="110"/>
      <c r="S184" s="74" t="s">
        <v>1258</v>
      </c>
      <c r="T184" s="73">
        <f t="shared" si="847"/>
        <v>0</v>
      </c>
      <c r="U184" s="64"/>
      <c r="V184" s="74" t="s">
        <v>1258</v>
      </c>
      <c r="W184" s="73">
        <f t="shared" si="848"/>
        <v>0</v>
      </c>
      <c r="X184" s="64"/>
      <c r="Y184" s="74" t="s">
        <v>1258</v>
      </c>
      <c r="Z184" s="73">
        <f t="shared" si="849"/>
        <v>0</v>
      </c>
      <c r="AA184" s="64"/>
      <c r="AB184" s="74" t="s">
        <v>1258</v>
      </c>
      <c r="AC184" s="73">
        <f t="shared" si="850"/>
        <v>0</v>
      </c>
      <c r="AD184" s="64"/>
      <c r="AE184" s="74" t="s">
        <v>1258</v>
      </c>
      <c r="AF184" s="73">
        <f t="shared" si="851"/>
        <v>0</v>
      </c>
      <c r="AG184" s="64"/>
      <c r="AH184" s="74" t="s">
        <v>1321</v>
      </c>
      <c r="AI184" s="73">
        <f t="shared" si="852"/>
        <v>0</v>
      </c>
      <c r="AJ184" s="64"/>
      <c r="AK184" s="74" t="s">
        <v>1258</v>
      </c>
      <c r="AL184" s="73">
        <f t="shared" si="853"/>
        <v>0</v>
      </c>
      <c r="AM184" s="64"/>
      <c r="AN184" s="74" t="s">
        <v>1258</v>
      </c>
      <c r="AO184" s="73">
        <f t="shared" si="854"/>
        <v>0</v>
      </c>
      <c r="AP184" s="64"/>
      <c r="AQ184" s="74" t="s">
        <v>1258</v>
      </c>
      <c r="AR184" s="73">
        <f t="shared" si="855"/>
        <v>0</v>
      </c>
      <c r="AS184" s="64"/>
      <c r="AT184" s="74" t="s">
        <v>1258</v>
      </c>
      <c r="AU184" s="73">
        <f t="shared" si="856"/>
        <v>0</v>
      </c>
      <c r="AV184" s="64"/>
      <c r="AW184" s="74" t="s">
        <v>1258</v>
      </c>
      <c r="AX184" s="73">
        <f t="shared" si="857"/>
        <v>0</v>
      </c>
      <c r="AY184" s="64"/>
      <c r="AZ184" s="74" t="s">
        <v>1258</v>
      </c>
      <c r="BA184" s="73">
        <f t="shared" si="858"/>
        <v>0</v>
      </c>
      <c r="BB184" s="64"/>
      <c r="BC184" s="74" t="s">
        <v>1258</v>
      </c>
      <c r="BD184" s="73">
        <f t="shared" si="859"/>
        <v>0</v>
      </c>
      <c r="BE184" s="64"/>
      <c r="BF184" s="74" t="s">
        <v>1258</v>
      </c>
      <c r="BG184" s="73">
        <f t="shared" si="860"/>
        <v>0</v>
      </c>
      <c r="BH184" s="64"/>
      <c r="BI184" s="74" t="s">
        <v>1258</v>
      </c>
      <c r="BJ184" s="73">
        <f t="shared" si="861"/>
        <v>0</v>
      </c>
      <c r="BK184" s="64"/>
      <c r="BL184" s="74" t="s">
        <v>1258</v>
      </c>
      <c r="BM184" s="73">
        <f t="shared" si="862"/>
        <v>0</v>
      </c>
      <c r="BN184" s="64"/>
      <c r="BO184" s="74" t="s">
        <v>1258</v>
      </c>
      <c r="BP184" s="73">
        <f t="shared" si="863"/>
        <v>0</v>
      </c>
      <c r="BQ184" s="64"/>
      <c r="BR184" s="74" t="s">
        <v>1258</v>
      </c>
      <c r="BS184" s="73">
        <f t="shared" si="864"/>
        <v>0</v>
      </c>
      <c r="BT184" s="64"/>
      <c r="BU184" s="74" t="s">
        <v>1258</v>
      </c>
      <c r="BV184" s="73">
        <f t="shared" si="865"/>
        <v>0</v>
      </c>
      <c r="BW184" s="64"/>
      <c r="BX184" s="74" t="s">
        <v>1258</v>
      </c>
      <c r="BY184" s="73">
        <f t="shared" si="866"/>
        <v>0</v>
      </c>
      <c r="BZ184" s="64"/>
      <c r="CA184" s="74" t="s">
        <v>134</v>
      </c>
      <c r="CB184" s="73">
        <f t="shared" si="867"/>
        <v>0</v>
      </c>
      <c r="CC184" s="64"/>
      <c r="CD184" s="74" t="s">
        <v>1258</v>
      </c>
      <c r="CE184" s="73">
        <f t="shared" si="868"/>
        <v>0</v>
      </c>
      <c r="CF184" s="64"/>
      <c r="CG184" s="74" t="s">
        <v>1258</v>
      </c>
      <c r="CH184" s="73">
        <f t="shared" si="869"/>
        <v>0</v>
      </c>
      <c r="CI184" s="64"/>
      <c r="CJ184" s="74" t="s">
        <v>1258</v>
      </c>
      <c r="CK184" s="73">
        <f t="shared" si="870"/>
        <v>0</v>
      </c>
      <c r="CL184" s="64"/>
      <c r="CM184" s="74" t="s">
        <v>1258</v>
      </c>
      <c r="CN184" s="73">
        <f t="shared" si="871"/>
        <v>0</v>
      </c>
      <c r="CO184" s="64"/>
      <c r="CP184" s="74" t="s">
        <v>1258</v>
      </c>
      <c r="CQ184" s="73">
        <f t="shared" si="872"/>
        <v>0</v>
      </c>
      <c r="CR184" s="64"/>
      <c r="CS184" s="74" t="s">
        <v>1258</v>
      </c>
      <c r="CT184" s="73">
        <f t="shared" si="873"/>
        <v>0</v>
      </c>
      <c r="CU184" s="64"/>
      <c r="CV184" s="74" t="s">
        <v>1258</v>
      </c>
      <c r="CW184" s="73">
        <f t="shared" si="874"/>
        <v>0</v>
      </c>
      <c r="CX184" s="64"/>
      <c r="CY184" s="74" t="s">
        <v>1258</v>
      </c>
      <c r="CZ184" s="73">
        <f t="shared" si="875"/>
        <v>0</v>
      </c>
      <c r="DA184" s="64"/>
      <c r="DB184" s="74" t="s">
        <v>1258</v>
      </c>
      <c r="DC184" s="73">
        <f t="shared" si="876"/>
        <v>0</v>
      </c>
      <c r="DD184" s="64"/>
      <c r="DE184" s="74" t="s">
        <v>1258</v>
      </c>
      <c r="DF184" s="73">
        <f t="shared" si="877"/>
        <v>0</v>
      </c>
      <c r="DG184" s="64"/>
      <c r="DH184" s="74" t="s">
        <v>1258</v>
      </c>
      <c r="DI184" s="73">
        <f t="shared" si="878"/>
        <v>0</v>
      </c>
      <c r="DJ184" s="64"/>
      <c r="DK184" s="74" t="s">
        <v>1321</v>
      </c>
      <c r="DL184" s="73">
        <f t="shared" si="879"/>
        <v>0</v>
      </c>
      <c r="DM184" s="64"/>
      <c r="DN184" s="795" t="s">
        <v>1258</v>
      </c>
      <c r="DO184" s="73">
        <f t="shared" si="880"/>
        <v>0</v>
      </c>
      <c r="DP184" s="64"/>
      <c r="DQ184" s="795" t="s">
        <v>111</v>
      </c>
      <c r="DR184" s="73">
        <f t="shared" si="881"/>
        <v>0</v>
      </c>
      <c r="DS184" s="64"/>
      <c r="DT184" s="74" t="s">
        <v>1321</v>
      </c>
      <c r="DU184" s="73">
        <f t="shared" si="882"/>
        <v>0</v>
      </c>
      <c r="DV184" s="64"/>
      <c r="DW184" s="74" t="s">
        <v>1258</v>
      </c>
      <c r="DX184" s="73">
        <f t="shared" si="883"/>
        <v>0</v>
      </c>
      <c r="DY184" s="64"/>
      <c r="DZ184" s="74" t="s">
        <v>1258</v>
      </c>
      <c r="EA184" s="73">
        <f t="shared" si="884"/>
        <v>0</v>
      </c>
      <c r="EB184" s="64"/>
      <c r="EC184" s="74" t="s">
        <v>1258</v>
      </c>
      <c r="ED184" s="73">
        <f t="shared" si="885"/>
        <v>0</v>
      </c>
      <c r="EE184" s="64"/>
      <c r="EF184" s="74" t="s">
        <v>1258</v>
      </c>
      <c r="EG184" s="73">
        <f t="shared" si="886"/>
        <v>0</v>
      </c>
      <c r="EH184" s="64"/>
      <c r="EI184" s="74" t="s">
        <v>1258</v>
      </c>
      <c r="EJ184" s="73">
        <f t="shared" si="887"/>
        <v>0</v>
      </c>
      <c r="EK184" s="64"/>
      <c r="EL184" s="74"/>
      <c r="EM184" s="73">
        <f t="shared" si="888"/>
        <v>0</v>
      </c>
      <c r="EN184" s="64"/>
      <c r="EO184" s="74"/>
      <c r="EP184" s="73">
        <f t="shared" si="889"/>
        <v>0</v>
      </c>
      <c r="EQ184" s="64"/>
      <c r="ER184" s="74"/>
      <c r="ES184" s="73">
        <f t="shared" si="890"/>
        <v>0</v>
      </c>
      <c r="ET184" s="64"/>
      <c r="EU184" s="74"/>
      <c r="EV184" s="73">
        <f t="shared" si="891"/>
        <v>0</v>
      </c>
      <c r="EW184" s="64"/>
      <c r="EX184" s="74"/>
      <c r="EY184" s="73">
        <f t="shared" si="892"/>
        <v>0</v>
      </c>
      <c r="EZ184" s="64"/>
      <c r="FA184" s="74"/>
      <c r="FB184" s="73">
        <f t="shared" si="893"/>
        <v>0</v>
      </c>
      <c r="FC184" s="64"/>
      <c r="FD184" s="74"/>
      <c r="FE184" s="73">
        <f t="shared" si="894"/>
        <v>0</v>
      </c>
      <c r="FF184" s="64"/>
      <c r="FG184" s="74"/>
      <c r="FH184" s="73">
        <f t="shared" si="895"/>
        <v>0</v>
      </c>
      <c r="FI184" s="64"/>
      <c r="FJ184" s="74"/>
      <c r="FK184" s="73">
        <f t="shared" si="896"/>
        <v>0</v>
      </c>
      <c r="FL184" s="64"/>
      <c r="FM184" s="64"/>
    </row>
    <row r="185" spans="1:169">
      <c r="A185" s="25"/>
      <c r="B185" s="25"/>
      <c r="C185" s="25"/>
      <c r="D185" s="25"/>
      <c r="E185" s="25"/>
      <c r="F185" s="407">
        <f t="shared" si="897"/>
        <v>4</v>
      </c>
      <c r="G185" s="407">
        <f ca="1">VLOOKUP(H185,Equipos!$Q$1:$R$25,2,0)</f>
        <v>20</v>
      </c>
      <c r="H185" s="446" t="str">
        <f>Idiomas!$D$260</f>
        <v>Dieciseisavos de final</v>
      </c>
      <c r="I185" s="50"/>
      <c r="J185" s="849"/>
      <c r="K185" s="56" t="str">
        <f>Idiomas!$D$199&amp;"-"&amp;ROWS($L$182:L185)</f>
        <v>Octavofinalista-4</v>
      </c>
      <c r="L185" s="53"/>
      <c r="M185" s="55" t="str">
        <f>WORLDCUP!AA123</f>
        <v>W79</v>
      </c>
      <c r="N185" s="25"/>
      <c r="O185" s="25"/>
      <c r="P185" s="25"/>
      <c r="Q185" s="25"/>
      <c r="R185" s="110"/>
      <c r="S185" s="74" t="s">
        <v>1265</v>
      </c>
      <c r="T185" s="73">
        <f t="shared" si="847"/>
        <v>0</v>
      </c>
      <c r="U185" s="64"/>
      <c r="V185" s="74" t="s">
        <v>1633</v>
      </c>
      <c r="W185" s="73">
        <f t="shared" si="848"/>
        <v>0</v>
      </c>
      <c r="X185" s="64"/>
      <c r="Y185" s="74" t="s">
        <v>1265</v>
      </c>
      <c r="Z185" s="73">
        <f t="shared" si="849"/>
        <v>0</v>
      </c>
      <c r="AA185" s="64"/>
      <c r="AB185" s="74" t="s">
        <v>1265</v>
      </c>
      <c r="AC185" s="73">
        <f t="shared" si="850"/>
        <v>0</v>
      </c>
      <c r="AD185" s="64"/>
      <c r="AE185" s="74" t="s">
        <v>1265</v>
      </c>
      <c r="AF185" s="73">
        <f t="shared" si="851"/>
        <v>0</v>
      </c>
      <c r="AG185" s="64"/>
      <c r="AH185" s="74" t="s">
        <v>1265</v>
      </c>
      <c r="AI185" s="73">
        <f t="shared" si="852"/>
        <v>0</v>
      </c>
      <c r="AJ185" s="64"/>
      <c r="AK185" s="74" t="s">
        <v>134</v>
      </c>
      <c r="AL185" s="73">
        <f t="shared" si="853"/>
        <v>0</v>
      </c>
      <c r="AM185" s="64"/>
      <c r="AN185" s="74" t="s">
        <v>1261</v>
      </c>
      <c r="AO185" s="73">
        <f t="shared" si="854"/>
        <v>0</v>
      </c>
      <c r="AP185" s="64"/>
      <c r="AQ185" s="74" t="s">
        <v>1265</v>
      </c>
      <c r="AR185" s="73">
        <f t="shared" si="855"/>
        <v>0</v>
      </c>
      <c r="AS185" s="64"/>
      <c r="AT185" s="74" t="s">
        <v>1265</v>
      </c>
      <c r="AU185" s="73">
        <f t="shared" si="856"/>
        <v>0</v>
      </c>
      <c r="AV185" s="64"/>
      <c r="AW185" s="74" t="s">
        <v>1261</v>
      </c>
      <c r="AX185" s="73">
        <f t="shared" si="857"/>
        <v>0</v>
      </c>
      <c r="AY185" s="64"/>
      <c r="AZ185" s="74" t="s">
        <v>1633</v>
      </c>
      <c r="BA185" s="73">
        <f t="shared" si="858"/>
        <v>0</v>
      </c>
      <c r="BB185" s="64"/>
      <c r="BC185" s="74" t="s">
        <v>134</v>
      </c>
      <c r="BD185" s="73">
        <f t="shared" si="859"/>
        <v>0</v>
      </c>
      <c r="BE185" s="64"/>
      <c r="BF185" s="74" t="s">
        <v>1265</v>
      </c>
      <c r="BG185" s="73">
        <f t="shared" si="860"/>
        <v>0</v>
      </c>
      <c r="BH185" s="64"/>
      <c r="BI185" s="74" t="s">
        <v>1265</v>
      </c>
      <c r="BJ185" s="73">
        <f t="shared" si="861"/>
        <v>0</v>
      </c>
      <c r="BK185" s="64"/>
      <c r="BL185" s="74" t="s">
        <v>1265</v>
      </c>
      <c r="BM185" s="73">
        <f t="shared" si="862"/>
        <v>0</v>
      </c>
      <c r="BN185" s="64"/>
      <c r="BO185" s="74" t="s">
        <v>1265</v>
      </c>
      <c r="BP185" s="73">
        <f t="shared" si="863"/>
        <v>0</v>
      </c>
      <c r="BQ185" s="64"/>
      <c r="BR185" s="74" t="s">
        <v>1265</v>
      </c>
      <c r="BS185" s="73">
        <f t="shared" si="864"/>
        <v>0</v>
      </c>
      <c r="BT185" s="64"/>
      <c r="BU185" s="74" t="s">
        <v>1260</v>
      </c>
      <c r="BV185" s="73">
        <f t="shared" si="865"/>
        <v>0</v>
      </c>
      <c r="BW185" s="64"/>
      <c r="BX185" s="74" t="s">
        <v>1265</v>
      </c>
      <c r="BY185" s="73">
        <f t="shared" si="866"/>
        <v>0</v>
      </c>
      <c r="BZ185" s="64"/>
      <c r="CA185" s="74" t="s">
        <v>1260</v>
      </c>
      <c r="CB185" s="73">
        <f t="shared" si="867"/>
        <v>0</v>
      </c>
      <c r="CC185" s="64"/>
      <c r="CD185" s="74" t="s">
        <v>1265</v>
      </c>
      <c r="CE185" s="73">
        <f t="shared" si="868"/>
        <v>0</v>
      </c>
      <c r="CF185" s="64"/>
      <c r="CG185" s="74" t="s">
        <v>1265</v>
      </c>
      <c r="CH185" s="73">
        <f t="shared" si="869"/>
        <v>0</v>
      </c>
      <c r="CI185" s="64"/>
      <c r="CJ185" s="74" t="s">
        <v>1265</v>
      </c>
      <c r="CK185" s="73">
        <f t="shared" si="870"/>
        <v>0</v>
      </c>
      <c r="CL185" s="64"/>
      <c r="CM185" s="74" t="s">
        <v>1265</v>
      </c>
      <c r="CN185" s="73">
        <f t="shared" si="871"/>
        <v>0</v>
      </c>
      <c r="CO185" s="64"/>
      <c r="CP185" s="74" t="s">
        <v>1265</v>
      </c>
      <c r="CQ185" s="73">
        <f t="shared" si="872"/>
        <v>0</v>
      </c>
      <c r="CR185" s="64"/>
      <c r="CS185" s="74" t="s">
        <v>1265</v>
      </c>
      <c r="CT185" s="73">
        <f t="shared" si="873"/>
        <v>0</v>
      </c>
      <c r="CU185" s="64"/>
      <c r="CV185" s="74" t="s">
        <v>1265</v>
      </c>
      <c r="CW185" s="73">
        <f t="shared" si="874"/>
        <v>0</v>
      </c>
      <c r="CX185" s="64"/>
      <c r="CY185" s="74" t="s">
        <v>1265</v>
      </c>
      <c r="CZ185" s="73">
        <f t="shared" si="875"/>
        <v>0</v>
      </c>
      <c r="DA185" s="64"/>
      <c r="DB185" s="74" t="s">
        <v>1265</v>
      </c>
      <c r="DC185" s="73">
        <f t="shared" si="876"/>
        <v>0</v>
      </c>
      <c r="DD185" s="64"/>
      <c r="DE185" s="74" t="s">
        <v>1265</v>
      </c>
      <c r="DF185" s="73">
        <f t="shared" si="877"/>
        <v>0</v>
      </c>
      <c r="DG185" s="64"/>
      <c r="DH185" s="74" t="s">
        <v>1260</v>
      </c>
      <c r="DI185" s="73">
        <f t="shared" si="878"/>
        <v>0</v>
      </c>
      <c r="DJ185" s="64"/>
      <c r="DK185" s="74" t="s">
        <v>1633</v>
      </c>
      <c r="DL185" s="73">
        <f t="shared" si="879"/>
        <v>0</v>
      </c>
      <c r="DM185" s="64"/>
      <c r="DN185" s="795" t="s">
        <v>1265</v>
      </c>
      <c r="DO185" s="73">
        <f t="shared" si="880"/>
        <v>0</v>
      </c>
      <c r="DP185" s="64"/>
      <c r="DQ185" s="795" t="s">
        <v>1633</v>
      </c>
      <c r="DR185" s="73">
        <f t="shared" si="881"/>
        <v>0</v>
      </c>
      <c r="DS185" s="64"/>
      <c r="DT185" s="74" t="s">
        <v>1258</v>
      </c>
      <c r="DU185" s="73">
        <f t="shared" si="882"/>
        <v>0</v>
      </c>
      <c r="DV185" s="64"/>
      <c r="DW185" s="74" t="s">
        <v>1265</v>
      </c>
      <c r="DX185" s="73">
        <f t="shared" si="883"/>
        <v>0</v>
      </c>
      <c r="DY185" s="64"/>
      <c r="DZ185" s="74" t="s">
        <v>1265</v>
      </c>
      <c r="EA185" s="73">
        <f t="shared" si="884"/>
        <v>0</v>
      </c>
      <c r="EB185" s="64"/>
      <c r="EC185" s="74" t="s">
        <v>1265</v>
      </c>
      <c r="ED185" s="73">
        <f t="shared" si="885"/>
        <v>0</v>
      </c>
      <c r="EE185" s="64"/>
      <c r="EF185" s="74" t="s">
        <v>1265</v>
      </c>
      <c r="EG185" s="73">
        <f t="shared" si="886"/>
        <v>0</v>
      </c>
      <c r="EH185" s="64"/>
      <c r="EI185" s="74" t="s">
        <v>1265</v>
      </c>
      <c r="EJ185" s="73">
        <f t="shared" si="887"/>
        <v>0</v>
      </c>
      <c r="EK185" s="64"/>
      <c r="EL185" s="74"/>
      <c r="EM185" s="73">
        <f t="shared" si="888"/>
        <v>0</v>
      </c>
      <c r="EN185" s="64"/>
      <c r="EO185" s="74"/>
      <c r="EP185" s="73">
        <f t="shared" si="889"/>
        <v>0</v>
      </c>
      <c r="EQ185" s="64"/>
      <c r="ER185" s="74"/>
      <c r="ES185" s="73">
        <f t="shared" si="890"/>
        <v>0</v>
      </c>
      <c r="ET185" s="64"/>
      <c r="EU185" s="74"/>
      <c r="EV185" s="73">
        <f t="shared" si="891"/>
        <v>0</v>
      </c>
      <c r="EW185" s="64"/>
      <c r="EX185" s="74"/>
      <c r="EY185" s="73">
        <f t="shared" si="892"/>
        <v>0</v>
      </c>
      <c r="EZ185" s="64"/>
      <c r="FA185" s="74"/>
      <c r="FB185" s="73">
        <f t="shared" si="893"/>
        <v>0</v>
      </c>
      <c r="FC185" s="64"/>
      <c r="FD185" s="74"/>
      <c r="FE185" s="73">
        <f t="shared" si="894"/>
        <v>0</v>
      </c>
      <c r="FF185" s="64"/>
      <c r="FG185" s="74"/>
      <c r="FH185" s="73">
        <f t="shared" si="895"/>
        <v>0</v>
      </c>
      <c r="FI185" s="64"/>
      <c r="FJ185" s="74"/>
      <c r="FK185" s="73">
        <f t="shared" si="896"/>
        <v>0</v>
      </c>
      <c r="FL185" s="64"/>
      <c r="FM185" s="64"/>
    </row>
    <row r="186" spans="1:169">
      <c r="A186" s="25"/>
      <c r="B186" s="25"/>
      <c r="C186" s="25"/>
      <c r="D186" s="25"/>
      <c r="E186" s="25"/>
      <c r="F186" s="407">
        <f t="shared" si="897"/>
        <v>4</v>
      </c>
      <c r="G186" s="407">
        <f ca="1">VLOOKUP(H186,Equipos!$Q$1:$R$25,2,0)</f>
        <v>20</v>
      </c>
      <c r="H186" s="446" t="str">
        <f>Idiomas!$D$260</f>
        <v>Dieciseisavos de final</v>
      </c>
      <c r="I186" s="50"/>
      <c r="J186" s="849"/>
      <c r="K186" s="56" t="str">
        <f>Idiomas!$D$199&amp;"-"&amp;ROWS($L$182:L186)</f>
        <v>Octavofinalista-5</v>
      </c>
      <c r="L186" s="53"/>
      <c r="M186" s="55" t="str">
        <f>WORLDCUP!AA124</f>
        <v>W83</v>
      </c>
      <c r="N186" s="25"/>
      <c r="O186" s="25"/>
      <c r="P186" s="25"/>
      <c r="Q186" s="25"/>
      <c r="R186" s="110"/>
      <c r="S186" s="74" t="s">
        <v>79</v>
      </c>
      <c r="T186" s="73">
        <f t="shared" si="847"/>
        <v>0</v>
      </c>
      <c r="U186" s="64"/>
      <c r="V186" s="74" t="s">
        <v>78</v>
      </c>
      <c r="W186" s="73">
        <f t="shared" si="848"/>
        <v>0</v>
      </c>
      <c r="X186" s="64"/>
      <c r="Y186" s="74" t="s">
        <v>1320</v>
      </c>
      <c r="Z186" s="73">
        <f t="shared" si="849"/>
        <v>0</v>
      </c>
      <c r="AA186" s="64"/>
      <c r="AB186" s="74" t="s">
        <v>1320</v>
      </c>
      <c r="AC186" s="73">
        <f t="shared" si="850"/>
        <v>0</v>
      </c>
      <c r="AD186" s="64"/>
      <c r="AE186" s="74" t="s">
        <v>78</v>
      </c>
      <c r="AF186" s="73">
        <f t="shared" si="851"/>
        <v>0</v>
      </c>
      <c r="AG186" s="64"/>
      <c r="AH186" s="74" t="s">
        <v>76</v>
      </c>
      <c r="AI186" s="73">
        <f t="shared" si="852"/>
        <v>0</v>
      </c>
      <c r="AJ186" s="64"/>
      <c r="AK186" s="74" t="s">
        <v>1320</v>
      </c>
      <c r="AL186" s="73">
        <f t="shared" si="853"/>
        <v>0</v>
      </c>
      <c r="AM186" s="64"/>
      <c r="AN186" s="74" t="s">
        <v>1320</v>
      </c>
      <c r="AO186" s="73">
        <f t="shared" si="854"/>
        <v>0</v>
      </c>
      <c r="AP186" s="64"/>
      <c r="AQ186" s="74" t="s">
        <v>1320</v>
      </c>
      <c r="AR186" s="73">
        <f t="shared" si="855"/>
        <v>0</v>
      </c>
      <c r="AS186" s="64"/>
      <c r="AT186" s="74" t="s">
        <v>1320</v>
      </c>
      <c r="AU186" s="73">
        <f t="shared" si="856"/>
        <v>0</v>
      </c>
      <c r="AV186" s="64"/>
      <c r="AW186" s="74" t="s">
        <v>1551</v>
      </c>
      <c r="AX186" s="73">
        <f t="shared" si="857"/>
        <v>0</v>
      </c>
      <c r="AY186" s="64"/>
      <c r="AZ186" s="74" t="s">
        <v>78</v>
      </c>
      <c r="BA186" s="73">
        <f t="shared" si="858"/>
        <v>0</v>
      </c>
      <c r="BB186" s="64"/>
      <c r="BC186" s="74" t="s">
        <v>76</v>
      </c>
      <c r="BD186" s="73">
        <f t="shared" si="859"/>
        <v>0</v>
      </c>
      <c r="BE186" s="64"/>
      <c r="BF186" s="74" t="s">
        <v>1320</v>
      </c>
      <c r="BG186" s="73">
        <f t="shared" si="860"/>
        <v>0</v>
      </c>
      <c r="BH186" s="64"/>
      <c r="BI186" s="74" t="s">
        <v>1320</v>
      </c>
      <c r="BJ186" s="73">
        <f t="shared" si="861"/>
        <v>0</v>
      </c>
      <c r="BK186" s="64"/>
      <c r="BL186" s="74" t="s">
        <v>1320</v>
      </c>
      <c r="BM186" s="73">
        <f t="shared" si="862"/>
        <v>0</v>
      </c>
      <c r="BN186" s="64"/>
      <c r="BO186" s="74" t="s">
        <v>78</v>
      </c>
      <c r="BP186" s="73">
        <f t="shared" si="863"/>
        <v>0</v>
      </c>
      <c r="BQ186" s="64"/>
      <c r="BR186" s="74" t="s">
        <v>1320</v>
      </c>
      <c r="BS186" s="73">
        <f t="shared" si="864"/>
        <v>0</v>
      </c>
      <c r="BT186" s="64"/>
      <c r="BU186" s="74" t="s">
        <v>1320</v>
      </c>
      <c r="BV186" s="73">
        <f t="shared" si="865"/>
        <v>0</v>
      </c>
      <c r="BW186" s="64"/>
      <c r="BX186" s="74" t="s">
        <v>79</v>
      </c>
      <c r="BY186" s="73">
        <f t="shared" si="866"/>
        <v>0</v>
      </c>
      <c r="BZ186" s="64"/>
      <c r="CA186" s="74" t="s">
        <v>78</v>
      </c>
      <c r="CB186" s="73">
        <f t="shared" si="867"/>
        <v>0</v>
      </c>
      <c r="CC186" s="64"/>
      <c r="CD186" s="74" t="s">
        <v>76</v>
      </c>
      <c r="CE186" s="73">
        <f t="shared" si="868"/>
        <v>0</v>
      </c>
      <c r="CF186" s="64"/>
      <c r="CG186" s="74" t="s">
        <v>78</v>
      </c>
      <c r="CH186" s="73">
        <f t="shared" si="869"/>
        <v>0</v>
      </c>
      <c r="CI186" s="64"/>
      <c r="CJ186" s="74" t="s">
        <v>78</v>
      </c>
      <c r="CK186" s="73">
        <f t="shared" si="870"/>
        <v>0</v>
      </c>
      <c r="CL186" s="64"/>
      <c r="CM186" s="74" t="s">
        <v>1320</v>
      </c>
      <c r="CN186" s="73">
        <f t="shared" si="871"/>
        <v>0</v>
      </c>
      <c r="CO186" s="64"/>
      <c r="CP186" s="74" t="s">
        <v>1320</v>
      </c>
      <c r="CQ186" s="73">
        <f t="shared" si="872"/>
        <v>0</v>
      </c>
      <c r="CR186" s="64"/>
      <c r="CS186" s="74" t="s">
        <v>78</v>
      </c>
      <c r="CT186" s="73">
        <f t="shared" si="873"/>
        <v>0</v>
      </c>
      <c r="CU186" s="64"/>
      <c r="CV186" s="74" t="s">
        <v>1320</v>
      </c>
      <c r="CW186" s="73">
        <f t="shared" si="874"/>
        <v>0</v>
      </c>
      <c r="CX186" s="64"/>
      <c r="CY186" s="74" t="s">
        <v>1320</v>
      </c>
      <c r="CZ186" s="73">
        <f t="shared" si="875"/>
        <v>0</v>
      </c>
      <c r="DA186" s="64"/>
      <c r="DB186" s="74" t="s">
        <v>1320</v>
      </c>
      <c r="DC186" s="73">
        <f t="shared" si="876"/>
        <v>0</v>
      </c>
      <c r="DD186" s="64"/>
      <c r="DE186" s="74" t="s">
        <v>78</v>
      </c>
      <c r="DF186" s="73">
        <f t="shared" si="877"/>
        <v>0</v>
      </c>
      <c r="DG186" s="64"/>
      <c r="DH186" s="74" t="s">
        <v>1320</v>
      </c>
      <c r="DI186" s="73">
        <f t="shared" si="878"/>
        <v>0</v>
      </c>
      <c r="DJ186" s="64"/>
      <c r="DK186" s="74" t="s">
        <v>76</v>
      </c>
      <c r="DL186" s="73">
        <f t="shared" si="879"/>
        <v>0</v>
      </c>
      <c r="DM186" s="64"/>
      <c r="DN186" s="795" t="s">
        <v>1320</v>
      </c>
      <c r="DO186" s="73">
        <f t="shared" si="880"/>
        <v>0</v>
      </c>
      <c r="DP186" s="64"/>
      <c r="DQ186" s="795" t="s">
        <v>76</v>
      </c>
      <c r="DR186" s="73">
        <f t="shared" si="881"/>
        <v>0</v>
      </c>
      <c r="DS186" s="64"/>
      <c r="DT186" s="74" t="s">
        <v>79</v>
      </c>
      <c r="DU186" s="73">
        <f t="shared" si="882"/>
        <v>0</v>
      </c>
      <c r="DV186" s="64"/>
      <c r="DW186" s="74" t="s">
        <v>1320</v>
      </c>
      <c r="DX186" s="73">
        <f t="shared" si="883"/>
        <v>0</v>
      </c>
      <c r="DY186" s="64"/>
      <c r="DZ186" s="74" t="s">
        <v>78</v>
      </c>
      <c r="EA186" s="73">
        <f t="shared" si="884"/>
        <v>0</v>
      </c>
      <c r="EB186" s="64"/>
      <c r="EC186" s="74" t="s">
        <v>78</v>
      </c>
      <c r="ED186" s="73">
        <f t="shared" si="885"/>
        <v>0</v>
      </c>
      <c r="EE186" s="64"/>
      <c r="EF186" s="74" t="s">
        <v>1320</v>
      </c>
      <c r="EG186" s="73">
        <f t="shared" si="886"/>
        <v>0</v>
      </c>
      <c r="EH186" s="64"/>
      <c r="EI186" s="74" t="s">
        <v>1320</v>
      </c>
      <c r="EJ186" s="73">
        <f t="shared" si="887"/>
        <v>0</v>
      </c>
      <c r="EK186" s="64"/>
      <c r="EL186" s="74"/>
      <c r="EM186" s="73">
        <f t="shared" si="888"/>
        <v>0</v>
      </c>
      <c r="EN186" s="64"/>
      <c r="EO186" s="74"/>
      <c r="EP186" s="73">
        <f t="shared" si="889"/>
        <v>0</v>
      </c>
      <c r="EQ186" s="64"/>
      <c r="ER186" s="74"/>
      <c r="ES186" s="73">
        <f t="shared" si="890"/>
        <v>0</v>
      </c>
      <c r="ET186" s="64"/>
      <c r="EU186" s="74"/>
      <c r="EV186" s="73">
        <f t="shared" si="891"/>
        <v>0</v>
      </c>
      <c r="EW186" s="64"/>
      <c r="EX186" s="74"/>
      <c r="EY186" s="73">
        <f t="shared" si="892"/>
        <v>0</v>
      </c>
      <c r="EZ186" s="64"/>
      <c r="FA186" s="74"/>
      <c r="FB186" s="73">
        <f t="shared" si="893"/>
        <v>0</v>
      </c>
      <c r="FC186" s="64"/>
      <c r="FD186" s="74"/>
      <c r="FE186" s="73">
        <f t="shared" si="894"/>
        <v>0</v>
      </c>
      <c r="FF186" s="64"/>
      <c r="FG186" s="74"/>
      <c r="FH186" s="73">
        <f t="shared" si="895"/>
        <v>0</v>
      </c>
      <c r="FI186" s="64"/>
      <c r="FJ186" s="74"/>
      <c r="FK186" s="73">
        <f t="shared" si="896"/>
        <v>0</v>
      </c>
      <c r="FL186" s="64"/>
      <c r="FM186" s="64"/>
    </row>
    <row r="187" spans="1:169">
      <c r="A187" s="25"/>
      <c r="B187" s="25"/>
      <c r="C187" s="25"/>
      <c r="D187" s="25"/>
      <c r="E187" s="25"/>
      <c r="F187" s="407">
        <f t="shared" si="897"/>
        <v>4</v>
      </c>
      <c r="G187" s="407">
        <f ca="1">VLOOKUP(H187,Equipos!$Q$1:$R$25,2,0)</f>
        <v>20</v>
      </c>
      <c r="H187" s="446" t="str">
        <f>Idiomas!$D$260</f>
        <v>Dieciseisavos de final</v>
      </c>
      <c r="I187" s="50"/>
      <c r="J187" s="849"/>
      <c r="K187" s="56" t="str">
        <f>Idiomas!$D$199&amp;"-"&amp;ROWS($L$182:L187)</f>
        <v>Octavofinalista-6</v>
      </c>
      <c r="L187" s="53"/>
      <c r="M187" s="55" t="str">
        <f>WORLDCUP!AA125</f>
        <v>W81</v>
      </c>
      <c r="N187" s="25"/>
      <c r="O187" s="25"/>
      <c r="P187" s="25"/>
      <c r="Q187" s="25"/>
      <c r="R187" s="110"/>
      <c r="S187" s="74" t="s">
        <v>497</v>
      </c>
      <c r="T187" s="73">
        <f t="shared" si="847"/>
        <v>0</v>
      </c>
      <c r="U187" s="64"/>
      <c r="V187" s="74" t="s">
        <v>135</v>
      </c>
      <c r="W187" s="73">
        <f t="shared" si="848"/>
        <v>0</v>
      </c>
      <c r="X187" s="64"/>
      <c r="Y187" s="74" t="s">
        <v>1835</v>
      </c>
      <c r="Z187" s="73">
        <f t="shared" si="849"/>
        <v>0</v>
      </c>
      <c r="AA187" s="64"/>
      <c r="AB187" s="76" t="s">
        <v>1835</v>
      </c>
      <c r="AC187" s="73">
        <f t="shared" si="850"/>
        <v>0</v>
      </c>
      <c r="AD187" s="64"/>
      <c r="AE187" s="74" t="s">
        <v>497</v>
      </c>
      <c r="AF187" s="73">
        <f t="shared" si="851"/>
        <v>0</v>
      </c>
      <c r="AG187" s="64"/>
      <c r="AH187" s="74" t="s">
        <v>497</v>
      </c>
      <c r="AI187" s="73">
        <f t="shared" si="852"/>
        <v>0</v>
      </c>
      <c r="AJ187" s="64"/>
      <c r="AK187" s="74" t="s">
        <v>1835</v>
      </c>
      <c r="AL187" s="73">
        <f t="shared" si="853"/>
        <v>0</v>
      </c>
      <c r="AM187" s="64"/>
      <c r="AN187" s="74" t="s">
        <v>1835</v>
      </c>
      <c r="AO187" s="73">
        <f t="shared" si="854"/>
        <v>0</v>
      </c>
      <c r="AP187" s="64"/>
      <c r="AQ187" s="74" t="s">
        <v>497</v>
      </c>
      <c r="AR187" s="73">
        <f t="shared" si="855"/>
        <v>0</v>
      </c>
      <c r="AS187" s="64"/>
      <c r="AT187" s="74" t="s">
        <v>1835</v>
      </c>
      <c r="AU187" s="73">
        <f t="shared" si="856"/>
        <v>0</v>
      </c>
      <c r="AV187" s="64"/>
      <c r="AW187" s="74" t="s">
        <v>1835</v>
      </c>
      <c r="AX187" s="73">
        <f t="shared" si="857"/>
        <v>0</v>
      </c>
      <c r="AY187" s="64"/>
      <c r="AZ187" s="74" t="s">
        <v>1835</v>
      </c>
      <c r="BA187" s="73">
        <f t="shared" si="858"/>
        <v>0</v>
      </c>
      <c r="BB187" s="64"/>
      <c r="BC187" s="74" t="s">
        <v>1835</v>
      </c>
      <c r="BD187" s="73">
        <f t="shared" si="859"/>
        <v>0</v>
      </c>
      <c r="BE187" s="64"/>
      <c r="BF187" s="74" t="s">
        <v>497</v>
      </c>
      <c r="BG187" s="73">
        <f t="shared" si="860"/>
        <v>0</v>
      </c>
      <c r="BH187" s="64"/>
      <c r="BI187" s="74" t="s">
        <v>1835</v>
      </c>
      <c r="BJ187" s="73">
        <f t="shared" si="861"/>
        <v>0</v>
      </c>
      <c r="BK187" s="64"/>
      <c r="BL187" s="74" t="s">
        <v>497</v>
      </c>
      <c r="BM187" s="73">
        <f t="shared" si="862"/>
        <v>0</v>
      </c>
      <c r="BN187" s="64"/>
      <c r="BO187" s="74" t="s">
        <v>1835</v>
      </c>
      <c r="BP187" s="73">
        <f t="shared" si="863"/>
        <v>0</v>
      </c>
      <c r="BQ187" s="64"/>
      <c r="BR187" s="74" t="s">
        <v>1835</v>
      </c>
      <c r="BS187" s="73">
        <f t="shared" si="864"/>
        <v>0</v>
      </c>
      <c r="BT187" s="64"/>
      <c r="BU187" s="74" t="s">
        <v>1835</v>
      </c>
      <c r="BV187" s="73">
        <f t="shared" si="865"/>
        <v>0</v>
      </c>
      <c r="BW187" s="64"/>
      <c r="BX187" s="74" t="s">
        <v>1835</v>
      </c>
      <c r="BY187" s="73">
        <f t="shared" si="866"/>
        <v>0</v>
      </c>
      <c r="BZ187" s="64"/>
      <c r="CA187" s="74" t="s">
        <v>1835</v>
      </c>
      <c r="CB187" s="73">
        <f t="shared" si="867"/>
        <v>0</v>
      </c>
      <c r="CC187" s="64"/>
      <c r="CD187" s="74" t="s">
        <v>1835</v>
      </c>
      <c r="CE187" s="73">
        <f t="shared" si="868"/>
        <v>0</v>
      </c>
      <c r="CF187" s="64"/>
      <c r="CG187" s="74" t="s">
        <v>497</v>
      </c>
      <c r="CH187" s="73">
        <f t="shared" si="869"/>
        <v>0</v>
      </c>
      <c r="CI187" s="64"/>
      <c r="CJ187" s="74" t="s">
        <v>497</v>
      </c>
      <c r="CK187" s="73">
        <f t="shared" si="870"/>
        <v>0</v>
      </c>
      <c r="CL187" s="64"/>
      <c r="CM187" s="74" t="s">
        <v>1835</v>
      </c>
      <c r="CN187" s="73">
        <f t="shared" si="871"/>
        <v>0</v>
      </c>
      <c r="CO187" s="64"/>
      <c r="CP187" s="74" t="s">
        <v>1835</v>
      </c>
      <c r="CQ187" s="73">
        <f t="shared" si="872"/>
        <v>0</v>
      </c>
      <c r="CR187" s="64"/>
      <c r="CS187" s="74" t="s">
        <v>1835</v>
      </c>
      <c r="CT187" s="73">
        <f t="shared" si="873"/>
        <v>0</v>
      </c>
      <c r="CU187" s="64"/>
      <c r="CV187" s="74" t="s">
        <v>1835</v>
      </c>
      <c r="CW187" s="73">
        <f t="shared" si="874"/>
        <v>0</v>
      </c>
      <c r="CX187" s="64"/>
      <c r="CY187" s="74" t="s">
        <v>1835</v>
      </c>
      <c r="CZ187" s="73">
        <f t="shared" si="875"/>
        <v>0</v>
      </c>
      <c r="DA187" s="64"/>
      <c r="DB187" s="74" t="s">
        <v>1835</v>
      </c>
      <c r="DC187" s="73">
        <f t="shared" si="876"/>
        <v>0</v>
      </c>
      <c r="DD187" s="64"/>
      <c r="DE187" s="74" t="s">
        <v>1835</v>
      </c>
      <c r="DF187" s="73">
        <f t="shared" si="877"/>
        <v>0</v>
      </c>
      <c r="DG187" s="64"/>
      <c r="DH187" s="74" t="s">
        <v>1835</v>
      </c>
      <c r="DI187" s="73">
        <f t="shared" si="878"/>
        <v>0</v>
      </c>
      <c r="DJ187" s="64"/>
      <c r="DK187" s="74" t="s">
        <v>1835</v>
      </c>
      <c r="DL187" s="73">
        <f t="shared" si="879"/>
        <v>0</v>
      </c>
      <c r="DM187" s="64"/>
      <c r="DN187" s="795" t="s">
        <v>1835</v>
      </c>
      <c r="DO187" s="73">
        <f t="shared" si="880"/>
        <v>0</v>
      </c>
      <c r="DP187" s="64"/>
      <c r="DQ187" s="795" t="s">
        <v>497</v>
      </c>
      <c r="DR187" s="73">
        <f t="shared" si="881"/>
        <v>0</v>
      </c>
      <c r="DS187" s="64"/>
      <c r="DT187" s="74" t="s">
        <v>497</v>
      </c>
      <c r="DU187" s="73">
        <f t="shared" si="882"/>
        <v>0</v>
      </c>
      <c r="DV187" s="64"/>
      <c r="DW187" s="74" t="s">
        <v>1633</v>
      </c>
      <c r="DX187" s="73">
        <f t="shared" si="883"/>
        <v>0</v>
      </c>
      <c r="DY187" s="64"/>
      <c r="DZ187" s="74" t="s">
        <v>497</v>
      </c>
      <c r="EA187" s="73">
        <f t="shared" si="884"/>
        <v>0</v>
      </c>
      <c r="EB187" s="64"/>
      <c r="EC187" s="74" t="s">
        <v>1835</v>
      </c>
      <c r="ED187" s="73">
        <f t="shared" si="885"/>
        <v>0</v>
      </c>
      <c r="EE187" s="64"/>
      <c r="EF187" s="74" t="s">
        <v>497</v>
      </c>
      <c r="EG187" s="73">
        <f t="shared" si="886"/>
        <v>0</v>
      </c>
      <c r="EH187" s="64"/>
      <c r="EI187" s="74" t="s">
        <v>1835</v>
      </c>
      <c r="EJ187" s="73">
        <f t="shared" si="887"/>
        <v>0</v>
      </c>
      <c r="EK187" s="64"/>
      <c r="EL187" s="74"/>
      <c r="EM187" s="73">
        <f t="shared" si="888"/>
        <v>0</v>
      </c>
      <c r="EN187" s="64"/>
      <c r="EO187" s="74"/>
      <c r="EP187" s="73">
        <f t="shared" si="889"/>
        <v>0</v>
      </c>
      <c r="EQ187" s="64"/>
      <c r="ER187" s="74"/>
      <c r="ES187" s="73">
        <f t="shared" si="890"/>
        <v>0</v>
      </c>
      <c r="ET187" s="64"/>
      <c r="EU187" s="74"/>
      <c r="EV187" s="73">
        <f t="shared" si="891"/>
        <v>0</v>
      </c>
      <c r="EW187" s="64"/>
      <c r="EX187" s="74"/>
      <c r="EY187" s="73">
        <f t="shared" si="892"/>
        <v>0</v>
      </c>
      <c r="EZ187" s="64"/>
      <c r="FA187" s="74"/>
      <c r="FB187" s="73">
        <f t="shared" si="893"/>
        <v>0</v>
      </c>
      <c r="FC187" s="64"/>
      <c r="FD187" s="74"/>
      <c r="FE187" s="73">
        <f t="shared" si="894"/>
        <v>0</v>
      </c>
      <c r="FF187" s="64"/>
      <c r="FG187" s="74"/>
      <c r="FH187" s="73">
        <f t="shared" si="895"/>
        <v>0</v>
      </c>
      <c r="FI187" s="64"/>
      <c r="FJ187" s="74"/>
      <c r="FK187" s="73">
        <f t="shared" si="896"/>
        <v>0</v>
      </c>
      <c r="FL187" s="64"/>
      <c r="FM187" s="64"/>
    </row>
    <row r="188" spans="1:169">
      <c r="A188" s="25"/>
      <c r="B188" s="25"/>
      <c r="C188" s="25"/>
      <c r="D188" s="25"/>
      <c r="E188" s="25"/>
      <c r="F188" s="407">
        <f t="shared" si="897"/>
        <v>4</v>
      </c>
      <c r="G188" s="407">
        <f ca="1">VLOOKUP(H188,Equipos!$Q$1:$R$25,2,0)</f>
        <v>20</v>
      </c>
      <c r="H188" s="446" t="str">
        <f>Idiomas!$D$260</f>
        <v>Dieciseisavos de final</v>
      </c>
      <c r="I188" s="50"/>
      <c r="J188" s="849"/>
      <c r="K188" s="56" t="str">
        <f>Idiomas!$D$199&amp;"-"&amp;ROWS($L$182:L188)</f>
        <v>Octavofinalista-7</v>
      </c>
      <c r="L188" s="53"/>
      <c r="M188" s="55" t="str">
        <f>WORLDCUP!AA126</f>
        <v>W86</v>
      </c>
      <c r="N188" s="25"/>
      <c r="O188" s="25"/>
      <c r="P188" s="25"/>
      <c r="Q188" s="25"/>
      <c r="R188" s="110"/>
      <c r="S188" s="74" t="s">
        <v>1256</v>
      </c>
      <c r="T188" s="73">
        <f t="shared" si="847"/>
        <v>0</v>
      </c>
      <c r="U188" s="64"/>
      <c r="V188" s="74" t="s">
        <v>1256</v>
      </c>
      <c r="W188" s="73">
        <f t="shared" si="848"/>
        <v>0</v>
      </c>
      <c r="X188" s="64"/>
      <c r="Y188" s="74" t="s">
        <v>1256</v>
      </c>
      <c r="Z188" s="73">
        <f t="shared" si="849"/>
        <v>0</v>
      </c>
      <c r="AA188" s="64"/>
      <c r="AB188" s="74" t="s">
        <v>1256</v>
      </c>
      <c r="AC188" s="73">
        <f t="shared" si="850"/>
        <v>0</v>
      </c>
      <c r="AD188" s="64"/>
      <c r="AE188" s="74" t="s">
        <v>1256</v>
      </c>
      <c r="AF188" s="73">
        <f t="shared" si="851"/>
        <v>0</v>
      </c>
      <c r="AG188" s="64"/>
      <c r="AH188" s="74" t="s">
        <v>1256</v>
      </c>
      <c r="AI188" s="73">
        <f t="shared" si="852"/>
        <v>0</v>
      </c>
      <c r="AJ188" s="64"/>
      <c r="AK188" s="74" t="s">
        <v>1256</v>
      </c>
      <c r="AL188" s="73">
        <f t="shared" si="853"/>
        <v>0</v>
      </c>
      <c r="AM188" s="64"/>
      <c r="AN188" s="74" t="s">
        <v>1318</v>
      </c>
      <c r="AO188" s="73">
        <f t="shared" si="854"/>
        <v>0</v>
      </c>
      <c r="AP188" s="64"/>
      <c r="AQ188" s="74" t="s">
        <v>1256</v>
      </c>
      <c r="AR188" s="73">
        <f t="shared" si="855"/>
        <v>0</v>
      </c>
      <c r="AS188" s="64"/>
      <c r="AT188" s="74" t="s">
        <v>1318</v>
      </c>
      <c r="AU188" s="73">
        <f t="shared" si="856"/>
        <v>0</v>
      </c>
      <c r="AV188" s="64"/>
      <c r="AW188" s="74" t="s">
        <v>1256</v>
      </c>
      <c r="AX188" s="73">
        <f t="shared" si="857"/>
        <v>0</v>
      </c>
      <c r="AY188" s="64"/>
      <c r="AZ188" s="74" t="s">
        <v>1256</v>
      </c>
      <c r="BA188" s="73">
        <f t="shared" si="858"/>
        <v>0</v>
      </c>
      <c r="BB188" s="64"/>
      <c r="BC188" s="74" t="s">
        <v>1256</v>
      </c>
      <c r="BD188" s="73">
        <f t="shared" si="859"/>
        <v>0</v>
      </c>
      <c r="BE188" s="64"/>
      <c r="BF188" s="74" t="s">
        <v>1256</v>
      </c>
      <c r="BG188" s="73">
        <f t="shared" si="860"/>
        <v>0</v>
      </c>
      <c r="BH188" s="64"/>
      <c r="BI188" s="74" t="s">
        <v>1256</v>
      </c>
      <c r="BJ188" s="73">
        <f t="shared" si="861"/>
        <v>0</v>
      </c>
      <c r="BK188" s="64"/>
      <c r="BL188" s="74" t="s">
        <v>1256</v>
      </c>
      <c r="BM188" s="73">
        <f t="shared" si="862"/>
        <v>0</v>
      </c>
      <c r="BN188" s="64"/>
      <c r="BO188" s="74" t="s">
        <v>1256</v>
      </c>
      <c r="BP188" s="73">
        <f t="shared" si="863"/>
        <v>0</v>
      </c>
      <c r="BQ188" s="64"/>
      <c r="BR188" s="74" t="s">
        <v>1256</v>
      </c>
      <c r="BS188" s="73">
        <f t="shared" si="864"/>
        <v>0</v>
      </c>
      <c r="BT188" s="64"/>
      <c r="BU188" s="74" t="s">
        <v>1256</v>
      </c>
      <c r="BV188" s="73">
        <f t="shared" si="865"/>
        <v>0</v>
      </c>
      <c r="BW188" s="64"/>
      <c r="BX188" s="74" t="s">
        <v>1256</v>
      </c>
      <c r="BY188" s="73">
        <f t="shared" si="866"/>
        <v>0</v>
      </c>
      <c r="BZ188" s="64"/>
      <c r="CA188" s="74" t="s">
        <v>1256</v>
      </c>
      <c r="CB188" s="73">
        <f t="shared" si="867"/>
        <v>0</v>
      </c>
      <c r="CC188" s="64"/>
      <c r="CD188" s="74" t="s">
        <v>1256</v>
      </c>
      <c r="CE188" s="73">
        <f t="shared" si="868"/>
        <v>0</v>
      </c>
      <c r="CF188" s="64"/>
      <c r="CG188" s="74" t="s">
        <v>1256</v>
      </c>
      <c r="CH188" s="73">
        <f t="shared" si="869"/>
        <v>0</v>
      </c>
      <c r="CI188" s="64"/>
      <c r="CJ188" s="74" t="s">
        <v>1256</v>
      </c>
      <c r="CK188" s="73">
        <f t="shared" si="870"/>
        <v>0</v>
      </c>
      <c r="CL188" s="64"/>
      <c r="CM188" s="74" t="s">
        <v>1256</v>
      </c>
      <c r="CN188" s="73">
        <f t="shared" si="871"/>
        <v>0</v>
      </c>
      <c r="CO188" s="64"/>
      <c r="CP188" s="74" t="s">
        <v>1256</v>
      </c>
      <c r="CQ188" s="73">
        <f t="shared" si="872"/>
        <v>0</v>
      </c>
      <c r="CR188" s="64"/>
      <c r="CS188" s="74" t="s">
        <v>1256</v>
      </c>
      <c r="CT188" s="73">
        <f t="shared" si="873"/>
        <v>0</v>
      </c>
      <c r="CU188" s="64"/>
      <c r="CV188" s="74" t="s">
        <v>1256</v>
      </c>
      <c r="CW188" s="73">
        <f t="shared" si="874"/>
        <v>0</v>
      </c>
      <c r="CX188" s="64"/>
      <c r="CY188" s="74" t="s">
        <v>1256</v>
      </c>
      <c r="CZ188" s="73">
        <f t="shared" si="875"/>
        <v>0</v>
      </c>
      <c r="DA188" s="64"/>
      <c r="DB188" s="74" t="s">
        <v>1256</v>
      </c>
      <c r="DC188" s="73">
        <f t="shared" si="876"/>
        <v>0</v>
      </c>
      <c r="DD188" s="64"/>
      <c r="DE188" s="74" t="s">
        <v>1256</v>
      </c>
      <c r="DF188" s="73">
        <f t="shared" si="877"/>
        <v>0</v>
      </c>
      <c r="DG188" s="64"/>
      <c r="DH188" s="74" t="s">
        <v>1256</v>
      </c>
      <c r="DI188" s="73">
        <f t="shared" si="878"/>
        <v>0</v>
      </c>
      <c r="DJ188" s="64"/>
      <c r="DK188" s="74" t="s">
        <v>1256</v>
      </c>
      <c r="DL188" s="73">
        <f t="shared" si="879"/>
        <v>0</v>
      </c>
      <c r="DM188" s="64"/>
      <c r="DN188" s="795" t="s">
        <v>1256</v>
      </c>
      <c r="DO188" s="73">
        <f t="shared" si="880"/>
        <v>0</v>
      </c>
      <c r="DP188" s="64"/>
      <c r="DQ188" s="795" t="s">
        <v>1256</v>
      </c>
      <c r="DR188" s="73">
        <f t="shared" si="881"/>
        <v>0</v>
      </c>
      <c r="DS188" s="64"/>
      <c r="DT188" s="74" t="s">
        <v>1318</v>
      </c>
      <c r="DU188" s="73">
        <f t="shared" si="882"/>
        <v>0</v>
      </c>
      <c r="DV188" s="64"/>
      <c r="DW188" s="74" t="s">
        <v>1256</v>
      </c>
      <c r="DX188" s="73">
        <f t="shared" si="883"/>
        <v>0</v>
      </c>
      <c r="DY188" s="64"/>
      <c r="DZ188" s="74" t="s">
        <v>1256</v>
      </c>
      <c r="EA188" s="73">
        <f t="shared" si="884"/>
        <v>0</v>
      </c>
      <c r="EB188" s="64"/>
      <c r="EC188" s="74" t="s">
        <v>1256</v>
      </c>
      <c r="ED188" s="73">
        <f t="shared" si="885"/>
        <v>0</v>
      </c>
      <c r="EE188" s="64"/>
      <c r="EF188" s="74" t="s">
        <v>1318</v>
      </c>
      <c r="EG188" s="73">
        <f t="shared" si="886"/>
        <v>0</v>
      </c>
      <c r="EH188" s="64"/>
      <c r="EI188" s="74" t="s">
        <v>1256</v>
      </c>
      <c r="EJ188" s="73">
        <f t="shared" si="887"/>
        <v>0</v>
      </c>
      <c r="EK188" s="64"/>
      <c r="EL188" s="74"/>
      <c r="EM188" s="73">
        <f t="shared" si="888"/>
        <v>0</v>
      </c>
      <c r="EN188" s="64"/>
      <c r="EO188" s="74"/>
      <c r="EP188" s="73">
        <f t="shared" si="889"/>
        <v>0</v>
      </c>
      <c r="EQ188" s="64"/>
      <c r="ER188" s="74"/>
      <c r="ES188" s="73">
        <f t="shared" si="890"/>
        <v>0</v>
      </c>
      <c r="ET188" s="64"/>
      <c r="EU188" s="74"/>
      <c r="EV188" s="73">
        <f t="shared" si="891"/>
        <v>0</v>
      </c>
      <c r="EW188" s="64"/>
      <c r="EX188" s="74"/>
      <c r="EY188" s="73">
        <f t="shared" si="892"/>
        <v>0</v>
      </c>
      <c r="EZ188" s="64"/>
      <c r="FA188" s="74"/>
      <c r="FB188" s="73">
        <f t="shared" si="893"/>
        <v>0</v>
      </c>
      <c r="FC188" s="64"/>
      <c r="FD188" s="74"/>
      <c r="FE188" s="73">
        <f t="shared" si="894"/>
        <v>0</v>
      </c>
      <c r="FF188" s="64"/>
      <c r="FG188" s="74"/>
      <c r="FH188" s="73">
        <f t="shared" si="895"/>
        <v>0</v>
      </c>
      <c r="FI188" s="64"/>
      <c r="FJ188" s="74"/>
      <c r="FK188" s="73">
        <f t="shared" si="896"/>
        <v>0</v>
      </c>
      <c r="FL188" s="64"/>
      <c r="FM188" s="64"/>
    </row>
    <row r="189" spans="1:169">
      <c r="A189" s="25"/>
      <c r="B189" s="25"/>
      <c r="C189" s="25"/>
      <c r="D189" s="25"/>
      <c r="E189" s="25"/>
      <c r="F189" s="407">
        <f t="shared" si="897"/>
        <v>4</v>
      </c>
      <c r="G189" s="407">
        <f ca="1">VLOOKUP(H189,Equipos!$Q$1:$R$25,2,0)</f>
        <v>20</v>
      </c>
      <c r="H189" s="446" t="str">
        <f>Idiomas!$D$260</f>
        <v>Dieciseisavos de final</v>
      </c>
      <c r="I189" s="50"/>
      <c r="J189" s="849"/>
      <c r="K189" s="56" t="str">
        <f>Idiomas!$D$199&amp;"-"&amp;ROWS($L$182:L189)</f>
        <v>Octavofinalista-8</v>
      </c>
      <c r="L189" s="53"/>
      <c r="M189" s="55" t="str">
        <f>WORLDCUP!AA127</f>
        <v>W85</v>
      </c>
      <c r="N189" s="25"/>
      <c r="O189" s="25"/>
      <c r="P189" s="25"/>
      <c r="Q189" s="25"/>
      <c r="R189" s="110"/>
      <c r="S189" s="74" t="s">
        <v>1558</v>
      </c>
      <c r="T189" s="73">
        <f t="shared" si="847"/>
        <v>0</v>
      </c>
      <c r="U189" s="64"/>
      <c r="V189" s="74" t="s">
        <v>75</v>
      </c>
      <c r="W189" s="73">
        <f t="shared" si="848"/>
        <v>0</v>
      </c>
      <c r="X189" s="64"/>
      <c r="Y189" s="74" t="s">
        <v>1261</v>
      </c>
      <c r="Z189" s="73">
        <f t="shared" si="849"/>
        <v>0</v>
      </c>
      <c r="AA189" s="64"/>
      <c r="AB189" s="74" t="s">
        <v>75</v>
      </c>
      <c r="AC189" s="73">
        <f t="shared" si="850"/>
        <v>0</v>
      </c>
      <c r="AD189" s="64"/>
      <c r="AE189" s="74" t="s">
        <v>75</v>
      </c>
      <c r="AF189" s="73">
        <f t="shared" si="851"/>
        <v>0</v>
      </c>
      <c r="AG189" s="64"/>
      <c r="AH189" s="74" t="s">
        <v>75</v>
      </c>
      <c r="AI189" s="73">
        <f t="shared" si="852"/>
        <v>0</v>
      </c>
      <c r="AJ189" s="64"/>
      <c r="AK189" s="74" t="s">
        <v>75</v>
      </c>
      <c r="AL189" s="73">
        <f t="shared" si="853"/>
        <v>0</v>
      </c>
      <c r="AM189" s="64"/>
      <c r="AN189" s="74" t="s">
        <v>80</v>
      </c>
      <c r="AO189" s="73">
        <f t="shared" si="854"/>
        <v>0</v>
      </c>
      <c r="AP189" s="64"/>
      <c r="AQ189" s="74" t="s">
        <v>75</v>
      </c>
      <c r="AR189" s="73">
        <f t="shared" si="855"/>
        <v>0</v>
      </c>
      <c r="AS189" s="64"/>
      <c r="AT189" s="74" t="s">
        <v>75</v>
      </c>
      <c r="AU189" s="73">
        <f t="shared" si="856"/>
        <v>0</v>
      </c>
      <c r="AV189" s="64"/>
      <c r="AW189" s="74" t="s">
        <v>80</v>
      </c>
      <c r="AX189" s="73">
        <f t="shared" si="857"/>
        <v>0</v>
      </c>
      <c r="AY189" s="64"/>
      <c r="AZ189" s="74" t="s">
        <v>1266</v>
      </c>
      <c r="BA189" s="73">
        <f t="shared" si="858"/>
        <v>0</v>
      </c>
      <c r="BB189" s="64"/>
      <c r="BC189" s="74" t="s">
        <v>75</v>
      </c>
      <c r="BD189" s="73">
        <f t="shared" si="859"/>
        <v>0</v>
      </c>
      <c r="BE189" s="64"/>
      <c r="BF189" s="74" t="s">
        <v>75</v>
      </c>
      <c r="BG189" s="73">
        <f t="shared" si="860"/>
        <v>0</v>
      </c>
      <c r="BH189" s="64"/>
      <c r="BI189" s="74" t="s">
        <v>75</v>
      </c>
      <c r="BJ189" s="73">
        <f t="shared" si="861"/>
        <v>0</v>
      </c>
      <c r="BK189" s="64"/>
      <c r="BL189" s="74" t="s">
        <v>75</v>
      </c>
      <c r="BM189" s="73">
        <f t="shared" si="862"/>
        <v>0</v>
      </c>
      <c r="BN189" s="64"/>
      <c r="BO189" s="74" t="s">
        <v>75</v>
      </c>
      <c r="BP189" s="73">
        <f t="shared" si="863"/>
        <v>0</v>
      </c>
      <c r="BQ189" s="64"/>
      <c r="BR189" s="74" t="s">
        <v>75</v>
      </c>
      <c r="BS189" s="73">
        <f t="shared" si="864"/>
        <v>0</v>
      </c>
      <c r="BT189" s="64"/>
      <c r="BU189" s="74" t="s">
        <v>75</v>
      </c>
      <c r="BV189" s="73">
        <f t="shared" si="865"/>
        <v>0</v>
      </c>
      <c r="BW189" s="64"/>
      <c r="BX189" s="74" t="s">
        <v>75</v>
      </c>
      <c r="BY189" s="73">
        <f t="shared" si="866"/>
        <v>0</v>
      </c>
      <c r="BZ189" s="64"/>
      <c r="CA189" s="74" t="s">
        <v>75</v>
      </c>
      <c r="CB189" s="73">
        <f t="shared" si="867"/>
        <v>0</v>
      </c>
      <c r="CC189" s="64"/>
      <c r="CD189" s="74" t="s">
        <v>75</v>
      </c>
      <c r="CE189" s="73">
        <f t="shared" si="868"/>
        <v>0</v>
      </c>
      <c r="CF189" s="64"/>
      <c r="CG189" s="74" t="s">
        <v>1259</v>
      </c>
      <c r="CH189" s="73">
        <f t="shared" si="869"/>
        <v>0</v>
      </c>
      <c r="CI189" s="64"/>
      <c r="CJ189" s="74" t="s">
        <v>75</v>
      </c>
      <c r="CK189" s="73">
        <f t="shared" si="870"/>
        <v>0</v>
      </c>
      <c r="CL189" s="64"/>
      <c r="CM189" s="74" t="s">
        <v>75</v>
      </c>
      <c r="CN189" s="73">
        <f t="shared" si="871"/>
        <v>0</v>
      </c>
      <c r="CO189" s="64"/>
      <c r="CP189" s="74" t="s">
        <v>75</v>
      </c>
      <c r="CQ189" s="73">
        <f t="shared" si="872"/>
        <v>0</v>
      </c>
      <c r="CR189" s="64"/>
      <c r="CS189" s="74" t="s">
        <v>75</v>
      </c>
      <c r="CT189" s="73">
        <f t="shared" si="873"/>
        <v>0</v>
      </c>
      <c r="CU189" s="64"/>
      <c r="CV189" s="74" t="s">
        <v>75</v>
      </c>
      <c r="CW189" s="73">
        <f t="shared" si="874"/>
        <v>0</v>
      </c>
      <c r="CX189" s="64"/>
      <c r="CY189" s="74" t="s">
        <v>75</v>
      </c>
      <c r="CZ189" s="73">
        <f t="shared" si="875"/>
        <v>0</v>
      </c>
      <c r="DA189" s="64"/>
      <c r="DB189" s="74" t="s">
        <v>75</v>
      </c>
      <c r="DC189" s="73">
        <f t="shared" si="876"/>
        <v>0</v>
      </c>
      <c r="DD189" s="64"/>
      <c r="DE189" s="74" t="s">
        <v>75</v>
      </c>
      <c r="DF189" s="73">
        <f t="shared" si="877"/>
        <v>0</v>
      </c>
      <c r="DG189" s="64"/>
      <c r="DH189" s="74" t="s">
        <v>75</v>
      </c>
      <c r="DI189" s="73">
        <f t="shared" si="878"/>
        <v>0</v>
      </c>
      <c r="DJ189" s="64"/>
      <c r="DK189" s="74" t="s">
        <v>75</v>
      </c>
      <c r="DL189" s="73">
        <f t="shared" si="879"/>
        <v>0</v>
      </c>
      <c r="DM189" s="64"/>
      <c r="DN189" s="795" t="s">
        <v>75</v>
      </c>
      <c r="DO189" s="73">
        <f t="shared" si="880"/>
        <v>0</v>
      </c>
      <c r="DP189" s="64"/>
      <c r="DQ189" s="795" t="s">
        <v>75</v>
      </c>
      <c r="DR189" s="73">
        <f t="shared" si="881"/>
        <v>0</v>
      </c>
      <c r="DS189" s="64"/>
      <c r="DT189" s="74" t="s">
        <v>75</v>
      </c>
      <c r="DU189" s="73">
        <f t="shared" si="882"/>
        <v>0</v>
      </c>
      <c r="DV189" s="64"/>
      <c r="DW189" s="74" t="s">
        <v>75</v>
      </c>
      <c r="DX189" s="73">
        <f t="shared" si="883"/>
        <v>0</v>
      </c>
      <c r="DY189" s="64"/>
      <c r="DZ189" s="74" t="s">
        <v>1259</v>
      </c>
      <c r="EA189" s="73">
        <f t="shared" si="884"/>
        <v>0</v>
      </c>
      <c r="EB189" s="64"/>
      <c r="EC189" s="74" t="s">
        <v>75</v>
      </c>
      <c r="ED189" s="73">
        <f t="shared" si="885"/>
        <v>0</v>
      </c>
      <c r="EE189" s="64"/>
      <c r="EF189" s="74" t="s">
        <v>75</v>
      </c>
      <c r="EG189" s="73">
        <f t="shared" si="886"/>
        <v>0</v>
      </c>
      <c r="EH189" s="64"/>
      <c r="EI189" s="74" t="s">
        <v>75</v>
      </c>
      <c r="EJ189" s="73">
        <f t="shared" si="887"/>
        <v>0</v>
      </c>
      <c r="EK189" s="64"/>
      <c r="EL189" s="74"/>
      <c r="EM189" s="73">
        <f t="shared" si="888"/>
        <v>0</v>
      </c>
      <c r="EN189" s="64"/>
      <c r="EO189" s="74"/>
      <c r="EP189" s="73">
        <f t="shared" si="889"/>
        <v>0</v>
      </c>
      <c r="EQ189" s="64"/>
      <c r="ER189" s="74"/>
      <c r="ES189" s="73">
        <f t="shared" si="890"/>
        <v>0</v>
      </c>
      <c r="ET189" s="64"/>
      <c r="EU189" s="74"/>
      <c r="EV189" s="73">
        <f t="shared" si="891"/>
        <v>0</v>
      </c>
      <c r="EW189" s="64"/>
      <c r="EX189" s="74"/>
      <c r="EY189" s="73">
        <f t="shared" si="892"/>
        <v>0</v>
      </c>
      <c r="EZ189" s="64"/>
      <c r="FA189" s="74"/>
      <c r="FB189" s="73">
        <f t="shared" si="893"/>
        <v>0</v>
      </c>
      <c r="FC189" s="64"/>
      <c r="FD189" s="74"/>
      <c r="FE189" s="73">
        <f t="shared" si="894"/>
        <v>0</v>
      </c>
      <c r="FF189" s="64"/>
      <c r="FG189" s="74"/>
      <c r="FH189" s="73">
        <f t="shared" si="895"/>
        <v>0</v>
      </c>
      <c r="FI189" s="64"/>
      <c r="FJ189" s="74"/>
      <c r="FK189" s="73">
        <f t="shared" si="896"/>
        <v>0</v>
      </c>
      <c r="FL189" s="64"/>
      <c r="FM189" s="64"/>
    </row>
    <row r="190" spans="1:169">
      <c r="A190" s="25"/>
      <c r="B190" s="25"/>
      <c r="C190" s="25"/>
      <c r="D190" s="25"/>
      <c r="E190" s="25"/>
      <c r="F190" s="407">
        <f t="shared" si="897"/>
        <v>4</v>
      </c>
      <c r="G190" s="407">
        <f ca="1">VLOOKUP(H190,Equipos!$Q$1:$R$25,2,0)</f>
        <v>20</v>
      </c>
      <c r="H190" s="446" t="str">
        <f>Idiomas!$D$260</f>
        <v>Dieciseisavos de final</v>
      </c>
      <c r="I190" s="50"/>
      <c r="J190" s="849"/>
      <c r="K190" s="56" t="str">
        <f>Idiomas!$D$199&amp;"-"&amp;ROWS($L$182:L190)</f>
        <v>Octavofinalista-9</v>
      </c>
      <c r="L190" s="53"/>
      <c r="M190" s="55" t="str">
        <f>WORLDCUP!AF120</f>
        <v>W75</v>
      </c>
      <c r="N190" s="25"/>
      <c r="O190" s="25"/>
      <c r="P190" s="25"/>
      <c r="Q190" s="25"/>
      <c r="R190" s="110"/>
      <c r="S190" s="74" t="s">
        <v>1321</v>
      </c>
      <c r="T190" s="73">
        <f t="shared" si="847"/>
        <v>0</v>
      </c>
      <c r="U190" s="64"/>
      <c r="V190" s="74" t="s">
        <v>111</v>
      </c>
      <c r="W190" s="73">
        <f t="shared" si="848"/>
        <v>0</v>
      </c>
      <c r="X190" s="64"/>
      <c r="Y190" s="74" t="s">
        <v>111</v>
      </c>
      <c r="Z190" s="73">
        <f t="shared" si="849"/>
        <v>0</v>
      </c>
      <c r="AA190" s="64"/>
      <c r="AB190" s="74" t="s">
        <v>111</v>
      </c>
      <c r="AC190" s="73">
        <f t="shared" si="850"/>
        <v>0</v>
      </c>
      <c r="AD190" s="64"/>
      <c r="AE190" s="74" t="s">
        <v>1321</v>
      </c>
      <c r="AF190" s="73">
        <f t="shared" si="851"/>
        <v>0</v>
      </c>
      <c r="AG190" s="64"/>
      <c r="AH190" s="74" t="s">
        <v>1258</v>
      </c>
      <c r="AI190" s="73">
        <f t="shared" si="852"/>
        <v>0</v>
      </c>
      <c r="AJ190" s="64"/>
      <c r="AK190" s="74" t="s">
        <v>111</v>
      </c>
      <c r="AL190" s="73">
        <f t="shared" si="853"/>
        <v>0</v>
      </c>
      <c r="AM190" s="64"/>
      <c r="AN190" s="74" t="s">
        <v>111</v>
      </c>
      <c r="AO190" s="73">
        <f t="shared" si="854"/>
        <v>0</v>
      </c>
      <c r="AP190" s="64"/>
      <c r="AQ190" s="74" t="s">
        <v>1321</v>
      </c>
      <c r="AR190" s="73">
        <f t="shared" si="855"/>
        <v>0</v>
      </c>
      <c r="AS190" s="64"/>
      <c r="AT190" s="74" t="s">
        <v>111</v>
      </c>
      <c r="AU190" s="73">
        <f t="shared" si="856"/>
        <v>0</v>
      </c>
      <c r="AV190" s="64"/>
      <c r="AW190" s="74" t="s">
        <v>111</v>
      </c>
      <c r="AX190" s="73">
        <f t="shared" si="857"/>
        <v>0</v>
      </c>
      <c r="AY190" s="64"/>
      <c r="AZ190" s="74" t="s">
        <v>1321</v>
      </c>
      <c r="BA190" s="73">
        <f t="shared" si="858"/>
        <v>0</v>
      </c>
      <c r="BB190" s="64"/>
      <c r="BC190" s="74" t="s">
        <v>1321</v>
      </c>
      <c r="BD190" s="73">
        <f t="shared" si="859"/>
        <v>0</v>
      </c>
      <c r="BE190" s="64"/>
      <c r="BF190" s="74" t="s">
        <v>111</v>
      </c>
      <c r="BG190" s="73">
        <f t="shared" si="860"/>
        <v>0</v>
      </c>
      <c r="BH190" s="64"/>
      <c r="BI190" s="74" t="s">
        <v>111</v>
      </c>
      <c r="BJ190" s="73">
        <f t="shared" si="861"/>
        <v>0</v>
      </c>
      <c r="BK190" s="64"/>
      <c r="BL190" s="74" t="s">
        <v>1321</v>
      </c>
      <c r="BM190" s="73">
        <f t="shared" si="862"/>
        <v>0</v>
      </c>
      <c r="BN190" s="64"/>
      <c r="BO190" s="74" t="s">
        <v>1321</v>
      </c>
      <c r="BP190" s="73">
        <f t="shared" si="863"/>
        <v>0</v>
      </c>
      <c r="BQ190" s="64"/>
      <c r="BR190" s="74" t="s">
        <v>1321</v>
      </c>
      <c r="BS190" s="73">
        <f t="shared" si="864"/>
        <v>0</v>
      </c>
      <c r="BT190" s="64"/>
      <c r="BU190" s="74" t="s">
        <v>1263</v>
      </c>
      <c r="BV190" s="73">
        <f t="shared" si="865"/>
        <v>0</v>
      </c>
      <c r="BW190" s="64"/>
      <c r="BX190" s="74" t="s">
        <v>1321</v>
      </c>
      <c r="BY190" s="73">
        <f t="shared" si="866"/>
        <v>0</v>
      </c>
      <c r="BZ190" s="64"/>
      <c r="CA190" s="74" t="s">
        <v>1258</v>
      </c>
      <c r="CB190" s="73">
        <f t="shared" si="867"/>
        <v>0</v>
      </c>
      <c r="CC190" s="64"/>
      <c r="CD190" s="74" t="s">
        <v>1321</v>
      </c>
      <c r="CE190" s="73">
        <f t="shared" si="868"/>
        <v>0</v>
      </c>
      <c r="CF190" s="64"/>
      <c r="CG190" s="74" t="s">
        <v>111</v>
      </c>
      <c r="CH190" s="73">
        <f t="shared" si="869"/>
        <v>0</v>
      </c>
      <c r="CI190" s="64"/>
      <c r="CJ190" s="74" t="s">
        <v>111</v>
      </c>
      <c r="CK190" s="73">
        <f t="shared" si="870"/>
        <v>0</v>
      </c>
      <c r="CL190" s="64"/>
      <c r="CM190" s="74" t="s">
        <v>1263</v>
      </c>
      <c r="CN190" s="73">
        <f t="shared" si="871"/>
        <v>0</v>
      </c>
      <c r="CO190" s="64"/>
      <c r="CP190" s="74" t="s">
        <v>1321</v>
      </c>
      <c r="CQ190" s="73">
        <f t="shared" si="872"/>
        <v>0</v>
      </c>
      <c r="CR190" s="64"/>
      <c r="CS190" s="74" t="s">
        <v>1321</v>
      </c>
      <c r="CT190" s="73">
        <f t="shared" si="873"/>
        <v>0</v>
      </c>
      <c r="CU190" s="64"/>
      <c r="CV190" s="74" t="s">
        <v>1321</v>
      </c>
      <c r="CW190" s="73">
        <f t="shared" si="874"/>
        <v>0</v>
      </c>
      <c r="CX190" s="64"/>
      <c r="CY190" s="74" t="s">
        <v>1833</v>
      </c>
      <c r="CZ190" s="73">
        <f t="shared" si="875"/>
        <v>0</v>
      </c>
      <c r="DA190" s="64"/>
      <c r="DB190" s="74" t="s">
        <v>1321</v>
      </c>
      <c r="DC190" s="73">
        <f t="shared" si="876"/>
        <v>0</v>
      </c>
      <c r="DD190" s="64"/>
      <c r="DE190" s="74" t="s">
        <v>111</v>
      </c>
      <c r="DF190" s="73">
        <f t="shared" si="877"/>
        <v>0</v>
      </c>
      <c r="DG190" s="64"/>
      <c r="DH190" s="74" t="s">
        <v>111</v>
      </c>
      <c r="DI190" s="73">
        <f t="shared" si="878"/>
        <v>0</v>
      </c>
      <c r="DJ190" s="64"/>
      <c r="DK190" s="74" t="s">
        <v>1258</v>
      </c>
      <c r="DL190" s="73">
        <f t="shared" si="879"/>
        <v>0</v>
      </c>
      <c r="DM190" s="64"/>
      <c r="DN190" s="795" t="s">
        <v>111</v>
      </c>
      <c r="DO190" s="73">
        <f t="shared" si="880"/>
        <v>0</v>
      </c>
      <c r="DP190" s="64"/>
      <c r="DQ190" s="795" t="s">
        <v>1258</v>
      </c>
      <c r="DR190" s="73">
        <f t="shared" si="881"/>
        <v>0</v>
      </c>
      <c r="DS190" s="64"/>
      <c r="DT190" s="74" t="s">
        <v>134</v>
      </c>
      <c r="DU190" s="73">
        <f t="shared" si="882"/>
        <v>0</v>
      </c>
      <c r="DV190" s="64"/>
      <c r="DW190" s="74" t="s">
        <v>111</v>
      </c>
      <c r="DX190" s="73">
        <f t="shared" si="883"/>
        <v>0</v>
      </c>
      <c r="DY190" s="64"/>
      <c r="DZ190" s="74" t="s">
        <v>111</v>
      </c>
      <c r="EA190" s="73">
        <f t="shared" si="884"/>
        <v>0</v>
      </c>
      <c r="EB190" s="64"/>
      <c r="EC190" s="74" t="s">
        <v>111</v>
      </c>
      <c r="ED190" s="73">
        <f t="shared" si="885"/>
        <v>0</v>
      </c>
      <c r="EE190" s="64"/>
      <c r="EF190" s="74" t="s">
        <v>111</v>
      </c>
      <c r="EG190" s="73">
        <f t="shared" si="886"/>
        <v>0</v>
      </c>
      <c r="EH190" s="64"/>
      <c r="EI190" s="74" t="s">
        <v>1321</v>
      </c>
      <c r="EJ190" s="73">
        <f t="shared" si="887"/>
        <v>0</v>
      </c>
      <c r="EK190" s="64"/>
      <c r="EL190" s="74"/>
      <c r="EM190" s="73">
        <f t="shared" si="888"/>
        <v>0</v>
      </c>
      <c r="EN190" s="64"/>
      <c r="EO190" s="74"/>
      <c r="EP190" s="73">
        <f t="shared" si="889"/>
        <v>0</v>
      </c>
      <c r="EQ190" s="64"/>
      <c r="ER190" s="74"/>
      <c r="ES190" s="73">
        <f t="shared" si="890"/>
        <v>0</v>
      </c>
      <c r="ET190" s="64"/>
      <c r="EU190" s="74"/>
      <c r="EV190" s="73">
        <f t="shared" si="891"/>
        <v>0</v>
      </c>
      <c r="EW190" s="64"/>
      <c r="EX190" s="74"/>
      <c r="EY190" s="73">
        <f t="shared" si="892"/>
        <v>0</v>
      </c>
      <c r="EZ190" s="64"/>
      <c r="FA190" s="74"/>
      <c r="FB190" s="73">
        <f t="shared" si="893"/>
        <v>0</v>
      </c>
      <c r="FC190" s="64"/>
      <c r="FD190" s="74"/>
      <c r="FE190" s="73">
        <f t="shared" si="894"/>
        <v>0</v>
      </c>
      <c r="FF190" s="64"/>
      <c r="FG190" s="74"/>
      <c r="FH190" s="73">
        <f t="shared" si="895"/>
        <v>0</v>
      </c>
      <c r="FI190" s="64"/>
      <c r="FJ190" s="74"/>
      <c r="FK190" s="73">
        <f t="shared" si="896"/>
        <v>0</v>
      </c>
      <c r="FL190" s="64"/>
      <c r="FM190" s="64"/>
    </row>
    <row r="191" spans="1:169">
      <c r="A191" s="25"/>
      <c r="B191" s="25"/>
      <c r="C191" s="25"/>
      <c r="D191" s="25"/>
      <c r="E191" s="25"/>
      <c r="F191" s="407">
        <f t="shared" si="897"/>
        <v>4</v>
      </c>
      <c r="G191" s="407">
        <f ca="1">VLOOKUP(H191,Equipos!$Q$1:$R$25,2,0)</f>
        <v>20</v>
      </c>
      <c r="H191" s="446" t="str">
        <f>Idiomas!$D$260</f>
        <v>Dieciseisavos de final</v>
      </c>
      <c r="I191" s="50"/>
      <c r="J191" s="849"/>
      <c r="K191" s="56" t="str">
        <f>Idiomas!$D$199&amp;"-"&amp;ROWS($L$182:L191)</f>
        <v>Octavofinalista-10</v>
      </c>
      <c r="L191" s="53"/>
      <c r="M191" s="55" t="str">
        <f>WORLDCUP!AF121</f>
        <v>W77</v>
      </c>
      <c r="N191" s="25"/>
      <c r="O191" s="25"/>
      <c r="P191" s="25"/>
      <c r="Q191" s="25"/>
      <c r="R191" s="110"/>
      <c r="S191" s="74" t="s">
        <v>74</v>
      </c>
      <c r="T191" s="73">
        <f t="shared" si="847"/>
        <v>0</v>
      </c>
      <c r="U191" s="64"/>
      <c r="V191" s="74" t="s">
        <v>74</v>
      </c>
      <c r="W191" s="73">
        <f t="shared" si="848"/>
        <v>0</v>
      </c>
      <c r="X191" s="64"/>
      <c r="Y191" s="74" t="s">
        <v>74</v>
      </c>
      <c r="Z191" s="73">
        <f t="shared" si="849"/>
        <v>0</v>
      </c>
      <c r="AA191" s="64"/>
      <c r="AB191" s="74" t="s">
        <v>74</v>
      </c>
      <c r="AC191" s="73">
        <f t="shared" si="850"/>
        <v>0</v>
      </c>
      <c r="AD191" s="64"/>
      <c r="AE191" s="74" t="s">
        <v>74</v>
      </c>
      <c r="AF191" s="73">
        <f t="shared" si="851"/>
        <v>0</v>
      </c>
      <c r="AG191" s="64"/>
      <c r="AH191" s="74" t="s">
        <v>74</v>
      </c>
      <c r="AI191" s="73">
        <f t="shared" si="852"/>
        <v>0</v>
      </c>
      <c r="AJ191" s="64"/>
      <c r="AK191" s="74" t="s">
        <v>74</v>
      </c>
      <c r="AL191" s="73">
        <f t="shared" si="853"/>
        <v>0</v>
      </c>
      <c r="AM191" s="64"/>
      <c r="AN191" s="74" t="s">
        <v>74</v>
      </c>
      <c r="AO191" s="73">
        <f t="shared" si="854"/>
        <v>0</v>
      </c>
      <c r="AP191" s="64"/>
      <c r="AQ191" s="74" t="s">
        <v>74</v>
      </c>
      <c r="AR191" s="73">
        <f t="shared" si="855"/>
        <v>0</v>
      </c>
      <c r="AS191" s="64"/>
      <c r="AT191" s="74" t="s">
        <v>74</v>
      </c>
      <c r="AU191" s="73">
        <f t="shared" si="856"/>
        <v>0</v>
      </c>
      <c r="AV191" s="64"/>
      <c r="AW191" s="74" t="s">
        <v>74</v>
      </c>
      <c r="AX191" s="73">
        <f t="shared" si="857"/>
        <v>0</v>
      </c>
      <c r="AY191" s="64"/>
      <c r="AZ191" s="74" t="s">
        <v>74</v>
      </c>
      <c r="BA191" s="73">
        <f t="shared" si="858"/>
        <v>0</v>
      </c>
      <c r="BB191" s="64"/>
      <c r="BC191" s="74" t="s">
        <v>74</v>
      </c>
      <c r="BD191" s="73">
        <f t="shared" si="859"/>
        <v>0</v>
      </c>
      <c r="BE191" s="64"/>
      <c r="BF191" s="74" t="s">
        <v>74</v>
      </c>
      <c r="BG191" s="73">
        <f t="shared" si="860"/>
        <v>0</v>
      </c>
      <c r="BH191" s="64"/>
      <c r="BI191" s="74" t="s">
        <v>74</v>
      </c>
      <c r="BJ191" s="73">
        <f t="shared" si="861"/>
        <v>0</v>
      </c>
      <c r="BK191" s="64"/>
      <c r="BL191" s="74" t="s">
        <v>74</v>
      </c>
      <c r="BM191" s="73">
        <f t="shared" si="862"/>
        <v>0</v>
      </c>
      <c r="BN191" s="64"/>
      <c r="BO191" s="74" t="s">
        <v>74</v>
      </c>
      <c r="BP191" s="73">
        <f t="shared" si="863"/>
        <v>0</v>
      </c>
      <c r="BQ191" s="64"/>
      <c r="BR191" s="74" t="s">
        <v>74</v>
      </c>
      <c r="BS191" s="73">
        <f t="shared" si="864"/>
        <v>0</v>
      </c>
      <c r="BT191" s="64"/>
      <c r="BU191" s="74" t="s">
        <v>74</v>
      </c>
      <c r="BV191" s="73">
        <f t="shared" si="865"/>
        <v>0</v>
      </c>
      <c r="BW191" s="64"/>
      <c r="BX191" s="74" t="s">
        <v>74</v>
      </c>
      <c r="BY191" s="73">
        <f t="shared" si="866"/>
        <v>0</v>
      </c>
      <c r="BZ191" s="64"/>
      <c r="CA191" s="74" t="s">
        <v>74</v>
      </c>
      <c r="CB191" s="73">
        <f t="shared" si="867"/>
        <v>0</v>
      </c>
      <c r="CC191" s="64"/>
      <c r="CD191" s="74" t="s">
        <v>74</v>
      </c>
      <c r="CE191" s="73">
        <f t="shared" si="868"/>
        <v>0</v>
      </c>
      <c r="CF191" s="64"/>
      <c r="CG191" s="74" t="s">
        <v>74</v>
      </c>
      <c r="CH191" s="73">
        <f t="shared" si="869"/>
        <v>0</v>
      </c>
      <c r="CI191" s="64"/>
      <c r="CJ191" s="74" t="s">
        <v>74</v>
      </c>
      <c r="CK191" s="73">
        <f t="shared" si="870"/>
        <v>0</v>
      </c>
      <c r="CL191" s="64"/>
      <c r="CM191" s="74" t="s">
        <v>74</v>
      </c>
      <c r="CN191" s="73">
        <f t="shared" si="871"/>
        <v>0</v>
      </c>
      <c r="CO191" s="64"/>
      <c r="CP191" s="74" t="s">
        <v>74</v>
      </c>
      <c r="CQ191" s="73">
        <f t="shared" si="872"/>
        <v>0</v>
      </c>
      <c r="CR191" s="64"/>
      <c r="CS191" s="74" t="s">
        <v>74</v>
      </c>
      <c r="CT191" s="73">
        <f t="shared" si="873"/>
        <v>0</v>
      </c>
      <c r="CU191" s="64"/>
      <c r="CV191" s="74" t="s">
        <v>74</v>
      </c>
      <c r="CW191" s="73">
        <f t="shared" si="874"/>
        <v>0</v>
      </c>
      <c r="CX191" s="64"/>
      <c r="CY191" s="74" t="s">
        <v>74</v>
      </c>
      <c r="CZ191" s="73">
        <f t="shared" si="875"/>
        <v>0</v>
      </c>
      <c r="DA191" s="64"/>
      <c r="DB191" s="74" t="s">
        <v>74</v>
      </c>
      <c r="DC191" s="73">
        <f t="shared" si="876"/>
        <v>0</v>
      </c>
      <c r="DD191" s="64"/>
      <c r="DE191" s="74" t="s">
        <v>74</v>
      </c>
      <c r="DF191" s="73">
        <f t="shared" si="877"/>
        <v>0</v>
      </c>
      <c r="DG191" s="64"/>
      <c r="DH191" s="74" t="s">
        <v>74</v>
      </c>
      <c r="DI191" s="73">
        <f t="shared" si="878"/>
        <v>0</v>
      </c>
      <c r="DJ191" s="64"/>
      <c r="DK191" s="74" t="s">
        <v>74</v>
      </c>
      <c r="DL191" s="73">
        <f t="shared" si="879"/>
        <v>0</v>
      </c>
      <c r="DM191" s="64"/>
      <c r="DN191" s="795" t="s">
        <v>74</v>
      </c>
      <c r="DO191" s="73">
        <f t="shared" si="880"/>
        <v>0</v>
      </c>
      <c r="DP191" s="64"/>
      <c r="DQ191" s="795" t="s">
        <v>1318</v>
      </c>
      <c r="DR191" s="73">
        <f t="shared" si="881"/>
        <v>0</v>
      </c>
      <c r="DS191" s="64"/>
      <c r="DT191" s="74" t="s">
        <v>74</v>
      </c>
      <c r="DU191" s="73">
        <f t="shared" si="882"/>
        <v>0</v>
      </c>
      <c r="DV191" s="64"/>
      <c r="DW191" s="74" t="s">
        <v>74</v>
      </c>
      <c r="DX191" s="73">
        <f t="shared" si="883"/>
        <v>0</v>
      </c>
      <c r="DY191" s="64"/>
      <c r="DZ191" s="74" t="s">
        <v>74</v>
      </c>
      <c r="EA191" s="73">
        <f t="shared" si="884"/>
        <v>0</v>
      </c>
      <c r="EB191" s="64"/>
      <c r="EC191" s="74" t="s">
        <v>74</v>
      </c>
      <c r="ED191" s="73">
        <f t="shared" si="885"/>
        <v>0</v>
      </c>
      <c r="EE191" s="64"/>
      <c r="EF191" s="74" t="s">
        <v>1634</v>
      </c>
      <c r="EG191" s="73">
        <f t="shared" si="886"/>
        <v>0</v>
      </c>
      <c r="EH191" s="64"/>
      <c r="EI191" s="74" t="s">
        <v>74</v>
      </c>
      <c r="EJ191" s="73">
        <f t="shared" si="887"/>
        <v>0</v>
      </c>
      <c r="EK191" s="64"/>
      <c r="EL191" s="74"/>
      <c r="EM191" s="73">
        <f t="shared" si="888"/>
        <v>0</v>
      </c>
      <c r="EN191" s="64"/>
      <c r="EO191" s="74"/>
      <c r="EP191" s="73">
        <f t="shared" si="889"/>
        <v>0</v>
      </c>
      <c r="EQ191" s="64"/>
      <c r="ER191" s="74"/>
      <c r="ES191" s="73">
        <f t="shared" si="890"/>
        <v>0</v>
      </c>
      <c r="ET191" s="64"/>
      <c r="EU191" s="74"/>
      <c r="EV191" s="73">
        <f t="shared" si="891"/>
        <v>0</v>
      </c>
      <c r="EW191" s="64"/>
      <c r="EX191" s="74"/>
      <c r="EY191" s="73">
        <f t="shared" si="892"/>
        <v>0</v>
      </c>
      <c r="EZ191" s="64"/>
      <c r="FA191" s="74"/>
      <c r="FB191" s="73">
        <f t="shared" si="893"/>
        <v>0</v>
      </c>
      <c r="FC191" s="64"/>
      <c r="FD191" s="74"/>
      <c r="FE191" s="73">
        <f t="shared" si="894"/>
        <v>0</v>
      </c>
      <c r="FF191" s="64"/>
      <c r="FG191" s="74"/>
      <c r="FH191" s="73">
        <f t="shared" si="895"/>
        <v>0</v>
      </c>
      <c r="FI191" s="64"/>
      <c r="FJ191" s="74"/>
      <c r="FK191" s="73">
        <f t="shared" si="896"/>
        <v>0</v>
      </c>
      <c r="FL191" s="64"/>
      <c r="FM191" s="64"/>
    </row>
    <row r="192" spans="1:169">
      <c r="A192" s="25"/>
      <c r="B192" s="25"/>
      <c r="C192" s="25"/>
      <c r="D192" s="25"/>
      <c r="E192" s="25"/>
      <c r="F192" s="407">
        <f t="shared" si="897"/>
        <v>4</v>
      </c>
      <c r="G192" s="407">
        <f ca="1">VLOOKUP(H192,Equipos!$Q$1:$R$25,2,0)</f>
        <v>20</v>
      </c>
      <c r="H192" s="446" t="str">
        <f>Idiomas!$D$260</f>
        <v>Dieciseisavos de final</v>
      </c>
      <c r="I192" s="50"/>
      <c r="J192" s="849"/>
      <c r="K192" s="56" t="str">
        <f>Idiomas!$D$199&amp;"-"&amp;ROWS($L$182:L192)</f>
        <v>Octavofinalista-11</v>
      </c>
      <c r="L192" s="53"/>
      <c r="M192" s="55" t="str">
        <f>WORLDCUP!AF122</f>
        <v>W78</v>
      </c>
      <c r="N192" s="25"/>
      <c r="O192" s="25"/>
      <c r="P192" s="25"/>
      <c r="Q192" s="25"/>
      <c r="R192" s="110"/>
      <c r="S192" s="74" t="s">
        <v>135</v>
      </c>
      <c r="T192" s="73">
        <f t="shared" si="847"/>
        <v>0</v>
      </c>
      <c r="U192" s="64"/>
      <c r="V192" s="74" t="s">
        <v>1634</v>
      </c>
      <c r="W192" s="73">
        <f t="shared" si="848"/>
        <v>0</v>
      </c>
      <c r="X192" s="64"/>
      <c r="Y192" s="74" t="s">
        <v>135</v>
      </c>
      <c r="Z192" s="73">
        <f t="shared" si="849"/>
        <v>0</v>
      </c>
      <c r="AA192" s="64"/>
      <c r="AB192" s="74" t="s">
        <v>135</v>
      </c>
      <c r="AC192" s="73">
        <f t="shared" si="850"/>
        <v>0</v>
      </c>
      <c r="AD192" s="64"/>
      <c r="AE192" s="74" t="s">
        <v>135</v>
      </c>
      <c r="AF192" s="73">
        <f t="shared" si="851"/>
        <v>0</v>
      </c>
      <c r="AG192" s="64"/>
      <c r="AH192" s="74" t="s">
        <v>135</v>
      </c>
      <c r="AI192" s="73">
        <f t="shared" si="852"/>
        <v>0</v>
      </c>
      <c r="AJ192" s="64"/>
      <c r="AK192" s="74" t="s">
        <v>1261</v>
      </c>
      <c r="AL192" s="73">
        <f t="shared" si="853"/>
        <v>0</v>
      </c>
      <c r="AM192" s="64"/>
      <c r="AN192" s="74" t="s">
        <v>135</v>
      </c>
      <c r="AO192" s="73">
        <f t="shared" si="854"/>
        <v>0</v>
      </c>
      <c r="AP192" s="64"/>
      <c r="AQ192" s="74" t="s">
        <v>135</v>
      </c>
      <c r="AR192" s="73">
        <f t="shared" si="855"/>
        <v>0</v>
      </c>
      <c r="AS192" s="64"/>
      <c r="AT192" s="74" t="s">
        <v>1261</v>
      </c>
      <c r="AU192" s="73">
        <f t="shared" si="856"/>
        <v>0</v>
      </c>
      <c r="AV192" s="64"/>
      <c r="AW192" s="74" t="s">
        <v>1633</v>
      </c>
      <c r="AX192" s="73">
        <f t="shared" si="857"/>
        <v>0</v>
      </c>
      <c r="AY192" s="64"/>
      <c r="AZ192" s="74" t="s">
        <v>135</v>
      </c>
      <c r="BA192" s="73">
        <f t="shared" si="858"/>
        <v>0</v>
      </c>
      <c r="BB192" s="64"/>
      <c r="BC192" s="74" t="s">
        <v>1261</v>
      </c>
      <c r="BD192" s="73">
        <f t="shared" si="859"/>
        <v>0</v>
      </c>
      <c r="BE192" s="64"/>
      <c r="BF192" s="74" t="s">
        <v>135</v>
      </c>
      <c r="BG192" s="73">
        <f t="shared" si="860"/>
        <v>0</v>
      </c>
      <c r="BH192" s="64"/>
      <c r="BI192" s="74" t="s">
        <v>135</v>
      </c>
      <c r="BJ192" s="73">
        <f t="shared" si="861"/>
        <v>0</v>
      </c>
      <c r="BK192" s="64"/>
      <c r="BL192" s="74" t="s">
        <v>1634</v>
      </c>
      <c r="BM192" s="73">
        <f t="shared" si="862"/>
        <v>0</v>
      </c>
      <c r="BN192" s="64"/>
      <c r="BO192" s="74" t="s">
        <v>1633</v>
      </c>
      <c r="BP192" s="73">
        <f t="shared" si="863"/>
        <v>0</v>
      </c>
      <c r="BQ192" s="64"/>
      <c r="BR192" s="74" t="s">
        <v>1261</v>
      </c>
      <c r="BS192" s="73">
        <f t="shared" si="864"/>
        <v>0</v>
      </c>
      <c r="BT192" s="64"/>
      <c r="BU192" s="74" t="s">
        <v>1633</v>
      </c>
      <c r="BV192" s="73">
        <f t="shared" si="865"/>
        <v>0</v>
      </c>
      <c r="BW192" s="64"/>
      <c r="BX192" s="74" t="s">
        <v>1634</v>
      </c>
      <c r="BY192" s="73">
        <f t="shared" si="866"/>
        <v>0</v>
      </c>
      <c r="BZ192" s="64"/>
      <c r="CA192" s="74" t="s">
        <v>1634</v>
      </c>
      <c r="CB192" s="73">
        <f t="shared" si="867"/>
        <v>0</v>
      </c>
      <c r="CC192" s="64"/>
      <c r="CD192" s="74" t="s">
        <v>135</v>
      </c>
      <c r="CE192" s="73">
        <f t="shared" si="868"/>
        <v>0</v>
      </c>
      <c r="CF192" s="64"/>
      <c r="CG192" s="74" t="s">
        <v>1633</v>
      </c>
      <c r="CH192" s="73">
        <f t="shared" si="869"/>
        <v>0</v>
      </c>
      <c r="CI192" s="64"/>
      <c r="CJ192" s="74" t="s">
        <v>135</v>
      </c>
      <c r="CK192" s="73">
        <f t="shared" si="870"/>
        <v>0</v>
      </c>
      <c r="CL192" s="64"/>
      <c r="CM192" s="74" t="s">
        <v>135</v>
      </c>
      <c r="CN192" s="73">
        <f t="shared" si="871"/>
        <v>0</v>
      </c>
      <c r="CO192" s="64"/>
      <c r="CP192" s="74" t="s">
        <v>135</v>
      </c>
      <c r="CQ192" s="73">
        <f t="shared" si="872"/>
        <v>0</v>
      </c>
      <c r="CR192" s="64"/>
      <c r="CS192" s="74" t="s">
        <v>1633</v>
      </c>
      <c r="CT192" s="73">
        <f t="shared" si="873"/>
        <v>0</v>
      </c>
      <c r="CU192" s="64"/>
      <c r="CV192" s="74" t="s">
        <v>135</v>
      </c>
      <c r="CW192" s="73">
        <f t="shared" si="874"/>
        <v>0</v>
      </c>
      <c r="CX192" s="64"/>
      <c r="CY192" s="74" t="s">
        <v>135</v>
      </c>
      <c r="CZ192" s="73">
        <f t="shared" si="875"/>
        <v>0</v>
      </c>
      <c r="DA192" s="64"/>
      <c r="DB192" s="74" t="s">
        <v>135</v>
      </c>
      <c r="DC192" s="73">
        <f t="shared" si="876"/>
        <v>0</v>
      </c>
      <c r="DD192" s="64"/>
      <c r="DE192" s="74" t="s">
        <v>1261</v>
      </c>
      <c r="DF192" s="73">
        <f t="shared" si="877"/>
        <v>0</v>
      </c>
      <c r="DG192" s="64"/>
      <c r="DH192" s="74" t="s">
        <v>1261</v>
      </c>
      <c r="DI192" s="73">
        <f t="shared" si="878"/>
        <v>0</v>
      </c>
      <c r="DJ192" s="64"/>
      <c r="DK192" s="74" t="s">
        <v>1261</v>
      </c>
      <c r="DL192" s="73">
        <f t="shared" si="879"/>
        <v>0</v>
      </c>
      <c r="DM192" s="64"/>
      <c r="DN192" s="795" t="s">
        <v>135</v>
      </c>
      <c r="DO192" s="73">
        <f t="shared" si="880"/>
        <v>0</v>
      </c>
      <c r="DP192" s="64"/>
      <c r="DQ192" s="795" t="s">
        <v>1261</v>
      </c>
      <c r="DR192" s="73">
        <f t="shared" si="881"/>
        <v>0</v>
      </c>
      <c r="DS192" s="64"/>
      <c r="DT192" s="74" t="s">
        <v>135</v>
      </c>
      <c r="DU192" s="73">
        <f t="shared" si="882"/>
        <v>0</v>
      </c>
      <c r="DV192" s="64"/>
      <c r="DW192" s="74" t="s">
        <v>135</v>
      </c>
      <c r="DX192" s="73">
        <f t="shared" si="883"/>
        <v>0</v>
      </c>
      <c r="DY192" s="64"/>
      <c r="DZ192" s="74" t="s">
        <v>135</v>
      </c>
      <c r="EA192" s="73">
        <f t="shared" si="884"/>
        <v>0</v>
      </c>
      <c r="EB192" s="64"/>
      <c r="EC192" s="74" t="s">
        <v>1261</v>
      </c>
      <c r="ED192" s="73">
        <f t="shared" si="885"/>
        <v>0</v>
      </c>
      <c r="EE192" s="64"/>
      <c r="EF192" s="74" t="s">
        <v>74</v>
      </c>
      <c r="EG192" s="73">
        <f t="shared" si="886"/>
        <v>0</v>
      </c>
      <c r="EH192" s="64"/>
      <c r="EI192" s="74" t="s">
        <v>1634</v>
      </c>
      <c r="EJ192" s="73">
        <f t="shared" si="887"/>
        <v>0</v>
      </c>
      <c r="EK192" s="64"/>
      <c r="EL192" s="74"/>
      <c r="EM192" s="73">
        <f t="shared" si="888"/>
        <v>0</v>
      </c>
      <c r="EN192" s="64"/>
      <c r="EO192" s="74"/>
      <c r="EP192" s="73">
        <f t="shared" si="889"/>
        <v>0</v>
      </c>
      <c r="EQ192" s="64"/>
      <c r="ER192" s="74"/>
      <c r="ES192" s="73">
        <f t="shared" si="890"/>
        <v>0</v>
      </c>
      <c r="ET192" s="64"/>
      <c r="EU192" s="74"/>
      <c r="EV192" s="73">
        <f t="shared" si="891"/>
        <v>0</v>
      </c>
      <c r="EW192" s="64"/>
      <c r="EX192" s="74"/>
      <c r="EY192" s="73">
        <f t="shared" si="892"/>
        <v>0</v>
      </c>
      <c r="EZ192" s="64"/>
      <c r="FA192" s="74"/>
      <c r="FB192" s="73">
        <f t="shared" si="893"/>
        <v>0</v>
      </c>
      <c r="FC192" s="64"/>
      <c r="FD192" s="74"/>
      <c r="FE192" s="73">
        <f t="shared" si="894"/>
        <v>0</v>
      </c>
      <c r="FF192" s="64"/>
      <c r="FG192" s="74"/>
      <c r="FH192" s="73">
        <f t="shared" si="895"/>
        <v>0</v>
      </c>
      <c r="FI192" s="64"/>
      <c r="FJ192" s="74"/>
      <c r="FK192" s="73">
        <f t="shared" si="896"/>
        <v>0</v>
      </c>
      <c r="FL192" s="64"/>
      <c r="FM192" s="64"/>
    </row>
    <row r="193" spans="1:169">
      <c r="A193" s="25"/>
      <c r="B193" s="25"/>
      <c r="C193" s="25"/>
      <c r="D193" s="25"/>
      <c r="E193" s="25"/>
      <c r="F193" s="407">
        <f t="shared" si="897"/>
        <v>4</v>
      </c>
      <c r="G193" s="407">
        <f ca="1">VLOOKUP(H193,Equipos!$Q$1:$R$25,2,0)</f>
        <v>20</v>
      </c>
      <c r="H193" s="446" t="str">
        <f>Idiomas!$D$260</f>
        <v>Dieciseisavos de final</v>
      </c>
      <c r="I193" s="50"/>
      <c r="J193" s="849"/>
      <c r="K193" s="56" t="str">
        <f>Idiomas!$D$199&amp;"-"&amp;ROWS($L$182:L193)</f>
        <v>Octavofinalista-12</v>
      </c>
      <c r="L193" s="53"/>
      <c r="M193" s="55" t="str">
        <f>WORLDCUP!AF123</f>
        <v>W80</v>
      </c>
      <c r="N193" s="25"/>
      <c r="O193" s="25"/>
      <c r="P193" s="25"/>
      <c r="Q193" s="25"/>
      <c r="R193" s="110"/>
      <c r="S193" s="74" t="s">
        <v>76</v>
      </c>
      <c r="T193" s="73">
        <f t="shared" si="847"/>
        <v>0</v>
      </c>
      <c r="U193" s="64"/>
      <c r="V193" s="74" t="s">
        <v>76</v>
      </c>
      <c r="W193" s="73">
        <f t="shared" si="848"/>
        <v>0</v>
      </c>
      <c r="X193" s="64"/>
      <c r="Y193" s="74" t="s">
        <v>76</v>
      </c>
      <c r="Z193" s="73">
        <f t="shared" si="849"/>
        <v>0</v>
      </c>
      <c r="AA193" s="64"/>
      <c r="AB193" s="74" t="s">
        <v>76</v>
      </c>
      <c r="AC193" s="73">
        <f t="shared" si="850"/>
        <v>0</v>
      </c>
      <c r="AD193" s="64"/>
      <c r="AE193" s="74" t="s">
        <v>76</v>
      </c>
      <c r="AF193" s="73">
        <f t="shared" si="851"/>
        <v>0</v>
      </c>
      <c r="AG193" s="64"/>
      <c r="AH193" s="74" t="s">
        <v>78</v>
      </c>
      <c r="AI193" s="73">
        <f t="shared" si="852"/>
        <v>0</v>
      </c>
      <c r="AJ193" s="64"/>
      <c r="AK193" s="74" t="s">
        <v>76</v>
      </c>
      <c r="AL193" s="73">
        <f t="shared" si="853"/>
        <v>0</v>
      </c>
      <c r="AM193" s="64"/>
      <c r="AN193" s="74" t="s">
        <v>76</v>
      </c>
      <c r="AO193" s="73">
        <f t="shared" si="854"/>
        <v>0</v>
      </c>
      <c r="AP193" s="64"/>
      <c r="AQ193" s="74" t="s">
        <v>76</v>
      </c>
      <c r="AR193" s="73">
        <f t="shared" si="855"/>
        <v>0</v>
      </c>
      <c r="AS193" s="64"/>
      <c r="AT193" s="74" t="s">
        <v>76</v>
      </c>
      <c r="AU193" s="73">
        <f t="shared" si="856"/>
        <v>0</v>
      </c>
      <c r="AV193" s="64"/>
      <c r="AW193" s="74" t="s">
        <v>76</v>
      </c>
      <c r="AX193" s="73">
        <f t="shared" si="857"/>
        <v>0</v>
      </c>
      <c r="AY193" s="64"/>
      <c r="AZ193" s="74" t="s">
        <v>76</v>
      </c>
      <c r="BA193" s="73">
        <f t="shared" si="858"/>
        <v>0</v>
      </c>
      <c r="BB193" s="64"/>
      <c r="BC193" s="74" t="s">
        <v>78</v>
      </c>
      <c r="BD193" s="73">
        <f t="shared" si="859"/>
        <v>0</v>
      </c>
      <c r="BE193" s="64"/>
      <c r="BF193" s="74" t="s">
        <v>76</v>
      </c>
      <c r="BG193" s="73">
        <f t="shared" si="860"/>
        <v>0</v>
      </c>
      <c r="BH193" s="64"/>
      <c r="BI193" s="74" t="s">
        <v>76</v>
      </c>
      <c r="BJ193" s="73">
        <f t="shared" si="861"/>
        <v>0</v>
      </c>
      <c r="BK193" s="64"/>
      <c r="BL193" s="74" t="s">
        <v>76</v>
      </c>
      <c r="BM193" s="73">
        <f t="shared" si="862"/>
        <v>0</v>
      </c>
      <c r="BN193" s="64"/>
      <c r="BO193" s="74" t="s">
        <v>76</v>
      </c>
      <c r="BP193" s="73">
        <f t="shared" si="863"/>
        <v>0</v>
      </c>
      <c r="BQ193" s="64"/>
      <c r="BR193" s="74" t="s">
        <v>76</v>
      </c>
      <c r="BS193" s="73">
        <f t="shared" si="864"/>
        <v>0</v>
      </c>
      <c r="BT193" s="64"/>
      <c r="BU193" s="74" t="s">
        <v>76</v>
      </c>
      <c r="BV193" s="73">
        <f t="shared" si="865"/>
        <v>0</v>
      </c>
      <c r="BW193" s="64"/>
      <c r="BX193" s="74" t="s">
        <v>76</v>
      </c>
      <c r="BY193" s="73">
        <f t="shared" si="866"/>
        <v>0</v>
      </c>
      <c r="BZ193" s="64"/>
      <c r="CA193" s="74" t="s">
        <v>76</v>
      </c>
      <c r="CB193" s="73">
        <f t="shared" si="867"/>
        <v>0</v>
      </c>
      <c r="CC193" s="64"/>
      <c r="CD193" s="74" t="s">
        <v>78</v>
      </c>
      <c r="CE193" s="73">
        <f t="shared" si="868"/>
        <v>0</v>
      </c>
      <c r="CF193" s="64"/>
      <c r="CG193" s="74" t="s">
        <v>76</v>
      </c>
      <c r="CH193" s="73">
        <f t="shared" si="869"/>
        <v>0</v>
      </c>
      <c r="CI193" s="64"/>
      <c r="CJ193" s="74" t="s">
        <v>76</v>
      </c>
      <c r="CK193" s="73">
        <f t="shared" si="870"/>
        <v>0</v>
      </c>
      <c r="CL193" s="64"/>
      <c r="CM193" s="74" t="s">
        <v>76</v>
      </c>
      <c r="CN193" s="73">
        <f t="shared" si="871"/>
        <v>0</v>
      </c>
      <c r="CO193" s="64"/>
      <c r="CP193" s="74" t="s">
        <v>76</v>
      </c>
      <c r="CQ193" s="73">
        <f t="shared" si="872"/>
        <v>0</v>
      </c>
      <c r="CR193" s="64"/>
      <c r="CS193" s="74" t="s">
        <v>76</v>
      </c>
      <c r="CT193" s="73">
        <f t="shared" si="873"/>
        <v>0</v>
      </c>
      <c r="CU193" s="64"/>
      <c r="CV193" s="74" t="s">
        <v>76</v>
      </c>
      <c r="CW193" s="73">
        <f t="shared" si="874"/>
        <v>0</v>
      </c>
      <c r="CX193" s="64"/>
      <c r="CY193" s="74" t="s">
        <v>76</v>
      </c>
      <c r="CZ193" s="73">
        <f t="shared" si="875"/>
        <v>0</v>
      </c>
      <c r="DA193" s="64"/>
      <c r="DB193" s="74" t="s">
        <v>76</v>
      </c>
      <c r="DC193" s="73">
        <f t="shared" si="876"/>
        <v>0</v>
      </c>
      <c r="DD193" s="64"/>
      <c r="DE193" s="74" t="s">
        <v>135</v>
      </c>
      <c r="DF193" s="73">
        <f t="shared" si="877"/>
        <v>0</v>
      </c>
      <c r="DG193" s="64"/>
      <c r="DH193" s="74" t="s">
        <v>76</v>
      </c>
      <c r="DI193" s="73">
        <f t="shared" si="878"/>
        <v>0</v>
      </c>
      <c r="DJ193" s="64"/>
      <c r="DK193" s="74" t="s">
        <v>1634</v>
      </c>
      <c r="DL193" s="73">
        <f t="shared" si="879"/>
        <v>0</v>
      </c>
      <c r="DM193" s="64"/>
      <c r="DN193" s="795" t="s">
        <v>76</v>
      </c>
      <c r="DO193" s="73">
        <f t="shared" si="880"/>
        <v>0</v>
      </c>
      <c r="DP193" s="64"/>
      <c r="DQ193" s="795" t="s">
        <v>78</v>
      </c>
      <c r="DR193" s="73">
        <f t="shared" si="881"/>
        <v>0</v>
      </c>
      <c r="DS193" s="64"/>
      <c r="DT193" s="74" t="s">
        <v>78</v>
      </c>
      <c r="DU193" s="73">
        <f t="shared" si="882"/>
        <v>0</v>
      </c>
      <c r="DV193" s="64"/>
      <c r="DW193" s="74" t="s">
        <v>76</v>
      </c>
      <c r="DX193" s="73">
        <f t="shared" si="883"/>
        <v>0</v>
      </c>
      <c r="DY193" s="64"/>
      <c r="DZ193" s="74" t="s">
        <v>76</v>
      </c>
      <c r="EA193" s="73">
        <f t="shared" si="884"/>
        <v>0</v>
      </c>
      <c r="EB193" s="64"/>
      <c r="EC193" s="74" t="s">
        <v>76</v>
      </c>
      <c r="ED193" s="73">
        <f t="shared" si="885"/>
        <v>0</v>
      </c>
      <c r="EE193" s="64"/>
      <c r="EF193" s="74" t="s">
        <v>76</v>
      </c>
      <c r="EG193" s="73">
        <f t="shared" si="886"/>
        <v>0</v>
      </c>
      <c r="EH193" s="64"/>
      <c r="EI193" s="74" t="s">
        <v>76</v>
      </c>
      <c r="EJ193" s="73">
        <f t="shared" si="887"/>
        <v>0</v>
      </c>
      <c r="EK193" s="64"/>
      <c r="EL193" s="74"/>
      <c r="EM193" s="73">
        <f t="shared" si="888"/>
        <v>0</v>
      </c>
      <c r="EN193" s="64"/>
      <c r="EO193" s="74"/>
      <c r="EP193" s="73">
        <f t="shared" si="889"/>
        <v>0</v>
      </c>
      <c r="EQ193" s="64"/>
      <c r="ER193" s="74"/>
      <c r="ES193" s="73">
        <f t="shared" si="890"/>
        <v>0</v>
      </c>
      <c r="ET193" s="64"/>
      <c r="EU193" s="74"/>
      <c r="EV193" s="73">
        <f t="shared" si="891"/>
        <v>0</v>
      </c>
      <c r="EW193" s="64"/>
      <c r="EX193" s="74"/>
      <c r="EY193" s="73">
        <f t="shared" si="892"/>
        <v>0</v>
      </c>
      <c r="EZ193" s="64"/>
      <c r="FA193" s="74"/>
      <c r="FB193" s="73">
        <f t="shared" si="893"/>
        <v>0</v>
      </c>
      <c r="FC193" s="64"/>
      <c r="FD193" s="74"/>
      <c r="FE193" s="73">
        <f t="shared" si="894"/>
        <v>0</v>
      </c>
      <c r="FF193" s="64"/>
      <c r="FG193" s="74"/>
      <c r="FH193" s="73">
        <f t="shared" si="895"/>
        <v>0</v>
      </c>
      <c r="FI193" s="64"/>
      <c r="FJ193" s="74"/>
      <c r="FK193" s="73">
        <f t="shared" si="896"/>
        <v>0</v>
      </c>
      <c r="FL193" s="64"/>
      <c r="FM193" s="64"/>
    </row>
    <row r="194" spans="1:169">
      <c r="A194" s="25"/>
      <c r="B194" s="25"/>
      <c r="C194" s="25"/>
      <c r="D194" s="25"/>
      <c r="E194" s="25"/>
      <c r="F194" s="407">
        <f t="shared" si="897"/>
        <v>4</v>
      </c>
      <c r="G194" s="407">
        <f ca="1">VLOOKUP(H194,Equipos!$Q$1:$R$25,2,0)</f>
        <v>20</v>
      </c>
      <c r="H194" s="446" t="str">
        <f>Idiomas!$D$260</f>
        <v>Dieciseisavos de final</v>
      </c>
      <c r="I194" s="50"/>
      <c r="J194" s="849"/>
      <c r="K194" s="56" t="str">
        <f>Idiomas!$D$199&amp;"-"&amp;ROWS($L$182:L194)</f>
        <v>Octavofinalista-13</v>
      </c>
      <c r="L194" s="53"/>
      <c r="M194" s="55" t="str">
        <f>WORLDCUP!AF124</f>
        <v>W84</v>
      </c>
      <c r="N194" s="25"/>
      <c r="O194" s="25"/>
      <c r="P194" s="25"/>
      <c r="Q194" s="25"/>
      <c r="R194" s="110"/>
      <c r="S194" s="74" t="s">
        <v>38</v>
      </c>
      <c r="T194" s="73">
        <f t="shared" si="847"/>
        <v>0</v>
      </c>
      <c r="U194" s="64"/>
      <c r="V194" s="74" t="s">
        <v>38</v>
      </c>
      <c r="W194" s="73">
        <f t="shared" si="848"/>
        <v>0</v>
      </c>
      <c r="X194" s="64"/>
      <c r="Y194" s="74" t="s">
        <v>38</v>
      </c>
      <c r="Z194" s="73">
        <f t="shared" si="849"/>
        <v>0</v>
      </c>
      <c r="AA194" s="64"/>
      <c r="AB194" s="74" t="s">
        <v>38</v>
      </c>
      <c r="AC194" s="73">
        <f t="shared" si="850"/>
        <v>0</v>
      </c>
      <c r="AD194" s="64"/>
      <c r="AE194" s="74" t="s">
        <v>38</v>
      </c>
      <c r="AF194" s="73">
        <f t="shared" si="851"/>
        <v>0</v>
      </c>
      <c r="AG194" s="64"/>
      <c r="AH194" s="74" t="s">
        <v>38</v>
      </c>
      <c r="AI194" s="73">
        <f t="shared" si="852"/>
        <v>0</v>
      </c>
      <c r="AJ194" s="64"/>
      <c r="AK194" s="74" t="s">
        <v>38</v>
      </c>
      <c r="AL194" s="73">
        <f t="shared" si="853"/>
        <v>0</v>
      </c>
      <c r="AM194" s="64"/>
      <c r="AN194" s="74" t="s">
        <v>38</v>
      </c>
      <c r="AO194" s="73">
        <f t="shared" si="854"/>
        <v>0</v>
      </c>
      <c r="AP194" s="64"/>
      <c r="AQ194" s="74" t="s">
        <v>38</v>
      </c>
      <c r="AR194" s="73">
        <f t="shared" si="855"/>
        <v>0</v>
      </c>
      <c r="AS194" s="64"/>
      <c r="AT194" s="74" t="s">
        <v>38</v>
      </c>
      <c r="AU194" s="73">
        <f t="shared" si="856"/>
        <v>0</v>
      </c>
      <c r="AV194" s="64"/>
      <c r="AW194" s="74" t="s">
        <v>38</v>
      </c>
      <c r="AX194" s="73">
        <f t="shared" si="857"/>
        <v>0</v>
      </c>
      <c r="AY194" s="64"/>
      <c r="AZ194" s="74" t="s">
        <v>38</v>
      </c>
      <c r="BA194" s="73">
        <f t="shared" si="858"/>
        <v>0</v>
      </c>
      <c r="BB194" s="64"/>
      <c r="BC194" s="74" t="s">
        <v>38</v>
      </c>
      <c r="BD194" s="73">
        <f t="shared" si="859"/>
        <v>0</v>
      </c>
      <c r="BE194" s="64"/>
      <c r="BF194" s="74" t="s">
        <v>38</v>
      </c>
      <c r="BG194" s="73">
        <f t="shared" si="860"/>
        <v>0</v>
      </c>
      <c r="BH194" s="64"/>
      <c r="BI194" s="74" t="s">
        <v>38</v>
      </c>
      <c r="BJ194" s="73">
        <f t="shared" si="861"/>
        <v>0</v>
      </c>
      <c r="BK194" s="64"/>
      <c r="BL194" s="74" t="s">
        <v>38</v>
      </c>
      <c r="BM194" s="73">
        <f t="shared" si="862"/>
        <v>0</v>
      </c>
      <c r="BN194" s="64"/>
      <c r="BO194" s="74" t="s">
        <v>38</v>
      </c>
      <c r="BP194" s="73">
        <f t="shared" si="863"/>
        <v>0</v>
      </c>
      <c r="BQ194" s="64"/>
      <c r="BR194" s="74" t="s">
        <v>38</v>
      </c>
      <c r="BS194" s="73">
        <f t="shared" si="864"/>
        <v>0</v>
      </c>
      <c r="BT194" s="64"/>
      <c r="BU194" s="74" t="s">
        <v>38</v>
      </c>
      <c r="BV194" s="73">
        <f t="shared" si="865"/>
        <v>0</v>
      </c>
      <c r="BW194" s="64"/>
      <c r="BX194" s="74" t="s">
        <v>38</v>
      </c>
      <c r="BY194" s="73">
        <f t="shared" si="866"/>
        <v>0</v>
      </c>
      <c r="BZ194" s="64"/>
      <c r="CA194" s="74" t="s">
        <v>38</v>
      </c>
      <c r="CB194" s="73">
        <f t="shared" si="867"/>
        <v>0</v>
      </c>
      <c r="CC194" s="64"/>
      <c r="CD194" s="74" t="s">
        <v>38</v>
      </c>
      <c r="CE194" s="73">
        <f t="shared" si="868"/>
        <v>0</v>
      </c>
      <c r="CF194" s="64"/>
      <c r="CG194" s="74" t="s">
        <v>38</v>
      </c>
      <c r="CH194" s="73">
        <f t="shared" si="869"/>
        <v>0</v>
      </c>
      <c r="CI194" s="64"/>
      <c r="CJ194" s="74" t="s">
        <v>38</v>
      </c>
      <c r="CK194" s="73">
        <f t="shared" si="870"/>
        <v>0</v>
      </c>
      <c r="CL194" s="64"/>
      <c r="CM194" s="74" t="s">
        <v>38</v>
      </c>
      <c r="CN194" s="73">
        <f t="shared" si="871"/>
        <v>0</v>
      </c>
      <c r="CO194" s="64"/>
      <c r="CP194" s="74" t="s">
        <v>38</v>
      </c>
      <c r="CQ194" s="73">
        <f t="shared" si="872"/>
        <v>0</v>
      </c>
      <c r="CR194" s="64"/>
      <c r="CS194" s="74" t="s">
        <v>38</v>
      </c>
      <c r="CT194" s="73">
        <f t="shared" si="873"/>
        <v>0</v>
      </c>
      <c r="CU194" s="64"/>
      <c r="CV194" s="74" t="s">
        <v>38</v>
      </c>
      <c r="CW194" s="73">
        <f t="shared" si="874"/>
        <v>0</v>
      </c>
      <c r="CX194" s="64"/>
      <c r="CY194" s="74" t="s">
        <v>38</v>
      </c>
      <c r="CZ194" s="73">
        <f t="shared" si="875"/>
        <v>0</v>
      </c>
      <c r="DA194" s="64"/>
      <c r="DB194" s="74" t="s">
        <v>38</v>
      </c>
      <c r="DC194" s="73">
        <f t="shared" si="876"/>
        <v>0</v>
      </c>
      <c r="DD194" s="64"/>
      <c r="DE194" s="74" t="s">
        <v>38</v>
      </c>
      <c r="DF194" s="73">
        <f t="shared" si="877"/>
        <v>0</v>
      </c>
      <c r="DG194" s="64"/>
      <c r="DH194" s="74" t="s">
        <v>38</v>
      </c>
      <c r="DI194" s="73">
        <f t="shared" si="878"/>
        <v>0</v>
      </c>
      <c r="DJ194" s="64"/>
      <c r="DK194" s="74" t="s">
        <v>38</v>
      </c>
      <c r="DL194" s="73">
        <f t="shared" si="879"/>
        <v>0</v>
      </c>
      <c r="DM194" s="64"/>
      <c r="DN194" s="795" t="s">
        <v>38</v>
      </c>
      <c r="DO194" s="73">
        <f t="shared" si="880"/>
        <v>0</v>
      </c>
      <c r="DP194" s="64"/>
      <c r="DQ194" s="795" t="s">
        <v>38</v>
      </c>
      <c r="DR194" s="73">
        <f t="shared" si="881"/>
        <v>0</v>
      </c>
      <c r="DS194" s="64"/>
      <c r="DT194" s="74" t="s">
        <v>38</v>
      </c>
      <c r="DU194" s="73">
        <f t="shared" si="882"/>
        <v>0</v>
      </c>
      <c r="DV194" s="64"/>
      <c r="DW194" s="74" t="s">
        <v>38</v>
      </c>
      <c r="DX194" s="73">
        <f t="shared" si="883"/>
        <v>0</v>
      </c>
      <c r="DY194" s="64"/>
      <c r="DZ194" s="74" t="s">
        <v>38</v>
      </c>
      <c r="EA194" s="73">
        <f t="shared" si="884"/>
        <v>0</v>
      </c>
      <c r="EB194" s="64"/>
      <c r="EC194" s="74" t="s">
        <v>38</v>
      </c>
      <c r="ED194" s="73">
        <f t="shared" si="885"/>
        <v>0</v>
      </c>
      <c r="EE194" s="64"/>
      <c r="EF194" s="74" t="s">
        <v>38</v>
      </c>
      <c r="EG194" s="73">
        <f t="shared" si="886"/>
        <v>0</v>
      </c>
      <c r="EH194" s="64"/>
      <c r="EI194" s="74" t="s">
        <v>38</v>
      </c>
      <c r="EJ194" s="73">
        <f t="shared" si="887"/>
        <v>0</v>
      </c>
      <c r="EK194" s="64"/>
      <c r="EL194" s="74"/>
      <c r="EM194" s="73">
        <f t="shared" si="888"/>
        <v>0</v>
      </c>
      <c r="EN194" s="64"/>
      <c r="EO194" s="74"/>
      <c r="EP194" s="73">
        <f t="shared" si="889"/>
        <v>0</v>
      </c>
      <c r="EQ194" s="64"/>
      <c r="ER194" s="74"/>
      <c r="ES194" s="73">
        <f t="shared" si="890"/>
        <v>0</v>
      </c>
      <c r="ET194" s="64"/>
      <c r="EU194" s="74"/>
      <c r="EV194" s="73">
        <f t="shared" si="891"/>
        <v>0</v>
      </c>
      <c r="EW194" s="64"/>
      <c r="EX194" s="74"/>
      <c r="EY194" s="73">
        <f t="shared" si="892"/>
        <v>0</v>
      </c>
      <c r="EZ194" s="64"/>
      <c r="FA194" s="74"/>
      <c r="FB194" s="73">
        <f t="shared" si="893"/>
        <v>0</v>
      </c>
      <c r="FC194" s="64"/>
      <c r="FD194" s="74"/>
      <c r="FE194" s="73">
        <f t="shared" si="894"/>
        <v>0</v>
      </c>
      <c r="FF194" s="64"/>
      <c r="FG194" s="74"/>
      <c r="FH194" s="73">
        <f t="shared" si="895"/>
        <v>0</v>
      </c>
      <c r="FI194" s="64"/>
      <c r="FJ194" s="74"/>
      <c r="FK194" s="73">
        <f t="shared" si="896"/>
        <v>0</v>
      </c>
      <c r="FL194" s="64"/>
      <c r="FM194" s="64"/>
    </row>
    <row r="195" spans="1:169">
      <c r="A195" s="25"/>
      <c r="B195" s="25"/>
      <c r="C195" s="25"/>
      <c r="D195" s="25"/>
      <c r="E195" s="25"/>
      <c r="F195" s="407">
        <f t="shared" si="897"/>
        <v>4</v>
      </c>
      <c r="G195" s="407">
        <f ca="1">VLOOKUP(H195,Equipos!$Q$1:$R$25,2,0)</f>
        <v>20</v>
      </c>
      <c r="H195" s="446" t="str">
        <f>Idiomas!$D$260</f>
        <v>Dieciseisavos de final</v>
      </c>
      <c r="I195" s="50"/>
      <c r="J195" s="849"/>
      <c r="K195" s="56" t="str">
        <f>Idiomas!$D$199&amp;"-"&amp;ROWS($L$182:L195)</f>
        <v>Octavofinalista-14</v>
      </c>
      <c r="L195" s="53"/>
      <c r="M195" s="55" t="str">
        <f>WORLDCUP!AF125</f>
        <v>W82</v>
      </c>
      <c r="N195" s="25"/>
      <c r="O195" s="25"/>
      <c r="P195" s="25"/>
      <c r="Q195" s="25"/>
      <c r="R195" s="110"/>
      <c r="S195" s="74" t="s">
        <v>1843</v>
      </c>
      <c r="T195" s="73">
        <f t="shared" si="847"/>
        <v>0</v>
      </c>
      <c r="U195" s="64"/>
      <c r="V195" s="74" t="s">
        <v>110</v>
      </c>
      <c r="W195" s="73">
        <f t="shared" si="848"/>
        <v>0</v>
      </c>
      <c r="X195" s="64"/>
      <c r="Y195" s="74" t="s">
        <v>110</v>
      </c>
      <c r="Z195" s="73">
        <f t="shared" si="849"/>
        <v>0</v>
      </c>
      <c r="AA195" s="64"/>
      <c r="AB195" s="74" t="s">
        <v>110</v>
      </c>
      <c r="AC195" s="73">
        <f t="shared" si="850"/>
        <v>0</v>
      </c>
      <c r="AD195" s="64"/>
      <c r="AE195" s="74" t="s">
        <v>110</v>
      </c>
      <c r="AF195" s="73">
        <f t="shared" si="851"/>
        <v>0</v>
      </c>
      <c r="AG195" s="64"/>
      <c r="AH195" s="74" t="s">
        <v>110</v>
      </c>
      <c r="AI195" s="73">
        <f t="shared" si="852"/>
        <v>0</v>
      </c>
      <c r="AJ195" s="64"/>
      <c r="AK195" s="74" t="s">
        <v>110</v>
      </c>
      <c r="AL195" s="73">
        <f t="shared" si="853"/>
        <v>0</v>
      </c>
      <c r="AM195" s="64"/>
      <c r="AN195" s="74" t="s">
        <v>110</v>
      </c>
      <c r="AO195" s="73">
        <f t="shared" si="854"/>
        <v>0</v>
      </c>
      <c r="AP195" s="64"/>
      <c r="AQ195" s="74" t="s">
        <v>110</v>
      </c>
      <c r="AR195" s="73">
        <f t="shared" si="855"/>
        <v>0</v>
      </c>
      <c r="AS195" s="64"/>
      <c r="AT195" s="74" t="s">
        <v>1634</v>
      </c>
      <c r="AU195" s="73">
        <f t="shared" si="856"/>
        <v>0</v>
      </c>
      <c r="AV195" s="64"/>
      <c r="AW195" s="74" t="s">
        <v>110</v>
      </c>
      <c r="AX195" s="73">
        <f t="shared" si="857"/>
        <v>0</v>
      </c>
      <c r="AY195" s="64"/>
      <c r="AZ195" s="74" t="s">
        <v>110</v>
      </c>
      <c r="BA195" s="73">
        <f t="shared" si="858"/>
        <v>0</v>
      </c>
      <c r="BB195" s="64"/>
      <c r="BC195" s="74" t="s">
        <v>110</v>
      </c>
      <c r="BD195" s="73">
        <f t="shared" si="859"/>
        <v>0</v>
      </c>
      <c r="BE195" s="64"/>
      <c r="BF195" s="74" t="s">
        <v>110</v>
      </c>
      <c r="BG195" s="73">
        <f t="shared" si="860"/>
        <v>0</v>
      </c>
      <c r="BH195" s="64"/>
      <c r="BI195" s="74" t="s">
        <v>110</v>
      </c>
      <c r="BJ195" s="73">
        <f t="shared" si="861"/>
        <v>0</v>
      </c>
      <c r="BK195" s="64"/>
      <c r="BL195" s="74" t="s">
        <v>110</v>
      </c>
      <c r="BM195" s="73">
        <f t="shared" si="862"/>
        <v>0</v>
      </c>
      <c r="BN195" s="64"/>
      <c r="BO195" s="74" t="s">
        <v>110</v>
      </c>
      <c r="BP195" s="73">
        <f t="shared" si="863"/>
        <v>0</v>
      </c>
      <c r="BQ195" s="64"/>
      <c r="BR195" s="74" t="s">
        <v>110</v>
      </c>
      <c r="BS195" s="73">
        <f t="shared" si="864"/>
        <v>0</v>
      </c>
      <c r="BT195" s="64"/>
      <c r="BU195" s="74" t="s">
        <v>110</v>
      </c>
      <c r="BV195" s="73">
        <f t="shared" si="865"/>
        <v>0</v>
      </c>
      <c r="BW195" s="64"/>
      <c r="BX195" s="74" t="s">
        <v>135</v>
      </c>
      <c r="BY195" s="73">
        <f t="shared" si="866"/>
        <v>0</v>
      </c>
      <c r="BZ195" s="64"/>
      <c r="CA195" s="74" t="s">
        <v>110</v>
      </c>
      <c r="CB195" s="73">
        <f t="shared" si="867"/>
        <v>0</v>
      </c>
      <c r="CC195" s="64"/>
      <c r="CD195" s="74" t="s">
        <v>110</v>
      </c>
      <c r="CE195" s="73">
        <f t="shared" si="868"/>
        <v>0</v>
      </c>
      <c r="CF195" s="64"/>
      <c r="CG195" s="74" t="s">
        <v>135</v>
      </c>
      <c r="CH195" s="73">
        <f t="shared" si="869"/>
        <v>0</v>
      </c>
      <c r="CI195" s="64"/>
      <c r="CJ195" s="74" t="s">
        <v>110</v>
      </c>
      <c r="CK195" s="73">
        <f t="shared" si="870"/>
        <v>0</v>
      </c>
      <c r="CL195" s="64"/>
      <c r="CM195" s="74" t="s">
        <v>1843</v>
      </c>
      <c r="CN195" s="73">
        <f t="shared" si="871"/>
        <v>0</v>
      </c>
      <c r="CO195" s="64"/>
      <c r="CP195" s="74" t="s">
        <v>110</v>
      </c>
      <c r="CQ195" s="73">
        <f t="shared" si="872"/>
        <v>0</v>
      </c>
      <c r="CR195" s="64"/>
      <c r="CS195" s="74" t="s">
        <v>110</v>
      </c>
      <c r="CT195" s="73">
        <f t="shared" si="873"/>
        <v>0</v>
      </c>
      <c r="CU195" s="64"/>
      <c r="CV195" s="74" t="s">
        <v>110</v>
      </c>
      <c r="CW195" s="73">
        <f t="shared" si="874"/>
        <v>0</v>
      </c>
      <c r="CX195" s="64"/>
      <c r="CY195" s="74" t="s">
        <v>110</v>
      </c>
      <c r="CZ195" s="73">
        <f t="shared" si="875"/>
        <v>0</v>
      </c>
      <c r="DA195" s="64"/>
      <c r="DB195" s="74" t="s">
        <v>110</v>
      </c>
      <c r="DC195" s="73">
        <f t="shared" si="876"/>
        <v>0</v>
      </c>
      <c r="DD195" s="64"/>
      <c r="DE195" s="74" t="s">
        <v>110</v>
      </c>
      <c r="DF195" s="73">
        <f t="shared" si="877"/>
        <v>0</v>
      </c>
      <c r="DG195" s="64"/>
      <c r="DH195" s="74" t="s">
        <v>110</v>
      </c>
      <c r="DI195" s="73">
        <f t="shared" si="878"/>
        <v>0</v>
      </c>
      <c r="DJ195" s="64"/>
      <c r="DK195" s="74" t="s">
        <v>110</v>
      </c>
      <c r="DL195" s="73">
        <f t="shared" si="879"/>
        <v>0</v>
      </c>
      <c r="DM195" s="64"/>
      <c r="DN195" s="795" t="s">
        <v>110</v>
      </c>
      <c r="DO195" s="73">
        <f t="shared" si="880"/>
        <v>0</v>
      </c>
      <c r="DP195" s="64"/>
      <c r="DQ195" s="795" t="s">
        <v>135</v>
      </c>
      <c r="DR195" s="73">
        <f t="shared" si="881"/>
        <v>0</v>
      </c>
      <c r="DS195" s="64"/>
      <c r="DT195" s="74" t="s">
        <v>110</v>
      </c>
      <c r="DU195" s="73">
        <f t="shared" si="882"/>
        <v>0</v>
      </c>
      <c r="DV195" s="64"/>
      <c r="DW195" s="74" t="s">
        <v>1558</v>
      </c>
      <c r="DX195" s="73">
        <f t="shared" si="883"/>
        <v>0</v>
      </c>
      <c r="DY195" s="64"/>
      <c r="DZ195" s="74" t="s">
        <v>110</v>
      </c>
      <c r="EA195" s="73">
        <f t="shared" si="884"/>
        <v>0</v>
      </c>
      <c r="EB195" s="64"/>
      <c r="EC195" s="74" t="s">
        <v>110</v>
      </c>
      <c r="ED195" s="73">
        <f t="shared" si="885"/>
        <v>0</v>
      </c>
      <c r="EE195" s="64"/>
      <c r="EF195" s="74" t="s">
        <v>110</v>
      </c>
      <c r="EG195" s="73">
        <f t="shared" si="886"/>
        <v>0</v>
      </c>
      <c r="EH195" s="64"/>
      <c r="EI195" s="74" t="s">
        <v>110</v>
      </c>
      <c r="EJ195" s="73">
        <f t="shared" si="887"/>
        <v>0</v>
      </c>
      <c r="EK195" s="64"/>
      <c r="EL195" s="74"/>
      <c r="EM195" s="73">
        <f t="shared" si="888"/>
        <v>0</v>
      </c>
      <c r="EN195" s="64"/>
      <c r="EO195" s="74"/>
      <c r="EP195" s="73">
        <f t="shared" si="889"/>
        <v>0</v>
      </c>
      <c r="EQ195" s="64"/>
      <c r="ER195" s="74"/>
      <c r="ES195" s="73">
        <f t="shared" si="890"/>
        <v>0</v>
      </c>
      <c r="ET195" s="64"/>
      <c r="EU195" s="74"/>
      <c r="EV195" s="73">
        <f t="shared" si="891"/>
        <v>0</v>
      </c>
      <c r="EW195" s="64"/>
      <c r="EX195" s="74"/>
      <c r="EY195" s="73">
        <f t="shared" si="892"/>
        <v>0</v>
      </c>
      <c r="EZ195" s="64"/>
      <c r="FA195" s="74"/>
      <c r="FB195" s="73">
        <f t="shared" si="893"/>
        <v>0</v>
      </c>
      <c r="FC195" s="64"/>
      <c r="FD195" s="74"/>
      <c r="FE195" s="73">
        <f t="shared" si="894"/>
        <v>0</v>
      </c>
      <c r="FF195" s="64"/>
      <c r="FG195" s="74"/>
      <c r="FH195" s="73">
        <f t="shared" si="895"/>
        <v>0</v>
      </c>
      <c r="FI195" s="64"/>
      <c r="FJ195" s="74"/>
      <c r="FK195" s="73">
        <f t="shared" si="896"/>
        <v>0</v>
      </c>
      <c r="FL195" s="64"/>
      <c r="FM195" s="64"/>
    </row>
    <row r="196" spans="1:169">
      <c r="A196" s="25"/>
      <c r="B196" s="25"/>
      <c r="C196" s="25"/>
      <c r="D196" s="25"/>
      <c r="E196" s="25"/>
      <c r="F196" s="407">
        <f t="shared" si="897"/>
        <v>4</v>
      </c>
      <c r="G196" s="407">
        <f ca="1">VLOOKUP(H196,Equipos!$Q$1:$R$25,2,0)</f>
        <v>20</v>
      </c>
      <c r="H196" s="446" t="str">
        <f>Idiomas!$D$260</f>
        <v>Dieciseisavos de final</v>
      </c>
      <c r="I196" s="50"/>
      <c r="J196" s="849"/>
      <c r="K196" s="56" t="str">
        <f>Idiomas!$D$199&amp;"-"&amp;ROWS($L$182:L196)</f>
        <v>Octavofinalista-15</v>
      </c>
      <c r="L196" s="53"/>
      <c r="M196" s="55" t="str">
        <f>WORLDCUP!AF126</f>
        <v>W88</v>
      </c>
      <c r="N196" s="25"/>
      <c r="O196" s="25"/>
      <c r="P196" s="25"/>
      <c r="Q196" s="25"/>
      <c r="R196" s="110"/>
      <c r="S196" s="74" t="s">
        <v>1835</v>
      </c>
      <c r="T196" s="73">
        <f t="shared" si="847"/>
        <v>0</v>
      </c>
      <c r="U196" s="64"/>
      <c r="V196" s="74" t="s">
        <v>497</v>
      </c>
      <c r="W196" s="73">
        <f t="shared" si="848"/>
        <v>0</v>
      </c>
      <c r="X196" s="64"/>
      <c r="Y196" s="74" t="s">
        <v>1550</v>
      </c>
      <c r="Z196" s="73">
        <f t="shared" si="849"/>
        <v>0</v>
      </c>
      <c r="AA196" s="64"/>
      <c r="AB196" s="74" t="s">
        <v>497</v>
      </c>
      <c r="AC196" s="73">
        <f t="shared" si="850"/>
        <v>0</v>
      </c>
      <c r="AD196" s="64"/>
      <c r="AE196" s="74" t="s">
        <v>1835</v>
      </c>
      <c r="AF196" s="73">
        <f t="shared" si="851"/>
        <v>0</v>
      </c>
      <c r="AG196" s="64"/>
      <c r="AH196" s="74" t="s">
        <v>1835</v>
      </c>
      <c r="AI196" s="73">
        <f t="shared" si="852"/>
        <v>0</v>
      </c>
      <c r="AJ196" s="64"/>
      <c r="AK196" s="74" t="s">
        <v>1550</v>
      </c>
      <c r="AL196" s="73">
        <f t="shared" si="853"/>
        <v>0</v>
      </c>
      <c r="AM196" s="64"/>
      <c r="AN196" s="74" t="s">
        <v>497</v>
      </c>
      <c r="AO196" s="73">
        <f t="shared" si="854"/>
        <v>0</v>
      </c>
      <c r="AP196" s="64"/>
      <c r="AQ196" s="74" t="s">
        <v>1319</v>
      </c>
      <c r="AR196" s="73">
        <f t="shared" si="855"/>
        <v>0</v>
      </c>
      <c r="AS196" s="64"/>
      <c r="AT196" s="74" t="s">
        <v>497</v>
      </c>
      <c r="AU196" s="73">
        <f t="shared" si="856"/>
        <v>0</v>
      </c>
      <c r="AV196" s="64"/>
      <c r="AW196" s="74" t="s">
        <v>1319</v>
      </c>
      <c r="AX196" s="73">
        <f t="shared" si="857"/>
        <v>0</v>
      </c>
      <c r="AY196" s="64"/>
      <c r="AZ196" s="74" t="s">
        <v>1550</v>
      </c>
      <c r="BA196" s="73">
        <f t="shared" si="858"/>
        <v>0</v>
      </c>
      <c r="BB196" s="64"/>
      <c r="BC196" s="74" t="s">
        <v>1550</v>
      </c>
      <c r="BD196" s="73">
        <f t="shared" si="859"/>
        <v>0</v>
      </c>
      <c r="BE196" s="64"/>
      <c r="BF196" s="74" t="s">
        <v>1835</v>
      </c>
      <c r="BG196" s="73">
        <f t="shared" si="860"/>
        <v>0</v>
      </c>
      <c r="BH196" s="64"/>
      <c r="BI196" s="74" t="s">
        <v>1319</v>
      </c>
      <c r="BJ196" s="73">
        <f t="shared" si="861"/>
        <v>0</v>
      </c>
      <c r="BK196" s="64"/>
      <c r="BL196" s="74" t="s">
        <v>1835</v>
      </c>
      <c r="BM196" s="73">
        <f t="shared" si="862"/>
        <v>0</v>
      </c>
      <c r="BN196" s="64"/>
      <c r="BO196" s="74" t="s">
        <v>497</v>
      </c>
      <c r="BP196" s="73">
        <f t="shared" si="863"/>
        <v>0</v>
      </c>
      <c r="BQ196" s="64"/>
      <c r="BR196" s="74" t="s">
        <v>1319</v>
      </c>
      <c r="BS196" s="73">
        <f t="shared" si="864"/>
        <v>0</v>
      </c>
      <c r="BT196" s="64"/>
      <c r="BU196" s="74" t="s">
        <v>497</v>
      </c>
      <c r="BV196" s="73">
        <f t="shared" si="865"/>
        <v>0</v>
      </c>
      <c r="BW196" s="64"/>
      <c r="BX196" s="74" t="s">
        <v>110</v>
      </c>
      <c r="BY196" s="73">
        <f t="shared" si="866"/>
        <v>0</v>
      </c>
      <c r="BZ196" s="64"/>
      <c r="CA196" s="74" t="s">
        <v>497</v>
      </c>
      <c r="CB196" s="73">
        <f t="shared" si="867"/>
        <v>0</v>
      </c>
      <c r="CC196" s="64"/>
      <c r="CD196" s="74" t="s">
        <v>497</v>
      </c>
      <c r="CE196" s="73">
        <f t="shared" si="868"/>
        <v>0</v>
      </c>
      <c r="CF196" s="64"/>
      <c r="CG196" s="74" t="s">
        <v>1835</v>
      </c>
      <c r="CH196" s="73">
        <f t="shared" si="869"/>
        <v>0</v>
      </c>
      <c r="CI196" s="64"/>
      <c r="CJ196" s="74" t="s">
        <v>1835</v>
      </c>
      <c r="CK196" s="73">
        <f t="shared" si="870"/>
        <v>0</v>
      </c>
      <c r="CL196" s="64"/>
      <c r="CM196" s="74" t="s">
        <v>497</v>
      </c>
      <c r="CN196" s="73">
        <f t="shared" si="871"/>
        <v>0</v>
      </c>
      <c r="CO196" s="64"/>
      <c r="CP196" s="74" t="s">
        <v>497</v>
      </c>
      <c r="CQ196" s="73">
        <f t="shared" si="872"/>
        <v>0</v>
      </c>
      <c r="CR196" s="64"/>
      <c r="CS196" s="74" t="s">
        <v>497</v>
      </c>
      <c r="CT196" s="73">
        <f t="shared" si="873"/>
        <v>0</v>
      </c>
      <c r="CU196" s="64"/>
      <c r="CV196" s="74" t="s">
        <v>1550</v>
      </c>
      <c r="CW196" s="73">
        <f t="shared" si="874"/>
        <v>0</v>
      </c>
      <c r="CX196" s="64"/>
      <c r="CY196" s="74" t="s">
        <v>497</v>
      </c>
      <c r="CZ196" s="73">
        <f t="shared" si="875"/>
        <v>0</v>
      </c>
      <c r="DA196" s="64"/>
      <c r="DB196" s="74" t="s">
        <v>497</v>
      </c>
      <c r="DC196" s="73">
        <f t="shared" si="876"/>
        <v>0</v>
      </c>
      <c r="DD196" s="64"/>
      <c r="DE196" s="74" t="s">
        <v>497</v>
      </c>
      <c r="DF196" s="73">
        <f t="shared" si="877"/>
        <v>0</v>
      </c>
      <c r="DG196" s="64"/>
      <c r="DH196" s="74" t="s">
        <v>497</v>
      </c>
      <c r="DI196" s="73">
        <f t="shared" si="878"/>
        <v>0</v>
      </c>
      <c r="DJ196" s="64"/>
      <c r="DK196" s="74" t="s">
        <v>497</v>
      </c>
      <c r="DL196" s="73">
        <f t="shared" si="879"/>
        <v>0</v>
      </c>
      <c r="DM196" s="64"/>
      <c r="DN196" s="795" t="s">
        <v>1319</v>
      </c>
      <c r="DO196" s="73">
        <f t="shared" si="880"/>
        <v>0</v>
      </c>
      <c r="DP196" s="64"/>
      <c r="DQ196" s="795" t="s">
        <v>110</v>
      </c>
      <c r="DR196" s="73">
        <f t="shared" si="881"/>
        <v>0</v>
      </c>
      <c r="DS196" s="64"/>
      <c r="DT196" s="74" t="s">
        <v>1835</v>
      </c>
      <c r="DU196" s="73">
        <f t="shared" si="882"/>
        <v>0</v>
      </c>
      <c r="DV196" s="64"/>
      <c r="DW196" s="74" t="s">
        <v>497</v>
      </c>
      <c r="DX196" s="73">
        <f t="shared" si="883"/>
        <v>0</v>
      </c>
      <c r="DY196" s="64"/>
      <c r="DZ196" s="74" t="s">
        <v>1835</v>
      </c>
      <c r="EA196" s="73">
        <f t="shared" si="884"/>
        <v>0</v>
      </c>
      <c r="EB196" s="64"/>
      <c r="EC196" s="74" t="s">
        <v>1319</v>
      </c>
      <c r="ED196" s="73">
        <f t="shared" si="885"/>
        <v>0</v>
      </c>
      <c r="EE196" s="64"/>
      <c r="EF196" s="74" t="s">
        <v>1835</v>
      </c>
      <c r="EG196" s="73">
        <f t="shared" si="886"/>
        <v>0</v>
      </c>
      <c r="EH196" s="64"/>
      <c r="EI196" s="74" t="s">
        <v>497</v>
      </c>
      <c r="EJ196" s="73">
        <f t="shared" si="887"/>
        <v>0</v>
      </c>
      <c r="EK196" s="64"/>
      <c r="EL196" s="74"/>
      <c r="EM196" s="73">
        <f t="shared" si="888"/>
        <v>0</v>
      </c>
      <c r="EN196" s="64"/>
      <c r="EO196" s="74"/>
      <c r="EP196" s="73">
        <f t="shared" si="889"/>
        <v>0</v>
      </c>
      <c r="EQ196" s="64"/>
      <c r="ER196" s="74"/>
      <c r="ES196" s="73">
        <f t="shared" si="890"/>
        <v>0</v>
      </c>
      <c r="ET196" s="64"/>
      <c r="EU196" s="74"/>
      <c r="EV196" s="73">
        <f t="shared" si="891"/>
        <v>0</v>
      </c>
      <c r="EW196" s="64"/>
      <c r="EX196" s="74"/>
      <c r="EY196" s="73">
        <f t="shared" si="892"/>
        <v>0</v>
      </c>
      <c r="EZ196" s="64"/>
      <c r="FA196" s="74"/>
      <c r="FB196" s="73">
        <f t="shared" si="893"/>
        <v>0</v>
      </c>
      <c r="FC196" s="64"/>
      <c r="FD196" s="74"/>
      <c r="FE196" s="73">
        <f t="shared" si="894"/>
        <v>0</v>
      </c>
      <c r="FF196" s="64"/>
      <c r="FG196" s="74"/>
      <c r="FH196" s="73">
        <f t="shared" si="895"/>
        <v>0</v>
      </c>
      <c r="FI196" s="64"/>
      <c r="FJ196" s="74"/>
      <c r="FK196" s="73">
        <f t="shared" si="896"/>
        <v>0</v>
      </c>
      <c r="FL196" s="64"/>
      <c r="FM196" s="64"/>
    </row>
    <row r="197" spans="1:169">
      <c r="A197" s="25"/>
      <c r="B197" s="25"/>
      <c r="C197" s="25"/>
      <c r="D197" s="25"/>
      <c r="E197" s="25"/>
      <c r="F197" s="407">
        <f t="shared" si="897"/>
        <v>4</v>
      </c>
      <c r="G197" s="407">
        <f ca="1">VLOOKUP(H197,Equipos!$Q$1:$R$25,2,0)</f>
        <v>20</v>
      </c>
      <c r="H197" s="446" t="str">
        <f>Idiomas!$D$260</f>
        <v>Dieciseisavos de final</v>
      </c>
      <c r="I197" s="50"/>
      <c r="J197" s="849"/>
      <c r="K197" s="115" t="str">
        <f>Idiomas!$D$199&amp;"-"&amp;ROWS($L$182:L197)</f>
        <v>Octavofinalista-16</v>
      </c>
      <c r="L197" s="115"/>
      <c r="M197" s="116" t="str">
        <f>WORLDCUP!AF127</f>
        <v>W87</v>
      </c>
      <c r="N197" s="25"/>
      <c r="O197" s="25"/>
      <c r="P197" s="25"/>
      <c r="Q197" s="25"/>
      <c r="R197" s="110"/>
      <c r="S197" s="80" t="s">
        <v>1320</v>
      </c>
      <c r="T197" s="81">
        <f t="shared" si="847"/>
        <v>0</v>
      </c>
      <c r="U197" s="64"/>
      <c r="V197" s="80" t="s">
        <v>79</v>
      </c>
      <c r="W197" s="81">
        <f t="shared" si="848"/>
        <v>0</v>
      </c>
      <c r="X197" s="64"/>
      <c r="Y197" s="80" t="s">
        <v>79</v>
      </c>
      <c r="Z197" s="81">
        <f t="shared" si="849"/>
        <v>0</v>
      </c>
      <c r="AA197" s="64"/>
      <c r="AB197" s="80" t="s">
        <v>79</v>
      </c>
      <c r="AC197" s="81">
        <f t="shared" si="850"/>
        <v>0</v>
      </c>
      <c r="AD197" s="64"/>
      <c r="AE197" s="80" t="s">
        <v>1320</v>
      </c>
      <c r="AF197" s="81">
        <f t="shared" si="851"/>
        <v>0</v>
      </c>
      <c r="AG197" s="64"/>
      <c r="AH197" s="80" t="s">
        <v>79</v>
      </c>
      <c r="AI197" s="81">
        <f t="shared" si="852"/>
        <v>0</v>
      </c>
      <c r="AJ197" s="64"/>
      <c r="AK197" s="80" t="s">
        <v>79</v>
      </c>
      <c r="AL197" s="81">
        <f t="shared" si="853"/>
        <v>0</v>
      </c>
      <c r="AM197" s="64"/>
      <c r="AN197" s="80" t="s">
        <v>79</v>
      </c>
      <c r="AO197" s="81">
        <f t="shared" si="854"/>
        <v>0</v>
      </c>
      <c r="AP197" s="64"/>
      <c r="AQ197" s="80" t="s">
        <v>79</v>
      </c>
      <c r="AR197" s="81">
        <f t="shared" si="855"/>
        <v>0</v>
      </c>
      <c r="AS197" s="64"/>
      <c r="AT197" s="80" t="s">
        <v>79</v>
      </c>
      <c r="AU197" s="81">
        <f t="shared" si="856"/>
        <v>0</v>
      </c>
      <c r="AV197" s="64"/>
      <c r="AW197" s="80" t="s">
        <v>79</v>
      </c>
      <c r="AX197" s="81">
        <f t="shared" si="857"/>
        <v>0</v>
      </c>
      <c r="AY197" s="64"/>
      <c r="AZ197" s="80" t="s">
        <v>79</v>
      </c>
      <c r="BA197" s="81">
        <f t="shared" si="858"/>
        <v>0</v>
      </c>
      <c r="BB197" s="64"/>
      <c r="BC197" s="80" t="s">
        <v>79</v>
      </c>
      <c r="BD197" s="81">
        <f t="shared" si="859"/>
        <v>0</v>
      </c>
      <c r="BE197" s="64"/>
      <c r="BF197" s="80" t="s">
        <v>79</v>
      </c>
      <c r="BG197" s="81">
        <f t="shared" si="860"/>
        <v>0</v>
      </c>
      <c r="BH197" s="64"/>
      <c r="BI197" s="80" t="s">
        <v>79</v>
      </c>
      <c r="BJ197" s="81">
        <f t="shared" si="861"/>
        <v>0</v>
      </c>
      <c r="BK197" s="64"/>
      <c r="BL197" s="80" t="s">
        <v>79</v>
      </c>
      <c r="BM197" s="81">
        <f t="shared" si="862"/>
        <v>0</v>
      </c>
      <c r="BN197" s="64"/>
      <c r="BO197" s="80" t="s">
        <v>79</v>
      </c>
      <c r="BP197" s="81">
        <f t="shared" si="863"/>
        <v>0</v>
      </c>
      <c r="BQ197" s="64"/>
      <c r="BR197" s="80" t="s">
        <v>79</v>
      </c>
      <c r="BS197" s="81">
        <f t="shared" si="864"/>
        <v>0</v>
      </c>
      <c r="BT197" s="64"/>
      <c r="BU197" s="80" t="s">
        <v>79</v>
      </c>
      <c r="BV197" s="81">
        <f t="shared" si="865"/>
        <v>0</v>
      </c>
      <c r="BW197" s="64"/>
      <c r="BX197" s="80" t="s">
        <v>1320</v>
      </c>
      <c r="BY197" s="81">
        <f t="shared" si="866"/>
        <v>0</v>
      </c>
      <c r="BZ197" s="64"/>
      <c r="CA197" s="80" t="s">
        <v>79</v>
      </c>
      <c r="CB197" s="81">
        <f t="shared" si="867"/>
        <v>0</v>
      </c>
      <c r="CC197" s="64"/>
      <c r="CD197" s="80" t="s">
        <v>79</v>
      </c>
      <c r="CE197" s="81">
        <f t="shared" si="868"/>
        <v>0</v>
      </c>
      <c r="CF197" s="64"/>
      <c r="CG197" s="80" t="s">
        <v>79</v>
      </c>
      <c r="CH197" s="81">
        <f t="shared" si="869"/>
        <v>0</v>
      </c>
      <c r="CI197" s="64"/>
      <c r="CJ197" s="80" t="s">
        <v>79</v>
      </c>
      <c r="CK197" s="81">
        <f t="shared" si="870"/>
        <v>0</v>
      </c>
      <c r="CL197" s="64"/>
      <c r="CM197" s="80" t="s">
        <v>79</v>
      </c>
      <c r="CN197" s="81">
        <f t="shared" si="871"/>
        <v>0</v>
      </c>
      <c r="CO197" s="64"/>
      <c r="CP197" s="80" t="s">
        <v>79</v>
      </c>
      <c r="CQ197" s="81">
        <f t="shared" si="872"/>
        <v>0</v>
      </c>
      <c r="CR197" s="64"/>
      <c r="CS197" s="80" t="s">
        <v>79</v>
      </c>
      <c r="CT197" s="81">
        <f t="shared" si="873"/>
        <v>0</v>
      </c>
      <c r="CU197" s="64"/>
      <c r="CV197" s="80" t="s">
        <v>79</v>
      </c>
      <c r="CW197" s="81">
        <f t="shared" si="874"/>
        <v>0</v>
      </c>
      <c r="CX197" s="64"/>
      <c r="CY197" s="80" t="s">
        <v>79</v>
      </c>
      <c r="CZ197" s="81">
        <f t="shared" si="875"/>
        <v>0</v>
      </c>
      <c r="DA197" s="64"/>
      <c r="DB197" s="80" t="s">
        <v>79</v>
      </c>
      <c r="DC197" s="81">
        <f t="shared" si="876"/>
        <v>0</v>
      </c>
      <c r="DD197" s="64"/>
      <c r="DE197" s="80" t="s">
        <v>79</v>
      </c>
      <c r="DF197" s="81">
        <f t="shared" si="877"/>
        <v>0</v>
      </c>
      <c r="DG197" s="64"/>
      <c r="DH197" s="80" t="s">
        <v>79</v>
      </c>
      <c r="DI197" s="81">
        <f t="shared" si="878"/>
        <v>0</v>
      </c>
      <c r="DJ197" s="64"/>
      <c r="DK197" s="80" t="s">
        <v>79</v>
      </c>
      <c r="DL197" s="81">
        <f t="shared" si="879"/>
        <v>0</v>
      </c>
      <c r="DM197" s="64"/>
      <c r="DN197" s="795" t="s">
        <v>79</v>
      </c>
      <c r="DO197" s="81">
        <f t="shared" si="880"/>
        <v>0</v>
      </c>
      <c r="DP197" s="64"/>
      <c r="DQ197" s="795" t="s">
        <v>79</v>
      </c>
      <c r="DR197" s="81">
        <f t="shared" si="881"/>
        <v>0</v>
      </c>
      <c r="DS197" s="64"/>
      <c r="DT197" s="80" t="s">
        <v>1320</v>
      </c>
      <c r="DU197" s="81">
        <f t="shared" si="882"/>
        <v>0</v>
      </c>
      <c r="DV197" s="64"/>
      <c r="DW197" s="80" t="s">
        <v>79</v>
      </c>
      <c r="DX197" s="81">
        <f t="shared" si="883"/>
        <v>0</v>
      </c>
      <c r="DY197" s="64"/>
      <c r="DZ197" s="80" t="s">
        <v>79</v>
      </c>
      <c r="EA197" s="81">
        <f t="shared" si="884"/>
        <v>0</v>
      </c>
      <c r="EB197" s="64"/>
      <c r="EC197" s="80" t="s">
        <v>79</v>
      </c>
      <c r="ED197" s="81">
        <f t="shared" si="885"/>
        <v>0</v>
      </c>
      <c r="EE197" s="64"/>
      <c r="EF197" s="80" t="s">
        <v>79</v>
      </c>
      <c r="EG197" s="81">
        <f t="shared" si="886"/>
        <v>0</v>
      </c>
      <c r="EH197" s="64"/>
      <c r="EI197" s="80" t="s">
        <v>79</v>
      </c>
      <c r="EJ197" s="81">
        <f t="shared" si="887"/>
        <v>0</v>
      </c>
      <c r="EK197" s="64"/>
      <c r="EL197" s="80"/>
      <c r="EM197" s="81">
        <f t="shared" si="888"/>
        <v>0</v>
      </c>
      <c r="EN197" s="64"/>
      <c r="EO197" s="80"/>
      <c r="EP197" s="81">
        <f t="shared" si="889"/>
        <v>0</v>
      </c>
      <c r="EQ197" s="64"/>
      <c r="ER197" s="80"/>
      <c r="ES197" s="81">
        <f t="shared" si="890"/>
        <v>0</v>
      </c>
      <c r="ET197" s="64"/>
      <c r="EU197" s="80"/>
      <c r="EV197" s="81">
        <f t="shared" si="891"/>
        <v>0</v>
      </c>
      <c r="EW197" s="64"/>
      <c r="EX197" s="80"/>
      <c r="EY197" s="81">
        <f t="shared" si="892"/>
        <v>0</v>
      </c>
      <c r="EZ197" s="64"/>
      <c r="FA197" s="80"/>
      <c r="FB197" s="81">
        <f t="shared" si="893"/>
        <v>0</v>
      </c>
      <c r="FC197" s="64"/>
      <c r="FD197" s="80"/>
      <c r="FE197" s="81">
        <f t="shared" si="894"/>
        <v>0</v>
      </c>
      <c r="FF197" s="64"/>
      <c r="FG197" s="80"/>
      <c r="FH197" s="81">
        <f t="shared" si="895"/>
        <v>0</v>
      </c>
      <c r="FI197" s="64"/>
      <c r="FJ197" s="80"/>
      <c r="FK197" s="81">
        <f t="shared" si="896"/>
        <v>0</v>
      </c>
      <c r="FL197" s="64"/>
      <c r="FM197" s="64"/>
    </row>
    <row r="198" spans="1:169">
      <c r="A198" s="25"/>
      <c r="B198" s="25"/>
      <c r="C198" s="25"/>
      <c r="D198" s="25"/>
      <c r="E198" s="25"/>
      <c r="F198" s="407"/>
      <c r="G198" s="407"/>
      <c r="H198" s="65"/>
      <c r="I198" s="50"/>
      <c r="J198" s="94"/>
      <c r="K198" s="434" t="str">
        <f>Idiomas!D459</f>
        <v>Equipos 1/8</v>
      </c>
      <c r="L198" s="435"/>
      <c r="M198" s="434" t="str">
        <f>"Max: "&amp;$D$19*COUNT(T182:T197)</f>
        <v>Max: 64</v>
      </c>
      <c r="N198" s="25"/>
      <c r="O198" s="25"/>
      <c r="P198" s="25"/>
      <c r="Q198" s="25"/>
      <c r="R198" s="49"/>
      <c r="S198" s="84"/>
      <c r="T198" s="71">
        <f>SUM(T182:T197)</f>
        <v>0</v>
      </c>
      <c r="U198" s="65"/>
      <c r="V198" s="84"/>
      <c r="W198" s="71">
        <f t="shared" ref="W198" si="898">SUM(W182:W197)</f>
        <v>0</v>
      </c>
      <c r="X198" s="65"/>
      <c r="Y198" s="84"/>
      <c r="Z198" s="71">
        <f t="shared" ref="Z198" si="899">SUM(Z182:Z197)</f>
        <v>0</v>
      </c>
      <c r="AA198" s="65"/>
      <c r="AB198" s="84"/>
      <c r="AC198" s="71">
        <f t="shared" ref="AC198" si="900">SUM(AC182:AC197)</f>
        <v>0</v>
      </c>
      <c r="AD198" s="65"/>
      <c r="AE198" s="84"/>
      <c r="AF198" s="71">
        <f t="shared" ref="AF198" si="901">SUM(AF182:AF197)</f>
        <v>0</v>
      </c>
      <c r="AG198" s="65"/>
      <c r="AH198" s="84"/>
      <c r="AI198" s="71">
        <f t="shared" ref="AI198" si="902">SUM(AI182:AI197)</f>
        <v>0</v>
      </c>
      <c r="AJ198" s="65"/>
      <c r="AK198" s="84"/>
      <c r="AL198" s="71">
        <f t="shared" ref="AL198" si="903">SUM(AL182:AL197)</f>
        <v>0</v>
      </c>
      <c r="AM198" s="65"/>
      <c r="AN198" s="84"/>
      <c r="AO198" s="71">
        <f t="shared" ref="AO198" si="904">SUM(AO182:AO197)</f>
        <v>0</v>
      </c>
      <c r="AP198" s="65"/>
      <c r="AQ198" s="84"/>
      <c r="AR198" s="71">
        <f t="shared" ref="AR198" si="905">SUM(AR182:AR197)</f>
        <v>0</v>
      </c>
      <c r="AS198" s="65"/>
      <c r="AT198" s="84"/>
      <c r="AU198" s="71">
        <f t="shared" ref="AU198" si="906">SUM(AU182:AU197)</f>
        <v>0</v>
      </c>
      <c r="AV198" s="65"/>
      <c r="AW198" s="84"/>
      <c r="AX198" s="71">
        <f t="shared" ref="AX198" si="907">SUM(AX182:AX197)</f>
        <v>0</v>
      </c>
      <c r="AY198" s="65"/>
      <c r="AZ198" s="84"/>
      <c r="BA198" s="71">
        <f t="shared" ref="BA198" si="908">SUM(BA182:BA197)</f>
        <v>0</v>
      </c>
      <c r="BB198" s="65"/>
      <c r="BC198" s="84"/>
      <c r="BD198" s="71">
        <f t="shared" ref="BD198" si="909">SUM(BD182:BD197)</f>
        <v>0</v>
      </c>
      <c r="BE198" s="65"/>
      <c r="BF198" s="84"/>
      <c r="BG198" s="71">
        <f t="shared" ref="BG198" si="910">SUM(BG182:BG197)</f>
        <v>0</v>
      </c>
      <c r="BH198" s="65"/>
      <c r="BI198" s="84"/>
      <c r="BJ198" s="71">
        <f t="shared" ref="BJ198" si="911">SUM(BJ182:BJ197)</f>
        <v>0</v>
      </c>
      <c r="BK198" s="65"/>
      <c r="BL198" s="84"/>
      <c r="BM198" s="71">
        <f t="shared" ref="BM198" si="912">SUM(BM182:BM197)</f>
        <v>0</v>
      </c>
      <c r="BN198" s="65"/>
      <c r="BO198" s="84"/>
      <c r="BP198" s="71">
        <f t="shared" ref="BP198" si="913">SUM(BP182:BP197)</f>
        <v>0</v>
      </c>
      <c r="BQ198" s="65"/>
      <c r="BR198" s="84"/>
      <c r="BS198" s="71">
        <f t="shared" ref="BS198" si="914">SUM(BS182:BS197)</f>
        <v>0</v>
      </c>
      <c r="BT198" s="65"/>
      <c r="BU198" s="84"/>
      <c r="BV198" s="71">
        <f t="shared" ref="BV198" si="915">SUM(BV182:BV197)</f>
        <v>0</v>
      </c>
      <c r="BW198" s="65"/>
      <c r="BX198" s="84"/>
      <c r="BY198" s="71">
        <f t="shared" ref="BY198" si="916">SUM(BY182:BY197)</f>
        <v>0</v>
      </c>
      <c r="BZ198" s="65"/>
      <c r="CA198" s="84"/>
      <c r="CB198" s="71">
        <f t="shared" ref="CB198" si="917">SUM(CB182:CB197)</f>
        <v>0</v>
      </c>
      <c r="CC198" s="65"/>
      <c r="CD198" s="84"/>
      <c r="CE198" s="71">
        <f t="shared" ref="CE198" si="918">SUM(CE182:CE197)</f>
        <v>0</v>
      </c>
      <c r="CF198" s="65"/>
      <c r="CG198" s="84"/>
      <c r="CH198" s="71">
        <f t="shared" ref="CH198" si="919">SUM(CH182:CH197)</f>
        <v>0</v>
      </c>
      <c r="CI198" s="65"/>
      <c r="CJ198" s="84"/>
      <c r="CK198" s="71">
        <f t="shared" ref="CK198" si="920">SUM(CK182:CK197)</f>
        <v>0</v>
      </c>
      <c r="CL198" s="65"/>
      <c r="CM198" s="84"/>
      <c r="CN198" s="71">
        <f t="shared" ref="CN198" si="921">SUM(CN182:CN197)</f>
        <v>0</v>
      </c>
      <c r="CO198" s="65"/>
      <c r="CP198" s="84"/>
      <c r="CQ198" s="71">
        <f t="shared" ref="CQ198" si="922">SUM(CQ182:CQ197)</f>
        <v>0</v>
      </c>
      <c r="CR198" s="65"/>
      <c r="CS198" s="84"/>
      <c r="CT198" s="71">
        <f t="shared" ref="CT198" si="923">SUM(CT182:CT197)</f>
        <v>0</v>
      </c>
      <c r="CU198" s="65"/>
      <c r="CV198" s="84"/>
      <c r="CW198" s="71">
        <f t="shared" ref="CW198" si="924">SUM(CW182:CW197)</f>
        <v>0</v>
      </c>
      <c r="CX198" s="65"/>
      <c r="CY198" s="84"/>
      <c r="CZ198" s="71">
        <f t="shared" ref="CZ198" si="925">SUM(CZ182:CZ197)</f>
        <v>0</v>
      </c>
      <c r="DA198" s="65"/>
      <c r="DB198" s="84"/>
      <c r="DC198" s="71">
        <f t="shared" ref="DC198" si="926">SUM(DC182:DC197)</f>
        <v>0</v>
      </c>
      <c r="DD198" s="65"/>
      <c r="DE198" s="84"/>
      <c r="DF198" s="71">
        <f t="shared" ref="DF198" si="927">SUM(DF182:DF197)</f>
        <v>0</v>
      </c>
      <c r="DG198" s="65"/>
      <c r="DH198" s="84"/>
      <c r="DI198" s="71">
        <f t="shared" ref="DI198" si="928">SUM(DI182:DI197)</f>
        <v>0</v>
      </c>
      <c r="DJ198" s="65"/>
      <c r="DK198" s="84"/>
      <c r="DL198" s="71">
        <f t="shared" ref="DL198" si="929">SUM(DL182:DL197)</f>
        <v>0</v>
      </c>
      <c r="DM198" s="65"/>
      <c r="DN198" s="796"/>
      <c r="DO198" s="71">
        <f t="shared" ref="DO198" si="930">SUM(DO182:DO197)</f>
        <v>0</v>
      </c>
      <c r="DP198" s="65"/>
      <c r="DQ198" s="796"/>
      <c r="DR198" s="71">
        <f t="shared" ref="DR198" si="931">SUM(DR182:DR197)</f>
        <v>0</v>
      </c>
      <c r="DS198" s="65"/>
      <c r="DT198" s="84"/>
      <c r="DU198" s="71">
        <f t="shared" ref="DU198" si="932">SUM(DU182:DU197)</f>
        <v>0</v>
      </c>
      <c r="DV198" s="65"/>
      <c r="DW198" s="84"/>
      <c r="DX198" s="71">
        <f t="shared" ref="DX198" si="933">SUM(DX182:DX197)</f>
        <v>0</v>
      </c>
      <c r="DY198" s="65"/>
      <c r="DZ198" s="84"/>
      <c r="EA198" s="71">
        <f t="shared" ref="EA198" si="934">SUM(EA182:EA197)</f>
        <v>0</v>
      </c>
      <c r="EB198" s="65"/>
      <c r="EC198" s="84"/>
      <c r="ED198" s="71">
        <f t="shared" ref="ED198" si="935">SUM(ED182:ED197)</f>
        <v>0</v>
      </c>
      <c r="EE198" s="65"/>
      <c r="EF198" s="84"/>
      <c r="EG198" s="71">
        <f t="shared" ref="EG198" si="936">SUM(EG182:EG197)</f>
        <v>0</v>
      </c>
      <c r="EH198" s="65"/>
      <c r="EI198" s="84"/>
      <c r="EJ198" s="71">
        <f t="shared" ref="EJ198" si="937">SUM(EJ182:EJ197)</f>
        <v>0</v>
      </c>
      <c r="EK198" s="65"/>
      <c r="EL198" s="84"/>
      <c r="EM198" s="71">
        <f t="shared" ref="EM198" si="938">SUM(EM182:EM197)</f>
        <v>0</v>
      </c>
      <c r="EN198" s="65"/>
      <c r="EO198" s="84"/>
      <c r="EP198" s="71">
        <f t="shared" ref="EP198" si="939">SUM(EP182:EP197)</f>
        <v>0</v>
      </c>
      <c r="EQ198" s="65"/>
      <c r="ER198" s="84"/>
      <c r="ES198" s="71">
        <f t="shared" ref="ES198" si="940">SUM(ES182:ES197)</f>
        <v>0</v>
      </c>
      <c r="ET198" s="65"/>
      <c r="EU198" s="84"/>
      <c r="EV198" s="71">
        <f t="shared" ref="EV198" si="941">SUM(EV182:EV197)</f>
        <v>0</v>
      </c>
      <c r="EW198" s="65"/>
      <c r="EX198" s="84"/>
      <c r="EY198" s="71">
        <f t="shared" ref="EY198" si="942">SUM(EY182:EY197)</f>
        <v>0</v>
      </c>
      <c r="EZ198" s="65"/>
      <c r="FA198" s="84"/>
      <c r="FB198" s="71">
        <f t="shared" ref="FB198" si="943">SUM(FB182:FB197)</f>
        <v>0</v>
      </c>
      <c r="FC198" s="65"/>
      <c r="FD198" s="84"/>
      <c r="FE198" s="71">
        <f t="shared" ref="FE198" si="944">SUM(FE182:FE197)</f>
        <v>0</v>
      </c>
      <c r="FF198" s="65"/>
      <c r="FG198" s="84"/>
      <c r="FH198" s="71">
        <f t="shared" ref="FH198" si="945">SUM(FH182:FH197)</f>
        <v>0</v>
      </c>
      <c r="FI198" s="65"/>
      <c r="FJ198" s="84"/>
      <c r="FK198" s="71">
        <f t="shared" ref="FK198" si="946">SUM(FK182:FK197)</f>
        <v>0</v>
      </c>
      <c r="FL198" s="65"/>
      <c r="FM198" s="65"/>
    </row>
    <row r="199" spans="1:169">
      <c r="A199" s="25"/>
      <c r="B199" s="25"/>
      <c r="C199" s="25"/>
      <c r="D199" s="25"/>
      <c r="E199" s="25"/>
      <c r="F199" s="407"/>
      <c r="G199" s="407"/>
      <c r="H199" s="65"/>
      <c r="I199" s="52" t="s">
        <v>1578</v>
      </c>
      <c r="J199" s="94"/>
      <c r="K199" s="113" t="str">
        <f>Idiomas!D140</f>
        <v>ENFRENTAMIENTOS OCTAVOS</v>
      </c>
      <c r="L199" s="50"/>
      <c r="M199" s="71"/>
      <c r="N199" s="25"/>
      <c r="O199" s="25"/>
      <c r="P199" s="25"/>
      <c r="Q199" s="25"/>
      <c r="R199" s="49"/>
      <c r="S199" s="84"/>
      <c r="T199" s="71"/>
      <c r="U199" s="65"/>
      <c r="V199" s="84"/>
      <c r="W199" s="71"/>
      <c r="X199" s="65"/>
      <c r="Y199" s="84"/>
      <c r="Z199" s="71"/>
      <c r="AA199" s="65"/>
      <c r="AB199" s="84"/>
      <c r="AC199" s="71"/>
      <c r="AD199" s="65"/>
      <c r="AE199" s="84"/>
      <c r="AF199" s="71"/>
      <c r="AG199" s="65"/>
      <c r="AH199" s="84"/>
      <c r="AI199" s="71"/>
      <c r="AJ199" s="65"/>
      <c r="AK199" s="84"/>
      <c r="AL199" s="71"/>
      <c r="AM199" s="65"/>
      <c r="AN199" s="84"/>
      <c r="AO199" s="71"/>
      <c r="AP199" s="65"/>
      <c r="AQ199" s="84"/>
      <c r="AR199" s="71"/>
      <c r="AS199" s="65"/>
      <c r="AT199" s="84"/>
      <c r="AU199" s="71"/>
      <c r="AV199" s="65"/>
      <c r="AW199" s="84"/>
      <c r="AX199" s="71"/>
      <c r="AY199" s="65"/>
      <c r="AZ199" s="84"/>
      <c r="BA199" s="71"/>
      <c r="BB199" s="65"/>
      <c r="BC199" s="84"/>
      <c r="BD199" s="71"/>
      <c r="BE199" s="65"/>
      <c r="BF199" s="84"/>
      <c r="BG199" s="71"/>
      <c r="BH199" s="65"/>
      <c r="BI199" s="84"/>
      <c r="BJ199" s="71"/>
      <c r="BK199" s="65"/>
      <c r="BL199" s="84"/>
      <c r="BM199" s="71"/>
      <c r="BN199" s="65"/>
      <c r="BO199" s="84"/>
      <c r="BP199" s="71"/>
      <c r="BQ199" s="65"/>
      <c r="BR199" s="84"/>
      <c r="BS199" s="71"/>
      <c r="BT199" s="65"/>
      <c r="BU199" s="84"/>
      <c r="BV199" s="71"/>
      <c r="BW199" s="65"/>
      <c r="BX199" s="84"/>
      <c r="BY199" s="71"/>
      <c r="BZ199" s="65"/>
      <c r="CA199" s="84"/>
      <c r="CB199" s="71"/>
      <c r="CC199" s="65"/>
      <c r="CD199" s="84"/>
      <c r="CE199" s="71"/>
      <c r="CF199" s="65"/>
      <c r="CG199" s="84"/>
      <c r="CH199" s="71"/>
      <c r="CI199" s="65"/>
      <c r="CJ199" s="84"/>
      <c r="CK199" s="71"/>
      <c r="CL199" s="65"/>
      <c r="CM199" s="84"/>
      <c r="CN199" s="71"/>
      <c r="CO199" s="65"/>
      <c r="CP199" s="84"/>
      <c r="CQ199" s="71"/>
      <c r="CR199" s="65"/>
      <c r="CS199" s="84"/>
      <c r="CT199" s="71"/>
      <c r="CU199" s="65"/>
      <c r="CV199" s="84"/>
      <c r="CW199" s="71"/>
      <c r="CX199" s="65"/>
      <c r="CY199" s="84"/>
      <c r="CZ199" s="71"/>
      <c r="DA199" s="65"/>
      <c r="DB199" s="84"/>
      <c r="DC199" s="71"/>
      <c r="DD199" s="65"/>
      <c r="DE199" s="84"/>
      <c r="DF199" s="71"/>
      <c r="DG199" s="65"/>
      <c r="DH199" s="84"/>
      <c r="DI199" s="71"/>
      <c r="DJ199" s="65"/>
      <c r="DK199" s="84"/>
      <c r="DL199" s="71"/>
      <c r="DM199" s="65"/>
      <c r="DN199" s="796"/>
      <c r="DO199" s="71"/>
      <c r="DP199" s="65"/>
      <c r="DQ199" s="796"/>
      <c r="DR199" s="71"/>
      <c r="DS199" s="65"/>
      <c r="DT199" s="84"/>
      <c r="DU199" s="71"/>
      <c r="DV199" s="65"/>
      <c r="DW199" s="84"/>
      <c r="DX199" s="71"/>
      <c r="DY199" s="65"/>
      <c r="DZ199" s="84"/>
      <c r="EA199" s="71"/>
      <c r="EB199" s="65"/>
      <c r="EC199" s="84"/>
      <c r="ED199" s="71"/>
      <c r="EE199" s="65"/>
      <c r="EF199" s="84"/>
      <c r="EG199" s="71"/>
      <c r="EH199" s="65"/>
      <c r="EI199" s="84"/>
      <c r="EJ199" s="71"/>
      <c r="EK199" s="65"/>
      <c r="EL199" s="84"/>
      <c r="EM199" s="71"/>
      <c r="EN199" s="65"/>
      <c r="EO199" s="84"/>
      <c r="EP199" s="71"/>
      <c r="EQ199" s="65"/>
      <c r="ER199" s="84"/>
      <c r="ES199" s="71"/>
      <c r="ET199" s="65"/>
      <c r="EU199" s="84"/>
      <c r="EV199" s="71"/>
      <c r="EW199" s="65"/>
      <c r="EX199" s="84"/>
      <c r="EY199" s="71"/>
      <c r="EZ199" s="65"/>
      <c r="FA199" s="84"/>
      <c r="FB199" s="71"/>
      <c r="FC199" s="65"/>
      <c r="FD199" s="84"/>
      <c r="FE199" s="71"/>
      <c r="FF199" s="65"/>
      <c r="FG199" s="84"/>
      <c r="FH199" s="71"/>
      <c r="FI199" s="65"/>
      <c r="FJ199" s="84"/>
      <c r="FK199" s="71"/>
      <c r="FL199" s="65"/>
      <c r="FM199" s="65"/>
    </row>
    <row r="200" spans="1:169">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07">
        <f>SUM($D$20:$D$22)*I200</f>
        <v>4</v>
      </c>
      <c r="G200" s="407">
        <f ca="1">VLOOKUP(H200,Equipos!$Q$1:$R$25,2,0)</f>
        <v>21</v>
      </c>
      <c r="H200" s="65" t="str">
        <f>Idiomas!$D$261</f>
        <v>Octavos de final</v>
      </c>
      <c r="I200" s="43">
        <v>1</v>
      </c>
      <c r="J200" s="849" t="s">
        <v>88</v>
      </c>
      <c r="K200" s="53" t="str">
        <f>CONCATENATE(WORLDCUP!AA120,"-",WORLDCUP!AF120)</f>
        <v>W73-W75</v>
      </c>
      <c r="L200" s="53" t="str">
        <f>IF(OR(WORLDCUP!AC120="",WORLDCUP!AD120=""),"PD",IF(WORLDCUP!AC120&gt;WORLDCUP!AD120,1,IF(WORLDCUP!AC120&lt;WORLDCUP!AD120,2,0)))</f>
        <v>PD</v>
      </c>
      <c r="M200" s="55" t="str">
        <f t="shared" ref="M200:M207" si="947">IF(L200="PD","-",N200&amp;"-"&amp;O200)</f>
        <v>-</v>
      </c>
      <c r="N200" s="25">
        <f>WORLDCUP!AC120</f>
        <v>0</v>
      </c>
      <c r="O200" s="25">
        <f>WORLDCUP!AD120</f>
        <v>0</v>
      </c>
      <c r="P200" s="25">
        <f t="shared" ref="P200:P207" si="948">+N200-O200</f>
        <v>0</v>
      </c>
      <c r="Q200" s="25">
        <f t="shared" ref="Q200:Q207" si="949">+A200-B200</f>
        <v>0</v>
      </c>
      <c r="R200" s="110"/>
      <c r="S200" s="66" t="s">
        <v>1980</v>
      </c>
      <c r="T200" s="85">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0"/>
      <c r="V200" s="66" t="s">
        <v>2019</v>
      </c>
      <c r="W200" s="85">
        <f t="shared" ref="W200:CH207" si="950">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0"/>
      <c r="Y200" s="66" t="s">
        <v>2055</v>
      </c>
      <c r="Z200" s="85">
        <f t="shared" ref="Z200" si="951">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0"/>
      <c r="AB200" s="66" t="s">
        <v>2083</v>
      </c>
      <c r="AC200" s="85">
        <f t="shared" ref="AC200" si="952">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0"/>
      <c r="AE200" s="66" t="s">
        <v>2110</v>
      </c>
      <c r="AF200" s="85">
        <f t="shared" ref="AF200" si="953">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0"/>
      <c r="AH200" s="66" t="s">
        <v>2141</v>
      </c>
      <c r="AI200" s="85">
        <f t="shared" ref="AI200" si="954">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v>0</v>
      </c>
      <c r="AJ200" s="110"/>
      <c r="AK200" s="66" t="s">
        <v>2167</v>
      </c>
      <c r="AL200" s="85">
        <f t="shared" ref="AL200" si="955">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v>0</v>
      </c>
      <c r="AM200" s="110"/>
      <c r="AN200" s="66" t="s">
        <v>2198</v>
      </c>
      <c r="AO200" s="85">
        <f t="shared" ref="AO200" si="956">IFERROR(IF(COUNTIF($K$200:$K$207,LEFT(AN200,FIND("·",AN200)-1))&gt;0,IF(INDEX($L$200:$L$207,MATCH(LEFT(AN200,FIND("·",AN200)-1),$K$200:$K$207,0))=IFERROR(VALUE(MID(AN200,FIND("·",AN200)+1,1)),0),($D$20+(INDEX($M$200:$M$207,MATCH(LEFT(AN200,FIND("·",AN200)-1),$K$200:$K$207,0))=MID(AN200,FIND("|",AN200)+1,10))*$D$22+MAX(0,IF($D$50=1,$D$21*(1-(ABS(INDEX($P$200:$P$207,MATCH(LEFT(AN200,FIND("·",AN200)-1),$K$200:$K$207,0))-(VALUE(MID(AN200,FIND("|",AN200)+1,FIND("-",AN200,FIND("|",AN200))-FIND("|",AN200)-1))-VALUE(MID(AN200,FIND("-",AN200,FIND("|",AN200))+1,10)))))*$D$50),$D$21*(1-(IF(INDEX($L$200:$L$207,MATCH(LEFT(AN200,FIND("·",AN200)-1),$K$200:$K$207,0))=0,ABS(INDEX($N$200:$N$207,MATCH(LEFT(AN200,FIND("·",AN200)-1),$K$200:$K$207,0))-VALUE(MID(AN200,FIND("|",AN200)+1,FIND("-",AN200,FIND("|",AN200))-FIND("|",AN200)-1))),ABS(INDEX($P$200:$P$207,MATCH(LEFT(AN200,FIND("·",AN200)-1),$K$200:$K$207,0))-(VALUE(MID(AN200,FIND("|",AN200)+1,FIND("-",AN200,FIND("|",AN200))-FIND("|",AN200)-1))-VALUE(MID(AN200,FIND("-",AN200,FIND("|",AN200))+1,10)))))*$D$50)))))*INDEX($I$200:$I$207,MATCH(LEFT(AN200,FIND("·",AN200)-1),$K$200:$K$207,0)),0),0),0)+IFERROR(IF(COUNTIF($C$200:$C$207,LEFT(AN200,FIND("·",AN200)-1))&gt;0,IF(INDEX($D$200:$D$207,MATCH(LEFT(AN200,FIND("·",AN200)-1),$C$200:$C$207,0))=IFERROR(VALUE(MID(AN200,FIND("·",AN200)+1,1)),0),($D$20+(INDEX($E$200:$E$207,MATCH(LEFT(AN200,FIND("·",AN200)-1),$C$200:$C$207,0))=MID(AN200,FIND("|",AN200)+1,10))*$D$22+MAX(0,IF($D$50=1,$D$21*(1-(ABS(INDEX($Q$200:$Q$207,MATCH(LEFT(AN200,FIND("·",AN200)-1),$C$200:$C$207,0))-(VALUE(MID(AN200,FIND("|",AN200)+1,FIND("-",AN200,FIND("|",AN200))-FIND("|",AN200)-1))-VALUE(MID(AN200,FIND("-",AN200,FIND("|",AN200))+1,10)))))*$D$50),$D$21*(1-(IF(INDEX($D$200:$D$207,MATCH(LEFT(AN200,FIND("·",AN200)-1),$C$200:$C$207,0))=0,ABS(INDEX($A$200:$A$207,MATCH(LEFT(AN200,FIND("·",AN200)-1),$C$200:$C$207,0))-VALUE(MID(AN200,FIND("|",AN200)+1,FIND("-",AN200,FIND("|",AN200))-FIND("|",AN200)-1))),ABS(INDEX($Q$200:$Q$207,MATCH(LEFT(AN200,FIND("·",AN200)-1),$C$200:$C$207,0))-(VALUE(MID(AN200,FIND("|",AN200)+1,FIND("-",AN200,FIND("|",AN200))-FIND("|",AN200)-1))-VALUE(MID(AN200,FIND("-",AN200,FIND("|",AN200))+1,10)))))*$D$50)))))*INDEX($I$200:$I$207,MATCH(LEFT(AN200,FIND("·",AN200)-1),$C$200:$C$207,0)),0),0),0)</f>
        <v>0</v>
      </c>
      <c r="AP200" s="110"/>
      <c r="AQ200" s="66" t="s">
        <v>2230</v>
      </c>
      <c r="AR200" s="85">
        <f t="shared" ref="AR200" si="957">IFERROR(IF(COUNTIF($K$200:$K$207,LEFT(AQ200,FIND("·",AQ200)-1))&gt;0,IF(INDEX($L$200:$L$207,MATCH(LEFT(AQ200,FIND("·",AQ200)-1),$K$200:$K$207,0))=IFERROR(VALUE(MID(AQ200,FIND("·",AQ200)+1,1)),0),($D$20+(INDEX($M$200:$M$207,MATCH(LEFT(AQ200,FIND("·",AQ200)-1),$K$200:$K$207,0))=MID(AQ200,FIND("|",AQ200)+1,10))*$D$22+MAX(0,IF($D$50=1,$D$21*(1-(ABS(INDEX($P$200:$P$207,MATCH(LEFT(AQ200,FIND("·",AQ200)-1),$K$200:$K$207,0))-(VALUE(MID(AQ200,FIND("|",AQ200)+1,FIND("-",AQ200,FIND("|",AQ200))-FIND("|",AQ200)-1))-VALUE(MID(AQ200,FIND("-",AQ200,FIND("|",AQ200))+1,10)))))*$D$50),$D$21*(1-(IF(INDEX($L$200:$L$207,MATCH(LEFT(AQ200,FIND("·",AQ200)-1),$K$200:$K$207,0))=0,ABS(INDEX($N$200:$N$207,MATCH(LEFT(AQ200,FIND("·",AQ200)-1),$K$200:$K$207,0))-VALUE(MID(AQ200,FIND("|",AQ200)+1,FIND("-",AQ200,FIND("|",AQ200))-FIND("|",AQ200)-1))),ABS(INDEX($P$200:$P$207,MATCH(LEFT(AQ200,FIND("·",AQ200)-1),$K$200:$K$207,0))-(VALUE(MID(AQ200,FIND("|",AQ200)+1,FIND("-",AQ200,FIND("|",AQ200))-FIND("|",AQ200)-1))-VALUE(MID(AQ200,FIND("-",AQ200,FIND("|",AQ200))+1,10)))))*$D$50)))))*INDEX($I$200:$I$207,MATCH(LEFT(AQ200,FIND("·",AQ200)-1),$K$200:$K$207,0)),0),0),0)+IFERROR(IF(COUNTIF($C$200:$C$207,LEFT(AQ200,FIND("·",AQ200)-1))&gt;0,IF(INDEX($D$200:$D$207,MATCH(LEFT(AQ200,FIND("·",AQ200)-1),$C$200:$C$207,0))=IFERROR(VALUE(MID(AQ200,FIND("·",AQ200)+1,1)),0),($D$20+(INDEX($E$200:$E$207,MATCH(LEFT(AQ200,FIND("·",AQ200)-1),$C$200:$C$207,0))=MID(AQ200,FIND("|",AQ200)+1,10))*$D$22+MAX(0,IF($D$50=1,$D$21*(1-(ABS(INDEX($Q$200:$Q$207,MATCH(LEFT(AQ200,FIND("·",AQ200)-1),$C$200:$C$207,0))-(VALUE(MID(AQ200,FIND("|",AQ200)+1,FIND("-",AQ200,FIND("|",AQ200))-FIND("|",AQ200)-1))-VALUE(MID(AQ200,FIND("-",AQ200,FIND("|",AQ200))+1,10)))))*$D$50),$D$21*(1-(IF(INDEX($D$200:$D$207,MATCH(LEFT(AQ200,FIND("·",AQ200)-1),$C$200:$C$207,0))=0,ABS(INDEX($A$200:$A$207,MATCH(LEFT(AQ200,FIND("·",AQ200)-1),$C$200:$C$207,0))-VALUE(MID(AQ200,FIND("|",AQ200)+1,FIND("-",AQ200,FIND("|",AQ200))-FIND("|",AQ200)-1))),ABS(INDEX($Q$200:$Q$207,MATCH(LEFT(AQ200,FIND("·",AQ200)-1),$C$200:$C$207,0))-(VALUE(MID(AQ200,FIND("|",AQ200)+1,FIND("-",AQ200,FIND("|",AQ200))-FIND("|",AQ200)-1))-VALUE(MID(AQ200,FIND("-",AQ200,FIND("|",AQ200))+1,10)))))*$D$50)))))*INDEX($I$200:$I$207,MATCH(LEFT(AQ200,FIND("·",AQ200)-1),$C$200:$C$207,0)),0),0),0)</f>
        <v>0</v>
      </c>
      <c r="AS200" s="110"/>
      <c r="AT200" s="66" t="s">
        <v>2250</v>
      </c>
      <c r="AU200" s="85">
        <f t="shared" ref="AU200" si="958">IFERROR(IF(COUNTIF($K$200:$K$207,LEFT(AT200,FIND("·",AT200)-1))&gt;0,IF(INDEX($L$200:$L$207,MATCH(LEFT(AT200,FIND("·",AT200)-1),$K$200:$K$207,0))=IFERROR(VALUE(MID(AT200,FIND("·",AT200)+1,1)),0),($D$20+(INDEX($M$200:$M$207,MATCH(LEFT(AT200,FIND("·",AT200)-1),$K$200:$K$207,0))=MID(AT200,FIND("|",AT200)+1,10))*$D$22+MAX(0,IF($D$50=1,$D$21*(1-(ABS(INDEX($P$200:$P$207,MATCH(LEFT(AT200,FIND("·",AT200)-1),$K$200:$K$207,0))-(VALUE(MID(AT200,FIND("|",AT200)+1,FIND("-",AT200,FIND("|",AT200))-FIND("|",AT200)-1))-VALUE(MID(AT200,FIND("-",AT200,FIND("|",AT200))+1,10)))))*$D$50),$D$21*(1-(IF(INDEX($L$200:$L$207,MATCH(LEFT(AT200,FIND("·",AT200)-1),$K$200:$K$207,0))=0,ABS(INDEX($N$200:$N$207,MATCH(LEFT(AT200,FIND("·",AT200)-1),$K$200:$K$207,0))-VALUE(MID(AT200,FIND("|",AT200)+1,FIND("-",AT200,FIND("|",AT200))-FIND("|",AT200)-1))),ABS(INDEX($P$200:$P$207,MATCH(LEFT(AT200,FIND("·",AT200)-1),$K$200:$K$207,0))-(VALUE(MID(AT200,FIND("|",AT200)+1,FIND("-",AT200,FIND("|",AT200))-FIND("|",AT200)-1))-VALUE(MID(AT200,FIND("-",AT200,FIND("|",AT200))+1,10)))))*$D$50)))))*INDEX($I$200:$I$207,MATCH(LEFT(AT200,FIND("·",AT200)-1),$K$200:$K$207,0)),0),0),0)+IFERROR(IF(COUNTIF($C$200:$C$207,LEFT(AT200,FIND("·",AT200)-1))&gt;0,IF(INDEX($D$200:$D$207,MATCH(LEFT(AT200,FIND("·",AT200)-1),$C$200:$C$207,0))=IFERROR(VALUE(MID(AT200,FIND("·",AT200)+1,1)),0),($D$20+(INDEX($E$200:$E$207,MATCH(LEFT(AT200,FIND("·",AT200)-1),$C$200:$C$207,0))=MID(AT200,FIND("|",AT200)+1,10))*$D$22+MAX(0,IF($D$50=1,$D$21*(1-(ABS(INDEX($Q$200:$Q$207,MATCH(LEFT(AT200,FIND("·",AT200)-1),$C$200:$C$207,0))-(VALUE(MID(AT200,FIND("|",AT200)+1,FIND("-",AT200,FIND("|",AT200))-FIND("|",AT200)-1))-VALUE(MID(AT200,FIND("-",AT200,FIND("|",AT200))+1,10)))))*$D$50),$D$21*(1-(IF(INDEX($D$200:$D$207,MATCH(LEFT(AT200,FIND("·",AT200)-1),$C$200:$C$207,0))=0,ABS(INDEX($A$200:$A$207,MATCH(LEFT(AT200,FIND("·",AT200)-1),$C$200:$C$207,0))-VALUE(MID(AT200,FIND("|",AT200)+1,FIND("-",AT200,FIND("|",AT200))-FIND("|",AT200)-1))),ABS(INDEX($Q$200:$Q$207,MATCH(LEFT(AT200,FIND("·",AT200)-1),$C$200:$C$207,0))-(VALUE(MID(AT200,FIND("|",AT200)+1,FIND("-",AT200,FIND("|",AT200))-FIND("|",AT200)-1))-VALUE(MID(AT200,FIND("-",AT200,FIND("|",AT200))+1,10)))))*$D$50)))))*INDEX($I$200:$I$207,MATCH(LEFT(AT200,FIND("·",AT200)-1),$C$200:$C$207,0)),0),0),0)</f>
        <v>0</v>
      </c>
      <c r="AV200" s="110"/>
      <c r="AW200" s="66" t="s">
        <v>2083</v>
      </c>
      <c r="AX200" s="85">
        <f t="shared" ref="AX200" si="959">IFERROR(IF(COUNTIF($K$200:$K$207,LEFT(AW200,FIND("·",AW200)-1))&gt;0,IF(INDEX($L$200:$L$207,MATCH(LEFT(AW200,FIND("·",AW200)-1),$K$200:$K$207,0))=IFERROR(VALUE(MID(AW200,FIND("·",AW200)+1,1)),0),($D$20+(INDEX($M$200:$M$207,MATCH(LEFT(AW200,FIND("·",AW200)-1),$K$200:$K$207,0))=MID(AW200,FIND("|",AW200)+1,10))*$D$22+MAX(0,IF($D$50=1,$D$21*(1-(ABS(INDEX($P$200:$P$207,MATCH(LEFT(AW200,FIND("·",AW200)-1),$K$200:$K$207,0))-(VALUE(MID(AW200,FIND("|",AW200)+1,FIND("-",AW200,FIND("|",AW200))-FIND("|",AW200)-1))-VALUE(MID(AW200,FIND("-",AW200,FIND("|",AW200))+1,10)))))*$D$50),$D$21*(1-(IF(INDEX($L$200:$L$207,MATCH(LEFT(AW200,FIND("·",AW200)-1),$K$200:$K$207,0))=0,ABS(INDEX($N$200:$N$207,MATCH(LEFT(AW200,FIND("·",AW200)-1),$K$200:$K$207,0))-VALUE(MID(AW200,FIND("|",AW200)+1,FIND("-",AW200,FIND("|",AW200))-FIND("|",AW200)-1))),ABS(INDEX($P$200:$P$207,MATCH(LEFT(AW200,FIND("·",AW200)-1),$K$200:$K$207,0))-(VALUE(MID(AW200,FIND("|",AW200)+1,FIND("-",AW200,FIND("|",AW200))-FIND("|",AW200)-1))-VALUE(MID(AW200,FIND("-",AW200,FIND("|",AW200))+1,10)))))*$D$50)))))*INDEX($I$200:$I$207,MATCH(LEFT(AW200,FIND("·",AW200)-1),$K$200:$K$207,0)),0),0),0)+IFERROR(IF(COUNTIF($C$200:$C$207,LEFT(AW200,FIND("·",AW200)-1))&gt;0,IF(INDEX($D$200:$D$207,MATCH(LEFT(AW200,FIND("·",AW200)-1),$C$200:$C$207,0))=IFERROR(VALUE(MID(AW200,FIND("·",AW200)+1,1)),0),($D$20+(INDEX($E$200:$E$207,MATCH(LEFT(AW200,FIND("·",AW200)-1),$C$200:$C$207,0))=MID(AW200,FIND("|",AW200)+1,10))*$D$22+MAX(0,IF($D$50=1,$D$21*(1-(ABS(INDEX($Q$200:$Q$207,MATCH(LEFT(AW200,FIND("·",AW200)-1),$C$200:$C$207,0))-(VALUE(MID(AW200,FIND("|",AW200)+1,FIND("-",AW200,FIND("|",AW200))-FIND("|",AW200)-1))-VALUE(MID(AW200,FIND("-",AW200,FIND("|",AW200))+1,10)))))*$D$50),$D$21*(1-(IF(INDEX($D$200:$D$207,MATCH(LEFT(AW200,FIND("·",AW200)-1),$C$200:$C$207,0))=0,ABS(INDEX($A$200:$A$207,MATCH(LEFT(AW200,FIND("·",AW200)-1),$C$200:$C$207,0))-VALUE(MID(AW200,FIND("|",AW200)+1,FIND("-",AW200,FIND("|",AW200))-FIND("|",AW200)-1))),ABS(INDEX($Q$200:$Q$207,MATCH(LEFT(AW200,FIND("·",AW200)-1),$C$200:$C$207,0))-(VALUE(MID(AW200,FIND("|",AW200)+1,FIND("-",AW200,FIND("|",AW200))-FIND("|",AW200)-1))-VALUE(MID(AW200,FIND("-",AW200,FIND("|",AW200))+1,10)))))*$D$50)))))*INDEX($I$200:$I$207,MATCH(LEFT(AW200,FIND("·",AW200)-1),$C$200:$C$207,0)),0),0),0)</f>
        <v>0</v>
      </c>
      <c r="AY200" s="110"/>
      <c r="AZ200" s="66" t="s">
        <v>2302</v>
      </c>
      <c r="BA200" s="85">
        <f t="shared" ref="BA200" si="960">IFERROR(IF(COUNTIF($K$200:$K$207,LEFT(AZ200,FIND("·",AZ200)-1))&gt;0,IF(INDEX($L$200:$L$207,MATCH(LEFT(AZ200,FIND("·",AZ200)-1),$K$200:$K$207,0))=IFERROR(VALUE(MID(AZ200,FIND("·",AZ200)+1,1)),0),($D$20+(INDEX($M$200:$M$207,MATCH(LEFT(AZ200,FIND("·",AZ200)-1),$K$200:$K$207,0))=MID(AZ200,FIND("|",AZ200)+1,10))*$D$22+MAX(0,IF($D$50=1,$D$21*(1-(ABS(INDEX($P$200:$P$207,MATCH(LEFT(AZ200,FIND("·",AZ200)-1),$K$200:$K$207,0))-(VALUE(MID(AZ200,FIND("|",AZ200)+1,FIND("-",AZ200,FIND("|",AZ200))-FIND("|",AZ200)-1))-VALUE(MID(AZ200,FIND("-",AZ200,FIND("|",AZ200))+1,10)))))*$D$50),$D$21*(1-(IF(INDEX($L$200:$L$207,MATCH(LEFT(AZ200,FIND("·",AZ200)-1),$K$200:$K$207,0))=0,ABS(INDEX($N$200:$N$207,MATCH(LEFT(AZ200,FIND("·",AZ200)-1),$K$200:$K$207,0))-VALUE(MID(AZ200,FIND("|",AZ200)+1,FIND("-",AZ200,FIND("|",AZ200))-FIND("|",AZ200)-1))),ABS(INDEX($P$200:$P$207,MATCH(LEFT(AZ200,FIND("·",AZ200)-1),$K$200:$K$207,0))-(VALUE(MID(AZ200,FIND("|",AZ200)+1,FIND("-",AZ200,FIND("|",AZ200))-FIND("|",AZ200)-1))-VALUE(MID(AZ200,FIND("-",AZ200,FIND("|",AZ200))+1,10)))))*$D$50)))))*INDEX($I$200:$I$207,MATCH(LEFT(AZ200,FIND("·",AZ200)-1),$K$200:$K$207,0)),0),0),0)+IFERROR(IF(COUNTIF($C$200:$C$207,LEFT(AZ200,FIND("·",AZ200)-1))&gt;0,IF(INDEX($D$200:$D$207,MATCH(LEFT(AZ200,FIND("·",AZ200)-1),$C$200:$C$207,0))=IFERROR(VALUE(MID(AZ200,FIND("·",AZ200)+1,1)),0),($D$20+(INDEX($E$200:$E$207,MATCH(LEFT(AZ200,FIND("·",AZ200)-1),$C$200:$C$207,0))=MID(AZ200,FIND("|",AZ200)+1,10))*$D$22+MAX(0,IF($D$50=1,$D$21*(1-(ABS(INDEX($Q$200:$Q$207,MATCH(LEFT(AZ200,FIND("·",AZ200)-1),$C$200:$C$207,0))-(VALUE(MID(AZ200,FIND("|",AZ200)+1,FIND("-",AZ200,FIND("|",AZ200))-FIND("|",AZ200)-1))-VALUE(MID(AZ200,FIND("-",AZ200,FIND("|",AZ200))+1,10)))))*$D$50),$D$21*(1-(IF(INDEX($D$200:$D$207,MATCH(LEFT(AZ200,FIND("·",AZ200)-1),$C$200:$C$207,0))=0,ABS(INDEX($A$200:$A$207,MATCH(LEFT(AZ200,FIND("·",AZ200)-1),$C$200:$C$207,0))-VALUE(MID(AZ200,FIND("|",AZ200)+1,FIND("-",AZ200,FIND("|",AZ200))-FIND("|",AZ200)-1))),ABS(INDEX($Q$200:$Q$207,MATCH(LEFT(AZ200,FIND("·",AZ200)-1),$C$200:$C$207,0))-(VALUE(MID(AZ200,FIND("|",AZ200)+1,FIND("-",AZ200,FIND("|",AZ200))-FIND("|",AZ200)-1))-VALUE(MID(AZ200,FIND("-",AZ200,FIND("|",AZ200))+1,10)))))*$D$50)))))*INDEX($I$200:$I$207,MATCH(LEFT(AZ200,FIND("·",AZ200)-1),$C$200:$C$207,0)),0),0),0)</f>
        <v>0</v>
      </c>
      <c r="BB200" s="110"/>
      <c r="BC200" s="66" t="s">
        <v>2325</v>
      </c>
      <c r="BD200" s="85">
        <f t="shared" ref="BD200" si="961">IFERROR(IF(COUNTIF($K$200:$K$207,LEFT(BC200,FIND("·",BC200)-1))&gt;0,IF(INDEX($L$200:$L$207,MATCH(LEFT(BC200,FIND("·",BC200)-1),$K$200:$K$207,0))=IFERROR(VALUE(MID(BC200,FIND("·",BC200)+1,1)),0),($D$20+(INDEX($M$200:$M$207,MATCH(LEFT(BC200,FIND("·",BC200)-1),$K$200:$K$207,0))=MID(BC200,FIND("|",BC200)+1,10))*$D$22+MAX(0,IF($D$50=1,$D$21*(1-(ABS(INDEX($P$200:$P$207,MATCH(LEFT(BC200,FIND("·",BC200)-1),$K$200:$K$207,0))-(VALUE(MID(BC200,FIND("|",BC200)+1,FIND("-",BC200,FIND("|",BC200))-FIND("|",BC200)-1))-VALUE(MID(BC200,FIND("-",BC200,FIND("|",BC200))+1,10)))))*$D$50),$D$21*(1-(IF(INDEX($L$200:$L$207,MATCH(LEFT(BC200,FIND("·",BC200)-1),$K$200:$K$207,0))=0,ABS(INDEX($N$200:$N$207,MATCH(LEFT(BC200,FIND("·",BC200)-1),$K$200:$K$207,0))-VALUE(MID(BC200,FIND("|",BC200)+1,FIND("-",BC200,FIND("|",BC200))-FIND("|",BC200)-1))),ABS(INDEX($P$200:$P$207,MATCH(LEFT(BC200,FIND("·",BC200)-1),$K$200:$K$207,0))-(VALUE(MID(BC200,FIND("|",BC200)+1,FIND("-",BC200,FIND("|",BC200))-FIND("|",BC200)-1))-VALUE(MID(BC200,FIND("-",BC200,FIND("|",BC200))+1,10)))))*$D$50)))))*INDEX($I$200:$I$207,MATCH(LEFT(BC200,FIND("·",BC200)-1),$K$200:$K$207,0)),0),0),0)+IFERROR(IF(COUNTIF($C$200:$C$207,LEFT(BC200,FIND("·",BC200)-1))&gt;0,IF(INDEX($D$200:$D$207,MATCH(LEFT(BC200,FIND("·",BC200)-1),$C$200:$C$207,0))=IFERROR(VALUE(MID(BC200,FIND("·",BC200)+1,1)),0),($D$20+(INDEX($E$200:$E$207,MATCH(LEFT(BC200,FIND("·",BC200)-1),$C$200:$C$207,0))=MID(BC200,FIND("|",BC200)+1,10))*$D$22+MAX(0,IF($D$50=1,$D$21*(1-(ABS(INDEX($Q$200:$Q$207,MATCH(LEFT(BC200,FIND("·",BC200)-1),$C$200:$C$207,0))-(VALUE(MID(BC200,FIND("|",BC200)+1,FIND("-",BC200,FIND("|",BC200))-FIND("|",BC200)-1))-VALUE(MID(BC200,FIND("-",BC200,FIND("|",BC200))+1,10)))))*$D$50),$D$21*(1-(IF(INDEX($D$200:$D$207,MATCH(LEFT(BC200,FIND("·",BC200)-1),$C$200:$C$207,0))=0,ABS(INDEX($A$200:$A$207,MATCH(LEFT(BC200,FIND("·",BC200)-1),$C$200:$C$207,0))-VALUE(MID(BC200,FIND("|",BC200)+1,FIND("-",BC200,FIND("|",BC200))-FIND("|",BC200)-1))),ABS(INDEX($Q$200:$Q$207,MATCH(LEFT(BC200,FIND("·",BC200)-1),$C$200:$C$207,0))-(VALUE(MID(BC200,FIND("|",BC200)+1,FIND("-",BC200,FIND("|",BC200))-FIND("|",BC200)-1))-VALUE(MID(BC200,FIND("-",BC200,FIND("|",BC200))+1,10)))))*$D$50)))))*INDEX($I$200:$I$207,MATCH(LEFT(BC200,FIND("·",BC200)-1),$C$200:$C$207,0)),0),0),0)</f>
        <v>0</v>
      </c>
      <c r="BE200" s="110"/>
      <c r="BF200" s="66" t="s">
        <v>2352</v>
      </c>
      <c r="BG200" s="85">
        <f t="shared" ref="BG200" si="962">IFERROR(IF(COUNTIF($K$200:$K$207,LEFT(BF200,FIND("·",BF200)-1))&gt;0,IF(INDEX($L$200:$L$207,MATCH(LEFT(BF200,FIND("·",BF200)-1),$K$200:$K$207,0))=IFERROR(VALUE(MID(BF200,FIND("·",BF200)+1,1)),0),($D$20+(INDEX($M$200:$M$207,MATCH(LEFT(BF200,FIND("·",BF200)-1),$K$200:$K$207,0))=MID(BF200,FIND("|",BF200)+1,10))*$D$22+MAX(0,IF($D$50=1,$D$21*(1-(ABS(INDEX($P$200:$P$207,MATCH(LEFT(BF200,FIND("·",BF200)-1),$K$200:$K$207,0))-(VALUE(MID(BF200,FIND("|",BF200)+1,FIND("-",BF200,FIND("|",BF200))-FIND("|",BF200)-1))-VALUE(MID(BF200,FIND("-",BF200,FIND("|",BF200))+1,10)))))*$D$50),$D$21*(1-(IF(INDEX($L$200:$L$207,MATCH(LEFT(BF200,FIND("·",BF200)-1),$K$200:$K$207,0))=0,ABS(INDEX($N$200:$N$207,MATCH(LEFT(BF200,FIND("·",BF200)-1),$K$200:$K$207,0))-VALUE(MID(BF200,FIND("|",BF200)+1,FIND("-",BF200,FIND("|",BF200))-FIND("|",BF200)-1))),ABS(INDEX($P$200:$P$207,MATCH(LEFT(BF200,FIND("·",BF200)-1),$K$200:$K$207,0))-(VALUE(MID(BF200,FIND("|",BF200)+1,FIND("-",BF200,FIND("|",BF200))-FIND("|",BF200)-1))-VALUE(MID(BF200,FIND("-",BF200,FIND("|",BF200))+1,10)))))*$D$50)))))*INDEX($I$200:$I$207,MATCH(LEFT(BF200,FIND("·",BF200)-1),$K$200:$K$207,0)),0),0),0)+IFERROR(IF(COUNTIF($C$200:$C$207,LEFT(BF200,FIND("·",BF200)-1))&gt;0,IF(INDEX($D$200:$D$207,MATCH(LEFT(BF200,FIND("·",BF200)-1),$C$200:$C$207,0))=IFERROR(VALUE(MID(BF200,FIND("·",BF200)+1,1)),0),($D$20+(INDEX($E$200:$E$207,MATCH(LEFT(BF200,FIND("·",BF200)-1),$C$200:$C$207,0))=MID(BF200,FIND("|",BF200)+1,10))*$D$22+MAX(0,IF($D$50=1,$D$21*(1-(ABS(INDEX($Q$200:$Q$207,MATCH(LEFT(BF200,FIND("·",BF200)-1),$C$200:$C$207,0))-(VALUE(MID(BF200,FIND("|",BF200)+1,FIND("-",BF200,FIND("|",BF200))-FIND("|",BF200)-1))-VALUE(MID(BF200,FIND("-",BF200,FIND("|",BF200))+1,10)))))*$D$50),$D$21*(1-(IF(INDEX($D$200:$D$207,MATCH(LEFT(BF200,FIND("·",BF200)-1),$C$200:$C$207,0))=0,ABS(INDEX($A$200:$A$207,MATCH(LEFT(BF200,FIND("·",BF200)-1),$C$200:$C$207,0))-VALUE(MID(BF200,FIND("|",BF200)+1,FIND("-",BF200,FIND("|",BF200))-FIND("|",BF200)-1))),ABS(INDEX($Q$200:$Q$207,MATCH(LEFT(BF200,FIND("·",BF200)-1),$C$200:$C$207,0))-(VALUE(MID(BF200,FIND("|",BF200)+1,FIND("-",BF200,FIND("|",BF200))-FIND("|",BF200)-1))-VALUE(MID(BF200,FIND("-",BF200,FIND("|",BF200))+1,10)))))*$D$50)))))*INDEX($I$200:$I$207,MATCH(LEFT(BF200,FIND("·",BF200)-1),$C$200:$C$207,0)),0),0),0)</f>
        <v>0</v>
      </c>
      <c r="BH200" s="110"/>
      <c r="BI200" s="66" t="s">
        <v>2367</v>
      </c>
      <c r="BJ200" s="85">
        <f t="shared" ref="BJ200" si="963">IFERROR(IF(COUNTIF($K$200:$K$207,LEFT(BI200,FIND("·",BI200)-1))&gt;0,IF(INDEX($L$200:$L$207,MATCH(LEFT(BI200,FIND("·",BI200)-1),$K$200:$K$207,0))=IFERROR(VALUE(MID(BI200,FIND("·",BI200)+1,1)),0),($D$20+(INDEX($M$200:$M$207,MATCH(LEFT(BI200,FIND("·",BI200)-1),$K$200:$K$207,0))=MID(BI200,FIND("|",BI200)+1,10))*$D$22+MAX(0,IF($D$50=1,$D$21*(1-(ABS(INDEX($P$200:$P$207,MATCH(LEFT(BI200,FIND("·",BI200)-1),$K$200:$K$207,0))-(VALUE(MID(BI200,FIND("|",BI200)+1,FIND("-",BI200,FIND("|",BI200))-FIND("|",BI200)-1))-VALUE(MID(BI200,FIND("-",BI200,FIND("|",BI200))+1,10)))))*$D$50),$D$21*(1-(IF(INDEX($L$200:$L$207,MATCH(LEFT(BI200,FIND("·",BI200)-1),$K$200:$K$207,0))=0,ABS(INDEX($N$200:$N$207,MATCH(LEFT(BI200,FIND("·",BI200)-1),$K$200:$K$207,0))-VALUE(MID(BI200,FIND("|",BI200)+1,FIND("-",BI200,FIND("|",BI200))-FIND("|",BI200)-1))),ABS(INDEX($P$200:$P$207,MATCH(LEFT(BI200,FIND("·",BI200)-1),$K$200:$K$207,0))-(VALUE(MID(BI200,FIND("|",BI200)+1,FIND("-",BI200,FIND("|",BI200))-FIND("|",BI200)-1))-VALUE(MID(BI200,FIND("-",BI200,FIND("|",BI200))+1,10)))))*$D$50)))))*INDEX($I$200:$I$207,MATCH(LEFT(BI200,FIND("·",BI200)-1),$K$200:$K$207,0)),0),0),0)+IFERROR(IF(COUNTIF($C$200:$C$207,LEFT(BI200,FIND("·",BI200)-1))&gt;0,IF(INDEX($D$200:$D$207,MATCH(LEFT(BI200,FIND("·",BI200)-1),$C$200:$C$207,0))=IFERROR(VALUE(MID(BI200,FIND("·",BI200)+1,1)),0),($D$20+(INDEX($E$200:$E$207,MATCH(LEFT(BI200,FIND("·",BI200)-1),$C$200:$C$207,0))=MID(BI200,FIND("|",BI200)+1,10))*$D$22+MAX(0,IF($D$50=1,$D$21*(1-(ABS(INDEX($Q$200:$Q$207,MATCH(LEFT(BI200,FIND("·",BI200)-1),$C$200:$C$207,0))-(VALUE(MID(BI200,FIND("|",BI200)+1,FIND("-",BI200,FIND("|",BI200))-FIND("|",BI200)-1))-VALUE(MID(BI200,FIND("-",BI200,FIND("|",BI200))+1,10)))))*$D$50),$D$21*(1-(IF(INDEX($D$200:$D$207,MATCH(LEFT(BI200,FIND("·",BI200)-1),$C$200:$C$207,0))=0,ABS(INDEX($A$200:$A$207,MATCH(LEFT(BI200,FIND("·",BI200)-1),$C$200:$C$207,0))-VALUE(MID(BI200,FIND("|",BI200)+1,FIND("-",BI200,FIND("|",BI200))-FIND("|",BI200)-1))),ABS(INDEX($Q$200:$Q$207,MATCH(LEFT(BI200,FIND("·",BI200)-1),$C$200:$C$207,0))-(VALUE(MID(BI200,FIND("|",BI200)+1,FIND("-",BI200,FIND("|",BI200))-FIND("|",BI200)-1))-VALUE(MID(BI200,FIND("-",BI200,FIND("|",BI200))+1,10)))))*$D$50)))))*INDEX($I$200:$I$207,MATCH(LEFT(BI200,FIND("·",BI200)-1),$C$200:$C$207,0)),0),0),0)</f>
        <v>0</v>
      </c>
      <c r="BK200" s="110"/>
      <c r="BL200" s="66" t="s">
        <v>2388</v>
      </c>
      <c r="BM200" s="85">
        <f t="shared" ref="BM200" si="964">IFERROR(IF(COUNTIF($K$200:$K$207,LEFT(BL200,FIND("·",BL200)-1))&gt;0,IF(INDEX($L$200:$L$207,MATCH(LEFT(BL200,FIND("·",BL200)-1),$K$200:$K$207,0))=IFERROR(VALUE(MID(BL200,FIND("·",BL200)+1,1)),0),($D$20+(INDEX($M$200:$M$207,MATCH(LEFT(BL200,FIND("·",BL200)-1),$K$200:$K$207,0))=MID(BL200,FIND("|",BL200)+1,10))*$D$22+MAX(0,IF($D$50=1,$D$21*(1-(ABS(INDEX($P$200:$P$207,MATCH(LEFT(BL200,FIND("·",BL200)-1),$K$200:$K$207,0))-(VALUE(MID(BL200,FIND("|",BL200)+1,FIND("-",BL200,FIND("|",BL200))-FIND("|",BL200)-1))-VALUE(MID(BL200,FIND("-",BL200,FIND("|",BL200))+1,10)))))*$D$50),$D$21*(1-(IF(INDEX($L$200:$L$207,MATCH(LEFT(BL200,FIND("·",BL200)-1),$K$200:$K$207,0))=0,ABS(INDEX($N$200:$N$207,MATCH(LEFT(BL200,FIND("·",BL200)-1),$K$200:$K$207,0))-VALUE(MID(BL200,FIND("|",BL200)+1,FIND("-",BL200,FIND("|",BL200))-FIND("|",BL200)-1))),ABS(INDEX($P$200:$P$207,MATCH(LEFT(BL200,FIND("·",BL200)-1),$K$200:$K$207,0))-(VALUE(MID(BL200,FIND("|",BL200)+1,FIND("-",BL200,FIND("|",BL200))-FIND("|",BL200)-1))-VALUE(MID(BL200,FIND("-",BL200,FIND("|",BL200))+1,10)))))*$D$50)))))*INDEX($I$200:$I$207,MATCH(LEFT(BL200,FIND("·",BL200)-1),$K$200:$K$207,0)),0),0),0)+IFERROR(IF(COUNTIF($C$200:$C$207,LEFT(BL200,FIND("·",BL200)-1))&gt;0,IF(INDEX($D$200:$D$207,MATCH(LEFT(BL200,FIND("·",BL200)-1),$C$200:$C$207,0))=IFERROR(VALUE(MID(BL200,FIND("·",BL200)+1,1)),0),($D$20+(INDEX($E$200:$E$207,MATCH(LEFT(BL200,FIND("·",BL200)-1),$C$200:$C$207,0))=MID(BL200,FIND("|",BL200)+1,10))*$D$22+MAX(0,IF($D$50=1,$D$21*(1-(ABS(INDEX($Q$200:$Q$207,MATCH(LEFT(BL200,FIND("·",BL200)-1),$C$200:$C$207,0))-(VALUE(MID(BL200,FIND("|",BL200)+1,FIND("-",BL200,FIND("|",BL200))-FIND("|",BL200)-1))-VALUE(MID(BL200,FIND("-",BL200,FIND("|",BL200))+1,10)))))*$D$50),$D$21*(1-(IF(INDEX($D$200:$D$207,MATCH(LEFT(BL200,FIND("·",BL200)-1),$C$200:$C$207,0))=0,ABS(INDEX($A$200:$A$207,MATCH(LEFT(BL200,FIND("·",BL200)-1),$C$200:$C$207,0))-VALUE(MID(BL200,FIND("|",BL200)+1,FIND("-",BL200,FIND("|",BL200))-FIND("|",BL200)-1))),ABS(INDEX($Q$200:$Q$207,MATCH(LEFT(BL200,FIND("·",BL200)-1),$C$200:$C$207,0))-(VALUE(MID(BL200,FIND("|",BL200)+1,FIND("-",BL200,FIND("|",BL200))-FIND("|",BL200)-1))-VALUE(MID(BL200,FIND("-",BL200,FIND("|",BL200))+1,10)))))*$D$50)))))*INDEX($I$200:$I$207,MATCH(LEFT(BL200,FIND("·",BL200)-1),$C$200:$C$207,0)),0),0),0)</f>
        <v>0</v>
      </c>
      <c r="BN200" s="110"/>
      <c r="BO200" s="66" t="s">
        <v>1980</v>
      </c>
      <c r="BP200" s="85">
        <f t="shared" ref="BP200" si="965">IFERROR(IF(COUNTIF($K$200:$K$207,LEFT(BO200,FIND("·",BO200)-1))&gt;0,IF(INDEX($L$200:$L$207,MATCH(LEFT(BO200,FIND("·",BO200)-1),$K$200:$K$207,0))=IFERROR(VALUE(MID(BO200,FIND("·",BO200)+1,1)),0),($D$20+(INDEX($M$200:$M$207,MATCH(LEFT(BO200,FIND("·",BO200)-1),$K$200:$K$207,0))=MID(BO200,FIND("|",BO200)+1,10))*$D$22+MAX(0,IF($D$50=1,$D$21*(1-(ABS(INDEX($P$200:$P$207,MATCH(LEFT(BO200,FIND("·",BO200)-1),$K$200:$K$207,0))-(VALUE(MID(BO200,FIND("|",BO200)+1,FIND("-",BO200,FIND("|",BO200))-FIND("|",BO200)-1))-VALUE(MID(BO200,FIND("-",BO200,FIND("|",BO200))+1,10)))))*$D$50),$D$21*(1-(IF(INDEX($L$200:$L$207,MATCH(LEFT(BO200,FIND("·",BO200)-1),$K$200:$K$207,0))=0,ABS(INDEX($N$200:$N$207,MATCH(LEFT(BO200,FIND("·",BO200)-1),$K$200:$K$207,0))-VALUE(MID(BO200,FIND("|",BO200)+1,FIND("-",BO200,FIND("|",BO200))-FIND("|",BO200)-1))),ABS(INDEX($P$200:$P$207,MATCH(LEFT(BO200,FIND("·",BO200)-1),$K$200:$K$207,0))-(VALUE(MID(BO200,FIND("|",BO200)+1,FIND("-",BO200,FIND("|",BO200))-FIND("|",BO200)-1))-VALUE(MID(BO200,FIND("-",BO200,FIND("|",BO200))+1,10)))))*$D$50)))))*INDEX($I$200:$I$207,MATCH(LEFT(BO200,FIND("·",BO200)-1),$K$200:$K$207,0)),0),0),0)+IFERROR(IF(COUNTIF($C$200:$C$207,LEFT(BO200,FIND("·",BO200)-1))&gt;0,IF(INDEX($D$200:$D$207,MATCH(LEFT(BO200,FIND("·",BO200)-1),$C$200:$C$207,0))=IFERROR(VALUE(MID(BO200,FIND("·",BO200)+1,1)),0),($D$20+(INDEX($E$200:$E$207,MATCH(LEFT(BO200,FIND("·",BO200)-1),$C$200:$C$207,0))=MID(BO200,FIND("|",BO200)+1,10))*$D$22+MAX(0,IF($D$50=1,$D$21*(1-(ABS(INDEX($Q$200:$Q$207,MATCH(LEFT(BO200,FIND("·",BO200)-1),$C$200:$C$207,0))-(VALUE(MID(BO200,FIND("|",BO200)+1,FIND("-",BO200,FIND("|",BO200))-FIND("|",BO200)-1))-VALUE(MID(BO200,FIND("-",BO200,FIND("|",BO200))+1,10)))))*$D$50),$D$21*(1-(IF(INDEX($D$200:$D$207,MATCH(LEFT(BO200,FIND("·",BO200)-1),$C$200:$C$207,0))=0,ABS(INDEX($A$200:$A$207,MATCH(LEFT(BO200,FIND("·",BO200)-1),$C$200:$C$207,0))-VALUE(MID(BO200,FIND("|",BO200)+1,FIND("-",BO200,FIND("|",BO200))-FIND("|",BO200)-1))),ABS(INDEX($Q$200:$Q$207,MATCH(LEFT(BO200,FIND("·",BO200)-1),$C$200:$C$207,0))-(VALUE(MID(BO200,FIND("|",BO200)+1,FIND("-",BO200,FIND("|",BO200))-FIND("|",BO200)-1))-VALUE(MID(BO200,FIND("-",BO200,FIND("|",BO200))+1,10)))))*$D$50)))))*INDEX($I$200:$I$207,MATCH(LEFT(BO200,FIND("·",BO200)-1),$C$200:$C$207,0)),0),0),0)</f>
        <v>0</v>
      </c>
      <c r="BQ200" s="110"/>
      <c r="BR200" s="66" t="s">
        <v>2413</v>
      </c>
      <c r="BS200" s="85">
        <f t="shared" ref="BS200" si="966">IFERROR(IF(COUNTIF($K$200:$K$207,LEFT(BR200,FIND("·",BR200)-1))&gt;0,IF(INDEX($L$200:$L$207,MATCH(LEFT(BR200,FIND("·",BR200)-1),$K$200:$K$207,0))=IFERROR(VALUE(MID(BR200,FIND("·",BR200)+1,1)),0),($D$20+(INDEX($M$200:$M$207,MATCH(LEFT(BR200,FIND("·",BR200)-1),$K$200:$K$207,0))=MID(BR200,FIND("|",BR200)+1,10))*$D$22+MAX(0,IF($D$50=1,$D$21*(1-(ABS(INDEX($P$200:$P$207,MATCH(LEFT(BR200,FIND("·",BR200)-1),$K$200:$K$207,0))-(VALUE(MID(BR200,FIND("|",BR200)+1,FIND("-",BR200,FIND("|",BR200))-FIND("|",BR200)-1))-VALUE(MID(BR200,FIND("-",BR200,FIND("|",BR200))+1,10)))))*$D$50),$D$21*(1-(IF(INDEX($L$200:$L$207,MATCH(LEFT(BR200,FIND("·",BR200)-1),$K$200:$K$207,0))=0,ABS(INDEX($N$200:$N$207,MATCH(LEFT(BR200,FIND("·",BR200)-1),$K$200:$K$207,0))-VALUE(MID(BR200,FIND("|",BR200)+1,FIND("-",BR200,FIND("|",BR200))-FIND("|",BR200)-1))),ABS(INDEX($P$200:$P$207,MATCH(LEFT(BR200,FIND("·",BR200)-1),$K$200:$K$207,0))-(VALUE(MID(BR200,FIND("|",BR200)+1,FIND("-",BR200,FIND("|",BR200))-FIND("|",BR200)-1))-VALUE(MID(BR200,FIND("-",BR200,FIND("|",BR200))+1,10)))))*$D$50)))))*INDEX($I$200:$I$207,MATCH(LEFT(BR200,FIND("·",BR200)-1),$K$200:$K$207,0)),0),0),0)+IFERROR(IF(COUNTIF($C$200:$C$207,LEFT(BR200,FIND("·",BR200)-1))&gt;0,IF(INDEX($D$200:$D$207,MATCH(LEFT(BR200,FIND("·",BR200)-1),$C$200:$C$207,0))=IFERROR(VALUE(MID(BR200,FIND("·",BR200)+1,1)),0),($D$20+(INDEX($E$200:$E$207,MATCH(LEFT(BR200,FIND("·",BR200)-1),$C$200:$C$207,0))=MID(BR200,FIND("|",BR200)+1,10))*$D$22+MAX(0,IF($D$50=1,$D$21*(1-(ABS(INDEX($Q$200:$Q$207,MATCH(LEFT(BR200,FIND("·",BR200)-1),$C$200:$C$207,0))-(VALUE(MID(BR200,FIND("|",BR200)+1,FIND("-",BR200,FIND("|",BR200))-FIND("|",BR200)-1))-VALUE(MID(BR200,FIND("-",BR200,FIND("|",BR200))+1,10)))))*$D$50),$D$21*(1-(IF(INDEX($D$200:$D$207,MATCH(LEFT(BR200,FIND("·",BR200)-1),$C$200:$C$207,0))=0,ABS(INDEX($A$200:$A$207,MATCH(LEFT(BR200,FIND("·",BR200)-1),$C$200:$C$207,0))-VALUE(MID(BR200,FIND("|",BR200)+1,FIND("-",BR200,FIND("|",BR200))-FIND("|",BR200)-1))),ABS(INDEX($Q$200:$Q$207,MATCH(LEFT(BR200,FIND("·",BR200)-1),$C$200:$C$207,0))-(VALUE(MID(BR200,FIND("|",BR200)+1,FIND("-",BR200,FIND("|",BR200))-FIND("|",BR200)-1))-VALUE(MID(BR200,FIND("-",BR200,FIND("|",BR200))+1,10)))))*$D$50)))))*INDEX($I$200:$I$207,MATCH(LEFT(BR200,FIND("·",BR200)-1),$C$200:$C$207,0)),0),0),0)</f>
        <v>0</v>
      </c>
      <c r="BT200" s="110"/>
      <c r="BU200" s="66" t="s">
        <v>2432</v>
      </c>
      <c r="BV200" s="85">
        <f t="shared" ref="BV200" si="967">IFERROR(IF(COUNTIF($K$200:$K$207,LEFT(BU200,FIND("·",BU200)-1))&gt;0,IF(INDEX($L$200:$L$207,MATCH(LEFT(BU200,FIND("·",BU200)-1),$K$200:$K$207,0))=IFERROR(VALUE(MID(BU200,FIND("·",BU200)+1,1)),0),($D$20+(INDEX($M$200:$M$207,MATCH(LEFT(BU200,FIND("·",BU200)-1),$K$200:$K$207,0))=MID(BU200,FIND("|",BU200)+1,10))*$D$22+MAX(0,IF($D$50=1,$D$21*(1-(ABS(INDEX($P$200:$P$207,MATCH(LEFT(BU200,FIND("·",BU200)-1),$K$200:$K$207,0))-(VALUE(MID(BU200,FIND("|",BU200)+1,FIND("-",BU200,FIND("|",BU200))-FIND("|",BU200)-1))-VALUE(MID(BU200,FIND("-",BU200,FIND("|",BU200))+1,10)))))*$D$50),$D$21*(1-(IF(INDEX($L$200:$L$207,MATCH(LEFT(BU200,FIND("·",BU200)-1),$K$200:$K$207,0))=0,ABS(INDEX($N$200:$N$207,MATCH(LEFT(BU200,FIND("·",BU200)-1),$K$200:$K$207,0))-VALUE(MID(BU200,FIND("|",BU200)+1,FIND("-",BU200,FIND("|",BU200))-FIND("|",BU200)-1))),ABS(INDEX($P$200:$P$207,MATCH(LEFT(BU200,FIND("·",BU200)-1),$K$200:$K$207,0))-(VALUE(MID(BU200,FIND("|",BU200)+1,FIND("-",BU200,FIND("|",BU200))-FIND("|",BU200)-1))-VALUE(MID(BU200,FIND("-",BU200,FIND("|",BU200))+1,10)))))*$D$50)))))*INDEX($I$200:$I$207,MATCH(LEFT(BU200,FIND("·",BU200)-1),$K$200:$K$207,0)),0),0),0)+IFERROR(IF(COUNTIF($C$200:$C$207,LEFT(BU200,FIND("·",BU200)-1))&gt;0,IF(INDEX($D$200:$D$207,MATCH(LEFT(BU200,FIND("·",BU200)-1),$C$200:$C$207,0))=IFERROR(VALUE(MID(BU200,FIND("·",BU200)+1,1)),0),($D$20+(INDEX($E$200:$E$207,MATCH(LEFT(BU200,FIND("·",BU200)-1),$C$200:$C$207,0))=MID(BU200,FIND("|",BU200)+1,10))*$D$22+MAX(0,IF($D$50=1,$D$21*(1-(ABS(INDEX($Q$200:$Q$207,MATCH(LEFT(BU200,FIND("·",BU200)-1),$C$200:$C$207,0))-(VALUE(MID(BU200,FIND("|",BU200)+1,FIND("-",BU200,FIND("|",BU200))-FIND("|",BU200)-1))-VALUE(MID(BU200,FIND("-",BU200,FIND("|",BU200))+1,10)))))*$D$50),$D$21*(1-(IF(INDEX($D$200:$D$207,MATCH(LEFT(BU200,FIND("·",BU200)-1),$C$200:$C$207,0))=0,ABS(INDEX($A$200:$A$207,MATCH(LEFT(BU200,FIND("·",BU200)-1),$C$200:$C$207,0))-VALUE(MID(BU200,FIND("|",BU200)+1,FIND("-",BU200,FIND("|",BU200))-FIND("|",BU200)-1))),ABS(INDEX($Q$200:$Q$207,MATCH(LEFT(BU200,FIND("·",BU200)-1),$C$200:$C$207,0))-(VALUE(MID(BU200,FIND("|",BU200)+1,FIND("-",BU200,FIND("|",BU200))-FIND("|",BU200)-1))-VALUE(MID(BU200,FIND("-",BU200,FIND("|",BU200))+1,10)))))*$D$50)))))*INDEX($I$200:$I$207,MATCH(LEFT(BU200,FIND("·",BU200)-1),$C$200:$C$207,0)),0),0),0)</f>
        <v>0</v>
      </c>
      <c r="BW200" s="110"/>
      <c r="BX200" s="66" t="s">
        <v>2230</v>
      </c>
      <c r="BY200" s="85">
        <f t="shared" ref="BY200" si="968">IFERROR(IF(COUNTIF($K$200:$K$207,LEFT(BX200,FIND("·",BX200)-1))&gt;0,IF(INDEX($L$200:$L$207,MATCH(LEFT(BX200,FIND("·",BX200)-1),$K$200:$K$207,0))=IFERROR(VALUE(MID(BX200,FIND("·",BX200)+1,1)),0),($D$20+(INDEX($M$200:$M$207,MATCH(LEFT(BX200,FIND("·",BX200)-1),$K$200:$K$207,0))=MID(BX200,FIND("|",BX200)+1,10))*$D$22+MAX(0,IF($D$50=1,$D$21*(1-(ABS(INDEX($P$200:$P$207,MATCH(LEFT(BX200,FIND("·",BX200)-1),$K$200:$K$207,0))-(VALUE(MID(BX200,FIND("|",BX200)+1,FIND("-",BX200,FIND("|",BX200))-FIND("|",BX200)-1))-VALUE(MID(BX200,FIND("-",BX200,FIND("|",BX200))+1,10)))))*$D$50),$D$21*(1-(IF(INDEX($L$200:$L$207,MATCH(LEFT(BX200,FIND("·",BX200)-1),$K$200:$K$207,0))=0,ABS(INDEX($N$200:$N$207,MATCH(LEFT(BX200,FIND("·",BX200)-1),$K$200:$K$207,0))-VALUE(MID(BX200,FIND("|",BX200)+1,FIND("-",BX200,FIND("|",BX200))-FIND("|",BX200)-1))),ABS(INDEX($P$200:$P$207,MATCH(LEFT(BX200,FIND("·",BX200)-1),$K$200:$K$207,0))-(VALUE(MID(BX200,FIND("|",BX200)+1,FIND("-",BX200,FIND("|",BX200))-FIND("|",BX200)-1))-VALUE(MID(BX200,FIND("-",BX200,FIND("|",BX200))+1,10)))))*$D$50)))))*INDEX($I$200:$I$207,MATCH(LEFT(BX200,FIND("·",BX200)-1),$K$200:$K$207,0)),0),0),0)+IFERROR(IF(COUNTIF($C$200:$C$207,LEFT(BX200,FIND("·",BX200)-1))&gt;0,IF(INDEX($D$200:$D$207,MATCH(LEFT(BX200,FIND("·",BX200)-1),$C$200:$C$207,0))=IFERROR(VALUE(MID(BX200,FIND("·",BX200)+1,1)),0),($D$20+(INDEX($E$200:$E$207,MATCH(LEFT(BX200,FIND("·",BX200)-1),$C$200:$C$207,0))=MID(BX200,FIND("|",BX200)+1,10))*$D$22+MAX(0,IF($D$50=1,$D$21*(1-(ABS(INDEX($Q$200:$Q$207,MATCH(LEFT(BX200,FIND("·",BX200)-1),$C$200:$C$207,0))-(VALUE(MID(BX200,FIND("|",BX200)+1,FIND("-",BX200,FIND("|",BX200))-FIND("|",BX200)-1))-VALUE(MID(BX200,FIND("-",BX200,FIND("|",BX200))+1,10)))))*$D$50),$D$21*(1-(IF(INDEX($D$200:$D$207,MATCH(LEFT(BX200,FIND("·",BX200)-1),$C$200:$C$207,0))=0,ABS(INDEX($A$200:$A$207,MATCH(LEFT(BX200,FIND("·",BX200)-1),$C$200:$C$207,0))-VALUE(MID(BX200,FIND("|",BX200)+1,FIND("-",BX200,FIND("|",BX200))-FIND("|",BX200)-1))),ABS(INDEX($Q$200:$Q$207,MATCH(LEFT(BX200,FIND("·",BX200)-1),$C$200:$C$207,0))-(VALUE(MID(BX200,FIND("|",BX200)+1,FIND("-",BX200,FIND("|",BX200))-FIND("|",BX200)-1))-VALUE(MID(BX200,FIND("-",BX200,FIND("|",BX200))+1,10)))))*$D$50)))))*INDEX($I$200:$I$207,MATCH(LEFT(BX200,FIND("·",BX200)-1),$C$200:$C$207,0)),0),0),0)</f>
        <v>0</v>
      </c>
      <c r="BZ200" s="110"/>
      <c r="CA200" s="66" t="s">
        <v>2141</v>
      </c>
      <c r="CB200" s="85">
        <f t="shared" ref="CB200" si="969">IFERROR(IF(COUNTIF($K$200:$K$207,LEFT(CA200,FIND("·",CA200)-1))&gt;0,IF(INDEX($L$200:$L$207,MATCH(LEFT(CA200,FIND("·",CA200)-1),$K$200:$K$207,0))=IFERROR(VALUE(MID(CA200,FIND("·",CA200)+1,1)),0),($D$20+(INDEX($M$200:$M$207,MATCH(LEFT(CA200,FIND("·",CA200)-1),$K$200:$K$207,0))=MID(CA200,FIND("|",CA200)+1,10))*$D$22+MAX(0,IF($D$50=1,$D$21*(1-(ABS(INDEX($P$200:$P$207,MATCH(LEFT(CA200,FIND("·",CA200)-1),$K$200:$K$207,0))-(VALUE(MID(CA200,FIND("|",CA200)+1,FIND("-",CA200,FIND("|",CA200))-FIND("|",CA200)-1))-VALUE(MID(CA200,FIND("-",CA200,FIND("|",CA200))+1,10)))))*$D$50),$D$21*(1-(IF(INDEX($L$200:$L$207,MATCH(LEFT(CA200,FIND("·",CA200)-1),$K$200:$K$207,0))=0,ABS(INDEX($N$200:$N$207,MATCH(LEFT(CA200,FIND("·",CA200)-1),$K$200:$K$207,0))-VALUE(MID(CA200,FIND("|",CA200)+1,FIND("-",CA200,FIND("|",CA200))-FIND("|",CA200)-1))),ABS(INDEX($P$200:$P$207,MATCH(LEFT(CA200,FIND("·",CA200)-1),$K$200:$K$207,0))-(VALUE(MID(CA200,FIND("|",CA200)+1,FIND("-",CA200,FIND("|",CA200))-FIND("|",CA200)-1))-VALUE(MID(CA200,FIND("-",CA200,FIND("|",CA200))+1,10)))))*$D$50)))))*INDEX($I$200:$I$207,MATCH(LEFT(CA200,FIND("·",CA200)-1),$K$200:$K$207,0)),0),0),0)+IFERROR(IF(COUNTIF($C$200:$C$207,LEFT(CA200,FIND("·",CA200)-1))&gt;0,IF(INDEX($D$200:$D$207,MATCH(LEFT(CA200,FIND("·",CA200)-1),$C$200:$C$207,0))=IFERROR(VALUE(MID(CA200,FIND("·",CA200)+1,1)),0),($D$20+(INDEX($E$200:$E$207,MATCH(LEFT(CA200,FIND("·",CA200)-1),$C$200:$C$207,0))=MID(CA200,FIND("|",CA200)+1,10))*$D$22+MAX(0,IF($D$50=1,$D$21*(1-(ABS(INDEX($Q$200:$Q$207,MATCH(LEFT(CA200,FIND("·",CA200)-1),$C$200:$C$207,0))-(VALUE(MID(CA200,FIND("|",CA200)+1,FIND("-",CA200,FIND("|",CA200))-FIND("|",CA200)-1))-VALUE(MID(CA200,FIND("-",CA200,FIND("|",CA200))+1,10)))))*$D$50),$D$21*(1-(IF(INDEX($D$200:$D$207,MATCH(LEFT(CA200,FIND("·",CA200)-1),$C$200:$C$207,0))=0,ABS(INDEX($A$200:$A$207,MATCH(LEFT(CA200,FIND("·",CA200)-1),$C$200:$C$207,0))-VALUE(MID(CA200,FIND("|",CA200)+1,FIND("-",CA200,FIND("|",CA200))-FIND("|",CA200)-1))),ABS(INDEX($Q$200:$Q$207,MATCH(LEFT(CA200,FIND("·",CA200)-1),$C$200:$C$207,0))-(VALUE(MID(CA200,FIND("|",CA200)+1,FIND("-",CA200,FIND("|",CA200))-FIND("|",CA200)-1))-VALUE(MID(CA200,FIND("-",CA200,FIND("|",CA200))+1,10)))))*$D$50)))))*INDEX($I$200:$I$207,MATCH(LEFT(CA200,FIND("·",CA200)-1),$C$200:$C$207,0)),0),0),0)</f>
        <v>0</v>
      </c>
      <c r="CC200" s="110"/>
      <c r="CD200" s="66" t="s">
        <v>2493</v>
      </c>
      <c r="CE200" s="85">
        <f t="shared" ref="CE200" si="970">IFERROR(IF(COUNTIF($K$200:$K$207,LEFT(CD200,FIND("·",CD200)-1))&gt;0,IF(INDEX($L$200:$L$207,MATCH(LEFT(CD200,FIND("·",CD200)-1),$K$200:$K$207,0))=IFERROR(VALUE(MID(CD200,FIND("·",CD200)+1,1)),0),($D$20+(INDEX($M$200:$M$207,MATCH(LEFT(CD200,FIND("·",CD200)-1),$K$200:$K$207,0))=MID(CD200,FIND("|",CD200)+1,10))*$D$22+MAX(0,IF($D$50=1,$D$21*(1-(ABS(INDEX($P$200:$P$207,MATCH(LEFT(CD200,FIND("·",CD200)-1),$K$200:$K$207,0))-(VALUE(MID(CD200,FIND("|",CD200)+1,FIND("-",CD200,FIND("|",CD200))-FIND("|",CD200)-1))-VALUE(MID(CD200,FIND("-",CD200,FIND("|",CD200))+1,10)))))*$D$50),$D$21*(1-(IF(INDEX($L$200:$L$207,MATCH(LEFT(CD200,FIND("·",CD200)-1),$K$200:$K$207,0))=0,ABS(INDEX($N$200:$N$207,MATCH(LEFT(CD200,FIND("·",CD200)-1),$K$200:$K$207,0))-VALUE(MID(CD200,FIND("|",CD200)+1,FIND("-",CD200,FIND("|",CD200))-FIND("|",CD200)-1))),ABS(INDEX($P$200:$P$207,MATCH(LEFT(CD200,FIND("·",CD200)-1),$K$200:$K$207,0))-(VALUE(MID(CD200,FIND("|",CD200)+1,FIND("-",CD200,FIND("|",CD200))-FIND("|",CD200)-1))-VALUE(MID(CD200,FIND("-",CD200,FIND("|",CD200))+1,10)))))*$D$50)))))*INDEX($I$200:$I$207,MATCH(LEFT(CD200,FIND("·",CD200)-1),$K$200:$K$207,0)),0),0),0)+IFERROR(IF(COUNTIF($C$200:$C$207,LEFT(CD200,FIND("·",CD200)-1))&gt;0,IF(INDEX($D$200:$D$207,MATCH(LEFT(CD200,FIND("·",CD200)-1),$C$200:$C$207,0))=IFERROR(VALUE(MID(CD200,FIND("·",CD200)+1,1)),0),($D$20+(INDEX($E$200:$E$207,MATCH(LEFT(CD200,FIND("·",CD200)-1),$C$200:$C$207,0))=MID(CD200,FIND("|",CD200)+1,10))*$D$22+MAX(0,IF($D$50=1,$D$21*(1-(ABS(INDEX($Q$200:$Q$207,MATCH(LEFT(CD200,FIND("·",CD200)-1),$C$200:$C$207,0))-(VALUE(MID(CD200,FIND("|",CD200)+1,FIND("-",CD200,FIND("|",CD200))-FIND("|",CD200)-1))-VALUE(MID(CD200,FIND("-",CD200,FIND("|",CD200))+1,10)))))*$D$50),$D$21*(1-(IF(INDEX($D$200:$D$207,MATCH(LEFT(CD200,FIND("·",CD200)-1),$C$200:$C$207,0))=0,ABS(INDEX($A$200:$A$207,MATCH(LEFT(CD200,FIND("·",CD200)-1),$C$200:$C$207,0))-VALUE(MID(CD200,FIND("|",CD200)+1,FIND("-",CD200,FIND("|",CD200))-FIND("|",CD200)-1))),ABS(INDEX($Q$200:$Q$207,MATCH(LEFT(CD200,FIND("·",CD200)-1),$C$200:$C$207,0))-(VALUE(MID(CD200,FIND("|",CD200)+1,FIND("-",CD200,FIND("|",CD200))-FIND("|",CD200)-1))-VALUE(MID(CD200,FIND("-",CD200,FIND("|",CD200))+1,10)))))*$D$50)))))*INDEX($I$200:$I$207,MATCH(LEFT(CD200,FIND("·",CD200)-1),$C$200:$C$207,0)),0),0),0)</f>
        <v>0</v>
      </c>
      <c r="CF200" s="110"/>
      <c r="CG200" s="66" t="s">
        <v>2510</v>
      </c>
      <c r="CH200" s="85">
        <f t="shared" ref="CH200" si="971">IFERROR(IF(COUNTIF($K$200:$K$207,LEFT(CG200,FIND("·",CG200)-1))&gt;0,IF(INDEX($L$200:$L$207,MATCH(LEFT(CG200,FIND("·",CG200)-1),$K$200:$K$207,0))=IFERROR(VALUE(MID(CG200,FIND("·",CG200)+1,1)),0),($D$20+(INDEX($M$200:$M$207,MATCH(LEFT(CG200,FIND("·",CG200)-1),$K$200:$K$207,0))=MID(CG200,FIND("|",CG200)+1,10))*$D$22+MAX(0,IF($D$50=1,$D$21*(1-(ABS(INDEX($P$200:$P$207,MATCH(LEFT(CG200,FIND("·",CG200)-1),$K$200:$K$207,0))-(VALUE(MID(CG200,FIND("|",CG200)+1,FIND("-",CG200,FIND("|",CG200))-FIND("|",CG200)-1))-VALUE(MID(CG200,FIND("-",CG200,FIND("|",CG200))+1,10)))))*$D$50),$D$21*(1-(IF(INDEX($L$200:$L$207,MATCH(LEFT(CG200,FIND("·",CG200)-1),$K$200:$K$207,0))=0,ABS(INDEX($N$200:$N$207,MATCH(LEFT(CG200,FIND("·",CG200)-1),$K$200:$K$207,0))-VALUE(MID(CG200,FIND("|",CG200)+1,FIND("-",CG200,FIND("|",CG200))-FIND("|",CG200)-1))),ABS(INDEX($P$200:$P$207,MATCH(LEFT(CG200,FIND("·",CG200)-1),$K$200:$K$207,0))-(VALUE(MID(CG200,FIND("|",CG200)+1,FIND("-",CG200,FIND("|",CG200))-FIND("|",CG200)-1))-VALUE(MID(CG200,FIND("-",CG200,FIND("|",CG200))+1,10)))))*$D$50)))))*INDEX($I$200:$I$207,MATCH(LEFT(CG200,FIND("·",CG200)-1),$K$200:$K$207,0)),0),0),0)+IFERROR(IF(COUNTIF($C$200:$C$207,LEFT(CG200,FIND("·",CG200)-1))&gt;0,IF(INDEX($D$200:$D$207,MATCH(LEFT(CG200,FIND("·",CG200)-1),$C$200:$C$207,0))=IFERROR(VALUE(MID(CG200,FIND("·",CG200)+1,1)),0),($D$20+(INDEX($E$200:$E$207,MATCH(LEFT(CG200,FIND("·",CG200)-1),$C$200:$C$207,0))=MID(CG200,FIND("|",CG200)+1,10))*$D$22+MAX(0,IF($D$50=1,$D$21*(1-(ABS(INDEX($Q$200:$Q$207,MATCH(LEFT(CG200,FIND("·",CG200)-1),$C$200:$C$207,0))-(VALUE(MID(CG200,FIND("|",CG200)+1,FIND("-",CG200,FIND("|",CG200))-FIND("|",CG200)-1))-VALUE(MID(CG200,FIND("-",CG200,FIND("|",CG200))+1,10)))))*$D$50),$D$21*(1-(IF(INDEX($D$200:$D$207,MATCH(LEFT(CG200,FIND("·",CG200)-1),$C$200:$C$207,0))=0,ABS(INDEX($A$200:$A$207,MATCH(LEFT(CG200,FIND("·",CG200)-1),$C$200:$C$207,0))-VALUE(MID(CG200,FIND("|",CG200)+1,FIND("-",CG200,FIND("|",CG200))-FIND("|",CG200)-1))),ABS(INDEX($Q$200:$Q$207,MATCH(LEFT(CG200,FIND("·",CG200)-1),$C$200:$C$207,0))-(VALUE(MID(CG200,FIND("|",CG200)+1,FIND("-",CG200,FIND("|",CG200))-FIND("|",CG200)-1))-VALUE(MID(CG200,FIND("-",CG200,FIND("|",CG200))+1,10)))))*$D$50)))))*INDEX($I$200:$I$207,MATCH(LEFT(CG200,FIND("·",CG200)-1),$C$200:$C$207,0)),0),0),0)</f>
        <v>0</v>
      </c>
      <c r="CI200" s="110"/>
      <c r="CJ200" s="66" t="s">
        <v>2529</v>
      </c>
      <c r="CK200" s="85">
        <f t="shared" ref="CK200:EV207" si="972">IFERROR(IF(COUNTIF($K$200:$K$207,LEFT(CJ200,FIND("·",CJ200)-1))&gt;0,IF(INDEX($L$200:$L$207,MATCH(LEFT(CJ200,FIND("·",CJ200)-1),$K$200:$K$207,0))=IFERROR(VALUE(MID(CJ200,FIND("·",CJ200)+1,1)),0),($D$20+(INDEX($M$200:$M$207,MATCH(LEFT(CJ200,FIND("·",CJ200)-1),$K$200:$K$207,0))=MID(CJ200,FIND("|",CJ200)+1,10))*$D$22+MAX(0,IF($D$50=1,$D$21*(1-(ABS(INDEX($P$200:$P$207,MATCH(LEFT(CJ200,FIND("·",CJ200)-1),$K$200:$K$207,0))-(VALUE(MID(CJ200,FIND("|",CJ200)+1,FIND("-",CJ200,FIND("|",CJ200))-FIND("|",CJ200)-1))-VALUE(MID(CJ200,FIND("-",CJ200,FIND("|",CJ200))+1,10)))))*$D$50),$D$21*(1-(IF(INDEX($L$200:$L$207,MATCH(LEFT(CJ200,FIND("·",CJ200)-1),$K$200:$K$207,0))=0,ABS(INDEX($N$200:$N$207,MATCH(LEFT(CJ200,FIND("·",CJ200)-1),$K$200:$K$207,0))-VALUE(MID(CJ200,FIND("|",CJ200)+1,FIND("-",CJ200,FIND("|",CJ200))-FIND("|",CJ200)-1))),ABS(INDEX($P$200:$P$207,MATCH(LEFT(CJ200,FIND("·",CJ200)-1),$K$200:$K$207,0))-(VALUE(MID(CJ200,FIND("|",CJ200)+1,FIND("-",CJ200,FIND("|",CJ200))-FIND("|",CJ200)-1))-VALUE(MID(CJ200,FIND("-",CJ200,FIND("|",CJ200))+1,10)))))*$D$50)))))*INDEX($I$200:$I$207,MATCH(LEFT(CJ200,FIND("·",CJ200)-1),$K$200:$K$207,0)),0),0),0)+IFERROR(IF(COUNTIF($C$200:$C$207,LEFT(CJ200,FIND("·",CJ200)-1))&gt;0,IF(INDEX($D$200:$D$207,MATCH(LEFT(CJ200,FIND("·",CJ200)-1),$C$200:$C$207,0))=IFERROR(VALUE(MID(CJ200,FIND("·",CJ200)+1,1)),0),($D$20+(INDEX($E$200:$E$207,MATCH(LEFT(CJ200,FIND("·",CJ200)-1),$C$200:$C$207,0))=MID(CJ200,FIND("|",CJ200)+1,10))*$D$22+MAX(0,IF($D$50=1,$D$21*(1-(ABS(INDEX($Q$200:$Q$207,MATCH(LEFT(CJ200,FIND("·",CJ200)-1),$C$200:$C$207,0))-(VALUE(MID(CJ200,FIND("|",CJ200)+1,FIND("-",CJ200,FIND("|",CJ200))-FIND("|",CJ200)-1))-VALUE(MID(CJ200,FIND("-",CJ200,FIND("|",CJ200))+1,10)))))*$D$50),$D$21*(1-(IF(INDEX($D$200:$D$207,MATCH(LEFT(CJ200,FIND("·",CJ200)-1),$C$200:$C$207,0))=0,ABS(INDEX($A$200:$A$207,MATCH(LEFT(CJ200,FIND("·",CJ200)-1),$C$200:$C$207,0))-VALUE(MID(CJ200,FIND("|",CJ200)+1,FIND("-",CJ200,FIND("|",CJ200))-FIND("|",CJ200)-1))),ABS(INDEX($Q$200:$Q$207,MATCH(LEFT(CJ200,FIND("·",CJ200)-1),$C$200:$C$207,0))-(VALUE(MID(CJ200,FIND("|",CJ200)+1,FIND("-",CJ200,FIND("|",CJ200))-FIND("|",CJ200)-1))-VALUE(MID(CJ200,FIND("-",CJ200,FIND("|",CJ200))+1,10)))))*$D$50)))))*INDEX($I$200:$I$207,MATCH(LEFT(CJ200,FIND("·",CJ200)-1),$C$200:$C$207,0)),0),0),0)</f>
        <v>0</v>
      </c>
      <c r="CL200" s="110"/>
      <c r="CM200" s="66" t="s">
        <v>2541</v>
      </c>
      <c r="CN200" s="85">
        <f t="shared" ref="CN200" si="973">IFERROR(IF(COUNTIF($K$200:$K$207,LEFT(CM200,FIND("·",CM200)-1))&gt;0,IF(INDEX($L$200:$L$207,MATCH(LEFT(CM200,FIND("·",CM200)-1),$K$200:$K$207,0))=IFERROR(VALUE(MID(CM200,FIND("·",CM200)+1,1)),0),($D$20+(INDEX($M$200:$M$207,MATCH(LEFT(CM200,FIND("·",CM200)-1),$K$200:$K$207,0))=MID(CM200,FIND("|",CM200)+1,10))*$D$22+MAX(0,IF($D$50=1,$D$21*(1-(ABS(INDEX($P$200:$P$207,MATCH(LEFT(CM200,FIND("·",CM200)-1),$K$200:$K$207,0))-(VALUE(MID(CM200,FIND("|",CM200)+1,FIND("-",CM200,FIND("|",CM200))-FIND("|",CM200)-1))-VALUE(MID(CM200,FIND("-",CM200,FIND("|",CM200))+1,10)))))*$D$50),$D$21*(1-(IF(INDEX($L$200:$L$207,MATCH(LEFT(CM200,FIND("·",CM200)-1),$K$200:$K$207,0))=0,ABS(INDEX($N$200:$N$207,MATCH(LEFT(CM200,FIND("·",CM200)-1),$K$200:$K$207,0))-VALUE(MID(CM200,FIND("|",CM200)+1,FIND("-",CM200,FIND("|",CM200))-FIND("|",CM200)-1))),ABS(INDEX($P$200:$P$207,MATCH(LEFT(CM200,FIND("·",CM200)-1),$K$200:$K$207,0))-(VALUE(MID(CM200,FIND("|",CM200)+1,FIND("-",CM200,FIND("|",CM200))-FIND("|",CM200)-1))-VALUE(MID(CM200,FIND("-",CM200,FIND("|",CM200))+1,10)))))*$D$50)))))*INDEX($I$200:$I$207,MATCH(LEFT(CM200,FIND("·",CM200)-1),$K$200:$K$207,0)),0),0),0)+IFERROR(IF(COUNTIF($C$200:$C$207,LEFT(CM200,FIND("·",CM200)-1))&gt;0,IF(INDEX($D$200:$D$207,MATCH(LEFT(CM200,FIND("·",CM200)-1),$C$200:$C$207,0))=IFERROR(VALUE(MID(CM200,FIND("·",CM200)+1,1)),0),($D$20+(INDEX($E$200:$E$207,MATCH(LEFT(CM200,FIND("·",CM200)-1),$C$200:$C$207,0))=MID(CM200,FIND("|",CM200)+1,10))*$D$22+MAX(0,IF($D$50=1,$D$21*(1-(ABS(INDEX($Q$200:$Q$207,MATCH(LEFT(CM200,FIND("·",CM200)-1),$C$200:$C$207,0))-(VALUE(MID(CM200,FIND("|",CM200)+1,FIND("-",CM200,FIND("|",CM200))-FIND("|",CM200)-1))-VALUE(MID(CM200,FIND("-",CM200,FIND("|",CM200))+1,10)))))*$D$50),$D$21*(1-(IF(INDEX($D$200:$D$207,MATCH(LEFT(CM200,FIND("·",CM200)-1),$C$200:$C$207,0))=0,ABS(INDEX($A$200:$A$207,MATCH(LEFT(CM200,FIND("·",CM200)-1),$C$200:$C$207,0))-VALUE(MID(CM200,FIND("|",CM200)+1,FIND("-",CM200,FIND("|",CM200))-FIND("|",CM200)-1))),ABS(INDEX($Q$200:$Q$207,MATCH(LEFT(CM200,FIND("·",CM200)-1),$C$200:$C$207,0))-(VALUE(MID(CM200,FIND("|",CM200)+1,FIND("-",CM200,FIND("|",CM200))-FIND("|",CM200)-1))-VALUE(MID(CM200,FIND("-",CM200,FIND("|",CM200))+1,10)))))*$D$50)))))*INDEX($I$200:$I$207,MATCH(LEFT(CM200,FIND("·",CM200)-1),$C$200:$C$207,0)),0),0),0)</f>
        <v>0</v>
      </c>
      <c r="CO200" s="110"/>
      <c r="CP200" s="66" t="s">
        <v>2558</v>
      </c>
      <c r="CQ200" s="85">
        <f t="shared" ref="CQ200" si="974">IFERROR(IF(COUNTIF($K$200:$K$207,LEFT(CP200,FIND("·",CP200)-1))&gt;0,IF(INDEX($L$200:$L$207,MATCH(LEFT(CP200,FIND("·",CP200)-1),$K$200:$K$207,0))=IFERROR(VALUE(MID(CP200,FIND("·",CP200)+1,1)),0),($D$20+(INDEX($M$200:$M$207,MATCH(LEFT(CP200,FIND("·",CP200)-1),$K$200:$K$207,0))=MID(CP200,FIND("|",CP200)+1,10))*$D$22+MAX(0,IF($D$50=1,$D$21*(1-(ABS(INDEX($P$200:$P$207,MATCH(LEFT(CP200,FIND("·",CP200)-1),$K$200:$K$207,0))-(VALUE(MID(CP200,FIND("|",CP200)+1,FIND("-",CP200,FIND("|",CP200))-FIND("|",CP200)-1))-VALUE(MID(CP200,FIND("-",CP200,FIND("|",CP200))+1,10)))))*$D$50),$D$21*(1-(IF(INDEX($L$200:$L$207,MATCH(LEFT(CP200,FIND("·",CP200)-1),$K$200:$K$207,0))=0,ABS(INDEX($N$200:$N$207,MATCH(LEFT(CP200,FIND("·",CP200)-1),$K$200:$K$207,0))-VALUE(MID(CP200,FIND("|",CP200)+1,FIND("-",CP200,FIND("|",CP200))-FIND("|",CP200)-1))),ABS(INDEX($P$200:$P$207,MATCH(LEFT(CP200,FIND("·",CP200)-1),$K$200:$K$207,0))-(VALUE(MID(CP200,FIND("|",CP200)+1,FIND("-",CP200,FIND("|",CP200))-FIND("|",CP200)-1))-VALUE(MID(CP200,FIND("-",CP200,FIND("|",CP200))+1,10)))))*$D$50)))))*INDEX($I$200:$I$207,MATCH(LEFT(CP200,FIND("·",CP200)-1),$K$200:$K$207,0)),0),0),0)+IFERROR(IF(COUNTIF($C$200:$C$207,LEFT(CP200,FIND("·",CP200)-1))&gt;0,IF(INDEX($D$200:$D$207,MATCH(LEFT(CP200,FIND("·",CP200)-1),$C$200:$C$207,0))=IFERROR(VALUE(MID(CP200,FIND("·",CP200)+1,1)),0),($D$20+(INDEX($E$200:$E$207,MATCH(LEFT(CP200,FIND("·",CP200)-1),$C$200:$C$207,0))=MID(CP200,FIND("|",CP200)+1,10))*$D$22+MAX(0,IF($D$50=1,$D$21*(1-(ABS(INDEX($Q$200:$Q$207,MATCH(LEFT(CP200,FIND("·",CP200)-1),$C$200:$C$207,0))-(VALUE(MID(CP200,FIND("|",CP200)+1,FIND("-",CP200,FIND("|",CP200))-FIND("|",CP200)-1))-VALUE(MID(CP200,FIND("-",CP200,FIND("|",CP200))+1,10)))))*$D$50),$D$21*(1-(IF(INDEX($D$200:$D$207,MATCH(LEFT(CP200,FIND("·",CP200)-1),$C$200:$C$207,0))=0,ABS(INDEX($A$200:$A$207,MATCH(LEFT(CP200,FIND("·",CP200)-1),$C$200:$C$207,0))-VALUE(MID(CP200,FIND("|",CP200)+1,FIND("-",CP200,FIND("|",CP200))-FIND("|",CP200)-1))),ABS(INDEX($Q$200:$Q$207,MATCH(LEFT(CP200,FIND("·",CP200)-1),$C$200:$C$207,0))-(VALUE(MID(CP200,FIND("|",CP200)+1,FIND("-",CP200,FIND("|",CP200))-FIND("|",CP200)-1))-VALUE(MID(CP200,FIND("-",CP200,FIND("|",CP200))+1,10)))))*$D$50)))))*INDEX($I$200:$I$207,MATCH(LEFT(CP200,FIND("·",CP200)-1),$C$200:$C$207,0)),0),0),0)</f>
        <v>0</v>
      </c>
      <c r="CR200" s="110"/>
      <c r="CS200" s="66" t="s">
        <v>2558</v>
      </c>
      <c r="CT200" s="85">
        <f t="shared" ref="CT200" si="975">IFERROR(IF(COUNTIF($K$200:$K$207,LEFT(CS200,FIND("·",CS200)-1))&gt;0,IF(INDEX($L$200:$L$207,MATCH(LEFT(CS200,FIND("·",CS200)-1),$K$200:$K$207,0))=IFERROR(VALUE(MID(CS200,FIND("·",CS200)+1,1)),0),($D$20+(INDEX($M$200:$M$207,MATCH(LEFT(CS200,FIND("·",CS200)-1),$K$200:$K$207,0))=MID(CS200,FIND("|",CS200)+1,10))*$D$22+MAX(0,IF($D$50=1,$D$21*(1-(ABS(INDEX($P$200:$P$207,MATCH(LEFT(CS200,FIND("·",CS200)-1),$K$200:$K$207,0))-(VALUE(MID(CS200,FIND("|",CS200)+1,FIND("-",CS200,FIND("|",CS200))-FIND("|",CS200)-1))-VALUE(MID(CS200,FIND("-",CS200,FIND("|",CS200))+1,10)))))*$D$50),$D$21*(1-(IF(INDEX($L$200:$L$207,MATCH(LEFT(CS200,FIND("·",CS200)-1),$K$200:$K$207,0))=0,ABS(INDEX($N$200:$N$207,MATCH(LEFT(CS200,FIND("·",CS200)-1),$K$200:$K$207,0))-VALUE(MID(CS200,FIND("|",CS200)+1,FIND("-",CS200,FIND("|",CS200))-FIND("|",CS200)-1))),ABS(INDEX($P$200:$P$207,MATCH(LEFT(CS200,FIND("·",CS200)-1),$K$200:$K$207,0))-(VALUE(MID(CS200,FIND("|",CS200)+1,FIND("-",CS200,FIND("|",CS200))-FIND("|",CS200)-1))-VALUE(MID(CS200,FIND("-",CS200,FIND("|",CS200))+1,10)))))*$D$50)))))*INDEX($I$200:$I$207,MATCH(LEFT(CS200,FIND("·",CS200)-1),$K$200:$K$207,0)),0),0),0)+IFERROR(IF(COUNTIF($C$200:$C$207,LEFT(CS200,FIND("·",CS200)-1))&gt;0,IF(INDEX($D$200:$D$207,MATCH(LEFT(CS200,FIND("·",CS200)-1),$C$200:$C$207,0))=IFERROR(VALUE(MID(CS200,FIND("·",CS200)+1,1)),0),($D$20+(INDEX($E$200:$E$207,MATCH(LEFT(CS200,FIND("·",CS200)-1),$C$200:$C$207,0))=MID(CS200,FIND("|",CS200)+1,10))*$D$22+MAX(0,IF($D$50=1,$D$21*(1-(ABS(INDEX($Q$200:$Q$207,MATCH(LEFT(CS200,FIND("·",CS200)-1),$C$200:$C$207,0))-(VALUE(MID(CS200,FIND("|",CS200)+1,FIND("-",CS200,FIND("|",CS200))-FIND("|",CS200)-1))-VALUE(MID(CS200,FIND("-",CS200,FIND("|",CS200))+1,10)))))*$D$50),$D$21*(1-(IF(INDEX($D$200:$D$207,MATCH(LEFT(CS200,FIND("·",CS200)-1),$C$200:$C$207,0))=0,ABS(INDEX($A$200:$A$207,MATCH(LEFT(CS200,FIND("·",CS200)-1),$C$200:$C$207,0))-VALUE(MID(CS200,FIND("|",CS200)+1,FIND("-",CS200,FIND("|",CS200))-FIND("|",CS200)-1))),ABS(INDEX($Q$200:$Q$207,MATCH(LEFT(CS200,FIND("·",CS200)-1),$C$200:$C$207,0))-(VALUE(MID(CS200,FIND("|",CS200)+1,FIND("-",CS200,FIND("|",CS200))-FIND("|",CS200)-1))-VALUE(MID(CS200,FIND("-",CS200,FIND("|",CS200))+1,10)))))*$D$50)))))*INDEX($I$200:$I$207,MATCH(LEFT(CS200,FIND("·",CS200)-1),$C$200:$C$207,0)),0),0),0)</f>
        <v>0</v>
      </c>
      <c r="CU200" s="110"/>
      <c r="CV200" s="66" t="s">
        <v>2574</v>
      </c>
      <c r="CW200" s="85">
        <f t="shared" ref="CW200" si="976">IFERROR(IF(COUNTIF($K$200:$K$207,LEFT(CV200,FIND("·",CV200)-1))&gt;0,IF(INDEX($L$200:$L$207,MATCH(LEFT(CV200,FIND("·",CV200)-1),$K$200:$K$207,0))=IFERROR(VALUE(MID(CV200,FIND("·",CV200)+1,1)),0),($D$20+(INDEX($M$200:$M$207,MATCH(LEFT(CV200,FIND("·",CV200)-1),$K$200:$K$207,0))=MID(CV200,FIND("|",CV200)+1,10))*$D$22+MAX(0,IF($D$50=1,$D$21*(1-(ABS(INDEX($P$200:$P$207,MATCH(LEFT(CV200,FIND("·",CV200)-1),$K$200:$K$207,0))-(VALUE(MID(CV200,FIND("|",CV200)+1,FIND("-",CV200,FIND("|",CV200))-FIND("|",CV200)-1))-VALUE(MID(CV200,FIND("-",CV200,FIND("|",CV200))+1,10)))))*$D$50),$D$21*(1-(IF(INDEX($L$200:$L$207,MATCH(LEFT(CV200,FIND("·",CV200)-1),$K$200:$K$207,0))=0,ABS(INDEX($N$200:$N$207,MATCH(LEFT(CV200,FIND("·",CV200)-1),$K$200:$K$207,0))-VALUE(MID(CV200,FIND("|",CV200)+1,FIND("-",CV200,FIND("|",CV200))-FIND("|",CV200)-1))),ABS(INDEX($P$200:$P$207,MATCH(LEFT(CV200,FIND("·",CV200)-1),$K$200:$K$207,0))-(VALUE(MID(CV200,FIND("|",CV200)+1,FIND("-",CV200,FIND("|",CV200))-FIND("|",CV200)-1))-VALUE(MID(CV200,FIND("-",CV200,FIND("|",CV200))+1,10)))))*$D$50)))))*INDEX($I$200:$I$207,MATCH(LEFT(CV200,FIND("·",CV200)-1),$K$200:$K$207,0)),0),0),0)+IFERROR(IF(COUNTIF($C$200:$C$207,LEFT(CV200,FIND("·",CV200)-1))&gt;0,IF(INDEX($D$200:$D$207,MATCH(LEFT(CV200,FIND("·",CV200)-1),$C$200:$C$207,0))=IFERROR(VALUE(MID(CV200,FIND("·",CV200)+1,1)),0),($D$20+(INDEX($E$200:$E$207,MATCH(LEFT(CV200,FIND("·",CV200)-1),$C$200:$C$207,0))=MID(CV200,FIND("|",CV200)+1,10))*$D$22+MAX(0,IF($D$50=1,$D$21*(1-(ABS(INDEX($Q$200:$Q$207,MATCH(LEFT(CV200,FIND("·",CV200)-1),$C$200:$C$207,0))-(VALUE(MID(CV200,FIND("|",CV200)+1,FIND("-",CV200,FIND("|",CV200))-FIND("|",CV200)-1))-VALUE(MID(CV200,FIND("-",CV200,FIND("|",CV200))+1,10)))))*$D$50),$D$21*(1-(IF(INDEX($D$200:$D$207,MATCH(LEFT(CV200,FIND("·",CV200)-1),$C$200:$C$207,0))=0,ABS(INDEX($A$200:$A$207,MATCH(LEFT(CV200,FIND("·",CV200)-1),$C$200:$C$207,0))-VALUE(MID(CV200,FIND("|",CV200)+1,FIND("-",CV200,FIND("|",CV200))-FIND("|",CV200)-1))),ABS(INDEX($Q$200:$Q$207,MATCH(LEFT(CV200,FIND("·",CV200)-1),$C$200:$C$207,0))-(VALUE(MID(CV200,FIND("|",CV200)+1,FIND("-",CV200,FIND("|",CV200))-FIND("|",CV200)-1))-VALUE(MID(CV200,FIND("-",CV200,FIND("|",CV200))+1,10)))))*$D$50)))))*INDEX($I$200:$I$207,MATCH(LEFT(CV200,FIND("·",CV200)-1),$C$200:$C$207,0)),0),0),0)</f>
        <v>0</v>
      </c>
      <c r="CX200" s="110"/>
      <c r="CY200" s="66" t="s">
        <v>2598</v>
      </c>
      <c r="CZ200" s="85">
        <f t="shared" ref="CZ200" si="977">IFERROR(IF(COUNTIF($K$200:$K$207,LEFT(CY200,FIND("·",CY200)-1))&gt;0,IF(INDEX($L$200:$L$207,MATCH(LEFT(CY200,FIND("·",CY200)-1),$K$200:$K$207,0))=IFERROR(VALUE(MID(CY200,FIND("·",CY200)+1,1)),0),($D$20+(INDEX($M$200:$M$207,MATCH(LEFT(CY200,FIND("·",CY200)-1),$K$200:$K$207,0))=MID(CY200,FIND("|",CY200)+1,10))*$D$22+MAX(0,IF($D$50=1,$D$21*(1-(ABS(INDEX($P$200:$P$207,MATCH(LEFT(CY200,FIND("·",CY200)-1),$K$200:$K$207,0))-(VALUE(MID(CY200,FIND("|",CY200)+1,FIND("-",CY200,FIND("|",CY200))-FIND("|",CY200)-1))-VALUE(MID(CY200,FIND("-",CY200,FIND("|",CY200))+1,10)))))*$D$50),$D$21*(1-(IF(INDEX($L$200:$L$207,MATCH(LEFT(CY200,FIND("·",CY200)-1),$K$200:$K$207,0))=0,ABS(INDEX($N$200:$N$207,MATCH(LEFT(CY200,FIND("·",CY200)-1),$K$200:$K$207,0))-VALUE(MID(CY200,FIND("|",CY200)+1,FIND("-",CY200,FIND("|",CY200))-FIND("|",CY200)-1))),ABS(INDEX($P$200:$P$207,MATCH(LEFT(CY200,FIND("·",CY200)-1),$K$200:$K$207,0))-(VALUE(MID(CY200,FIND("|",CY200)+1,FIND("-",CY200,FIND("|",CY200))-FIND("|",CY200)-1))-VALUE(MID(CY200,FIND("-",CY200,FIND("|",CY200))+1,10)))))*$D$50)))))*INDEX($I$200:$I$207,MATCH(LEFT(CY200,FIND("·",CY200)-1),$K$200:$K$207,0)),0),0),0)+IFERROR(IF(COUNTIF($C$200:$C$207,LEFT(CY200,FIND("·",CY200)-1))&gt;0,IF(INDEX($D$200:$D$207,MATCH(LEFT(CY200,FIND("·",CY200)-1),$C$200:$C$207,0))=IFERROR(VALUE(MID(CY200,FIND("·",CY200)+1,1)),0),($D$20+(INDEX($E$200:$E$207,MATCH(LEFT(CY200,FIND("·",CY200)-1),$C$200:$C$207,0))=MID(CY200,FIND("|",CY200)+1,10))*$D$22+MAX(0,IF($D$50=1,$D$21*(1-(ABS(INDEX($Q$200:$Q$207,MATCH(LEFT(CY200,FIND("·",CY200)-1),$C$200:$C$207,0))-(VALUE(MID(CY200,FIND("|",CY200)+1,FIND("-",CY200,FIND("|",CY200))-FIND("|",CY200)-1))-VALUE(MID(CY200,FIND("-",CY200,FIND("|",CY200))+1,10)))))*$D$50),$D$21*(1-(IF(INDEX($D$200:$D$207,MATCH(LEFT(CY200,FIND("·",CY200)-1),$C$200:$C$207,0))=0,ABS(INDEX($A$200:$A$207,MATCH(LEFT(CY200,FIND("·",CY200)-1),$C$200:$C$207,0))-VALUE(MID(CY200,FIND("|",CY200)+1,FIND("-",CY200,FIND("|",CY200))-FIND("|",CY200)-1))),ABS(INDEX($Q$200:$Q$207,MATCH(LEFT(CY200,FIND("·",CY200)-1),$C$200:$C$207,0))-(VALUE(MID(CY200,FIND("|",CY200)+1,FIND("-",CY200,FIND("|",CY200))-FIND("|",CY200)-1))-VALUE(MID(CY200,FIND("-",CY200,FIND("|",CY200))+1,10)))))*$D$50)))))*INDEX($I$200:$I$207,MATCH(LEFT(CY200,FIND("·",CY200)-1),$C$200:$C$207,0)),0),0),0)</f>
        <v>0</v>
      </c>
      <c r="DA200" s="110"/>
      <c r="DB200" s="66" t="s">
        <v>2614</v>
      </c>
      <c r="DC200" s="85">
        <f t="shared" ref="DC200" si="978">IFERROR(IF(COUNTIF($K$200:$K$207,LEFT(DB200,FIND("·",DB200)-1))&gt;0,IF(INDEX($L$200:$L$207,MATCH(LEFT(DB200,FIND("·",DB200)-1),$K$200:$K$207,0))=IFERROR(VALUE(MID(DB200,FIND("·",DB200)+1,1)),0),($D$20+(INDEX($M$200:$M$207,MATCH(LEFT(DB200,FIND("·",DB200)-1),$K$200:$K$207,0))=MID(DB200,FIND("|",DB200)+1,10))*$D$22+MAX(0,IF($D$50=1,$D$21*(1-(ABS(INDEX($P$200:$P$207,MATCH(LEFT(DB200,FIND("·",DB200)-1),$K$200:$K$207,0))-(VALUE(MID(DB200,FIND("|",DB200)+1,FIND("-",DB200,FIND("|",DB200))-FIND("|",DB200)-1))-VALUE(MID(DB200,FIND("-",DB200,FIND("|",DB200))+1,10)))))*$D$50),$D$21*(1-(IF(INDEX($L$200:$L$207,MATCH(LEFT(DB200,FIND("·",DB200)-1),$K$200:$K$207,0))=0,ABS(INDEX($N$200:$N$207,MATCH(LEFT(DB200,FIND("·",DB200)-1),$K$200:$K$207,0))-VALUE(MID(DB200,FIND("|",DB200)+1,FIND("-",DB200,FIND("|",DB200))-FIND("|",DB200)-1))),ABS(INDEX($P$200:$P$207,MATCH(LEFT(DB200,FIND("·",DB200)-1),$K$200:$K$207,0))-(VALUE(MID(DB200,FIND("|",DB200)+1,FIND("-",DB200,FIND("|",DB200))-FIND("|",DB200)-1))-VALUE(MID(DB200,FIND("-",DB200,FIND("|",DB200))+1,10)))))*$D$50)))))*INDEX($I$200:$I$207,MATCH(LEFT(DB200,FIND("·",DB200)-1),$K$200:$K$207,0)),0),0),0)+IFERROR(IF(COUNTIF($C$200:$C$207,LEFT(DB200,FIND("·",DB200)-1))&gt;0,IF(INDEX($D$200:$D$207,MATCH(LEFT(DB200,FIND("·",DB200)-1),$C$200:$C$207,0))=IFERROR(VALUE(MID(DB200,FIND("·",DB200)+1,1)),0),($D$20+(INDEX($E$200:$E$207,MATCH(LEFT(DB200,FIND("·",DB200)-1),$C$200:$C$207,0))=MID(DB200,FIND("|",DB200)+1,10))*$D$22+MAX(0,IF($D$50=1,$D$21*(1-(ABS(INDEX($Q$200:$Q$207,MATCH(LEFT(DB200,FIND("·",DB200)-1),$C$200:$C$207,0))-(VALUE(MID(DB200,FIND("|",DB200)+1,FIND("-",DB200,FIND("|",DB200))-FIND("|",DB200)-1))-VALUE(MID(DB200,FIND("-",DB200,FIND("|",DB200))+1,10)))))*$D$50),$D$21*(1-(IF(INDEX($D$200:$D$207,MATCH(LEFT(DB200,FIND("·",DB200)-1),$C$200:$C$207,0))=0,ABS(INDEX($A$200:$A$207,MATCH(LEFT(DB200,FIND("·",DB200)-1),$C$200:$C$207,0))-VALUE(MID(DB200,FIND("|",DB200)+1,FIND("-",DB200,FIND("|",DB200))-FIND("|",DB200)-1))),ABS(INDEX($Q$200:$Q$207,MATCH(LEFT(DB200,FIND("·",DB200)-1),$C$200:$C$207,0))-(VALUE(MID(DB200,FIND("|",DB200)+1,FIND("-",DB200,FIND("|",DB200))-FIND("|",DB200)-1))-VALUE(MID(DB200,FIND("-",DB200,FIND("|",DB200))+1,10)))))*$D$50)))))*INDEX($I$200:$I$207,MATCH(LEFT(DB200,FIND("·",DB200)-1),$C$200:$C$207,0)),0),0),0)</f>
        <v>0</v>
      </c>
      <c r="DD200" s="110"/>
      <c r="DE200" s="66" t="s">
        <v>2627</v>
      </c>
      <c r="DF200" s="85">
        <f t="shared" ref="DF200" si="979">IFERROR(IF(COUNTIF($K$200:$K$207,LEFT(DE200,FIND("·",DE200)-1))&gt;0,IF(INDEX($L$200:$L$207,MATCH(LEFT(DE200,FIND("·",DE200)-1),$K$200:$K$207,0))=IFERROR(VALUE(MID(DE200,FIND("·",DE200)+1,1)),0),($D$20+(INDEX($M$200:$M$207,MATCH(LEFT(DE200,FIND("·",DE200)-1),$K$200:$K$207,0))=MID(DE200,FIND("|",DE200)+1,10))*$D$22+MAX(0,IF($D$50=1,$D$21*(1-(ABS(INDEX($P$200:$P$207,MATCH(LEFT(DE200,FIND("·",DE200)-1),$K$200:$K$207,0))-(VALUE(MID(DE200,FIND("|",DE200)+1,FIND("-",DE200,FIND("|",DE200))-FIND("|",DE200)-1))-VALUE(MID(DE200,FIND("-",DE200,FIND("|",DE200))+1,10)))))*$D$50),$D$21*(1-(IF(INDEX($L$200:$L$207,MATCH(LEFT(DE200,FIND("·",DE200)-1),$K$200:$K$207,0))=0,ABS(INDEX($N$200:$N$207,MATCH(LEFT(DE200,FIND("·",DE200)-1),$K$200:$K$207,0))-VALUE(MID(DE200,FIND("|",DE200)+1,FIND("-",DE200,FIND("|",DE200))-FIND("|",DE200)-1))),ABS(INDEX($P$200:$P$207,MATCH(LEFT(DE200,FIND("·",DE200)-1),$K$200:$K$207,0))-(VALUE(MID(DE200,FIND("|",DE200)+1,FIND("-",DE200,FIND("|",DE200))-FIND("|",DE200)-1))-VALUE(MID(DE200,FIND("-",DE200,FIND("|",DE200))+1,10)))))*$D$50)))))*INDEX($I$200:$I$207,MATCH(LEFT(DE200,FIND("·",DE200)-1),$K$200:$K$207,0)),0),0),0)+IFERROR(IF(COUNTIF($C$200:$C$207,LEFT(DE200,FIND("·",DE200)-1))&gt;0,IF(INDEX($D$200:$D$207,MATCH(LEFT(DE200,FIND("·",DE200)-1),$C$200:$C$207,0))=IFERROR(VALUE(MID(DE200,FIND("·",DE200)+1,1)),0),($D$20+(INDEX($E$200:$E$207,MATCH(LEFT(DE200,FIND("·",DE200)-1),$C$200:$C$207,0))=MID(DE200,FIND("|",DE200)+1,10))*$D$22+MAX(0,IF($D$50=1,$D$21*(1-(ABS(INDEX($Q$200:$Q$207,MATCH(LEFT(DE200,FIND("·",DE200)-1),$C$200:$C$207,0))-(VALUE(MID(DE200,FIND("|",DE200)+1,FIND("-",DE200,FIND("|",DE200))-FIND("|",DE200)-1))-VALUE(MID(DE200,FIND("-",DE200,FIND("|",DE200))+1,10)))))*$D$50),$D$21*(1-(IF(INDEX($D$200:$D$207,MATCH(LEFT(DE200,FIND("·",DE200)-1),$C$200:$C$207,0))=0,ABS(INDEX($A$200:$A$207,MATCH(LEFT(DE200,FIND("·",DE200)-1),$C$200:$C$207,0))-VALUE(MID(DE200,FIND("|",DE200)+1,FIND("-",DE200,FIND("|",DE200))-FIND("|",DE200)-1))),ABS(INDEX($Q$200:$Q$207,MATCH(LEFT(DE200,FIND("·",DE200)-1),$C$200:$C$207,0))-(VALUE(MID(DE200,FIND("|",DE200)+1,FIND("-",DE200,FIND("|",DE200))-FIND("|",DE200)-1))-VALUE(MID(DE200,FIND("-",DE200,FIND("|",DE200))+1,10)))))*$D$50)))))*INDEX($I$200:$I$207,MATCH(LEFT(DE200,FIND("·",DE200)-1),$C$200:$C$207,0)),0),0),0)</f>
        <v>0</v>
      </c>
      <c r="DG200" s="110"/>
      <c r="DH200" s="66" t="s">
        <v>2198</v>
      </c>
      <c r="DI200" s="85">
        <f t="shared" ref="DI200" si="980">IFERROR(IF(COUNTIF($K$200:$K$207,LEFT(DH200,FIND("·",DH200)-1))&gt;0,IF(INDEX($L$200:$L$207,MATCH(LEFT(DH200,FIND("·",DH200)-1),$K$200:$K$207,0))=IFERROR(VALUE(MID(DH200,FIND("·",DH200)+1,1)),0),($D$20+(INDEX($M$200:$M$207,MATCH(LEFT(DH200,FIND("·",DH200)-1),$K$200:$K$207,0))=MID(DH200,FIND("|",DH200)+1,10))*$D$22+MAX(0,IF($D$50=1,$D$21*(1-(ABS(INDEX($P$200:$P$207,MATCH(LEFT(DH200,FIND("·",DH200)-1),$K$200:$K$207,0))-(VALUE(MID(DH200,FIND("|",DH200)+1,FIND("-",DH200,FIND("|",DH200))-FIND("|",DH200)-1))-VALUE(MID(DH200,FIND("-",DH200,FIND("|",DH200))+1,10)))))*$D$50),$D$21*(1-(IF(INDEX($L$200:$L$207,MATCH(LEFT(DH200,FIND("·",DH200)-1),$K$200:$K$207,0))=0,ABS(INDEX($N$200:$N$207,MATCH(LEFT(DH200,FIND("·",DH200)-1),$K$200:$K$207,0))-VALUE(MID(DH200,FIND("|",DH200)+1,FIND("-",DH200,FIND("|",DH200))-FIND("|",DH200)-1))),ABS(INDEX($P$200:$P$207,MATCH(LEFT(DH200,FIND("·",DH200)-1),$K$200:$K$207,0))-(VALUE(MID(DH200,FIND("|",DH200)+1,FIND("-",DH200,FIND("|",DH200))-FIND("|",DH200)-1))-VALUE(MID(DH200,FIND("-",DH200,FIND("|",DH200))+1,10)))))*$D$50)))))*INDEX($I$200:$I$207,MATCH(LEFT(DH200,FIND("·",DH200)-1),$K$200:$K$207,0)),0),0),0)+IFERROR(IF(COUNTIF($C$200:$C$207,LEFT(DH200,FIND("·",DH200)-1))&gt;0,IF(INDEX($D$200:$D$207,MATCH(LEFT(DH200,FIND("·",DH200)-1),$C$200:$C$207,0))=IFERROR(VALUE(MID(DH200,FIND("·",DH200)+1,1)),0),($D$20+(INDEX($E$200:$E$207,MATCH(LEFT(DH200,FIND("·",DH200)-1),$C$200:$C$207,0))=MID(DH200,FIND("|",DH200)+1,10))*$D$22+MAX(0,IF($D$50=1,$D$21*(1-(ABS(INDEX($Q$200:$Q$207,MATCH(LEFT(DH200,FIND("·",DH200)-1),$C$200:$C$207,0))-(VALUE(MID(DH200,FIND("|",DH200)+1,FIND("-",DH200,FIND("|",DH200))-FIND("|",DH200)-1))-VALUE(MID(DH200,FIND("-",DH200,FIND("|",DH200))+1,10)))))*$D$50),$D$21*(1-(IF(INDEX($D$200:$D$207,MATCH(LEFT(DH200,FIND("·",DH200)-1),$C$200:$C$207,0))=0,ABS(INDEX($A$200:$A$207,MATCH(LEFT(DH200,FIND("·",DH200)-1),$C$200:$C$207,0))-VALUE(MID(DH200,FIND("|",DH200)+1,FIND("-",DH200,FIND("|",DH200))-FIND("|",DH200)-1))),ABS(INDEX($Q$200:$Q$207,MATCH(LEFT(DH200,FIND("·",DH200)-1),$C$200:$C$207,0))-(VALUE(MID(DH200,FIND("|",DH200)+1,FIND("-",DH200,FIND("|",DH200))-FIND("|",DH200)-1))-VALUE(MID(DH200,FIND("-",DH200,FIND("|",DH200))+1,10)))))*$D$50)))))*INDEX($I$200:$I$207,MATCH(LEFT(DH200,FIND("·",DH200)-1),$C$200:$C$207,0)),0),0),0)</f>
        <v>0</v>
      </c>
      <c r="DJ200" s="110"/>
      <c r="DK200" s="66" t="s">
        <v>2662</v>
      </c>
      <c r="DL200" s="85">
        <f t="shared" ref="DL200" si="981">IFERROR(IF(COUNTIF($K$200:$K$207,LEFT(DK200,FIND("·",DK200)-1))&gt;0,IF(INDEX($L$200:$L$207,MATCH(LEFT(DK200,FIND("·",DK200)-1),$K$200:$K$207,0))=IFERROR(VALUE(MID(DK200,FIND("·",DK200)+1,1)),0),($D$20+(INDEX($M$200:$M$207,MATCH(LEFT(DK200,FIND("·",DK200)-1),$K$200:$K$207,0))=MID(DK200,FIND("|",DK200)+1,10))*$D$22+MAX(0,IF($D$50=1,$D$21*(1-(ABS(INDEX($P$200:$P$207,MATCH(LEFT(DK200,FIND("·",DK200)-1),$K$200:$K$207,0))-(VALUE(MID(DK200,FIND("|",DK200)+1,FIND("-",DK200,FIND("|",DK200))-FIND("|",DK200)-1))-VALUE(MID(DK200,FIND("-",DK200,FIND("|",DK200))+1,10)))))*$D$50),$D$21*(1-(IF(INDEX($L$200:$L$207,MATCH(LEFT(DK200,FIND("·",DK200)-1),$K$200:$K$207,0))=0,ABS(INDEX($N$200:$N$207,MATCH(LEFT(DK200,FIND("·",DK200)-1),$K$200:$K$207,0))-VALUE(MID(DK200,FIND("|",DK200)+1,FIND("-",DK200,FIND("|",DK200))-FIND("|",DK200)-1))),ABS(INDEX($P$200:$P$207,MATCH(LEFT(DK200,FIND("·",DK200)-1),$K$200:$K$207,0))-(VALUE(MID(DK200,FIND("|",DK200)+1,FIND("-",DK200,FIND("|",DK200))-FIND("|",DK200)-1))-VALUE(MID(DK200,FIND("-",DK200,FIND("|",DK200))+1,10)))))*$D$50)))))*INDEX($I$200:$I$207,MATCH(LEFT(DK200,FIND("·",DK200)-1),$K$200:$K$207,0)),0),0),0)+IFERROR(IF(COUNTIF($C$200:$C$207,LEFT(DK200,FIND("·",DK200)-1))&gt;0,IF(INDEX($D$200:$D$207,MATCH(LEFT(DK200,FIND("·",DK200)-1),$C$200:$C$207,0))=IFERROR(VALUE(MID(DK200,FIND("·",DK200)+1,1)),0),($D$20+(INDEX($E$200:$E$207,MATCH(LEFT(DK200,FIND("·",DK200)-1),$C$200:$C$207,0))=MID(DK200,FIND("|",DK200)+1,10))*$D$22+MAX(0,IF($D$50=1,$D$21*(1-(ABS(INDEX($Q$200:$Q$207,MATCH(LEFT(DK200,FIND("·",DK200)-1),$C$200:$C$207,0))-(VALUE(MID(DK200,FIND("|",DK200)+1,FIND("-",DK200,FIND("|",DK200))-FIND("|",DK200)-1))-VALUE(MID(DK200,FIND("-",DK200,FIND("|",DK200))+1,10)))))*$D$50),$D$21*(1-(IF(INDEX($D$200:$D$207,MATCH(LEFT(DK200,FIND("·",DK200)-1),$C$200:$C$207,0))=0,ABS(INDEX($A$200:$A$207,MATCH(LEFT(DK200,FIND("·",DK200)-1),$C$200:$C$207,0))-VALUE(MID(DK200,FIND("|",DK200)+1,FIND("-",DK200,FIND("|",DK200))-FIND("|",DK200)-1))),ABS(INDEX($Q$200:$Q$207,MATCH(LEFT(DK200,FIND("·",DK200)-1),$C$200:$C$207,0))-(VALUE(MID(DK200,FIND("|",DK200)+1,FIND("-",DK200,FIND("|",DK200))-FIND("|",DK200)-1))-VALUE(MID(DK200,FIND("-",DK200,FIND("|",DK200))+1,10)))))*$D$50)))))*INDEX($I$200:$I$207,MATCH(LEFT(DK200,FIND("·",DK200)-1),$C$200:$C$207,0)),0),0),0)</f>
        <v>0</v>
      </c>
      <c r="DM200" s="110"/>
      <c r="DN200" s="797" t="s">
        <v>2674</v>
      </c>
      <c r="DO200" s="85">
        <f t="shared" ref="DO200" si="982">IFERROR(IF(COUNTIF($K$200:$K$207,LEFT(DN200,FIND("·",DN200)-1))&gt;0,IF(INDEX($L$200:$L$207,MATCH(LEFT(DN200,FIND("·",DN200)-1),$K$200:$K$207,0))=IFERROR(VALUE(MID(DN200,FIND("·",DN200)+1,1)),0),($D$20+(INDEX($M$200:$M$207,MATCH(LEFT(DN200,FIND("·",DN200)-1),$K$200:$K$207,0))=MID(DN200,FIND("|",DN200)+1,10))*$D$22+MAX(0,IF($D$50=1,$D$21*(1-(ABS(INDEX($P$200:$P$207,MATCH(LEFT(DN200,FIND("·",DN200)-1),$K$200:$K$207,0))-(VALUE(MID(DN200,FIND("|",DN200)+1,FIND("-",DN200,FIND("|",DN200))-FIND("|",DN200)-1))-VALUE(MID(DN200,FIND("-",DN200,FIND("|",DN200))+1,10)))))*$D$50),$D$21*(1-(IF(INDEX($L$200:$L$207,MATCH(LEFT(DN200,FIND("·",DN200)-1),$K$200:$K$207,0))=0,ABS(INDEX($N$200:$N$207,MATCH(LEFT(DN200,FIND("·",DN200)-1),$K$200:$K$207,0))-VALUE(MID(DN200,FIND("|",DN200)+1,FIND("-",DN200,FIND("|",DN200))-FIND("|",DN200)-1))),ABS(INDEX($P$200:$P$207,MATCH(LEFT(DN200,FIND("·",DN200)-1),$K$200:$K$207,0))-(VALUE(MID(DN200,FIND("|",DN200)+1,FIND("-",DN200,FIND("|",DN200))-FIND("|",DN200)-1))-VALUE(MID(DN200,FIND("-",DN200,FIND("|",DN200))+1,10)))))*$D$50)))))*INDEX($I$200:$I$207,MATCH(LEFT(DN200,FIND("·",DN200)-1),$K$200:$K$207,0)),0),0),0)+IFERROR(IF(COUNTIF($C$200:$C$207,LEFT(DN200,FIND("·",DN200)-1))&gt;0,IF(INDEX($D$200:$D$207,MATCH(LEFT(DN200,FIND("·",DN200)-1),$C$200:$C$207,0))=IFERROR(VALUE(MID(DN200,FIND("·",DN200)+1,1)),0),($D$20+(INDEX($E$200:$E$207,MATCH(LEFT(DN200,FIND("·",DN200)-1),$C$200:$C$207,0))=MID(DN200,FIND("|",DN200)+1,10))*$D$22+MAX(0,IF($D$50=1,$D$21*(1-(ABS(INDEX($Q$200:$Q$207,MATCH(LEFT(DN200,FIND("·",DN200)-1),$C$200:$C$207,0))-(VALUE(MID(DN200,FIND("|",DN200)+1,FIND("-",DN200,FIND("|",DN200))-FIND("|",DN200)-1))-VALUE(MID(DN200,FIND("-",DN200,FIND("|",DN200))+1,10)))))*$D$50),$D$21*(1-(IF(INDEX($D$200:$D$207,MATCH(LEFT(DN200,FIND("·",DN200)-1),$C$200:$C$207,0))=0,ABS(INDEX($A$200:$A$207,MATCH(LEFT(DN200,FIND("·",DN200)-1),$C$200:$C$207,0))-VALUE(MID(DN200,FIND("|",DN200)+1,FIND("-",DN200,FIND("|",DN200))-FIND("|",DN200)-1))),ABS(INDEX($Q$200:$Q$207,MATCH(LEFT(DN200,FIND("·",DN200)-1),$C$200:$C$207,0))-(VALUE(MID(DN200,FIND("|",DN200)+1,FIND("-",DN200,FIND("|",DN200))-FIND("|",DN200)-1))-VALUE(MID(DN200,FIND("-",DN200,FIND("|",DN200))+1,10)))))*$D$50)))))*INDEX($I$200:$I$207,MATCH(LEFT(DN200,FIND("·",DN200)-1),$C$200:$C$207,0)),0),0),0)</f>
        <v>0</v>
      </c>
      <c r="DP200" s="110"/>
      <c r="DQ200" s="797" t="s">
        <v>2694</v>
      </c>
      <c r="DR200" s="85">
        <f t="shared" ref="DR200" si="983">IFERROR(IF(COUNTIF($K$200:$K$207,LEFT(DQ200,FIND("·",DQ200)-1))&gt;0,IF(INDEX($L$200:$L$207,MATCH(LEFT(DQ200,FIND("·",DQ200)-1),$K$200:$K$207,0))=IFERROR(VALUE(MID(DQ200,FIND("·",DQ200)+1,1)),0),($D$20+(INDEX($M$200:$M$207,MATCH(LEFT(DQ200,FIND("·",DQ200)-1),$K$200:$K$207,0))=MID(DQ200,FIND("|",DQ200)+1,10))*$D$22+MAX(0,IF($D$50=1,$D$21*(1-(ABS(INDEX($P$200:$P$207,MATCH(LEFT(DQ200,FIND("·",DQ200)-1),$K$200:$K$207,0))-(VALUE(MID(DQ200,FIND("|",DQ200)+1,FIND("-",DQ200,FIND("|",DQ200))-FIND("|",DQ200)-1))-VALUE(MID(DQ200,FIND("-",DQ200,FIND("|",DQ200))+1,10)))))*$D$50),$D$21*(1-(IF(INDEX($L$200:$L$207,MATCH(LEFT(DQ200,FIND("·",DQ200)-1),$K$200:$K$207,0))=0,ABS(INDEX($N$200:$N$207,MATCH(LEFT(DQ200,FIND("·",DQ200)-1),$K$200:$K$207,0))-VALUE(MID(DQ200,FIND("|",DQ200)+1,FIND("-",DQ200,FIND("|",DQ200))-FIND("|",DQ200)-1))),ABS(INDEX($P$200:$P$207,MATCH(LEFT(DQ200,FIND("·",DQ200)-1),$K$200:$K$207,0))-(VALUE(MID(DQ200,FIND("|",DQ200)+1,FIND("-",DQ200,FIND("|",DQ200))-FIND("|",DQ200)-1))-VALUE(MID(DQ200,FIND("-",DQ200,FIND("|",DQ200))+1,10)))))*$D$50)))))*INDEX($I$200:$I$207,MATCH(LEFT(DQ200,FIND("·",DQ200)-1),$K$200:$K$207,0)),0),0),0)+IFERROR(IF(COUNTIF($C$200:$C$207,LEFT(DQ200,FIND("·",DQ200)-1))&gt;0,IF(INDEX($D$200:$D$207,MATCH(LEFT(DQ200,FIND("·",DQ200)-1),$C$200:$C$207,0))=IFERROR(VALUE(MID(DQ200,FIND("·",DQ200)+1,1)),0),($D$20+(INDEX($E$200:$E$207,MATCH(LEFT(DQ200,FIND("·",DQ200)-1),$C$200:$C$207,0))=MID(DQ200,FIND("|",DQ200)+1,10))*$D$22+MAX(0,IF($D$50=1,$D$21*(1-(ABS(INDEX($Q$200:$Q$207,MATCH(LEFT(DQ200,FIND("·",DQ200)-1),$C$200:$C$207,0))-(VALUE(MID(DQ200,FIND("|",DQ200)+1,FIND("-",DQ200,FIND("|",DQ200))-FIND("|",DQ200)-1))-VALUE(MID(DQ200,FIND("-",DQ200,FIND("|",DQ200))+1,10)))))*$D$50),$D$21*(1-(IF(INDEX($D$200:$D$207,MATCH(LEFT(DQ200,FIND("·",DQ200)-1),$C$200:$C$207,0))=0,ABS(INDEX($A$200:$A$207,MATCH(LEFT(DQ200,FIND("·",DQ200)-1),$C$200:$C$207,0))-VALUE(MID(DQ200,FIND("|",DQ200)+1,FIND("-",DQ200,FIND("|",DQ200))-FIND("|",DQ200)-1))),ABS(INDEX($Q$200:$Q$207,MATCH(LEFT(DQ200,FIND("·",DQ200)-1),$C$200:$C$207,0))-(VALUE(MID(DQ200,FIND("|",DQ200)+1,FIND("-",DQ200,FIND("|",DQ200))-FIND("|",DQ200)-1))-VALUE(MID(DQ200,FIND("-",DQ200,FIND("|",DQ200))+1,10)))))*$D$50)))))*INDEX($I$200:$I$207,MATCH(LEFT(DQ200,FIND("·",DQ200)-1),$C$200:$C$207,0)),0),0),0)</f>
        <v>0</v>
      </c>
      <c r="DS200" s="110"/>
      <c r="DT200" s="66" t="s">
        <v>2721</v>
      </c>
      <c r="DU200" s="85">
        <f t="shared" ref="DU200" si="984">IFERROR(IF(COUNTIF($K$200:$K$207,LEFT(DT200,FIND("·",DT200)-1))&gt;0,IF(INDEX($L$200:$L$207,MATCH(LEFT(DT200,FIND("·",DT200)-1),$K$200:$K$207,0))=IFERROR(VALUE(MID(DT200,FIND("·",DT200)+1,1)),0),($D$20+(INDEX($M$200:$M$207,MATCH(LEFT(DT200,FIND("·",DT200)-1),$K$200:$K$207,0))=MID(DT200,FIND("|",DT200)+1,10))*$D$22+MAX(0,IF($D$50=1,$D$21*(1-(ABS(INDEX($P$200:$P$207,MATCH(LEFT(DT200,FIND("·",DT200)-1),$K$200:$K$207,0))-(VALUE(MID(DT200,FIND("|",DT200)+1,FIND("-",DT200,FIND("|",DT200))-FIND("|",DT200)-1))-VALUE(MID(DT200,FIND("-",DT200,FIND("|",DT200))+1,10)))))*$D$50),$D$21*(1-(IF(INDEX($L$200:$L$207,MATCH(LEFT(DT200,FIND("·",DT200)-1),$K$200:$K$207,0))=0,ABS(INDEX($N$200:$N$207,MATCH(LEFT(DT200,FIND("·",DT200)-1),$K$200:$K$207,0))-VALUE(MID(DT200,FIND("|",DT200)+1,FIND("-",DT200,FIND("|",DT200))-FIND("|",DT200)-1))),ABS(INDEX($P$200:$P$207,MATCH(LEFT(DT200,FIND("·",DT200)-1),$K$200:$K$207,0))-(VALUE(MID(DT200,FIND("|",DT200)+1,FIND("-",DT200,FIND("|",DT200))-FIND("|",DT200)-1))-VALUE(MID(DT200,FIND("-",DT200,FIND("|",DT200))+1,10)))))*$D$50)))))*INDEX($I$200:$I$207,MATCH(LEFT(DT200,FIND("·",DT200)-1),$K$200:$K$207,0)),0),0),0)+IFERROR(IF(COUNTIF($C$200:$C$207,LEFT(DT200,FIND("·",DT200)-1))&gt;0,IF(INDEX($D$200:$D$207,MATCH(LEFT(DT200,FIND("·",DT200)-1),$C$200:$C$207,0))=IFERROR(VALUE(MID(DT200,FIND("·",DT200)+1,1)),0),($D$20+(INDEX($E$200:$E$207,MATCH(LEFT(DT200,FIND("·",DT200)-1),$C$200:$C$207,0))=MID(DT200,FIND("|",DT200)+1,10))*$D$22+MAX(0,IF($D$50=1,$D$21*(1-(ABS(INDEX($Q$200:$Q$207,MATCH(LEFT(DT200,FIND("·",DT200)-1),$C$200:$C$207,0))-(VALUE(MID(DT200,FIND("|",DT200)+1,FIND("-",DT200,FIND("|",DT200))-FIND("|",DT200)-1))-VALUE(MID(DT200,FIND("-",DT200,FIND("|",DT200))+1,10)))))*$D$50),$D$21*(1-(IF(INDEX($D$200:$D$207,MATCH(LEFT(DT200,FIND("·",DT200)-1),$C$200:$C$207,0))=0,ABS(INDEX($A$200:$A$207,MATCH(LEFT(DT200,FIND("·",DT200)-1),$C$200:$C$207,0))-VALUE(MID(DT200,FIND("|",DT200)+1,FIND("-",DT200,FIND("|",DT200))-FIND("|",DT200)-1))),ABS(INDEX($Q$200:$Q$207,MATCH(LEFT(DT200,FIND("·",DT200)-1),$C$200:$C$207,0))-(VALUE(MID(DT200,FIND("|",DT200)+1,FIND("-",DT200,FIND("|",DT200))-FIND("|",DT200)-1))-VALUE(MID(DT200,FIND("-",DT200,FIND("|",DT200))+1,10)))))*$D$50)))))*INDEX($I$200:$I$207,MATCH(LEFT(DT200,FIND("·",DT200)-1),$C$200:$C$207,0)),0),0),0)</f>
        <v>0</v>
      </c>
      <c r="DV200" s="110"/>
      <c r="DW200" s="66" t="s">
        <v>2739</v>
      </c>
      <c r="DX200" s="85">
        <f t="shared" ref="DX200" si="985">IFERROR(IF(COUNTIF($K$200:$K$207,LEFT(DW200,FIND("·",DW200)-1))&gt;0,IF(INDEX($L$200:$L$207,MATCH(LEFT(DW200,FIND("·",DW200)-1),$K$200:$K$207,0))=IFERROR(VALUE(MID(DW200,FIND("·",DW200)+1,1)),0),($D$20+(INDEX($M$200:$M$207,MATCH(LEFT(DW200,FIND("·",DW200)-1),$K$200:$K$207,0))=MID(DW200,FIND("|",DW200)+1,10))*$D$22+MAX(0,IF($D$50=1,$D$21*(1-(ABS(INDEX($P$200:$P$207,MATCH(LEFT(DW200,FIND("·",DW200)-1),$K$200:$K$207,0))-(VALUE(MID(DW200,FIND("|",DW200)+1,FIND("-",DW200,FIND("|",DW200))-FIND("|",DW200)-1))-VALUE(MID(DW200,FIND("-",DW200,FIND("|",DW200))+1,10)))))*$D$50),$D$21*(1-(IF(INDEX($L$200:$L$207,MATCH(LEFT(DW200,FIND("·",DW200)-1),$K$200:$K$207,0))=0,ABS(INDEX($N$200:$N$207,MATCH(LEFT(DW200,FIND("·",DW200)-1),$K$200:$K$207,0))-VALUE(MID(DW200,FIND("|",DW200)+1,FIND("-",DW200,FIND("|",DW200))-FIND("|",DW200)-1))),ABS(INDEX($P$200:$P$207,MATCH(LEFT(DW200,FIND("·",DW200)-1),$K$200:$K$207,0))-(VALUE(MID(DW200,FIND("|",DW200)+1,FIND("-",DW200,FIND("|",DW200))-FIND("|",DW200)-1))-VALUE(MID(DW200,FIND("-",DW200,FIND("|",DW200))+1,10)))))*$D$50)))))*INDEX($I$200:$I$207,MATCH(LEFT(DW200,FIND("·",DW200)-1),$K$200:$K$207,0)),0),0),0)+IFERROR(IF(COUNTIF($C$200:$C$207,LEFT(DW200,FIND("·",DW200)-1))&gt;0,IF(INDEX($D$200:$D$207,MATCH(LEFT(DW200,FIND("·",DW200)-1),$C$200:$C$207,0))=IFERROR(VALUE(MID(DW200,FIND("·",DW200)+1,1)),0),($D$20+(INDEX($E$200:$E$207,MATCH(LEFT(DW200,FIND("·",DW200)-1),$C$200:$C$207,0))=MID(DW200,FIND("|",DW200)+1,10))*$D$22+MAX(0,IF($D$50=1,$D$21*(1-(ABS(INDEX($Q$200:$Q$207,MATCH(LEFT(DW200,FIND("·",DW200)-1),$C$200:$C$207,0))-(VALUE(MID(DW200,FIND("|",DW200)+1,FIND("-",DW200,FIND("|",DW200))-FIND("|",DW200)-1))-VALUE(MID(DW200,FIND("-",DW200,FIND("|",DW200))+1,10)))))*$D$50),$D$21*(1-(IF(INDEX($D$200:$D$207,MATCH(LEFT(DW200,FIND("·",DW200)-1),$C$200:$C$207,0))=0,ABS(INDEX($A$200:$A$207,MATCH(LEFT(DW200,FIND("·",DW200)-1),$C$200:$C$207,0))-VALUE(MID(DW200,FIND("|",DW200)+1,FIND("-",DW200,FIND("|",DW200))-FIND("|",DW200)-1))),ABS(INDEX($Q$200:$Q$207,MATCH(LEFT(DW200,FIND("·",DW200)-1),$C$200:$C$207,0))-(VALUE(MID(DW200,FIND("|",DW200)+1,FIND("-",DW200,FIND("|",DW200))-FIND("|",DW200)-1))-VALUE(MID(DW200,FIND("-",DW200,FIND("|",DW200))+1,10)))))*$D$50)))))*INDEX($I$200:$I$207,MATCH(LEFT(DW200,FIND("·",DW200)-1),$C$200:$C$207,0)),0),0),0)</f>
        <v>0</v>
      </c>
      <c r="DY200" s="110"/>
      <c r="DZ200" s="66" t="s">
        <v>2510</v>
      </c>
      <c r="EA200" s="85">
        <f t="shared" ref="EA200" si="986">IFERROR(IF(COUNTIF($K$200:$K$207,LEFT(DZ200,FIND("·",DZ200)-1))&gt;0,IF(INDEX($L$200:$L$207,MATCH(LEFT(DZ200,FIND("·",DZ200)-1),$K$200:$K$207,0))=IFERROR(VALUE(MID(DZ200,FIND("·",DZ200)+1,1)),0),($D$20+(INDEX($M$200:$M$207,MATCH(LEFT(DZ200,FIND("·",DZ200)-1),$K$200:$K$207,0))=MID(DZ200,FIND("|",DZ200)+1,10))*$D$22+MAX(0,IF($D$50=1,$D$21*(1-(ABS(INDEX($P$200:$P$207,MATCH(LEFT(DZ200,FIND("·",DZ200)-1),$K$200:$K$207,0))-(VALUE(MID(DZ200,FIND("|",DZ200)+1,FIND("-",DZ200,FIND("|",DZ200))-FIND("|",DZ200)-1))-VALUE(MID(DZ200,FIND("-",DZ200,FIND("|",DZ200))+1,10)))))*$D$50),$D$21*(1-(IF(INDEX($L$200:$L$207,MATCH(LEFT(DZ200,FIND("·",DZ200)-1),$K$200:$K$207,0))=0,ABS(INDEX($N$200:$N$207,MATCH(LEFT(DZ200,FIND("·",DZ200)-1),$K$200:$K$207,0))-VALUE(MID(DZ200,FIND("|",DZ200)+1,FIND("-",DZ200,FIND("|",DZ200))-FIND("|",DZ200)-1))),ABS(INDEX($P$200:$P$207,MATCH(LEFT(DZ200,FIND("·",DZ200)-1),$K$200:$K$207,0))-(VALUE(MID(DZ200,FIND("|",DZ200)+1,FIND("-",DZ200,FIND("|",DZ200))-FIND("|",DZ200)-1))-VALUE(MID(DZ200,FIND("-",DZ200,FIND("|",DZ200))+1,10)))))*$D$50)))))*INDEX($I$200:$I$207,MATCH(LEFT(DZ200,FIND("·",DZ200)-1),$K$200:$K$207,0)),0),0),0)+IFERROR(IF(COUNTIF($C$200:$C$207,LEFT(DZ200,FIND("·",DZ200)-1))&gt;0,IF(INDEX($D$200:$D$207,MATCH(LEFT(DZ200,FIND("·",DZ200)-1),$C$200:$C$207,0))=IFERROR(VALUE(MID(DZ200,FIND("·",DZ200)+1,1)),0),($D$20+(INDEX($E$200:$E$207,MATCH(LEFT(DZ200,FIND("·",DZ200)-1),$C$200:$C$207,0))=MID(DZ200,FIND("|",DZ200)+1,10))*$D$22+MAX(0,IF($D$50=1,$D$21*(1-(ABS(INDEX($Q$200:$Q$207,MATCH(LEFT(DZ200,FIND("·",DZ200)-1),$C$200:$C$207,0))-(VALUE(MID(DZ200,FIND("|",DZ200)+1,FIND("-",DZ200,FIND("|",DZ200))-FIND("|",DZ200)-1))-VALUE(MID(DZ200,FIND("-",DZ200,FIND("|",DZ200))+1,10)))))*$D$50),$D$21*(1-(IF(INDEX($D$200:$D$207,MATCH(LEFT(DZ200,FIND("·",DZ200)-1),$C$200:$C$207,0))=0,ABS(INDEX($A$200:$A$207,MATCH(LEFT(DZ200,FIND("·",DZ200)-1),$C$200:$C$207,0))-VALUE(MID(DZ200,FIND("|",DZ200)+1,FIND("-",DZ200,FIND("|",DZ200))-FIND("|",DZ200)-1))),ABS(INDEX($Q$200:$Q$207,MATCH(LEFT(DZ200,FIND("·",DZ200)-1),$C$200:$C$207,0))-(VALUE(MID(DZ200,FIND("|",DZ200)+1,FIND("-",DZ200,FIND("|",DZ200))-FIND("|",DZ200)-1))-VALUE(MID(DZ200,FIND("-",DZ200,FIND("|",DZ200))+1,10)))))*$D$50)))))*INDEX($I$200:$I$207,MATCH(LEFT(DZ200,FIND("·",DZ200)-1),$C$200:$C$207,0)),0),0),0)</f>
        <v>0</v>
      </c>
      <c r="EB200" s="110"/>
      <c r="EC200" s="66" t="s">
        <v>2055</v>
      </c>
      <c r="ED200" s="85">
        <f t="shared" ref="ED200" si="987">IFERROR(IF(COUNTIF($K$200:$K$207,LEFT(EC200,FIND("·",EC200)-1))&gt;0,IF(INDEX($L$200:$L$207,MATCH(LEFT(EC200,FIND("·",EC200)-1),$K$200:$K$207,0))=IFERROR(VALUE(MID(EC200,FIND("·",EC200)+1,1)),0),($D$20+(INDEX($M$200:$M$207,MATCH(LEFT(EC200,FIND("·",EC200)-1),$K$200:$K$207,0))=MID(EC200,FIND("|",EC200)+1,10))*$D$22+MAX(0,IF($D$50=1,$D$21*(1-(ABS(INDEX($P$200:$P$207,MATCH(LEFT(EC200,FIND("·",EC200)-1),$K$200:$K$207,0))-(VALUE(MID(EC200,FIND("|",EC200)+1,FIND("-",EC200,FIND("|",EC200))-FIND("|",EC200)-1))-VALUE(MID(EC200,FIND("-",EC200,FIND("|",EC200))+1,10)))))*$D$50),$D$21*(1-(IF(INDEX($L$200:$L$207,MATCH(LEFT(EC200,FIND("·",EC200)-1),$K$200:$K$207,0))=0,ABS(INDEX($N$200:$N$207,MATCH(LEFT(EC200,FIND("·",EC200)-1),$K$200:$K$207,0))-VALUE(MID(EC200,FIND("|",EC200)+1,FIND("-",EC200,FIND("|",EC200))-FIND("|",EC200)-1))),ABS(INDEX($P$200:$P$207,MATCH(LEFT(EC200,FIND("·",EC200)-1),$K$200:$K$207,0))-(VALUE(MID(EC200,FIND("|",EC200)+1,FIND("-",EC200,FIND("|",EC200))-FIND("|",EC200)-1))-VALUE(MID(EC200,FIND("-",EC200,FIND("|",EC200))+1,10)))))*$D$50)))))*INDEX($I$200:$I$207,MATCH(LEFT(EC200,FIND("·",EC200)-1),$K$200:$K$207,0)),0),0),0)+IFERROR(IF(COUNTIF($C$200:$C$207,LEFT(EC200,FIND("·",EC200)-1))&gt;0,IF(INDEX($D$200:$D$207,MATCH(LEFT(EC200,FIND("·",EC200)-1),$C$200:$C$207,0))=IFERROR(VALUE(MID(EC200,FIND("·",EC200)+1,1)),0),($D$20+(INDEX($E$200:$E$207,MATCH(LEFT(EC200,FIND("·",EC200)-1),$C$200:$C$207,0))=MID(EC200,FIND("|",EC200)+1,10))*$D$22+MAX(0,IF($D$50=1,$D$21*(1-(ABS(INDEX($Q$200:$Q$207,MATCH(LEFT(EC200,FIND("·",EC200)-1),$C$200:$C$207,0))-(VALUE(MID(EC200,FIND("|",EC200)+1,FIND("-",EC200,FIND("|",EC200))-FIND("|",EC200)-1))-VALUE(MID(EC200,FIND("-",EC200,FIND("|",EC200))+1,10)))))*$D$50),$D$21*(1-(IF(INDEX($D$200:$D$207,MATCH(LEFT(EC200,FIND("·",EC200)-1),$C$200:$C$207,0))=0,ABS(INDEX($A$200:$A$207,MATCH(LEFT(EC200,FIND("·",EC200)-1),$C$200:$C$207,0))-VALUE(MID(EC200,FIND("|",EC200)+1,FIND("-",EC200,FIND("|",EC200))-FIND("|",EC200)-1))),ABS(INDEX($Q$200:$Q$207,MATCH(LEFT(EC200,FIND("·",EC200)-1),$C$200:$C$207,0))-(VALUE(MID(EC200,FIND("|",EC200)+1,FIND("-",EC200,FIND("|",EC200))-FIND("|",EC200)-1))-VALUE(MID(EC200,FIND("-",EC200,FIND("|",EC200))+1,10)))))*$D$50)))))*INDEX($I$200:$I$207,MATCH(LEFT(EC200,FIND("·",EC200)-1),$C$200:$C$207,0)),0),0),0)</f>
        <v>0</v>
      </c>
      <c r="EE200" s="110"/>
      <c r="EF200" s="66" t="s">
        <v>2083</v>
      </c>
      <c r="EG200" s="85">
        <f t="shared" ref="EG200" si="988">IFERROR(IF(COUNTIF($K$200:$K$207,LEFT(EF200,FIND("·",EF200)-1))&gt;0,IF(INDEX($L$200:$L$207,MATCH(LEFT(EF200,FIND("·",EF200)-1),$K$200:$K$207,0))=IFERROR(VALUE(MID(EF200,FIND("·",EF200)+1,1)),0),($D$20+(INDEX($M$200:$M$207,MATCH(LEFT(EF200,FIND("·",EF200)-1),$K$200:$K$207,0))=MID(EF200,FIND("|",EF200)+1,10))*$D$22+MAX(0,IF($D$50=1,$D$21*(1-(ABS(INDEX($P$200:$P$207,MATCH(LEFT(EF200,FIND("·",EF200)-1),$K$200:$K$207,0))-(VALUE(MID(EF200,FIND("|",EF200)+1,FIND("-",EF200,FIND("|",EF200))-FIND("|",EF200)-1))-VALUE(MID(EF200,FIND("-",EF200,FIND("|",EF200))+1,10)))))*$D$50),$D$21*(1-(IF(INDEX($L$200:$L$207,MATCH(LEFT(EF200,FIND("·",EF200)-1),$K$200:$K$207,0))=0,ABS(INDEX($N$200:$N$207,MATCH(LEFT(EF200,FIND("·",EF200)-1),$K$200:$K$207,0))-VALUE(MID(EF200,FIND("|",EF200)+1,FIND("-",EF200,FIND("|",EF200))-FIND("|",EF200)-1))),ABS(INDEX($P$200:$P$207,MATCH(LEFT(EF200,FIND("·",EF200)-1),$K$200:$K$207,0))-(VALUE(MID(EF200,FIND("|",EF200)+1,FIND("-",EF200,FIND("|",EF200))-FIND("|",EF200)-1))-VALUE(MID(EF200,FIND("-",EF200,FIND("|",EF200))+1,10)))))*$D$50)))))*INDEX($I$200:$I$207,MATCH(LEFT(EF200,FIND("·",EF200)-1),$K$200:$K$207,0)),0),0),0)+IFERROR(IF(COUNTIF($C$200:$C$207,LEFT(EF200,FIND("·",EF200)-1))&gt;0,IF(INDEX($D$200:$D$207,MATCH(LEFT(EF200,FIND("·",EF200)-1),$C$200:$C$207,0))=IFERROR(VALUE(MID(EF200,FIND("·",EF200)+1,1)),0),($D$20+(INDEX($E$200:$E$207,MATCH(LEFT(EF200,FIND("·",EF200)-1),$C$200:$C$207,0))=MID(EF200,FIND("|",EF200)+1,10))*$D$22+MAX(0,IF($D$50=1,$D$21*(1-(ABS(INDEX($Q$200:$Q$207,MATCH(LEFT(EF200,FIND("·",EF200)-1),$C$200:$C$207,0))-(VALUE(MID(EF200,FIND("|",EF200)+1,FIND("-",EF200,FIND("|",EF200))-FIND("|",EF200)-1))-VALUE(MID(EF200,FIND("-",EF200,FIND("|",EF200))+1,10)))))*$D$50),$D$21*(1-(IF(INDEX($D$200:$D$207,MATCH(LEFT(EF200,FIND("·",EF200)-1),$C$200:$C$207,0))=0,ABS(INDEX($A$200:$A$207,MATCH(LEFT(EF200,FIND("·",EF200)-1),$C$200:$C$207,0))-VALUE(MID(EF200,FIND("|",EF200)+1,FIND("-",EF200,FIND("|",EF200))-FIND("|",EF200)-1))),ABS(INDEX($Q$200:$Q$207,MATCH(LEFT(EF200,FIND("·",EF200)-1),$C$200:$C$207,0))-(VALUE(MID(EF200,FIND("|",EF200)+1,FIND("-",EF200,FIND("|",EF200))-FIND("|",EF200)-1))-VALUE(MID(EF200,FIND("-",EF200,FIND("|",EF200))+1,10)))))*$D$50)))))*INDEX($I$200:$I$207,MATCH(LEFT(EF200,FIND("·",EF200)-1),$C$200:$C$207,0)),0),0),0)</f>
        <v>0</v>
      </c>
      <c r="EH200" s="110"/>
      <c r="EI200" s="66" t="s">
        <v>2230</v>
      </c>
      <c r="EJ200" s="85">
        <f t="shared" ref="EJ200" si="989">IFERROR(IF(COUNTIF($K$200:$K$207,LEFT(EI200,FIND("·",EI200)-1))&gt;0,IF(INDEX($L$200:$L$207,MATCH(LEFT(EI200,FIND("·",EI200)-1),$K$200:$K$207,0))=IFERROR(VALUE(MID(EI200,FIND("·",EI200)+1,1)),0),($D$20+(INDEX($M$200:$M$207,MATCH(LEFT(EI200,FIND("·",EI200)-1),$K$200:$K$207,0))=MID(EI200,FIND("|",EI200)+1,10))*$D$22+MAX(0,IF($D$50=1,$D$21*(1-(ABS(INDEX($P$200:$P$207,MATCH(LEFT(EI200,FIND("·",EI200)-1),$K$200:$K$207,0))-(VALUE(MID(EI200,FIND("|",EI200)+1,FIND("-",EI200,FIND("|",EI200))-FIND("|",EI200)-1))-VALUE(MID(EI200,FIND("-",EI200,FIND("|",EI200))+1,10)))))*$D$50),$D$21*(1-(IF(INDEX($L$200:$L$207,MATCH(LEFT(EI200,FIND("·",EI200)-1),$K$200:$K$207,0))=0,ABS(INDEX($N$200:$N$207,MATCH(LEFT(EI200,FIND("·",EI200)-1),$K$200:$K$207,0))-VALUE(MID(EI200,FIND("|",EI200)+1,FIND("-",EI200,FIND("|",EI200))-FIND("|",EI200)-1))),ABS(INDEX($P$200:$P$207,MATCH(LEFT(EI200,FIND("·",EI200)-1),$K$200:$K$207,0))-(VALUE(MID(EI200,FIND("|",EI200)+1,FIND("-",EI200,FIND("|",EI200))-FIND("|",EI200)-1))-VALUE(MID(EI200,FIND("-",EI200,FIND("|",EI200))+1,10)))))*$D$50)))))*INDEX($I$200:$I$207,MATCH(LEFT(EI200,FIND("·",EI200)-1),$K$200:$K$207,0)),0),0),0)+IFERROR(IF(COUNTIF($C$200:$C$207,LEFT(EI200,FIND("·",EI200)-1))&gt;0,IF(INDEX($D$200:$D$207,MATCH(LEFT(EI200,FIND("·",EI200)-1),$C$200:$C$207,0))=IFERROR(VALUE(MID(EI200,FIND("·",EI200)+1,1)),0),($D$20+(INDEX($E$200:$E$207,MATCH(LEFT(EI200,FIND("·",EI200)-1),$C$200:$C$207,0))=MID(EI200,FIND("|",EI200)+1,10))*$D$22+MAX(0,IF($D$50=1,$D$21*(1-(ABS(INDEX($Q$200:$Q$207,MATCH(LEFT(EI200,FIND("·",EI200)-1),$C$200:$C$207,0))-(VALUE(MID(EI200,FIND("|",EI200)+1,FIND("-",EI200,FIND("|",EI200))-FIND("|",EI200)-1))-VALUE(MID(EI200,FIND("-",EI200,FIND("|",EI200))+1,10)))))*$D$50),$D$21*(1-(IF(INDEX($D$200:$D$207,MATCH(LEFT(EI200,FIND("·",EI200)-1),$C$200:$C$207,0))=0,ABS(INDEX($A$200:$A$207,MATCH(LEFT(EI200,FIND("·",EI200)-1),$C$200:$C$207,0))-VALUE(MID(EI200,FIND("|",EI200)+1,FIND("-",EI200,FIND("|",EI200))-FIND("|",EI200)-1))),ABS(INDEX($Q$200:$Q$207,MATCH(LEFT(EI200,FIND("·",EI200)-1),$C$200:$C$207,0))-(VALUE(MID(EI200,FIND("|",EI200)+1,FIND("-",EI200,FIND("|",EI200))-FIND("|",EI200)-1))-VALUE(MID(EI200,FIND("-",EI200,FIND("|",EI200))+1,10)))))*$D$50)))))*INDEX($I$200:$I$207,MATCH(LEFT(EI200,FIND("·",EI200)-1),$C$200:$C$207,0)),0),0),0)</f>
        <v>0</v>
      </c>
      <c r="EK200" s="110"/>
      <c r="EL200" s="66" t="str">
        <f>Idiomas!$D$368</f>
        <v>Pegar Valores Octavos</v>
      </c>
      <c r="EM200" s="85">
        <f t="shared" ref="EM200" si="990">IFERROR(IF(COUNTIF($K$200:$K$207,LEFT(EL200,FIND("·",EL200)-1))&gt;0,IF(INDEX($L$200:$L$207,MATCH(LEFT(EL200,FIND("·",EL200)-1),$K$200:$K$207,0))=IFERROR(VALUE(MID(EL200,FIND("·",EL200)+1,1)),0),($D$20+(INDEX($M$200:$M$207,MATCH(LEFT(EL200,FIND("·",EL200)-1),$K$200:$K$207,0))=MID(EL200,FIND("|",EL200)+1,10))*$D$22+MAX(0,IF($D$50=1,$D$21*(1-(ABS(INDEX($P$200:$P$207,MATCH(LEFT(EL200,FIND("·",EL200)-1),$K$200:$K$207,0))-(VALUE(MID(EL200,FIND("|",EL200)+1,FIND("-",EL200,FIND("|",EL200))-FIND("|",EL200)-1))-VALUE(MID(EL200,FIND("-",EL200,FIND("|",EL200))+1,10)))))*$D$50),$D$21*(1-(IF(INDEX($L$200:$L$207,MATCH(LEFT(EL200,FIND("·",EL200)-1),$K$200:$K$207,0))=0,ABS(INDEX($N$200:$N$207,MATCH(LEFT(EL200,FIND("·",EL200)-1),$K$200:$K$207,0))-VALUE(MID(EL200,FIND("|",EL200)+1,FIND("-",EL200,FIND("|",EL200))-FIND("|",EL200)-1))),ABS(INDEX($P$200:$P$207,MATCH(LEFT(EL200,FIND("·",EL200)-1),$K$200:$K$207,0))-(VALUE(MID(EL200,FIND("|",EL200)+1,FIND("-",EL200,FIND("|",EL200))-FIND("|",EL200)-1))-VALUE(MID(EL200,FIND("-",EL200,FIND("|",EL200))+1,10)))))*$D$50)))))*INDEX($I$200:$I$207,MATCH(LEFT(EL200,FIND("·",EL200)-1),$K$200:$K$207,0)),0),0),0)+IFERROR(IF(COUNTIF($C$200:$C$207,LEFT(EL200,FIND("·",EL200)-1))&gt;0,IF(INDEX($D$200:$D$207,MATCH(LEFT(EL200,FIND("·",EL200)-1),$C$200:$C$207,0))=IFERROR(VALUE(MID(EL200,FIND("·",EL200)+1,1)),0),($D$20+(INDEX($E$200:$E$207,MATCH(LEFT(EL200,FIND("·",EL200)-1),$C$200:$C$207,0))=MID(EL200,FIND("|",EL200)+1,10))*$D$22+MAX(0,IF($D$50=1,$D$21*(1-(ABS(INDEX($Q$200:$Q$207,MATCH(LEFT(EL200,FIND("·",EL200)-1),$C$200:$C$207,0))-(VALUE(MID(EL200,FIND("|",EL200)+1,FIND("-",EL200,FIND("|",EL200))-FIND("|",EL200)-1))-VALUE(MID(EL200,FIND("-",EL200,FIND("|",EL200))+1,10)))))*$D$50),$D$21*(1-(IF(INDEX($D$200:$D$207,MATCH(LEFT(EL200,FIND("·",EL200)-1),$C$200:$C$207,0))=0,ABS(INDEX($A$200:$A$207,MATCH(LEFT(EL200,FIND("·",EL200)-1),$C$200:$C$207,0))-VALUE(MID(EL200,FIND("|",EL200)+1,FIND("-",EL200,FIND("|",EL200))-FIND("|",EL200)-1))),ABS(INDEX($Q$200:$Q$207,MATCH(LEFT(EL200,FIND("·",EL200)-1),$C$200:$C$207,0))-(VALUE(MID(EL200,FIND("|",EL200)+1,FIND("-",EL200,FIND("|",EL200))-FIND("|",EL200)-1))-VALUE(MID(EL200,FIND("-",EL200,FIND("|",EL200))+1,10)))))*$D$50)))))*INDEX($I$200:$I$207,MATCH(LEFT(EL200,FIND("·",EL200)-1),$C$200:$C$207,0)),0),0),0)</f>
        <v>0</v>
      </c>
      <c r="EN200" s="110"/>
      <c r="EO200" s="66" t="str">
        <f>Idiomas!$D$368</f>
        <v>Pegar Valores Octavos</v>
      </c>
      <c r="EP200" s="85">
        <f t="shared" ref="EP200" si="991">IFERROR(IF(COUNTIF($K$200:$K$207,LEFT(EO200,FIND("·",EO200)-1))&gt;0,IF(INDEX($L$200:$L$207,MATCH(LEFT(EO200,FIND("·",EO200)-1),$K$200:$K$207,0))=IFERROR(VALUE(MID(EO200,FIND("·",EO200)+1,1)),0),($D$20+(INDEX($M$200:$M$207,MATCH(LEFT(EO200,FIND("·",EO200)-1),$K$200:$K$207,0))=MID(EO200,FIND("|",EO200)+1,10))*$D$22+MAX(0,IF($D$50=1,$D$21*(1-(ABS(INDEX($P$200:$P$207,MATCH(LEFT(EO200,FIND("·",EO200)-1),$K$200:$K$207,0))-(VALUE(MID(EO200,FIND("|",EO200)+1,FIND("-",EO200,FIND("|",EO200))-FIND("|",EO200)-1))-VALUE(MID(EO200,FIND("-",EO200,FIND("|",EO200))+1,10)))))*$D$50),$D$21*(1-(IF(INDEX($L$200:$L$207,MATCH(LEFT(EO200,FIND("·",EO200)-1),$K$200:$K$207,0))=0,ABS(INDEX($N$200:$N$207,MATCH(LEFT(EO200,FIND("·",EO200)-1),$K$200:$K$207,0))-VALUE(MID(EO200,FIND("|",EO200)+1,FIND("-",EO200,FIND("|",EO200))-FIND("|",EO200)-1))),ABS(INDEX($P$200:$P$207,MATCH(LEFT(EO200,FIND("·",EO200)-1),$K$200:$K$207,0))-(VALUE(MID(EO200,FIND("|",EO200)+1,FIND("-",EO200,FIND("|",EO200))-FIND("|",EO200)-1))-VALUE(MID(EO200,FIND("-",EO200,FIND("|",EO200))+1,10)))))*$D$50)))))*INDEX($I$200:$I$207,MATCH(LEFT(EO200,FIND("·",EO200)-1),$K$200:$K$207,0)),0),0),0)+IFERROR(IF(COUNTIF($C$200:$C$207,LEFT(EO200,FIND("·",EO200)-1))&gt;0,IF(INDEX($D$200:$D$207,MATCH(LEFT(EO200,FIND("·",EO200)-1),$C$200:$C$207,0))=IFERROR(VALUE(MID(EO200,FIND("·",EO200)+1,1)),0),($D$20+(INDEX($E$200:$E$207,MATCH(LEFT(EO200,FIND("·",EO200)-1),$C$200:$C$207,0))=MID(EO200,FIND("|",EO200)+1,10))*$D$22+MAX(0,IF($D$50=1,$D$21*(1-(ABS(INDEX($Q$200:$Q$207,MATCH(LEFT(EO200,FIND("·",EO200)-1),$C$200:$C$207,0))-(VALUE(MID(EO200,FIND("|",EO200)+1,FIND("-",EO200,FIND("|",EO200))-FIND("|",EO200)-1))-VALUE(MID(EO200,FIND("-",EO200,FIND("|",EO200))+1,10)))))*$D$50),$D$21*(1-(IF(INDEX($D$200:$D$207,MATCH(LEFT(EO200,FIND("·",EO200)-1),$C$200:$C$207,0))=0,ABS(INDEX($A$200:$A$207,MATCH(LEFT(EO200,FIND("·",EO200)-1),$C$200:$C$207,0))-VALUE(MID(EO200,FIND("|",EO200)+1,FIND("-",EO200,FIND("|",EO200))-FIND("|",EO200)-1))),ABS(INDEX($Q$200:$Q$207,MATCH(LEFT(EO200,FIND("·",EO200)-1),$C$200:$C$207,0))-(VALUE(MID(EO200,FIND("|",EO200)+1,FIND("-",EO200,FIND("|",EO200))-FIND("|",EO200)-1))-VALUE(MID(EO200,FIND("-",EO200,FIND("|",EO200))+1,10)))))*$D$50)))))*INDEX($I$200:$I$207,MATCH(LEFT(EO200,FIND("·",EO200)-1),$C$200:$C$207,0)),0),0),0)</f>
        <v>0</v>
      </c>
      <c r="EQ200" s="110"/>
      <c r="ER200" s="66" t="str">
        <f>Idiomas!$D$368</f>
        <v>Pegar Valores Octavos</v>
      </c>
      <c r="ES200" s="85">
        <f t="shared" ref="ES200" si="992">IFERROR(IF(COUNTIF($K$200:$K$207,LEFT(ER200,FIND("·",ER200)-1))&gt;0,IF(INDEX($L$200:$L$207,MATCH(LEFT(ER200,FIND("·",ER200)-1),$K$200:$K$207,0))=IFERROR(VALUE(MID(ER200,FIND("·",ER200)+1,1)),0),($D$20+(INDEX($M$200:$M$207,MATCH(LEFT(ER200,FIND("·",ER200)-1),$K$200:$K$207,0))=MID(ER200,FIND("|",ER200)+1,10))*$D$22+MAX(0,IF($D$50=1,$D$21*(1-(ABS(INDEX($P$200:$P$207,MATCH(LEFT(ER200,FIND("·",ER200)-1),$K$200:$K$207,0))-(VALUE(MID(ER200,FIND("|",ER200)+1,FIND("-",ER200,FIND("|",ER200))-FIND("|",ER200)-1))-VALUE(MID(ER200,FIND("-",ER200,FIND("|",ER200))+1,10)))))*$D$50),$D$21*(1-(IF(INDEX($L$200:$L$207,MATCH(LEFT(ER200,FIND("·",ER200)-1),$K$200:$K$207,0))=0,ABS(INDEX($N$200:$N$207,MATCH(LEFT(ER200,FIND("·",ER200)-1),$K$200:$K$207,0))-VALUE(MID(ER200,FIND("|",ER200)+1,FIND("-",ER200,FIND("|",ER200))-FIND("|",ER200)-1))),ABS(INDEX($P$200:$P$207,MATCH(LEFT(ER200,FIND("·",ER200)-1),$K$200:$K$207,0))-(VALUE(MID(ER200,FIND("|",ER200)+1,FIND("-",ER200,FIND("|",ER200))-FIND("|",ER200)-1))-VALUE(MID(ER200,FIND("-",ER200,FIND("|",ER200))+1,10)))))*$D$50)))))*INDEX($I$200:$I$207,MATCH(LEFT(ER200,FIND("·",ER200)-1),$K$200:$K$207,0)),0),0),0)+IFERROR(IF(COUNTIF($C$200:$C$207,LEFT(ER200,FIND("·",ER200)-1))&gt;0,IF(INDEX($D$200:$D$207,MATCH(LEFT(ER200,FIND("·",ER200)-1),$C$200:$C$207,0))=IFERROR(VALUE(MID(ER200,FIND("·",ER200)+1,1)),0),($D$20+(INDEX($E$200:$E$207,MATCH(LEFT(ER200,FIND("·",ER200)-1),$C$200:$C$207,0))=MID(ER200,FIND("|",ER200)+1,10))*$D$22+MAX(0,IF($D$50=1,$D$21*(1-(ABS(INDEX($Q$200:$Q$207,MATCH(LEFT(ER200,FIND("·",ER200)-1),$C$200:$C$207,0))-(VALUE(MID(ER200,FIND("|",ER200)+1,FIND("-",ER200,FIND("|",ER200))-FIND("|",ER200)-1))-VALUE(MID(ER200,FIND("-",ER200,FIND("|",ER200))+1,10)))))*$D$50),$D$21*(1-(IF(INDEX($D$200:$D$207,MATCH(LEFT(ER200,FIND("·",ER200)-1),$C$200:$C$207,0))=0,ABS(INDEX($A$200:$A$207,MATCH(LEFT(ER200,FIND("·",ER200)-1),$C$200:$C$207,0))-VALUE(MID(ER200,FIND("|",ER200)+1,FIND("-",ER200,FIND("|",ER200))-FIND("|",ER200)-1))),ABS(INDEX($Q$200:$Q$207,MATCH(LEFT(ER200,FIND("·",ER200)-1),$C$200:$C$207,0))-(VALUE(MID(ER200,FIND("|",ER200)+1,FIND("-",ER200,FIND("|",ER200))-FIND("|",ER200)-1))-VALUE(MID(ER200,FIND("-",ER200,FIND("|",ER200))+1,10)))))*$D$50)))))*INDEX($I$200:$I$207,MATCH(LEFT(ER200,FIND("·",ER200)-1),$C$200:$C$207,0)),0),0),0)</f>
        <v>0</v>
      </c>
      <c r="ET200" s="110"/>
      <c r="EU200" s="66" t="str">
        <f>Idiomas!$D$368</f>
        <v>Pegar Valores Octavos</v>
      </c>
      <c r="EV200" s="85">
        <f t="shared" ref="EV200" si="993">IFERROR(IF(COUNTIF($K$200:$K$207,LEFT(EU200,FIND("·",EU200)-1))&gt;0,IF(INDEX($L$200:$L$207,MATCH(LEFT(EU200,FIND("·",EU200)-1),$K$200:$K$207,0))=IFERROR(VALUE(MID(EU200,FIND("·",EU200)+1,1)),0),($D$20+(INDEX($M$200:$M$207,MATCH(LEFT(EU200,FIND("·",EU200)-1),$K$200:$K$207,0))=MID(EU200,FIND("|",EU200)+1,10))*$D$22+MAX(0,IF($D$50=1,$D$21*(1-(ABS(INDEX($P$200:$P$207,MATCH(LEFT(EU200,FIND("·",EU200)-1),$K$200:$K$207,0))-(VALUE(MID(EU200,FIND("|",EU200)+1,FIND("-",EU200,FIND("|",EU200))-FIND("|",EU200)-1))-VALUE(MID(EU200,FIND("-",EU200,FIND("|",EU200))+1,10)))))*$D$50),$D$21*(1-(IF(INDEX($L$200:$L$207,MATCH(LEFT(EU200,FIND("·",EU200)-1),$K$200:$K$207,0))=0,ABS(INDEX($N$200:$N$207,MATCH(LEFT(EU200,FIND("·",EU200)-1),$K$200:$K$207,0))-VALUE(MID(EU200,FIND("|",EU200)+1,FIND("-",EU200,FIND("|",EU200))-FIND("|",EU200)-1))),ABS(INDEX($P$200:$P$207,MATCH(LEFT(EU200,FIND("·",EU200)-1),$K$200:$K$207,0))-(VALUE(MID(EU200,FIND("|",EU200)+1,FIND("-",EU200,FIND("|",EU200))-FIND("|",EU200)-1))-VALUE(MID(EU200,FIND("-",EU200,FIND("|",EU200))+1,10)))))*$D$50)))))*INDEX($I$200:$I$207,MATCH(LEFT(EU200,FIND("·",EU200)-1),$K$200:$K$207,0)),0),0),0)+IFERROR(IF(COUNTIF($C$200:$C$207,LEFT(EU200,FIND("·",EU200)-1))&gt;0,IF(INDEX($D$200:$D$207,MATCH(LEFT(EU200,FIND("·",EU200)-1),$C$200:$C$207,0))=IFERROR(VALUE(MID(EU200,FIND("·",EU200)+1,1)),0),($D$20+(INDEX($E$200:$E$207,MATCH(LEFT(EU200,FIND("·",EU200)-1),$C$200:$C$207,0))=MID(EU200,FIND("|",EU200)+1,10))*$D$22+MAX(0,IF($D$50=1,$D$21*(1-(ABS(INDEX($Q$200:$Q$207,MATCH(LEFT(EU200,FIND("·",EU200)-1),$C$200:$C$207,0))-(VALUE(MID(EU200,FIND("|",EU200)+1,FIND("-",EU200,FIND("|",EU200))-FIND("|",EU200)-1))-VALUE(MID(EU200,FIND("-",EU200,FIND("|",EU200))+1,10)))))*$D$50),$D$21*(1-(IF(INDEX($D$200:$D$207,MATCH(LEFT(EU200,FIND("·",EU200)-1),$C$200:$C$207,0))=0,ABS(INDEX($A$200:$A$207,MATCH(LEFT(EU200,FIND("·",EU200)-1),$C$200:$C$207,0))-VALUE(MID(EU200,FIND("|",EU200)+1,FIND("-",EU200,FIND("|",EU200))-FIND("|",EU200)-1))),ABS(INDEX($Q$200:$Q$207,MATCH(LEFT(EU200,FIND("·",EU200)-1),$C$200:$C$207,0))-(VALUE(MID(EU200,FIND("|",EU200)+1,FIND("-",EU200,FIND("|",EU200))-FIND("|",EU200)-1))-VALUE(MID(EU200,FIND("-",EU200,FIND("|",EU200))+1,10)))))*$D$50)))))*INDEX($I$200:$I$207,MATCH(LEFT(EU200,FIND("·",EU200)-1),$C$200:$C$207,0)),0),0),0)</f>
        <v>0</v>
      </c>
      <c r="EW200" s="110"/>
      <c r="EX200" s="66" t="str">
        <f>Idiomas!$D$368</f>
        <v>Pegar Valores Octavos</v>
      </c>
      <c r="EY200" s="85">
        <f t="shared" ref="EY200:FK207" si="994">IFERROR(IF(COUNTIF($K$200:$K$207,LEFT(EX200,FIND("·",EX200)-1))&gt;0,IF(INDEX($L$200:$L$207,MATCH(LEFT(EX200,FIND("·",EX200)-1),$K$200:$K$207,0))=IFERROR(VALUE(MID(EX200,FIND("·",EX200)+1,1)),0),($D$20+(INDEX($M$200:$M$207,MATCH(LEFT(EX200,FIND("·",EX200)-1),$K$200:$K$207,0))=MID(EX200,FIND("|",EX200)+1,10))*$D$22+MAX(0,IF($D$50=1,$D$21*(1-(ABS(INDEX($P$200:$P$207,MATCH(LEFT(EX200,FIND("·",EX200)-1),$K$200:$K$207,0))-(VALUE(MID(EX200,FIND("|",EX200)+1,FIND("-",EX200,FIND("|",EX200))-FIND("|",EX200)-1))-VALUE(MID(EX200,FIND("-",EX200,FIND("|",EX200))+1,10)))))*$D$50),$D$21*(1-(IF(INDEX($L$200:$L$207,MATCH(LEFT(EX200,FIND("·",EX200)-1),$K$200:$K$207,0))=0,ABS(INDEX($N$200:$N$207,MATCH(LEFT(EX200,FIND("·",EX200)-1),$K$200:$K$207,0))-VALUE(MID(EX200,FIND("|",EX200)+1,FIND("-",EX200,FIND("|",EX200))-FIND("|",EX200)-1))),ABS(INDEX($P$200:$P$207,MATCH(LEFT(EX200,FIND("·",EX200)-1),$K$200:$K$207,0))-(VALUE(MID(EX200,FIND("|",EX200)+1,FIND("-",EX200,FIND("|",EX200))-FIND("|",EX200)-1))-VALUE(MID(EX200,FIND("-",EX200,FIND("|",EX200))+1,10)))))*$D$50)))))*INDEX($I$200:$I$207,MATCH(LEFT(EX200,FIND("·",EX200)-1),$K$200:$K$207,0)),0),0),0)+IFERROR(IF(COUNTIF($C$200:$C$207,LEFT(EX200,FIND("·",EX200)-1))&gt;0,IF(INDEX($D$200:$D$207,MATCH(LEFT(EX200,FIND("·",EX200)-1),$C$200:$C$207,0))=IFERROR(VALUE(MID(EX200,FIND("·",EX200)+1,1)),0),($D$20+(INDEX($E$200:$E$207,MATCH(LEFT(EX200,FIND("·",EX200)-1),$C$200:$C$207,0))=MID(EX200,FIND("|",EX200)+1,10))*$D$22+MAX(0,IF($D$50=1,$D$21*(1-(ABS(INDEX($Q$200:$Q$207,MATCH(LEFT(EX200,FIND("·",EX200)-1),$C$200:$C$207,0))-(VALUE(MID(EX200,FIND("|",EX200)+1,FIND("-",EX200,FIND("|",EX200))-FIND("|",EX200)-1))-VALUE(MID(EX200,FIND("-",EX200,FIND("|",EX200))+1,10)))))*$D$50),$D$21*(1-(IF(INDEX($D$200:$D$207,MATCH(LEFT(EX200,FIND("·",EX200)-1),$C$200:$C$207,0))=0,ABS(INDEX($A$200:$A$207,MATCH(LEFT(EX200,FIND("·",EX200)-1),$C$200:$C$207,0))-VALUE(MID(EX200,FIND("|",EX200)+1,FIND("-",EX200,FIND("|",EX200))-FIND("|",EX200)-1))),ABS(INDEX($Q$200:$Q$207,MATCH(LEFT(EX200,FIND("·",EX200)-1),$C$200:$C$207,0))-(VALUE(MID(EX200,FIND("|",EX200)+1,FIND("-",EX200,FIND("|",EX200))-FIND("|",EX200)-1))-VALUE(MID(EX200,FIND("-",EX200,FIND("|",EX200))+1,10)))))*$D$50)))))*INDEX($I$200:$I$207,MATCH(LEFT(EX200,FIND("·",EX200)-1),$C$200:$C$207,0)),0),0),0)</f>
        <v>0</v>
      </c>
      <c r="EZ200" s="110"/>
      <c r="FA200" s="66" t="str">
        <f>Idiomas!$D$368</f>
        <v>Pegar Valores Octavos</v>
      </c>
      <c r="FB200" s="85">
        <f t="shared" ref="FB200" si="995">IFERROR(IF(COUNTIF($K$200:$K$207,LEFT(FA200,FIND("·",FA200)-1))&gt;0,IF(INDEX($L$200:$L$207,MATCH(LEFT(FA200,FIND("·",FA200)-1),$K$200:$K$207,0))=IFERROR(VALUE(MID(FA200,FIND("·",FA200)+1,1)),0),($D$20+(INDEX($M$200:$M$207,MATCH(LEFT(FA200,FIND("·",FA200)-1),$K$200:$K$207,0))=MID(FA200,FIND("|",FA200)+1,10))*$D$22+MAX(0,IF($D$50=1,$D$21*(1-(ABS(INDEX($P$200:$P$207,MATCH(LEFT(FA200,FIND("·",FA200)-1),$K$200:$K$207,0))-(VALUE(MID(FA200,FIND("|",FA200)+1,FIND("-",FA200,FIND("|",FA200))-FIND("|",FA200)-1))-VALUE(MID(FA200,FIND("-",FA200,FIND("|",FA200))+1,10)))))*$D$50),$D$21*(1-(IF(INDEX($L$200:$L$207,MATCH(LEFT(FA200,FIND("·",FA200)-1),$K$200:$K$207,0))=0,ABS(INDEX($N$200:$N$207,MATCH(LEFT(FA200,FIND("·",FA200)-1),$K$200:$K$207,0))-VALUE(MID(FA200,FIND("|",FA200)+1,FIND("-",FA200,FIND("|",FA200))-FIND("|",FA200)-1))),ABS(INDEX($P$200:$P$207,MATCH(LEFT(FA200,FIND("·",FA200)-1),$K$200:$K$207,0))-(VALUE(MID(FA200,FIND("|",FA200)+1,FIND("-",FA200,FIND("|",FA200))-FIND("|",FA200)-1))-VALUE(MID(FA200,FIND("-",FA200,FIND("|",FA200))+1,10)))))*$D$50)))))*INDEX($I$200:$I$207,MATCH(LEFT(FA200,FIND("·",FA200)-1),$K$200:$K$207,0)),0),0),0)+IFERROR(IF(COUNTIF($C$200:$C$207,LEFT(FA200,FIND("·",FA200)-1))&gt;0,IF(INDEX($D$200:$D$207,MATCH(LEFT(FA200,FIND("·",FA200)-1),$C$200:$C$207,0))=IFERROR(VALUE(MID(FA200,FIND("·",FA200)+1,1)),0),($D$20+(INDEX($E$200:$E$207,MATCH(LEFT(FA200,FIND("·",FA200)-1),$C$200:$C$207,0))=MID(FA200,FIND("|",FA200)+1,10))*$D$22+MAX(0,IF($D$50=1,$D$21*(1-(ABS(INDEX($Q$200:$Q$207,MATCH(LEFT(FA200,FIND("·",FA200)-1),$C$200:$C$207,0))-(VALUE(MID(FA200,FIND("|",FA200)+1,FIND("-",FA200,FIND("|",FA200))-FIND("|",FA200)-1))-VALUE(MID(FA200,FIND("-",FA200,FIND("|",FA200))+1,10)))))*$D$50),$D$21*(1-(IF(INDEX($D$200:$D$207,MATCH(LEFT(FA200,FIND("·",FA200)-1),$C$200:$C$207,0))=0,ABS(INDEX($A$200:$A$207,MATCH(LEFT(FA200,FIND("·",FA200)-1),$C$200:$C$207,0))-VALUE(MID(FA200,FIND("|",FA200)+1,FIND("-",FA200,FIND("|",FA200))-FIND("|",FA200)-1))),ABS(INDEX($Q$200:$Q$207,MATCH(LEFT(FA200,FIND("·",FA200)-1),$C$200:$C$207,0))-(VALUE(MID(FA200,FIND("|",FA200)+1,FIND("-",FA200,FIND("|",FA200))-FIND("|",FA200)-1))-VALUE(MID(FA200,FIND("-",FA200,FIND("|",FA200))+1,10)))))*$D$50)))))*INDEX($I$200:$I$207,MATCH(LEFT(FA200,FIND("·",FA200)-1),$C$200:$C$207,0)),0),0),0)</f>
        <v>0</v>
      </c>
      <c r="FC200" s="110"/>
      <c r="FD200" s="66" t="str">
        <f>Idiomas!$D$368</f>
        <v>Pegar Valores Octavos</v>
      </c>
      <c r="FE200" s="85">
        <f t="shared" ref="FE200" si="996">IFERROR(IF(COUNTIF($K$200:$K$207,LEFT(FD200,FIND("·",FD200)-1))&gt;0,IF(INDEX($L$200:$L$207,MATCH(LEFT(FD200,FIND("·",FD200)-1),$K$200:$K$207,0))=IFERROR(VALUE(MID(FD200,FIND("·",FD200)+1,1)),0),($D$20+(INDEX($M$200:$M$207,MATCH(LEFT(FD200,FIND("·",FD200)-1),$K$200:$K$207,0))=MID(FD200,FIND("|",FD200)+1,10))*$D$22+MAX(0,IF($D$50=1,$D$21*(1-(ABS(INDEX($P$200:$P$207,MATCH(LEFT(FD200,FIND("·",FD200)-1),$K$200:$K$207,0))-(VALUE(MID(FD200,FIND("|",FD200)+1,FIND("-",FD200,FIND("|",FD200))-FIND("|",FD200)-1))-VALUE(MID(FD200,FIND("-",FD200,FIND("|",FD200))+1,10)))))*$D$50),$D$21*(1-(IF(INDEX($L$200:$L$207,MATCH(LEFT(FD200,FIND("·",FD200)-1),$K$200:$K$207,0))=0,ABS(INDEX($N$200:$N$207,MATCH(LEFT(FD200,FIND("·",FD200)-1),$K$200:$K$207,0))-VALUE(MID(FD200,FIND("|",FD200)+1,FIND("-",FD200,FIND("|",FD200))-FIND("|",FD200)-1))),ABS(INDEX($P$200:$P$207,MATCH(LEFT(FD200,FIND("·",FD200)-1),$K$200:$K$207,0))-(VALUE(MID(FD200,FIND("|",FD200)+1,FIND("-",FD200,FIND("|",FD200))-FIND("|",FD200)-1))-VALUE(MID(FD200,FIND("-",FD200,FIND("|",FD200))+1,10)))))*$D$50)))))*INDEX($I$200:$I$207,MATCH(LEFT(FD200,FIND("·",FD200)-1),$K$200:$K$207,0)),0),0),0)+IFERROR(IF(COUNTIF($C$200:$C$207,LEFT(FD200,FIND("·",FD200)-1))&gt;0,IF(INDEX($D$200:$D$207,MATCH(LEFT(FD200,FIND("·",FD200)-1),$C$200:$C$207,0))=IFERROR(VALUE(MID(FD200,FIND("·",FD200)+1,1)),0),($D$20+(INDEX($E$200:$E$207,MATCH(LEFT(FD200,FIND("·",FD200)-1),$C$200:$C$207,0))=MID(FD200,FIND("|",FD200)+1,10))*$D$22+MAX(0,IF($D$50=1,$D$21*(1-(ABS(INDEX($Q$200:$Q$207,MATCH(LEFT(FD200,FIND("·",FD200)-1),$C$200:$C$207,0))-(VALUE(MID(FD200,FIND("|",FD200)+1,FIND("-",FD200,FIND("|",FD200))-FIND("|",FD200)-1))-VALUE(MID(FD200,FIND("-",FD200,FIND("|",FD200))+1,10)))))*$D$50),$D$21*(1-(IF(INDEX($D$200:$D$207,MATCH(LEFT(FD200,FIND("·",FD200)-1),$C$200:$C$207,0))=0,ABS(INDEX($A$200:$A$207,MATCH(LEFT(FD200,FIND("·",FD200)-1),$C$200:$C$207,0))-VALUE(MID(FD200,FIND("|",FD200)+1,FIND("-",FD200,FIND("|",FD200))-FIND("|",FD200)-1))),ABS(INDEX($Q$200:$Q$207,MATCH(LEFT(FD200,FIND("·",FD200)-1),$C$200:$C$207,0))-(VALUE(MID(FD200,FIND("|",FD200)+1,FIND("-",FD200,FIND("|",FD200))-FIND("|",FD200)-1))-VALUE(MID(FD200,FIND("-",FD200,FIND("|",FD200))+1,10)))))*$D$50)))))*INDEX($I$200:$I$207,MATCH(LEFT(FD200,FIND("·",FD200)-1),$C$200:$C$207,0)),0),0),0)</f>
        <v>0</v>
      </c>
      <c r="FF200" s="110"/>
      <c r="FG200" s="66" t="str">
        <f>Idiomas!$D$368</f>
        <v>Pegar Valores Octavos</v>
      </c>
      <c r="FH200" s="85">
        <f t="shared" ref="FH200" si="997">IFERROR(IF(COUNTIF($K$200:$K$207,LEFT(FG200,FIND("·",FG200)-1))&gt;0,IF(INDEX($L$200:$L$207,MATCH(LEFT(FG200,FIND("·",FG200)-1),$K$200:$K$207,0))=IFERROR(VALUE(MID(FG200,FIND("·",FG200)+1,1)),0),($D$20+(INDEX($M$200:$M$207,MATCH(LEFT(FG200,FIND("·",FG200)-1),$K$200:$K$207,0))=MID(FG200,FIND("|",FG200)+1,10))*$D$22+MAX(0,IF($D$50=1,$D$21*(1-(ABS(INDEX($P$200:$P$207,MATCH(LEFT(FG200,FIND("·",FG200)-1),$K$200:$K$207,0))-(VALUE(MID(FG200,FIND("|",FG200)+1,FIND("-",FG200,FIND("|",FG200))-FIND("|",FG200)-1))-VALUE(MID(FG200,FIND("-",FG200,FIND("|",FG200))+1,10)))))*$D$50),$D$21*(1-(IF(INDEX($L$200:$L$207,MATCH(LEFT(FG200,FIND("·",FG200)-1),$K$200:$K$207,0))=0,ABS(INDEX($N$200:$N$207,MATCH(LEFT(FG200,FIND("·",FG200)-1),$K$200:$K$207,0))-VALUE(MID(FG200,FIND("|",FG200)+1,FIND("-",FG200,FIND("|",FG200))-FIND("|",FG200)-1))),ABS(INDEX($P$200:$P$207,MATCH(LEFT(FG200,FIND("·",FG200)-1),$K$200:$K$207,0))-(VALUE(MID(FG200,FIND("|",FG200)+1,FIND("-",FG200,FIND("|",FG200))-FIND("|",FG200)-1))-VALUE(MID(FG200,FIND("-",FG200,FIND("|",FG200))+1,10)))))*$D$50)))))*INDEX($I$200:$I$207,MATCH(LEFT(FG200,FIND("·",FG200)-1),$K$200:$K$207,0)),0),0),0)+IFERROR(IF(COUNTIF($C$200:$C$207,LEFT(FG200,FIND("·",FG200)-1))&gt;0,IF(INDEX($D$200:$D$207,MATCH(LEFT(FG200,FIND("·",FG200)-1),$C$200:$C$207,0))=IFERROR(VALUE(MID(FG200,FIND("·",FG200)+1,1)),0),($D$20+(INDEX($E$200:$E$207,MATCH(LEFT(FG200,FIND("·",FG200)-1),$C$200:$C$207,0))=MID(FG200,FIND("|",FG200)+1,10))*$D$22+MAX(0,IF($D$50=1,$D$21*(1-(ABS(INDEX($Q$200:$Q$207,MATCH(LEFT(FG200,FIND("·",FG200)-1),$C$200:$C$207,0))-(VALUE(MID(FG200,FIND("|",FG200)+1,FIND("-",FG200,FIND("|",FG200))-FIND("|",FG200)-1))-VALUE(MID(FG200,FIND("-",FG200,FIND("|",FG200))+1,10)))))*$D$50),$D$21*(1-(IF(INDEX($D$200:$D$207,MATCH(LEFT(FG200,FIND("·",FG200)-1),$C$200:$C$207,0))=0,ABS(INDEX($A$200:$A$207,MATCH(LEFT(FG200,FIND("·",FG200)-1),$C$200:$C$207,0))-VALUE(MID(FG200,FIND("|",FG200)+1,FIND("-",FG200,FIND("|",FG200))-FIND("|",FG200)-1))),ABS(INDEX($Q$200:$Q$207,MATCH(LEFT(FG200,FIND("·",FG200)-1),$C$200:$C$207,0))-(VALUE(MID(FG200,FIND("|",FG200)+1,FIND("-",FG200,FIND("|",FG200))-FIND("|",FG200)-1))-VALUE(MID(FG200,FIND("-",FG200,FIND("|",FG200))+1,10)))))*$D$50)))))*INDEX($I$200:$I$207,MATCH(LEFT(FG200,FIND("·",FG200)-1),$C$200:$C$207,0)),0),0),0)</f>
        <v>0</v>
      </c>
      <c r="FI200" s="110"/>
      <c r="FJ200" s="66" t="str">
        <f>Idiomas!$D$368</f>
        <v>Pegar Valores Octavos</v>
      </c>
      <c r="FK200" s="85">
        <f t="shared" ref="FK200" si="998">IFERROR(IF(COUNTIF($K$200:$K$207,LEFT(FJ200,FIND("·",FJ200)-1))&gt;0,IF(INDEX($L$200:$L$207,MATCH(LEFT(FJ200,FIND("·",FJ200)-1),$K$200:$K$207,0))=IFERROR(VALUE(MID(FJ200,FIND("·",FJ200)+1,1)),0),($D$20+(INDEX($M$200:$M$207,MATCH(LEFT(FJ200,FIND("·",FJ200)-1),$K$200:$K$207,0))=MID(FJ200,FIND("|",FJ200)+1,10))*$D$22+MAX(0,IF($D$50=1,$D$21*(1-(ABS(INDEX($P$200:$P$207,MATCH(LEFT(FJ200,FIND("·",FJ200)-1),$K$200:$K$207,0))-(VALUE(MID(FJ200,FIND("|",FJ200)+1,FIND("-",FJ200,FIND("|",FJ200))-FIND("|",FJ200)-1))-VALUE(MID(FJ200,FIND("-",FJ200,FIND("|",FJ200))+1,10)))))*$D$50),$D$21*(1-(IF(INDEX($L$200:$L$207,MATCH(LEFT(FJ200,FIND("·",FJ200)-1),$K$200:$K$207,0))=0,ABS(INDEX($N$200:$N$207,MATCH(LEFT(FJ200,FIND("·",FJ200)-1),$K$200:$K$207,0))-VALUE(MID(FJ200,FIND("|",FJ200)+1,FIND("-",FJ200,FIND("|",FJ200))-FIND("|",FJ200)-1))),ABS(INDEX($P$200:$P$207,MATCH(LEFT(FJ200,FIND("·",FJ200)-1),$K$200:$K$207,0))-(VALUE(MID(FJ200,FIND("|",FJ200)+1,FIND("-",FJ200,FIND("|",FJ200))-FIND("|",FJ200)-1))-VALUE(MID(FJ200,FIND("-",FJ200,FIND("|",FJ200))+1,10)))))*$D$50)))))*INDEX($I$200:$I$207,MATCH(LEFT(FJ200,FIND("·",FJ200)-1),$K$200:$K$207,0)),0),0),0)+IFERROR(IF(COUNTIF($C$200:$C$207,LEFT(FJ200,FIND("·",FJ200)-1))&gt;0,IF(INDEX($D$200:$D$207,MATCH(LEFT(FJ200,FIND("·",FJ200)-1),$C$200:$C$207,0))=IFERROR(VALUE(MID(FJ200,FIND("·",FJ200)+1,1)),0),($D$20+(INDEX($E$200:$E$207,MATCH(LEFT(FJ200,FIND("·",FJ200)-1),$C$200:$C$207,0))=MID(FJ200,FIND("|",FJ200)+1,10))*$D$22+MAX(0,IF($D$50=1,$D$21*(1-(ABS(INDEX($Q$200:$Q$207,MATCH(LEFT(FJ200,FIND("·",FJ200)-1),$C$200:$C$207,0))-(VALUE(MID(FJ200,FIND("|",FJ200)+1,FIND("-",FJ200,FIND("|",FJ200))-FIND("|",FJ200)-1))-VALUE(MID(FJ200,FIND("-",FJ200,FIND("|",FJ200))+1,10)))))*$D$50),$D$21*(1-(IF(INDEX($D$200:$D$207,MATCH(LEFT(FJ200,FIND("·",FJ200)-1),$C$200:$C$207,0))=0,ABS(INDEX($A$200:$A$207,MATCH(LEFT(FJ200,FIND("·",FJ200)-1),$C$200:$C$207,0))-VALUE(MID(FJ200,FIND("|",FJ200)+1,FIND("-",FJ200,FIND("|",FJ200))-FIND("|",FJ200)-1))),ABS(INDEX($Q$200:$Q$207,MATCH(LEFT(FJ200,FIND("·",FJ200)-1),$C$200:$C$207,0))-(VALUE(MID(FJ200,FIND("|",FJ200)+1,FIND("-",FJ200,FIND("|",FJ200))-FIND("|",FJ200)-1))-VALUE(MID(FJ200,FIND("-",FJ200,FIND("|",FJ200))+1,10)))))*$D$50)))))*INDEX($I$200:$I$207,MATCH(LEFT(FJ200,FIND("·",FJ200)-1),$C$200:$C$207,0)),0),0),0)</f>
        <v>0</v>
      </c>
      <c r="FL200" s="110"/>
      <c r="FM200" s="110"/>
    </row>
    <row r="201" spans="1:169">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07">
        <f t="shared" ref="F201:F207" si="999">SUM($D$20:$D$22)*I201</f>
        <v>4</v>
      </c>
      <c r="G201" s="407">
        <f ca="1">VLOOKUP(H201,Equipos!$Q$1:$R$25,2,0)</f>
        <v>21</v>
      </c>
      <c r="H201" s="65" t="str">
        <f>Idiomas!$D$261</f>
        <v>Octavos de final</v>
      </c>
      <c r="I201" s="43">
        <v>1</v>
      </c>
      <c r="J201" s="849"/>
      <c r="K201" s="56" t="str">
        <f>CONCATENATE(WORLDCUP!AA121,"-",WORLDCUP!AF121)</f>
        <v>W74-W77</v>
      </c>
      <c r="L201" s="53" t="str">
        <f>IF(OR(WORLDCUP!AC121="",WORLDCUP!AD121=""),"PD",IF(WORLDCUP!AC121&gt;WORLDCUP!AD121,1,IF(WORLDCUP!AC121&lt;WORLDCUP!AD121,2,0)))</f>
        <v>PD</v>
      </c>
      <c r="M201" s="55" t="str">
        <f t="shared" si="947"/>
        <v>-</v>
      </c>
      <c r="N201" s="25">
        <f>WORLDCUP!AC121</f>
        <v>0</v>
      </c>
      <c r="O201" s="25">
        <f>WORLDCUP!AD121</f>
        <v>0</v>
      </c>
      <c r="P201" s="25">
        <f t="shared" si="948"/>
        <v>0</v>
      </c>
      <c r="Q201" s="25">
        <f t="shared" si="949"/>
        <v>0</v>
      </c>
      <c r="R201" s="110"/>
      <c r="S201" s="74" t="s">
        <v>1981</v>
      </c>
      <c r="T201" s="73">
        <f t="shared" ref="T201:T207" si="100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0"/>
      <c r="V201" s="80" t="s">
        <v>2020</v>
      </c>
      <c r="W201" s="73">
        <f t="shared" si="950"/>
        <v>0</v>
      </c>
      <c r="X201" s="110"/>
      <c r="Y201" s="80" t="s">
        <v>2056</v>
      </c>
      <c r="Z201" s="73">
        <f t="shared" si="950"/>
        <v>0</v>
      </c>
      <c r="AA201" s="110"/>
      <c r="AB201" s="80" t="s">
        <v>2056</v>
      </c>
      <c r="AC201" s="73">
        <f t="shared" si="950"/>
        <v>0</v>
      </c>
      <c r="AD201" s="110"/>
      <c r="AE201" s="80" t="s">
        <v>2111</v>
      </c>
      <c r="AF201" s="73">
        <f t="shared" si="950"/>
        <v>0</v>
      </c>
      <c r="AG201" s="110"/>
      <c r="AH201" s="80" t="s">
        <v>1981</v>
      </c>
      <c r="AI201" s="73">
        <f t="shared" si="950"/>
        <v>0</v>
      </c>
      <c r="AJ201" s="110"/>
      <c r="AK201" s="80" t="s">
        <v>2056</v>
      </c>
      <c r="AL201" s="73">
        <f t="shared" si="950"/>
        <v>0</v>
      </c>
      <c r="AM201" s="110"/>
      <c r="AN201" s="80" t="s">
        <v>2199</v>
      </c>
      <c r="AO201" s="73">
        <f t="shared" si="950"/>
        <v>0</v>
      </c>
      <c r="AP201" s="110"/>
      <c r="AQ201" s="80" t="s">
        <v>1981</v>
      </c>
      <c r="AR201" s="73">
        <f t="shared" si="950"/>
        <v>0</v>
      </c>
      <c r="AS201" s="110"/>
      <c r="AT201" s="80" t="s">
        <v>2199</v>
      </c>
      <c r="AU201" s="73">
        <f t="shared" si="950"/>
        <v>0</v>
      </c>
      <c r="AV201" s="110"/>
      <c r="AW201" s="80" t="s">
        <v>2199</v>
      </c>
      <c r="AX201" s="73">
        <f t="shared" si="950"/>
        <v>0</v>
      </c>
      <c r="AY201" s="110"/>
      <c r="AZ201" s="80" t="s">
        <v>2056</v>
      </c>
      <c r="BA201" s="73">
        <f t="shared" si="950"/>
        <v>0</v>
      </c>
      <c r="BB201" s="110"/>
      <c r="BC201" s="80" t="s">
        <v>2326</v>
      </c>
      <c r="BD201" s="73">
        <f t="shared" si="950"/>
        <v>0</v>
      </c>
      <c r="BE201" s="110"/>
      <c r="BF201" s="80" t="s">
        <v>2056</v>
      </c>
      <c r="BG201" s="73">
        <f t="shared" si="950"/>
        <v>0</v>
      </c>
      <c r="BH201" s="110"/>
      <c r="BI201" s="80" t="s">
        <v>2368</v>
      </c>
      <c r="BJ201" s="73">
        <f t="shared" si="950"/>
        <v>0</v>
      </c>
      <c r="BK201" s="110"/>
      <c r="BL201" s="80" t="s">
        <v>2056</v>
      </c>
      <c r="BM201" s="73">
        <f t="shared" si="950"/>
        <v>0</v>
      </c>
      <c r="BN201" s="110"/>
      <c r="BO201" s="80" t="s">
        <v>2326</v>
      </c>
      <c r="BP201" s="73">
        <f t="shared" si="950"/>
        <v>0</v>
      </c>
      <c r="BQ201" s="110"/>
      <c r="BR201" s="80" t="s">
        <v>2414</v>
      </c>
      <c r="BS201" s="73">
        <f t="shared" si="950"/>
        <v>0</v>
      </c>
      <c r="BT201" s="110"/>
      <c r="BU201" s="80" t="s">
        <v>2056</v>
      </c>
      <c r="BV201" s="73">
        <f t="shared" si="950"/>
        <v>0</v>
      </c>
      <c r="BW201" s="110"/>
      <c r="BX201" s="80" t="s">
        <v>2056</v>
      </c>
      <c r="BY201" s="73">
        <f t="shared" si="950"/>
        <v>0</v>
      </c>
      <c r="BZ201" s="110"/>
      <c r="CA201" s="80" t="s">
        <v>2470</v>
      </c>
      <c r="CB201" s="73">
        <f t="shared" si="950"/>
        <v>0</v>
      </c>
      <c r="CC201" s="110"/>
      <c r="CD201" s="80" t="s">
        <v>2056</v>
      </c>
      <c r="CE201" s="73">
        <f t="shared" si="950"/>
        <v>0</v>
      </c>
      <c r="CF201" s="110"/>
      <c r="CG201" s="80" t="s">
        <v>1981</v>
      </c>
      <c r="CH201" s="73">
        <f t="shared" si="950"/>
        <v>0</v>
      </c>
      <c r="CI201" s="110"/>
      <c r="CJ201" s="80" t="s">
        <v>2056</v>
      </c>
      <c r="CK201" s="73">
        <f t="shared" si="972"/>
        <v>0</v>
      </c>
      <c r="CL201" s="110"/>
      <c r="CM201" s="80" t="s">
        <v>1981</v>
      </c>
      <c r="CN201" s="73">
        <f t="shared" si="972"/>
        <v>0</v>
      </c>
      <c r="CO201" s="110"/>
      <c r="CP201" s="80" t="s">
        <v>2559</v>
      </c>
      <c r="CQ201" s="73">
        <f t="shared" si="972"/>
        <v>0</v>
      </c>
      <c r="CR201" s="110"/>
      <c r="CS201" s="80" t="s">
        <v>2056</v>
      </c>
      <c r="CT201" s="73">
        <f t="shared" si="972"/>
        <v>0</v>
      </c>
      <c r="CU201" s="110"/>
      <c r="CV201" s="80" t="s">
        <v>2056</v>
      </c>
      <c r="CW201" s="73">
        <f t="shared" si="972"/>
        <v>0</v>
      </c>
      <c r="CX201" s="110"/>
      <c r="CY201" s="80" t="s">
        <v>2599</v>
      </c>
      <c r="CZ201" s="73">
        <f t="shared" si="972"/>
        <v>0</v>
      </c>
      <c r="DA201" s="110"/>
      <c r="DB201" s="80" t="s">
        <v>2056</v>
      </c>
      <c r="DC201" s="73">
        <f t="shared" si="972"/>
        <v>0</v>
      </c>
      <c r="DD201" s="110"/>
      <c r="DE201" s="80" t="s">
        <v>2628</v>
      </c>
      <c r="DF201" s="73">
        <f t="shared" si="972"/>
        <v>0</v>
      </c>
      <c r="DG201" s="110"/>
      <c r="DH201" s="80" t="s">
        <v>1981</v>
      </c>
      <c r="DI201" s="73">
        <f t="shared" si="972"/>
        <v>0</v>
      </c>
      <c r="DJ201" s="110"/>
      <c r="DK201" s="80" t="s">
        <v>2199</v>
      </c>
      <c r="DL201" s="73">
        <f t="shared" si="972"/>
        <v>0</v>
      </c>
      <c r="DM201" s="110"/>
      <c r="DN201" s="797" t="s">
        <v>2020</v>
      </c>
      <c r="DO201" s="73">
        <f t="shared" si="972"/>
        <v>0</v>
      </c>
      <c r="DP201" s="110"/>
      <c r="DQ201" s="797" t="s">
        <v>2695</v>
      </c>
      <c r="DR201" s="73">
        <f t="shared" si="972"/>
        <v>0</v>
      </c>
      <c r="DS201" s="110"/>
      <c r="DT201" s="80" t="s">
        <v>2628</v>
      </c>
      <c r="DU201" s="73">
        <f t="shared" si="972"/>
        <v>0</v>
      </c>
      <c r="DV201" s="110"/>
      <c r="DW201" s="80" t="s">
        <v>2199</v>
      </c>
      <c r="DX201" s="73">
        <f t="shared" si="972"/>
        <v>0</v>
      </c>
      <c r="DY201" s="110"/>
      <c r="DZ201" s="80" t="s">
        <v>2628</v>
      </c>
      <c r="EA201" s="73">
        <f t="shared" si="972"/>
        <v>0</v>
      </c>
      <c r="EB201" s="110"/>
      <c r="EC201" s="80" t="s">
        <v>2628</v>
      </c>
      <c r="ED201" s="73">
        <f t="shared" si="972"/>
        <v>0</v>
      </c>
      <c r="EE201" s="110"/>
      <c r="EF201" s="80" t="s">
        <v>2783</v>
      </c>
      <c r="EG201" s="73">
        <f t="shared" si="972"/>
        <v>0</v>
      </c>
      <c r="EH201" s="110"/>
      <c r="EI201" s="80" t="s">
        <v>2056</v>
      </c>
      <c r="EJ201" s="73">
        <f t="shared" si="972"/>
        <v>0</v>
      </c>
      <c r="EK201" s="110"/>
      <c r="EL201" s="80"/>
      <c r="EM201" s="73">
        <f t="shared" si="972"/>
        <v>0</v>
      </c>
      <c r="EN201" s="110"/>
      <c r="EO201" s="80"/>
      <c r="EP201" s="73">
        <f t="shared" si="972"/>
        <v>0</v>
      </c>
      <c r="EQ201" s="110"/>
      <c r="ER201" s="80"/>
      <c r="ES201" s="73">
        <f t="shared" si="972"/>
        <v>0</v>
      </c>
      <c r="ET201" s="110"/>
      <c r="EU201" s="80"/>
      <c r="EV201" s="73">
        <f t="shared" si="972"/>
        <v>0</v>
      </c>
      <c r="EW201" s="110"/>
      <c r="EX201" s="80"/>
      <c r="EY201" s="73">
        <f t="shared" si="994"/>
        <v>0</v>
      </c>
      <c r="EZ201" s="110"/>
      <c r="FA201" s="80"/>
      <c r="FB201" s="73">
        <f t="shared" si="994"/>
        <v>0</v>
      </c>
      <c r="FC201" s="110"/>
      <c r="FD201" s="80"/>
      <c r="FE201" s="73">
        <f t="shared" si="994"/>
        <v>0</v>
      </c>
      <c r="FF201" s="110"/>
      <c r="FG201" s="80"/>
      <c r="FH201" s="73">
        <f t="shared" si="994"/>
        <v>0</v>
      </c>
      <c r="FI201" s="110"/>
      <c r="FJ201" s="80"/>
      <c r="FK201" s="73">
        <f t="shared" si="994"/>
        <v>0</v>
      </c>
      <c r="FL201" s="110"/>
      <c r="FM201" s="110"/>
    </row>
    <row r="202" spans="1:169">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07">
        <f t="shared" si="999"/>
        <v>4</v>
      </c>
      <c r="G202" s="407">
        <f ca="1">VLOOKUP(H202,Equipos!$Q$1:$R$25,2,0)</f>
        <v>21</v>
      </c>
      <c r="H202" s="65" t="str">
        <f>Idiomas!$D$261</f>
        <v>Octavos de final</v>
      </c>
      <c r="I202" s="43">
        <v>1</v>
      </c>
      <c r="J202" s="849"/>
      <c r="K202" s="56" t="str">
        <f>CONCATENATE(WORLDCUP!AA122,"-",WORLDCUP!AF122)</f>
        <v>W76-W78</v>
      </c>
      <c r="L202" s="53" t="str">
        <f>IF(OR(WORLDCUP!AC122="",WORLDCUP!AD122=""),"PD",IF(WORLDCUP!AC122&gt;WORLDCUP!AD122,1,IF(WORLDCUP!AC122&lt;WORLDCUP!AD122,2,0)))</f>
        <v>PD</v>
      </c>
      <c r="M202" s="55" t="str">
        <f t="shared" si="947"/>
        <v>-</v>
      </c>
      <c r="N202" s="25">
        <f>WORLDCUP!AC122</f>
        <v>0</v>
      </c>
      <c r="O202" s="25">
        <f>WORLDCUP!AD122</f>
        <v>0</v>
      </c>
      <c r="P202" s="25">
        <f t="shared" si="948"/>
        <v>0</v>
      </c>
      <c r="Q202" s="25">
        <f t="shared" si="949"/>
        <v>0</v>
      </c>
      <c r="R202" s="110"/>
      <c r="S202" s="74" t="s">
        <v>1982</v>
      </c>
      <c r="T202" s="73">
        <f t="shared" si="1000"/>
        <v>0</v>
      </c>
      <c r="U202" s="110"/>
      <c r="V202" s="74" t="s">
        <v>2021</v>
      </c>
      <c r="W202" s="73">
        <f t="shared" si="950"/>
        <v>0</v>
      </c>
      <c r="X202" s="110"/>
      <c r="Y202" s="80" t="s">
        <v>2057</v>
      </c>
      <c r="Z202" s="73">
        <f t="shared" si="950"/>
        <v>0</v>
      </c>
      <c r="AA202" s="110"/>
      <c r="AB202" s="80" t="s">
        <v>2057</v>
      </c>
      <c r="AC202" s="73">
        <f t="shared" si="950"/>
        <v>0</v>
      </c>
      <c r="AD202" s="110"/>
      <c r="AE202" s="80" t="s">
        <v>2112</v>
      </c>
      <c r="AF202" s="73">
        <f t="shared" si="950"/>
        <v>0</v>
      </c>
      <c r="AG202" s="110"/>
      <c r="AH202" s="80" t="s">
        <v>2142</v>
      </c>
      <c r="AI202" s="73">
        <f t="shared" si="950"/>
        <v>0</v>
      </c>
      <c r="AJ202" s="110"/>
      <c r="AK202" s="80" t="s">
        <v>2168</v>
      </c>
      <c r="AL202" s="73">
        <f t="shared" si="950"/>
        <v>0</v>
      </c>
      <c r="AM202" s="110"/>
      <c r="AN202" s="80" t="s">
        <v>2200</v>
      </c>
      <c r="AO202" s="73">
        <f t="shared" si="950"/>
        <v>0</v>
      </c>
      <c r="AP202" s="110"/>
      <c r="AQ202" s="80" t="s">
        <v>1982</v>
      </c>
      <c r="AR202" s="73">
        <f t="shared" si="950"/>
        <v>0</v>
      </c>
      <c r="AS202" s="110"/>
      <c r="AT202" s="80" t="s">
        <v>2251</v>
      </c>
      <c r="AU202" s="73">
        <f t="shared" si="950"/>
        <v>0</v>
      </c>
      <c r="AV202" s="110"/>
      <c r="AW202" s="80" t="s">
        <v>2276</v>
      </c>
      <c r="AX202" s="73">
        <f t="shared" si="950"/>
        <v>0</v>
      </c>
      <c r="AY202" s="110"/>
      <c r="AZ202" s="80" t="s">
        <v>1982</v>
      </c>
      <c r="BA202" s="73">
        <f t="shared" si="950"/>
        <v>0</v>
      </c>
      <c r="BB202" s="110"/>
      <c r="BC202" s="80" t="s">
        <v>2327</v>
      </c>
      <c r="BD202" s="73">
        <f t="shared" si="950"/>
        <v>0</v>
      </c>
      <c r="BE202" s="110"/>
      <c r="BF202" s="80" t="s">
        <v>2057</v>
      </c>
      <c r="BG202" s="73">
        <f t="shared" si="950"/>
        <v>0</v>
      </c>
      <c r="BH202" s="110"/>
      <c r="BI202" s="80" t="s">
        <v>2369</v>
      </c>
      <c r="BJ202" s="73">
        <f t="shared" si="950"/>
        <v>0</v>
      </c>
      <c r="BK202" s="110"/>
      <c r="BL202" s="80" t="s">
        <v>2389</v>
      </c>
      <c r="BM202" s="73">
        <f t="shared" si="950"/>
        <v>0</v>
      </c>
      <c r="BN202" s="110"/>
      <c r="BO202" s="80" t="s">
        <v>2403</v>
      </c>
      <c r="BP202" s="73">
        <f t="shared" si="950"/>
        <v>0</v>
      </c>
      <c r="BQ202" s="110"/>
      <c r="BR202" s="80" t="s">
        <v>2251</v>
      </c>
      <c r="BS202" s="73">
        <f t="shared" si="950"/>
        <v>0</v>
      </c>
      <c r="BT202" s="110"/>
      <c r="BU202" s="80" t="s">
        <v>2433</v>
      </c>
      <c r="BV202" s="73">
        <f t="shared" si="950"/>
        <v>0</v>
      </c>
      <c r="BW202" s="110"/>
      <c r="BX202" s="80" t="s">
        <v>2389</v>
      </c>
      <c r="BY202" s="73">
        <f t="shared" si="950"/>
        <v>0</v>
      </c>
      <c r="BZ202" s="110"/>
      <c r="CA202" s="80" t="s">
        <v>2471</v>
      </c>
      <c r="CB202" s="73">
        <f t="shared" si="950"/>
        <v>0</v>
      </c>
      <c r="CC202" s="110"/>
      <c r="CD202" s="80" t="s">
        <v>2200</v>
      </c>
      <c r="CE202" s="73">
        <f t="shared" si="950"/>
        <v>0</v>
      </c>
      <c r="CF202" s="110"/>
      <c r="CG202" s="80" t="s">
        <v>2511</v>
      </c>
      <c r="CH202" s="73">
        <f t="shared" si="950"/>
        <v>0</v>
      </c>
      <c r="CI202" s="110"/>
      <c r="CJ202" s="80" t="s">
        <v>2530</v>
      </c>
      <c r="CK202" s="73">
        <f t="shared" si="972"/>
        <v>0</v>
      </c>
      <c r="CL202" s="110"/>
      <c r="CM202" s="80" t="s">
        <v>2200</v>
      </c>
      <c r="CN202" s="73">
        <f t="shared" si="972"/>
        <v>0</v>
      </c>
      <c r="CO202" s="110"/>
      <c r="CP202" s="80" t="s">
        <v>2112</v>
      </c>
      <c r="CQ202" s="73">
        <f t="shared" si="972"/>
        <v>0</v>
      </c>
      <c r="CR202" s="110"/>
      <c r="CS202" s="80" t="s">
        <v>2403</v>
      </c>
      <c r="CT202" s="73">
        <f t="shared" si="972"/>
        <v>0</v>
      </c>
      <c r="CU202" s="110"/>
      <c r="CV202" s="80" t="s">
        <v>2112</v>
      </c>
      <c r="CW202" s="73">
        <f t="shared" si="972"/>
        <v>0</v>
      </c>
      <c r="CX202" s="110"/>
      <c r="CY202" s="80" t="s">
        <v>2600</v>
      </c>
      <c r="CZ202" s="73">
        <f t="shared" si="972"/>
        <v>0</v>
      </c>
      <c r="DA202" s="110"/>
      <c r="DB202" s="80" t="s">
        <v>2615</v>
      </c>
      <c r="DC202" s="73">
        <f t="shared" si="972"/>
        <v>0</v>
      </c>
      <c r="DD202" s="110"/>
      <c r="DE202" s="80" t="s">
        <v>2251</v>
      </c>
      <c r="DF202" s="73">
        <f t="shared" si="972"/>
        <v>0</v>
      </c>
      <c r="DG202" s="110"/>
      <c r="DH202" s="80" t="s">
        <v>2646</v>
      </c>
      <c r="DI202" s="73">
        <f t="shared" si="972"/>
        <v>0</v>
      </c>
      <c r="DJ202" s="110"/>
      <c r="DK202" s="80" t="s">
        <v>2663</v>
      </c>
      <c r="DL202" s="73">
        <f t="shared" si="972"/>
        <v>0</v>
      </c>
      <c r="DM202" s="110"/>
      <c r="DN202" s="797" t="s">
        <v>2530</v>
      </c>
      <c r="DO202" s="73">
        <f t="shared" si="972"/>
        <v>0</v>
      </c>
      <c r="DP202" s="110"/>
      <c r="DQ202" s="797" t="s">
        <v>2696</v>
      </c>
      <c r="DR202" s="73">
        <f t="shared" si="972"/>
        <v>0</v>
      </c>
      <c r="DS202" s="110"/>
      <c r="DT202" s="80" t="s">
        <v>2722</v>
      </c>
      <c r="DU202" s="73">
        <f t="shared" si="972"/>
        <v>0</v>
      </c>
      <c r="DV202" s="110"/>
      <c r="DW202" s="80" t="s">
        <v>2740</v>
      </c>
      <c r="DX202" s="73">
        <f t="shared" si="972"/>
        <v>0</v>
      </c>
      <c r="DY202" s="110"/>
      <c r="DZ202" s="80" t="s">
        <v>2530</v>
      </c>
      <c r="EA202" s="73">
        <f t="shared" si="972"/>
        <v>0</v>
      </c>
      <c r="EB202" s="110"/>
      <c r="EC202" s="80" t="s">
        <v>2168</v>
      </c>
      <c r="ED202" s="73">
        <f t="shared" si="972"/>
        <v>0</v>
      </c>
      <c r="EE202" s="110"/>
      <c r="EF202" s="80" t="s">
        <v>2784</v>
      </c>
      <c r="EG202" s="73">
        <f t="shared" si="972"/>
        <v>0</v>
      </c>
      <c r="EH202" s="110"/>
      <c r="EI202" s="80" t="s">
        <v>2798</v>
      </c>
      <c r="EJ202" s="73">
        <f t="shared" si="972"/>
        <v>0</v>
      </c>
      <c r="EK202" s="110"/>
      <c r="EL202" s="80"/>
      <c r="EM202" s="73">
        <f t="shared" si="972"/>
        <v>0</v>
      </c>
      <c r="EN202" s="110"/>
      <c r="EO202" s="80"/>
      <c r="EP202" s="73">
        <f t="shared" si="972"/>
        <v>0</v>
      </c>
      <c r="EQ202" s="110"/>
      <c r="ER202" s="80"/>
      <c r="ES202" s="73">
        <f t="shared" si="972"/>
        <v>0</v>
      </c>
      <c r="ET202" s="110"/>
      <c r="EU202" s="80"/>
      <c r="EV202" s="73">
        <f t="shared" si="972"/>
        <v>0</v>
      </c>
      <c r="EW202" s="110"/>
      <c r="EX202" s="80"/>
      <c r="EY202" s="73">
        <f t="shared" si="994"/>
        <v>0</v>
      </c>
      <c r="EZ202" s="110"/>
      <c r="FA202" s="80"/>
      <c r="FB202" s="73">
        <f t="shared" si="994"/>
        <v>0</v>
      </c>
      <c r="FC202" s="110"/>
      <c r="FD202" s="80"/>
      <c r="FE202" s="73">
        <f t="shared" si="994"/>
        <v>0</v>
      </c>
      <c r="FF202" s="110"/>
      <c r="FG202" s="80"/>
      <c r="FH202" s="73">
        <f t="shared" si="994"/>
        <v>0</v>
      </c>
      <c r="FI202" s="110"/>
      <c r="FJ202" s="80"/>
      <c r="FK202" s="73">
        <f t="shared" si="994"/>
        <v>0</v>
      </c>
      <c r="FL202" s="110"/>
      <c r="FM202" s="110"/>
    </row>
    <row r="203" spans="1:169">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07">
        <f t="shared" si="999"/>
        <v>4</v>
      </c>
      <c r="G203" s="407">
        <f ca="1">VLOOKUP(H203,Equipos!$Q$1:$R$25,2,0)</f>
        <v>21</v>
      </c>
      <c r="H203" s="65" t="str">
        <f>Idiomas!$D$261</f>
        <v>Octavos de final</v>
      </c>
      <c r="I203" s="43">
        <v>1</v>
      </c>
      <c r="J203" s="849"/>
      <c r="K203" s="56" t="str">
        <f>CONCATENATE(WORLDCUP!AA123,"-",WORLDCUP!AF123)</f>
        <v>W79-W80</v>
      </c>
      <c r="L203" s="53" t="str">
        <f>IF(OR(WORLDCUP!AC123="",WORLDCUP!AD123=""),"PD",IF(WORLDCUP!AC123&gt;WORLDCUP!AD123,1,IF(WORLDCUP!AC123&lt;WORLDCUP!AD123,2,0)))</f>
        <v>PD</v>
      </c>
      <c r="M203" s="55" t="str">
        <f t="shared" si="947"/>
        <v>-</v>
      </c>
      <c r="N203" s="25">
        <f>WORLDCUP!AC123</f>
        <v>0</v>
      </c>
      <c r="O203" s="25">
        <f>WORLDCUP!AD123</f>
        <v>0</v>
      </c>
      <c r="P203" s="25">
        <f t="shared" si="948"/>
        <v>0</v>
      </c>
      <c r="Q203" s="25">
        <f t="shared" si="949"/>
        <v>0</v>
      </c>
      <c r="R203" s="110"/>
      <c r="S203" s="74" t="s">
        <v>1983</v>
      </c>
      <c r="T203" s="73">
        <f t="shared" si="1000"/>
        <v>0</v>
      </c>
      <c r="U203" s="110"/>
      <c r="V203" s="74" t="s">
        <v>2022</v>
      </c>
      <c r="W203" s="73">
        <f t="shared" si="950"/>
        <v>0</v>
      </c>
      <c r="X203" s="110"/>
      <c r="Y203" s="80" t="s">
        <v>2058</v>
      </c>
      <c r="Z203" s="73">
        <f t="shared" si="950"/>
        <v>0</v>
      </c>
      <c r="AA203" s="110"/>
      <c r="AB203" s="80" t="s">
        <v>2084</v>
      </c>
      <c r="AC203" s="73">
        <f t="shared" si="950"/>
        <v>0</v>
      </c>
      <c r="AD203" s="110"/>
      <c r="AE203" s="80" t="s">
        <v>2058</v>
      </c>
      <c r="AF203" s="73">
        <f t="shared" si="950"/>
        <v>0</v>
      </c>
      <c r="AG203" s="110"/>
      <c r="AH203" s="80" t="s">
        <v>2143</v>
      </c>
      <c r="AI203" s="73">
        <f t="shared" si="950"/>
        <v>0</v>
      </c>
      <c r="AJ203" s="110"/>
      <c r="AK203" s="80" t="s">
        <v>2169</v>
      </c>
      <c r="AL203" s="73">
        <f t="shared" si="950"/>
        <v>0</v>
      </c>
      <c r="AM203" s="110"/>
      <c r="AN203" s="80" t="s">
        <v>2201</v>
      </c>
      <c r="AO203" s="73">
        <f t="shared" si="950"/>
        <v>0</v>
      </c>
      <c r="AP203" s="110"/>
      <c r="AQ203" s="80" t="s">
        <v>2231</v>
      </c>
      <c r="AR203" s="73">
        <f t="shared" si="950"/>
        <v>0</v>
      </c>
      <c r="AS203" s="110"/>
      <c r="AT203" s="80" t="s">
        <v>2252</v>
      </c>
      <c r="AU203" s="73">
        <f t="shared" si="950"/>
        <v>0</v>
      </c>
      <c r="AV203" s="110"/>
      <c r="AW203" s="80" t="s">
        <v>2277</v>
      </c>
      <c r="AX203" s="73">
        <f t="shared" si="950"/>
        <v>0</v>
      </c>
      <c r="AY203" s="110"/>
      <c r="AZ203" s="80" t="s">
        <v>2022</v>
      </c>
      <c r="BA203" s="73">
        <f t="shared" si="950"/>
        <v>0</v>
      </c>
      <c r="BB203" s="110"/>
      <c r="BC203" s="80" t="s">
        <v>2328</v>
      </c>
      <c r="BD203" s="73">
        <f t="shared" si="950"/>
        <v>0</v>
      </c>
      <c r="BE203" s="110"/>
      <c r="BF203" s="80" t="s">
        <v>2084</v>
      </c>
      <c r="BG203" s="73">
        <f t="shared" si="950"/>
        <v>0</v>
      </c>
      <c r="BH203" s="110"/>
      <c r="BI203" s="80" t="s">
        <v>2084</v>
      </c>
      <c r="BJ203" s="73">
        <f t="shared" si="950"/>
        <v>0</v>
      </c>
      <c r="BK203" s="110"/>
      <c r="BL203" s="80" t="s">
        <v>2390</v>
      </c>
      <c r="BM203" s="73">
        <f t="shared" si="950"/>
        <v>0</v>
      </c>
      <c r="BN203" s="110"/>
      <c r="BO203" s="80" t="s">
        <v>2390</v>
      </c>
      <c r="BP203" s="73">
        <f t="shared" si="950"/>
        <v>0</v>
      </c>
      <c r="BQ203" s="110"/>
      <c r="BR203" s="80" t="s">
        <v>2390</v>
      </c>
      <c r="BS203" s="73">
        <f t="shared" si="950"/>
        <v>0</v>
      </c>
      <c r="BT203" s="110"/>
      <c r="BU203" s="80" t="s">
        <v>2434</v>
      </c>
      <c r="BV203" s="73">
        <f t="shared" si="950"/>
        <v>0</v>
      </c>
      <c r="BW203" s="110"/>
      <c r="BX203" s="80" t="s">
        <v>2058</v>
      </c>
      <c r="BY203" s="73">
        <f t="shared" si="950"/>
        <v>0</v>
      </c>
      <c r="BZ203" s="110"/>
      <c r="CA203" s="80" t="s">
        <v>2472</v>
      </c>
      <c r="CB203" s="73">
        <f t="shared" si="950"/>
        <v>0</v>
      </c>
      <c r="CC203" s="110"/>
      <c r="CD203" s="80" t="s">
        <v>2494</v>
      </c>
      <c r="CE203" s="73">
        <f t="shared" si="950"/>
        <v>0</v>
      </c>
      <c r="CF203" s="110"/>
      <c r="CG203" s="80" t="s">
        <v>2512</v>
      </c>
      <c r="CH203" s="73">
        <f t="shared" si="950"/>
        <v>0</v>
      </c>
      <c r="CI203" s="110"/>
      <c r="CJ203" s="80" t="s">
        <v>2058</v>
      </c>
      <c r="CK203" s="73">
        <f t="shared" si="972"/>
        <v>0</v>
      </c>
      <c r="CL203" s="110"/>
      <c r="CM203" s="80" t="s">
        <v>2084</v>
      </c>
      <c r="CN203" s="73">
        <f t="shared" si="972"/>
        <v>0</v>
      </c>
      <c r="CO203" s="110"/>
      <c r="CP203" s="80" t="s">
        <v>2058</v>
      </c>
      <c r="CQ203" s="73">
        <f t="shared" si="972"/>
        <v>0</v>
      </c>
      <c r="CR203" s="110"/>
      <c r="CS203" s="80" t="s">
        <v>2390</v>
      </c>
      <c r="CT203" s="73">
        <f t="shared" si="972"/>
        <v>0</v>
      </c>
      <c r="CU203" s="110"/>
      <c r="CV203" s="80" t="s">
        <v>2084</v>
      </c>
      <c r="CW203" s="73">
        <f t="shared" si="972"/>
        <v>0</v>
      </c>
      <c r="CX203" s="110"/>
      <c r="CY203" s="80" t="s">
        <v>2390</v>
      </c>
      <c r="CZ203" s="73">
        <f t="shared" si="972"/>
        <v>0</v>
      </c>
      <c r="DA203" s="110"/>
      <c r="DB203" s="80" t="s">
        <v>2084</v>
      </c>
      <c r="DC203" s="73">
        <f t="shared" si="972"/>
        <v>0</v>
      </c>
      <c r="DD203" s="110"/>
      <c r="DE203" s="80" t="s">
        <v>2629</v>
      </c>
      <c r="DF203" s="73">
        <f t="shared" si="972"/>
        <v>0</v>
      </c>
      <c r="DG203" s="110"/>
      <c r="DH203" s="80" t="s">
        <v>2647</v>
      </c>
      <c r="DI203" s="73">
        <f t="shared" si="972"/>
        <v>0</v>
      </c>
      <c r="DJ203" s="110"/>
      <c r="DK203" s="80" t="s">
        <v>2664</v>
      </c>
      <c r="DL203" s="73">
        <f t="shared" si="972"/>
        <v>0</v>
      </c>
      <c r="DM203" s="110"/>
      <c r="DN203" s="797" t="s">
        <v>2675</v>
      </c>
      <c r="DO203" s="73">
        <f t="shared" si="972"/>
        <v>0</v>
      </c>
      <c r="DP203" s="110"/>
      <c r="DQ203" s="797" t="s">
        <v>2697</v>
      </c>
      <c r="DR203" s="73">
        <f t="shared" si="972"/>
        <v>0</v>
      </c>
      <c r="DS203" s="110"/>
      <c r="DT203" s="80" t="s">
        <v>2723</v>
      </c>
      <c r="DU203" s="73">
        <f t="shared" si="972"/>
        <v>0</v>
      </c>
      <c r="DV203" s="110"/>
      <c r="DW203" s="80" t="s">
        <v>2252</v>
      </c>
      <c r="DX203" s="73">
        <f t="shared" si="972"/>
        <v>0</v>
      </c>
      <c r="DY203" s="110"/>
      <c r="DZ203" s="80" t="s">
        <v>2252</v>
      </c>
      <c r="EA203" s="73">
        <f t="shared" si="972"/>
        <v>0</v>
      </c>
      <c r="EB203" s="110"/>
      <c r="EC203" s="80" t="s">
        <v>2084</v>
      </c>
      <c r="ED203" s="73">
        <f t="shared" si="972"/>
        <v>0</v>
      </c>
      <c r="EE203" s="110"/>
      <c r="EF203" s="80" t="s">
        <v>2058</v>
      </c>
      <c r="EG203" s="73">
        <f t="shared" si="972"/>
        <v>0</v>
      </c>
      <c r="EH203" s="110"/>
      <c r="EI203" s="80" t="s">
        <v>2390</v>
      </c>
      <c r="EJ203" s="73">
        <f t="shared" si="972"/>
        <v>0</v>
      </c>
      <c r="EK203" s="110"/>
      <c r="EL203" s="80"/>
      <c r="EM203" s="73">
        <f t="shared" si="972"/>
        <v>0</v>
      </c>
      <c r="EN203" s="110"/>
      <c r="EO203" s="80"/>
      <c r="EP203" s="73">
        <f t="shared" si="972"/>
        <v>0</v>
      </c>
      <c r="EQ203" s="110"/>
      <c r="ER203" s="80"/>
      <c r="ES203" s="73">
        <f t="shared" si="972"/>
        <v>0</v>
      </c>
      <c r="ET203" s="110"/>
      <c r="EU203" s="80"/>
      <c r="EV203" s="73">
        <f t="shared" si="972"/>
        <v>0</v>
      </c>
      <c r="EW203" s="110"/>
      <c r="EX203" s="80"/>
      <c r="EY203" s="73">
        <f t="shared" si="994"/>
        <v>0</v>
      </c>
      <c r="EZ203" s="110"/>
      <c r="FA203" s="80"/>
      <c r="FB203" s="73">
        <f t="shared" si="994"/>
        <v>0</v>
      </c>
      <c r="FC203" s="110"/>
      <c r="FD203" s="80"/>
      <c r="FE203" s="73">
        <f t="shared" si="994"/>
        <v>0</v>
      </c>
      <c r="FF203" s="110"/>
      <c r="FG203" s="80"/>
      <c r="FH203" s="73">
        <f t="shared" si="994"/>
        <v>0</v>
      </c>
      <c r="FI203" s="110"/>
      <c r="FJ203" s="80"/>
      <c r="FK203" s="73">
        <f t="shared" si="994"/>
        <v>0</v>
      </c>
      <c r="FL203" s="110"/>
      <c r="FM203" s="110"/>
    </row>
    <row r="204" spans="1:169">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07">
        <f t="shared" si="999"/>
        <v>4</v>
      </c>
      <c r="G204" s="407">
        <f ca="1">VLOOKUP(H204,Equipos!$Q$1:$R$25,2,0)</f>
        <v>21</v>
      </c>
      <c r="H204" s="65" t="str">
        <f>Idiomas!$D$261</f>
        <v>Octavos de final</v>
      </c>
      <c r="I204" s="43">
        <v>1</v>
      </c>
      <c r="J204" s="849"/>
      <c r="K204" s="56" t="str">
        <f>CONCATENATE(WORLDCUP!AA124,"-",WORLDCUP!AF124)</f>
        <v>W83-W84</v>
      </c>
      <c r="L204" s="53" t="str">
        <f>IF(OR(WORLDCUP!AC124="",WORLDCUP!AD124=""),"PD",IF(WORLDCUP!AC124&gt;WORLDCUP!AD124,1,IF(WORLDCUP!AC124&lt;WORLDCUP!AD124,2,0)))</f>
        <v>PD</v>
      </c>
      <c r="M204" s="55" t="str">
        <f t="shared" si="947"/>
        <v>-</v>
      </c>
      <c r="N204" s="25">
        <f>WORLDCUP!AC124</f>
        <v>0</v>
      </c>
      <c r="O204" s="25">
        <f>WORLDCUP!AD124</f>
        <v>0</v>
      </c>
      <c r="P204" s="25">
        <f t="shared" si="948"/>
        <v>0</v>
      </c>
      <c r="Q204" s="25">
        <f t="shared" si="949"/>
        <v>0</v>
      </c>
      <c r="R204" s="110"/>
      <c r="S204" s="74" t="s">
        <v>1984</v>
      </c>
      <c r="T204" s="73">
        <f t="shared" si="1000"/>
        <v>0</v>
      </c>
      <c r="U204" s="110"/>
      <c r="V204" s="74" t="s">
        <v>2023</v>
      </c>
      <c r="W204" s="73">
        <f t="shared" si="950"/>
        <v>0</v>
      </c>
      <c r="X204" s="110"/>
      <c r="Y204" s="80" t="s">
        <v>2059</v>
      </c>
      <c r="Z204" s="73">
        <f t="shared" si="950"/>
        <v>0</v>
      </c>
      <c r="AA204" s="110"/>
      <c r="AB204" s="80" t="s">
        <v>2059</v>
      </c>
      <c r="AC204" s="73">
        <f t="shared" si="950"/>
        <v>0</v>
      </c>
      <c r="AD204" s="110"/>
      <c r="AE204" s="80" t="s">
        <v>2113</v>
      </c>
      <c r="AF204" s="73">
        <f t="shared" si="950"/>
        <v>0</v>
      </c>
      <c r="AG204" s="110"/>
      <c r="AH204" s="80" t="s">
        <v>2144</v>
      </c>
      <c r="AI204" s="73">
        <f t="shared" si="950"/>
        <v>0</v>
      </c>
      <c r="AJ204" s="110"/>
      <c r="AK204" s="80" t="s">
        <v>2170</v>
      </c>
      <c r="AL204" s="73">
        <f t="shared" si="950"/>
        <v>0</v>
      </c>
      <c r="AM204" s="110"/>
      <c r="AN204" s="80" t="s">
        <v>2202</v>
      </c>
      <c r="AO204" s="73">
        <f t="shared" si="950"/>
        <v>0</v>
      </c>
      <c r="AP204" s="110"/>
      <c r="AQ204" s="80" t="s">
        <v>2059</v>
      </c>
      <c r="AR204" s="73">
        <f t="shared" si="950"/>
        <v>0</v>
      </c>
      <c r="AS204" s="110"/>
      <c r="AT204" s="80" t="s">
        <v>2170</v>
      </c>
      <c r="AU204" s="73">
        <f t="shared" si="950"/>
        <v>0</v>
      </c>
      <c r="AV204" s="110"/>
      <c r="AW204" s="80" t="s">
        <v>2278</v>
      </c>
      <c r="AX204" s="73">
        <f t="shared" si="950"/>
        <v>0</v>
      </c>
      <c r="AY204" s="110"/>
      <c r="AZ204" s="80" t="s">
        <v>2303</v>
      </c>
      <c r="BA204" s="73">
        <f t="shared" si="950"/>
        <v>0</v>
      </c>
      <c r="BB204" s="110"/>
      <c r="BC204" s="80" t="s">
        <v>2329</v>
      </c>
      <c r="BD204" s="73">
        <f t="shared" si="950"/>
        <v>0</v>
      </c>
      <c r="BE204" s="110"/>
      <c r="BF204" s="80" t="s">
        <v>2353</v>
      </c>
      <c r="BG204" s="73">
        <f t="shared" si="950"/>
        <v>0</v>
      </c>
      <c r="BH204" s="110"/>
      <c r="BI204" s="80" t="s">
        <v>2059</v>
      </c>
      <c r="BJ204" s="73">
        <f t="shared" si="950"/>
        <v>0</v>
      </c>
      <c r="BK204" s="110"/>
      <c r="BL204" s="80" t="s">
        <v>2353</v>
      </c>
      <c r="BM204" s="73">
        <f t="shared" si="950"/>
        <v>0</v>
      </c>
      <c r="BN204" s="110"/>
      <c r="BO204" s="80" t="s">
        <v>2023</v>
      </c>
      <c r="BP204" s="73">
        <f t="shared" si="950"/>
        <v>0</v>
      </c>
      <c r="BQ204" s="110"/>
      <c r="BR204" s="80" t="s">
        <v>2170</v>
      </c>
      <c r="BS204" s="73">
        <f t="shared" si="950"/>
        <v>0</v>
      </c>
      <c r="BT204" s="110"/>
      <c r="BU204" s="80" t="s">
        <v>2170</v>
      </c>
      <c r="BV204" s="73">
        <f t="shared" si="950"/>
        <v>0</v>
      </c>
      <c r="BW204" s="110"/>
      <c r="BX204" s="80" t="s">
        <v>2451</v>
      </c>
      <c r="BY204" s="73">
        <f t="shared" si="950"/>
        <v>0</v>
      </c>
      <c r="BZ204" s="110"/>
      <c r="CA204" s="80" t="s">
        <v>2473</v>
      </c>
      <c r="CB204" s="73">
        <f t="shared" si="950"/>
        <v>0</v>
      </c>
      <c r="CC204" s="110"/>
      <c r="CD204" s="80" t="s">
        <v>2495</v>
      </c>
      <c r="CE204" s="73">
        <f t="shared" si="950"/>
        <v>0</v>
      </c>
      <c r="CF204" s="110"/>
      <c r="CG204" s="80" t="s">
        <v>2513</v>
      </c>
      <c r="CH204" s="73">
        <f t="shared" si="950"/>
        <v>0</v>
      </c>
      <c r="CI204" s="110"/>
      <c r="CJ204" s="80" t="s">
        <v>2513</v>
      </c>
      <c r="CK204" s="73">
        <f t="shared" si="972"/>
        <v>0</v>
      </c>
      <c r="CL204" s="110"/>
      <c r="CM204" s="80" t="s">
        <v>2170</v>
      </c>
      <c r="CN204" s="73">
        <f t="shared" si="972"/>
        <v>0</v>
      </c>
      <c r="CO204" s="110"/>
      <c r="CP204" s="80" t="s">
        <v>2170</v>
      </c>
      <c r="CQ204" s="73">
        <f t="shared" si="972"/>
        <v>0</v>
      </c>
      <c r="CR204" s="110"/>
      <c r="CS204" s="80" t="s">
        <v>2513</v>
      </c>
      <c r="CT204" s="73">
        <f t="shared" si="972"/>
        <v>0</v>
      </c>
      <c r="CU204" s="110"/>
      <c r="CV204" s="80" t="s">
        <v>2575</v>
      </c>
      <c r="CW204" s="73">
        <f t="shared" si="972"/>
        <v>0</v>
      </c>
      <c r="CX204" s="110"/>
      <c r="CY204" s="80" t="s">
        <v>2170</v>
      </c>
      <c r="CZ204" s="73">
        <f t="shared" si="972"/>
        <v>0</v>
      </c>
      <c r="DA204" s="110"/>
      <c r="DB204" s="80" t="s">
        <v>2170</v>
      </c>
      <c r="DC204" s="73">
        <f t="shared" si="972"/>
        <v>0</v>
      </c>
      <c r="DD204" s="110"/>
      <c r="DE204" s="80" t="s">
        <v>2113</v>
      </c>
      <c r="DF204" s="73">
        <f t="shared" si="972"/>
        <v>0</v>
      </c>
      <c r="DG204" s="110"/>
      <c r="DH204" s="80" t="s">
        <v>2170</v>
      </c>
      <c r="DI204" s="73">
        <f t="shared" si="972"/>
        <v>0</v>
      </c>
      <c r="DJ204" s="110"/>
      <c r="DK204" s="80" t="s">
        <v>2665</v>
      </c>
      <c r="DL204" s="73">
        <f t="shared" si="972"/>
        <v>0</v>
      </c>
      <c r="DM204" s="110"/>
      <c r="DN204" s="797" t="s">
        <v>2676</v>
      </c>
      <c r="DO204" s="73">
        <f t="shared" si="972"/>
        <v>0</v>
      </c>
      <c r="DP204" s="110"/>
      <c r="DQ204" s="797" t="s">
        <v>2698</v>
      </c>
      <c r="DR204" s="73">
        <f t="shared" si="972"/>
        <v>0</v>
      </c>
      <c r="DS204" s="110"/>
      <c r="DT204" s="80" t="s">
        <v>2724</v>
      </c>
      <c r="DU204" s="73">
        <f t="shared" si="972"/>
        <v>0</v>
      </c>
      <c r="DV204" s="110"/>
      <c r="DW204" s="80" t="s">
        <v>2741</v>
      </c>
      <c r="DX204" s="73">
        <f t="shared" si="972"/>
        <v>0</v>
      </c>
      <c r="DY204" s="110"/>
      <c r="DZ204" s="80" t="s">
        <v>2303</v>
      </c>
      <c r="EA204" s="73">
        <f t="shared" si="972"/>
        <v>0</v>
      </c>
      <c r="EB204" s="110"/>
      <c r="EC204" s="80" t="s">
        <v>2023</v>
      </c>
      <c r="ED204" s="73">
        <f t="shared" si="972"/>
        <v>0</v>
      </c>
      <c r="EE204" s="110"/>
      <c r="EF204" s="80" t="s">
        <v>2059</v>
      </c>
      <c r="EG204" s="73">
        <f t="shared" si="972"/>
        <v>0</v>
      </c>
      <c r="EH204" s="110"/>
      <c r="EI204" s="80" t="s">
        <v>2059</v>
      </c>
      <c r="EJ204" s="73">
        <f t="shared" si="972"/>
        <v>0</v>
      </c>
      <c r="EK204" s="110"/>
      <c r="EL204" s="80"/>
      <c r="EM204" s="73">
        <f t="shared" si="972"/>
        <v>0</v>
      </c>
      <c r="EN204" s="110"/>
      <c r="EO204" s="80"/>
      <c r="EP204" s="73">
        <f t="shared" si="972"/>
        <v>0</v>
      </c>
      <c r="EQ204" s="110"/>
      <c r="ER204" s="80"/>
      <c r="ES204" s="73">
        <f t="shared" si="972"/>
        <v>0</v>
      </c>
      <c r="ET204" s="110"/>
      <c r="EU204" s="80"/>
      <c r="EV204" s="73">
        <f t="shared" si="972"/>
        <v>0</v>
      </c>
      <c r="EW204" s="110"/>
      <c r="EX204" s="80"/>
      <c r="EY204" s="73">
        <f t="shared" si="994"/>
        <v>0</v>
      </c>
      <c r="EZ204" s="110"/>
      <c r="FA204" s="80"/>
      <c r="FB204" s="73">
        <f t="shared" si="994"/>
        <v>0</v>
      </c>
      <c r="FC204" s="110"/>
      <c r="FD204" s="80"/>
      <c r="FE204" s="73">
        <f t="shared" si="994"/>
        <v>0</v>
      </c>
      <c r="FF204" s="110"/>
      <c r="FG204" s="80"/>
      <c r="FH204" s="73">
        <f t="shared" si="994"/>
        <v>0</v>
      </c>
      <c r="FI204" s="110"/>
      <c r="FJ204" s="80"/>
      <c r="FK204" s="73">
        <f t="shared" si="994"/>
        <v>0</v>
      </c>
      <c r="FL204" s="110"/>
      <c r="FM204" s="110"/>
    </row>
    <row r="205" spans="1:169">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07">
        <f t="shared" si="999"/>
        <v>4</v>
      </c>
      <c r="G205" s="407">
        <f ca="1">VLOOKUP(H205,Equipos!$Q$1:$R$25,2,0)</f>
        <v>21</v>
      </c>
      <c r="H205" s="65" t="str">
        <f>Idiomas!$D$261</f>
        <v>Octavos de final</v>
      </c>
      <c r="I205" s="43">
        <v>1</v>
      </c>
      <c r="J205" s="849"/>
      <c r="K205" s="56" t="str">
        <f>CONCATENATE(WORLDCUP!AA125,"-",WORLDCUP!AF125)</f>
        <v>W81-W82</v>
      </c>
      <c r="L205" s="53" t="str">
        <f>IF(OR(WORLDCUP!AC125="",WORLDCUP!AD125=""),"PD",IF(WORLDCUP!AC125&gt;WORLDCUP!AD125,1,IF(WORLDCUP!AC125&lt;WORLDCUP!AD125,2,0)))</f>
        <v>PD</v>
      </c>
      <c r="M205" s="55" t="str">
        <f t="shared" si="947"/>
        <v>-</v>
      </c>
      <c r="N205" s="25">
        <f>WORLDCUP!AC125</f>
        <v>0</v>
      </c>
      <c r="O205" s="25">
        <f>WORLDCUP!AD125</f>
        <v>0</v>
      </c>
      <c r="P205" s="25">
        <f t="shared" si="948"/>
        <v>0</v>
      </c>
      <c r="Q205" s="25">
        <f t="shared" si="949"/>
        <v>0</v>
      </c>
      <c r="R205" s="110"/>
      <c r="S205" s="74" t="s">
        <v>1985</v>
      </c>
      <c r="T205" s="73">
        <f t="shared" si="1000"/>
        <v>0</v>
      </c>
      <c r="U205" s="110"/>
      <c r="V205" s="74" t="s">
        <v>2024</v>
      </c>
      <c r="W205" s="73">
        <f t="shared" si="950"/>
        <v>0</v>
      </c>
      <c r="X205" s="110"/>
      <c r="Y205" s="80" t="s">
        <v>2060</v>
      </c>
      <c r="Z205" s="73">
        <f t="shared" si="950"/>
        <v>0</v>
      </c>
      <c r="AA205" s="110"/>
      <c r="AB205" s="80" t="s">
        <v>2085</v>
      </c>
      <c r="AC205" s="73">
        <f t="shared" si="950"/>
        <v>0</v>
      </c>
      <c r="AD205" s="110"/>
      <c r="AE205" s="80" t="s">
        <v>2114</v>
      </c>
      <c r="AF205" s="73">
        <f t="shared" si="950"/>
        <v>0</v>
      </c>
      <c r="AG205" s="110"/>
      <c r="AH205" s="80" t="s">
        <v>2145</v>
      </c>
      <c r="AI205" s="73">
        <f t="shared" si="950"/>
        <v>0</v>
      </c>
      <c r="AJ205" s="110"/>
      <c r="AK205" s="80" t="s">
        <v>2171</v>
      </c>
      <c r="AL205" s="73">
        <f t="shared" si="950"/>
        <v>0</v>
      </c>
      <c r="AM205" s="110"/>
      <c r="AN205" s="80" t="s">
        <v>2203</v>
      </c>
      <c r="AO205" s="73">
        <f t="shared" si="950"/>
        <v>0</v>
      </c>
      <c r="AP205" s="110"/>
      <c r="AQ205" s="80" t="s">
        <v>2114</v>
      </c>
      <c r="AR205" s="73">
        <f t="shared" si="950"/>
        <v>0</v>
      </c>
      <c r="AS205" s="110"/>
      <c r="AT205" s="80" t="s">
        <v>2253</v>
      </c>
      <c r="AU205" s="73">
        <f t="shared" si="950"/>
        <v>0</v>
      </c>
      <c r="AV205" s="110"/>
      <c r="AW205" s="80" t="s">
        <v>2203</v>
      </c>
      <c r="AX205" s="73">
        <f t="shared" si="950"/>
        <v>0</v>
      </c>
      <c r="AY205" s="110"/>
      <c r="AZ205" s="80" t="s">
        <v>2304</v>
      </c>
      <c r="BA205" s="73">
        <f t="shared" si="950"/>
        <v>0</v>
      </c>
      <c r="BB205" s="110"/>
      <c r="BC205" s="80" t="s">
        <v>2330</v>
      </c>
      <c r="BD205" s="73">
        <f t="shared" si="950"/>
        <v>0</v>
      </c>
      <c r="BE205" s="110"/>
      <c r="BF205" s="80" t="s">
        <v>2354</v>
      </c>
      <c r="BG205" s="73">
        <f t="shared" si="950"/>
        <v>0</v>
      </c>
      <c r="BH205" s="110"/>
      <c r="BI205" s="80" t="s">
        <v>2370</v>
      </c>
      <c r="BJ205" s="73">
        <f t="shared" si="950"/>
        <v>0</v>
      </c>
      <c r="BK205" s="110"/>
      <c r="BL205" s="80" t="s">
        <v>2391</v>
      </c>
      <c r="BM205" s="73">
        <f t="shared" si="950"/>
        <v>0</v>
      </c>
      <c r="BN205" s="110"/>
      <c r="BO205" s="80" t="s">
        <v>2085</v>
      </c>
      <c r="BP205" s="73">
        <f t="shared" si="950"/>
        <v>0</v>
      </c>
      <c r="BQ205" s="110"/>
      <c r="BR205" s="80" t="s">
        <v>2304</v>
      </c>
      <c r="BS205" s="73">
        <f t="shared" si="950"/>
        <v>0</v>
      </c>
      <c r="BT205" s="110"/>
      <c r="BU205" s="80" t="s">
        <v>2435</v>
      </c>
      <c r="BV205" s="73">
        <f t="shared" si="950"/>
        <v>0</v>
      </c>
      <c r="BW205" s="110"/>
      <c r="BX205" s="80" t="s">
        <v>2452</v>
      </c>
      <c r="BY205" s="73">
        <f t="shared" si="950"/>
        <v>0</v>
      </c>
      <c r="BZ205" s="110"/>
      <c r="CA205" s="80" t="s">
        <v>2435</v>
      </c>
      <c r="CB205" s="73">
        <f t="shared" si="950"/>
        <v>0</v>
      </c>
      <c r="CC205" s="110"/>
      <c r="CD205" s="80" t="s">
        <v>2085</v>
      </c>
      <c r="CE205" s="73">
        <f t="shared" si="950"/>
        <v>0</v>
      </c>
      <c r="CF205" s="110"/>
      <c r="CG205" s="80" t="s">
        <v>2514</v>
      </c>
      <c r="CH205" s="73">
        <f t="shared" si="950"/>
        <v>0</v>
      </c>
      <c r="CI205" s="110"/>
      <c r="CJ205" s="80" t="s">
        <v>2114</v>
      </c>
      <c r="CK205" s="73">
        <f t="shared" si="972"/>
        <v>0</v>
      </c>
      <c r="CL205" s="110"/>
      <c r="CM205" s="80" t="s">
        <v>2542</v>
      </c>
      <c r="CN205" s="73">
        <f t="shared" si="972"/>
        <v>0</v>
      </c>
      <c r="CO205" s="110"/>
      <c r="CP205" s="80" t="s">
        <v>2304</v>
      </c>
      <c r="CQ205" s="73">
        <f t="shared" si="972"/>
        <v>0</v>
      </c>
      <c r="CR205" s="110"/>
      <c r="CS205" s="80" t="s">
        <v>2330</v>
      </c>
      <c r="CT205" s="73">
        <f t="shared" si="972"/>
        <v>0</v>
      </c>
      <c r="CU205" s="110"/>
      <c r="CV205" s="80" t="s">
        <v>2435</v>
      </c>
      <c r="CW205" s="73">
        <f t="shared" si="972"/>
        <v>0</v>
      </c>
      <c r="CX205" s="110"/>
      <c r="CY205" s="80" t="s">
        <v>2601</v>
      </c>
      <c r="CZ205" s="73">
        <f t="shared" si="972"/>
        <v>0</v>
      </c>
      <c r="DA205" s="110"/>
      <c r="DB205" s="80" t="s">
        <v>2435</v>
      </c>
      <c r="DC205" s="73">
        <f t="shared" si="972"/>
        <v>0</v>
      </c>
      <c r="DD205" s="110"/>
      <c r="DE205" s="80" t="s">
        <v>2171</v>
      </c>
      <c r="DF205" s="73">
        <f t="shared" si="972"/>
        <v>0</v>
      </c>
      <c r="DG205" s="110"/>
      <c r="DH205" s="80" t="s">
        <v>2648</v>
      </c>
      <c r="DI205" s="73">
        <f t="shared" si="972"/>
        <v>0</v>
      </c>
      <c r="DJ205" s="110"/>
      <c r="DK205" s="80" t="s">
        <v>2304</v>
      </c>
      <c r="DL205" s="73">
        <f t="shared" si="972"/>
        <v>0</v>
      </c>
      <c r="DM205" s="110"/>
      <c r="DN205" s="797" t="s">
        <v>2648</v>
      </c>
      <c r="DO205" s="73">
        <f t="shared" si="972"/>
        <v>0</v>
      </c>
      <c r="DP205" s="110"/>
      <c r="DQ205" s="797" t="s">
        <v>2699</v>
      </c>
      <c r="DR205" s="73">
        <f t="shared" si="972"/>
        <v>0</v>
      </c>
      <c r="DS205" s="110"/>
      <c r="DT205" s="80" t="s">
        <v>2354</v>
      </c>
      <c r="DU205" s="73">
        <f t="shared" si="972"/>
        <v>0</v>
      </c>
      <c r="DV205" s="110"/>
      <c r="DW205" s="80" t="s">
        <v>2742</v>
      </c>
      <c r="DX205" s="73">
        <f t="shared" si="972"/>
        <v>0</v>
      </c>
      <c r="DY205" s="110"/>
      <c r="DZ205" s="80" t="s">
        <v>2759</v>
      </c>
      <c r="EA205" s="73">
        <f t="shared" si="972"/>
        <v>0</v>
      </c>
      <c r="EB205" s="110"/>
      <c r="EC205" s="80" t="s">
        <v>2370</v>
      </c>
      <c r="ED205" s="73">
        <f t="shared" si="972"/>
        <v>0</v>
      </c>
      <c r="EE205" s="110"/>
      <c r="EF205" s="80" t="s">
        <v>2391</v>
      </c>
      <c r="EG205" s="73">
        <f t="shared" si="972"/>
        <v>0</v>
      </c>
      <c r="EH205" s="110"/>
      <c r="EI205" s="80" t="s">
        <v>2304</v>
      </c>
      <c r="EJ205" s="73">
        <f t="shared" si="972"/>
        <v>0</v>
      </c>
      <c r="EK205" s="110"/>
      <c r="EL205" s="80"/>
      <c r="EM205" s="73">
        <f t="shared" si="972"/>
        <v>0</v>
      </c>
      <c r="EN205" s="110"/>
      <c r="EO205" s="80"/>
      <c r="EP205" s="73">
        <f t="shared" si="972"/>
        <v>0</v>
      </c>
      <c r="EQ205" s="110"/>
      <c r="ER205" s="80"/>
      <c r="ES205" s="73">
        <f t="shared" si="972"/>
        <v>0</v>
      </c>
      <c r="ET205" s="110"/>
      <c r="EU205" s="80"/>
      <c r="EV205" s="73">
        <f t="shared" si="972"/>
        <v>0</v>
      </c>
      <c r="EW205" s="110"/>
      <c r="EX205" s="80"/>
      <c r="EY205" s="73">
        <f t="shared" si="994"/>
        <v>0</v>
      </c>
      <c r="EZ205" s="110"/>
      <c r="FA205" s="80"/>
      <c r="FB205" s="73">
        <f t="shared" si="994"/>
        <v>0</v>
      </c>
      <c r="FC205" s="110"/>
      <c r="FD205" s="80"/>
      <c r="FE205" s="73">
        <f t="shared" si="994"/>
        <v>0</v>
      </c>
      <c r="FF205" s="110"/>
      <c r="FG205" s="80"/>
      <c r="FH205" s="73">
        <f t="shared" si="994"/>
        <v>0</v>
      </c>
      <c r="FI205" s="110"/>
      <c r="FJ205" s="80"/>
      <c r="FK205" s="73">
        <f t="shared" si="994"/>
        <v>0</v>
      </c>
      <c r="FL205" s="110"/>
      <c r="FM205" s="110"/>
    </row>
    <row r="206" spans="1:169">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07">
        <f t="shared" si="999"/>
        <v>4</v>
      </c>
      <c r="G206" s="407">
        <f ca="1">VLOOKUP(H206,Equipos!$Q$1:$R$25,2,0)</f>
        <v>21</v>
      </c>
      <c r="H206" s="65" t="str">
        <f>Idiomas!$D$261</f>
        <v>Octavos de final</v>
      </c>
      <c r="I206" s="43">
        <v>1</v>
      </c>
      <c r="J206" s="849"/>
      <c r="K206" s="56" t="str">
        <f>CONCATENATE(WORLDCUP!AA126,"-",WORLDCUP!AF126)</f>
        <v>W86-W88</v>
      </c>
      <c r="L206" s="53" t="str">
        <f>IF(OR(WORLDCUP!AC126="",WORLDCUP!AD126=""),"PD",IF(WORLDCUP!AC126&gt;WORLDCUP!AD126,1,IF(WORLDCUP!AC126&lt;WORLDCUP!AD126,2,0)))</f>
        <v>PD</v>
      </c>
      <c r="M206" s="55" t="str">
        <f t="shared" si="947"/>
        <v>-</v>
      </c>
      <c r="N206" s="25">
        <f>WORLDCUP!AC126</f>
        <v>0</v>
      </c>
      <c r="O206" s="25">
        <f>WORLDCUP!AD126</f>
        <v>0</v>
      </c>
      <c r="P206" s="25">
        <f t="shared" si="948"/>
        <v>0</v>
      </c>
      <c r="Q206" s="25">
        <f t="shared" si="949"/>
        <v>0</v>
      </c>
      <c r="R206" s="110"/>
      <c r="S206" s="74" t="s">
        <v>1986</v>
      </c>
      <c r="T206" s="73">
        <f t="shared" si="1000"/>
        <v>0</v>
      </c>
      <c r="U206" s="110"/>
      <c r="V206" s="74" t="s">
        <v>2025</v>
      </c>
      <c r="W206" s="73">
        <f t="shared" si="950"/>
        <v>0</v>
      </c>
      <c r="X206" s="110"/>
      <c r="Y206" s="80" t="s">
        <v>2061</v>
      </c>
      <c r="Z206" s="73">
        <f t="shared" si="950"/>
        <v>0</v>
      </c>
      <c r="AA206" s="110"/>
      <c r="AB206" s="80" t="s">
        <v>2086</v>
      </c>
      <c r="AC206" s="73">
        <f t="shared" si="950"/>
        <v>0</v>
      </c>
      <c r="AD206" s="110"/>
      <c r="AE206" s="80" t="s">
        <v>2115</v>
      </c>
      <c r="AF206" s="73">
        <f t="shared" si="950"/>
        <v>0</v>
      </c>
      <c r="AG206" s="110"/>
      <c r="AH206" s="80" t="s">
        <v>2146</v>
      </c>
      <c r="AI206" s="73">
        <f t="shared" si="950"/>
        <v>0</v>
      </c>
      <c r="AJ206" s="110"/>
      <c r="AK206" s="80" t="s">
        <v>2061</v>
      </c>
      <c r="AL206" s="73">
        <f t="shared" si="950"/>
        <v>0</v>
      </c>
      <c r="AM206" s="110"/>
      <c r="AN206" s="80" t="s">
        <v>2204</v>
      </c>
      <c r="AO206" s="73">
        <f t="shared" si="950"/>
        <v>0</v>
      </c>
      <c r="AP206" s="110"/>
      <c r="AQ206" s="80" t="s">
        <v>2232</v>
      </c>
      <c r="AR206" s="73">
        <f t="shared" si="950"/>
        <v>0</v>
      </c>
      <c r="AS206" s="110"/>
      <c r="AT206" s="80" t="s">
        <v>2204</v>
      </c>
      <c r="AU206" s="73">
        <f t="shared" si="950"/>
        <v>0</v>
      </c>
      <c r="AV206" s="110"/>
      <c r="AW206" s="80" t="s">
        <v>2279</v>
      </c>
      <c r="AX206" s="73">
        <f t="shared" si="950"/>
        <v>0</v>
      </c>
      <c r="AY206" s="110"/>
      <c r="AZ206" s="80" t="s">
        <v>2061</v>
      </c>
      <c r="BA206" s="73">
        <f t="shared" si="950"/>
        <v>0</v>
      </c>
      <c r="BB206" s="110"/>
      <c r="BC206" s="80" t="s">
        <v>2331</v>
      </c>
      <c r="BD206" s="73">
        <f t="shared" si="950"/>
        <v>0</v>
      </c>
      <c r="BE206" s="110"/>
      <c r="BF206" s="80" t="s">
        <v>2115</v>
      </c>
      <c r="BG206" s="73">
        <f t="shared" si="950"/>
        <v>0</v>
      </c>
      <c r="BH206" s="110"/>
      <c r="BI206" s="80" t="s">
        <v>2371</v>
      </c>
      <c r="BJ206" s="73">
        <f t="shared" si="950"/>
        <v>0</v>
      </c>
      <c r="BK206" s="110"/>
      <c r="BL206" s="80" t="s">
        <v>2146</v>
      </c>
      <c r="BM206" s="73">
        <f t="shared" si="950"/>
        <v>0</v>
      </c>
      <c r="BN206" s="110"/>
      <c r="BO206" s="80" t="s">
        <v>2086</v>
      </c>
      <c r="BP206" s="73">
        <f t="shared" si="950"/>
        <v>0</v>
      </c>
      <c r="BQ206" s="110"/>
      <c r="BR206" s="80" t="s">
        <v>2371</v>
      </c>
      <c r="BS206" s="73">
        <f t="shared" si="950"/>
        <v>0</v>
      </c>
      <c r="BT206" s="110"/>
      <c r="BU206" s="80" t="s">
        <v>2436</v>
      </c>
      <c r="BV206" s="73">
        <f t="shared" si="950"/>
        <v>0</v>
      </c>
      <c r="BW206" s="110"/>
      <c r="BX206" s="80" t="s">
        <v>2453</v>
      </c>
      <c r="BY206" s="73">
        <f t="shared" si="950"/>
        <v>0</v>
      </c>
      <c r="BZ206" s="110"/>
      <c r="CA206" s="80" t="s">
        <v>2025</v>
      </c>
      <c r="CB206" s="73">
        <f t="shared" si="950"/>
        <v>0</v>
      </c>
      <c r="CC206" s="110"/>
      <c r="CD206" s="80" t="s">
        <v>2025</v>
      </c>
      <c r="CE206" s="73">
        <f t="shared" si="950"/>
        <v>0</v>
      </c>
      <c r="CF206" s="110"/>
      <c r="CG206" s="80" t="s">
        <v>2146</v>
      </c>
      <c r="CH206" s="73">
        <f t="shared" si="950"/>
        <v>0</v>
      </c>
      <c r="CI206" s="110"/>
      <c r="CJ206" s="80" t="s">
        <v>2531</v>
      </c>
      <c r="CK206" s="73">
        <f t="shared" si="972"/>
        <v>0</v>
      </c>
      <c r="CL206" s="110"/>
      <c r="CM206" s="80" t="s">
        <v>2086</v>
      </c>
      <c r="CN206" s="73">
        <f t="shared" si="972"/>
        <v>0</v>
      </c>
      <c r="CO206" s="110"/>
      <c r="CP206" s="80" t="s">
        <v>2560</v>
      </c>
      <c r="CQ206" s="73">
        <f t="shared" si="972"/>
        <v>0</v>
      </c>
      <c r="CR206" s="110"/>
      <c r="CS206" s="80" t="s">
        <v>2436</v>
      </c>
      <c r="CT206" s="73">
        <f t="shared" si="972"/>
        <v>0</v>
      </c>
      <c r="CU206" s="110"/>
      <c r="CV206" s="80" t="s">
        <v>2576</v>
      </c>
      <c r="CW206" s="73">
        <f t="shared" si="972"/>
        <v>0</v>
      </c>
      <c r="CX206" s="110"/>
      <c r="CY206" s="80" t="s">
        <v>2602</v>
      </c>
      <c r="CZ206" s="73">
        <f t="shared" si="972"/>
        <v>0</v>
      </c>
      <c r="DA206" s="110"/>
      <c r="DB206" s="80" t="s">
        <v>2086</v>
      </c>
      <c r="DC206" s="73">
        <f t="shared" si="972"/>
        <v>0</v>
      </c>
      <c r="DD206" s="110"/>
      <c r="DE206" s="80" t="s">
        <v>2630</v>
      </c>
      <c r="DF206" s="73">
        <f t="shared" si="972"/>
        <v>0</v>
      </c>
      <c r="DG206" s="110"/>
      <c r="DH206" s="80" t="s">
        <v>2025</v>
      </c>
      <c r="DI206" s="73">
        <f t="shared" si="972"/>
        <v>0</v>
      </c>
      <c r="DJ206" s="110"/>
      <c r="DK206" s="80" t="s">
        <v>2086</v>
      </c>
      <c r="DL206" s="73">
        <f t="shared" si="972"/>
        <v>0</v>
      </c>
      <c r="DM206" s="110"/>
      <c r="DN206" s="797" t="s">
        <v>2677</v>
      </c>
      <c r="DO206" s="73">
        <f t="shared" si="972"/>
        <v>0</v>
      </c>
      <c r="DP206" s="110"/>
      <c r="DQ206" s="797" t="s">
        <v>2700</v>
      </c>
      <c r="DR206" s="73">
        <f t="shared" si="972"/>
        <v>0</v>
      </c>
      <c r="DS206" s="110"/>
      <c r="DT206" s="80" t="s">
        <v>2725</v>
      </c>
      <c r="DU206" s="73">
        <f t="shared" si="972"/>
        <v>0</v>
      </c>
      <c r="DV206" s="110"/>
      <c r="DW206" s="80" t="s">
        <v>2025</v>
      </c>
      <c r="DX206" s="73">
        <f t="shared" si="972"/>
        <v>0</v>
      </c>
      <c r="DY206" s="110"/>
      <c r="DZ206" s="80" t="s">
        <v>2115</v>
      </c>
      <c r="EA206" s="73">
        <f t="shared" si="972"/>
        <v>0</v>
      </c>
      <c r="EB206" s="110"/>
      <c r="EC206" s="80" t="s">
        <v>2773</v>
      </c>
      <c r="ED206" s="73">
        <f t="shared" si="972"/>
        <v>0</v>
      </c>
      <c r="EE206" s="110"/>
      <c r="EF206" s="80" t="s">
        <v>2785</v>
      </c>
      <c r="EG206" s="73">
        <f t="shared" si="972"/>
        <v>0</v>
      </c>
      <c r="EH206" s="110"/>
      <c r="EI206" s="80" t="s">
        <v>2086</v>
      </c>
      <c r="EJ206" s="73">
        <f t="shared" si="972"/>
        <v>0</v>
      </c>
      <c r="EK206" s="110"/>
      <c r="EL206" s="80"/>
      <c r="EM206" s="73">
        <f t="shared" si="972"/>
        <v>0</v>
      </c>
      <c r="EN206" s="110"/>
      <c r="EO206" s="80"/>
      <c r="EP206" s="73">
        <f t="shared" si="972"/>
        <v>0</v>
      </c>
      <c r="EQ206" s="110"/>
      <c r="ER206" s="80"/>
      <c r="ES206" s="73">
        <f t="shared" si="972"/>
        <v>0</v>
      </c>
      <c r="ET206" s="110"/>
      <c r="EU206" s="80"/>
      <c r="EV206" s="73">
        <f t="shared" si="972"/>
        <v>0</v>
      </c>
      <c r="EW206" s="110"/>
      <c r="EX206" s="80"/>
      <c r="EY206" s="73">
        <f t="shared" si="994"/>
        <v>0</v>
      </c>
      <c r="EZ206" s="110"/>
      <c r="FA206" s="80"/>
      <c r="FB206" s="73">
        <f t="shared" si="994"/>
        <v>0</v>
      </c>
      <c r="FC206" s="110"/>
      <c r="FD206" s="80"/>
      <c r="FE206" s="73">
        <f t="shared" si="994"/>
        <v>0</v>
      </c>
      <c r="FF206" s="110"/>
      <c r="FG206" s="80"/>
      <c r="FH206" s="73">
        <f t="shared" si="994"/>
        <v>0</v>
      </c>
      <c r="FI206" s="110"/>
      <c r="FJ206" s="80"/>
      <c r="FK206" s="73">
        <f t="shared" si="994"/>
        <v>0</v>
      </c>
      <c r="FL206" s="110"/>
      <c r="FM206" s="110"/>
    </row>
    <row r="207" spans="1:169">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07">
        <f t="shared" si="999"/>
        <v>4</v>
      </c>
      <c r="G207" s="407">
        <f ca="1">VLOOKUP(H207,Equipos!$Q$1:$R$25,2,0)</f>
        <v>21</v>
      </c>
      <c r="H207" s="65" t="str">
        <f>Idiomas!$D$261</f>
        <v>Octavos de final</v>
      </c>
      <c r="I207" s="43">
        <v>1</v>
      </c>
      <c r="J207" s="849"/>
      <c r="K207" s="115" t="str">
        <f>CONCATENATE(WORLDCUP!AA127,"-",WORLDCUP!AF127)</f>
        <v>W85-W87</v>
      </c>
      <c r="L207" s="115" t="str">
        <f>IF(OR(WORLDCUP!AC127="",WORLDCUP!AD127=""),"PD",IF(WORLDCUP!AC127&gt;WORLDCUP!AD127,1,IF(WORLDCUP!AC127&lt;WORLDCUP!AD127,2,0)))</f>
        <v>PD</v>
      </c>
      <c r="M207" s="116" t="str">
        <f t="shared" si="947"/>
        <v>-</v>
      </c>
      <c r="N207" s="25">
        <f>WORLDCUP!AC127</f>
        <v>0</v>
      </c>
      <c r="O207" s="25">
        <f>WORLDCUP!AD127</f>
        <v>0</v>
      </c>
      <c r="P207" s="25">
        <f t="shared" si="948"/>
        <v>0</v>
      </c>
      <c r="Q207" s="25">
        <f t="shared" si="949"/>
        <v>0</v>
      </c>
      <c r="R207" s="110"/>
      <c r="S207" s="80" t="s">
        <v>1987</v>
      </c>
      <c r="T207" s="85">
        <f t="shared" si="1000"/>
        <v>0</v>
      </c>
      <c r="U207" s="110"/>
      <c r="V207" s="74" t="s">
        <v>2026</v>
      </c>
      <c r="W207" s="85">
        <f t="shared" si="950"/>
        <v>0</v>
      </c>
      <c r="X207" s="110"/>
      <c r="Y207" s="80" t="s">
        <v>2062</v>
      </c>
      <c r="Z207" s="85">
        <f t="shared" si="950"/>
        <v>0</v>
      </c>
      <c r="AA207" s="110"/>
      <c r="AB207" s="80" t="s">
        <v>2087</v>
      </c>
      <c r="AC207" s="85">
        <f t="shared" si="950"/>
        <v>0</v>
      </c>
      <c r="AD207" s="110"/>
      <c r="AE207" s="80" t="s">
        <v>2116</v>
      </c>
      <c r="AF207" s="85">
        <f t="shared" si="950"/>
        <v>0</v>
      </c>
      <c r="AG207" s="110"/>
      <c r="AH207" s="80" t="s">
        <v>2087</v>
      </c>
      <c r="AI207" s="85">
        <f t="shared" si="950"/>
        <v>0</v>
      </c>
      <c r="AJ207" s="110"/>
      <c r="AK207" s="80" t="s">
        <v>2172</v>
      </c>
      <c r="AL207" s="85">
        <f t="shared" si="950"/>
        <v>0</v>
      </c>
      <c r="AM207" s="110"/>
      <c r="AN207" s="80" t="s">
        <v>2205</v>
      </c>
      <c r="AO207" s="85">
        <f t="shared" si="950"/>
        <v>0</v>
      </c>
      <c r="AP207" s="110"/>
      <c r="AQ207" s="80" t="s">
        <v>2233</v>
      </c>
      <c r="AR207" s="85">
        <f t="shared" si="950"/>
        <v>0</v>
      </c>
      <c r="AS207" s="110"/>
      <c r="AT207" s="80" t="s">
        <v>2254</v>
      </c>
      <c r="AU207" s="85">
        <f t="shared" si="950"/>
        <v>0</v>
      </c>
      <c r="AV207" s="110"/>
      <c r="AW207" s="80" t="s">
        <v>2280</v>
      </c>
      <c r="AX207" s="85">
        <f t="shared" si="950"/>
        <v>0</v>
      </c>
      <c r="AY207" s="110"/>
      <c r="AZ207" s="80" t="s">
        <v>2305</v>
      </c>
      <c r="BA207" s="85">
        <f t="shared" si="950"/>
        <v>0</v>
      </c>
      <c r="BB207" s="110"/>
      <c r="BC207" s="80" t="s">
        <v>2233</v>
      </c>
      <c r="BD207" s="85">
        <f t="shared" si="950"/>
        <v>0</v>
      </c>
      <c r="BE207" s="110"/>
      <c r="BF207" s="80" t="s">
        <v>2026</v>
      </c>
      <c r="BG207" s="85">
        <f t="shared" si="950"/>
        <v>0</v>
      </c>
      <c r="BH207" s="110"/>
      <c r="BI207" s="80" t="s">
        <v>2172</v>
      </c>
      <c r="BJ207" s="85">
        <f t="shared" si="950"/>
        <v>0</v>
      </c>
      <c r="BK207" s="110"/>
      <c r="BL207" s="80" t="s">
        <v>2172</v>
      </c>
      <c r="BM207" s="85">
        <f t="shared" si="950"/>
        <v>0</v>
      </c>
      <c r="BN207" s="110"/>
      <c r="BO207" s="80" t="s">
        <v>2172</v>
      </c>
      <c r="BP207" s="85">
        <f t="shared" si="950"/>
        <v>0</v>
      </c>
      <c r="BQ207" s="110"/>
      <c r="BR207" s="80" t="s">
        <v>2415</v>
      </c>
      <c r="BS207" s="85">
        <f t="shared" si="950"/>
        <v>0</v>
      </c>
      <c r="BT207" s="110"/>
      <c r="BU207" s="80" t="s">
        <v>2415</v>
      </c>
      <c r="BV207" s="85">
        <f t="shared" si="950"/>
        <v>0</v>
      </c>
      <c r="BW207" s="110"/>
      <c r="BX207" s="80" t="s">
        <v>2454</v>
      </c>
      <c r="BY207" s="85">
        <f t="shared" si="950"/>
        <v>0</v>
      </c>
      <c r="BZ207" s="110"/>
      <c r="CA207" s="80" t="s">
        <v>2474</v>
      </c>
      <c r="CB207" s="85">
        <f t="shared" si="950"/>
        <v>0</v>
      </c>
      <c r="CC207" s="110"/>
      <c r="CD207" s="80" t="s">
        <v>2254</v>
      </c>
      <c r="CE207" s="85">
        <f t="shared" si="950"/>
        <v>0</v>
      </c>
      <c r="CF207" s="110"/>
      <c r="CG207" s="80" t="s">
        <v>2515</v>
      </c>
      <c r="CH207" s="85">
        <f t="shared" si="950"/>
        <v>0</v>
      </c>
      <c r="CI207" s="110"/>
      <c r="CJ207" s="80" t="s">
        <v>2026</v>
      </c>
      <c r="CK207" s="85">
        <f t="shared" si="972"/>
        <v>0</v>
      </c>
      <c r="CL207" s="110"/>
      <c r="CM207" s="80" t="s">
        <v>2172</v>
      </c>
      <c r="CN207" s="85">
        <f t="shared" si="972"/>
        <v>0</v>
      </c>
      <c r="CO207" s="110"/>
      <c r="CP207" s="80" t="s">
        <v>2172</v>
      </c>
      <c r="CQ207" s="85">
        <f t="shared" si="972"/>
        <v>0</v>
      </c>
      <c r="CR207" s="110"/>
      <c r="CS207" s="80" t="s">
        <v>2026</v>
      </c>
      <c r="CT207" s="85">
        <f t="shared" si="972"/>
        <v>0</v>
      </c>
      <c r="CU207" s="110"/>
      <c r="CV207" s="80" t="s">
        <v>2087</v>
      </c>
      <c r="CW207" s="85">
        <f t="shared" si="972"/>
        <v>0</v>
      </c>
      <c r="CX207" s="110"/>
      <c r="CY207" s="80" t="s">
        <v>2603</v>
      </c>
      <c r="CZ207" s="85">
        <f t="shared" si="972"/>
        <v>0</v>
      </c>
      <c r="DA207" s="110"/>
      <c r="DB207" s="80" t="s">
        <v>2172</v>
      </c>
      <c r="DC207" s="85">
        <f t="shared" si="972"/>
        <v>0</v>
      </c>
      <c r="DD207" s="110"/>
      <c r="DE207" s="80" t="s">
        <v>2172</v>
      </c>
      <c r="DF207" s="85">
        <f t="shared" si="972"/>
        <v>0</v>
      </c>
      <c r="DG207" s="110"/>
      <c r="DH207" s="80" t="s">
        <v>2172</v>
      </c>
      <c r="DI207" s="85">
        <f t="shared" si="972"/>
        <v>0</v>
      </c>
      <c r="DJ207" s="110"/>
      <c r="DK207" s="80" t="s">
        <v>2415</v>
      </c>
      <c r="DL207" s="85">
        <f t="shared" si="972"/>
        <v>0</v>
      </c>
      <c r="DM207" s="110"/>
      <c r="DN207" s="797" t="s">
        <v>2415</v>
      </c>
      <c r="DO207" s="85">
        <f t="shared" si="972"/>
        <v>0</v>
      </c>
      <c r="DP207" s="110"/>
      <c r="DQ207" s="797" t="s">
        <v>2172</v>
      </c>
      <c r="DR207" s="85">
        <f t="shared" si="972"/>
        <v>0</v>
      </c>
      <c r="DS207" s="110"/>
      <c r="DT207" s="80" t="s">
        <v>2726</v>
      </c>
      <c r="DU207" s="85">
        <f t="shared" si="972"/>
        <v>0</v>
      </c>
      <c r="DV207" s="110"/>
      <c r="DW207" s="80" t="s">
        <v>2233</v>
      </c>
      <c r="DX207" s="85">
        <f t="shared" si="972"/>
        <v>0</v>
      </c>
      <c r="DY207" s="110"/>
      <c r="DZ207" s="80" t="s">
        <v>2515</v>
      </c>
      <c r="EA207" s="85">
        <f t="shared" si="972"/>
        <v>0</v>
      </c>
      <c r="EB207" s="110"/>
      <c r="EC207" s="80" t="s">
        <v>2172</v>
      </c>
      <c r="ED207" s="85">
        <f t="shared" si="972"/>
        <v>0</v>
      </c>
      <c r="EE207" s="110"/>
      <c r="EF207" s="80" t="s">
        <v>2172</v>
      </c>
      <c r="EG207" s="85">
        <f t="shared" si="972"/>
        <v>0</v>
      </c>
      <c r="EH207" s="110"/>
      <c r="EI207" s="80" t="s">
        <v>2233</v>
      </c>
      <c r="EJ207" s="85">
        <f t="shared" si="972"/>
        <v>0</v>
      </c>
      <c r="EK207" s="110"/>
      <c r="EL207" s="80"/>
      <c r="EM207" s="85">
        <f t="shared" si="972"/>
        <v>0</v>
      </c>
      <c r="EN207" s="110"/>
      <c r="EO207" s="80"/>
      <c r="EP207" s="85">
        <f t="shared" si="972"/>
        <v>0</v>
      </c>
      <c r="EQ207" s="110"/>
      <c r="ER207" s="80"/>
      <c r="ES207" s="85">
        <f t="shared" si="972"/>
        <v>0</v>
      </c>
      <c r="ET207" s="110"/>
      <c r="EU207" s="80"/>
      <c r="EV207" s="85">
        <f t="shared" si="972"/>
        <v>0</v>
      </c>
      <c r="EW207" s="110"/>
      <c r="EX207" s="80"/>
      <c r="EY207" s="85">
        <f t="shared" si="994"/>
        <v>0</v>
      </c>
      <c r="EZ207" s="110"/>
      <c r="FA207" s="80"/>
      <c r="FB207" s="85">
        <f t="shared" si="994"/>
        <v>0</v>
      </c>
      <c r="FC207" s="110"/>
      <c r="FD207" s="80"/>
      <c r="FE207" s="85">
        <f t="shared" si="994"/>
        <v>0</v>
      </c>
      <c r="FF207" s="110"/>
      <c r="FG207" s="80"/>
      <c r="FH207" s="85">
        <f t="shared" si="994"/>
        <v>0</v>
      </c>
      <c r="FI207" s="110"/>
      <c r="FJ207" s="80"/>
      <c r="FK207" s="85">
        <f t="shared" si="994"/>
        <v>0</v>
      </c>
      <c r="FL207" s="110"/>
      <c r="FM207" s="110"/>
    </row>
    <row r="208" spans="1:169">
      <c r="A208" s="25"/>
      <c r="B208" s="25"/>
      <c r="C208" s="25"/>
      <c r="D208" s="25"/>
      <c r="E208" s="25"/>
      <c r="F208" s="407"/>
      <c r="G208" s="407"/>
      <c r="H208" s="65"/>
      <c r="I208" s="50"/>
      <c r="J208" s="94"/>
      <c r="K208" s="434" t="str">
        <f>Idiomas!D460</f>
        <v>Partidos 1/8</v>
      </c>
      <c r="L208" s="435"/>
      <c r="M208" s="434" t="str">
        <f>"Max: "&amp;SUM($D$20:$D$22)*SUM($I$200:$I$207)</f>
        <v>Max: 32</v>
      </c>
      <c r="N208" s="25"/>
      <c r="O208" s="25"/>
      <c r="P208" s="25"/>
      <c r="Q208" s="25"/>
      <c r="R208" s="49"/>
      <c r="S208" s="84"/>
      <c r="T208" s="71">
        <f>SUM(T200:T207)</f>
        <v>0</v>
      </c>
      <c r="U208" s="49"/>
      <c r="V208" s="84"/>
      <c r="W208" s="71">
        <f t="shared" ref="W208" si="1001">SUM(W200:W207)</f>
        <v>0</v>
      </c>
      <c r="X208" s="49"/>
      <c r="Y208" s="84"/>
      <c r="Z208" s="71">
        <f t="shared" ref="Z208" si="1002">SUM(Z200:Z207)</f>
        <v>0</v>
      </c>
      <c r="AA208" s="49"/>
      <c r="AB208" s="84"/>
      <c r="AC208" s="71">
        <f t="shared" ref="AC208" si="1003">SUM(AC200:AC207)</f>
        <v>0</v>
      </c>
      <c r="AD208" s="49"/>
      <c r="AE208" s="84"/>
      <c r="AF208" s="71">
        <f t="shared" ref="AF208" si="1004">SUM(AF200:AF207)</f>
        <v>0</v>
      </c>
      <c r="AG208" s="49"/>
      <c r="AH208" s="84"/>
      <c r="AI208" s="71">
        <f t="shared" ref="AI208" si="1005">SUM(AI200:AI207)</f>
        <v>0</v>
      </c>
      <c r="AJ208" s="49"/>
      <c r="AK208" s="84"/>
      <c r="AL208" s="71">
        <f t="shared" ref="AL208" si="1006">SUM(AL200:AL207)</f>
        <v>0</v>
      </c>
      <c r="AM208" s="49"/>
      <c r="AN208" s="84"/>
      <c r="AO208" s="71">
        <f t="shared" ref="AO208" si="1007">SUM(AO200:AO207)</f>
        <v>0</v>
      </c>
      <c r="AP208" s="49"/>
      <c r="AQ208" s="84"/>
      <c r="AR208" s="71">
        <f t="shared" ref="AR208" si="1008">SUM(AR200:AR207)</f>
        <v>0</v>
      </c>
      <c r="AS208" s="49"/>
      <c r="AT208" s="84"/>
      <c r="AU208" s="71">
        <f t="shared" ref="AU208" si="1009">SUM(AU200:AU207)</f>
        <v>0</v>
      </c>
      <c r="AV208" s="49"/>
      <c r="AW208" s="84"/>
      <c r="AX208" s="71">
        <f t="shared" ref="AX208" si="1010">SUM(AX200:AX207)</f>
        <v>0</v>
      </c>
      <c r="AY208" s="49"/>
      <c r="AZ208" s="84"/>
      <c r="BA208" s="71">
        <f t="shared" ref="BA208" si="1011">SUM(BA200:BA207)</f>
        <v>0</v>
      </c>
      <c r="BB208" s="49"/>
      <c r="BC208" s="84"/>
      <c r="BD208" s="71">
        <f t="shared" ref="BD208" si="1012">SUM(BD200:BD207)</f>
        <v>0</v>
      </c>
      <c r="BE208" s="49"/>
      <c r="BF208" s="84"/>
      <c r="BG208" s="71">
        <f t="shared" ref="BG208" si="1013">SUM(BG200:BG207)</f>
        <v>0</v>
      </c>
      <c r="BH208" s="49"/>
      <c r="BI208" s="84"/>
      <c r="BJ208" s="71">
        <f t="shared" ref="BJ208" si="1014">SUM(BJ200:BJ207)</f>
        <v>0</v>
      </c>
      <c r="BK208" s="49"/>
      <c r="BL208" s="84"/>
      <c r="BM208" s="71">
        <f t="shared" ref="BM208" si="1015">SUM(BM200:BM207)</f>
        <v>0</v>
      </c>
      <c r="BN208" s="49"/>
      <c r="BO208" s="84"/>
      <c r="BP208" s="71">
        <f t="shared" ref="BP208" si="1016">SUM(BP200:BP207)</f>
        <v>0</v>
      </c>
      <c r="BQ208" s="49"/>
      <c r="BR208" s="84"/>
      <c r="BS208" s="71">
        <f t="shared" ref="BS208" si="1017">SUM(BS200:BS207)</f>
        <v>0</v>
      </c>
      <c r="BT208" s="49"/>
      <c r="BU208" s="84"/>
      <c r="BV208" s="71">
        <f t="shared" ref="BV208" si="1018">SUM(BV200:BV207)</f>
        <v>0</v>
      </c>
      <c r="BW208" s="49"/>
      <c r="BX208" s="84"/>
      <c r="BY208" s="71">
        <f t="shared" ref="BY208" si="1019">SUM(BY200:BY207)</f>
        <v>0</v>
      </c>
      <c r="BZ208" s="49"/>
      <c r="CA208" s="84"/>
      <c r="CB208" s="71">
        <f t="shared" ref="CB208" si="1020">SUM(CB200:CB207)</f>
        <v>0</v>
      </c>
      <c r="CC208" s="49"/>
      <c r="CD208" s="84"/>
      <c r="CE208" s="71">
        <f t="shared" ref="CE208" si="1021">SUM(CE200:CE207)</f>
        <v>0</v>
      </c>
      <c r="CF208" s="49"/>
      <c r="CG208" s="84"/>
      <c r="CH208" s="71">
        <f t="shared" ref="CH208" si="1022">SUM(CH200:CH207)</f>
        <v>0</v>
      </c>
      <c r="CI208" s="49"/>
      <c r="CJ208" s="84"/>
      <c r="CK208" s="71">
        <f t="shared" ref="CK208" si="1023">SUM(CK200:CK207)</f>
        <v>0</v>
      </c>
      <c r="CL208" s="49"/>
      <c r="CM208" s="84"/>
      <c r="CN208" s="71">
        <f t="shared" ref="CN208" si="1024">SUM(CN200:CN207)</f>
        <v>0</v>
      </c>
      <c r="CO208" s="49"/>
      <c r="CP208" s="84"/>
      <c r="CQ208" s="71">
        <f t="shared" ref="CQ208" si="1025">SUM(CQ200:CQ207)</f>
        <v>0</v>
      </c>
      <c r="CR208" s="49"/>
      <c r="CS208" s="84"/>
      <c r="CT208" s="71">
        <f t="shared" ref="CT208" si="1026">SUM(CT200:CT207)</f>
        <v>0</v>
      </c>
      <c r="CU208" s="49"/>
      <c r="CV208" s="84"/>
      <c r="CW208" s="71">
        <f t="shared" ref="CW208" si="1027">SUM(CW200:CW207)</f>
        <v>0</v>
      </c>
      <c r="CX208" s="49"/>
      <c r="CY208" s="84"/>
      <c r="CZ208" s="71">
        <f t="shared" ref="CZ208" si="1028">SUM(CZ200:CZ207)</f>
        <v>0</v>
      </c>
      <c r="DA208" s="49"/>
      <c r="DB208" s="84"/>
      <c r="DC208" s="71">
        <f t="shared" ref="DC208" si="1029">SUM(DC200:DC207)</f>
        <v>0</v>
      </c>
      <c r="DD208" s="49"/>
      <c r="DE208" s="84"/>
      <c r="DF208" s="71">
        <f t="shared" ref="DF208" si="1030">SUM(DF200:DF207)</f>
        <v>0</v>
      </c>
      <c r="DG208" s="49"/>
      <c r="DH208" s="84"/>
      <c r="DI208" s="71">
        <f t="shared" ref="DI208" si="1031">SUM(DI200:DI207)</f>
        <v>0</v>
      </c>
      <c r="DJ208" s="49"/>
      <c r="DK208" s="84"/>
      <c r="DL208" s="71">
        <f t="shared" ref="DL208" si="1032">SUM(DL200:DL207)</f>
        <v>0</v>
      </c>
      <c r="DM208" s="49"/>
      <c r="DN208" s="796"/>
      <c r="DO208" s="71">
        <f t="shared" ref="DO208" si="1033">SUM(DO200:DO207)</f>
        <v>0</v>
      </c>
      <c r="DP208" s="49"/>
      <c r="DQ208" s="796"/>
      <c r="DR208" s="71">
        <f t="shared" ref="DR208" si="1034">SUM(DR200:DR207)</f>
        <v>0</v>
      </c>
      <c r="DS208" s="49"/>
      <c r="DT208" s="84"/>
      <c r="DU208" s="71">
        <f t="shared" ref="DU208" si="1035">SUM(DU200:DU207)</f>
        <v>0</v>
      </c>
      <c r="DV208" s="49"/>
      <c r="DW208" s="84"/>
      <c r="DX208" s="71">
        <f t="shared" ref="DX208" si="1036">SUM(DX200:DX207)</f>
        <v>0</v>
      </c>
      <c r="DY208" s="49"/>
      <c r="DZ208" s="84"/>
      <c r="EA208" s="71">
        <f t="shared" ref="EA208" si="1037">SUM(EA200:EA207)</f>
        <v>0</v>
      </c>
      <c r="EB208" s="49"/>
      <c r="EC208" s="84"/>
      <c r="ED208" s="71">
        <f t="shared" ref="ED208" si="1038">SUM(ED200:ED207)</f>
        <v>0</v>
      </c>
      <c r="EE208" s="49"/>
      <c r="EF208" s="84"/>
      <c r="EG208" s="71">
        <f t="shared" ref="EG208" si="1039">SUM(EG200:EG207)</f>
        <v>0</v>
      </c>
      <c r="EH208" s="49"/>
      <c r="EI208" s="84"/>
      <c r="EJ208" s="71">
        <f t="shared" ref="EJ208" si="1040">SUM(EJ200:EJ207)</f>
        <v>0</v>
      </c>
      <c r="EK208" s="49"/>
      <c r="EL208" s="84"/>
      <c r="EM208" s="71">
        <f t="shared" ref="EM208" si="1041">SUM(EM200:EM207)</f>
        <v>0</v>
      </c>
      <c r="EN208" s="49"/>
      <c r="EO208" s="84"/>
      <c r="EP208" s="71">
        <f t="shared" ref="EP208" si="1042">SUM(EP200:EP207)</f>
        <v>0</v>
      </c>
      <c r="EQ208" s="49"/>
      <c r="ER208" s="84"/>
      <c r="ES208" s="71">
        <f t="shared" ref="ES208" si="1043">SUM(ES200:ES207)</f>
        <v>0</v>
      </c>
      <c r="ET208" s="49"/>
      <c r="EU208" s="84"/>
      <c r="EV208" s="71">
        <f t="shared" ref="EV208" si="1044">SUM(EV200:EV207)</f>
        <v>0</v>
      </c>
      <c r="EW208" s="49"/>
      <c r="EX208" s="84"/>
      <c r="EY208" s="71">
        <f t="shared" ref="EY208" si="1045">SUM(EY200:EY207)</f>
        <v>0</v>
      </c>
      <c r="EZ208" s="49"/>
      <c r="FA208" s="84"/>
      <c r="FB208" s="71">
        <f t="shared" ref="FB208" si="1046">SUM(FB200:FB207)</f>
        <v>0</v>
      </c>
      <c r="FC208" s="49"/>
      <c r="FD208" s="84"/>
      <c r="FE208" s="71">
        <f t="shared" ref="FE208" si="1047">SUM(FE200:FE207)</f>
        <v>0</v>
      </c>
      <c r="FF208" s="49"/>
      <c r="FG208" s="84"/>
      <c r="FH208" s="71">
        <f t="shared" ref="FH208" si="1048">SUM(FH200:FH207)</f>
        <v>0</v>
      </c>
      <c r="FI208" s="49"/>
      <c r="FJ208" s="84"/>
      <c r="FK208" s="71">
        <f t="shared" ref="FK208" si="1049">SUM(FK200:FK207)</f>
        <v>0</v>
      </c>
      <c r="FL208" s="49"/>
      <c r="FM208" s="49"/>
    </row>
    <row r="209" spans="1:169">
      <c r="A209" s="25"/>
      <c r="B209" s="25"/>
      <c r="C209" s="25"/>
      <c r="D209" s="25"/>
      <c r="E209" s="25"/>
      <c r="F209" s="407"/>
      <c r="G209" s="407"/>
      <c r="H209" s="65"/>
      <c r="I209" s="50"/>
      <c r="J209" s="94"/>
      <c r="K209" s="113" t="str">
        <f>Idiomas!D141</f>
        <v>CLASIFICADOS PARA CUARTOS</v>
      </c>
      <c r="L209" s="50"/>
      <c r="M209" s="71"/>
      <c r="N209" s="25"/>
      <c r="O209" s="25"/>
      <c r="P209" s="25"/>
      <c r="Q209" s="25"/>
      <c r="R209" s="49"/>
      <c r="S209" s="84"/>
      <c r="T209" s="71"/>
      <c r="U209" s="49"/>
      <c r="V209" s="84"/>
      <c r="W209" s="71"/>
      <c r="X209" s="49"/>
      <c r="Y209" s="84"/>
      <c r="Z209" s="71"/>
      <c r="AA209" s="49"/>
      <c r="AB209" s="84"/>
      <c r="AC209" s="71"/>
      <c r="AD209" s="49"/>
      <c r="AE209" s="84"/>
      <c r="AF209" s="71"/>
      <c r="AG209" s="49"/>
      <c r="AH209" s="84"/>
      <c r="AI209" s="71"/>
      <c r="AJ209" s="49"/>
      <c r="AK209" s="84"/>
      <c r="AL209" s="71"/>
      <c r="AM209" s="49"/>
      <c r="AN209" s="84"/>
      <c r="AO209" s="71"/>
      <c r="AP209" s="49"/>
      <c r="AQ209" s="84"/>
      <c r="AR209" s="71"/>
      <c r="AS209" s="49"/>
      <c r="AT209" s="84"/>
      <c r="AU209" s="71"/>
      <c r="AV209" s="49"/>
      <c r="AW209" s="84"/>
      <c r="AX209" s="71"/>
      <c r="AY209" s="49"/>
      <c r="AZ209" s="84"/>
      <c r="BA209" s="71"/>
      <c r="BB209" s="49"/>
      <c r="BC209" s="84"/>
      <c r="BD209" s="71"/>
      <c r="BE209" s="49"/>
      <c r="BF209" s="84"/>
      <c r="BG209" s="71"/>
      <c r="BH209" s="49"/>
      <c r="BI209" s="84"/>
      <c r="BJ209" s="71"/>
      <c r="BK209" s="49"/>
      <c r="BL209" s="84"/>
      <c r="BM209" s="71"/>
      <c r="BN209" s="49"/>
      <c r="BO209" s="84"/>
      <c r="BP209" s="71"/>
      <c r="BQ209" s="49"/>
      <c r="BR209" s="84"/>
      <c r="BS209" s="71"/>
      <c r="BT209" s="49"/>
      <c r="BU209" s="84"/>
      <c r="BV209" s="71"/>
      <c r="BW209" s="49"/>
      <c r="BX209" s="84"/>
      <c r="BY209" s="71"/>
      <c r="BZ209" s="49"/>
      <c r="CA209" s="84"/>
      <c r="CB209" s="71"/>
      <c r="CC209" s="49"/>
      <c r="CD209" s="84"/>
      <c r="CE209" s="71"/>
      <c r="CF209" s="49"/>
      <c r="CG209" s="84"/>
      <c r="CH209" s="71"/>
      <c r="CI209" s="49"/>
      <c r="CJ209" s="84"/>
      <c r="CK209" s="71"/>
      <c r="CL209" s="49"/>
      <c r="CM209" s="84"/>
      <c r="CN209" s="71"/>
      <c r="CO209" s="49"/>
      <c r="CP209" s="84"/>
      <c r="CQ209" s="71"/>
      <c r="CR209" s="49"/>
      <c r="CS209" s="84"/>
      <c r="CT209" s="71"/>
      <c r="CU209" s="49"/>
      <c r="CV209" s="84"/>
      <c r="CW209" s="71"/>
      <c r="CX209" s="49"/>
      <c r="CY209" s="84"/>
      <c r="CZ209" s="71"/>
      <c r="DA209" s="49"/>
      <c r="DB209" s="84"/>
      <c r="DC209" s="71"/>
      <c r="DD209" s="49"/>
      <c r="DE209" s="84"/>
      <c r="DF209" s="71"/>
      <c r="DG209" s="49"/>
      <c r="DH209" s="84"/>
      <c r="DI209" s="71"/>
      <c r="DJ209" s="49"/>
      <c r="DK209" s="84"/>
      <c r="DL209" s="71"/>
      <c r="DM209" s="49"/>
      <c r="DN209" s="796"/>
      <c r="DO209" s="71"/>
      <c r="DP209" s="49"/>
      <c r="DQ209" s="796"/>
      <c r="DR209" s="71"/>
      <c r="DS209" s="49"/>
      <c r="DT209" s="84"/>
      <c r="DU209" s="71"/>
      <c r="DV209" s="49"/>
      <c r="DW209" s="84"/>
      <c r="DX209" s="71"/>
      <c r="DY209" s="49"/>
      <c r="DZ209" s="84"/>
      <c r="EA209" s="71"/>
      <c r="EB209" s="49"/>
      <c r="EC209" s="84"/>
      <c r="ED209" s="71"/>
      <c r="EE209" s="49"/>
      <c r="EF209" s="84"/>
      <c r="EG209" s="71"/>
      <c r="EH209" s="49"/>
      <c r="EI209" s="84"/>
      <c r="EJ209" s="71"/>
      <c r="EK209" s="49"/>
      <c r="EL209" s="84"/>
      <c r="EM209" s="71"/>
      <c r="EN209" s="49"/>
      <c r="EO209" s="84"/>
      <c r="EP209" s="71"/>
      <c r="EQ209" s="49"/>
      <c r="ER209" s="84"/>
      <c r="ES209" s="71"/>
      <c r="ET209" s="49"/>
      <c r="EU209" s="84"/>
      <c r="EV209" s="71"/>
      <c r="EW209" s="49"/>
      <c r="EX209" s="84"/>
      <c r="EY209" s="71"/>
      <c r="EZ209" s="49"/>
      <c r="FA209" s="84"/>
      <c r="FB209" s="71"/>
      <c r="FC209" s="49"/>
      <c r="FD209" s="84"/>
      <c r="FE209" s="71"/>
      <c r="FF209" s="49"/>
      <c r="FG209" s="84"/>
      <c r="FH209" s="71"/>
      <c r="FI209" s="49"/>
      <c r="FJ209" s="84"/>
      <c r="FK209" s="71"/>
      <c r="FL209" s="49"/>
      <c r="FM209" s="49"/>
    </row>
    <row r="210" spans="1:169">
      <c r="A210" s="25"/>
      <c r="B210" s="25"/>
      <c r="C210" s="25"/>
      <c r="D210" s="25"/>
      <c r="E210" s="25"/>
      <c r="F210" s="407">
        <f>+$D$23</f>
        <v>5</v>
      </c>
      <c r="G210" s="407">
        <f ca="1">VLOOKUP(H210,Equipos!$Q$1:$R$25,2,0)</f>
        <v>21</v>
      </c>
      <c r="H210" s="65" t="str">
        <f>Idiomas!$D$261</f>
        <v>Octavos de final</v>
      </c>
      <c r="I210" s="50"/>
      <c r="J210" s="849" t="s">
        <v>34</v>
      </c>
      <c r="K210" s="53" t="str">
        <f>Idiomas!$D$200&amp;"-"&amp;ROWS($L$210:L210)</f>
        <v>Cuartofinalista-1</v>
      </c>
      <c r="L210" s="53"/>
      <c r="M210" s="55" t="str">
        <f>WORLDCUP!AA131</f>
        <v>W89</v>
      </c>
      <c r="N210" s="25"/>
      <c r="O210" s="25"/>
      <c r="P210" s="25"/>
      <c r="Q210" s="25"/>
      <c r="R210" s="110"/>
      <c r="S210" s="76" t="s">
        <v>77</v>
      </c>
      <c r="T210" s="77">
        <f t="shared" ref="T210:T217" si="1050">COUNTIF($M$210:$M$217,S210)*$D$23</f>
        <v>0</v>
      </c>
      <c r="U210" s="110"/>
      <c r="V210" s="76" t="s">
        <v>74</v>
      </c>
      <c r="W210" s="77">
        <f t="shared" ref="W210:W217" si="1051">COUNTIF($M$210:$M$217,V210)*$D$23</f>
        <v>0</v>
      </c>
      <c r="X210" s="110"/>
      <c r="Y210" s="76" t="s">
        <v>74</v>
      </c>
      <c r="Z210" s="77">
        <f t="shared" ref="Z210:Z217" si="1052">COUNTIF($M$210:$M$217,Y210)*$D$23</f>
        <v>0</v>
      </c>
      <c r="AA210" s="110"/>
      <c r="AB210" s="76" t="s">
        <v>74</v>
      </c>
      <c r="AC210" s="77">
        <f t="shared" ref="AC210:AC217" si="1053">COUNTIF($M$210:$M$217,AB210)*$D$23</f>
        <v>0</v>
      </c>
      <c r="AD210" s="110"/>
      <c r="AE210" s="76" t="s">
        <v>74</v>
      </c>
      <c r="AF210" s="77">
        <f t="shared" ref="AF210:AF217" si="1054">COUNTIF($M$210:$M$217,AE210)*$D$23</f>
        <v>0</v>
      </c>
      <c r="AG210" s="110"/>
      <c r="AH210" s="76" t="s">
        <v>74</v>
      </c>
      <c r="AI210" s="77">
        <f t="shared" ref="AI210:AI217" si="1055">COUNTIF($M$210:$M$217,AH210)*$D$23</f>
        <v>0</v>
      </c>
      <c r="AJ210" s="110"/>
      <c r="AK210" s="76" t="s">
        <v>74</v>
      </c>
      <c r="AL210" s="77">
        <f t="shared" ref="AL210:AL217" si="1056">COUNTIF($M$210:$M$217,AK210)*$D$23</f>
        <v>0</v>
      </c>
      <c r="AM210" s="110"/>
      <c r="AN210" s="76" t="s">
        <v>74</v>
      </c>
      <c r="AO210" s="77">
        <f t="shared" ref="AO210:AO217" si="1057">COUNTIF($M$210:$M$217,AN210)*$D$23</f>
        <v>0</v>
      </c>
      <c r="AP210" s="110"/>
      <c r="AQ210" s="76" t="s">
        <v>74</v>
      </c>
      <c r="AR210" s="77">
        <f t="shared" ref="AR210:AR217" si="1058">COUNTIF($M$210:$M$217,AQ210)*$D$23</f>
        <v>0</v>
      </c>
      <c r="AS210" s="110"/>
      <c r="AT210" s="76" t="s">
        <v>74</v>
      </c>
      <c r="AU210" s="77">
        <f t="shared" ref="AU210:AU217" si="1059">COUNTIF($M$210:$M$217,AT210)*$D$23</f>
        <v>0</v>
      </c>
      <c r="AV210" s="110"/>
      <c r="AW210" s="76" t="s">
        <v>74</v>
      </c>
      <c r="AX210" s="77">
        <f t="shared" ref="AX210:AX217" si="1060">COUNTIF($M$210:$M$217,AW210)*$D$23</f>
        <v>0</v>
      </c>
      <c r="AY210" s="110"/>
      <c r="AZ210" s="76" t="s">
        <v>74</v>
      </c>
      <c r="BA210" s="77">
        <f t="shared" ref="BA210:BA217" si="1061">COUNTIF($M$210:$M$217,AZ210)*$D$23</f>
        <v>0</v>
      </c>
      <c r="BB210" s="110"/>
      <c r="BC210" s="76" t="s">
        <v>74</v>
      </c>
      <c r="BD210" s="77">
        <f t="shared" ref="BD210:BD217" si="1062">COUNTIF($M$210:$M$217,BC210)*$D$23</f>
        <v>0</v>
      </c>
      <c r="BE210" s="110"/>
      <c r="BF210" s="76" t="s">
        <v>74</v>
      </c>
      <c r="BG210" s="77">
        <f t="shared" ref="BG210:BG217" si="1063">COUNTIF($M$210:$M$217,BF210)*$D$23</f>
        <v>0</v>
      </c>
      <c r="BH210" s="110"/>
      <c r="BI210" s="76" t="s">
        <v>74</v>
      </c>
      <c r="BJ210" s="77">
        <f t="shared" ref="BJ210:BJ217" si="1064">COUNTIF($M$210:$M$217,BI210)*$D$23</f>
        <v>0</v>
      </c>
      <c r="BK210" s="110"/>
      <c r="BL210" s="76" t="s">
        <v>74</v>
      </c>
      <c r="BM210" s="77">
        <f t="shared" ref="BM210:BM217" si="1065">COUNTIF($M$210:$M$217,BL210)*$D$23</f>
        <v>0</v>
      </c>
      <c r="BN210" s="110"/>
      <c r="BO210" s="76" t="s">
        <v>74</v>
      </c>
      <c r="BP210" s="77">
        <f t="shared" ref="BP210:BP217" si="1066">COUNTIF($M$210:$M$217,BO210)*$D$23</f>
        <v>0</v>
      </c>
      <c r="BQ210" s="110"/>
      <c r="BR210" s="76" t="s">
        <v>74</v>
      </c>
      <c r="BS210" s="77">
        <f t="shared" ref="BS210:BS217" si="1067">COUNTIF($M$210:$M$217,BR210)*$D$23</f>
        <v>0</v>
      </c>
      <c r="BT210" s="110"/>
      <c r="BU210" s="76" t="s">
        <v>74</v>
      </c>
      <c r="BV210" s="77">
        <f t="shared" ref="BV210:BV217" si="1068">COUNTIF($M$210:$M$217,BU210)*$D$23</f>
        <v>0</v>
      </c>
      <c r="BW210" s="110"/>
      <c r="BX210" s="76" t="s">
        <v>74</v>
      </c>
      <c r="BY210" s="77">
        <f t="shared" ref="BY210:BY217" si="1069">COUNTIF($M$210:$M$217,BX210)*$D$23</f>
        <v>0</v>
      </c>
      <c r="BZ210" s="110"/>
      <c r="CA210" s="76" t="s">
        <v>77</v>
      </c>
      <c r="CB210" s="77">
        <f t="shared" ref="CB210:CB217" si="1070">COUNTIF($M$210:$M$217,CA210)*$D$23</f>
        <v>0</v>
      </c>
      <c r="CC210" s="110"/>
      <c r="CD210" s="76" t="s">
        <v>74</v>
      </c>
      <c r="CE210" s="77">
        <f t="shared" ref="CE210:CE217" si="1071">COUNTIF($M$210:$M$217,CD210)*$D$23</f>
        <v>0</v>
      </c>
      <c r="CF210" s="110"/>
      <c r="CG210" s="76" t="s">
        <v>74</v>
      </c>
      <c r="CH210" s="77">
        <f t="shared" ref="CH210:CH217" si="1072">COUNTIF($M$210:$M$217,CG210)*$D$23</f>
        <v>0</v>
      </c>
      <c r="CI210" s="110"/>
      <c r="CJ210" s="76" t="s">
        <v>74</v>
      </c>
      <c r="CK210" s="77">
        <f t="shared" ref="CK210:CK217" si="1073">COUNTIF($M$210:$M$217,CJ210)*$D$23</f>
        <v>0</v>
      </c>
      <c r="CL210" s="110"/>
      <c r="CM210" s="76" t="s">
        <v>74</v>
      </c>
      <c r="CN210" s="77">
        <f t="shared" ref="CN210:CN217" si="1074">COUNTIF($M$210:$M$217,CM210)*$D$23</f>
        <v>0</v>
      </c>
      <c r="CO210" s="110"/>
      <c r="CP210" s="76" t="s">
        <v>74</v>
      </c>
      <c r="CQ210" s="77">
        <f t="shared" ref="CQ210:CQ217" si="1075">COUNTIF($M$210:$M$217,CP210)*$D$23</f>
        <v>0</v>
      </c>
      <c r="CR210" s="110"/>
      <c r="CS210" s="76" t="s">
        <v>74</v>
      </c>
      <c r="CT210" s="77">
        <f t="shared" ref="CT210:CT217" si="1076">COUNTIF($M$210:$M$217,CS210)*$D$23</f>
        <v>0</v>
      </c>
      <c r="CU210" s="110"/>
      <c r="CV210" s="76" t="s">
        <v>74</v>
      </c>
      <c r="CW210" s="77">
        <f t="shared" ref="CW210:CW217" si="1077">COUNTIF($M$210:$M$217,CV210)*$D$23</f>
        <v>0</v>
      </c>
      <c r="CX210" s="110"/>
      <c r="CY210" s="76" t="s">
        <v>74</v>
      </c>
      <c r="CZ210" s="77">
        <f t="shared" ref="CZ210:CZ217" si="1078">COUNTIF($M$210:$M$217,CY210)*$D$23</f>
        <v>0</v>
      </c>
      <c r="DA210" s="110"/>
      <c r="DB210" s="76" t="s">
        <v>74</v>
      </c>
      <c r="DC210" s="77">
        <f t="shared" ref="DC210:DC217" si="1079">COUNTIF($M$210:$M$217,DB210)*$D$23</f>
        <v>0</v>
      </c>
      <c r="DD210" s="110"/>
      <c r="DE210" s="76" t="s">
        <v>77</v>
      </c>
      <c r="DF210" s="77">
        <f t="shared" ref="DF210:DF217" si="1080">COUNTIF($M$210:$M$217,DE210)*$D$23</f>
        <v>0</v>
      </c>
      <c r="DG210" s="110"/>
      <c r="DH210" s="76" t="s">
        <v>74</v>
      </c>
      <c r="DI210" s="77">
        <f t="shared" ref="DI210:DI217" si="1081">COUNTIF($M$210:$M$217,DH210)*$D$23</f>
        <v>0</v>
      </c>
      <c r="DJ210" s="110"/>
      <c r="DK210" s="76" t="s">
        <v>74</v>
      </c>
      <c r="DL210" s="77">
        <f t="shared" ref="DL210:DL217" si="1082">COUNTIF($M$210:$M$217,DK210)*$D$23</f>
        <v>0</v>
      </c>
      <c r="DM210" s="110"/>
      <c r="DN210" s="795" t="s">
        <v>74</v>
      </c>
      <c r="DO210" s="77">
        <f t="shared" ref="DO210:DO217" si="1083">COUNTIF($M$210:$M$217,DN210)*$D$23</f>
        <v>0</v>
      </c>
      <c r="DP210" s="110"/>
      <c r="DQ210" s="795" t="s">
        <v>77</v>
      </c>
      <c r="DR210" s="77">
        <f t="shared" ref="DR210:DR217" si="1084">COUNTIF($M$210:$M$217,DQ210)*$D$23</f>
        <v>0</v>
      </c>
      <c r="DS210" s="110"/>
      <c r="DT210" s="76" t="s">
        <v>77</v>
      </c>
      <c r="DU210" s="77">
        <f t="shared" ref="DU210:DU217" si="1085">COUNTIF($M$210:$M$217,DT210)*$D$23</f>
        <v>0</v>
      </c>
      <c r="DV210" s="110"/>
      <c r="DW210" s="76" t="s">
        <v>74</v>
      </c>
      <c r="DX210" s="77">
        <f t="shared" ref="DX210:DX217" si="1086">COUNTIF($M$210:$M$217,DW210)*$D$23</f>
        <v>0</v>
      </c>
      <c r="DY210" s="110"/>
      <c r="DZ210" s="76" t="s">
        <v>77</v>
      </c>
      <c r="EA210" s="77">
        <f t="shared" ref="EA210:EA217" si="1087">COUNTIF($M$210:$M$217,DZ210)*$D$23</f>
        <v>0</v>
      </c>
      <c r="EB210" s="110"/>
      <c r="EC210" s="76" t="s">
        <v>77</v>
      </c>
      <c r="ED210" s="77">
        <f t="shared" ref="ED210:ED217" si="1088">COUNTIF($M$210:$M$217,EC210)*$D$23</f>
        <v>0</v>
      </c>
      <c r="EE210" s="110"/>
      <c r="EF210" s="76" t="s">
        <v>77</v>
      </c>
      <c r="EG210" s="77">
        <f t="shared" ref="EG210:EG217" si="1089">COUNTIF($M$210:$M$217,EF210)*$D$23</f>
        <v>0</v>
      </c>
      <c r="EH210" s="110"/>
      <c r="EI210" s="76" t="s">
        <v>74</v>
      </c>
      <c r="EJ210" s="77">
        <f t="shared" ref="EJ210:EJ217" si="1090">COUNTIF($M$210:$M$217,EI210)*$D$23</f>
        <v>0</v>
      </c>
      <c r="EK210" s="110"/>
      <c r="EL210" s="76"/>
      <c r="EM210" s="77">
        <f t="shared" ref="EM210:EM217" si="1091">COUNTIF($M$210:$M$217,EL210)*$D$23</f>
        <v>0</v>
      </c>
      <c r="EN210" s="110"/>
      <c r="EO210" s="76"/>
      <c r="EP210" s="77">
        <f t="shared" ref="EP210:EP217" si="1092">COUNTIF($M$210:$M$217,EO210)*$D$23</f>
        <v>0</v>
      </c>
      <c r="EQ210" s="110"/>
      <c r="ER210" s="76"/>
      <c r="ES210" s="77">
        <f t="shared" ref="ES210:ES217" si="1093">COUNTIF($M$210:$M$217,ER210)*$D$23</f>
        <v>0</v>
      </c>
      <c r="ET210" s="110"/>
      <c r="EU210" s="76"/>
      <c r="EV210" s="77">
        <f t="shared" ref="EV210:EV217" si="1094">COUNTIF($M$210:$M$217,EU210)*$D$23</f>
        <v>0</v>
      </c>
      <c r="EW210" s="110"/>
      <c r="EX210" s="76"/>
      <c r="EY210" s="77">
        <f t="shared" ref="EY210:EY217" si="1095">COUNTIF($M$210:$M$217,EX210)*$D$23</f>
        <v>0</v>
      </c>
      <c r="EZ210" s="110"/>
      <c r="FA210" s="76"/>
      <c r="FB210" s="77">
        <f t="shared" ref="FB210:FB217" si="1096">COUNTIF($M$210:$M$217,FA210)*$D$23</f>
        <v>0</v>
      </c>
      <c r="FC210" s="110"/>
      <c r="FD210" s="76"/>
      <c r="FE210" s="77">
        <f t="shared" ref="FE210:FE217" si="1097">COUNTIF($M$210:$M$217,FD210)*$D$23</f>
        <v>0</v>
      </c>
      <c r="FF210" s="110"/>
      <c r="FG210" s="76"/>
      <c r="FH210" s="77">
        <f t="shared" ref="FH210:FH217" si="1098">COUNTIF($M$210:$M$217,FG210)*$D$23</f>
        <v>0</v>
      </c>
      <c r="FI210" s="110"/>
      <c r="FJ210" s="76"/>
      <c r="FK210" s="77">
        <f t="shared" ref="FK210:FK217" si="1099">COUNTIF($M$210:$M$217,FJ210)*$D$23</f>
        <v>0</v>
      </c>
      <c r="FL210" s="110"/>
      <c r="FM210" s="110"/>
    </row>
    <row r="211" spans="1:169">
      <c r="A211" s="25"/>
      <c r="B211" s="25"/>
      <c r="C211" s="25"/>
      <c r="D211" s="25"/>
      <c r="E211" s="25"/>
      <c r="F211" s="407">
        <f t="shared" ref="F211:F217" si="1100">+$D$23</f>
        <v>5</v>
      </c>
      <c r="G211" s="407">
        <f ca="1">VLOOKUP(H211,Equipos!$Q$1:$R$25,2,0)</f>
        <v>21</v>
      </c>
      <c r="H211" s="65" t="str">
        <f>Idiomas!$D$261</f>
        <v>Octavos de final</v>
      </c>
      <c r="I211" s="50"/>
      <c r="J211" s="849"/>
      <c r="K211" s="56" t="str">
        <f>Idiomas!$D$200&amp;"-"&amp;ROWS($L$210:L211)</f>
        <v>Cuartofinalista-2</v>
      </c>
      <c r="L211" s="53"/>
      <c r="M211" s="55" t="str">
        <f>WORLDCUP!AA132</f>
        <v>W93</v>
      </c>
      <c r="N211" s="25"/>
      <c r="O211" s="25"/>
      <c r="P211" s="25"/>
      <c r="Q211" s="25"/>
      <c r="R211" s="110"/>
      <c r="S211" s="74" t="s">
        <v>38</v>
      </c>
      <c r="T211" s="73">
        <f t="shared" si="1050"/>
        <v>0</v>
      </c>
      <c r="U211" s="110"/>
      <c r="V211" s="74" t="s">
        <v>38</v>
      </c>
      <c r="W211" s="73">
        <f t="shared" si="1051"/>
        <v>0</v>
      </c>
      <c r="X211" s="110"/>
      <c r="Y211" s="74" t="s">
        <v>38</v>
      </c>
      <c r="Z211" s="73">
        <f t="shared" si="1052"/>
        <v>0</v>
      </c>
      <c r="AA211" s="110"/>
      <c r="AB211" s="74" t="s">
        <v>38</v>
      </c>
      <c r="AC211" s="73">
        <f t="shared" si="1053"/>
        <v>0</v>
      </c>
      <c r="AD211" s="110"/>
      <c r="AE211" s="74" t="s">
        <v>38</v>
      </c>
      <c r="AF211" s="73">
        <f t="shared" si="1054"/>
        <v>0</v>
      </c>
      <c r="AG211" s="110"/>
      <c r="AH211" s="74" t="s">
        <v>38</v>
      </c>
      <c r="AI211" s="73">
        <f t="shared" si="1055"/>
        <v>0</v>
      </c>
      <c r="AJ211" s="110"/>
      <c r="AK211" s="74" t="s">
        <v>38</v>
      </c>
      <c r="AL211" s="73">
        <f t="shared" si="1056"/>
        <v>0</v>
      </c>
      <c r="AM211" s="110"/>
      <c r="AN211" s="74" t="s">
        <v>1320</v>
      </c>
      <c r="AO211" s="73">
        <f t="shared" si="1057"/>
        <v>0</v>
      </c>
      <c r="AP211" s="110"/>
      <c r="AQ211" s="74" t="s">
        <v>38</v>
      </c>
      <c r="AR211" s="73">
        <f t="shared" si="1058"/>
        <v>0</v>
      </c>
      <c r="AS211" s="110"/>
      <c r="AT211" s="74" t="s">
        <v>38</v>
      </c>
      <c r="AU211" s="73">
        <f t="shared" si="1059"/>
        <v>0</v>
      </c>
      <c r="AV211" s="110"/>
      <c r="AW211" s="74" t="s">
        <v>38</v>
      </c>
      <c r="AX211" s="73">
        <f t="shared" si="1060"/>
        <v>0</v>
      </c>
      <c r="AY211" s="110"/>
      <c r="AZ211" s="74" t="s">
        <v>38</v>
      </c>
      <c r="BA211" s="73">
        <f t="shared" si="1061"/>
        <v>0</v>
      </c>
      <c r="BB211" s="110"/>
      <c r="BC211" s="74" t="s">
        <v>38</v>
      </c>
      <c r="BD211" s="73">
        <f t="shared" si="1062"/>
        <v>0</v>
      </c>
      <c r="BE211" s="110"/>
      <c r="BF211" s="74" t="s">
        <v>38</v>
      </c>
      <c r="BG211" s="73">
        <f t="shared" si="1063"/>
        <v>0</v>
      </c>
      <c r="BH211" s="110"/>
      <c r="BI211" s="74" t="s">
        <v>38</v>
      </c>
      <c r="BJ211" s="73">
        <f t="shared" si="1064"/>
        <v>0</v>
      </c>
      <c r="BK211" s="110"/>
      <c r="BL211" s="74" t="s">
        <v>38</v>
      </c>
      <c r="BM211" s="73">
        <f t="shared" si="1065"/>
        <v>0</v>
      </c>
      <c r="BN211" s="110"/>
      <c r="BO211" s="74" t="s">
        <v>38</v>
      </c>
      <c r="BP211" s="73">
        <f t="shared" si="1066"/>
        <v>0</v>
      </c>
      <c r="BQ211" s="110"/>
      <c r="BR211" s="74" t="s">
        <v>38</v>
      </c>
      <c r="BS211" s="73">
        <f t="shared" si="1067"/>
        <v>0</v>
      </c>
      <c r="BT211" s="110"/>
      <c r="BU211" s="74" t="s">
        <v>38</v>
      </c>
      <c r="BV211" s="73">
        <f t="shared" si="1068"/>
        <v>0</v>
      </c>
      <c r="BW211" s="110"/>
      <c r="BX211" s="74" t="s">
        <v>38</v>
      </c>
      <c r="BY211" s="73">
        <f t="shared" si="1069"/>
        <v>0</v>
      </c>
      <c r="BZ211" s="110"/>
      <c r="CA211" s="74" t="s">
        <v>38</v>
      </c>
      <c r="CB211" s="73">
        <f t="shared" si="1070"/>
        <v>0</v>
      </c>
      <c r="CC211" s="110"/>
      <c r="CD211" s="74" t="s">
        <v>38</v>
      </c>
      <c r="CE211" s="73">
        <f t="shared" si="1071"/>
        <v>0</v>
      </c>
      <c r="CF211" s="110"/>
      <c r="CG211" s="74" t="s">
        <v>38</v>
      </c>
      <c r="CH211" s="73">
        <f t="shared" si="1072"/>
        <v>0</v>
      </c>
      <c r="CI211" s="110"/>
      <c r="CJ211" s="74" t="s">
        <v>38</v>
      </c>
      <c r="CK211" s="73">
        <f t="shared" si="1073"/>
        <v>0</v>
      </c>
      <c r="CL211" s="110"/>
      <c r="CM211" s="74" t="s">
        <v>38</v>
      </c>
      <c r="CN211" s="73">
        <f t="shared" si="1074"/>
        <v>0</v>
      </c>
      <c r="CO211" s="110"/>
      <c r="CP211" s="74" t="s">
        <v>38</v>
      </c>
      <c r="CQ211" s="73">
        <f t="shared" si="1075"/>
        <v>0</v>
      </c>
      <c r="CR211" s="110"/>
      <c r="CS211" s="74" t="s">
        <v>38</v>
      </c>
      <c r="CT211" s="73">
        <f t="shared" si="1076"/>
        <v>0</v>
      </c>
      <c r="CU211" s="110"/>
      <c r="CV211" s="74" t="s">
        <v>38</v>
      </c>
      <c r="CW211" s="73">
        <f t="shared" si="1077"/>
        <v>0</v>
      </c>
      <c r="CX211" s="110"/>
      <c r="CY211" s="74" t="s">
        <v>38</v>
      </c>
      <c r="CZ211" s="73">
        <f t="shared" si="1078"/>
        <v>0</v>
      </c>
      <c r="DA211" s="110"/>
      <c r="DB211" s="74" t="s">
        <v>38</v>
      </c>
      <c r="DC211" s="73">
        <f t="shared" si="1079"/>
        <v>0</v>
      </c>
      <c r="DD211" s="110"/>
      <c r="DE211" s="74" t="s">
        <v>78</v>
      </c>
      <c r="DF211" s="73">
        <f t="shared" si="1080"/>
        <v>0</v>
      </c>
      <c r="DG211" s="110"/>
      <c r="DH211" s="74" t="s">
        <v>38</v>
      </c>
      <c r="DI211" s="73">
        <f t="shared" si="1081"/>
        <v>0</v>
      </c>
      <c r="DJ211" s="110"/>
      <c r="DK211" s="74" t="s">
        <v>38</v>
      </c>
      <c r="DL211" s="73">
        <f t="shared" si="1082"/>
        <v>0</v>
      </c>
      <c r="DM211" s="110"/>
      <c r="DN211" s="795" t="s">
        <v>38</v>
      </c>
      <c r="DO211" s="73">
        <f t="shared" si="1083"/>
        <v>0</v>
      </c>
      <c r="DP211" s="110"/>
      <c r="DQ211" s="795" t="s">
        <v>76</v>
      </c>
      <c r="DR211" s="73">
        <f t="shared" si="1084"/>
        <v>0</v>
      </c>
      <c r="DS211" s="110"/>
      <c r="DT211" s="74" t="s">
        <v>38</v>
      </c>
      <c r="DU211" s="73">
        <f t="shared" si="1085"/>
        <v>0</v>
      </c>
      <c r="DV211" s="110"/>
      <c r="DW211" s="74" t="s">
        <v>38</v>
      </c>
      <c r="DX211" s="73">
        <f t="shared" si="1086"/>
        <v>0</v>
      </c>
      <c r="DY211" s="110"/>
      <c r="DZ211" s="74" t="s">
        <v>38</v>
      </c>
      <c r="EA211" s="73">
        <f t="shared" si="1087"/>
        <v>0</v>
      </c>
      <c r="EB211" s="110"/>
      <c r="EC211" s="74" t="s">
        <v>38</v>
      </c>
      <c r="ED211" s="73">
        <f t="shared" si="1088"/>
        <v>0</v>
      </c>
      <c r="EE211" s="110"/>
      <c r="EF211" s="74" t="s">
        <v>38</v>
      </c>
      <c r="EG211" s="73">
        <f t="shared" si="1089"/>
        <v>0</v>
      </c>
      <c r="EH211" s="110"/>
      <c r="EI211" s="74" t="s">
        <v>38</v>
      </c>
      <c r="EJ211" s="73">
        <f t="shared" si="1090"/>
        <v>0</v>
      </c>
      <c r="EK211" s="110"/>
      <c r="EL211" s="74"/>
      <c r="EM211" s="73">
        <f t="shared" si="1091"/>
        <v>0</v>
      </c>
      <c r="EN211" s="110"/>
      <c r="EO211" s="74"/>
      <c r="EP211" s="73">
        <f t="shared" si="1092"/>
        <v>0</v>
      </c>
      <c r="EQ211" s="110"/>
      <c r="ER211" s="74"/>
      <c r="ES211" s="73">
        <f t="shared" si="1093"/>
        <v>0</v>
      </c>
      <c r="ET211" s="110"/>
      <c r="EU211" s="74"/>
      <c r="EV211" s="73">
        <f t="shared" si="1094"/>
        <v>0</v>
      </c>
      <c r="EW211" s="110"/>
      <c r="EX211" s="74"/>
      <c r="EY211" s="73">
        <f t="shared" si="1095"/>
        <v>0</v>
      </c>
      <c r="EZ211" s="110"/>
      <c r="FA211" s="74"/>
      <c r="FB211" s="73">
        <f t="shared" si="1096"/>
        <v>0</v>
      </c>
      <c r="FC211" s="110"/>
      <c r="FD211" s="74"/>
      <c r="FE211" s="73">
        <f t="shared" si="1097"/>
        <v>0</v>
      </c>
      <c r="FF211" s="110"/>
      <c r="FG211" s="74"/>
      <c r="FH211" s="73">
        <f t="shared" si="1098"/>
        <v>0</v>
      </c>
      <c r="FI211" s="110"/>
      <c r="FJ211" s="74"/>
      <c r="FK211" s="73">
        <f t="shared" si="1099"/>
        <v>0</v>
      </c>
      <c r="FL211" s="110"/>
      <c r="FM211" s="110"/>
    </row>
    <row r="212" spans="1:169">
      <c r="A212" s="25"/>
      <c r="B212" s="25"/>
      <c r="C212" s="25"/>
      <c r="D212" s="25"/>
      <c r="E212" s="25"/>
      <c r="F212" s="407">
        <f t="shared" si="1100"/>
        <v>5</v>
      </c>
      <c r="G212" s="407">
        <f ca="1">VLOOKUP(H212,Equipos!$Q$1:$R$25,2,0)</f>
        <v>21</v>
      </c>
      <c r="H212" s="65" t="str">
        <f>Idiomas!$D$261</f>
        <v>Octavos de final</v>
      </c>
      <c r="I212" s="50"/>
      <c r="J212" s="849"/>
      <c r="K212" s="56" t="str">
        <f>Idiomas!$D$200&amp;"-"&amp;ROWS($L$210:L212)</f>
        <v>Cuartofinalista-3</v>
      </c>
      <c r="L212" s="53"/>
      <c r="M212" s="55" t="str">
        <f>WORLDCUP!AA133</f>
        <v>W91</v>
      </c>
      <c r="N212" s="25"/>
      <c r="O212" s="25"/>
      <c r="P212" s="25"/>
      <c r="Q212" s="25"/>
      <c r="R212" s="110"/>
      <c r="S212" s="74" t="s">
        <v>1258</v>
      </c>
      <c r="T212" s="73">
        <f t="shared" si="1050"/>
        <v>0</v>
      </c>
      <c r="U212" s="110"/>
      <c r="V212" s="74" t="s">
        <v>1258</v>
      </c>
      <c r="W212" s="73">
        <f t="shared" si="1051"/>
        <v>0</v>
      </c>
      <c r="X212" s="110"/>
      <c r="Y212" s="74" t="s">
        <v>1258</v>
      </c>
      <c r="Z212" s="73">
        <f t="shared" si="1052"/>
        <v>0</v>
      </c>
      <c r="AA212" s="110"/>
      <c r="AB212" s="74" t="s">
        <v>1258</v>
      </c>
      <c r="AC212" s="73">
        <f t="shared" si="1053"/>
        <v>0</v>
      </c>
      <c r="AD212" s="110"/>
      <c r="AE212" s="74" t="s">
        <v>1258</v>
      </c>
      <c r="AF212" s="73">
        <f t="shared" si="1054"/>
        <v>0</v>
      </c>
      <c r="AG212" s="110"/>
      <c r="AH212" s="74" t="s">
        <v>1321</v>
      </c>
      <c r="AI212" s="73">
        <f t="shared" si="1055"/>
        <v>0</v>
      </c>
      <c r="AJ212" s="110"/>
      <c r="AK212" s="74" t="s">
        <v>1261</v>
      </c>
      <c r="AL212" s="73">
        <f t="shared" si="1056"/>
        <v>0</v>
      </c>
      <c r="AM212" s="110"/>
      <c r="AN212" s="74" t="s">
        <v>135</v>
      </c>
      <c r="AO212" s="73">
        <f t="shared" si="1057"/>
        <v>0</v>
      </c>
      <c r="AP212" s="110"/>
      <c r="AQ212" s="74" t="s">
        <v>1258</v>
      </c>
      <c r="AR212" s="73">
        <f t="shared" si="1058"/>
        <v>0</v>
      </c>
      <c r="AS212" s="110"/>
      <c r="AT212" s="74" t="s">
        <v>1258</v>
      </c>
      <c r="AU212" s="73">
        <f t="shared" si="1059"/>
        <v>0</v>
      </c>
      <c r="AV212" s="110"/>
      <c r="AW212" s="74" t="s">
        <v>1258</v>
      </c>
      <c r="AX212" s="73">
        <f t="shared" si="1060"/>
        <v>0</v>
      </c>
      <c r="AY212" s="110"/>
      <c r="AZ212" s="74" t="s">
        <v>1258</v>
      </c>
      <c r="BA212" s="73">
        <f t="shared" si="1061"/>
        <v>0</v>
      </c>
      <c r="BB212" s="110"/>
      <c r="BC212" s="74" t="s">
        <v>1258</v>
      </c>
      <c r="BD212" s="73">
        <f t="shared" si="1062"/>
        <v>0</v>
      </c>
      <c r="BE212" s="110"/>
      <c r="BF212" s="74" t="s">
        <v>1258</v>
      </c>
      <c r="BG212" s="73">
        <f t="shared" si="1063"/>
        <v>0</v>
      </c>
      <c r="BH212" s="110"/>
      <c r="BI212" s="74" t="s">
        <v>1258</v>
      </c>
      <c r="BJ212" s="73">
        <f t="shared" si="1064"/>
        <v>0</v>
      </c>
      <c r="BK212" s="110"/>
      <c r="BL212" s="74" t="s">
        <v>1258</v>
      </c>
      <c r="BM212" s="73">
        <f t="shared" si="1065"/>
        <v>0</v>
      </c>
      <c r="BN212" s="110"/>
      <c r="BO212" s="74" t="s">
        <v>1258</v>
      </c>
      <c r="BP212" s="73">
        <f t="shared" si="1066"/>
        <v>0</v>
      </c>
      <c r="BQ212" s="110"/>
      <c r="BR212" s="74" t="s">
        <v>1258</v>
      </c>
      <c r="BS212" s="73">
        <f t="shared" si="1067"/>
        <v>0</v>
      </c>
      <c r="BT212" s="110"/>
      <c r="BU212" s="74" t="s">
        <v>1258</v>
      </c>
      <c r="BV212" s="73">
        <f t="shared" si="1068"/>
        <v>0</v>
      </c>
      <c r="BW212" s="110"/>
      <c r="BX212" s="74" t="s">
        <v>1258</v>
      </c>
      <c r="BY212" s="73">
        <f t="shared" si="1069"/>
        <v>0</v>
      </c>
      <c r="BZ212" s="110"/>
      <c r="CA212" s="74" t="s">
        <v>134</v>
      </c>
      <c r="CB212" s="73">
        <f t="shared" si="1070"/>
        <v>0</v>
      </c>
      <c r="CC212" s="110"/>
      <c r="CD212" s="74" t="s">
        <v>1258</v>
      </c>
      <c r="CE212" s="73">
        <f t="shared" si="1071"/>
        <v>0</v>
      </c>
      <c r="CF212" s="110"/>
      <c r="CG212" s="74" t="s">
        <v>1258</v>
      </c>
      <c r="CH212" s="73">
        <f t="shared" si="1072"/>
        <v>0</v>
      </c>
      <c r="CI212" s="110"/>
      <c r="CJ212" s="74" t="s">
        <v>1258</v>
      </c>
      <c r="CK212" s="73">
        <f t="shared" si="1073"/>
        <v>0</v>
      </c>
      <c r="CL212" s="110"/>
      <c r="CM212" s="74" t="s">
        <v>135</v>
      </c>
      <c r="CN212" s="73">
        <f t="shared" si="1074"/>
        <v>0</v>
      </c>
      <c r="CO212" s="110"/>
      <c r="CP212" s="74" t="s">
        <v>1258</v>
      </c>
      <c r="CQ212" s="73">
        <f t="shared" si="1075"/>
        <v>0</v>
      </c>
      <c r="CR212" s="110"/>
      <c r="CS212" s="74" t="s">
        <v>1258</v>
      </c>
      <c r="CT212" s="73">
        <f t="shared" si="1076"/>
        <v>0</v>
      </c>
      <c r="CU212" s="110"/>
      <c r="CV212" s="74" t="s">
        <v>1258</v>
      </c>
      <c r="CW212" s="73">
        <f t="shared" si="1077"/>
        <v>0</v>
      </c>
      <c r="CX212" s="110"/>
      <c r="CY212" s="74" t="s">
        <v>135</v>
      </c>
      <c r="CZ212" s="73">
        <f t="shared" si="1078"/>
        <v>0</v>
      </c>
      <c r="DA212" s="110"/>
      <c r="DB212" s="74" t="s">
        <v>1258</v>
      </c>
      <c r="DC212" s="73">
        <f t="shared" si="1079"/>
        <v>0</v>
      </c>
      <c r="DD212" s="110"/>
      <c r="DE212" s="74" t="s">
        <v>1258</v>
      </c>
      <c r="DF212" s="73">
        <f t="shared" si="1080"/>
        <v>0</v>
      </c>
      <c r="DG212" s="110"/>
      <c r="DH212" s="74" t="s">
        <v>1258</v>
      </c>
      <c r="DI212" s="73">
        <f t="shared" si="1081"/>
        <v>0</v>
      </c>
      <c r="DJ212" s="110"/>
      <c r="DK212" s="74" t="s">
        <v>1261</v>
      </c>
      <c r="DL212" s="73">
        <f t="shared" si="1082"/>
        <v>0</v>
      </c>
      <c r="DM212" s="110"/>
      <c r="DN212" s="795" t="s">
        <v>1258</v>
      </c>
      <c r="DO212" s="73">
        <f t="shared" si="1083"/>
        <v>0</v>
      </c>
      <c r="DP212" s="110"/>
      <c r="DQ212" s="795" t="s">
        <v>111</v>
      </c>
      <c r="DR212" s="73">
        <f t="shared" si="1084"/>
        <v>0</v>
      </c>
      <c r="DS212" s="110"/>
      <c r="DT212" s="74" t="s">
        <v>1321</v>
      </c>
      <c r="DU212" s="73">
        <f t="shared" si="1085"/>
        <v>0</v>
      </c>
      <c r="DV212" s="110"/>
      <c r="DW212" s="74" t="s">
        <v>135</v>
      </c>
      <c r="DX212" s="73">
        <f t="shared" si="1086"/>
        <v>0</v>
      </c>
      <c r="DY212" s="110"/>
      <c r="DZ212" s="74" t="s">
        <v>1258</v>
      </c>
      <c r="EA212" s="73">
        <f t="shared" si="1087"/>
        <v>0</v>
      </c>
      <c r="EB212" s="110"/>
      <c r="EC212" s="74" t="s">
        <v>1258</v>
      </c>
      <c r="ED212" s="73">
        <f t="shared" si="1088"/>
        <v>0</v>
      </c>
      <c r="EE212" s="110"/>
      <c r="EF212" s="74" t="s">
        <v>1258</v>
      </c>
      <c r="EG212" s="73">
        <f t="shared" si="1089"/>
        <v>0</v>
      </c>
      <c r="EH212" s="110"/>
      <c r="EI212" s="74" t="s">
        <v>1258</v>
      </c>
      <c r="EJ212" s="73">
        <f t="shared" si="1090"/>
        <v>0</v>
      </c>
      <c r="EK212" s="110"/>
      <c r="EL212" s="74"/>
      <c r="EM212" s="73">
        <f t="shared" si="1091"/>
        <v>0</v>
      </c>
      <c r="EN212" s="110"/>
      <c r="EO212" s="74"/>
      <c r="EP212" s="73">
        <f t="shared" si="1092"/>
        <v>0</v>
      </c>
      <c r="EQ212" s="110"/>
      <c r="ER212" s="74"/>
      <c r="ES212" s="73">
        <f t="shared" si="1093"/>
        <v>0</v>
      </c>
      <c r="ET212" s="110"/>
      <c r="EU212" s="74"/>
      <c r="EV212" s="73">
        <f t="shared" si="1094"/>
        <v>0</v>
      </c>
      <c r="EW212" s="110"/>
      <c r="EX212" s="74"/>
      <c r="EY212" s="73">
        <f t="shared" si="1095"/>
        <v>0</v>
      </c>
      <c r="EZ212" s="110"/>
      <c r="FA212" s="74"/>
      <c r="FB212" s="73">
        <f t="shared" si="1096"/>
        <v>0</v>
      </c>
      <c r="FC212" s="110"/>
      <c r="FD212" s="74"/>
      <c r="FE212" s="73">
        <f t="shared" si="1097"/>
        <v>0</v>
      </c>
      <c r="FF212" s="110"/>
      <c r="FG212" s="74"/>
      <c r="FH212" s="73">
        <f t="shared" si="1098"/>
        <v>0</v>
      </c>
      <c r="FI212" s="110"/>
      <c r="FJ212" s="74"/>
      <c r="FK212" s="73">
        <f t="shared" si="1099"/>
        <v>0</v>
      </c>
      <c r="FL212" s="110"/>
      <c r="FM212" s="110"/>
    </row>
    <row r="213" spans="1:169">
      <c r="A213" s="25"/>
      <c r="B213" s="25"/>
      <c r="C213" s="25"/>
      <c r="D213" s="25"/>
      <c r="E213" s="25"/>
      <c r="F213" s="407">
        <f t="shared" si="1100"/>
        <v>5</v>
      </c>
      <c r="G213" s="407">
        <f ca="1">VLOOKUP(H213,Equipos!$Q$1:$R$25,2,0)</f>
        <v>21</v>
      </c>
      <c r="H213" s="65" t="str">
        <f>Idiomas!$D$261</f>
        <v>Octavos de final</v>
      </c>
      <c r="I213" s="50"/>
      <c r="J213" s="849"/>
      <c r="K213" s="56" t="str">
        <f>Idiomas!$D$200&amp;"-"&amp;ROWS($L$210:L213)</f>
        <v>Cuartofinalista-4</v>
      </c>
      <c r="L213" s="53"/>
      <c r="M213" s="55" t="str">
        <f>WORLDCUP!AA134</f>
        <v>W95</v>
      </c>
      <c r="N213" s="25"/>
      <c r="O213" s="25"/>
      <c r="P213" s="25"/>
      <c r="Q213" s="25"/>
      <c r="R213" s="110"/>
      <c r="S213" s="74" t="s">
        <v>1256</v>
      </c>
      <c r="T213" s="73">
        <f t="shared" si="1050"/>
        <v>0</v>
      </c>
      <c r="U213" s="110"/>
      <c r="V213" s="74" t="s">
        <v>1256</v>
      </c>
      <c r="W213" s="73">
        <f t="shared" si="1051"/>
        <v>0</v>
      </c>
      <c r="X213" s="110"/>
      <c r="Y213" s="74" t="s">
        <v>1256</v>
      </c>
      <c r="Z213" s="73">
        <f t="shared" si="1052"/>
        <v>0</v>
      </c>
      <c r="AA213" s="110"/>
      <c r="AB213" s="74" t="s">
        <v>1256</v>
      </c>
      <c r="AC213" s="73">
        <f t="shared" si="1053"/>
        <v>0</v>
      </c>
      <c r="AD213" s="110"/>
      <c r="AE213" s="74" t="s">
        <v>1256</v>
      </c>
      <c r="AF213" s="73">
        <f t="shared" si="1054"/>
        <v>0</v>
      </c>
      <c r="AG213" s="110"/>
      <c r="AH213" s="74" t="s">
        <v>1256</v>
      </c>
      <c r="AI213" s="73">
        <f t="shared" si="1055"/>
        <v>0</v>
      </c>
      <c r="AJ213" s="110"/>
      <c r="AK213" s="74" t="s">
        <v>1256</v>
      </c>
      <c r="AL213" s="73">
        <f t="shared" si="1056"/>
        <v>0</v>
      </c>
      <c r="AM213" s="110"/>
      <c r="AN213" s="74" t="s">
        <v>1318</v>
      </c>
      <c r="AO213" s="73">
        <f t="shared" si="1057"/>
        <v>0</v>
      </c>
      <c r="AP213" s="110"/>
      <c r="AQ213" s="74" t="s">
        <v>1256</v>
      </c>
      <c r="AR213" s="73">
        <f t="shared" si="1058"/>
        <v>0</v>
      </c>
      <c r="AS213" s="110"/>
      <c r="AT213" s="74" t="s">
        <v>1318</v>
      </c>
      <c r="AU213" s="73">
        <f t="shared" si="1059"/>
        <v>0</v>
      </c>
      <c r="AV213" s="110"/>
      <c r="AW213" s="74" t="s">
        <v>1319</v>
      </c>
      <c r="AX213" s="73">
        <f t="shared" si="1060"/>
        <v>0</v>
      </c>
      <c r="AY213" s="110"/>
      <c r="AZ213" s="74" t="s">
        <v>1256</v>
      </c>
      <c r="BA213" s="73">
        <f t="shared" si="1061"/>
        <v>0</v>
      </c>
      <c r="BB213" s="110"/>
      <c r="BC213" s="74" t="s">
        <v>1256</v>
      </c>
      <c r="BD213" s="73">
        <f t="shared" si="1062"/>
        <v>0</v>
      </c>
      <c r="BE213" s="110"/>
      <c r="BF213" s="74" t="s">
        <v>1256</v>
      </c>
      <c r="BG213" s="73">
        <f t="shared" si="1063"/>
        <v>0</v>
      </c>
      <c r="BH213" s="110"/>
      <c r="BI213" s="74" t="s">
        <v>1256</v>
      </c>
      <c r="BJ213" s="73">
        <f t="shared" si="1064"/>
        <v>0</v>
      </c>
      <c r="BK213" s="110"/>
      <c r="BL213" s="74" t="s">
        <v>1256</v>
      </c>
      <c r="BM213" s="73">
        <f t="shared" si="1065"/>
        <v>0</v>
      </c>
      <c r="BN213" s="110"/>
      <c r="BO213" s="74" t="s">
        <v>1256</v>
      </c>
      <c r="BP213" s="73">
        <f t="shared" si="1066"/>
        <v>0</v>
      </c>
      <c r="BQ213" s="110"/>
      <c r="BR213" s="74" t="s">
        <v>1256</v>
      </c>
      <c r="BS213" s="73">
        <f t="shared" si="1067"/>
        <v>0</v>
      </c>
      <c r="BT213" s="110"/>
      <c r="BU213" s="74" t="s">
        <v>1256</v>
      </c>
      <c r="BV213" s="73">
        <f t="shared" si="1068"/>
        <v>0</v>
      </c>
      <c r="BW213" s="110"/>
      <c r="BX213" s="74" t="s">
        <v>1256</v>
      </c>
      <c r="BY213" s="73">
        <f t="shared" si="1069"/>
        <v>0</v>
      </c>
      <c r="BZ213" s="110"/>
      <c r="CA213" s="74" t="s">
        <v>1256</v>
      </c>
      <c r="CB213" s="73">
        <f t="shared" si="1070"/>
        <v>0</v>
      </c>
      <c r="CC213" s="110"/>
      <c r="CD213" s="74" t="s">
        <v>1256</v>
      </c>
      <c r="CE213" s="73">
        <f t="shared" si="1071"/>
        <v>0</v>
      </c>
      <c r="CF213" s="110"/>
      <c r="CG213" s="74" t="s">
        <v>1256</v>
      </c>
      <c r="CH213" s="73">
        <f t="shared" si="1072"/>
        <v>0</v>
      </c>
      <c r="CI213" s="110"/>
      <c r="CJ213" s="74" t="s">
        <v>1256</v>
      </c>
      <c r="CK213" s="73">
        <f t="shared" si="1073"/>
        <v>0</v>
      </c>
      <c r="CL213" s="110"/>
      <c r="CM213" s="74" t="s">
        <v>1256</v>
      </c>
      <c r="CN213" s="73">
        <f t="shared" si="1074"/>
        <v>0</v>
      </c>
      <c r="CO213" s="110"/>
      <c r="CP213" s="74" t="s">
        <v>1256</v>
      </c>
      <c r="CQ213" s="73">
        <f t="shared" si="1075"/>
        <v>0</v>
      </c>
      <c r="CR213" s="110"/>
      <c r="CS213" s="74" t="s">
        <v>1256</v>
      </c>
      <c r="CT213" s="73">
        <f t="shared" si="1076"/>
        <v>0</v>
      </c>
      <c r="CU213" s="110"/>
      <c r="CV213" s="74" t="s">
        <v>1256</v>
      </c>
      <c r="CW213" s="73">
        <f t="shared" si="1077"/>
        <v>0</v>
      </c>
      <c r="CX213" s="110"/>
      <c r="CY213" s="74" t="s">
        <v>1256</v>
      </c>
      <c r="CZ213" s="73">
        <f t="shared" si="1078"/>
        <v>0</v>
      </c>
      <c r="DA213" s="110"/>
      <c r="DB213" s="74" t="s">
        <v>1256</v>
      </c>
      <c r="DC213" s="73">
        <f t="shared" si="1079"/>
        <v>0</v>
      </c>
      <c r="DD213" s="110"/>
      <c r="DE213" s="74" t="s">
        <v>1256</v>
      </c>
      <c r="DF213" s="73">
        <f t="shared" si="1080"/>
        <v>0</v>
      </c>
      <c r="DG213" s="110"/>
      <c r="DH213" s="74" t="s">
        <v>1256</v>
      </c>
      <c r="DI213" s="73">
        <f t="shared" si="1081"/>
        <v>0</v>
      </c>
      <c r="DJ213" s="110"/>
      <c r="DK213" s="74" t="s">
        <v>1256</v>
      </c>
      <c r="DL213" s="73">
        <f t="shared" si="1082"/>
        <v>0</v>
      </c>
      <c r="DM213" s="110"/>
      <c r="DN213" s="795" t="s">
        <v>1256</v>
      </c>
      <c r="DO213" s="73">
        <f t="shared" si="1083"/>
        <v>0</v>
      </c>
      <c r="DP213" s="110"/>
      <c r="DQ213" s="795" t="s">
        <v>1256</v>
      </c>
      <c r="DR213" s="73">
        <f t="shared" si="1084"/>
        <v>0</v>
      </c>
      <c r="DS213" s="110"/>
      <c r="DT213" s="74" t="s">
        <v>1835</v>
      </c>
      <c r="DU213" s="73">
        <f t="shared" si="1085"/>
        <v>0</v>
      </c>
      <c r="DV213" s="110"/>
      <c r="DW213" s="74" t="s">
        <v>1256</v>
      </c>
      <c r="DX213" s="73">
        <f t="shared" si="1086"/>
        <v>0</v>
      </c>
      <c r="DY213" s="110"/>
      <c r="DZ213" s="74" t="s">
        <v>1256</v>
      </c>
      <c r="EA213" s="73">
        <f t="shared" si="1087"/>
        <v>0</v>
      </c>
      <c r="EB213" s="110"/>
      <c r="EC213" s="74" t="s">
        <v>1256</v>
      </c>
      <c r="ED213" s="73">
        <f t="shared" si="1088"/>
        <v>0</v>
      </c>
      <c r="EE213" s="110"/>
      <c r="EF213" s="74" t="s">
        <v>1318</v>
      </c>
      <c r="EG213" s="73">
        <f t="shared" si="1089"/>
        <v>0</v>
      </c>
      <c r="EH213" s="110"/>
      <c r="EI213" s="74" t="s">
        <v>1256</v>
      </c>
      <c r="EJ213" s="73">
        <f t="shared" si="1090"/>
        <v>0</v>
      </c>
      <c r="EK213" s="110"/>
      <c r="EL213" s="74"/>
      <c r="EM213" s="73">
        <f t="shared" si="1091"/>
        <v>0</v>
      </c>
      <c r="EN213" s="110"/>
      <c r="EO213" s="74"/>
      <c r="EP213" s="73">
        <f t="shared" si="1092"/>
        <v>0</v>
      </c>
      <c r="EQ213" s="110"/>
      <c r="ER213" s="74"/>
      <c r="ES213" s="73">
        <f t="shared" si="1093"/>
        <v>0</v>
      </c>
      <c r="ET213" s="110"/>
      <c r="EU213" s="74"/>
      <c r="EV213" s="73">
        <f t="shared" si="1094"/>
        <v>0</v>
      </c>
      <c r="EW213" s="110"/>
      <c r="EX213" s="74"/>
      <c r="EY213" s="73">
        <f t="shared" si="1095"/>
        <v>0</v>
      </c>
      <c r="EZ213" s="110"/>
      <c r="FA213" s="74"/>
      <c r="FB213" s="73">
        <f t="shared" si="1096"/>
        <v>0</v>
      </c>
      <c r="FC213" s="110"/>
      <c r="FD213" s="74"/>
      <c r="FE213" s="73">
        <f t="shared" si="1097"/>
        <v>0</v>
      </c>
      <c r="FF213" s="110"/>
      <c r="FG213" s="74"/>
      <c r="FH213" s="73">
        <f t="shared" si="1098"/>
        <v>0</v>
      </c>
      <c r="FI213" s="110"/>
      <c r="FJ213" s="74"/>
      <c r="FK213" s="73">
        <f t="shared" si="1099"/>
        <v>0</v>
      </c>
      <c r="FL213" s="110"/>
      <c r="FM213" s="110"/>
    </row>
    <row r="214" spans="1:169">
      <c r="A214" s="25"/>
      <c r="B214" s="25"/>
      <c r="C214" s="89"/>
      <c r="D214" s="25"/>
      <c r="E214" s="25"/>
      <c r="F214" s="407">
        <f t="shared" si="1100"/>
        <v>5</v>
      </c>
      <c r="G214" s="407">
        <f ca="1">VLOOKUP(H214,Equipos!$Q$1:$R$25,2,0)</f>
        <v>21</v>
      </c>
      <c r="H214" s="65" t="str">
        <f>Idiomas!$D$261</f>
        <v>Octavos de final</v>
      </c>
      <c r="I214" s="50"/>
      <c r="J214" s="849"/>
      <c r="K214" s="56" t="str">
        <f>Idiomas!$D$200&amp;"-"&amp;ROWS($L$210:L214)</f>
        <v>Cuartofinalista-5</v>
      </c>
      <c r="L214" s="53"/>
      <c r="M214" s="55" t="str">
        <f>WORLDCUP!AF131</f>
        <v>W90</v>
      </c>
      <c r="N214" s="25"/>
      <c r="O214" s="25"/>
      <c r="P214" s="25"/>
      <c r="Q214" s="25"/>
      <c r="R214" s="110"/>
      <c r="S214" s="74" t="s">
        <v>1321</v>
      </c>
      <c r="T214" s="73">
        <f t="shared" si="1050"/>
        <v>0</v>
      </c>
      <c r="U214" s="110"/>
      <c r="V214" s="74" t="s">
        <v>111</v>
      </c>
      <c r="W214" s="73">
        <f t="shared" si="1051"/>
        <v>0</v>
      </c>
      <c r="X214" s="110"/>
      <c r="Y214" s="74" t="s">
        <v>111</v>
      </c>
      <c r="Z214" s="73">
        <f t="shared" si="1052"/>
        <v>0</v>
      </c>
      <c r="AA214" s="110"/>
      <c r="AB214" s="74" t="s">
        <v>111</v>
      </c>
      <c r="AC214" s="73">
        <f t="shared" si="1053"/>
        <v>0</v>
      </c>
      <c r="AD214" s="110"/>
      <c r="AE214" s="74" t="s">
        <v>1321</v>
      </c>
      <c r="AF214" s="73">
        <f t="shared" si="1054"/>
        <v>0</v>
      </c>
      <c r="AG214" s="110"/>
      <c r="AH214" s="74" t="s">
        <v>1258</v>
      </c>
      <c r="AI214" s="73">
        <f t="shared" si="1055"/>
        <v>0</v>
      </c>
      <c r="AJ214" s="110"/>
      <c r="AK214" s="74" t="s">
        <v>111</v>
      </c>
      <c r="AL214" s="73">
        <f t="shared" si="1056"/>
        <v>0</v>
      </c>
      <c r="AM214" s="110"/>
      <c r="AN214" s="74" t="s">
        <v>111</v>
      </c>
      <c r="AO214" s="73">
        <f t="shared" si="1057"/>
        <v>0</v>
      </c>
      <c r="AP214" s="110"/>
      <c r="AQ214" s="74" t="s">
        <v>1321</v>
      </c>
      <c r="AR214" s="73">
        <f t="shared" si="1058"/>
        <v>0</v>
      </c>
      <c r="AS214" s="110"/>
      <c r="AT214" s="74" t="s">
        <v>111</v>
      </c>
      <c r="AU214" s="73">
        <f t="shared" si="1059"/>
        <v>0</v>
      </c>
      <c r="AV214" s="110"/>
      <c r="AW214" s="74" t="s">
        <v>111</v>
      </c>
      <c r="AX214" s="73">
        <f t="shared" si="1060"/>
        <v>0</v>
      </c>
      <c r="AY214" s="110"/>
      <c r="AZ214" s="74" t="s">
        <v>1260</v>
      </c>
      <c r="BA214" s="73">
        <f t="shared" si="1061"/>
        <v>0</v>
      </c>
      <c r="BB214" s="110"/>
      <c r="BC214" s="74" t="s">
        <v>1265</v>
      </c>
      <c r="BD214" s="73">
        <f t="shared" si="1062"/>
        <v>0</v>
      </c>
      <c r="BE214" s="110"/>
      <c r="BF214" s="74" t="s">
        <v>111</v>
      </c>
      <c r="BG214" s="73">
        <f t="shared" si="1063"/>
        <v>0</v>
      </c>
      <c r="BH214" s="110"/>
      <c r="BI214" s="74" t="s">
        <v>111</v>
      </c>
      <c r="BJ214" s="73">
        <f t="shared" si="1064"/>
        <v>0</v>
      </c>
      <c r="BK214" s="110"/>
      <c r="BL214" s="74" t="s">
        <v>1321</v>
      </c>
      <c r="BM214" s="73">
        <f t="shared" si="1065"/>
        <v>0</v>
      </c>
      <c r="BN214" s="110"/>
      <c r="BO214" s="74" t="s">
        <v>1321</v>
      </c>
      <c r="BP214" s="73">
        <f t="shared" si="1066"/>
        <v>0</v>
      </c>
      <c r="BQ214" s="110"/>
      <c r="BR214" s="74" t="s">
        <v>1321</v>
      </c>
      <c r="BS214" s="73">
        <f t="shared" si="1067"/>
        <v>0</v>
      </c>
      <c r="BT214" s="110"/>
      <c r="BU214" s="74" t="s">
        <v>1265</v>
      </c>
      <c r="BV214" s="73">
        <f t="shared" si="1068"/>
        <v>0</v>
      </c>
      <c r="BW214" s="110"/>
      <c r="BX214" s="74" t="s">
        <v>1321</v>
      </c>
      <c r="BY214" s="73">
        <f t="shared" si="1069"/>
        <v>0</v>
      </c>
      <c r="BZ214" s="110"/>
      <c r="CA214" s="74" t="s">
        <v>1258</v>
      </c>
      <c r="CB214" s="73">
        <f t="shared" si="1070"/>
        <v>0</v>
      </c>
      <c r="CC214" s="110"/>
      <c r="CD214" s="74" t="s">
        <v>1260</v>
      </c>
      <c r="CE214" s="73">
        <f t="shared" si="1071"/>
        <v>0</v>
      </c>
      <c r="CF214" s="110"/>
      <c r="CG214" s="74" t="s">
        <v>111</v>
      </c>
      <c r="CH214" s="73">
        <f t="shared" si="1072"/>
        <v>0</v>
      </c>
      <c r="CI214" s="110"/>
      <c r="CJ214" s="74" t="s">
        <v>111</v>
      </c>
      <c r="CK214" s="73">
        <f t="shared" si="1073"/>
        <v>0</v>
      </c>
      <c r="CL214" s="110"/>
      <c r="CM214" s="74" t="s">
        <v>1263</v>
      </c>
      <c r="CN214" s="73">
        <f t="shared" si="1074"/>
        <v>0</v>
      </c>
      <c r="CO214" s="110"/>
      <c r="CP214" s="74" t="s">
        <v>1321</v>
      </c>
      <c r="CQ214" s="73">
        <f t="shared" si="1075"/>
        <v>0</v>
      </c>
      <c r="CR214" s="110"/>
      <c r="CS214" s="74" t="s">
        <v>1321</v>
      </c>
      <c r="CT214" s="73">
        <f t="shared" si="1076"/>
        <v>0</v>
      </c>
      <c r="CU214" s="110"/>
      <c r="CV214" s="74" t="s">
        <v>1321</v>
      </c>
      <c r="CW214" s="73">
        <f t="shared" si="1077"/>
        <v>0</v>
      </c>
      <c r="CX214" s="110"/>
      <c r="CY214" s="74" t="s">
        <v>1833</v>
      </c>
      <c r="CZ214" s="73">
        <f t="shared" si="1078"/>
        <v>0</v>
      </c>
      <c r="DA214" s="110"/>
      <c r="DB214" s="74" t="s">
        <v>1321</v>
      </c>
      <c r="DC214" s="73">
        <f t="shared" si="1079"/>
        <v>0</v>
      </c>
      <c r="DD214" s="110"/>
      <c r="DE214" s="74" t="s">
        <v>111</v>
      </c>
      <c r="DF214" s="73">
        <f t="shared" si="1080"/>
        <v>0</v>
      </c>
      <c r="DG214" s="110"/>
      <c r="DH214" s="74" t="s">
        <v>111</v>
      </c>
      <c r="DI214" s="73">
        <f t="shared" si="1081"/>
        <v>0</v>
      </c>
      <c r="DJ214" s="110"/>
      <c r="DK214" s="74" t="s">
        <v>1258</v>
      </c>
      <c r="DL214" s="73">
        <f t="shared" si="1082"/>
        <v>0</v>
      </c>
      <c r="DM214" s="110"/>
      <c r="DN214" s="795" t="s">
        <v>111</v>
      </c>
      <c r="DO214" s="73">
        <f t="shared" si="1083"/>
        <v>0</v>
      </c>
      <c r="DP214" s="110"/>
      <c r="DQ214" s="795" t="s">
        <v>1258</v>
      </c>
      <c r="DR214" s="73">
        <f t="shared" si="1084"/>
        <v>0</v>
      </c>
      <c r="DS214" s="110"/>
      <c r="DT214" s="74" t="s">
        <v>134</v>
      </c>
      <c r="DU214" s="73">
        <f t="shared" si="1085"/>
        <v>0</v>
      </c>
      <c r="DV214" s="110"/>
      <c r="DW214" s="74" t="s">
        <v>111</v>
      </c>
      <c r="DX214" s="73">
        <f t="shared" si="1086"/>
        <v>0</v>
      </c>
      <c r="DY214" s="110"/>
      <c r="DZ214" s="74" t="s">
        <v>111</v>
      </c>
      <c r="EA214" s="73">
        <f t="shared" si="1087"/>
        <v>0</v>
      </c>
      <c r="EB214" s="110"/>
      <c r="EC214" s="74" t="s">
        <v>111</v>
      </c>
      <c r="ED214" s="73">
        <f t="shared" si="1088"/>
        <v>0</v>
      </c>
      <c r="EE214" s="110"/>
      <c r="EF214" s="74" t="s">
        <v>111</v>
      </c>
      <c r="EG214" s="73">
        <f t="shared" si="1089"/>
        <v>0</v>
      </c>
      <c r="EH214" s="110"/>
      <c r="EI214" s="74" t="s">
        <v>1321</v>
      </c>
      <c r="EJ214" s="73">
        <f t="shared" si="1090"/>
        <v>0</v>
      </c>
      <c r="EK214" s="110"/>
      <c r="EL214" s="74"/>
      <c r="EM214" s="73">
        <f t="shared" si="1091"/>
        <v>0</v>
      </c>
      <c r="EN214" s="110"/>
      <c r="EO214" s="74"/>
      <c r="EP214" s="73">
        <f t="shared" si="1092"/>
        <v>0</v>
      </c>
      <c r="EQ214" s="110"/>
      <c r="ER214" s="74"/>
      <c r="ES214" s="73">
        <f t="shared" si="1093"/>
        <v>0</v>
      </c>
      <c r="ET214" s="110"/>
      <c r="EU214" s="74"/>
      <c r="EV214" s="73">
        <f t="shared" si="1094"/>
        <v>0</v>
      </c>
      <c r="EW214" s="110"/>
      <c r="EX214" s="74"/>
      <c r="EY214" s="73">
        <f t="shared" si="1095"/>
        <v>0</v>
      </c>
      <c r="EZ214" s="110"/>
      <c r="FA214" s="74"/>
      <c r="FB214" s="73">
        <f t="shared" si="1096"/>
        <v>0</v>
      </c>
      <c r="FC214" s="110"/>
      <c r="FD214" s="74"/>
      <c r="FE214" s="73">
        <f t="shared" si="1097"/>
        <v>0</v>
      </c>
      <c r="FF214" s="110"/>
      <c r="FG214" s="74"/>
      <c r="FH214" s="73">
        <f t="shared" si="1098"/>
        <v>0</v>
      </c>
      <c r="FI214" s="110"/>
      <c r="FJ214" s="74"/>
      <c r="FK214" s="73">
        <f t="shared" si="1099"/>
        <v>0</v>
      </c>
      <c r="FL214" s="110"/>
      <c r="FM214" s="110"/>
    </row>
    <row r="215" spans="1:169">
      <c r="A215" s="25"/>
      <c r="B215" s="25"/>
      <c r="C215" s="89"/>
      <c r="D215" s="25"/>
      <c r="E215" s="25"/>
      <c r="F215" s="407">
        <f t="shared" si="1100"/>
        <v>5</v>
      </c>
      <c r="G215" s="407">
        <f ca="1">VLOOKUP(H215,Equipos!$Q$1:$R$25,2,0)</f>
        <v>21</v>
      </c>
      <c r="H215" s="65" t="str">
        <f>Idiomas!$D$261</f>
        <v>Octavos de final</v>
      </c>
      <c r="I215" s="50"/>
      <c r="J215" s="849"/>
      <c r="K215" s="56" t="str">
        <f>Idiomas!$D$200&amp;"-"&amp;ROWS($L$210:L215)</f>
        <v>Cuartofinalista-6</v>
      </c>
      <c r="L215" s="53"/>
      <c r="M215" s="55" t="str">
        <f>WORLDCUP!AF132</f>
        <v>W94</v>
      </c>
      <c r="N215" s="25"/>
      <c r="O215" s="25"/>
      <c r="P215" s="25"/>
      <c r="Q215" s="25"/>
      <c r="R215" s="110"/>
      <c r="S215" s="74" t="s">
        <v>497</v>
      </c>
      <c r="T215" s="73">
        <f t="shared" si="1050"/>
        <v>0</v>
      </c>
      <c r="U215" s="110"/>
      <c r="V215" s="74" t="s">
        <v>135</v>
      </c>
      <c r="W215" s="73">
        <f t="shared" si="1051"/>
        <v>0</v>
      </c>
      <c r="X215" s="110"/>
      <c r="Y215" s="74" t="s">
        <v>110</v>
      </c>
      <c r="Z215" s="73">
        <f t="shared" si="1052"/>
        <v>0</v>
      </c>
      <c r="AA215" s="110"/>
      <c r="AB215" s="74" t="s">
        <v>1835</v>
      </c>
      <c r="AC215" s="73">
        <f t="shared" si="1053"/>
        <v>0</v>
      </c>
      <c r="AD215" s="110"/>
      <c r="AE215" s="74" t="s">
        <v>110</v>
      </c>
      <c r="AF215" s="73">
        <f t="shared" si="1054"/>
        <v>0</v>
      </c>
      <c r="AG215" s="110"/>
      <c r="AH215" s="74" t="s">
        <v>110</v>
      </c>
      <c r="AI215" s="73">
        <f t="shared" si="1055"/>
        <v>0</v>
      </c>
      <c r="AJ215" s="110"/>
      <c r="AK215" s="74" t="s">
        <v>1835</v>
      </c>
      <c r="AL215" s="73">
        <f t="shared" si="1056"/>
        <v>0</v>
      </c>
      <c r="AM215" s="110"/>
      <c r="AN215" s="74" t="s">
        <v>110</v>
      </c>
      <c r="AO215" s="73">
        <f t="shared" si="1057"/>
        <v>0</v>
      </c>
      <c r="AP215" s="110"/>
      <c r="AQ215" s="74" t="s">
        <v>110</v>
      </c>
      <c r="AR215" s="73">
        <f t="shared" si="1058"/>
        <v>0</v>
      </c>
      <c r="AS215" s="110"/>
      <c r="AT215" s="74" t="s">
        <v>1835</v>
      </c>
      <c r="AU215" s="73">
        <f t="shared" si="1059"/>
        <v>0</v>
      </c>
      <c r="AV215" s="110"/>
      <c r="AW215" s="74" t="s">
        <v>110</v>
      </c>
      <c r="AX215" s="73">
        <f t="shared" si="1060"/>
        <v>0</v>
      </c>
      <c r="AY215" s="110"/>
      <c r="AZ215" s="74" t="s">
        <v>1835</v>
      </c>
      <c r="BA215" s="73">
        <f t="shared" si="1061"/>
        <v>0</v>
      </c>
      <c r="BB215" s="110"/>
      <c r="BC215" s="74" t="s">
        <v>110</v>
      </c>
      <c r="BD215" s="73">
        <f t="shared" si="1062"/>
        <v>0</v>
      </c>
      <c r="BE215" s="110"/>
      <c r="BF215" s="74" t="s">
        <v>110</v>
      </c>
      <c r="BG215" s="73">
        <f t="shared" si="1063"/>
        <v>0</v>
      </c>
      <c r="BH215" s="110"/>
      <c r="BI215" s="74" t="s">
        <v>1835</v>
      </c>
      <c r="BJ215" s="73">
        <f t="shared" si="1064"/>
        <v>0</v>
      </c>
      <c r="BK215" s="110"/>
      <c r="BL215" s="74" t="s">
        <v>110</v>
      </c>
      <c r="BM215" s="73">
        <f t="shared" si="1065"/>
        <v>0</v>
      </c>
      <c r="BN215" s="110"/>
      <c r="BO215" s="74" t="s">
        <v>1835</v>
      </c>
      <c r="BP215" s="73">
        <f t="shared" si="1066"/>
        <v>0</v>
      </c>
      <c r="BQ215" s="110"/>
      <c r="BR215" s="74" t="s">
        <v>1835</v>
      </c>
      <c r="BS215" s="73">
        <f t="shared" si="1067"/>
        <v>0</v>
      </c>
      <c r="BT215" s="110"/>
      <c r="BU215" s="74" t="s">
        <v>110</v>
      </c>
      <c r="BV215" s="73">
        <f t="shared" si="1068"/>
        <v>0</v>
      </c>
      <c r="BW215" s="110"/>
      <c r="BX215" s="74" t="s">
        <v>135</v>
      </c>
      <c r="BY215" s="73">
        <f t="shared" si="1069"/>
        <v>0</v>
      </c>
      <c r="BZ215" s="110"/>
      <c r="CA215" s="74" t="s">
        <v>110</v>
      </c>
      <c r="CB215" s="73">
        <f t="shared" si="1070"/>
        <v>0</v>
      </c>
      <c r="CC215" s="110"/>
      <c r="CD215" s="74" t="s">
        <v>1835</v>
      </c>
      <c r="CE215" s="73">
        <f t="shared" si="1071"/>
        <v>0</v>
      </c>
      <c r="CF215" s="110"/>
      <c r="CG215" s="74" t="s">
        <v>135</v>
      </c>
      <c r="CH215" s="73">
        <f t="shared" si="1072"/>
        <v>0</v>
      </c>
      <c r="CI215" s="110"/>
      <c r="CJ215" s="74" t="s">
        <v>110</v>
      </c>
      <c r="CK215" s="73">
        <f t="shared" si="1073"/>
        <v>0</v>
      </c>
      <c r="CL215" s="110"/>
      <c r="CM215" s="74" t="s">
        <v>1835</v>
      </c>
      <c r="CN215" s="73">
        <f t="shared" si="1074"/>
        <v>0</v>
      </c>
      <c r="CO215" s="110"/>
      <c r="CP215" s="74" t="s">
        <v>1835</v>
      </c>
      <c r="CQ215" s="73">
        <f t="shared" si="1075"/>
        <v>0</v>
      </c>
      <c r="CR215" s="110"/>
      <c r="CS215" s="74" t="s">
        <v>110</v>
      </c>
      <c r="CT215" s="73">
        <f t="shared" si="1076"/>
        <v>0</v>
      </c>
      <c r="CU215" s="110"/>
      <c r="CV215" s="74" t="s">
        <v>110</v>
      </c>
      <c r="CW215" s="73">
        <f t="shared" si="1077"/>
        <v>0</v>
      </c>
      <c r="CX215" s="110"/>
      <c r="CY215" s="74" t="s">
        <v>110</v>
      </c>
      <c r="CZ215" s="73">
        <f t="shared" si="1078"/>
        <v>0</v>
      </c>
      <c r="DA215" s="110"/>
      <c r="DB215" s="74" t="s">
        <v>110</v>
      </c>
      <c r="DC215" s="73">
        <f t="shared" si="1079"/>
        <v>0</v>
      </c>
      <c r="DD215" s="110"/>
      <c r="DE215" s="74" t="s">
        <v>1835</v>
      </c>
      <c r="DF215" s="73">
        <f t="shared" si="1080"/>
        <v>0</v>
      </c>
      <c r="DG215" s="110"/>
      <c r="DH215" s="74" t="s">
        <v>1835</v>
      </c>
      <c r="DI215" s="73">
        <f t="shared" si="1081"/>
        <v>0</v>
      </c>
      <c r="DJ215" s="110"/>
      <c r="DK215" s="74" t="s">
        <v>1835</v>
      </c>
      <c r="DL215" s="73">
        <f t="shared" si="1082"/>
        <v>0</v>
      </c>
      <c r="DM215" s="110"/>
      <c r="DN215" s="795" t="s">
        <v>1835</v>
      </c>
      <c r="DO215" s="73">
        <f t="shared" si="1083"/>
        <v>0</v>
      </c>
      <c r="DP215" s="110"/>
      <c r="DQ215" s="795" t="s">
        <v>135</v>
      </c>
      <c r="DR215" s="73">
        <f t="shared" si="1084"/>
        <v>0</v>
      </c>
      <c r="DS215" s="110"/>
      <c r="DT215" s="74" t="s">
        <v>110</v>
      </c>
      <c r="DU215" s="73">
        <f t="shared" si="1085"/>
        <v>0</v>
      </c>
      <c r="DV215" s="110"/>
      <c r="DW215" s="74" t="s">
        <v>1633</v>
      </c>
      <c r="DX215" s="73">
        <f t="shared" si="1086"/>
        <v>0</v>
      </c>
      <c r="DY215" s="110"/>
      <c r="DZ215" s="74" t="s">
        <v>497</v>
      </c>
      <c r="EA215" s="73">
        <f t="shared" si="1087"/>
        <v>0</v>
      </c>
      <c r="EB215" s="110"/>
      <c r="EC215" s="74" t="s">
        <v>1835</v>
      </c>
      <c r="ED215" s="73">
        <f t="shared" si="1088"/>
        <v>0</v>
      </c>
      <c r="EE215" s="110"/>
      <c r="EF215" s="74" t="s">
        <v>497</v>
      </c>
      <c r="EG215" s="73">
        <f t="shared" si="1089"/>
        <v>0</v>
      </c>
      <c r="EH215" s="110"/>
      <c r="EI215" s="74" t="s">
        <v>1835</v>
      </c>
      <c r="EJ215" s="73">
        <f t="shared" si="1090"/>
        <v>0</v>
      </c>
      <c r="EK215" s="110"/>
      <c r="EL215" s="74"/>
      <c r="EM215" s="73">
        <f t="shared" si="1091"/>
        <v>0</v>
      </c>
      <c r="EN215" s="110"/>
      <c r="EO215" s="74"/>
      <c r="EP215" s="73">
        <f t="shared" si="1092"/>
        <v>0</v>
      </c>
      <c r="EQ215" s="110"/>
      <c r="ER215" s="74"/>
      <c r="ES215" s="73">
        <f t="shared" si="1093"/>
        <v>0</v>
      </c>
      <c r="ET215" s="110"/>
      <c r="EU215" s="74"/>
      <c r="EV215" s="73">
        <f t="shared" si="1094"/>
        <v>0</v>
      </c>
      <c r="EW215" s="110"/>
      <c r="EX215" s="74"/>
      <c r="EY215" s="73">
        <f t="shared" si="1095"/>
        <v>0</v>
      </c>
      <c r="EZ215" s="110"/>
      <c r="FA215" s="74"/>
      <c r="FB215" s="73">
        <f t="shared" si="1096"/>
        <v>0</v>
      </c>
      <c r="FC215" s="110"/>
      <c r="FD215" s="74"/>
      <c r="FE215" s="73">
        <f t="shared" si="1097"/>
        <v>0</v>
      </c>
      <c r="FF215" s="110"/>
      <c r="FG215" s="74"/>
      <c r="FH215" s="73">
        <f t="shared" si="1098"/>
        <v>0</v>
      </c>
      <c r="FI215" s="110"/>
      <c r="FJ215" s="74"/>
      <c r="FK215" s="73">
        <f t="shared" si="1099"/>
        <v>0</v>
      </c>
      <c r="FL215" s="110"/>
      <c r="FM215" s="110"/>
    </row>
    <row r="216" spans="1:169">
      <c r="A216" s="25"/>
      <c r="B216" s="25"/>
      <c r="C216" s="25"/>
      <c r="D216" s="25"/>
      <c r="E216" s="25"/>
      <c r="F216" s="407">
        <f t="shared" si="1100"/>
        <v>5</v>
      </c>
      <c r="G216" s="407">
        <f ca="1">VLOOKUP(H216,Equipos!$Q$1:$R$25,2,0)</f>
        <v>21</v>
      </c>
      <c r="H216" s="65" t="str">
        <f>Idiomas!$D$261</f>
        <v>Octavos de final</v>
      </c>
      <c r="I216" s="50"/>
      <c r="J216" s="849"/>
      <c r="K216" s="56" t="str">
        <f>Idiomas!$D$200&amp;"-"&amp;ROWS($L$210:L216)</f>
        <v>Cuartofinalista-7</v>
      </c>
      <c r="L216" s="53"/>
      <c r="M216" s="55" t="str">
        <f>WORLDCUP!AF133</f>
        <v>W92</v>
      </c>
      <c r="N216" s="25"/>
      <c r="O216" s="25"/>
      <c r="P216" s="25"/>
      <c r="Q216" s="25"/>
      <c r="R216" s="110"/>
      <c r="S216" s="74" t="s">
        <v>76</v>
      </c>
      <c r="T216" s="73">
        <f t="shared" si="1050"/>
        <v>0</v>
      </c>
      <c r="U216" s="110"/>
      <c r="V216" s="74" t="s">
        <v>76</v>
      </c>
      <c r="W216" s="73">
        <f t="shared" si="1051"/>
        <v>0</v>
      </c>
      <c r="X216" s="110"/>
      <c r="Y216" s="74" t="s">
        <v>76</v>
      </c>
      <c r="Z216" s="73">
        <f t="shared" si="1052"/>
        <v>0</v>
      </c>
      <c r="AA216" s="110"/>
      <c r="AB216" s="74" t="s">
        <v>76</v>
      </c>
      <c r="AC216" s="73">
        <f t="shared" si="1053"/>
        <v>0</v>
      </c>
      <c r="AD216" s="110"/>
      <c r="AE216" s="74" t="s">
        <v>76</v>
      </c>
      <c r="AF216" s="73">
        <f t="shared" si="1054"/>
        <v>0</v>
      </c>
      <c r="AG216" s="110"/>
      <c r="AH216" s="74" t="s">
        <v>78</v>
      </c>
      <c r="AI216" s="73">
        <f t="shared" si="1055"/>
        <v>0</v>
      </c>
      <c r="AJ216" s="110"/>
      <c r="AK216" s="74" t="s">
        <v>76</v>
      </c>
      <c r="AL216" s="73">
        <f t="shared" si="1056"/>
        <v>0</v>
      </c>
      <c r="AM216" s="110"/>
      <c r="AN216" s="74" t="s">
        <v>76</v>
      </c>
      <c r="AO216" s="73">
        <f t="shared" si="1057"/>
        <v>0</v>
      </c>
      <c r="AP216" s="110"/>
      <c r="AQ216" s="74" t="s">
        <v>76</v>
      </c>
      <c r="AR216" s="73">
        <f t="shared" si="1058"/>
        <v>0</v>
      </c>
      <c r="AS216" s="110"/>
      <c r="AT216" s="74" t="s">
        <v>76</v>
      </c>
      <c r="AU216" s="73">
        <f t="shared" si="1059"/>
        <v>0</v>
      </c>
      <c r="AV216" s="110"/>
      <c r="AW216" s="74" t="s">
        <v>76</v>
      </c>
      <c r="AX216" s="73">
        <f t="shared" si="1060"/>
        <v>0</v>
      </c>
      <c r="AY216" s="110"/>
      <c r="AZ216" s="74" t="s">
        <v>76</v>
      </c>
      <c r="BA216" s="73">
        <f t="shared" si="1061"/>
        <v>0</v>
      </c>
      <c r="BB216" s="110"/>
      <c r="BC216" s="74" t="s">
        <v>78</v>
      </c>
      <c r="BD216" s="73">
        <f t="shared" si="1062"/>
        <v>0</v>
      </c>
      <c r="BE216" s="110"/>
      <c r="BF216" s="74" t="s">
        <v>76</v>
      </c>
      <c r="BG216" s="73">
        <f t="shared" si="1063"/>
        <v>0</v>
      </c>
      <c r="BH216" s="110"/>
      <c r="BI216" s="74" t="s">
        <v>76</v>
      </c>
      <c r="BJ216" s="73">
        <f t="shared" si="1064"/>
        <v>0</v>
      </c>
      <c r="BK216" s="110"/>
      <c r="BL216" s="74" t="s">
        <v>76</v>
      </c>
      <c r="BM216" s="73">
        <f t="shared" si="1065"/>
        <v>0</v>
      </c>
      <c r="BN216" s="110"/>
      <c r="BO216" s="74" t="s">
        <v>76</v>
      </c>
      <c r="BP216" s="73">
        <f t="shared" si="1066"/>
        <v>0</v>
      </c>
      <c r="BQ216" s="110"/>
      <c r="BR216" s="74" t="s">
        <v>76</v>
      </c>
      <c r="BS216" s="73">
        <f t="shared" si="1067"/>
        <v>0</v>
      </c>
      <c r="BT216" s="110"/>
      <c r="BU216" s="74" t="s">
        <v>76</v>
      </c>
      <c r="BV216" s="73">
        <f t="shared" si="1068"/>
        <v>0</v>
      </c>
      <c r="BW216" s="110"/>
      <c r="BX216" s="74" t="s">
        <v>76</v>
      </c>
      <c r="BY216" s="73">
        <f t="shared" si="1069"/>
        <v>0</v>
      </c>
      <c r="BZ216" s="110"/>
      <c r="CA216" s="74" t="s">
        <v>76</v>
      </c>
      <c r="CB216" s="73">
        <f t="shared" si="1070"/>
        <v>0</v>
      </c>
      <c r="CC216" s="110"/>
      <c r="CD216" s="74" t="s">
        <v>1265</v>
      </c>
      <c r="CE216" s="73">
        <f t="shared" si="1071"/>
        <v>0</v>
      </c>
      <c r="CF216" s="110"/>
      <c r="CG216" s="74" t="s">
        <v>1265</v>
      </c>
      <c r="CH216" s="73">
        <f t="shared" si="1072"/>
        <v>0</v>
      </c>
      <c r="CI216" s="110"/>
      <c r="CJ216" s="74" t="s">
        <v>76</v>
      </c>
      <c r="CK216" s="73">
        <f t="shared" si="1073"/>
        <v>0</v>
      </c>
      <c r="CL216" s="110"/>
      <c r="CM216" s="74" t="s">
        <v>76</v>
      </c>
      <c r="CN216" s="73">
        <f t="shared" si="1074"/>
        <v>0</v>
      </c>
      <c r="CO216" s="110"/>
      <c r="CP216" s="74" t="s">
        <v>76</v>
      </c>
      <c r="CQ216" s="73">
        <f t="shared" si="1075"/>
        <v>0</v>
      </c>
      <c r="CR216" s="110"/>
      <c r="CS216" s="74" t="s">
        <v>76</v>
      </c>
      <c r="CT216" s="73">
        <f t="shared" si="1076"/>
        <v>0</v>
      </c>
      <c r="CU216" s="110"/>
      <c r="CV216" s="74" t="s">
        <v>76</v>
      </c>
      <c r="CW216" s="73">
        <f t="shared" si="1077"/>
        <v>0</v>
      </c>
      <c r="CX216" s="110"/>
      <c r="CY216" s="74" t="s">
        <v>76</v>
      </c>
      <c r="CZ216" s="73">
        <f t="shared" si="1078"/>
        <v>0</v>
      </c>
      <c r="DA216" s="110"/>
      <c r="DB216" s="74" t="s">
        <v>76</v>
      </c>
      <c r="DC216" s="73">
        <f t="shared" si="1079"/>
        <v>0</v>
      </c>
      <c r="DD216" s="110"/>
      <c r="DE216" s="74" t="s">
        <v>135</v>
      </c>
      <c r="DF216" s="73">
        <f t="shared" si="1080"/>
        <v>0</v>
      </c>
      <c r="DG216" s="110"/>
      <c r="DH216" s="74" t="s">
        <v>76</v>
      </c>
      <c r="DI216" s="73">
        <f t="shared" si="1081"/>
        <v>0</v>
      </c>
      <c r="DJ216" s="110"/>
      <c r="DK216" s="74" t="s">
        <v>1634</v>
      </c>
      <c r="DL216" s="73">
        <f t="shared" si="1082"/>
        <v>0</v>
      </c>
      <c r="DM216" s="110"/>
      <c r="DN216" s="795" t="s">
        <v>1265</v>
      </c>
      <c r="DO216" s="73">
        <f t="shared" si="1083"/>
        <v>0</v>
      </c>
      <c r="DP216" s="110"/>
      <c r="DQ216" s="795" t="s">
        <v>78</v>
      </c>
      <c r="DR216" s="73">
        <f t="shared" si="1084"/>
        <v>0</v>
      </c>
      <c r="DS216" s="110"/>
      <c r="DT216" s="74" t="s">
        <v>1258</v>
      </c>
      <c r="DU216" s="73">
        <f t="shared" si="1085"/>
        <v>0</v>
      </c>
      <c r="DV216" s="110"/>
      <c r="DW216" s="74" t="s">
        <v>76</v>
      </c>
      <c r="DX216" s="73">
        <f t="shared" si="1086"/>
        <v>0</v>
      </c>
      <c r="DY216" s="110"/>
      <c r="DZ216" s="74" t="s">
        <v>1265</v>
      </c>
      <c r="EA216" s="73">
        <f t="shared" si="1087"/>
        <v>0</v>
      </c>
      <c r="EB216" s="110"/>
      <c r="EC216" s="74" t="s">
        <v>76</v>
      </c>
      <c r="ED216" s="73">
        <f t="shared" si="1088"/>
        <v>0</v>
      </c>
      <c r="EE216" s="110"/>
      <c r="EF216" s="74" t="s">
        <v>76</v>
      </c>
      <c r="EG216" s="73">
        <f t="shared" si="1089"/>
        <v>0</v>
      </c>
      <c r="EH216" s="110"/>
      <c r="EI216" s="74" t="s">
        <v>76</v>
      </c>
      <c r="EJ216" s="73">
        <f t="shared" si="1090"/>
        <v>0</v>
      </c>
      <c r="EK216" s="110"/>
      <c r="EL216" s="74"/>
      <c r="EM216" s="73">
        <f t="shared" si="1091"/>
        <v>0</v>
      </c>
      <c r="EN216" s="110"/>
      <c r="EO216" s="74"/>
      <c r="EP216" s="73">
        <f t="shared" si="1092"/>
        <v>0</v>
      </c>
      <c r="EQ216" s="110"/>
      <c r="ER216" s="74"/>
      <c r="ES216" s="73">
        <f t="shared" si="1093"/>
        <v>0</v>
      </c>
      <c r="ET216" s="110"/>
      <c r="EU216" s="74"/>
      <c r="EV216" s="73">
        <f t="shared" si="1094"/>
        <v>0</v>
      </c>
      <c r="EW216" s="110"/>
      <c r="EX216" s="74"/>
      <c r="EY216" s="73">
        <f t="shared" si="1095"/>
        <v>0</v>
      </c>
      <c r="EZ216" s="110"/>
      <c r="FA216" s="74"/>
      <c r="FB216" s="73">
        <f t="shared" si="1096"/>
        <v>0</v>
      </c>
      <c r="FC216" s="110"/>
      <c r="FD216" s="74"/>
      <c r="FE216" s="73">
        <f t="shared" si="1097"/>
        <v>0</v>
      </c>
      <c r="FF216" s="110"/>
      <c r="FG216" s="74"/>
      <c r="FH216" s="73">
        <f t="shared" si="1098"/>
        <v>0</v>
      </c>
      <c r="FI216" s="110"/>
      <c r="FJ216" s="74"/>
      <c r="FK216" s="73">
        <f t="shared" si="1099"/>
        <v>0</v>
      </c>
      <c r="FL216" s="110"/>
      <c r="FM216" s="110"/>
    </row>
    <row r="217" spans="1:169">
      <c r="A217" s="25"/>
      <c r="B217" s="25"/>
      <c r="C217" s="25"/>
      <c r="D217" s="25"/>
      <c r="E217" s="25"/>
      <c r="F217" s="407">
        <f t="shared" si="1100"/>
        <v>5</v>
      </c>
      <c r="G217" s="407">
        <f ca="1">VLOOKUP(H217,Equipos!$Q$1:$R$25,2,0)</f>
        <v>21</v>
      </c>
      <c r="H217" s="65" t="str">
        <f>Idiomas!$D$261</f>
        <v>Octavos de final</v>
      </c>
      <c r="I217" s="50"/>
      <c r="J217" s="849"/>
      <c r="K217" s="115" t="str">
        <f>Idiomas!$D$200&amp;"-"&amp;ROWS($L$210:L217)</f>
        <v>Cuartofinalista-8</v>
      </c>
      <c r="L217" s="115"/>
      <c r="M217" s="116" t="str">
        <f>WORLDCUP!AF134</f>
        <v>W96</v>
      </c>
      <c r="N217" s="25"/>
      <c r="O217" s="25"/>
      <c r="P217" s="25"/>
      <c r="Q217" s="25"/>
      <c r="R217" s="110"/>
      <c r="S217" s="80" t="s">
        <v>1320</v>
      </c>
      <c r="T217" s="81">
        <f t="shared" si="1050"/>
        <v>0</v>
      </c>
      <c r="U217" s="110"/>
      <c r="V217" s="80" t="s">
        <v>79</v>
      </c>
      <c r="W217" s="81">
        <f t="shared" si="1051"/>
        <v>0</v>
      </c>
      <c r="X217" s="110"/>
      <c r="Y217" s="80" t="s">
        <v>79</v>
      </c>
      <c r="Z217" s="81">
        <f t="shared" si="1052"/>
        <v>0</v>
      </c>
      <c r="AA217" s="110"/>
      <c r="AB217" s="80" t="s">
        <v>79</v>
      </c>
      <c r="AC217" s="81">
        <f t="shared" si="1053"/>
        <v>0</v>
      </c>
      <c r="AD217" s="110"/>
      <c r="AE217" s="80" t="s">
        <v>1320</v>
      </c>
      <c r="AF217" s="81">
        <f t="shared" si="1054"/>
        <v>0</v>
      </c>
      <c r="AG217" s="110"/>
      <c r="AH217" s="80" t="s">
        <v>79</v>
      </c>
      <c r="AI217" s="81">
        <f t="shared" si="1055"/>
        <v>0</v>
      </c>
      <c r="AJ217" s="110"/>
      <c r="AK217" s="80" t="s">
        <v>79</v>
      </c>
      <c r="AL217" s="81">
        <f t="shared" si="1056"/>
        <v>0</v>
      </c>
      <c r="AM217" s="110"/>
      <c r="AN217" s="80" t="s">
        <v>79</v>
      </c>
      <c r="AO217" s="81">
        <f t="shared" si="1057"/>
        <v>0</v>
      </c>
      <c r="AP217" s="110"/>
      <c r="AQ217" s="80" t="s">
        <v>79</v>
      </c>
      <c r="AR217" s="81">
        <f t="shared" si="1058"/>
        <v>0</v>
      </c>
      <c r="AS217" s="110"/>
      <c r="AT217" s="80" t="s">
        <v>79</v>
      </c>
      <c r="AU217" s="81">
        <f t="shared" si="1059"/>
        <v>0</v>
      </c>
      <c r="AV217" s="110"/>
      <c r="AW217" s="80" t="s">
        <v>79</v>
      </c>
      <c r="AX217" s="81">
        <f t="shared" si="1060"/>
        <v>0</v>
      </c>
      <c r="AY217" s="110"/>
      <c r="AZ217" s="80" t="s">
        <v>79</v>
      </c>
      <c r="BA217" s="81">
        <f t="shared" si="1061"/>
        <v>0</v>
      </c>
      <c r="BB217" s="110"/>
      <c r="BC217" s="80" t="s">
        <v>79</v>
      </c>
      <c r="BD217" s="81">
        <f t="shared" si="1062"/>
        <v>0</v>
      </c>
      <c r="BE217" s="110"/>
      <c r="BF217" s="80" t="s">
        <v>79</v>
      </c>
      <c r="BG217" s="81">
        <f t="shared" si="1063"/>
        <v>0</v>
      </c>
      <c r="BH217" s="110"/>
      <c r="BI217" s="80" t="s">
        <v>79</v>
      </c>
      <c r="BJ217" s="81">
        <f t="shared" si="1064"/>
        <v>0</v>
      </c>
      <c r="BK217" s="110"/>
      <c r="BL217" s="80" t="s">
        <v>79</v>
      </c>
      <c r="BM217" s="81">
        <f t="shared" si="1065"/>
        <v>0</v>
      </c>
      <c r="BN217" s="110"/>
      <c r="BO217" s="80" t="s">
        <v>79</v>
      </c>
      <c r="BP217" s="81">
        <f t="shared" si="1066"/>
        <v>0</v>
      </c>
      <c r="BQ217" s="110"/>
      <c r="BR217" s="80" t="s">
        <v>79</v>
      </c>
      <c r="BS217" s="81">
        <f t="shared" si="1067"/>
        <v>0</v>
      </c>
      <c r="BT217" s="110"/>
      <c r="BU217" s="80" t="s">
        <v>79</v>
      </c>
      <c r="BV217" s="81">
        <f t="shared" si="1068"/>
        <v>0</v>
      </c>
      <c r="BW217" s="110"/>
      <c r="BX217" s="80" t="s">
        <v>1320</v>
      </c>
      <c r="BY217" s="81">
        <f t="shared" si="1069"/>
        <v>0</v>
      </c>
      <c r="BZ217" s="110"/>
      <c r="CA217" s="80" t="s">
        <v>79</v>
      </c>
      <c r="CB217" s="81">
        <f t="shared" si="1070"/>
        <v>0</v>
      </c>
      <c r="CC217" s="110"/>
      <c r="CD217" s="80" t="s">
        <v>79</v>
      </c>
      <c r="CE217" s="81">
        <f t="shared" si="1071"/>
        <v>0</v>
      </c>
      <c r="CF217" s="110"/>
      <c r="CG217" s="80" t="s">
        <v>79</v>
      </c>
      <c r="CH217" s="81">
        <f t="shared" si="1072"/>
        <v>0</v>
      </c>
      <c r="CI217" s="110"/>
      <c r="CJ217" s="80" t="s">
        <v>79</v>
      </c>
      <c r="CK217" s="81">
        <f t="shared" si="1073"/>
        <v>0</v>
      </c>
      <c r="CL217" s="110"/>
      <c r="CM217" s="80" t="s">
        <v>79</v>
      </c>
      <c r="CN217" s="81">
        <f t="shared" si="1074"/>
        <v>0</v>
      </c>
      <c r="CO217" s="110"/>
      <c r="CP217" s="80" t="s">
        <v>79</v>
      </c>
      <c r="CQ217" s="81">
        <f t="shared" si="1075"/>
        <v>0</v>
      </c>
      <c r="CR217" s="110"/>
      <c r="CS217" s="80" t="s">
        <v>79</v>
      </c>
      <c r="CT217" s="81">
        <f t="shared" si="1076"/>
        <v>0</v>
      </c>
      <c r="CU217" s="110"/>
      <c r="CV217" s="80" t="s">
        <v>79</v>
      </c>
      <c r="CW217" s="81">
        <f t="shared" si="1077"/>
        <v>0</v>
      </c>
      <c r="CX217" s="110"/>
      <c r="CY217" s="80" t="s">
        <v>75</v>
      </c>
      <c r="CZ217" s="81">
        <f t="shared" si="1078"/>
        <v>0</v>
      </c>
      <c r="DA217" s="110"/>
      <c r="DB217" s="80" t="s">
        <v>79</v>
      </c>
      <c r="DC217" s="81">
        <f t="shared" si="1079"/>
        <v>0</v>
      </c>
      <c r="DD217" s="110"/>
      <c r="DE217" s="80" t="s">
        <v>79</v>
      </c>
      <c r="DF217" s="81">
        <f t="shared" si="1080"/>
        <v>0</v>
      </c>
      <c r="DG217" s="110"/>
      <c r="DH217" s="80" t="s">
        <v>79</v>
      </c>
      <c r="DI217" s="81">
        <f t="shared" si="1081"/>
        <v>0</v>
      </c>
      <c r="DJ217" s="110"/>
      <c r="DK217" s="80" t="s">
        <v>79</v>
      </c>
      <c r="DL217" s="81">
        <f t="shared" si="1082"/>
        <v>0</v>
      </c>
      <c r="DM217" s="110"/>
      <c r="DN217" s="795" t="s">
        <v>79</v>
      </c>
      <c r="DO217" s="81">
        <f t="shared" si="1083"/>
        <v>0</v>
      </c>
      <c r="DP217" s="110"/>
      <c r="DQ217" s="795" t="s">
        <v>79</v>
      </c>
      <c r="DR217" s="81">
        <f t="shared" si="1084"/>
        <v>0</v>
      </c>
      <c r="DS217" s="110"/>
      <c r="DT217" s="80" t="s">
        <v>1320</v>
      </c>
      <c r="DU217" s="81">
        <f t="shared" si="1085"/>
        <v>0</v>
      </c>
      <c r="DV217" s="110"/>
      <c r="DW217" s="80" t="s">
        <v>79</v>
      </c>
      <c r="DX217" s="81">
        <f t="shared" si="1086"/>
        <v>0</v>
      </c>
      <c r="DY217" s="110"/>
      <c r="DZ217" s="80" t="s">
        <v>79</v>
      </c>
      <c r="EA217" s="81">
        <f t="shared" si="1087"/>
        <v>0</v>
      </c>
      <c r="EB217" s="110"/>
      <c r="EC217" s="80" t="s">
        <v>79</v>
      </c>
      <c r="ED217" s="81">
        <f t="shared" si="1088"/>
        <v>0</v>
      </c>
      <c r="EE217" s="110"/>
      <c r="EF217" s="80" t="s">
        <v>79</v>
      </c>
      <c r="EG217" s="81">
        <f t="shared" si="1089"/>
        <v>0</v>
      </c>
      <c r="EH217" s="110"/>
      <c r="EI217" s="80" t="s">
        <v>79</v>
      </c>
      <c r="EJ217" s="81">
        <f t="shared" si="1090"/>
        <v>0</v>
      </c>
      <c r="EK217" s="110"/>
      <c r="EL217" s="80"/>
      <c r="EM217" s="81">
        <f t="shared" si="1091"/>
        <v>0</v>
      </c>
      <c r="EN217" s="110"/>
      <c r="EO217" s="80"/>
      <c r="EP217" s="81">
        <f t="shared" si="1092"/>
        <v>0</v>
      </c>
      <c r="EQ217" s="110"/>
      <c r="ER217" s="80"/>
      <c r="ES217" s="81">
        <f t="shared" si="1093"/>
        <v>0</v>
      </c>
      <c r="ET217" s="110"/>
      <c r="EU217" s="80"/>
      <c r="EV217" s="81">
        <f t="shared" si="1094"/>
        <v>0</v>
      </c>
      <c r="EW217" s="110"/>
      <c r="EX217" s="80"/>
      <c r="EY217" s="81">
        <f t="shared" si="1095"/>
        <v>0</v>
      </c>
      <c r="EZ217" s="110"/>
      <c r="FA217" s="80"/>
      <c r="FB217" s="81">
        <f t="shared" si="1096"/>
        <v>0</v>
      </c>
      <c r="FC217" s="110"/>
      <c r="FD217" s="80"/>
      <c r="FE217" s="81">
        <f t="shared" si="1097"/>
        <v>0</v>
      </c>
      <c r="FF217" s="110"/>
      <c r="FG217" s="80"/>
      <c r="FH217" s="81">
        <f t="shared" si="1098"/>
        <v>0</v>
      </c>
      <c r="FI217" s="110"/>
      <c r="FJ217" s="80"/>
      <c r="FK217" s="81">
        <f t="shared" si="1099"/>
        <v>0</v>
      </c>
      <c r="FL217" s="110"/>
      <c r="FM217" s="110"/>
    </row>
    <row r="218" spans="1:169">
      <c r="A218" s="25"/>
      <c r="B218" s="25"/>
      <c r="C218" s="25" t="s">
        <v>1930</v>
      </c>
      <c r="D218" s="25"/>
      <c r="E218" s="25"/>
      <c r="F218" s="407"/>
      <c r="G218" s="407"/>
      <c r="H218" s="65"/>
      <c r="I218" s="50"/>
      <c r="J218" s="94"/>
      <c r="K218" s="434" t="str">
        <f>Idiomas!D461</f>
        <v>Equipos 1/4</v>
      </c>
      <c r="L218" s="435"/>
      <c r="M218" s="434" t="str">
        <f>"Max: "&amp;$D$23*COUNT(T210:T217)</f>
        <v>Max: 40</v>
      </c>
      <c r="N218" s="25"/>
      <c r="O218" s="25"/>
      <c r="P218" s="25"/>
      <c r="Q218" s="25"/>
      <c r="R218" s="49"/>
      <c r="S218" s="84"/>
      <c r="T218" s="71">
        <f>SUM(T210:T217)</f>
        <v>0</v>
      </c>
      <c r="U218" s="49"/>
      <c r="V218" s="84"/>
      <c r="W218" s="71">
        <f t="shared" ref="W218" si="1101">SUM(W210:W217)</f>
        <v>0</v>
      </c>
      <c r="X218" s="49"/>
      <c r="Y218" s="84"/>
      <c r="Z218" s="71">
        <f t="shared" ref="Z218" si="1102">SUM(Z210:Z217)</f>
        <v>0</v>
      </c>
      <c r="AA218" s="49"/>
      <c r="AB218" s="84"/>
      <c r="AC218" s="71">
        <f t="shared" ref="AC218" si="1103">SUM(AC210:AC217)</f>
        <v>0</v>
      </c>
      <c r="AD218" s="49"/>
      <c r="AE218" s="84"/>
      <c r="AF218" s="71">
        <f t="shared" ref="AF218" si="1104">SUM(AF210:AF217)</f>
        <v>0</v>
      </c>
      <c r="AG218" s="49"/>
      <c r="AH218" s="84"/>
      <c r="AI218" s="71">
        <f t="shared" ref="AI218" si="1105">SUM(AI210:AI217)</f>
        <v>0</v>
      </c>
      <c r="AJ218" s="49"/>
      <c r="AK218" s="84"/>
      <c r="AL218" s="71">
        <f t="shared" ref="AL218" si="1106">SUM(AL210:AL217)</f>
        <v>0</v>
      </c>
      <c r="AM218" s="49"/>
      <c r="AN218" s="84"/>
      <c r="AO218" s="71">
        <f t="shared" ref="AO218" si="1107">SUM(AO210:AO217)</f>
        <v>0</v>
      </c>
      <c r="AP218" s="49"/>
      <c r="AQ218" s="84"/>
      <c r="AR218" s="71">
        <f t="shared" ref="AR218" si="1108">SUM(AR210:AR217)</f>
        <v>0</v>
      </c>
      <c r="AS218" s="49"/>
      <c r="AT218" s="84"/>
      <c r="AU218" s="71">
        <f t="shared" ref="AU218" si="1109">SUM(AU210:AU217)</f>
        <v>0</v>
      </c>
      <c r="AV218" s="49"/>
      <c r="AW218" s="84"/>
      <c r="AX218" s="71">
        <f t="shared" ref="AX218" si="1110">SUM(AX210:AX217)</f>
        <v>0</v>
      </c>
      <c r="AY218" s="49"/>
      <c r="AZ218" s="84"/>
      <c r="BA218" s="71">
        <f t="shared" ref="BA218" si="1111">SUM(BA210:BA217)</f>
        <v>0</v>
      </c>
      <c r="BB218" s="49"/>
      <c r="BC218" s="84"/>
      <c r="BD218" s="71">
        <f t="shared" ref="BD218" si="1112">SUM(BD210:BD217)</f>
        <v>0</v>
      </c>
      <c r="BE218" s="49"/>
      <c r="BF218" s="84"/>
      <c r="BG218" s="71">
        <f t="shared" ref="BG218" si="1113">SUM(BG210:BG217)</f>
        <v>0</v>
      </c>
      <c r="BH218" s="49"/>
      <c r="BI218" s="84"/>
      <c r="BJ218" s="71">
        <f t="shared" ref="BJ218" si="1114">SUM(BJ210:BJ217)</f>
        <v>0</v>
      </c>
      <c r="BK218" s="49"/>
      <c r="BL218" s="84"/>
      <c r="BM218" s="71">
        <f t="shared" ref="BM218" si="1115">SUM(BM210:BM217)</f>
        <v>0</v>
      </c>
      <c r="BN218" s="49"/>
      <c r="BO218" s="84"/>
      <c r="BP218" s="71">
        <f t="shared" ref="BP218" si="1116">SUM(BP210:BP217)</f>
        <v>0</v>
      </c>
      <c r="BQ218" s="49"/>
      <c r="BR218" s="84"/>
      <c r="BS218" s="71">
        <f t="shared" ref="BS218" si="1117">SUM(BS210:BS217)</f>
        <v>0</v>
      </c>
      <c r="BT218" s="49"/>
      <c r="BU218" s="84"/>
      <c r="BV218" s="71">
        <f t="shared" ref="BV218" si="1118">SUM(BV210:BV217)</f>
        <v>0</v>
      </c>
      <c r="BW218" s="49"/>
      <c r="BX218" s="84"/>
      <c r="BY218" s="71">
        <f t="shared" ref="BY218" si="1119">SUM(BY210:BY217)</f>
        <v>0</v>
      </c>
      <c r="BZ218" s="49"/>
      <c r="CA218" s="84"/>
      <c r="CB218" s="71">
        <f t="shared" ref="CB218" si="1120">SUM(CB210:CB217)</f>
        <v>0</v>
      </c>
      <c r="CC218" s="49"/>
      <c r="CD218" s="84"/>
      <c r="CE218" s="71">
        <f t="shared" ref="CE218" si="1121">SUM(CE210:CE217)</f>
        <v>0</v>
      </c>
      <c r="CF218" s="49"/>
      <c r="CG218" s="84"/>
      <c r="CH218" s="71">
        <f t="shared" ref="CH218" si="1122">SUM(CH210:CH217)</f>
        <v>0</v>
      </c>
      <c r="CI218" s="49"/>
      <c r="CJ218" s="84"/>
      <c r="CK218" s="71">
        <f t="shared" ref="CK218" si="1123">SUM(CK210:CK217)</f>
        <v>0</v>
      </c>
      <c r="CL218" s="49"/>
      <c r="CM218" s="84"/>
      <c r="CN218" s="71">
        <f t="shared" ref="CN218" si="1124">SUM(CN210:CN217)</f>
        <v>0</v>
      </c>
      <c r="CO218" s="49"/>
      <c r="CP218" s="84"/>
      <c r="CQ218" s="71">
        <f t="shared" ref="CQ218" si="1125">SUM(CQ210:CQ217)</f>
        <v>0</v>
      </c>
      <c r="CR218" s="49"/>
      <c r="CS218" s="84"/>
      <c r="CT218" s="71">
        <f t="shared" ref="CT218" si="1126">SUM(CT210:CT217)</f>
        <v>0</v>
      </c>
      <c r="CU218" s="49"/>
      <c r="CV218" s="84"/>
      <c r="CW218" s="71">
        <f t="shared" ref="CW218" si="1127">SUM(CW210:CW217)</f>
        <v>0</v>
      </c>
      <c r="CX218" s="49"/>
      <c r="CY218" s="84"/>
      <c r="CZ218" s="71">
        <f t="shared" ref="CZ218" si="1128">SUM(CZ210:CZ217)</f>
        <v>0</v>
      </c>
      <c r="DA218" s="49"/>
      <c r="DB218" s="84"/>
      <c r="DC218" s="71">
        <f t="shared" ref="DC218" si="1129">SUM(DC210:DC217)</f>
        <v>0</v>
      </c>
      <c r="DD218" s="49"/>
      <c r="DE218" s="84"/>
      <c r="DF218" s="71">
        <f t="shared" ref="DF218" si="1130">SUM(DF210:DF217)</f>
        <v>0</v>
      </c>
      <c r="DG218" s="49"/>
      <c r="DH218" s="84"/>
      <c r="DI218" s="71">
        <f t="shared" ref="DI218" si="1131">SUM(DI210:DI217)</f>
        <v>0</v>
      </c>
      <c r="DJ218" s="49"/>
      <c r="DK218" s="84"/>
      <c r="DL218" s="71">
        <f t="shared" ref="DL218" si="1132">SUM(DL210:DL217)</f>
        <v>0</v>
      </c>
      <c r="DM218" s="49"/>
      <c r="DN218" s="796"/>
      <c r="DO218" s="71">
        <f t="shared" ref="DO218" si="1133">SUM(DO210:DO217)</f>
        <v>0</v>
      </c>
      <c r="DP218" s="49"/>
      <c r="DQ218" s="796"/>
      <c r="DR218" s="71">
        <f t="shared" ref="DR218" si="1134">SUM(DR210:DR217)</f>
        <v>0</v>
      </c>
      <c r="DS218" s="49"/>
      <c r="DT218" s="84"/>
      <c r="DU218" s="71">
        <f t="shared" ref="DU218" si="1135">SUM(DU210:DU217)</f>
        <v>0</v>
      </c>
      <c r="DV218" s="49"/>
      <c r="DW218" s="84"/>
      <c r="DX218" s="71">
        <f t="shared" ref="DX218" si="1136">SUM(DX210:DX217)</f>
        <v>0</v>
      </c>
      <c r="DY218" s="49"/>
      <c r="DZ218" s="84"/>
      <c r="EA218" s="71">
        <f t="shared" ref="EA218" si="1137">SUM(EA210:EA217)</f>
        <v>0</v>
      </c>
      <c r="EB218" s="49"/>
      <c r="EC218" s="84"/>
      <c r="ED218" s="71">
        <f t="shared" ref="ED218" si="1138">SUM(ED210:ED217)</f>
        <v>0</v>
      </c>
      <c r="EE218" s="49"/>
      <c r="EF218" s="84"/>
      <c r="EG218" s="71">
        <f t="shared" ref="EG218" si="1139">SUM(EG210:EG217)</f>
        <v>0</v>
      </c>
      <c r="EH218" s="49"/>
      <c r="EI218" s="84"/>
      <c r="EJ218" s="71">
        <f t="shared" ref="EJ218" si="1140">SUM(EJ210:EJ217)</f>
        <v>0</v>
      </c>
      <c r="EK218" s="49"/>
      <c r="EL218" s="84"/>
      <c r="EM218" s="71">
        <f t="shared" ref="EM218" si="1141">SUM(EM210:EM217)</f>
        <v>0</v>
      </c>
      <c r="EN218" s="49"/>
      <c r="EO218" s="84"/>
      <c r="EP218" s="71">
        <f t="shared" ref="EP218" si="1142">SUM(EP210:EP217)</f>
        <v>0</v>
      </c>
      <c r="EQ218" s="49"/>
      <c r="ER218" s="84"/>
      <c r="ES218" s="71">
        <f t="shared" ref="ES218" si="1143">SUM(ES210:ES217)</f>
        <v>0</v>
      </c>
      <c r="ET218" s="49"/>
      <c r="EU218" s="84"/>
      <c r="EV218" s="71">
        <f t="shared" ref="EV218" si="1144">SUM(EV210:EV217)</f>
        <v>0</v>
      </c>
      <c r="EW218" s="49"/>
      <c r="EX218" s="84"/>
      <c r="EY218" s="71">
        <f t="shared" ref="EY218" si="1145">SUM(EY210:EY217)</f>
        <v>0</v>
      </c>
      <c r="EZ218" s="49"/>
      <c r="FA218" s="84"/>
      <c r="FB218" s="71">
        <f t="shared" ref="FB218" si="1146">SUM(FB210:FB217)</f>
        <v>0</v>
      </c>
      <c r="FC218" s="49"/>
      <c r="FD218" s="84"/>
      <c r="FE218" s="71">
        <f t="shared" ref="FE218" si="1147">SUM(FE210:FE217)</f>
        <v>0</v>
      </c>
      <c r="FF218" s="49"/>
      <c r="FG218" s="84"/>
      <c r="FH218" s="71">
        <f t="shared" ref="FH218" si="1148">SUM(FH210:FH217)</f>
        <v>0</v>
      </c>
      <c r="FI218" s="49"/>
      <c r="FJ218" s="84"/>
      <c r="FK218" s="71">
        <f t="shared" ref="FK218" si="1149">SUM(FK210:FK217)</f>
        <v>0</v>
      </c>
      <c r="FL218" s="49"/>
      <c r="FM218" s="49"/>
    </row>
    <row r="219" spans="1:169">
      <c r="A219" s="25"/>
      <c r="B219" s="25"/>
      <c r="C219" s="25"/>
      <c r="D219" s="25"/>
      <c r="E219" s="25"/>
      <c r="F219" s="407"/>
      <c r="G219" s="407"/>
      <c r="H219" s="65"/>
      <c r="I219" s="52" t="s">
        <v>1578</v>
      </c>
      <c r="J219" s="94"/>
      <c r="K219" s="113" t="str">
        <f>Idiomas!D142</f>
        <v>ENFRENTAMIENTOS CUARTOS</v>
      </c>
      <c r="L219" s="50"/>
      <c r="M219" s="71"/>
      <c r="N219" s="25"/>
      <c r="O219" s="25"/>
      <c r="P219" s="25"/>
      <c r="Q219" s="25"/>
      <c r="R219" s="49"/>
      <c r="S219" s="84"/>
      <c r="T219" s="71"/>
      <c r="U219" s="49"/>
      <c r="V219" s="84"/>
      <c r="W219" s="71"/>
      <c r="X219" s="49"/>
      <c r="Y219" s="84"/>
      <c r="Z219" s="71"/>
      <c r="AA219" s="49"/>
      <c r="AB219" s="84"/>
      <c r="AC219" s="71"/>
      <c r="AD219" s="49"/>
      <c r="AE219" s="84"/>
      <c r="AF219" s="71"/>
      <c r="AG219" s="49"/>
      <c r="AH219" s="84"/>
      <c r="AI219" s="71"/>
      <c r="AJ219" s="49"/>
      <c r="AK219" s="84"/>
      <c r="AL219" s="71"/>
      <c r="AM219" s="49"/>
      <c r="AN219" s="84"/>
      <c r="AO219" s="71"/>
      <c r="AP219" s="49"/>
      <c r="AQ219" s="84"/>
      <c r="AR219" s="71"/>
      <c r="AS219" s="49"/>
      <c r="AT219" s="84"/>
      <c r="AU219" s="71"/>
      <c r="AV219" s="49"/>
      <c r="AW219" s="84"/>
      <c r="AX219" s="71"/>
      <c r="AY219" s="49"/>
      <c r="AZ219" s="84"/>
      <c r="BA219" s="71"/>
      <c r="BB219" s="49"/>
      <c r="BC219" s="84"/>
      <c r="BD219" s="71"/>
      <c r="BE219" s="49"/>
      <c r="BF219" s="84"/>
      <c r="BG219" s="71"/>
      <c r="BH219" s="49"/>
      <c r="BI219" s="84"/>
      <c r="BJ219" s="71"/>
      <c r="BK219" s="49"/>
      <c r="BL219" s="84"/>
      <c r="BM219" s="71"/>
      <c r="BN219" s="49"/>
      <c r="BO219" s="84"/>
      <c r="BP219" s="71"/>
      <c r="BQ219" s="49"/>
      <c r="BR219" s="84"/>
      <c r="BS219" s="71"/>
      <c r="BT219" s="49"/>
      <c r="BU219" s="84"/>
      <c r="BV219" s="71"/>
      <c r="BW219" s="49"/>
      <c r="BX219" s="84"/>
      <c r="BY219" s="71"/>
      <c r="BZ219" s="49"/>
      <c r="CA219" s="84"/>
      <c r="CB219" s="71"/>
      <c r="CC219" s="49"/>
      <c r="CD219" s="84"/>
      <c r="CE219" s="71"/>
      <c r="CF219" s="49"/>
      <c r="CG219" s="84"/>
      <c r="CH219" s="71"/>
      <c r="CI219" s="49"/>
      <c r="CJ219" s="84"/>
      <c r="CK219" s="71"/>
      <c r="CL219" s="49"/>
      <c r="CM219" s="84"/>
      <c r="CN219" s="71"/>
      <c r="CO219" s="49"/>
      <c r="CP219" s="84"/>
      <c r="CQ219" s="71"/>
      <c r="CR219" s="49"/>
      <c r="CS219" s="84"/>
      <c r="CT219" s="71"/>
      <c r="CU219" s="49"/>
      <c r="CV219" s="84"/>
      <c r="CW219" s="71"/>
      <c r="CX219" s="49"/>
      <c r="CY219" s="84"/>
      <c r="CZ219" s="71"/>
      <c r="DA219" s="49"/>
      <c r="DB219" s="84"/>
      <c r="DC219" s="71"/>
      <c r="DD219" s="49"/>
      <c r="DE219" s="84"/>
      <c r="DF219" s="71"/>
      <c r="DG219" s="49"/>
      <c r="DH219" s="84"/>
      <c r="DI219" s="71"/>
      <c r="DJ219" s="49"/>
      <c r="DK219" s="84"/>
      <c r="DL219" s="71"/>
      <c r="DM219" s="49"/>
      <c r="DN219" s="796"/>
      <c r="DO219" s="71"/>
      <c r="DP219" s="49"/>
      <c r="DQ219" s="796"/>
      <c r="DR219" s="71"/>
      <c r="DS219" s="49"/>
      <c r="DT219" s="84"/>
      <c r="DU219" s="71"/>
      <c r="DV219" s="49"/>
      <c r="DW219" s="84"/>
      <c r="DX219" s="71"/>
      <c r="DY219" s="49"/>
      <c r="DZ219" s="84"/>
      <c r="EA219" s="71"/>
      <c r="EB219" s="49"/>
      <c r="EC219" s="84"/>
      <c r="ED219" s="71"/>
      <c r="EE219" s="49"/>
      <c r="EF219" s="84"/>
      <c r="EG219" s="71"/>
      <c r="EH219" s="49"/>
      <c r="EI219" s="84"/>
      <c r="EJ219" s="71"/>
      <c r="EK219" s="49"/>
      <c r="EL219" s="84"/>
      <c r="EM219" s="71"/>
      <c r="EN219" s="49"/>
      <c r="EO219" s="84"/>
      <c r="EP219" s="71"/>
      <c r="EQ219" s="49"/>
      <c r="ER219" s="84"/>
      <c r="ES219" s="71"/>
      <c r="ET219" s="49"/>
      <c r="EU219" s="84"/>
      <c r="EV219" s="71"/>
      <c r="EW219" s="49"/>
      <c r="EX219" s="84"/>
      <c r="EY219" s="71"/>
      <c r="EZ219" s="49"/>
      <c r="FA219" s="84"/>
      <c r="FB219" s="71"/>
      <c r="FC219" s="49"/>
      <c r="FD219" s="84"/>
      <c r="FE219" s="71"/>
      <c r="FF219" s="49"/>
      <c r="FG219" s="84"/>
      <c r="FH219" s="71"/>
      <c r="FI219" s="49"/>
      <c r="FJ219" s="84"/>
      <c r="FK219" s="71"/>
      <c r="FL219" s="49"/>
      <c r="FM219" s="49"/>
    </row>
    <row r="220" spans="1:169">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07">
        <f>SUM($D$24:$D$26)*I220</f>
        <v>4</v>
      </c>
      <c r="G220" s="407">
        <f ca="1">VLOOKUP(H220,Equipos!$Q$1:$R$25,2,0)</f>
        <v>22</v>
      </c>
      <c r="H220" s="65" t="str">
        <f>Idiomas!$D$262</f>
        <v>Cuartos de final</v>
      </c>
      <c r="I220" s="43">
        <v>1</v>
      </c>
      <c r="J220" s="849" t="s">
        <v>34</v>
      </c>
      <c r="K220" s="53" t="str">
        <f>CONCATENATE(WORLDCUP!AA131,"-",WORLDCUP!AF131)</f>
        <v>W89-W90</v>
      </c>
      <c r="L220" s="53" t="str">
        <f>IF(OR(WORLDCUP!AC131="",WORLDCUP!AD131=""),"PD",IF(WORLDCUP!AC131&gt;WORLDCUP!AD131,1,IF(WORLDCUP!AC131&lt;WORLDCUP!AD131,2,0)))</f>
        <v>PD</v>
      </c>
      <c r="M220" s="55" t="str">
        <f t="shared" ref="M220:M223" si="1150">IF(L220="PD","-",N220&amp;"-"&amp;O220)</f>
        <v>-</v>
      </c>
      <c r="N220" s="25">
        <f>WORLDCUP!AC131</f>
        <v>0</v>
      </c>
      <c r="O220" s="25">
        <f>WORLDCUP!AD131</f>
        <v>0</v>
      </c>
      <c r="P220" s="25">
        <f t="shared" ref="P220:P223" si="1151">+N220-O220</f>
        <v>0</v>
      </c>
      <c r="Q220" s="25">
        <f>+A220-B220</f>
        <v>0</v>
      </c>
      <c r="R220" s="110"/>
      <c r="S220" s="76" t="s">
        <v>1988</v>
      </c>
      <c r="T220" s="77">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0"/>
      <c r="V220" s="76" t="s">
        <v>2027</v>
      </c>
      <c r="W220" s="77">
        <f t="shared" ref="W220:CH223" si="1152">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0"/>
      <c r="Y220" s="76" t="s">
        <v>2063</v>
      </c>
      <c r="Z220" s="77">
        <f t="shared" ref="Z220" si="1153">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0"/>
      <c r="AB220" s="76" t="s">
        <v>2088</v>
      </c>
      <c r="AC220" s="77">
        <f t="shared" ref="AC220" si="1154">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0"/>
      <c r="AE220" s="76" t="s">
        <v>2117</v>
      </c>
      <c r="AF220" s="77">
        <f t="shared" ref="AF220" si="1155">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0"/>
      <c r="AH220" s="76" t="s">
        <v>2123</v>
      </c>
      <c r="AI220" s="77">
        <f t="shared" ref="AI220" si="1156">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v>0</v>
      </c>
      <c r="AJ220" s="110"/>
      <c r="AK220" s="76" t="s">
        <v>2173</v>
      </c>
      <c r="AL220" s="77">
        <f t="shared" ref="AL220" si="1157">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v>0</v>
      </c>
      <c r="AM220" s="110"/>
      <c r="AN220" s="76" t="s">
        <v>2173</v>
      </c>
      <c r="AO220" s="77">
        <f t="shared" ref="AO220" si="1158">IFERROR(IF(COUNTIF($K$220:$K$223,LEFT(AN220,FIND("·",AN220)-1))&gt;0,IF(INDEX($L$220:$L$223,MATCH(LEFT(AN220,FIND("·",AN220)-1),$K$220:$K$223,0))=IFERROR(VALUE(MID(AN220,FIND("·",AN220)+1,1)),0),($D$24+(INDEX($M$220:$M$223,MATCH(LEFT(AN220,FIND("·",AN220)-1),$K$220:$K$223,0))=MID(AN220,FIND("|",AN220)+1,10))*$D$26+MAX(0,IF($D$50=1,$D$25*(1-(ABS(INDEX($P$220:$P$223,MATCH(LEFT(AN220,FIND("·",AN220)-1),$K$220:$K$223,0))-(VALUE(MID(AN220,FIND("|",AN220)+1,FIND("-",AN220,FIND("|",AN220))-FIND("|",AN220)-1))-VALUE(MID(AN220,FIND("-",AN220,FIND("|",AN220))+1,10)))))*$D$50),$D$25*(1-(IF(INDEX($L$220:$L$223,MATCH(LEFT(AN220,FIND("·",AN220)-1),$K$220:$K$223,0))=0,ABS(INDEX($N$220:$N$223,MATCH(LEFT(AN220,FIND("·",AN220)-1),$K$220:$K$223,0))-VALUE(MID(AN220,FIND("|",AN220)+1,FIND("-",AN220,FIND("|",AN220))-FIND("|",AN220)-1))),ABS(INDEX($P$220:$P$223,MATCH(LEFT(AN220,FIND("·",AN220)-1),$K$220:$K$223,0))-(VALUE(MID(AN220,FIND("|",AN220)+1,FIND("-",AN220,FIND("|",AN220))-FIND("|",AN220)-1))-VALUE(MID(AN220,FIND("-",AN220,FIND("|",AN220))+1,10)))))*$D$50)))))*INDEX($I$220:$I$223,MATCH(LEFT(AN220,FIND("·",AN220)-1),$K$220:$K$223,0)),0),0),0)+IFERROR(IF(COUNTIF($C$220:$C$223,LEFT(AN220,FIND("·",AN220)-1))&gt;0,IF(INDEX($D$220:$D$223,MATCH(LEFT(AN220,FIND("·",AN220)-1),$C$220:$C$223,0))=IFERROR(VALUE(MID(AN220,FIND("·",AN220)+1,1)),0),($D$24+(INDEX($E$220:$E$223,MATCH(LEFT(AN220,FIND("·",AN220)-1),$C$220:$C$223,0))=MID(AN220,FIND("|",AN220)+1,10))*$D$26+MAX(0,IF($D$50=1,$D$25*(1-(ABS(INDEX($Q$220:$Q$223,MATCH(LEFT(AN220,FIND("·",AN220)-1),$C$220:$C$223,0))-(VALUE(MID(AN220,FIND("|",AN220)+1,FIND("-",AN220,FIND("|",AN220))-FIND("|",AN220)-1))-VALUE(MID(AN220,FIND("-",AN220,FIND("|",AN220))+1,10)))))*$D$50),$D$25*(1-(IF(INDEX($D$220:$D$223,MATCH(LEFT(AN220,FIND("·",AN220)-1),$C$220:$C$223,0))=0,ABS(INDEX($A$220:$A$223,MATCH(LEFT(AN220,FIND("·",AN220)-1),$C$220:$C$223,0))-VALUE(MID(AN220,FIND("|",AN220)+1,FIND("-",AN220,FIND("|",AN220))-FIND("|",AN220)-1))),ABS(INDEX($Q$220:$Q$223,MATCH(LEFT(AN220,FIND("·",AN220)-1),$C$220:$C$223,0))-(VALUE(MID(AN220,FIND("|",AN220)+1,FIND("-",AN220,FIND("|",AN220))-FIND("|",AN220)-1))-VALUE(MID(AN220,FIND("-",AN220,FIND("|",AN220))+1,10)))))*$D$50)))))*INDEX($I$220:$I$223,MATCH(LEFT(AN220,FIND("·",AN220)-1),$C$220:$C$223,0)),0),0),0)</f>
        <v>0</v>
      </c>
      <c r="AP220" s="110"/>
      <c r="AQ220" s="76" t="s">
        <v>2152</v>
      </c>
      <c r="AR220" s="77">
        <f t="shared" ref="AR220" si="1159">IFERROR(IF(COUNTIF($K$220:$K$223,LEFT(AQ220,FIND("·",AQ220)-1))&gt;0,IF(INDEX($L$220:$L$223,MATCH(LEFT(AQ220,FIND("·",AQ220)-1),$K$220:$K$223,0))=IFERROR(VALUE(MID(AQ220,FIND("·",AQ220)+1,1)),0),($D$24+(INDEX($M$220:$M$223,MATCH(LEFT(AQ220,FIND("·",AQ220)-1),$K$220:$K$223,0))=MID(AQ220,FIND("|",AQ220)+1,10))*$D$26+MAX(0,IF($D$50=1,$D$25*(1-(ABS(INDEX($P$220:$P$223,MATCH(LEFT(AQ220,FIND("·",AQ220)-1),$K$220:$K$223,0))-(VALUE(MID(AQ220,FIND("|",AQ220)+1,FIND("-",AQ220,FIND("|",AQ220))-FIND("|",AQ220)-1))-VALUE(MID(AQ220,FIND("-",AQ220,FIND("|",AQ220))+1,10)))))*$D$50),$D$25*(1-(IF(INDEX($L$220:$L$223,MATCH(LEFT(AQ220,FIND("·",AQ220)-1),$K$220:$K$223,0))=0,ABS(INDEX($N$220:$N$223,MATCH(LEFT(AQ220,FIND("·",AQ220)-1),$K$220:$K$223,0))-VALUE(MID(AQ220,FIND("|",AQ220)+1,FIND("-",AQ220,FIND("|",AQ220))-FIND("|",AQ220)-1))),ABS(INDEX($P$220:$P$223,MATCH(LEFT(AQ220,FIND("·",AQ220)-1),$K$220:$K$223,0))-(VALUE(MID(AQ220,FIND("|",AQ220)+1,FIND("-",AQ220,FIND("|",AQ220))-FIND("|",AQ220)-1))-VALUE(MID(AQ220,FIND("-",AQ220,FIND("|",AQ220))+1,10)))))*$D$50)))))*INDEX($I$220:$I$223,MATCH(LEFT(AQ220,FIND("·",AQ220)-1),$K$220:$K$223,0)),0),0),0)+IFERROR(IF(COUNTIF($C$220:$C$223,LEFT(AQ220,FIND("·",AQ220)-1))&gt;0,IF(INDEX($D$220:$D$223,MATCH(LEFT(AQ220,FIND("·",AQ220)-1),$C$220:$C$223,0))=IFERROR(VALUE(MID(AQ220,FIND("·",AQ220)+1,1)),0),($D$24+(INDEX($E$220:$E$223,MATCH(LEFT(AQ220,FIND("·",AQ220)-1),$C$220:$C$223,0))=MID(AQ220,FIND("|",AQ220)+1,10))*$D$26+MAX(0,IF($D$50=1,$D$25*(1-(ABS(INDEX($Q$220:$Q$223,MATCH(LEFT(AQ220,FIND("·",AQ220)-1),$C$220:$C$223,0))-(VALUE(MID(AQ220,FIND("|",AQ220)+1,FIND("-",AQ220,FIND("|",AQ220))-FIND("|",AQ220)-1))-VALUE(MID(AQ220,FIND("-",AQ220,FIND("|",AQ220))+1,10)))))*$D$50),$D$25*(1-(IF(INDEX($D$220:$D$223,MATCH(LEFT(AQ220,FIND("·",AQ220)-1),$C$220:$C$223,0))=0,ABS(INDEX($A$220:$A$223,MATCH(LEFT(AQ220,FIND("·",AQ220)-1),$C$220:$C$223,0))-VALUE(MID(AQ220,FIND("|",AQ220)+1,FIND("-",AQ220,FIND("|",AQ220))-FIND("|",AQ220)-1))),ABS(INDEX($Q$220:$Q$223,MATCH(LEFT(AQ220,FIND("·",AQ220)-1),$C$220:$C$223,0))-(VALUE(MID(AQ220,FIND("|",AQ220)+1,FIND("-",AQ220,FIND("|",AQ220))-FIND("|",AQ220)-1))-VALUE(MID(AQ220,FIND("-",AQ220,FIND("|",AQ220))+1,10)))))*$D$50)))))*INDEX($I$220:$I$223,MATCH(LEFT(AQ220,FIND("·",AQ220)-1),$C$220:$C$223,0)),0),0),0)</f>
        <v>0</v>
      </c>
      <c r="AS220" s="110"/>
      <c r="AT220" s="76" t="s">
        <v>2088</v>
      </c>
      <c r="AU220" s="77">
        <f t="shared" ref="AU220" si="1160">IFERROR(IF(COUNTIF($K$220:$K$223,LEFT(AT220,FIND("·",AT220)-1))&gt;0,IF(INDEX($L$220:$L$223,MATCH(LEFT(AT220,FIND("·",AT220)-1),$K$220:$K$223,0))=IFERROR(VALUE(MID(AT220,FIND("·",AT220)+1,1)),0),($D$24+(INDEX($M$220:$M$223,MATCH(LEFT(AT220,FIND("·",AT220)-1),$K$220:$K$223,0))=MID(AT220,FIND("|",AT220)+1,10))*$D$26+MAX(0,IF($D$50=1,$D$25*(1-(ABS(INDEX($P$220:$P$223,MATCH(LEFT(AT220,FIND("·",AT220)-1),$K$220:$K$223,0))-(VALUE(MID(AT220,FIND("|",AT220)+1,FIND("-",AT220,FIND("|",AT220))-FIND("|",AT220)-1))-VALUE(MID(AT220,FIND("-",AT220,FIND("|",AT220))+1,10)))))*$D$50),$D$25*(1-(IF(INDEX($L$220:$L$223,MATCH(LEFT(AT220,FIND("·",AT220)-1),$K$220:$K$223,0))=0,ABS(INDEX($N$220:$N$223,MATCH(LEFT(AT220,FIND("·",AT220)-1),$K$220:$K$223,0))-VALUE(MID(AT220,FIND("|",AT220)+1,FIND("-",AT220,FIND("|",AT220))-FIND("|",AT220)-1))),ABS(INDEX($P$220:$P$223,MATCH(LEFT(AT220,FIND("·",AT220)-1),$K$220:$K$223,0))-(VALUE(MID(AT220,FIND("|",AT220)+1,FIND("-",AT220,FIND("|",AT220))-FIND("|",AT220)-1))-VALUE(MID(AT220,FIND("-",AT220,FIND("|",AT220))+1,10)))))*$D$50)))))*INDEX($I$220:$I$223,MATCH(LEFT(AT220,FIND("·",AT220)-1),$K$220:$K$223,0)),0),0),0)+IFERROR(IF(COUNTIF($C$220:$C$223,LEFT(AT220,FIND("·",AT220)-1))&gt;0,IF(INDEX($D$220:$D$223,MATCH(LEFT(AT220,FIND("·",AT220)-1),$C$220:$C$223,0))=IFERROR(VALUE(MID(AT220,FIND("·",AT220)+1,1)),0),($D$24+(INDEX($E$220:$E$223,MATCH(LEFT(AT220,FIND("·",AT220)-1),$C$220:$C$223,0))=MID(AT220,FIND("|",AT220)+1,10))*$D$26+MAX(0,IF($D$50=1,$D$25*(1-(ABS(INDEX($Q$220:$Q$223,MATCH(LEFT(AT220,FIND("·",AT220)-1),$C$220:$C$223,0))-(VALUE(MID(AT220,FIND("|",AT220)+1,FIND("-",AT220,FIND("|",AT220))-FIND("|",AT220)-1))-VALUE(MID(AT220,FIND("-",AT220,FIND("|",AT220))+1,10)))))*$D$50),$D$25*(1-(IF(INDEX($D$220:$D$223,MATCH(LEFT(AT220,FIND("·",AT220)-1),$C$220:$C$223,0))=0,ABS(INDEX($A$220:$A$223,MATCH(LEFT(AT220,FIND("·",AT220)-1),$C$220:$C$223,0))-VALUE(MID(AT220,FIND("|",AT220)+1,FIND("-",AT220,FIND("|",AT220))-FIND("|",AT220)-1))),ABS(INDEX($Q$220:$Q$223,MATCH(LEFT(AT220,FIND("·",AT220)-1),$C$220:$C$223,0))-(VALUE(MID(AT220,FIND("|",AT220)+1,FIND("-",AT220,FIND("|",AT220))-FIND("|",AT220)-1))-VALUE(MID(AT220,FIND("-",AT220,FIND("|",AT220))+1,10)))))*$D$50)))))*INDEX($I$220:$I$223,MATCH(LEFT(AT220,FIND("·",AT220)-1),$C$220:$C$223,0)),0),0),0)</f>
        <v>0</v>
      </c>
      <c r="AV220" s="110"/>
      <c r="AW220" s="76" t="s">
        <v>2173</v>
      </c>
      <c r="AX220" s="77">
        <f t="shared" ref="AX220" si="1161">IFERROR(IF(COUNTIF($K$220:$K$223,LEFT(AW220,FIND("·",AW220)-1))&gt;0,IF(INDEX($L$220:$L$223,MATCH(LEFT(AW220,FIND("·",AW220)-1),$K$220:$K$223,0))=IFERROR(VALUE(MID(AW220,FIND("·",AW220)+1,1)),0),($D$24+(INDEX($M$220:$M$223,MATCH(LEFT(AW220,FIND("·",AW220)-1),$K$220:$K$223,0))=MID(AW220,FIND("|",AW220)+1,10))*$D$26+MAX(0,IF($D$50=1,$D$25*(1-(ABS(INDEX($P$220:$P$223,MATCH(LEFT(AW220,FIND("·",AW220)-1),$K$220:$K$223,0))-(VALUE(MID(AW220,FIND("|",AW220)+1,FIND("-",AW220,FIND("|",AW220))-FIND("|",AW220)-1))-VALUE(MID(AW220,FIND("-",AW220,FIND("|",AW220))+1,10)))))*$D$50),$D$25*(1-(IF(INDEX($L$220:$L$223,MATCH(LEFT(AW220,FIND("·",AW220)-1),$K$220:$K$223,0))=0,ABS(INDEX($N$220:$N$223,MATCH(LEFT(AW220,FIND("·",AW220)-1),$K$220:$K$223,0))-VALUE(MID(AW220,FIND("|",AW220)+1,FIND("-",AW220,FIND("|",AW220))-FIND("|",AW220)-1))),ABS(INDEX($P$220:$P$223,MATCH(LEFT(AW220,FIND("·",AW220)-1),$K$220:$K$223,0))-(VALUE(MID(AW220,FIND("|",AW220)+1,FIND("-",AW220,FIND("|",AW220))-FIND("|",AW220)-1))-VALUE(MID(AW220,FIND("-",AW220,FIND("|",AW220))+1,10)))))*$D$50)))))*INDEX($I$220:$I$223,MATCH(LEFT(AW220,FIND("·",AW220)-1),$K$220:$K$223,0)),0),0),0)+IFERROR(IF(COUNTIF($C$220:$C$223,LEFT(AW220,FIND("·",AW220)-1))&gt;0,IF(INDEX($D$220:$D$223,MATCH(LEFT(AW220,FIND("·",AW220)-1),$C$220:$C$223,0))=IFERROR(VALUE(MID(AW220,FIND("·",AW220)+1,1)),0),($D$24+(INDEX($E$220:$E$223,MATCH(LEFT(AW220,FIND("·",AW220)-1),$C$220:$C$223,0))=MID(AW220,FIND("|",AW220)+1,10))*$D$26+MAX(0,IF($D$50=1,$D$25*(1-(ABS(INDEX($Q$220:$Q$223,MATCH(LEFT(AW220,FIND("·",AW220)-1),$C$220:$C$223,0))-(VALUE(MID(AW220,FIND("|",AW220)+1,FIND("-",AW220,FIND("|",AW220))-FIND("|",AW220)-1))-VALUE(MID(AW220,FIND("-",AW220,FIND("|",AW220))+1,10)))))*$D$50),$D$25*(1-(IF(INDEX($D$220:$D$223,MATCH(LEFT(AW220,FIND("·",AW220)-1),$C$220:$C$223,0))=0,ABS(INDEX($A$220:$A$223,MATCH(LEFT(AW220,FIND("·",AW220)-1),$C$220:$C$223,0))-VALUE(MID(AW220,FIND("|",AW220)+1,FIND("-",AW220,FIND("|",AW220))-FIND("|",AW220)-1))),ABS(INDEX($Q$220:$Q$223,MATCH(LEFT(AW220,FIND("·",AW220)-1),$C$220:$C$223,0))-(VALUE(MID(AW220,FIND("|",AW220)+1,FIND("-",AW220,FIND("|",AW220))-FIND("|",AW220)-1))-VALUE(MID(AW220,FIND("-",AW220,FIND("|",AW220))+1,10)))))*$D$50)))))*INDEX($I$220:$I$223,MATCH(LEFT(AW220,FIND("·",AW220)-1),$C$220:$C$223,0)),0),0),0)</f>
        <v>0</v>
      </c>
      <c r="AY220" s="110"/>
      <c r="AZ220" s="76" t="s">
        <v>2306</v>
      </c>
      <c r="BA220" s="77">
        <f t="shared" ref="BA220" si="1162">IFERROR(IF(COUNTIF($K$220:$K$223,LEFT(AZ220,FIND("·",AZ220)-1))&gt;0,IF(INDEX($L$220:$L$223,MATCH(LEFT(AZ220,FIND("·",AZ220)-1),$K$220:$K$223,0))=IFERROR(VALUE(MID(AZ220,FIND("·",AZ220)+1,1)),0),($D$24+(INDEX($M$220:$M$223,MATCH(LEFT(AZ220,FIND("·",AZ220)-1),$K$220:$K$223,0))=MID(AZ220,FIND("|",AZ220)+1,10))*$D$26+MAX(0,IF($D$50=1,$D$25*(1-(ABS(INDEX($P$220:$P$223,MATCH(LEFT(AZ220,FIND("·",AZ220)-1),$K$220:$K$223,0))-(VALUE(MID(AZ220,FIND("|",AZ220)+1,FIND("-",AZ220,FIND("|",AZ220))-FIND("|",AZ220)-1))-VALUE(MID(AZ220,FIND("-",AZ220,FIND("|",AZ220))+1,10)))))*$D$50),$D$25*(1-(IF(INDEX($L$220:$L$223,MATCH(LEFT(AZ220,FIND("·",AZ220)-1),$K$220:$K$223,0))=0,ABS(INDEX($N$220:$N$223,MATCH(LEFT(AZ220,FIND("·",AZ220)-1),$K$220:$K$223,0))-VALUE(MID(AZ220,FIND("|",AZ220)+1,FIND("-",AZ220,FIND("|",AZ220))-FIND("|",AZ220)-1))),ABS(INDEX($P$220:$P$223,MATCH(LEFT(AZ220,FIND("·",AZ220)-1),$K$220:$K$223,0))-(VALUE(MID(AZ220,FIND("|",AZ220)+1,FIND("-",AZ220,FIND("|",AZ220))-FIND("|",AZ220)-1))-VALUE(MID(AZ220,FIND("-",AZ220,FIND("|",AZ220))+1,10)))))*$D$50)))))*INDEX($I$220:$I$223,MATCH(LEFT(AZ220,FIND("·",AZ220)-1),$K$220:$K$223,0)),0),0),0)+IFERROR(IF(COUNTIF($C$220:$C$223,LEFT(AZ220,FIND("·",AZ220)-1))&gt;0,IF(INDEX($D$220:$D$223,MATCH(LEFT(AZ220,FIND("·",AZ220)-1),$C$220:$C$223,0))=IFERROR(VALUE(MID(AZ220,FIND("·",AZ220)+1,1)),0),($D$24+(INDEX($E$220:$E$223,MATCH(LEFT(AZ220,FIND("·",AZ220)-1),$C$220:$C$223,0))=MID(AZ220,FIND("|",AZ220)+1,10))*$D$26+MAX(0,IF($D$50=1,$D$25*(1-(ABS(INDEX($Q$220:$Q$223,MATCH(LEFT(AZ220,FIND("·",AZ220)-1),$C$220:$C$223,0))-(VALUE(MID(AZ220,FIND("|",AZ220)+1,FIND("-",AZ220,FIND("|",AZ220))-FIND("|",AZ220)-1))-VALUE(MID(AZ220,FIND("-",AZ220,FIND("|",AZ220))+1,10)))))*$D$50),$D$25*(1-(IF(INDEX($D$220:$D$223,MATCH(LEFT(AZ220,FIND("·",AZ220)-1),$C$220:$C$223,0))=0,ABS(INDEX($A$220:$A$223,MATCH(LEFT(AZ220,FIND("·",AZ220)-1),$C$220:$C$223,0))-VALUE(MID(AZ220,FIND("|",AZ220)+1,FIND("-",AZ220,FIND("|",AZ220))-FIND("|",AZ220)-1))),ABS(INDEX($Q$220:$Q$223,MATCH(LEFT(AZ220,FIND("·",AZ220)-1),$C$220:$C$223,0))-(VALUE(MID(AZ220,FIND("|",AZ220)+1,FIND("-",AZ220,FIND("|",AZ220))-FIND("|",AZ220)-1))-VALUE(MID(AZ220,FIND("-",AZ220,FIND("|",AZ220))+1,10)))))*$D$50)))))*INDEX($I$220:$I$223,MATCH(LEFT(AZ220,FIND("·",AZ220)-1),$C$220:$C$223,0)),0),0),0)</f>
        <v>0</v>
      </c>
      <c r="BB220" s="110"/>
      <c r="BC220" s="76" t="s">
        <v>2332</v>
      </c>
      <c r="BD220" s="77">
        <f t="shared" ref="BD220" si="1163">IFERROR(IF(COUNTIF($K$220:$K$223,LEFT(BC220,FIND("·",BC220)-1))&gt;0,IF(INDEX($L$220:$L$223,MATCH(LEFT(BC220,FIND("·",BC220)-1),$K$220:$K$223,0))=IFERROR(VALUE(MID(BC220,FIND("·",BC220)+1,1)),0),($D$24+(INDEX($M$220:$M$223,MATCH(LEFT(BC220,FIND("·",BC220)-1),$K$220:$K$223,0))=MID(BC220,FIND("|",BC220)+1,10))*$D$26+MAX(0,IF($D$50=1,$D$25*(1-(ABS(INDEX($P$220:$P$223,MATCH(LEFT(BC220,FIND("·",BC220)-1),$K$220:$K$223,0))-(VALUE(MID(BC220,FIND("|",BC220)+1,FIND("-",BC220,FIND("|",BC220))-FIND("|",BC220)-1))-VALUE(MID(BC220,FIND("-",BC220,FIND("|",BC220))+1,10)))))*$D$50),$D$25*(1-(IF(INDEX($L$220:$L$223,MATCH(LEFT(BC220,FIND("·",BC220)-1),$K$220:$K$223,0))=0,ABS(INDEX($N$220:$N$223,MATCH(LEFT(BC220,FIND("·",BC220)-1),$K$220:$K$223,0))-VALUE(MID(BC220,FIND("|",BC220)+1,FIND("-",BC220,FIND("|",BC220))-FIND("|",BC220)-1))),ABS(INDEX($P$220:$P$223,MATCH(LEFT(BC220,FIND("·",BC220)-1),$K$220:$K$223,0))-(VALUE(MID(BC220,FIND("|",BC220)+1,FIND("-",BC220,FIND("|",BC220))-FIND("|",BC220)-1))-VALUE(MID(BC220,FIND("-",BC220,FIND("|",BC220))+1,10)))))*$D$50)))))*INDEX($I$220:$I$223,MATCH(LEFT(BC220,FIND("·",BC220)-1),$K$220:$K$223,0)),0),0),0)+IFERROR(IF(COUNTIF($C$220:$C$223,LEFT(BC220,FIND("·",BC220)-1))&gt;0,IF(INDEX($D$220:$D$223,MATCH(LEFT(BC220,FIND("·",BC220)-1),$C$220:$C$223,0))=IFERROR(VALUE(MID(BC220,FIND("·",BC220)+1,1)),0),($D$24+(INDEX($E$220:$E$223,MATCH(LEFT(BC220,FIND("·",BC220)-1),$C$220:$C$223,0))=MID(BC220,FIND("|",BC220)+1,10))*$D$26+MAX(0,IF($D$50=1,$D$25*(1-(ABS(INDEX($Q$220:$Q$223,MATCH(LEFT(BC220,FIND("·",BC220)-1),$C$220:$C$223,0))-(VALUE(MID(BC220,FIND("|",BC220)+1,FIND("-",BC220,FIND("|",BC220))-FIND("|",BC220)-1))-VALUE(MID(BC220,FIND("-",BC220,FIND("|",BC220))+1,10)))))*$D$50),$D$25*(1-(IF(INDEX($D$220:$D$223,MATCH(LEFT(BC220,FIND("·",BC220)-1),$C$220:$C$223,0))=0,ABS(INDEX($A$220:$A$223,MATCH(LEFT(BC220,FIND("·",BC220)-1),$C$220:$C$223,0))-VALUE(MID(BC220,FIND("|",BC220)+1,FIND("-",BC220,FIND("|",BC220))-FIND("|",BC220)-1))),ABS(INDEX($Q$220:$Q$223,MATCH(LEFT(BC220,FIND("·",BC220)-1),$C$220:$C$223,0))-(VALUE(MID(BC220,FIND("|",BC220)+1,FIND("-",BC220,FIND("|",BC220))-FIND("|",BC220)-1))-VALUE(MID(BC220,FIND("-",BC220,FIND("|",BC220))+1,10)))))*$D$50)))))*INDEX($I$220:$I$223,MATCH(LEFT(BC220,FIND("·",BC220)-1),$C$220:$C$223,0)),0),0),0)</f>
        <v>0</v>
      </c>
      <c r="BE220" s="110"/>
      <c r="BF220" s="76" t="s">
        <v>2355</v>
      </c>
      <c r="BG220" s="77">
        <f t="shared" ref="BG220" si="1164">IFERROR(IF(COUNTIF($K$220:$K$223,LEFT(BF220,FIND("·",BF220)-1))&gt;0,IF(INDEX($L$220:$L$223,MATCH(LEFT(BF220,FIND("·",BF220)-1),$K$220:$K$223,0))=IFERROR(VALUE(MID(BF220,FIND("·",BF220)+1,1)),0),($D$24+(INDEX($M$220:$M$223,MATCH(LEFT(BF220,FIND("·",BF220)-1),$K$220:$K$223,0))=MID(BF220,FIND("|",BF220)+1,10))*$D$26+MAX(0,IF($D$50=1,$D$25*(1-(ABS(INDEX($P$220:$P$223,MATCH(LEFT(BF220,FIND("·",BF220)-1),$K$220:$K$223,0))-(VALUE(MID(BF220,FIND("|",BF220)+1,FIND("-",BF220,FIND("|",BF220))-FIND("|",BF220)-1))-VALUE(MID(BF220,FIND("-",BF220,FIND("|",BF220))+1,10)))))*$D$50),$D$25*(1-(IF(INDEX($L$220:$L$223,MATCH(LEFT(BF220,FIND("·",BF220)-1),$K$220:$K$223,0))=0,ABS(INDEX($N$220:$N$223,MATCH(LEFT(BF220,FIND("·",BF220)-1),$K$220:$K$223,0))-VALUE(MID(BF220,FIND("|",BF220)+1,FIND("-",BF220,FIND("|",BF220))-FIND("|",BF220)-1))),ABS(INDEX($P$220:$P$223,MATCH(LEFT(BF220,FIND("·",BF220)-1),$K$220:$K$223,0))-(VALUE(MID(BF220,FIND("|",BF220)+1,FIND("-",BF220,FIND("|",BF220))-FIND("|",BF220)-1))-VALUE(MID(BF220,FIND("-",BF220,FIND("|",BF220))+1,10)))))*$D$50)))))*INDEX($I$220:$I$223,MATCH(LEFT(BF220,FIND("·",BF220)-1),$K$220:$K$223,0)),0),0),0)+IFERROR(IF(COUNTIF($C$220:$C$223,LEFT(BF220,FIND("·",BF220)-1))&gt;0,IF(INDEX($D$220:$D$223,MATCH(LEFT(BF220,FIND("·",BF220)-1),$C$220:$C$223,0))=IFERROR(VALUE(MID(BF220,FIND("·",BF220)+1,1)),0),($D$24+(INDEX($E$220:$E$223,MATCH(LEFT(BF220,FIND("·",BF220)-1),$C$220:$C$223,0))=MID(BF220,FIND("|",BF220)+1,10))*$D$26+MAX(0,IF($D$50=1,$D$25*(1-(ABS(INDEX($Q$220:$Q$223,MATCH(LEFT(BF220,FIND("·",BF220)-1),$C$220:$C$223,0))-(VALUE(MID(BF220,FIND("|",BF220)+1,FIND("-",BF220,FIND("|",BF220))-FIND("|",BF220)-1))-VALUE(MID(BF220,FIND("-",BF220,FIND("|",BF220))+1,10)))))*$D$50),$D$25*(1-(IF(INDEX($D$220:$D$223,MATCH(LEFT(BF220,FIND("·",BF220)-1),$C$220:$C$223,0))=0,ABS(INDEX($A$220:$A$223,MATCH(LEFT(BF220,FIND("·",BF220)-1),$C$220:$C$223,0))-VALUE(MID(BF220,FIND("|",BF220)+1,FIND("-",BF220,FIND("|",BF220))-FIND("|",BF220)-1))),ABS(INDEX($Q$220:$Q$223,MATCH(LEFT(BF220,FIND("·",BF220)-1),$C$220:$C$223,0))-(VALUE(MID(BF220,FIND("|",BF220)+1,FIND("-",BF220,FIND("|",BF220))-FIND("|",BF220)-1))-VALUE(MID(BF220,FIND("-",BF220,FIND("|",BF220))+1,10)))))*$D$50)))))*INDEX($I$220:$I$223,MATCH(LEFT(BF220,FIND("·",BF220)-1),$C$220:$C$223,0)),0),0),0)</f>
        <v>0</v>
      </c>
      <c r="BH220" s="110"/>
      <c r="BI220" s="76" t="s">
        <v>2372</v>
      </c>
      <c r="BJ220" s="77">
        <f t="shared" ref="BJ220" si="1165">IFERROR(IF(COUNTIF($K$220:$K$223,LEFT(BI220,FIND("·",BI220)-1))&gt;0,IF(INDEX($L$220:$L$223,MATCH(LEFT(BI220,FIND("·",BI220)-1),$K$220:$K$223,0))=IFERROR(VALUE(MID(BI220,FIND("·",BI220)+1,1)),0),($D$24+(INDEX($M$220:$M$223,MATCH(LEFT(BI220,FIND("·",BI220)-1),$K$220:$K$223,0))=MID(BI220,FIND("|",BI220)+1,10))*$D$26+MAX(0,IF($D$50=1,$D$25*(1-(ABS(INDEX($P$220:$P$223,MATCH(LEFT(BI220,FIND("·",BI220)-1),$K$220:$K$223,0))-(VALUE(MID(BI220,FIND("|",BI220)+1,FIND("-",BI220,FIND("|",BI220))-FIND("|",BI220)-1))-VALUE(MID(BI220,FIND("-",BI220,FIND("|",BI220))+1,10)))))*$D$50),$D$25*(1-(IF(INDEX($L$220:$L$223,MATCH(LEFT(BI220,FIND("·",BI220)-1),$K$220:$K$223,0))=0,ABS(INDEX($N$220:$N$223,MATCH(LEFT(BI220,FIND("·",BI220)-1),$K$220:$K$223,0))-VALUE(MID(BI220,FIND("|",BI220)+1,FIND("-",BI220,FIND("|",BI220))-FIND("|",BI220)-1))),ABS(INDEX($P$220:$P$223,MATCH(LEFT(BI220,FIND("·",BI220)-1),$K$220:$K$223,0))-(VALUE(MID(BI220,FIND("|",BI220)+1,FIND("-",BI220,FIND("|",BI220))-FIND("|",BI220)-1))-VALUE(MID(BI220,FIND("-",BI220,FIND("|",BI220))+1,10)))))*$D$50)))))*INDEX($I$220:$I$223,MATCH(LEFT(BI220,FIND("·",BI220)-1),$K$220:$K$223,0)),0),0),0)+IFERROR(IF(COUNTIF($C$220:$C$223,LEFT(BI220,FIND("·",BI220)-1))&gt;0,IF(INDEX($D$220:$D$223,MATCH(LEFT(BI220,FIND("·",BI220)-1),$C$220:$C$223,0))=IFERROR(VALUE(MID(BI220,FIND("·",BI220)+1,1)),0),($D$24+(INDEX($E$220:$E$223,MATCH(LEFT(BI220,FIND("·",BI220)-1),$C$220:$C$223,0))=MID(BI220,FIND("|",BI220)+1,10))*$D$26+MAX(0,IF($D$50=1,$D$25*(1-(ABS(INDEX($Q$220:$Q$223,MATCH(LEFT(BI220,FIND("·",BI220)-1),$C$220:$C$223,0))-(VALUE(MID(BI220,FIND("|",BI220)+1,FIND("-",BI220,FIND("|",BI220))-FIND("|",BI220)-1))-VALUE(MID(BI220,FIND("-",BI220,FIND("|",BI220))+1,10)))))*$D$50),$D$25*(1-(IF(INDEX($D$220:$D$223,MATCH(LEFT(BI220,FIND("·",BI220)-1),$C$220:$C$223,0))=0,ABS(INDEX($A$220:$A$223,MATCH(LEFT(BI220,FIND("·",BI220)-1),$C$220:$C$223,0))-VALUE(MID(BI220,FIND("|",BI220)+1,FIND("-",BI220,FIND("|",BI220))-FIND("|",BI220)-1))),ABS(INDEX($Q$220:$Q$223,MATCH(LEFT(BI220,FIND("·",BI220)-1),$C$220:$C$223,0))-(VALUE(MID(BI220,FIND("|",BI220)+1,FIND("-",BI220,FIND("|",BI220))-FIND("|",BI220)-1))-VALUE(MID(BI220,FIND("-",BI220,FIND("|",BI220))+1,10)))))*$D$50)))))*INDEX($I$220:$I$223,MATCH(LEFT(BI220,FIND("·",BI220)-1),$C$220:$C$223,0)),0),0),0)</f>
        <v>0</v>
      </c>
      <c r="BK220" s="110"/>
      <c r="BL220" s="76" t="s">
        <v>2392</v>
      </c>
      <c r="BM220" s="77">
        <f t="shared" ref="BM220" si="1166">IFERROR(IF(COUNTIF($K$220:$K$223,LEFT(BL220,FIND("·",BL220)-1))&gt;0,IF(INDEX($L$220:$L$223,MATCH(LEFT(BL220,FIND("·",BL220)-1),$K$220:$K$223,0))=IFERROR(VALUE(MID(BL220,FIND("·",BL220)+1,1)),0),($D$24+(INDEX($M$220:$M$223,MATCH(LEFT(BL220,FIND("·",BL220)-1),$K$220:$K$223,0))=MID(BL220,FIND("|",BL220)+1,10))*$D$26+MAX(0,IF($D$50=1,$D$25*(1-(ABS(INDEX($P$220:$P$223,MATCH(LEFT(BL220,FIND("·",BL220)-1),$K$220:$K$223,0))-(VALUE(MID(BL220,FIND("|",BL220)+1,FIND("-",BL220,FIND("|",BL220))-FIND("|",BL220)-1))-VALUE(MID(BL220,FIND("-",BL220,FIND("|",BL220))+1,10)))))*$D$50),$D$25*(1-(IF(INDEX($L$220:$L$223,MATCH(LEFT(BL220,FIND("·",BL220)-1),$K$220:$K$223,0))=0,ABS(INDEX($N$220:$N$223,MATCH(LEFT(BL220,FIND("·",BL220)-1),$K$220:$K$223,0))-VALUE(MID(BL220,FIND("|",BL220)+1,FIND("-",BL220,FIND("|",BL220))-FIND("|",BL220)-1))),ABS(INDEX($P$220:$P$223,MATCH(LEFT(BL220,FIND("·",BL220)-1),$K$220:$K$223,0))-(VALUE(MID(BL220,FIND("|",BL220)+1,FIND("-",BL220,FIND("|",BL220))-FIND("|",BL220)-1))-VALUE(MID(BL220,FIND("-",BL220,FIND("|",BL220))+1,10)))))*$D$50)))))*INDEX($I$220:$I$223,MATCH(LEFT(BL220,FIND("·",BL220)-1),$K$220:$K$223,0)),0),0),0)+IFERROR(IF(COUNTIF($C$220:$C$223,LEFT(BL220,FIND("·",BL220)-1))&gt;0,IF(INDEX($D$220:$D$223,MATCH(LEFT(BL220,FIND("·",BL220)-1),$C$220:$C$223,0))=IFERROR(VALUE(MID(BL220,FIND("·",BL220)+1,1)),0),($D$24+(INDEX($E$220:$E$223,MATCH(LEFT(BL220,FIND("·",BL220)-1),$C$220:$C$223,0))=MID(BL220,FIND("|",BL220)+1,10))*$D$26+MAX(0,IF($D$50=1,$D$25*(1-(ABS(INDEX($Q$220:$Q$223,MATCH(LEFT(BL220,FIND("·",BL220)-1),$C$220:$C$223,0))-(VALUE(MID(BL220,FIND("|",BL220)+1,FIND("-",BL220,FIND("|",BL220))-FIND("|",BL220)-1))-VALUE(MID(BL220,FIND("-",BL220,FIND("|",BL220))+1,10)))))*$D$50),$D$25*(1-(IF(INDEX($D$220:$D$223,MATCH(LEFT(BL220,FIND("·",BL220)-1),$C$220:$C$223,0))=0,ABS(INDEX($A$220:$A$223,MATCH(LEFT(BL220,FIND("·",BL220)-1),$C$220:$C$223,0))-VALUE(MID(BL220,FIND("|",BL220)+1,FIND("-",BL220,FIND("|",BL220))-FIND("|",BL220)-1))),ABS(INDEX($Q$220:$Q$223,MATCH(LEFT(BL220,FIND("·",BL220)-1),$C$220:$C$223,0))-(VALUE(MID(BL220,FIND("|",BL220)+1,FIND("-",BL220,FIND("|",BL220))-FIND("|",BL220)-1))-VALUE(MID(BL220,FIND("-",BL220,FIND("|",BL220))+1,10)))))*$D$50)))))*INDEX($I$220:$I$223,MATCH(LEFT(BL220,FIND("·",BL220)-1),$C$220:$C$223,0)),0),0),0)</f>
        <v>0</v>
      </c>
      <c r="BN220" s="110"/>
      <c r="BO220" s="76" t="s">
        <v>2117</v>
      </c>
      <c r="BP220" s="77">
        <f t="shared" ref="BP220" si="1167">IFERROR(IF(COUNTIF($K$220:$K$223,LEFT(BO220,FIND("·",BO220)-1))&gt;0,IF(INDEX($L$220:$L$223,MATCH(LEFT(BO220,FIND("·",BO220)-1),$K$220:$K$223,0))=IFERROR(VALUE(MID(BO220,FIND("·",BO220)+1,1)),0),($D$24+(INDEX($M$220:$M$223,MATCH(LEFT(BO220,FIND("·",BO220)-1),$K$220:$K$223,0))=MID(BO220,FIND("|",BO220)+1,10))*$D$26+MAX(0,IF($D$50=1,$D$25*(1-(ABS(INDEX($P$220:$P$223,MATCH(LEFT(BO220,FIND("·",BO220)-1),$K$220:$K$223,0))-(VALUE(MID(BO220,FIND("|",BO220)+1,FIND("-",BO220,FIND("|",BO220))-FIND("|",BO220)-1))-VALUE(MID(BO220,FIND("-",BO220,FIND("|",BO220))+1,10)))))*$D$50),$D$25*(1-(IF(INDEX($L$220:$L$223,MATCH(LEFT(BO220,FIND("·",BO220)-1),$K$220:$K$223,0))=0,ABS(INDEX($N$220:$N$223,MATCH(LEFT(BO220,FIND("·",BO220)-1),$K$220:$K$223,0))-VALUE(MID(BO220,FIND("|",BO220)+1,FIND("-",BO220,FIND("|",BO220))-FIND("|",BO220)-1))),ABS(INDEX($P$220:$P$223,MATCH(LEFT(BO220,FIND("·",BO220)-1),$K$220:$K$223,0))-(VALUE(MID(BO220,FIND("|",BO220)+1,FIND("-",BO220,FIND("|",BO220))-FIND("|",BO220)-1))-VALUE(MID(BO220,FIND("-",BO220,FIND("|",BO220))+1,10)))))*$D$50)))))*INDEX($I$220:$I$223,MATCH(LEFT(BO220,FIND("·",BO220)-1),$K$220:$K$223,0)),0),0),0)+IFERROR(IF(COUNTIF($C$220:$C$223,LEFT(BO220,FIND("·",BO220)-1))&gt;0,IF(INDEX($D$220:$D$223,MATCH(LEFT(BO220,FIND("·",BO220)-1),$C$220:$C$223,0))=IFERROR(VALUE(MID(BO220,FIND("·",BO220)+1,1)),0),($D$24+(INDEX($E$220:$E$223,MATCH(LEFT(BO220,FIND("·",BO220)-1),$C$220:$C$223,0))=MID(BO220,FIND("|",BO220)+1,10))*$D$26+MAX(0,IF($D$50=1,$D$25*(1-(ABS(INDEX($Q$220:$Q$223,MATCH(LEFT(BO220,FIND("·",BO220)-1),$C$220:$C$223,0))-(VALUE(MID(BO220,FIND("|",BO220)+1,FIND("-",BO220,FIND("|",BO220))-FIND("|",BO220)-1))-VALUE(MID(BO220,FIND("-",BO220,FIND("|",BO220))+1,10)))))*$D$50),$D$25*(1-(IF(INDEX($D$220:$D$223,MATCH(LEFT(BO220,FIND("·",BO220)-1),$C$220:$C$223,0))=0,ABS(INDEX($A$220:$A$223,MATCH(LEFT(BO220,FIND("·",BO220)-1),$C$220:$C$223,0))-VALUE(MID(BO220,FIND("|",BO220)+1,FIND("-",BO220,FIND("|",BO220))-FIND("|",BO220)-1))),ABS(INDEX($Q$220:$Q$223,MATCH(LEFT(BO220,FIND("·",BO220)-1),$C$220:$C$223,0))-(VALUE(MID(BO220,FIND("|",BO220)+1,FIND("-",BO220,FIND("|",BO220))-FIND("|",BO220)-1))-VALUE(MID(BO220,FIND("-",BO220,FIND("|",BO220))+1,10)))))*$D$50)))))*INDEX($I$220:$I$223,MATCH(LEFT(BO220,FIND("·",BO220)-1),$C$220:$C$223,0)),0),0),0)</f>
        <v>0</v>
      </c>
      <c r="BQ220" s="110"/>
      <c r="BR220" s="76" t="s">
        <v>2152</v>
      </c>
      <c r="BS220" s="77">
        <f t="shared" ref="BS220" si="1168">IFERROR(IF(COUNTIF($K$220:$K$223,LEFT(BR220,FIND("·",BR220)-1))&gt;0,IF(INDEX($L$220:$L$223,MATCH(LEFT(BR220,FIND("·",BR220)-1),$K$220:$K$223,0))=IFERROR(VALUE(MID(BR220,FIND("·",BR220)+1,1)),0),($D$24+(INDEX($M$220:$M$223,MATCH(LEFT(BR220,FIND("·",BR220)-1),$K$220:$K$223,0))=MID(BR220,FIND("|",BR220)+1,10))*$D$26+MAX(0,IF($D$50=1,$D$25*(1-(ABS(INDEX($P$220:$P$223,MATCH(LEFT(BR220,FIND("·",BR220)-1),$K$220:$K$223,0))-(VALUE(MID(BR220,FIND("|",BR220)+1,FIND("-",BR220,FIND("|",BR220))-FIND("|",BR220)-1))-VALUE(MID(BR220,FIND("-",BR220,FIND("|",BR220))+1,10)))))*$D$50),$D$25*(1-(IF(INDEX($L$220:$L$223,MATCH(LEFT(BR220,FIND("·",BR220)-1),$K$220:$K$223,0))=0,ABS(INDEX($N$220:$N$223,MATCH(LEFT(BR220,FIND("·",BR220)-1),$K$220:$K$223,0))-VALUE(MID(BR220,FIND("|",BR220)+1,FIND("-",BR220,FIND("|",BR220))-FIND("|",BR220)-1))),ABS(INDEX($P$220:$P$223,MATCH(LEFT(BR220,FIND("·",BR220)-1),$K$220:$K$223,0))-(VALUE(MID(BR220,FIND("|",BR220)+1,FIND("-",BR220,FIND("|",BR220))-FIND("|",BR220)-1))-VALUE(MID(BR220,FIND("-",BR220,FIND("|",BR220))+1,10)))))*$D$50)))))*INDEX($I$220:$I$223,MATCH(LEFT(BR220,FIND("·",BR220)-1),$K$220:$K$223,0)),0),0),0)+IFERROR(IF(COUNTIF($C$220:$C$223,LEFT(BR220,FIND("·",BR220)-1))&gt;0,IF(INDEX($D$220:$D$223,MATCH(LEFT(BR220,FIND("·",BR220)-1),$C$220:$C$223,0))=IFERROR(VALUE(MID(BR220,FIND("·",BR220)+1,1)),0),($D$24+(INDEX($E$220:$E$223,MATCH(LEFT(BR220,FIND("·",BR220)-1),$C$220:$C$223,0))=MID(BR220,FIND("|",BR220)+1,10))*$D$26+MAX(0,IF($D$50=1,$D$25*(1-(ABS(INDEX($Q$220:$Q$223,MATCH(LEFT(BR220,FIND("·",BR220)-1),$C$220:$C$223,0))-(VALUE(MID(BR220,FIND("|",BR220)+1,FIND("-",BR220,FIND("|",BR220))-FIND("|",BR220)-1))-VALUE(MID(BR220,FIND("-",BR220,FIND("|",BR220))+1,10)))))*$D$50),$D$25*(1-(IF(INDEX($D$220:$D$223,MATCH(LEFT(BR220,FIND("·",BR220)-1),$C$220:$C$223,0))=0,ABS(INDEX($A$220:$A$223,MATCH(LEFT(BR220,FIND("·",BR220)-1),$C$220:$C$223,0))-VALUE(MID(BR220,FIND("|",BR220)+1,FIND("-",BR220,FIND("|",BR220))-FIND("|",BR220)-1))),ABS(INDEX($Q$220:$Q$223,MATCH(LEFT(BR220,FIND("·",BR220)-1),$C$220:$C$223,0))-(VALUE(MID(BR220,FIND("|",BR220)+1,FIND("-",BR220,FIND("|",BR220))-FIND("|",BR220)-1))-VALUE(MID(BR220,FIND("-",BR220,FIND("|",BR220))+1,10)))))*$D$50)))))*INDEX($I$220:$I$223,MATCH(LEFT(BR220,FIND("·",BR220)-1),$C$220:$C$223,0)),0),0),0)</f>
        <v>0</v>
      </c>
      <c r="BT220" s="110"/>
      <c r="BU220" s="76" t="s">
        <v>2437</v>
      </c>
      <c r="BV220" s="77">
        <f t="shared" ref="BV220" si="1169">IFERROR(IF(COUNTIF($K$220:$K$223,LEFT(BU220,FIND("·",BU220)-1))&gt;0,IF(INDEX($L$220:$L$223,MATCH(LEFT(BU220,FIND("·",BU220)-1),$K$220:$K$223,0))=IFERROR(VALUE(MID(BU220,FIND("·",BU220)+1,1)),0),($D$24+(INDEX($M$220:$M$223,MATCH(LEFT(BU220,FIND("·",BU220)-1),$K$220:$K$223,0))=MID(BU220,FIND("|",BU220)+1,10))*$D$26+MAX(0,IF($D$50=1,$D$25*(1-(ABS(INDEX($P$220:$P$223,MATCH(LEFT(BU220,FIND("·",BU220)-1),$K$220:$K$223,0))-(VALUE(MID(BU220,FIND("|",BU220)+1,FIND("-",BU220,FIND("|",BU220))-FIND("|",BU220)-1))-VALUE(MID(BU220,FIND("-",BU220,FIND("|",BU220))+1,10)))))*$D$50),$D$25*(1-(IF(INDEX($L$220:$L$223,MATCH(LEFT(BU220,FIND("·",BU220)-1),$K$220:$K$223,0))=0,ABS(INDEX($N$220:$N$223,MATCH(LEFT(BU220,FIND("·",BU220)-1),$K$220:$K$223,0))-VALUE(MID(BU220,FIND("|",BU220)+1,FIND("-",BU220,FIND("|",BU220))-FIND("|",BU220)-1))),ABS(INDEX($P$220:$P$223,MATCH(LEFT(BU220,FIND("·",BU220)-1),$K$220:$K$223,0))-(VALUE(MID(BU220,FIND("|",BU220)+1,FIND("-",BU220,FIND("|",BU220))-FIND("|",BU220)-1))-VALUE(MID(BU220,FIND("-",BU220,FIND("|",BU220))+1,10)))))*$D$50)))))*INDEX($I$220:$I$223,MATCH(LEFT(BU220,FIND("·",BU220)-1),$K$220:$K$223,0)),0),0),0)+IFERROR(IF(COUNTIF($C$220:$C$223,LEFT(BU220,FIND("·",BU220)-1))&gt;0,IF(INDEX($D$220:$D$223,MATCH(LEFT(BU220,FIND("·",BU220)-1),$C$220:$C$223,0))=IFERROR(VALUE(MID(BU220,FIND("·",BU220)+1,1)),0),($D$24+(INDEX($E$220:$E$223,MATCH(LEFT(BU220,FIND("·",BU220)-1),$C$220:$C$223,0))=MID(BU220,FIND("|",BU220)+1,10))*$D$26+MAX(0,IF($D$50=1,$D$25*(1-(ABS(INDEX($Q$220:$Q$223,MATCH(LEFT(BU220,FIND("·",BU220)-1),$C$220:$C$223,0))-(VALUE(MID(BU220,FIND("|",BU220)+1,FIND("-",BU220,FIND("|",BU220))-FIND("|",BU220)-1))-VALUE(MID(BU220,FIND("-",BU220,FIND("|",BU220))+1,10)))))*$D$50),$D$25*(1-(IF(INDEX($D$220:$D$223,MATCH(LEFT(BU220,FIND("·",BU220)-1),$C$220:$C$223,0))=0,ABS(INDEX($A$220:$A$223,MATCH(LEFT(BU220,FIND("·",BU220)-1),$C$220:$C$223,0))-VALUE(MID(BU220,FIND("|",BU220)+1,FIND("-",BU220,FIND("|",BU220))-FIND("|",BU220)-1))),ABS(INDEX($Q$220:$Q$223,MATCH(LEFT(BU220,FIND("·",BU220)-1),$C$220:$C$223,0))-(VALUE(MID(BU220,FIND("|",BU220)+1,FIND("-",BU220,FIND("|",BU220))-FIND("|",BU220)-1))-VALUE(MID(BU220,FIND("-",BU220,FIND("|",BU220))+1,10)))))*$D$50)))))*INDEX($I$220:$I$223,MATCH(LEFT(BU220,FIND("·",BU220)-1),$C$220:$C$223,0)),0),0),0)</f>
        <v>0</v>
      </c>
      <c r="BW220" s="110"/>
      <c r="BX220" s="76" t="s">
        <v>2455</v>
      </c>
      <c r="BY220" s="77">
        <f t="shared" ref="BY220" si="1170">IFERROR(IF(COUNTIF($K$220:$K$223,LEFT(BX220,FIND("·",BX220)-1))&gt;0,IF(INDEX($L$220:$L$223,MATCH(LEFT(BX220,FIND("·",BX220)-1),$K$220:$K$223,0))=IFERROR(VALUE(MID(BX220,FIND("·",BX220)+1,1)),0),($D$24+(INDEX($M$220:$M$223,MATCH(LEFT(BX220,FIND("·",BX220)-1),$K$220:$K$223,0))=MID(BX220,FIND("|",BX220)+1,10))*$D$26+MAX(0,IF($D$50=1,$D$25*(1-(ABS(INDEX($P$220:$P$223,MATCH(LEFT(BX220,FIND("·",BX220)-1),$K$220:$K$223,0))-(VALUE(MID(BX220,FIND("|",BX220)+1,FIND("-",BX220,FIND("|",BX220))-FIND("|",BX220)-1))-VALUE(MID(BX220,FIND("-",BX220,FIND("|",BX220))+1,10)))))*$D$50),$D$25*(1-(IF(INDEX($L$220:$L$223,MATCH(LEFT(BX220,FIND("·",BX220)-1),$K$220:$K$223,0))=0,ABS(INDEX($N$220:$N$223,MATCH(LEFT(BX220,FIND("·",BX220)-1),$K$220:$K$223,0))-VALUE(MID(BX220,FIND("|",BX220)+1,FIND("-",BX220,FIND("|",BX220))-FIND("|",BX220)-1))),ABS(INDEX($P$220:$P$223,MATCH(LEFT(BX220,FIND("·",BX220)-1),$K$220:$K$223,0))-(VALUE(MID(BX220,FIND("|",BX220)+1,FIND("-",BX220,FIND("|",BX220))-FIND("|",BX220)-1))-VALUE(MID(BX220,FIND("-",BX220,FIND("|",BX220))+1,10)))))*$D$50)))))*INDEX($I$220:$I$223,MATCH(LEFT(BX220,FIND("·",BX220)-1),$K$220:$K$223,0)),0),0),0)+IFERROR(IF(COUNTIF($C$220:$C$223,LEFT(BX220,FIND("·",BX220)-1))&gt;0,IF(INDEX($D$220:$D$223,MATCH(LEFT(BX220,FIND("·",BX220)-1),$C$220:$C$223,0))=IFERROR(VALUE(MID(BX220,FIND("·",BX220)+1,1)),0),($D$24+(INDEX($E$220:$E$223,MATCH(LEFT(BX220,FIND("·",BX220)-1),$C$220:$C$223,0))=MID(BX220,FIND("|",BX220)+1,10))*$D$26+MAX(0,IF($D$50=1,$D$25*(1-(ABS(INDEX($Q$220:$Q$223,MATCH(LEFT(BX220,FIND("·",BX220)-1),$C$220:$C$223,0))-(VALUE(MID(BX220,FIND("|",BX220)+1,FIND("-",BX220,FIND("|",BX220))-FIND("|",BX220)-1))-VALUE(MID(BX220,FIND("-",BX220,FIND("|",BX220))+1,10)))))*$D$50),$D$25*(1-(IF(INDEX($D$220:$D$223,MATCH(LEFT(BX220,FIND("·",BX220)-1),$C$220:$C$223,0))=0,ABS(INDEX($A$220:$A$223,MATCH(LEFT(BX220,FIND("·",BX220)-1),$C$220:$C$223,0))-VALUE(MID(BX220,FIND("|",BX220)+1,FIND("-",BX220,FIND("|",BX220))-FIND("|",BX220)-1))),ABS(INDEX($Q$220:$Q$223,MATCH(LEFT(BX220,FIND("·",BX220)-1),$C$220:$C$223,0))-(VALUE(MID(BX220,FIND("|",BX220)+1,FIND("-",BX220,FIND("|",BX220))-FIND("|",BX220)-1))-VALUE(MID(BX220,FIND("-",BX220,FIND("|",BX220))+1,10)))))*$D$50)))))*INDEX($I$220:$I$223,MATCH(LEFT(BX220,FIND("·",BX220)-1),$C$220:$C$223,0)),0),0),0)</f>
        <v>0</v>
      </c>
      <c r="BZ220" s="110"/>
      <c r="CA220" s="76" t="s">
        <v>2475</v>
      </c>
      <c r="CB220" s="77">
        <f t="shared" ref="CB220" si="1171">IFERROR(IF(COUNTIF($K$220:$K$223,LEFT(CA220,FIND("·",CA220)-1))&gt;0,IF(INDEX($L$220:$L$223,MATCH(LEFT(CA220,FIND("·",CA220)-1),$K$220:$K$223,0))=IFERROR(VALUE(MID(CA220,FIND("·",CA220)+1,1)),0),($D$24+(INDEX($M$220:$M$223,MATCH(LEFT(CA220,FIND("·",CA220)-1),$K$220:$K$223,0))=MID(CA220,FIND("|",CA220)+1,10))*$D$26+MAX(0,IF($D$50=1,$D$25*(1-(ABS(INDEX($P$220:$P$223,MATCH(LEFT(CA220,FIND("·",CA220)-1),$K$220:$K$223,0))-(VALUE(MID(CA220,FIND("|",CA220)+1,FIND("-",CA220,FIND("|",CA220))-FIND("|",CA220)-1))-VALUE(MID(CA220,FIND("-",CA220,FIND("|",CA220))+1,10)))))*$D$50),$D$25*(1-(IF(INDEX($L$220:$L$223,MATCH(LEFT(CA220,FIND("·",CA220)-1),$K$220:$K$223,0))=0,ABS(INDEX($N$220:$N$223,MATCH(LEFT(CA220,FIND("·",CA220)-1),$K$220:$K$223,0))-VALUE(MID(CA220,FIND("|",CA220)+1,FIND("-",CA220,FIND("|",CA220))-FIND("|",CA220)-1))),ABS(INDEX($P$220:$P$223,MATCH(LEFT(CA220,FIND("·",CA220)-1),$K$220:$K$223,0))-(VALUE(MID(CA220,FIND("|",CA220)+1,FIND("-",CA220,FIND("|",CA220))-FIND("|",CA220)-1))-VALUE(MID(CA220,FIND("-",CA220,FIND("|",CA220))+1,10)))))*$D$50)))))*INDEX($I$220:$I$223,MATCH(LEFT(CA220,FIND("·",CA220)-1),$K$220:$K$223,0)),0),0),0)+IFERROR(IF(COUNTIF($C$220:$C$223,LEFT(CA220,FIND("·",CA220)-1))&gt;0,IF(INDEX($D$220:$D$223,MATCH(LEFT(CA220,FIND("·",CA220)-1),$C$220:$C$223,0))=IFERROR(VALUE(MID(CA220,FIND("·",CA220)+1,1)),0),($D$24+(INDEX($E$220:$E$223,MATCH(LEFT(CA220,FIND("·",CA220)-1),$C$220:$C$223,0))=MID(CA220,FIND("|",CA220)+1,10))*$D$26+MAX(0,IF($D$50=1,$D$25*(1-(ABS(INDEX($Q$220:$Q$223,MATCH(LEFT(CA220,FIND("·",CA220)-1),$C$220:$C$223,0))-(VALUE(MID(CA220,FIND("|",CA220)+1,FIND("-",CA220,FIND("|",CA220))-FIND("|",CA220)-1))-VALUE(MID(CA220,FIND("-",CA220,FIND("|",CA220))+1,10)))))*$D$50),$D$25*(1-(IF(INDEX($D$220:$D$223,MATCH(LEFT(CA220,FIND("·",CA220)-1),$C$220:$C$223,0))=0,ABS(INDEX($A$220:$A$223,MATCH(LEFT(CA220,FIND("·",CA220)-1),$C$220:$C$223,0))-VALUE(MID(CA220,FIND("|",CA220)+1,FIND("-",CA220,FIND("|",CA220))-FIND("|",CA220)-1))),ABS(INDEX($Q$220:$Q$223,MATCH(LEFT(CA220,FIND("·",CA220)-1),$C$220:$C$223,0))-(VALUE(MID(CA220,FIND("|",CA220)+1,FIND("-",CA220,FIND("|",CA220))-FIND("|",CA220)-1))-VALUE(MID(CA220,FIND("-",CA220,FIND("|",CA220))+1,10)))))*$D$50)))))*INDEX($I$220:$I$223,MATCH(LEFT(CA220,FIND("·",CA220)-1),$C$220:$C$223,0)),0),0),0)</f>
        <v>0</v>
      </c>
      <c r="CC220" s="110"/>
      <c r="CD220" s="76" t="s">
        <v>2496</v>
      </c>
      <c r="CE220" s="77">
        <f t="shared" ref="CE220" si="1172">IFERROR(IF(COUNTIF($K$220:$K$223,LEFT(CD220,FIND("·",CD220)-1))&gt;0,IF(INDEX($L$220:$L$223,MATCH(LEFT(CD220,FIND("·",CD220)-1),$K$220:$K$223,0))=IFERROR(VALUE(MID(CD220,FIND("·",CD220)+1,1)),0),($D$24+(INDEX($M$220:$M$223,MATCH(LEFT(CD220,FIND("·",CD220)-1),$K$220:$K$223,0))=MID(CD220,FIND("|",CD220)+1,10))*$D$26+MAX(0,IF($D$50=1,$D$25*(1-(ABS(INDEX($P$220:$P$223,MATCH(LEFT(CD220,FIND("·",CD220)-1),$K$220:$K$223,0))-(VALUE(MID(CD220,FIND("|",CD220)+1,FIND("-",CD220,FIND("|",CD220))-FIND("|",CD220)-1))-VALUE(MID(CD220,FIND("-",CD220,FIND("|",CD220))+1,10)))))*$D$50),$D$25*(1-(IF(INDEX($L$220:$L$223,MATCH(LEFT(CD220,FIND("·",CD220)-1),$K$220:$K$223,0))=0,ABS(INDEX($N$220:$N$223,MATCH(LEFT(CD220,FIND("·",CD220)-1),$K$220:$K$223,0))-VALUE(MID(CD220,FIND("|",CD220)+1,FIND("-",CD220,FIND("|",CD220))-FIND("|",CD220)-1))),ABS(INDEX($P$220:$P$223,MATCH(LEFT(CD220,FIND("·",CD220)-1),$K$220:$K$223,0))-(VALUE(MID(CD220,FIND("|",CD220)+1,FIND("-",CD220,FIND("|",CD220))-FIND("|",CD220)-1))-VALUE(MID(CD220,FIND("-",CD220,FIND("|",CD220))+1,10)))))*$D$50)))))*INDEX($I$220:$I$223,MATCH(LEFT(CD220,FIND("·",CD220)-1),$K$220:$K$223,0)),0),0),0)+IFERROR(IF(COUNTIF($C$220:$C$223,LEFT(CD220,FIND("·",CD220)-1))&gt;0,IF(INDEX($D$220:$D$223,MATCH(LEFT(CD220,FIND("·",CD220)-1),$C$220:$C$223,0))=IFERROR(VALUE(MID(CD220,FIND("·",CD220)+1,1)),0),($D$24+(INDEX($E$220:$E$223,MATCH(LEFT(CD220,FIND("·",CD220)-1),$C$220:$C$223,0))=MID(CD220,FIND("|",CD220)+1,10))*$D$26+MAX(0,IF($D$50=1,$D$25*(1-(ABS(INDEX($Q$220:$Q$223,MATCH(LEFT(CD220,FIND("·",CD220)-1),$C$220:$C$223,0))-(VALUE(MID(CD220,FIND("|",CD220)+1,FIND("-",CD220,FIND("|",CD220))-FIND("|",CD220)-1))-VALUE(MID(CD220,FIND("-",CD220,FIND("|",CD220))+1,10)))))*$D$50),$D$25*(1-(IF(INDEX($D$220:$D$223,MATCH(LEFT(CD220,FIND("·",CD220)-1),$C$220:$C$223,0))=0,ABS(INDEX($A$220:$A$223,MATCH(LEFT(CD220,FIND("·",CD220)-1),$C$220:$C$223,0))-VALUE(MID(CD220,FIND("|",CD220)+1,FIND("-",CD220,FIND("|",CD220))-FIND("|",CD220)-1))),ABS(INDEX($Q$220:$Q$223,MATCH(LEFT(CD220,FIND("·",CD220)-1),$C$220:$C$223,0))-(VALUE(MID(CD220,FIND("|",CD220)+1,FIND("-",CD220,FIND("|",CD220))-FIND("|",CD220)-1))-VALUE(MID(CD220,FIND("-",CD220,FIND("|",CD220))+1,10)))))*$D$50)))))*INDEX($I$220:$I$223,MATCH(LEFT(CD220,FIND("·",CD220)-1),$C$220:$C$223,0)),0),0),0)</f>
        <v>0</v>
      </c>
      <c r="CF220" s="110"/>
      <c r="CG220" s="76" t="s">
        <v>2372</v>
      </c>
      <c r="CH220" s="77">
        <f t="shared" ref="CH220" si="1173">IFERROR(IF(COUNTIF($K$220:$K$223,LEFT(CG220,FIND("·",CG220)-1))&gt;0,IF(INDEX($L$220:$L$223,MATCH(LEFT(CG220,FIND("·",CG220)-1),$K$220:$K$223,0))=IFERROR(VALUE(MID(CG220,FIND("·",CG220)+1,1)),0),($D$24+(INDEX($M$220:$M$223,MATCH(LEFT(CG220,FIND("·",CG220)-1),$K$220:$K$223,0))=MID(CG220,FIND("|",CG220)+1,10))*$D$26+MAX(0,IF($D$50=1,$D$25*(1-(ABS(INDEX($P$220:$P$223,MATCH(LEFT(CG220,FIND("·",CG220)-1),$K$220:$K$223,0))-(VALUE(MID(CG220,FIND("|",CG220)+1,FIND("-",CG220,FIND("|",CG220))-FIND("|",CG220)-1))-VALUE(MID(CG220,FIND("-",CG220,FIND("|",CG220))+1,10)))))*$D$50),$D$25*(1-(IF(INDEX($L$220:$L$223,MATCH(LEFT(CG220,FIND("·",CG220)-1),$K$220:$K$223,0))=0,ABS(INDEX($N$220:$N$223,MATCH(LEFT(CG220,FIND("·",CG220)-1),$K$220:$K$223,0))-VALUE(MID(CG220,FIND("|",CG220)+1,FIND("-",CG220,FIND("|",CG220))-FIND("|",CG220)-1))),ABS(INDEX($P$220:$P$223,MATCH(LEFT(CG220,FIND("·",CG220)-1),$K$220:$K$223,0))-(VALUE(MID(CG220,FIND("|",CG220)+1,FIND("-",CG220,FIND("|",CG220))-FIND("|",CG220)-1))-VALUE(MID(CG220,FIND("-",CG220,FIND("|",CG220))+1,10)))))*$D$50)))))*INDEX($I$220:$I$223,MATCH(LEFT(CG220,FIND("·",CG220)-1),$K$220:$K$223,0)),0),0),0)+IFERROR(IF(COUNTIF($C$220:$C$223,LEFT(CG220,FIND("·",CG220)-1))&gt;0,IF(INDEX($D$220:$D$223,MATCH(LEFT(CG220,FIND("·",CG220)-1),$C$220:$C$223,0))=IFERROR(VALUE(MID(CG220,FIND("·",CG220)+1,1)),0),($D$24+(INDEX($E$220:$E$223,MATCH(LEFT(CG220,FIND("·",CG220)-1),$C$220:$C$223,0))=MID(CG220,FIND("|",CG220)+1,10))*$D$26+MAX(0,IF($D$50=1,$D$25*(1-(ABS(INDEX($Q$220:$Q$223,MATCH(LEFT(CG220,FIND("·",CG220)-1),$C$220:$C$223,0))-(VALUE(MID(CG220,FIND("|",CG220)+1,FIND("-",CG220,FIND("|",CG220))-FIND("|",CG220)-1))-VALUE(MID(CG220,FIND("-",CG220,FIND("|",CG220))+1,10)))))*$D$50),$D$25*(1-(IF(INDEX($D$220:$D$223,MATCH(LEFT(CG220,FIND("·",CG220)-1),$C$220:$C$223,0))=0,ABS(INDEX($A$220:$A$223,MATCH(LEFT(CG220,FIND("·",CG220)-1),$C$220:$C$223,0))-VALUE(MID(CG220,FIND("|",CG220)+1,FIND("-",CG220,FIND("|",CG220))-FIND("|",CG220)-1))),ABS(INDEX($Q$220:$Q$223,MATCH(LEFT(CG220,FIND("·",CG220)-1),$C$220:$C$223,0))-(VALUE(MID(CG220,FIND("|",CG220)+1,FIND("-",CG220,FIND("|",CG220))-FIND("|",CG220)-1))-VALUE(MID(CG220,FIND("-",CG220,FIND("|",CG220))+1,10)))))*$D$50)))))*INDEX($I$220:$I$223,MATCH(LEFT(CG220,FIND("·",CG220)-1),$C$220:$C$223,0)),0),0),0)</f>
        <v>0</v>
      </c>
      <c r="CI220" s="110"/>
      <c r="CJ220" s="76" t="s">
        <v>2355</v>
      </c>
      <c r="CK220" s="77">
        <f t="shared" ref="CK220:EV223" si="1174">IFERROR(IF(COUNTIF($K$220:$K$223,LEFT(CJ220,FIND("·",CJ220)-1))&gt;0,IF(INDEX($L$220:$L$223,MATCH(LEFT(CJ220,FIND("·",CJ220)-1),$K$220:$K$223,0))=IFERROR(VALUE(MID(CJ220,FIND("·",CJ220)+1,1)),0),($D$24+(INDEX($M$220:$M$223,MATCH(LEFT(CJ220,FIND("·",CJ220)-1),$K$220:$K$223,0))=MID(CJ220,FIND("|",CJ220)+1,10))*$D$26+MAX(0,IF($D$50=1,$D$25*(1-(ABS(INDEX($P$220:$P$223,MATCH(LEFT(CJ220,FIND("·",CJ220)-1),$K$220:$K$223,0))-(VALUE(MID(CJ220,FIND("|",CJ220)+1,FIND("-",CJ220,FIND("|",CJ220))-FIND("|",CJ220)-1))-VALUE(MID(CJ220,FIND("-",CJ220,FIND("|",CJ220))+1,10)))))*$D$50),$D$25*(1-(IF(INDEX($L$220:$L$223,MATCH(LEFT(CJ220,FIND("·",CJ220)-1),$K$220:$K$223,0))=0,ABS(INDEX($N$220:$N$223,MATCH(LEFT(CJ220,FIND("·",CJ220)-1),$K$220:$K$223,0))-VALUE(MID(CJ220,FIND("|",CJ220)+1,FIND("-",CJ220,FIND("|",CJ220))-FIND("|",CJ220)-1))),ABS(INDEX($P$220:$P$223,MATCH(LEFT(CJ220,FIND("·",CJ220)-1),$K$220:$K$223,0))-(VALUE(MID(CJ220,FIND("|",CJ220)+1,FIND("-",CJ220,FIND("|",CJ220))-FIND("|",CJ220)-1))-VALUE(MID(CJ220,FIND("-",CJ220,FIND("|",CJ220))+1,10)))))*$D$50)))))*INDEX($I$220:$I$223,MATCH(LEFT(CJ220,FIND("·",CJ220)-1),$K$220:$K$223,0)),0),0),0)+IFERROR(IF(COUNTIF($C$220:$C$223,LEFT(CJ220,FIND("·",CJ220)-1))&gt;0,IF(INDEX($D$220:$D$223,MATCH(LEFT(CJ220,FIND("·",CJ220)-1),$C$220:$C$223,0))=IFERROR(VALUE(MID(CJ220,FIND("·",CJ220)+1,1)),0),($D$24+(INDEX($E$220:$E$223,MATCH(LEFT(CJ220,FIND("·",CJ220)-1),$C$220:$C$223,0))=MID(CJ220,FIND("|",CJ220)+1,10))*$D$26+MAX(0,IF($D$50=1,$D$25*(1-(ABS(INDEX($Q$220:$Q$223,MATCH(LEFT(CJ220,FIND("·",CJ220)-1),$C$220:$C$223,0))-(VALUE(MID(CJ220,FIND("|",CJ220)+1,FIND("-",CJ220,FIND("|",CJ220))-FIND("|",CJ220)-1))-VALUE(MID(CJ220,FIND("-",CJ220,FIND("|",CJ220))+1,10)))))*$D$50),$D$25*(1-(IF(INDEX($D$220:$D$223,MATCH(LEFT(CJ220,FIND("·",CJ220)-1),$C$220:$C$223,0))=0,ABS(INDEX($A$220:$A$223,MATCH(LEFT(CJ220,FIND("·",CJ220)-1),$C$220:$C$223,0))-VALUE(MID(CJ220,FIND("|",CJ220)+1,FIND("-",CJ220,FIND("|",CJ220))-FIND("|",CJ220)-1))),ABS(INDEX($Q$220:$Q$223,MATCH(LEFT(CJ220,FIND("·",CJ220)-1),$C$220:$C$223,0))-(VALUE(MID(CJ220,FIND("|",CJ220)+1,FIND("-",CJ220,FIND("|",CJ220))-FIND("|",CJ220)-1))-VALUE(MID(CJ220,FIND("-",CJ220,FIND("|",CJ220))+1,10)))))*$D$50)))))*INDEX($I$220:$I$223,MATCH(LEFT(CJ220,FIND("·",CJ220)-1),$C$220:$C$223,0)),0),0),0)</f>
        <v>0</v>
      </c>
      <c r="CL220" s="110"/>
      <c r="CM220" s="76" t="s">
        <v>2543</v>
      </c>
      <c r="CN220" s="77">
        <f t="shared" ref="CN220" si="1175">IFERROR(IF(COUNTIF($K$220:$K$223,LEFT(CM220,FIND("·",CM220)-1))&gt;0,IF(INDEX($L$220:$L$223,MATCH(LEFT(CM220,FIND("·",CM220)-1),$K$220:$K$223,0))=IFERROR(VALUE(MID(CM220,FIND("·",CM220)+1,1)),0),($D$24+(INDEX($M$220:$M$223,MATCH(LEFT(CM220,FIND("·",CM220)-1),$K$220:$K$223,0))=MID(CM220,FIND("|",CM220)+1,10))*$D$26+MAX(0,IF($D$50=1,$D$25*(1-(ABS(INDEX($P$220:$P$223,MATCH(LEFT(CM220,FIND("·",CM220)-1),$K$220:$K$223,0))-(VALUE(MID(CM220,FIND("|",CM220)+1,FIND("-",CM220,FIND("|",CM220))-FIND("|",CM220)-1))-VALUE(MID(CM220,FIND("-",CM220,FIND("|",CM220))+1,10)))))*$D$50),$D$25*(1-(IF(INDEX($L$220:$L$223,MATCH(LEFT(CM220,FIND("·",CM220)-1),$K$220:$K$223,0))=0,ABS(INDEX($N$220:$N$223,MATCH(LEFT(CM220,FIND("·",CM220)-1),$K$220:$K$223,0))-VALUE(MID(CM220,FIND("|",CM220)+1,FIND("-",CM220,FIND("|",CM220))-FIND("|",CM220)-1))),ABS(INDEX($P$220:$P$223,MATCH(LEFT(CM220,FIND("·",CM220)-1),$K$220:$K$223,0))-(VALUE(MID(CM220,FIND("|",CM220)+1,FIND("-",CM220,FIND("|",CM220))-FIND("|",CM220)-1))-VALUE(MID(CM220,FIND("-",CM220,FIND("|",CM220))+1,10)))))*$D$50)))))*INDEX($I$220:$I$223,MATCH(LEFT(CM220,FIND("·",CM220)-1),$K$220:$K$223,0)),0),0),0)+IFERROR(IF(COUNTIF($C$220:$C$223,LEFT(CM220,FIND("·",CM220)-1))&gt;0,IF(INDEX($D$220:$D$223,MATCH(LEFT(CM220,FIND("·",CM220)-1),$C$220:$C$223,0))=IFERROR(VALUE(MID(CM220,FIND("·",CM220)+1,1)),0),($D$24+(INDEX($E$220:$E$223,MATCH(LEFT(CM220,FIND("·",CM220)-1),$C$220:$C$223,0))=MID(CM220,FIND("|",CM220)+1,10))*$D$26+MAX(0,IF($D$50=1,$D$25*(1-(ABS(INDEX($Q$220:$Q$223,MATCH(LEFT(CM220,FIND("·",CM220)-1),$C$220:$C$223,0))-(VALUE(MID(CM220,FIND("|",CM220)+1,FIND("-",CM220,FIND("|",CM220))-FIND("|",CM220)-1))-VALUE(MID(CM220,FIND("-",CM220,FIND("|",CM220))+1,10)))))*$D$50),$D$25*(1-(IF(INDEX($D$220:$D$223,MATCH(LEFT(CM220,FIND("·",CM220)-1),$C$220:$C$223,0))=0,ABS(INDEX($A$220:$A$223,MATCH(LEFT(CM220,FIND("·",CM220)-1),$C$220:$C$223,0))-VALUE(MID(CM220,FIND("|",CM220)+1,FIND("-",CM220,FIND("|",CM220))-FIND("|",CM220)-1))),ABS(INDEX($Q$220:$Q$223,MATCH(LEFT(CM220,FIND("·",CM220)-1),$C$220:$C$223,0))-(VALUE(MID(CM220,FIND("|",CM220)+1,FIND("-",CM220,FIND("|",CM220))-FIND("|",CM220)-1))-VALUE(MID(CM220,FIND("-",CM220,FIND("|",CM220))+1,10)))))*$D$50)))))*INDEX($I$220:$I$223,MATCH(LEFT(CM220,FIND("·",CM220)-1),$C$220:$C$223,0)),0),0),0)</f>
        <v>0</v>
      </c>
      <c r="CO220" s="110"/>
      <c r="CP220" s="76" t="s">
        <v>2152</v>
      </c>
      <c r="CQ220" s="77">
        <f t="shared" ref="CQ220" si="1176">IFERROR(IF(COUNTIF($K$220:$K$223,LEFT(CP220,FIND("·",CP220)-1))&gt;0,IF(INDEX($L$220:$L$223,MATCH(LEFT(CP220,FIND("·",CP220)-1),$K$220:$K$223,0))=IFERROR(VALUE(MID(CP220,FIND("·",CP220)+1,1)),0),($D$24+(INDEX($M$220:$M$223,MATCH(LEFT(CP220,FIND("·",CP220)-1),$K$220:$K$223,0))=MID(CP220,FIND("|",CP220)+1,10))*$D$26+MAX(0,IF($D$50=1,$D$25*(1-(ABS(INDEX($P$220:$P$223,MATCH(LEFT(CP220,FIND("·",CP220)-1),$K$220:$K$223,0))-(VALUE(MID(CP220,FIND("|",CP220)+1,FIND("-",CP220,FIND("|",CP220))-FIND("|",CP220)-1))-VALUE(MID(CP220,FIND("-",CP220,FIND("|",CP220))+1,10)))))*$D$50),$D$25*(1-(IF(INDEX($L$220:$L$223,MATCH(LEFT(CP220,FIND("·",CP220)-1),$K$220:$K$223,0))=0,ABS(INDEX($N$220:$N$223,MATCH(LEFT(CP220,FIND("·",CP220)-1),$K$220:$K$223,0))-VALUE(MID(CP220,FIND("|",CP220)+1,FIND("-",CP220,FIND("|",CP220))-FIND("|",CP220)-1))),ABS(INDEX($P$220:$P$223,MATCH(LEFT(CP220,FIND("·",CP220)-1),$K$220:$K$223,0))-(VALUE(MID(CP220,FIND("|",CP220)+1,FIND("-",CP220,FIND("|",CP220))-FIND("|",CP220)-1))-VALUE(MID(CP220,FIND("-",CP220,FIND("|",CP220))+1,10)))))*$D$50)))))*INDEX($I$220:$I$223,MATCH(LEFT(CP220,FIND("·",CP220)-1),$K$220:$K$223,0)),0),0),0)+IFERROR(IF(COUNTIF($C$220:$C$223,LEFT(CP220,FIND("·",CP220)-1))&gt;0,IF(INDEX($D$220:$D$223,MATCH(LEFT(CP220,FIND("·",CP220)-1),$C$220:$C$223,0))=IFERROR(VALUE(MID(CP220,FIND("·",CP220)+1,1)),0),($D$24+(INDEX($E$220:$E$223,MATCH(LEFT(CP220,FIND("·",CP220)-1),$C$220:$C$223,0))=MID(CP220,FIND("|",CP220)+1,10))*$D$26+MAX(0,IF($D$50=1,$D$25*(1-(ABS(INDEX($Q$220:$Q$223,MATCH(LEFT(CP220,FIND("·",CP220)-1),$C$220:$C$223,0))-(VALUE(MID(CP220,FIND("|",CP220)+1,FIND("-",CP220,FIND("|",CP220))-FIND("|",CP220)-1))-VALUE(MID(CP220,FIND("-",CP220,FIND("|",CP220))+1,10)))))*$D$50),$D$25*(1-(IF(INDEX($D$220:$D$223,MATCH(LEFT(CP220,FIND("·",CP220)-1),$C$220:$C$223,0))=0,ABS(INDEX($A$220:$A$223,MATCH(LEFT(CP220,FIND("·",CP220)-1),$C$220:$C$223,0))-VALUE(MID(CP220,FIND("|",CP220)+1,FIND("-",CP220,FIND("|",CP220))-FIND("|",CP220)-1))),ABS(INDEX($Q$220:$Q$223,MATCH(LEFT(CP220,FIND("·",CP220)-1),$C$220:$C$223,0))-(VALUE(MID(CP220,FIND("|",CP220)+1,FIND("-",CP220,FIND("|",CP220))-FIND("|",CP220)-1))-VALUE(MID(CP220,FIND("-",CP220,FIND("|",CP220))+1,10)))))*$D$50)))))*INDEX($I$220:$I$223,MATCH(LEFT(CP220,FIND("·",CP220)-1),$C$220:$C$223,0)),0),0),0)</f>
        <v>0</v>
      </c>
      <c r="CR220" s="110"/>
      <c r="CS220" s="76" t="s">
        <v>2455</v>
      </c>
      <c r="CT220" s="77">
        <f t="shared" ref="CT220" si="1177">IFERROR(IF(COUNTIF($K$220:$K$223,LEFT(CS220,FIND("·",CS220)-1))&gt;0,IF(INDEX($L$220:$L$223,MATCH(LEFT(CS220,FIND("·",CS220)-1),$K$220:$K$223,0))=IFERROR(VALUE(MID(CS220,FIND("·",CS220)+1,1)),0),($D$24+(INDEX($M$220:$M$223,MATCH(LEFT(CS220,FIND("·",CS220)-1),$K$220:$K$223,0))=MID(CS220,FIND("|",CS220)+1,10))*$D$26+MAX(0,IF($D$50=1,$D$25*(1-(ABS(INDEX($P$220:$P$223,MATCH(LEFT(CS220,FIND("·",CS220)-1),$K$220:$K$223,0))-(VALUE(MID(CS220,FIND("|",CS220)+1,FIND("-",CS220,FIND("|",CS220))-FIND("|",CS220)-1))-VALUE(MID(CS220,FIND("-",CS220,FIND("|",CS220))+1,10)))))*$D$50),$D$25*(1-(IF(INDEX($L$220:$L$223,MATCH(LEFT(CS220,FIND("·",CS220)-1),$K$220:$K$223,0))=0,ABS(INDEX($N$220:$N$223,MATCH(LEFT(CS220,FIND("·",CS220)-1),$K$220:$K$223,0))-VALUE(MID(CS220,FIND("|",CS220)+1,FIND("-",CS220,FIND("|",CS220))-FIND("|",CS220)-1))),ABS(INDEX($P$220:$P$223,MATCH(LEFT(CS220,FIND("·",CS220)-1),$K$220:$K$223,0))-(VALUE(MID(CS220,FIND("|",CS220)+1,FIND("-",CS220,FIND("|",CS220))-FIND("|",CS220)-1))-VALUE(MID(CS220,FIND("-",CS220,FIND("|",CS220))+1,10)))))*$D$50)))))*INDEX($I$220:$I$223,MATCH(LEFT(CS220,FIND("·",CS220)-1),$K$220:$K$223,0)),0),0),0)+IFERROR(IF(COUNTIF($C$220:$C$223,LEFT(CS220,FIND("·",CS220)-1))&gt;0,IF(INDEX($D$220:$D$223,MATCH(LEFT(CS220,FIND("·",CS220)-1),$C$220:$C$223,0))=IFERROR(VALUE(MID(CS220,FIND("·",CS220)+1,1)),0),($D$24+(INDEX($E$220:$E$223,MATCH(LEFT(CS220,FIND("·",CS220)-1),$C$220:$C$223,0))=MID(CS220,FIND("|",CS220)+1,10))*$D$26+MAX(0,IF($D$50=1,$D$25*(1-(ABS(INDEX($Q$220:$Q$223,MATCH(LEFT(CS220,FIND("·",CS220)-1),$C$220:$C$223,0))-(VALUE(MID(CS220,FIND("|",CS220)+1,FIND("-",CS220,FIND("|",CS220))-FIND("|",CS220)-1))-VALUE(MID(CS220,FIND("-",CS220,FIND("|",CS220))+1,10)))))*$D$50),$D$25*(1-(IF(INDEX($D$220:$D$223,MATCH(LEFT(CS220,FIND("·",CS220)-1),$C$220:$C$223,0))=0,ABS(INDEX($A$220:$A$223,MATCH(LEFT(CS220,FIND("·",CS220)-1),$C$220:$C$223,0))-VALUE(MID(CS220,FIND("|",CS220)+1,FIND("-",CS220,FIND("|",CS220))-FIND("|",CS220)-1))),ABS(INDEX($Q$220:$Q$223,MATCH(LEFT(CS220,FIND("·",CS220)-1),$C$220:$C$223,0))-(VALUE(MID(CS220,FIND("|",CS220)+1,FIND("-",CS220,FIND("|",CS220))-FIND("|",CS220)-1))-VALUE(MID(CS220,FIND("-",CS220,FIND("|",CS220))+1,10)))))*$D$50)))))*INDEX($I$220:$I$223,MATCH(LEFT(CS220,FIND("·",CS220)-1),$C$220:$C$223,0)),0),0),0)</f>
        <v>0</v>
      </c>
      <c r="CU220" s="110"/>
      <c r="CV220" s="76" t="s">
        <v>2392</v>
      </c>
      <c r="CW220" s="77">
        <f t="shared" ref="CW220" si="1178">IFERROR(IF(COUNTIF($K$220:$K$223,LEFT(CV220,FIND("·",CV220)-1))&gt;0,IF(INDEX($L$220:$L$223,MATCH(LEFT(CV220,FIND("·",CV220)-1),$K$220:$K$223,0))=IFERROR(VALUE(MID(CV220,FIND("·",CV220)+1,1)),0),($D$24+(INDEX($M$220:$M$223,MATCH(LEFT(CV220,FIND("·",CV220)-1),$K$220:$K$223,0))=MID(CV220,FIND("|",CV220)+1,10))*$D$26+MAX(0,IF($D$50=1,$D$25*(1-(ABS(INDEX($P$220:$P$223,MATCH(LEFT(CV220,FIND("·",CV220)-1),$K$220:$K$223,0))-(VALUE(MID(CV220,FIND("|",CV220)+1,FIND("-",CV220,FIND("|",CV220))-FIND("|",CV220)-1))-VALUE(MID(CV220,FIND("-",CV220,FIND("|",CV220))+1,10)))))*$D$50),$D$25*(1-(IF(INDEX($L$220:$L$223,MATCH(LEFT(CV220,FIND("·",CV220)-1),$K$220:$K$223,0))=0,ABS(INDEX($N$220:$N$223,MATCH(LEFT(CV220,FIND("·",CV220)-1),$K$220:$K$223,0))-VALUE(MID(CV220,FIND("|",CV220)+1,FIND("-",CV220,FIND("|",CV220))-FIND("|",CV220)-1))),ABS(INDEX($P$220:$P$223,MATCH(LEFT(CV220,FIND("·",CV220)-1),$K$220:$K$223,0))-(VALUE(MID(CV220,FIND("|",CV220)+1,FIND("-",CV220,FIND("|",CV220))-FIND("|",CV220)-1))-VALUE(MID(CV220,FIND("-",CV220,FIND("|",CV220))+1,10)))))*$D$50)))))*INDEX($I$220:$I$223,MATCH(LEFT(CV220,FIND("·",CV220)-1),$K$220:$K$223,0)),0),0),0)+IFERROR(IF(COUNTIF($C$220:$C$223,LEFT(CV220,FIND("·",CV220)-1))&gt;0,IF(INDEX($D$220:$D$223,MATCH(LEFT(CV220,FIND("·",CV220)-1),$C$220:$C$223,0))=IFERROR(VALUE(MID(CV220,FIND("·",CV220)+1,1)),0),($D$24+(INDEX($E$220:$E$223,MATCH(LEFT(CV220,FIND("·",CV220)-1),$C$220:$C$223,0))=MID(CV220,FIND("|",CV220)+1,10))*$D$26+MAX(0,IF($D$50=1,$D$25*(1-(ABS(INDEX($Q$220:$Q$223,MATCH(LEFT(CV220,FIND("·",CV220)-1),$C$220:$C$223,0))-(VALUE(MID(CV220,FIND("|",CV220)+1,FIND("-",CV220,FIND("|",CV220))-FIND("|",CV220)-1))-VALUE(MID(CV220,FIND("-",CV220,FIND("|",CV220))+1,10)))))*$D$50),$D$25*(1-(IF(INDEX($D$220:$D$223,MATCH(LEFT(CV220,FIND("·",CV220)-1),$C$220:$C$223,0))=0,ABS(INDEX($A$220:$A$223,MATCH(LEFT(CV220,FIND("·",CV220)-1),$C$220:$C$223,0))-VALUE(MID(CV220,FIND("|",CV220)+1,FIND("-",CV220,FIND("|",CV220))-FIND("|",CV220)-1))),ABS(INDEX($Q$220:$Q$223,MATCH(LEFT(CV220,FIND("·",CV220)-1),$C$220:$C$223,0))-(VALUE(MID(CV220,FIND("|",CV220)+1,FIND("-",CV220,FIND("|",CV220))-FIND("|",CV220)-1))-VALUE(MID(CV220,FIND("-",CV220,FIND("|",CV220))+1,10)))))*$D$50)))))*INDEX($I$220:$I$223,MATCH(LEFT(CV220,FIND("·",CV220)-1),$C$220:$C$223,0)),0),0),0)</f>
        <v>0</v>
      </c>
      <c r="CX220" s="110"/>
      <c r="CY220" s="76" t="s">
        <v>2604</v>
      </c>
      <c r="CZ220" s="77">
        <f t="shared" ref="CZ220" si="1179">IFERROR(IF(COUNTIF($K$220:$K$223,LEFT(CY220,FIND("·",CY220)-1))&gt;0,IF(INDEX($L$220:$L$223,MATCH(LEFT(CY220,FIND("·",CY220)-1),$K$220:$K$223,0))=IFERROR(VALUE(MID(CY220,FIND("·",CY220)+1,1)),0),($D$24+(INDEX($M$220:$M$223,MATCH(LEFT(CY220,FIND("·",CY220)-1),$K$220:$K$223,0))=MID(CY220,FIND("|",CY220)+1,10))*$D$26+MAX(0,IF($D$50=1,$D$25*(1-(ABS(INDEX($P$220:$P$223,MATCH(LEFT(CY220,FIND("·",CY220)-1),$K$220:$K$223,0))-(VALUE(MID(CY220,FIND("|",CY220)+1,FIND("-",CY220,FIND("|",CY220))-FIND("|",CY220)-1))-VALUE(MID(CY220,FIND("-",CY220,FIND("|",CY220))+1,10)))))*$D$50),$D$25*(1-(IF(INDEX($L$220:$L$223,MATCH(LEFT(CY220,FIND("·",CY220)-1),$K$220:$K$223,0))=0,ABS(INDEX($N$220:$N$223,MATCH(LEFT(CY220,FIND("·",CY220)-1),$K$220:$K$223,0))-VALUE(MID(CY220,FIND("|",CY220)+1,FIND("-",CY220,FIND("|",CY220))-FIND("|",CY220)-1))),ABS(INDEX($P$220:$P$223,MATCH(LEFT(CY220,FIND("·",CY220)-1),$K$220:$K$223,0))-(VALUE(MID(CY220,FIND("|",CY220)+1,FIND("-",CY220,FIND("|",CY220))-FIND("|",CY220)-1))-VALUE(MID(CY220,FIND("-",CY220,FIND("|",CY220))+1,10)))))*$D$50)))))*INDEX($I$220:$I$223,MATCH(LEFT(CY220,FIND("·",CY220)-1),$K$220:$K$223,0)),0),0),0)+IFERROR(IF(COUNTIF($C$220:$C$223,LEFT(CY220,FIND("·",CY220)-1))&gt;0,IF(INDEX($D$220:$D$223,MATCH(LEFT(CY220,FIND("·",CY220)-1),$C$220:$C$223,0))=IFERROR(VALUE(MID(CY220,FIND("·",CY220)+1,1)),0),($D$24+(INDEX($E$220:$E$223,MATCH(LEFT(CY220,FIND("·",CY220)-1),$C$220:$C$223,0))=MID(CY220,FIND("|",CY220)+1,10))*$D$26+MAX(0,IF($D$50=1,$D$25*(1-(ABS(INDEX($Q$220:$Q$223,MATCH(LEFT(CY220,FIND("·",CY220)-1),$C$220:$C$223,0))-(VALUE(MID(CY220,FIND("|",CY220)+1,FIND("-",CY220,FIND("|",CY220))-FIND("|",CY220)-1))-VALUE(MID(CY220,FIND("-",CY220,FIND("|",CY220))+1,10)))))*$D$50),$D$25*(1-(IF(INDEX($D$220:$D$223,MATCH(LEFT(CY220,FIND("·",CY220)-1),$C$220:$C$223,0))=0,ABS(INDEX($A$220:$A$223,MATCH(LEFT(CY220,FIND("·",CY220)-1),$C$220:$C$223,0))-VALUE(MID(CY220,FIND("|",CY220)+1,FIND("-",CY220,FIND("|",CY220))-FIND("|",CY220)-1))),ABS(INDEX($Q$220:$Q$223,MATCH(LEFT(CY220,FIND("·",CY220)-1),$C$220:$C$223,0))-(VALUE(MID(CY220,FIND("|",CY220)+1,FIND("-",CY220,FIND("|",CY220))-FIND("|",CY220)-1))-VALUE(MID(CY220,FIND("-",CY220,FIND("|",CY220))+1,10)))))*$D$50)))))*INDEX($I$220:$I$223,MATCH(LEFT(CY220,FIND("·",CY220)-1),$C$220:$C$223,0)),0),0),0)</f>
        <v>0</v>
      </c>
      <c r="DA220" s="110"/>
      <c r="DB220" s="76" t="s">
        <v>2392</v>
      </c>
      <c r="DC220" s="77">
        <f t="shared" ref="DC220" si="1180">IFERROR(IF(COUNTIF($K$220:$K$223,LEFT(DB220,FIND("·",DB220)-1))&gt;0,IF(INDEX($L$220:$L$223,MATCH(LEFT(DB220,FIND("·",DB220)-1),$K$220:$K$223,0))=IFERROR(VALUE(MID(DB220,FIND("·",DB220)+1,1)),0),($D$24+(INDEX($M$220:$M$223,MATCH(LEFT(DB220,FIND("·",DB220)-1),$K$220:$K$223,0))=MID(DB220,FIND("|",DB220)+1,10))*$D$26+MAX(0,IF($D$50=1,$D$25*(1-(ABS(INDEX($P$220:$P$223,MATCH(LEFT(DB220,FIND("·",DB220)-1),$K$220:$K$223,0))-(VALUE(MID(DB220,FIND("|",DB220)+1,FIND("-",DB220,FIND("|",DB220))-FIND("|",DB220)-1))-VALUE(MID(DB220,FIND("-",DB220,FIND("|",DB220))+1,10)))))*$D$50),$D$25*(1-(IF(INDEX($L$220:$L$223,MATCH(LEFT(DB220,FIND("·",DB220)-1),$K$220:$K$223,0))=0,ABS(INDEX($N$220:$N$223,MATCH(LEFT(DB220,FIND("·",DB220)-1),$K$220:$K$223,0))-VALUE(MID(DB220,FIND("|",DB220)+1,FIND("-",DB220,FIND("|",DB220))-FIND("|",DB220)-1))),ABS(INDEX($P$220:$P$223,MATCH(LEFT(DB220,FIND("·",DB220)-1),$K$220:$K$223,0))-(VALUE(MID(DB220,FIND("|",DB220)+1,FIND("-",DB220,FIND("|",DB220))-FIND("|",DB220)-1))-VALUE(MID(DB220,FIND("-",DB220,FIND("|",DB220))+1,10)))))*$D$50)))))*INDEX($I$220:$I$223,MATCH(LEFT(DB220,FIND("·",DB220)-1),$K$220:$K$223,0)),0),0),0)+IFERROR(IF(COUNTIF($C$220:$C$223,LEFT(DB220,FIND("·",DB220)-1))&gt;0,IF(INDEX($D$220:$D$223,MATCH(LEFT(DB220,FIND("·",DB220)-1),$C$220:$C$223,0))=IFERROR(VALUE(MID(DB220,FIND("·",DB220)+1,1)),0),($D$24+(INDEX($E$220:$E$223,MATCH(LEFT(DB220,FIND("·",DB220)-1),$C$220:$C$223,0))=MID(DB220,FIND("|",DB220)+1,10))*$D$26+MAX(0,IF($D$50=1,$D$25*(1-(ABS(INDEX($Q$220:$Q$223,MATCH(LEFT(DB220,FIND("·",DB220)-1),$C$220:$C$223,0))-(VALUE(MID(DB220,FIND("|",DB220)+1,FIND("-",DB220,FIND("|",DB220))-FIND("|",DB220)-1))-VALUE(MID(DB220,FIND("-",DB220,FIND("|",DB220))+1,10)))))*$D$50),$D$25*(1-(IF(INDEX($D$220:$D$223,MATCH(LEFT(DB220,FIND("·",DB220)-1),$C$220:$C$223,0))=0,ABS(INDEX($A$220:$A$223,MATCH(LEFT(DB220,FIND("·",DB220)-1),$C$220:$C$223,0))-VALUE(MID(DB220,FIND("|",DB220)+1,FIND("-",DB220,FIND("|",DB220))-FIND("|",DB220)-1))),ABS(INDEX($Q$220:$Q$223,MATCH(LEFT(DB220,FIND("·",DB220)-1),$C$220:$C$223,0))-(VALUE(MID(DB220,FIND("|",DB220)+1,FIND("-",DB220,FIND("|",DB220))-FIND("|",DB220)-1))-VALUE(MID(DB220,FIND("-",DB220,FIND("|",DB220))+1,10)))))*$D$50)))))*INDEX($I$220:$I$223,MATCH(LEFT(DB220,FIND("·",DB220)-1),$C$220:$C$223,0)),0),0),0)</f>
        <v>0</v>
      </c>
      <c r="DD220" s="110"/>
      <c r="DE220" s="76" t="s">
        <v>2631</v>
      </c>
      <c r="DF220" s="77">
        <f t="shared" ref="DF220" si="1181">IFERROR(IF(COUNTIF($K$220:$K$223,LEFT(DE220,FIND("·",DE220)-1))&gt;0,IF(INDEX($L$220:$L$223,MATCH(LEFT(DE220,FIND("·",DE220)-1),$K$220:$K$223,0))=IFERROR(VALUE(MID(DE220,FIND("·",DE220)+1,1)),0),($D$24+(INDEX($M$220:$M$223,MATCH(LEFT(DE220,FIND("·",DE220)-1),$K$220:$K$223,0))=MID(DE220,FIND("|",DE220)+1,10))*$D$26+MAX(0,IF($D$50=1,$D$25*(1-(ABS(INDEX($P$220:$P$223,MATCH(LEFT(DE220,FIND("·",DE220)-1),$K$220:$K$223,0))-(VALUE(MID(DE220,FIND("|",DE220)+1,FIND("-",DE220,FIND("|",DE220))-FIND("|",DE220)-1))-VALUE(MID(DE220,FIND("-",DE220,FIND("|",DE220))+1,10)))))*$D$50),$D$25*(1-(IF(INDEX($L$220:$L$223,MATCH(LEFT(DE220,FIND("·",DE220)-1),$K$220:$K$223,0))=0,ABS(INDEX($N$220:$N$223,MATCH(LEFT(DE220,FIND("·",DE220)-1),$K$220:$K$223,0))-VALUE(MID(DE220,FIND("|",DE220)+1,FIND("-",DE220,FIND("|",DE220))-FIND("|",DE220)-1))),ABS(INDEX($P$220:$P$223,MATCH(LEFT(DE220,FIND("·",DE220)-1),$K$220:$K$223,0))-(VALUE(MID(DE220,FIND("|",DE220)+1,FIND("-",DE220,FIND("|",DE220))-FIND("|",DE220)-1))-VALUE(MID(DE220,FIND("-",DE220,FIND("|",DE220))+1,10)))))*$D$50)))))*INDEX($I$220:$I$223,MATCH(LEFT(DE220,FIND("·",DE220)-1),$K$220:$K$223,0)),0),0),0)+IFERROR(IF(COUNTIF($C$220:$C$223,LEFT(DE220,FIND("·",DE220)-1))&gt;0,IF(INDEX($D$220:$D$223,MATCH(LEFT(DE220,FIND("·",DE220)-1),$C$220:$C$223,0))=IFERROR(VALUE(MID(DE220,FIND("·",DE220)+1,1)),0),($D$24+(INDEX($E$220:$E$223,MATCH(LEFT(DE220,FIND("·",DE220)-1),$C$220:$C$223,0))=MID(DE220,FIND("|",DE220)+1,10))*$D$26+MAX(0,IF($D$50=1,$D$25*(1-(ABS(INDEX($Q$220:$Q$223,MATCH(LEFT(DE220,FIND("·",DE220)-1),$C$220:$C$223,0))-(VALUE(MID(DE220,FIND("|",DE220)+1,FIND("-",DE220,FIND("|",DE220))-FIND("|",DE220)-1))-VALUE(MID(DE220,FIND("-",DE220,FIND("|",DE220))+1,10)))))*$D$50),$D$25*(1-(IF(INDEX($D$220:$D$223,MATCH(LEFT(DE220,FIND("·",DE220)-1),$C$220:$C$223,0))=0,ABS(INDEX($A$220:$A$223,MATCH(LEFT(DE220,FIND("·",DE220)-1),$C$220:$C$223,0))-VALUE(MID(DE220,FIND("|",DE220)+1,FIND("-",DE220,FIND("|",DE220))-FIND("|",DE220)-1))),ABS(INDEX($Q$220:$Q$223,MATCH(LEFT(DE220,FIND("·",DE220)-1),$C$220:$C$223,0))-(VALUE(MID(DE220,FIND("|",DE220)+1,FIND("-",DE220,FIND("|",DE220))-FIND("|",DE220)-1))-VALUE(MID(DE220,FIND("-",DE220,FIND("|",DE220))+1,10)))))*$D$50)))))*INDEX($I$220:$I$223,MATCH(LEFT(DE220,FIND("·",DE220)-1),$C$220:$C$223,0)),0),0),0)</f>
        <v>0</v>
      </c>
      <c r="DG220" s="110"/>
      <c r="DH220" s="76" t="s">
        <v>2372</v>
      </c>
      <c r="DI220" s="77">
        <f t="shared" ref="DI220" si="1182">IFERROR(IF(COUNTIF($K$220:$K$223,LEFT(DH220,FIND("·",DH220)-1))&gt;0,IF(INDEX($L$220:$L$223,MATCH(LEFT(DH220,FIND("·",DH220)-1),$K$220:$K$223,0))=IFERROR(VALUE(MID(DH220,FIND("·",DH220)+1,1)),0),($D$24+(INDEX($M$220:$M$223,MATCH(LEFT(DH220,FIND("·",DH220)-1),$K$220:$K$223,0))=MID(DH220,FIND("|",DH220)+1,10))*$D$26+MAX(0,IF($D$50=1,$D$25*(1-(ABS(INDEX($P$220:$P$223,MATCH(LEFT(DH220,FIND("·",DH220)-1),$K$220:$K$223,0))-(VALUE(MID(DH220,FIND("|",DH220)+1,FIND("-",DH220,FIND("|",DH220))-FIND("|",DH220)-1))-VALUE(MID(DH220,FIND("-",DH220,FIND("|",DH220))+1,10)))))*$D$50),$D$25*(1-(IF(INDEX($L$220:$L$223,MATCH(LEFT(DH220,FIND("·",DH220)-1),$K$220:$K$223,0))=0,ABS(INDEX($N$220:$N$223,MATCH(LEFT(DH220,FIND("·",DH220)-1),$K$220:$K$223,0))-VALUE(MID(DH220,FIND("|",DH220)+1,FIND("-",DH220,FIND("|",DH220))-FIND("|",DH220)-1))),ABS(INDEX($P$220:$P$223,MATCH(LEFT(DH220,FIND("·",DH220)-1),$K$220:$K$223,0))-(VALUE(MID(DH220,FIND("|",DH220)+1,FIND("-",DH220,FIND("|",DH220))-FIND("|",DH220)-1))-VALUE(MID(DH220,FIND("-",DH220,FIND("|",DH220))+1,10)))))*$D$50)))))*INDEX($I$220:$I$223,MATCH(LEFT(DH220,FIND("·",DH220)-1),$K$220:$K$223,0)),0),0),0)+IFERROR(IF(COUNTIF($C$220:$C$223,LEFT(DH220,FIND("·",DH220)-1))&gt;0,IF(INDEX($D$220:$D$223,MATCH(LEFT(DH220,FIND("·",DH220)-1),$C$220:$C$223,0))=IFERROR(VALUE(MID(DH220,FIND("·",DH220)+1,1)),0),($D$24+(INDEX($E$220:$E$223,MATCH(LEFT(DH220,FIND("·",DH220)-1),$C$220:$C$223,0))=MID(DH220,FIND("|",DH220)+1,10))*$D$26+MAX(0,IF($D$50=1,$D$25*(1-(ABS(INDEX($Q$220:$Q$223,MATCH(LEFT(DH220,FIND("·",DH220)-1),$C$220:$C$223,0))-(VALUE(MID(DH220,FIND("|",DH220)+1,FIND("-",DH220,FIND("|",DH220))-FIND("|",DH220)-1))-VALUE(MID(DH220,FIND("-",DH220,FIND("|",DH220))+1,10)))))*$D$50),$D$25*(1-(IF(INDEX($D$220:$D$223,MATCH(LEFT(DH220,FIND("·",DH220)-1),$C$220:$C$223,0))=0,ABS(INDEX($A$220:$A$223,MATCH(LEFT(DH220,FIND("·",DH220)-1),$C$220:$C$223,0))-VALUE(MID(DH220,FIND("|",DH220)+1,FIND("-",DH220,FIND("|",DH220))-FIND("|",DH220)-1))),ABS(INDEX($Q$220:$Q$223,MATCH(LEFT(DH220,FIND("·",DH220)-1),$C$220:$C$223,0))-(VALUE(MID(DH220,FIND("|",DH220)+1,FIND("-",DH220,FIND("|",DH220))-FIND("|",DH220)-1))-VALUE(MID(DH220,FIND("-",DH220,FIND("|",DH220))+1,10)))))*$D$50)))))*INDEX($I$220:$I$223,MATCH(LEFT(DH220,FIND("·",DH220)-1),$C$220:$C$223,0)),0),0),0)</f>
        <v>0</v>
      </c>
      <c r="DJ220" s="110"/>
      <c r="DK220" s="76" t="s">
        <v>2123</v>
      </c>
      <c r="DL220" s="77">
        <f t="shared" ref="DL220" si="1183">IFERROR(IF(COUNTIF($K$220:$K$223,LEFT(DK220,FIND("·",DK220)-1))&gt;0,IF(INDEX($L$220:$L$223,MATCH(LEFT(DK220,FIND("·",DK220)-1),$K$220:$K$223,0))=IFERROR(VALUE(MID(DK220,FIND("·",DK220)+1,1)),0),($D$24+(INDEX($M$220:$M$223,MATCH(LEFT(DK220,FIND("·",DK220)-1),$K$220:$K$223,0))=MID(DK220,FIND("|",DK220)+1,10))*$D$26+MAX(0,IF($D$50=1,$D$25*(1-(ABS(INDEX($P$220:$P$223,MATCH(LEFT(DK220,FIND("·",DK220)-1),$K$220:$K$223,0))-(VALUE(MID(DK220,FIND("|",DK220)+1,FIND("-",DK220,FIND("|",DK220))-FIND("|",DK220)-1))-VALUE(MID(DK220,FIND("-",DK220,FIND("|",DK220))+1,10)))))*$D$50),$D$25*(1-(IF(INDEX($L$220:$L$223,MATCH(LEFT(DK220,FIND("·",DK220)-1),$K$220:$K$223,0))=0,ABS(INDEX($N$220:$N$223,MATCH(LEFT(DK220,FIND("·",DK220)-1),$K$220:$K$223,0))-VALUE(MID(DK220,FIND("|",DK220)+1,FIND("-",DK220,FIND("|",DK220))-FIND("|",DK220)-1))),ABS(INDEX($P$220:$P$223,MATCH(LEFT(DK220,FIND("·",DK220)-1),$K$220:$K$223,0))-(VALUE(MID(DK220,FIND("|",DK220)+1,FIND("-",DK220,FIND("|",DK220))-FIND("|",DK220)-1))-VALUE(MID(DK220,FIND("-",DK220,FIND("|",DK220))+1,10)))))*$D$50)))))*INDEX($I$220:$I$223,MATCH(LEFT(DK220,FIND("·",DK220)-1),$K$220:$K$223,0)),0),0),0)+IFERROR(IF(COUNTIF($C$220:$C$223,LEFT(DK220,FIND("·",DK220)-1))&gt;0,IF(INDEX($D$220:$D$223,MATCH(LEFT(DK220,FIND("·",DK220)-1),$C$220:$C$223,0))=IFERROR(VALUE(MID(DK220,FIND("·",DK220)+1,1)),0),($D$24+(INDEX($E$220:$E$223,MATCH(LEFT(DK220,FIND("·",DK220)-1),$C$220:$C$223,0))=MID(DK220,FIND("|",DK220)+1,10))*$D$26+MAX(0,IF($D$50=1,$D$25*(1-(ABS(INDEX($Q$220:$Q$223,MATCH(LEFT(DK220,FIND("·",DK220)-1),$C$220:$C$223,0))-(VALUE(MID(DK220,FIND("|",DK220)+1,FIND("-",DK220,FIND("|",DK220))-FIND("|",DK220)-1))-VALUE(MID(DK220,FIND("-",DK220,FIND("|",DK220))+1,10)))))*$D$50),$D$25*(1-(IF(INDEX($D$220:$D$223,MATCH(LEFT(DK220,FIND("·",DK220)-1),$C$220:$C$223,0))=0,ABS(INDEX($A$220:$A$223,MATCH(LEFT(DK220,FIND("·",DK220)-1),$C$220:$C$223,0))-VALUE(MID(DK220,FIND("|",DK220)+1,FIND("-",DK220,FIND("|",DK220))-FIND("|",DK220)-1))),ABS(INDEX($Q$220:$Q$223,MATCH(LEFT(DK220,FIND("·",DK220)-1),$C$220:$C$223,0))-(VALUE(MID(DK220,FIND("|",DK220)+1,FIND("-",DK220,FIND("|",DK220))-FIND("|",DK220)-1))-VALUE(MID(DK220,FIND("-",DK220,FIND("|",DK220))+1,10)))))*$D$50)))))*INDEX($I$220:$I$223,MATCH(LEFT(DK220,FIND("·",DK220)-1),$C$220:$C$223,0)),0),0),0)</f>
        <v>0</v>
      </c>
      <c r="DM220" s="110"/>
      <c r="DN220" s="795" t="s">
        <v>2027</v>
      </c>
      <c r="DO220" s="77">
        <f t="shared" ref="DO220" si="1184">IFERROR(IF(COUNTIF($K$220:$K$223,LEFT(DN220,FIND("·",DN220)-1))&gt;0,IF(INDEX($L$220:$L$223,MATCH(LEFT(DN220,FIND("·",DN220)-1),$K$220:$K$223,0))=IFERROR(VALUE(MID(DN220,FIND("·",DN220)+1,1)),0),($D$24+(INDEX($M$220:$M$223,MATCH(LEFT(DN220,FIND("·",DN220)-1),$K$220:$K$223,0))=MID(DN220,FIND("|",DN220)+1,10))*$D$26+MAX(0,IF($D$50=1,$D$25*(1-(ABS(INDEX($P$220:$P$223,MATCH(LEFT(DN220,FIND("·",DN220)-1),$K$220:$K$223,0))-(VALUE(MID(DN220,FIND("|",DN220)+1,FIND("-",DN220,FIND("|",DN220))-FIND("|",DN220)-1))-VALUE(MID(DN220,FIND("-",DN220,FIND("|",DN220))+1,10)))))*$D$50),$D$25*(1-(IF(INDEX($L$220:$L$223,MATCH(LEFT(DN220,FIND("·",DN220)-1),$K$220:$K$223,0))=0,ABS(INDEX($N$220:$N$223,MATCH(LEFT(DN220,FIND("·",DN220)-1),$K$220:$K$223,0))-VALUE(MID(DN220,FIND("|",DN220)+1,FIND("-",DN220,FIND("|",DN220))-FIND("|",DN220)-1))),ABS(INDEX($P$220:$P$223,MATCH(LEFT(DN220,FIND("·",DN220)-1),$K$220:$K$223,0))-(VALUE(MID(DN220,FIND("|",DN220)+1,FIND("-",DN220,FIND("|",DN220))-FIND("|",DN220)-1))-VALUE(MID(DN220,FIND("-",DN220,FIND("|",DN220))+1,10)))))*$D$50)))))*INDEX($I$220:$I$223,MATCH(LEFT(DN220,FIND("·",DN220)-1),$K$220:$K$223,0)),0),0),0)+IFERROR(IF(COUNTIF($C$220:$C$223,LEFT(DN220,FIND("·",DN220)-1))&gt;0,IF(INDEX($D$220:$D$223,MATCH(LEFT(DN220,FIND("·",DN220)-1),$C$220:$C$223,0))=IFERROR(VALUE(MID(DN220,FIND("·",DN220)+1,1)),0),($D$24+(INDEX($E$220:$E$223,MATCH(LEFT(DN220,FIND("·",DN220)-1),$C$220:$C$223,0))=MID(DN220,FIND("|",DN220)+1,10))*$D$26+MAX(0,IF($D$50=1,$D$25*(1-(ABS(INDEX($Q$220:$Q$223,MATCH(LEFT(DN220,FIND("·",DN220)-1),$C$220:$C$223,0))-(VALUE(MID(DN220,FIND("|",DN220)+1,FIND("-",DN220,FIND("|",DN220))-FIND("|",DN220)-1))-VALUE(MID(DN220,FIND("-",DN220,FIND("|",DN220))+1,10)))))*$D$50),$D$25*(1-(IF(INDEX($D$220:$D$223,MATCH(LEFT(DN220,FIND("·",DN220)-1),$C$220:$C$223,0))=0,ABS(INDEX($A$220:$A$223,MATCH(LEFT(DN220,FIND("·",DN220)-1),$C$220:$C$223,0))-VALUE(MID(DN220,FIND("|",DN220)+1,FIND("-",DN220,FIND("|",DN220))-FIND("|",DN220)-1))),ABS(INDEX($Q$220:$Q$223,MATCH(LEFT(DN220,FIND("·",DN220)-1),$C$220:$C$223,0))-(VALUE(MID(DN220,FIND("|",DN220)+1,FIND("-",DN220,FIND("|",DN220))-FIND("|",DN220)-1))-VALUE(MID(DN220,FIND("-",DN220,FIND("|",DN220))+1,10)))))*$D$50)))))*INDEX($I$220:$I$223,MATCH(LEFT(DN220,FIND("·",DN220)-1),$C$220:$C$223,0)),0),0),0)</f>
        <v>0</v>
      </c>
      <c r="DP220" s="110"/>
      <c r="DQ220" s="795" t="s">
        <v>2701</v>
      </c>
      <c r="DR220" s="77">
        <f t="shared" ref="DR220" si="1185">IFERROR(IF(COUNTIF($K$220:$K$223,LEFT(DQ220,FIND("·",DQ220)-1))&gt;0,IF(INDEX($L$220:$L$223,MATCH(LEFT(DQ220,FIND("·",DQ220)-1),$K$220:$K$223,0))=IFERROR(VALUE(MID(DQ220,FIND("·",DQ220)+1,1)),0),($D$24+(INDEX($M$220:$M$223,MATCH(LEFT(DQ220,FIND("·",DQ220)-1),$K$220:$K$223,0))=MID(DQ220,FIND("|",DQ220)+1,10))*$D$26+MAX(0,IF($D$50=1,$D$25*(1-(ABS(INDEX($P$220:$P$223,MATCH(LEFT(DQ220,FIND("·",DQ220)-1),$K$220:$K$223,0))-(VALUE(MID(DQ220,FIND("|",DQ220)+1,FIND("-",DQ220,FIND("|",DQ220))-FIND("|",DQ220)-1))-VALUE(MID(DQ220,FIND("-",DQ220,FIND("|",DQ220))+1,10)))))*$D$50),$D$25*(1-(IF(INDEX($L$220:$L$223,MATCH(LEFT(DQ220,FIND("·",DQ220)-1),$K$220:$K$223,0))=0,ABS(INDEX($N$220:$N$223,MATCH(LEFT(DQ220,FIND("·",DQ220)-1),$K$220:$K$223,0))-VALUE(MID(DQ220,FIND("|",DQ220)+1,FIND("-",DQ220,FIND("|",DQ220))-FIND("|",DQ220)-1))),ABS(INDEX($P$220:$P$223,MATCH(LEFT(DQ220,FIND("·",DQ220)-1),$K$220:$K$223,0))-(VALUE(MID(DQ220,FIND("|",DQ220)+1,FIND("-",DQ220,FIND("|",DQ220))-FIND("|",DQ220)-1))-VALUE(MID(DQ220,FIND("-",DQ220,FIND("|",DQ220))+1,10)))))*$D$50)))))*INDEX($I$220:$I$223,MATCH(LEFT(DQ220,FIND("·",DQ220)-1),$K$220:$K$223,0)),0),0),0)+IFERROR(IF(COUNTIF($C$220:$C$223,LEFT(DQ220,FIND("·",DQ220)-1))&gt;0,IF(INDEX($D$220:$D$223,MATCH(LEFT(DQ220,FIND("·",DQ220)-1),$C$220:$C$223,0))=IFERROR(VALUE(MID(DQ220,FIND("·",DQ220)+1,1)),0),($D$24+(INDEX($E$220:$E$223,MATCH(LEFT(DQ220,FIND("·",DQ220)-1),$C$220:$C$223,0))=MID(DQ220,FIND("|",DQ220)+1,10))*$D$26+MAX(0,IF($D$50=1,$D$25*(1-(ABS(INDEX($Q$220:$Q$223,MATCH(LEFT(DQ220,FIND("·",DQ220)-1),$C$220:$C$223,0))-(VALUE(MID(DQ220,FIND("|",DQ220)+1,FIND("-",DQ220,FIND("|",DQ220))-FIND("|",DQ220)-1))-VALUE(MID(DQ220,FIND("-",DQ220,FIND("|",DQ220))+1,10)))))*$D$50),$D$25*(1-(IF(INDEX($D$220:$D$223,MATCH(LEFT(DQ220,FIND("·",DQ220)-1),$C$220:$C$223,0))=0,ABS(INDEX($A$220:$A$223,MATCH(LEFT(DQ220,FIND("·",DQ220)-1),$C$220:$C$223,0))-VALUE(MID(DQ220,FIND("|",DQ220)+1,FIND("-",DQ220,FIND("|",DQ220))-FIND("|",DQ220)-1))),ABS(INDEX($Q$220:$Q$223,MATCH(LEFT(DQ220,FIND("·",DQ220)-1),$C$220:$C$223,0))-(VALUE(MID(DQ220,FIND("|",DQ220)+1,FIND("-",DQ220,FIND("|",DQ220))-FIND("|",DQ220)-1))-VALUE(MID(DQ220,FIND("-",DQ220,FIND("|",DQ220))+1,10)))))*$D$50)))))*INDEX($I$220:$I$223,MATCH(LEFT(DQ220,FIND("·",DQ220)-1),$C$220:$C$223,0)),0),0),0)</f>
        <v>0</v>
      </c>
      <c r="DS220" s="110"/>
      <c r="DT220" s="76" t="s">
        <v>1966</v>
      </c>
      <c r="DU220" s="77">
        <f t="shared" ref="DU220" si="1186">IFERROR(IF(COUNTIF($K$220:$K$223,LEFT(DT220,FIND("·",DT220)-1))&gt;0,IF(INDEX($L$220:$L$223,MATCH(LEFT(DT220,FIND("·",DT220)-1),$K$220:$K$223,0))=IFERROR(VALUE(MID(DT220,FIND("·",DT220)+1,1)),0),($D$24+(INDEX($M$220:$M$223,MATCH(LEFT(DT220,FIND("·",DT220)-1),$K$220:$K$223,0))=MID(DT220,FIND("|",DT220)+1,10))*$D$26+MAX(0,IF($D$50=1,$D$25*(1-(ABS(INDEX($P$220:$P$223,MATCH(LEFT(DT220,FIND("·",DT220)-1),$K$220:$K$223,0))-(VALUE(MID(DT220,FIND("|",DT220)+1,FIND("-",DT220,FIND("|",DT220))-FIND("|",DT220)-1))-VALUE(MID(DT220,FIND("-",DT220,FIND("|",DT220))+1,10)))))*$D$50),$D$25*(1-(IF(INDEX($L$220:$L$223,MATCH(LEFT(DT220,FIND("·",DT220)-1),$K$220:$K$223,0))=0,ABS(INDEX($N$220:$N$223,MATCH(LEFT(DT220,FIND("·",DT220)-1),$K$220:$K$223,0))-VALUE(MID(DT220,FIND("|",DT220)+1,FIND("-",DT220,FIND("|",DT220))-FIND("|",DT220)-1))),ABS(INDEX($P$220:$P$223,MATCH(LEFT(DT220,FIND("·",DT220)-1),$K$220:$K$223,0))-(VALUE(MID(DT220,FIND("|",DT220)+1,FIND("-",DT220,FIND("|",DT220))-FIND("|",DT220)-1))-VALUE(MID(DT220,FIND("-",DT220,FIND("|",DT220))+1,10)))))*$D$50)))))*INDEX($I$220:$I$223,MATCH(LEFT(DT220,FIND("·",DT220)-1),$K$220:$K$223,0)),0),0),0)+IFERROR(IF(COUNTIF($C$220:$C$223,LEFT(DT220,FIND("·",DT220)-1))&gt;0,IF(INDEX($D$220:$D$223,MATCH(LEFT(DT220,FIND("·",DT220)-1),$C$220:$C$223,0))=IFERROR(VALUE(MID(DT220,FIND("·",DT220)+1,1)),0),($D$24+(INDEX($E$220:$E$223,MATCH(LEFT(DT220,FIND("·",DT220)-1),$C$220:$C$223,0))=MID(DT220,FIND("|",DT220)+1,10))*$D$26+MAX(0,IF($D$50=1,$D$25*(1-(ABS(INDEX($Q$220:$Q$223,MATCH(LEFT(DT220,FIND("·",DT220)-1),$C$220:$C$223,0))-(VALUE(MID(DT220,FIND("|",DT220)+1,FIND("-",DT220,FIND("|",DT220))-FIND("|",DT220)-1))-VALUE(MID(DT220,FIND("-",DT220,FIND("|",DT220))+1,10)))))*$D$50),$D$25*(1-(IF(INDEX($D$220:$D$223,MATCH(LEFT(DT220,FIND("·",DT220)-1),$C$220:$C$223,0))=0,ABS(INDEX($A$220:$A$223,MATCH(LEFT(DT220,FIND("·",DT220)-1),$C$220:$C$223,0))-VALUE(MID(DT220,FIND("|",DT220)+1,FIND("-",DT220,FIND("|",DT220))-FIND("|",DT220)-1))),ABS(INDEX($Q$220:$Q$223,MATCH(LEFT(DT220,FIND("·",DT220)-1),$C$220:$C$223,0))-(VALUE(MID(DT220,FIND("|",DT220)+1,FIND("-",DT220,FIND("|",DT220))-FIND("|",DT220)-1))-VALUE(MID(DT220,FIND("-",DT220,FIND("|",DT220))+1,10)))))*$D$50)))))*INDEX($I$220:$I$223,MATCH(LEFT(DT220,FIND("·",DT220)-1),$C$220:$C$223,0)),0),0),0)</f>
        <v>0</v>
      </c>
      <c r="DV220" s="110"/>
      <c r="DW220" s="76" t="s">
        <v>2355</v>
      </c>
      <c r="DX220" s="77">
        <f t="shared" ref="DX220" si="1187">IFERROR(IF(COUNTIF($K$220:$K$223,LEFT(DW220,FIND("·",DW220)-1))&gt;0,IF(INDEX($L$220:$L$223,MATCH(LEFT(DW220,FIND("·",DW220)-1),$K$220:$K$223,0))=IFERROR(VALUE(MID(DW220,FIND("·",DW220)+1,1)),0),($D$24+(INDEX($M$220:$M$223,MATCH(LEFT(DW220,FIND("·",DW220)-1),$K$220:$K$223,0))=MID(DW220,FIND("|",DW220)+1,10))*$D$26+MAX(0,IF($D$50=1,$D$25*(1-(ABS(INDEX($P$220:$P$223,MATCH(LEFT(DW220,FIND("·",DW220)-1),$K$220:$K$223,0))-(VALUE(MID(DW220,FIND("|",DW220)+1,FIND("-",DW220,FIND("|",DW220))-FIND("|",DW220)-1))-VALUE(MID(DW220,FIND("-",DW220,FIND("|",DW220))+1,10)))))*$D$50),$D$25*(1-(IF(INDEX($L$220:$L$223,MATCH(LEFT(DW220,FIND("·",DW220)-1),$K$220:$K$223,0))=0,ABS(INDEX($N$220:$N$223,MATCH(LEFT(DW220,FIND("·",DW220)-1),$K$220:$K$223,0))-VALUE(MID(DW220,FIND("|",DW220)+1,FIND("-",DW220,FIND("|",DW220))-FIND("|",DW220)-1))),ABS(INDEX($P$220:$P$223,MATCH(LEFT(DW220,FIND("·",DW220)-1),$K$220:$K$223,0))-(VALUE(MID(DW220,FIND("|",DW220)+1,FIND("-",DW220,FIND("|",DW220))-FIND("|",DW220)-1))-VALUE(MID(DW220,FIND("-",DW220,FIND("|",DW220))+1,10)))))*$D$50)))))*INDEX($I$220:$I$223,MATCH(LEFT(DW220,FIND("·",DW220)-1),$K$220:$K$223,0)),0),0),0)+IFERROR(IF(COUNTIF($C$220:$C$223,LEFT(DW220,FIND("·",DW220)-1))&gt;0,IF(INDEX($D$220:$D$223,MATCH(LEFT(DW220,FIND("·",DW220)-1),$C$220:$C$223,0))=IFERROR(VALUE(MID(DW220,FIND("·",DW220)+1,1)),0),($D$24+(INDEX($E$220:$E$223,MATCH(LEFT(DW220,FIND("·",DW220)-1),$C$220:$C$223,0))=MID(DW220,FIND("|",DW220)+1,10))*$D$26+MAX(0,IF($D$50=1,$D$25*(1-(ABS(INDEX($Q$220:$Q$223,MATCH(LEFT(DW220,FIND("·",DW220)-1),$C$220:$C$223,0))-(VALUE(MID(DW220,FIND("|",DW220)+1,FIND("-",DW220,FIND("|",DW220))-FIND("|",DW220)-1))-VALUE(MID(DW220,FIND("-",DW220,FIND("|",DW220))+1,10)))))*$D$50),$D$25*(1-(IF(INDEX($D$220:$D$223,MATCH(LEFT(DW220,FIND("·",DW220)-1),$C$220:$C$223,0))=0,ABS(INDEX($A$220:$A$223,MATCH(LEFT(DW220,FIND("·",DW220)-1),$C$220:$C$223,0))-VALUE(MID(DW220,FIND("|",DW220)+1,FIND("-",DW220,FIND("|",DW220))-FIND("|",DW220)-1))),ABS(INDEX($Q$220:$Q$223,MATCH(LEFT(DW220,FIND("·",DW220)-1),$C$220:$C$223,0))-(VALUE(MID(DW220,FIND("|",DW220)+1,FIND("-",DW220,FIND("|",DW220))-FIND("|",DW220)-1))-VALUE(MID(DW220,FIND("-",DW220,FIND("|",DW220))+1,10)))))*$D$50)))))*INDEX($I$220:$I$223,MATCH(LEFT(DW220,FIND("·",DW220)-1),$C$220:$C$223,0)),0),0),0)</f>
        <v>0</v>
      </c>
      <c r="DY220" s="110"/>
      <c r="DZ220" s="76" t="s">
        <v>2631</v>
      </c>
      <c r="EA220" s="77">
        <f t="shared" ref="EA220" si="1188">IFERROR(IF(COUNTIF($K$220:$K$223,LEFT(DZ220,FIND("·",DZ220)-1))&gt;0,IF(INDEX($L$220:$L$223,MATCH(LEFT(DZ220,FIND("·",DZ220)-1),$K$220:$K$223,0))=IFERROR(VALUE(MID(DZ220,FIND("·",DZ220)+1,1)),0),($D$24+(INDEX($M$220:$M$223,MATCH(LEFT(DZ220,FIND("·",DZ220)-1),$K$220:$K$223,0))=MID(DZ220,FIND("|",DZ220)+1,10))*$D$26+MAX(0,IF($D$50=1,$D$25*(1-(ABS(INDEX($P$220:$P$223,MATCH(LEFT(DZ220,FIND("·",DZ220)-1),$K$220:$K$223,0))-(VALUE(MID(DZ220,FIND("|",DZ220)+1,FIND("-",DZ220,FIND("|",DZ220))-FIND("|",DZ220)-1))-VALUE(MID(DZ220,FIND("-",DZ220,FIND("|",DZ220))+1,10)))))*$D$50),$D$25*(1-(IF(INDEX($L$220:$L$223,MATCH(LEFT(DZ220,FIND("·",DZ220)-1),$K$220:$K$223,0))=0,ABS(INDEX($N$220:$N$223,MATCH(LEFT(DZ220,FIND("·",DZ220)-1),$K$220:$K$223,0))-VALUE(MID(DZ220,FIND("|",DZ220)+1,FIND("-",DZ220,FIND("|",DZ220))-FIND("|",DZ220)-1))),ABS(INDEX($P$220:$P$223,MATCH(LEFT(DZ220,FIND("·",DZ220)-1),$K$220:$K$223,0))-(VALUE(MID(DZ220,FIND("|",DZ220)+1,FIND("-",DZ220,FIND("|",DZ220))-FIND("|",DZ220)-1))-VALUE(MID(DZ220,FIND("-",DZ220,FIND("|",DZ220))+1,10)))))*$D$50)))))*INDEX($I$220:$I$223,MATCH(LEFT(DZ220,FIND("·",DZ220)-1),$K$220:$K$223,0)),0),0),0)+IFERROR(IF(COUNTIF($C$220:$C$223,LEFT(DZ220,FIND("·",DZ220)-1))&gt;0,IF(INDEX($D$220:$D$223,MATCH(LEFT(DZ220,FIND("·",DZ220)-1),$C$220:$C$223,0))=IFERROR(VALUE(MID(DZ220,FIND("·",DZ220)+1,1)),0),($D$24+(INDEX($E$220:$E$223,MATCH(LEFT(DZ220,FIND("·",DZ220)-1),$C$220:$C$223,0))=MID(DZ220,FIND("|",DZ220)+1,10))*$D$26+MAX(0,IF($D$50=1,$D$25*(1-(ABS(INDEX($Q$220:$Q$223,MATCH(LEFT(DZ220,FIND("·",DZ220)-1),$C$220:$C$223,0))-(VALUE(MID(DZ220,FIND("|",DZ220)+1,FIND("-",DZ220,FIND("|",DZ220))-FIND("|",DZ220)-1))-VALUE(MID(DZ220,FIND("-",DZ220,FIND("|",DZ220))+1,10)))))*$D$50),$D$25*(1-(IF(INDEX($D$220:$D$223,MATCH(LEFT(DZ220,FIND("·",DZ220)-1),$C$220:$C$223,0))=0,ABS(INDEX($A$220:$A$223,MATCH(LEFT(DZ220,FIND("·",DZ220)-1),$C$220:$C$223,0))-VALUE(MID(DZ220,FIND("|",DZ220)+1,FIND("-",DZ220,FIND("|",DZ220))-FIND("|",DZ220)-1))),ABS(INDEX($Q$220:$Q$223,MATCH(LEFT(DZ220,FIND("·",DZ220)-1),$C$220:$C$223,0))-(VALUE(MID(DZ220,FIND("|",DZ220)+1,FIND("-",DZ220,FIND("|",DZ220))-FIND("|",DZ220)-1))-VALUE(MID(DZ220,FIND("-",DZ220,FIND("|",DZ220))+1,10)))))*$D$50)))))*INDEX($I$220:$I$223,MATCH(LEFT(DZ220,FIND("·",DZ220)-1),$C$220:$C$223,0)),0),0),0)</f>
        <v>0</v>
      </c>
      <c r="EB220" s="110"/>
      <c r="EC220" s="76" t="s">
        <v>2631</v>
      </c>
      <c r="ED220" s="77">
        <f t="shared" ref="ED220" si="1189">IFERROR(IF(COUNTIF($K$220:$K$223,LEFT(EC220,FIND("·",EC220)-1))&gt;0,IF(INDEX($L$220:$L$223,MATCH(LEFT(EC220,FIND("·",EC220)-1),$K$220:$K$223,0))=IFERROR(VALUE(MID(EC220,FIND("·",EC220)+1,1)),0),($D$24+(INDEX($M$220:$M$223,MATCH(LEFT(EC220,FIND("·",EC220)-1),$K$220:$K$223,0))=MID(EC220,FIND("|",EC220)+1,10))*$D$26+MAX(0,IF($D$50=1,$D$25*(1-(ABS(INDEX($P$220:$P$223,MATCH(LEFT(EC220,FIND("·",EC220)-1),$K$220:$K$223,0))-(VALUE(MID(EC220,FIND("|",EC220)+1,FIND("-",EC220,FIND("|",EC220))-FIND("|",EC220)-1))-VALUE(MID(EC220,FIND("-",EC220,FIND("|",EC220))+1,10)))))*$D$50),$D$25*(1-(IF(INDEX($L$220:$L$223,MATCH(LEFT(EC220,FIND("·",EC220)-1),$K$220:$K$223,0))=0,ABS(INDEX($N$220:$N$223,MATCH(LEFT(EC220,FIND("·",EC220)-1),$K$220:$K$223,0))-VALUE(MID(EC220,FIND("|",EC220)+1,FIND("-",EC220,FIND("|",EC220))-FIND("|",EC220)-1))),ABS(INDEX($P$220:$P$223,MATCH(LEFT(EC220,FIND("·",EC220)-1),$K$220:$K$223,0))-(VALUE(MID(EC220,FIND("|",EC220)+1,FIND("-",EC220,FIND("|",EC220))-FIND("|",EC220)-1))-VALUE(MID(EC220,FIND("-",EC220,FIND("|",EC220))+1,10)))))*$D$50)))))*INDEX($I$220:$I$223,MATCH(LEFT(EC220,FIND("·",EC220)-1),$K$220:$K$223,0)),0),0),0)+IFERROR(IF(COUNTIF($C$220:$C$223,LEFT(EC220,FIND("·",EC220)-1))&gt;0,IF(INDEX($D$220:$D$223,MATCH(LEFT(EC220,FIND("·",EC220)-1),$C$220:$C$223,0))=IFERROR(VALUE(MID(EC220,FIND("·",EC220)+1,1)),0),($D$24+(INDEX($E$220:$E$223,MATCH(LEFT(EC220,FIND("·",EC220)-1),$C$220:$C$223,0))=MID(EC220,FIND("|",EC220)+1,10))*$D$26+MAX(0,IF($D$50=1,$D$25*(1-(ABS(INDEX($Q$220:$Q$223,MATCH(LEFT(EC220,FIND("·",EC220)-1),$C$220:$C$223,0))-(VALUE(MID(EC220,FIND("|",EC220)+1,FIND("-",EC220,FIND("|",EC220))-FIND("|",EC220)-1))-VALUE(MID(EC220,FIND("-",EC220,FIND("|",EC220))+1,10)))))*$D$50),$D$25*(1-(IF(INDEX($D$220:$D$223,MATCH(LEFT(EC220,FIND("·",EC220)-1),$C$220:$C$223,0))=0,ABS(INDEX($A$220:$A$223,MATCH(LEFT(EC220,FIND("·",EC220)-1),$C$220:$C$223,0))-VALUE(MID(EC220,FIND("|",EC220)+1,FIND("-",EC220,FIND("|",EC220))-FIND("|",EC220)-1))),ABS(INDEX($Q$220:$Q$223,MATCH(LEFT(EC220,FIND("·",EC220)-1),$C$220:$C$223,0))-(VALUE(MID(EC220,FIND("|",EC220)+1,FIND("-",EC220,FIND("|",EC220))-FIND("|",EC220)-1))-VALUE(MID(EC220,FIND("-",EC220,FIND("|",EC220))+1,10)))))*$D$50)))))*INDEX($I$220:$I$223,MATCH(LEFT(EC220,FIND("·",EC220)-1),$C$220:$C$223,0)),0),0),0)</f>
        <v>0</v>
      </c>
      <c r="EE220" s="110"/>
      <c r="EF220" s="76" t="s">
        <v>2786</v>
      </c>
      <c r="EG220" s="77">
        <f t="shared" ref="EG220" si="1190">IFERROR(IF(COUNTIF($K$220:$K$223,LEFT(EF220,FIND("·",EF220)-1))&gt;0,IF(INDEX($L$220:$L$223,MATCH(LEFT(EF220,FIND("·",EF220)-1),$K$220:$K$223,0))=IFERROR(VALUE(MID(EF220,FIND("·",EF220)+1,1)),0),($D$24+(INDEX($M$220:$M$223,MATCH(LEFT(EF220,FIND("·",EF220)-1),$K$220:$K$223,0))=MID(EF220,FIND("|",EF220)+1,10))*$D$26+MAX(0,IF($D$50=1,$D$25*(1-(ABS(INDEX($P$220:$P$223,MATCH(LEFT(EF220,FIND("·",EF220)-1),$K$220:$K$223,0))-(VALUE(MID(EF220,FIND("|",EF220)+1,FIND("-",EF220,FIND("|",EF220))-FIND("|",EF220)-1))-VALUE(MID(EF220,FIND("-",EF220,FIND("|",EF220))+1,10)))))*$D$50),$D$25*(1-(IF(INDEX($L$220:$L$223,MATCH(LEFT(EF220,FIND("·",EF220)-1),$K$220:$K$223,0))=0,ABS(INDEX($N$220:$N$223,MATCH(LEFT(EF220,FIND("·",EF220)-1),$K$220:$K$223,0))-VALUE(MID(EF220,FIND("|",EF220)+1,FIND("-",EF220,FIND("|",EF220))-FIND("|",EF220)-1))),ABS(INDEX($P$220:$P$223,MATCH(LEFT(EF220,FIND("·",EF220)-1),$K$220:$K$223,0))-(VALUE(MID(EF220,FIND("|",EF220)+1,FIND("-",EF220,FIND("|",EF220))-FIND("|",EF220)-1))-VALUE(MID(EF220,FIND("-",EF220,FIND("|",EF220))+1,10)))))*$D$50)))))*INDEX($I$220:$I$223,MATCH(LEFT(EF220,FIND("·",EF220)-1),$K$220:$K$223,0)),0),0),0)+IFERROR(IF(COUNTIF($C$220:$C$223,LEFT(EF220,FIND("·",EF220)-1))&gt;0,IF(INDEX($D$220:$D$223,MATCH(LEFT(EF220,FIND("·",EF220)-1),$C$220:$C$223,0))=IFERROR(VALUE(MID(EF220,FIND("·",EF220)+1,1)),0),($D$24+(INDEX($E$220:$E$223,MATCH(LEFT(EF220,FIND("·",EF220)-1),$C$220:$C$223,0))=MID(EF220,FIND("|",EF220)+1,10))*$D$26+MAX(0,IF($D$50=1,$D$25*(1-(ABS(INDEX($Q$220:$Q$223,MATCH(LEFT(EF220,FIND("·",EF220)-1),$C$220:$C$223,0))-(VALUE(MID(EF220,FIND("|",EF220)+1,FIND("-",EF220,FIND("|",EF220))-FIND("|",EF220)-1))-VALUE(MID(EF220,FIND("-",EF220,FIND("|",EF220))+1,10)))))*$D$50),$D$25*(1-(IF(INDEX($D$220:$D$223,MATCH(LEFT(EF220,FIND("·",EF220)-1),$C$220:$C$223,0))=0,ABS(INDEX($A$220:$A$223,MATCH(LEFT(EF220,FIND("·",EF220)-1),$C$220:$C$223,0))-VALUE(MID(EF220,FIND("|",EF220)+1,FIND("-",EF220,FIND("|",EF220))-FIND("|",EF220)-1))),ABS(INDEX($Q$220:$Q$223,MATCH(LEFT(EF220,FIND("·",EF220)-1),$C$220:$C$223,0))-(VALUE(MID(EF220,FIND("|",EF220)+1,FIND("-",EF220,FIND("|",EF220))-FIND("|",EF220)-1))-VALUE(MID(EF220,FIND("-",EF220,FIND("|",EF220))+1,10)))))*$D$50)))))*INDEX($I$220:$I$223,MATCH(LEFT(EF220,FIND("·",EF220)-1),$C$220:$C$223,0)),0),0),0)</f>
        <v>0</v>
      </c>
      <c r="EH220" s="110"/>
      <c r="EI220" s="76" t="s">
        <v>2392</v>
      </c>
      <c r="EJ220" s="77">
        <f t="shared" ref="EJ220" si="1191">IFERROR(IF(COUNTIF($K$220:$K$223,LEFT(EI220,FIND("·",EI220)-1))&gt;0,IF(INDEX($L$220:$L$223,MATCH(LEFT(EI220,FIND("·",EI220)-1),$K$220:$K$223,0))=IFERROR(VALUE(MID(EI220,FIND("·",EI220)+1,1)),0),($D$24+(INDEX($M$220:$M$223,MATCH(LEFT(EI220,FIND("·",EI220)-1),$K$220:$K$223,0))=MID(EI220,FIND("|",EI220)+1,10))*$D$26+MAX(0,IF($D$50=1,$D$25*(1-(ABS(INDEX($P$220:$P$223,MATCH(LEFT(EI220,FIND("·",EI220)-1),$K$220:$K$223,0))-(VALUE(MID(EI220,FIND("|",EI220)+1,FIND("-",EI220,FIND("|",EI220))-FIND("|",EI220)-1))-VALUE(MID(EI220,FIND("-",EI220,FIND("|",EI220))+1,10)))))*$D$50),$D$25*(1-(IF(INDEX($L$220:$L$223,MATCH(LEFT(EI220,FIND("·",EI220)-1),$K$220:$K$223,0))=0,ABS(INDEX($N$220:$N$223,MATCH(LEFT(EI220,FIND("·",EI220)-1),$K$220:$K$223,0))-VALUE(MID(EI220,FIND("|",EI220)+1,FIND("-",EI220,FIND("|",EI220))-FIND("|",EI220)-1))),ABS(INDEX($P$220:$P$223,MATCH(LEFT(EI220,FIND("·",EI220)-1),$K$220:$K$223,0))-(VALUE(MID(EI220,FIND("|",EI220)+1,FIND("-",EI220,FIND("|",EI220))-FIND("|",EI220)-1))-VALUE(MID(EI220,FIND("-",EI220,FIND("|",EI220))+1,10)))))*$D$50)))))*INDEX($I$220:$I$223,MATCH(LEFT(EI220,FIND("·",EI220)-1),$K$220:$K$223,0)),0),0),0)+IFERROR(IF(COUNTIF($C$220:$C$223,LEFT(EI220,FIND("·",EI220)-1))&gt;0,IF(INDEX($D$220:$D$223,MATCH(LEFT(EI220,FIND("·",EI220)-1),$C$220:$C$223,0))=IFERROR(VALUE(MID(EI220,FIND("·",EI220)+1,1)),0),($D$24+(INDEX($E$220:$E$223,MATCH(LEFT(EI220,FIND("·",EI220)-1),$C$220:$C$223,0))=MID(EI220,FIND("|",EI220)+1,10))*$D$26+MAX(0,IF($D$50=1,$D$25*(1-(ABS(INDEX($Q$220:$Q$223,MATCH(LEFT(EI220,FIND("·",EI220)-1),$C$220:$C$223,0))-(VALUE(MID(EI220,FIND("|",EI220)+1,FIND("-",EI220,FIND("|",EI220))-FIND("|",EI220)-1))-VALUE(MID(EI220,FIND("-",EI220,FIND("|",EI220))+1,10)))))*$D$50),$D$25*(1-(IF(INDEX($D$220:$D$223,MATCH(LEFT(EI220,FIND("·",EI220)-1),$C$220:$C$223,0))=0,ABS(INDEX($A$220:$A$223,MATCH(LEFT(EI220,FIND("·",EI220)-1),$C$220:$C$223,0))-VALUE(MID(EI220,FIND("|",EI220)+1,FIND("-",EI220,FIND("|",EI220))-FIND("|",EI220)-1))),ABS(INDEX($Q$220:$Q$223,MATCH(LEFT(EI220,FIND("·",EI220)-1),$C$220:$C$223,0))-(VALUE(MID(EI220,FIND("|",EI220)+1,FIND("-",EI220,FIND("|",EI220))-FIND("|",EI220)-1))-VALUE(MID(EI220,FIND("-",EI220,FIND("|",EI220))+1,10)))))*$D$50)))))*INDEX($I$220:$I$223,MATCH(LEFT(EI220,FIND("·",EI220)-1),$C$220:$C$223,0)),0),0),0)</f>
        <v>0</v>
      </c>
      <c r="EK220" s="110"/>
      <c r="EL220" s="76" t="str">
        <f>Idiomas!$D$369</f>
        <v>Pegar valores Cuartos</v>
      </c>
      <c r="EM220" s="77">
        <f t="shared" ref="EM220" si="1192">IFERROR(IF(COUNTIF($K$220:$K$223,LEFT(EL220,FIND("·",EL220)-1))&gt;0,IF(INDEX($L$220:$L$223,MATCH(LEFT(EL220,FIND("·",EL220)-1),$K$220:$K$223,0))=IFERROR(VALUE(MID(EL220,FIND("·",EL220)+1,1)),0),($D$24+(INDEX($M$220:$M$223,MATCH(LEFT(EL220,FIND("·",EL220)-1),$K$220:$K$223,0))=MID(EL220,FIND("|",EL220)+1,10))*$D$26+MAX(0,IF($D$50=1,$D$25*(1-(ABS(INDEX($P$220:$P$223,MATCH(LEFT(EL220,FIND("·",EL220)-1),$K$220:$K$223,0))-(VALUE(MID(EL220,FIND("|",EL220)+1,FIND("-",EL220,FIND("|",EL220))-FIND("|",EL220)-1))-VALUE(MID(EL220,FIND("-",EL220,FIND("|",EL220))+1,10)))))*$D$50),$D$25*(1-(IF(INDEX($L$220:$L$223,MATCH(LEFT(EL220,FIND("·",EL220)-1),$K$220:$K$223,0))=0,ABS(INDEX($N$220:$N$223,MATCH(LEFT(EL220,FIND("·",EL220)-1),$K$220:$K$223,0))-VALUE(MID(EL220,FIND("|",EL220)+1,FIND("-",EL220,FIND("|",EL220))-FIND("|",EL220)-1))),ABS(INDEX($P$220:$P$223,MATCH(LEFT(EL220,FIND("·",EL220)-1),$K$220:$K$223,0))-(VALUE(MID(EL220,FIND("|",EL220)+1,FIND("-",EL220,FIND("|",EL220))-FIND("|",EL220)-1))-VALUE(MID(EL220,FIND("-",EL220,FIND("|",EL220))+1,10)))))*$D$50)))))*INDEX($I$220:$I$223,MATCH(LEFT(EL220,FIND("·",EL220)-1),$K$220:$K$223,0)),0),0),0)+IFERROR(IF(COUNTIF($C$220:$C$223,LEFT(EL220,FIND("·",EL220)-1))&gt;0,IF(INDEX($D$220:$D$223,MATCH(LEFT(EL220,FIND("·",EL220)-1),$C$220:$C$223,0))=IFERROR(VALUE(MID(EL220,FIND("·",EL220)+1,1)),0),($D$24+(INDEX($E$220:$E$223,MATCH(LEFT(EL220,FIND("·",EL220)-1),$C$220:$C$223,0))=MID(EL220,FIND("|",EL220)+1,10))*$D$26+MAX(0,IF($D$50=1,$D$25*(1-(ABS(INDEX($Q$220:$Q$223,MATCH(LEFT(EL220,FIND("·",EL220)-1),$C$220:$C$223,0))-(VALUE(MID(EL220,FIND("|",EL220)+1,FIND("-",EL220,FIND("|",EL220))-FIND("|",EL220)-1))-VALUE(MID(EL220,FIND("-",EL220,FIND("|",EL220))+1,10)))))*$D$50),$D$25*(1-(IF(INDEX($D$220:$D$223,MATCH(LEFT(EL220,FIND("·",EL220)-1),$C$220:$C$223,0))=0,ABS(INDEX($A$220:$A$223,MATCH(LEFT(EL220,FIND("·",EL220)-1),$C$220:$C$223,0))-VALUE(MID(EL220,FIND("|",EL220)+1,FIND("-",EL220,FIND("|",EL220))-FIND("|",EL220)-1))),ABS(INDEX($Q$220:$Q$223,MATCH(LEFT(EL220,FIND("·",EL220)-1),$C$220:$C$223,0))-(VALUE(MID(EL220,FIND("|",EL220)+1,FIND("-",EL220,FIND("|",EL220))-FIND("|",EL220)-1))-VALUE(MID(EL220,FIND("-",EL220,FIND("|",EL220))+1,10)))))*$D$50)))))*INDEX($I$220:$I$223,MATCH(LEFT(EL220,FIND("·",EL220)-1),$C$220:$C$223,0)),0),0),0)</f>
        <v>0</v>
      </c>
      <c r="EN220" s="110"/>
      <c r="EO220" s="76" t="str">
        <f>Idiomas!$D$369</f>
        <v>Pegar valores Cuartos</v>
      </c>
      <c r="EP220" s="77">
        <f t="shared" ref="EP220" si="1193">IFERROR(IF(COUNTIF($K$220:$K$223,LEFT(EO220,FIND("·",EO220)-1))&gt;0,IF(INDEX($L$220:$L$223,MATCH(LEFT(EO220,FIND("·",EO220)-1),$K$220:$K$223,0))=IFERROR(VALUE(MID(EO220,FIND("·",EO220)+1,1)),0),($D$24+(INDEX($M$220:$M$223,MATCH(LEFT(EO220,FIND("·",EO220)-1),$K$220:$K$223,0))=MID(EO220,FIND("|",EO220)+1,10))*$D$26+MAX(0,IF($D$50=1,$D$25*(1-(ABS(INDEX($P$220:$P$223,MATCH(LEFT(EO220,FIND("·",EO220)-1),$K$220:$K$223,0))-(VALUE(MID(EO220,FIND("|",EO220)+1,FIND("-",EO220,FIND("|",EO220))-FIND("|",EO220)-1))-VALUE(MID(EO220,FIND("-",EO220,FIND("|",EO220))+1,10)))))*$D$50),$D$25*(1-(IF(INDEX($L$220:$L$223,MATCH(LEFT(EO220,FIND("·",EO220)-1),$K$220:$K$223,0))=0,ABS(INDEX($N$220:$N$223,MATCH(LEFT(EO220,FIND("·",EO220)-1),$K$220:$K$223,0))-VALUE(MID(EO220,FIND("|",EO220)+1,FIND("-",EO220,FIND("|",EO220))-FIND("|",EO220)-1))),ABS(INDEX($P$220:$P$223,MATCH(LEFT(EO220,FIND("·",EO220)-1),$K$220:$K$223,0))-(VALUE(MID(EO220,FIND("|",EO220)+1,FIND("-",EO220,FIND("|",EO220))-FIND("|",EO220)-1))-VALUE(MID(EO220,FIND("-",EO220,FIND("|",EO220))+1,10)))))*$D$50)))))*INDEX($I$220:$I$223,MATCH(LEFT(EO220,FIND("·",EO220)-1),$K$220:$K$223,0)),0),0),0)+IFERROR(IF(COUNTIF($C$220:$C$223,LEFT(EO220,FIND("·",EO220)-1))&gt;0,IF(INDEX($D$220:$D$223,MATCH(LEFT(EO220,FIND("·",EO220)-1),$C$220:$C$223,0))=IFERROR(VALUE(MID(EO220,FIND("·",EO220)+1,1)),0),($D$24+(INDEX($E$220:$E$223,MATCH(LEFT(EO220,FIND("·",EO220)-1),$C$220:$C$223,0))=MID(EO220,FIND("|",EO220)+1,10))*$D$26+MAX(0,IF($D$50=1,$D$25*(1-(ABS(INDEX($Q$220:$Q$223,MATCH(LEFT(EO220,FIND("·",EO220)-1),$C$220:$C$223,0))-(VALUE(MID(EO220,FIND("|",EO220)+1,FIND("-",EO220,FIND("|",EO220))-FIND("|",EO220)-1))-VALUE(MID(EO220,FIND("-",EO220,FIND("|",EO220))+1,10)))))*$D$50),$D$25*(1-(IF(INDEX($D$220:$D$223,MATCH(LEFT(EO220,FIND("·",EO220)-1),$C$220:$C$223,0))=0,ABS(INDEX($A$220:$A$223,MATCH(LEFT(EO220,FIND("·",EO220)-1),$C$220:$C$223,0))-VALUE(MID(EO220,FIND("|",EO220)+1,FIND("-",EO220,FIND("|",EO220))-FIND("|",EO220)-1))),ABS(INDEX($Q$220:$Q$223,MATCH(LEFT(EO220,FIND("·",EO220)-1),$C$220:$C$223,0))-(VALUE(MID(EO220,FIND("|",EO220)+1,FIND("-",EO220,FIND("|",EO220))-FIND("|",EO220)-1))-VALUE(MID(EO220,FIND("-",EO220,FIND("|",EO220))+1,10)))))*$D$50)))))*INDEX($I$220:$I$223,MATCH(LEFT(EO220,FIND("·",EO220)-1),$C$220:$C$223,0)),0),0),0)</f>
        <v>0</v>
      </c>
      <c r="EQ220" s="110"/>
      <c r="ER220" s="76" t="str">
        <f>Idiomas!$D$369</f>
        <v>Pegar valores Cuartos</v>
      </c>
      <c r="ES220" s="77">
        <f t="shared" ref="ES220" si="1194">IFERROR(IF(COUNTIF($K$220:$K$223,LEFT(ER220,FIND("·",ER220)-1))&gt;0,IF(INDEX($L$220:$L$223,MATCH(LEFT(ER220,FIND("·",ER220)-1),$K$220:$K$223,0))=IFERROR(VALUE(MID(ER220,FIND("·",ER220)+1,1)),0),($D$24+(INDEX($M$220:$M$223,MATCH(LEFT(ER220,FIND("·",ER220)-1),$K$220:$K$223,0))=MID(ER220,FIND("|",ER220)+1,10))*$D$26+MAX(0,IF($D$50=1,$D$25*(1-(ABS(INDEX($P$220:$P$223,MATCH(LEFT(ER220,FIND("·",ER220)-1),$K$220:$K$223,0))-(VALUE(MID(ER220,FIND("|",ER220)+1,FIND("-",ER220,FIND("|",ER220))-FIND("|",ER220)-1))-VALUE(MID(ER220,FIND("-",ER220,FIND("|",ER220))+1,10)))))*$D$50),$D$25*(1-(IF(INDEX($L$220:$L$223,MATCH(LEFT(ER220,FIND("·",ER220)-1),$K$220:$K$223,0))=0,ABS(INDEX($N$220:$N$223,MATCH(LEFT(ER220,FIND("·",ER220)-1),$K$220:$K$223,0))-VALUE(MID(ER220,FIND("|",ER220)+1,FIND("-",ER220,FIND("|",ER220))-FIND("|",ER220)-1))),ABS(INDEX($P$220:$P$223,MATCH(LEFT(ER220,FIND("·",ER220)-1),$K$220:$K$223,0))-(VALUE(MID(ER220,FIND("|",ER220)+1,FIND("-",ER220,FIND("|",ER220))-FIND("|",ER220)-1))-VALUE(MID(ER220,FIND("-",ER220,FIND("|",ER220))+1,10)))))*$D$50)))))*INDEX($I$220:$I$223,MATCH(LEFT(ER220,FIND("·",ER220)-1),$K$220:$K$223,0)),0),0),0)+IFERROR(IF(COUNTIF($C$220:$C$223,LEFT(ER220,FIND("·",ER220)-1))&gt;0,IF(INDEX($D$220:$D$223,MATCH(LEFT(ER220,FIND("·",ER220)-1),$C$220:$C$223,0))=IFERROR(VALUE(MID(ER220,FIND("·",ER220)+1,1)),0),($D$24+(INDEX($E$220:$E$223,MATCH(LEFT(ER220,FIND("·",ER220)-1),$C$220:$C$223,0))=MID(ER220,FIND("|",ER220)+1,10))*$D$26+MAX(0,IF($D$50=1,$D$25*(1-(ABS(INDEX($Q$220:$Q$223,MATCH(LEFT(ER220,FIND("·",ER220)-1),$C$220:$C$223,0))-(VALUE(MID(ER220,FIND("|",ER220)+1,FIND("-",ER220,FIND("|",ER220))-FIND("|",ER220)-1))-VALUE(MID(ER220,FIND("-",ER220,FIND("|",ER220))+1,10)))))*$D$50),$D$25*(1-(IF(INDEX($D$220:$D$223,MATCH(LEFT(ER220,FIND("·",ER220)-1),$C$220:$C$223,0))=0,ABS(INDEX($A$220:$A$223,MATCH(LEFT(ER220,FIND("·",ER220)-1),$C$220:$C$223,0))-VALUE(MID(ER220,FIND("|",ER220)+1,FIND("-",ER220,FIND("|",ER220))-FIND("|",ER220)-1))),ABS(INDEX($Q$220:$Q$223,MATCH(LEFT(ER220,FIND("·",ER220)-1),$C$220:$C$223,0))-(VALUE(MID(ER220,FIND("|",ER220)+1,FIND("-",ER220,FIND("|",ER220))-FIND("|",ER220)-1))-VALUE(MID(ER220,FIND("-",ER220,FIND("|",ER220))+1,10)))))*$D$50)))))*INDEX($I$220:$I$223,MATCH(LEFT(ER220,FIND("·",ER220)-1),$C$220:$C$223,0)),0),0),0)</f>
        <v>0</v>
      </c>
      <c r="ET220" s="110"/>
      <c r="EU220" s="76" t="str">
        <f>Idiomas!$D$369</f>
        <v>Pegar valores Cuartos</v>
      </c>
      <c r="EV220" s="77">
        <f t="shared" ref="EV220" si="1195">IFERROR(IF(COUNTIF($K$220:$K$223,LEFT(EU220,FIND("·",EU220)-1))&gt;0,IF(INDEX($L$220:$L$223,MATCH(LEFT(EU220,FIND("·",EU220)-1),$K$220:$K$223,0))=IFERROR(VALUE(MID(EU220,FIND("·",EU220)+1,1)),0),($D$24+(INDEX($M$220:$M$223,MATCH(LEFT(EU220,FIND("·",EU220)-1),$K$220:$K$223,0))=MID(EU220,FIND("|",EU220)+1,10))*$D$26+MAX(0,IF($D$50=1,$D$25*(1-(ABS(INDEX($P$220:$P$223,MATCH(LEFT(EU220,FIND("·",EU220)-1),$K$220:$K$223,0))-(VALUE(MID(EU220,FIND("|",EU220)+1,FIND("-",EU220,FIND("|",EU220))-FIND("|",EU220)-1))-VALUE(MID(EU220,FIND("-",EU220,FIND("|",EU220))+1,10)))))*$D$50),$D$25*(1-(IF(INDEX($L$220:$L$223,MATCH(LEFT(EU220,FIND("·",EU220)-1),$K$220:$K$223,0))=0,ABS(INDEX($N$220:$N$223,MATCH(LEFT(EU220,FIND("·",EU220)-1),$K$220:$K$223,0))-VALUE(MID(EU220,FIND("|",EU220)+1,FIND("-",EU220,FIND("|",EU220))-FIND("|",EU220)-1))),ABS(INDEX($P$220:$P$223,MATCH(LEFT(EU220,FIND("·",EU220)-1),$K$220:$K$223,0))-(VALUE(MID(EU220,FIND("|",EU220)+1,FIND("-",EU220,FIND("|",EU220))-FIND("|",EU220)-1))-VALUE(MID(EU220,FIND("-",EU220,FIND("|",EU220))+1,10)))))*$D$50)))))*INDEX($I$220:$I$223,MATCH(LEFT(EU220,FIND("·",EU220)-1),$K$220:$K$223,0)),0),0),0)+IFERROR(IF(COUNTIF($C$220:$C$223,LEFT(EU220,FIND("·",EU220)-1))&gt;0,IF(INDEX($D$220:$D$223,MATCH(LEFT(EU220,FIND("·",EU220)-1),$C$220:$C$223,0))=IFERROR(VALUE(MID(EU220,FIND("·",EU220)+1,1)),0),($D$24+(INDEX($E$220:$E$223,MATCH(LEFT(EU220,FIND("·",EU220)-1),$C$220:$C$223,0))=MID(EU220,FIND("|",EU220)+1,10))*$D$26+MAX(0,IF($D$50=1,$D$25*(1-(ABS(INDEX($Q$220:$Q$223,MATCH(LEFT(EU220,FIND("·",EU220)-1),$C$220:$C$223,0))-(VALUE(MID(EU220,FIND("|",EU220)+1,FIND("-",EU220,FIND("|",EU220))-FIND("|",EU220)-1))-VALUE(MID(EU220,FIND("-",EU220,FIND("|",EU220))+1,10)))))*$D$50),$D$25*(1-(IF(INDEX($D$220:$D$223,MATCH(LEFT(EU220,FIND("·",EU220)-1),$C$220:$C$223,0))=0,ABS(INDEX($A$220:$A$223,MATCH(LEFT(EU220,FIND("·",EU220)-1),$C$220:$C$223,0))-VALUE(MID(EU220,FIND("|",EU220)+1,FIND("-",EU220,FIND("|",EU220))-FIND("|",EU220)-1))),ABS(INDEX($Q$220:$Q$223,MATCH(LEFT(EU220,FIND("·",EU220)-1),$C$220:$C$223,0))-(VALUE(MID(EU220,FIND("|",EU220)+1,FIND("-",EU220,FIND("|",EU220))-FIND("|",EU220)-1))-VALUE(MID(EU220,FIND("-",EU220,FIND("|",EU220))+1,10)))))*$D$50)))))*INDEX($I$220:$I$223,MATCH(LEFT(EU220,FIND("·",EU220)-1),$C$220:$C$223,0)),0),0),0)</f>
        <v>0</v>
      </c>
      <c r="EW220" s="110"/>
      <c r="EX220" s="76" t="str">
        <f>Idiomas!$D$369</f>
        <v>Pegar valores Cuartos</v>
      </c>
      <c r="EY220" s="77">
        <f t="shared" ref="EY220:FK223" si="1196">IFERROR(IF(COUNTIF($K$220:$K$223,LEFT(EX220,FIND("·",EX220)-1))&gt;0,IF(INDEX($L$220:$L$223,MATCH(LEFT(EX220,FIND("·",EX220)-1),$K$220:$K$223,0))=IFERROR(VALUE(MID(EX220,FIND("·",EX220)+1,1)),0),($D$24+(INDEX($M$220:$M$223,MATCH(LEFT(EX220,FIND("·",EX220)-1),$K$220:$K$223,0))=MID(EX220,FIND("|",EX220)+1,10))*$D$26+MAX(0,IF($D$50=1,$D$25*(1-(ABS(INDEX($P$220:$P$223,MATCH(LEFT(EX220,FIND("·",EX220)-1),$K$220:$K$223,0))-(VALUE(MID(EX220,FIND("|",EX220)+1,FIND("-",EX220,FIND("|",EX220))-FIND("|",EX220)-1))-VALUE(MID(EX220,FIND("-",EX220,FIND("|",EX220))+1,10)))))*$D$50),$D$25*(1-(IF(INDEX($L$220:$L$223,MATCH(LEFT(EX220,FIND("·",EX220)-1),$K$220:$K$223,0))=0,ABS(INDEX($N$220:$N$223,MATCH(LEFT(EX220,FIND("·",EX220)-1),$K$220:$K$223,0))-VALUE(MID(EX220,FIND("|",EX220)+1,FIND("-",EX220,FIND("|",EX220))-FIND("|",EX220)-1))),ABS(INDEX($P$220:$P$223,MATCH(LEFT(EX220,FIND("·",EX220)-1),$K$220:$K$223,0))-(VALUE(MID(EX220,FIND("|",EX220)+1,FIND("-",EX220,FIND("|",EX220))-FIND("|",EX220)-1))-VALUE(MID(EX220,FIND("-",EX220,FIND("|",EX220))+1,10)))))*$D$50)))))*INDEX($I$220:$I$223,MATCH(LEFT(EX220,FIND("·",EX220)-1),$K$220:$K$223,0)),0),0),0)+IFERROR(IF(COUNTIF($C$220:$C$223,LEFT(EX220,FIND("·",EX220)-1))&gt;0,IF(INDEX($D$220:$D$223,MATCH(LEFT(EX220,FIND("·",EX220)-1),$C$220:$C$223,0))=IFERROR(VALUE(MID(EX220,FIND("·",EX220)+1,1)),0),($D$24+(INDEX($E$220:$E$223,MATCH(LEFT(EX220,FIND("·",EX220)-1),$C$220:$C$223,0))=MID(EX220,FIND("|",EX220)+1,10))*$D$26+MAX(0,IF($D$50=1,$D$25*(1-(ABS(INDEX($Q$220:$Q$223,MATCH(LEFT(EX220,FIND("·",EX220)-1),$C$220:$C$223,0))-(VALUE(MID(EX220,FIND("|",EX220)+1,FIND("-",EX220,FIND("|",EX220))-FIND("|",EX220)-1))-VALUE(MID(EX220,FIND("-",EX220,FIND("|",EX220))+1,10)))))*$D$50),$D$25*(1-(IF(INDEX($D$220:$D$223,MATCH(LEFT(EX220,FIND("·",EX220)-1),$C$220:$C$223,0))=0,ABS(INDEX($A$220:$A$223,MATCH(LEFT(EX220,FIND("·",EX220)-1),$C$220:$C$223,0))-VALUE(MID(EX220,FIND("|",EX220)+1,FIND("-",EX220,FIND("|",EX220))-FIND("|",EX220)-1))),ABS(INDEX($Q$220:$Q$223,MATCH(LEFT(EX220,FIND("·",EX220)-1),$C$220:$C$223,0))-(VALUE(MID(EX220,FIND("|",EX220)+1,FIND("-",EX220,FIND("|",EX220))-FIND("|",EX220)-1))-VALUE(MID(EX220,FIND("-",EX220,FIND("|",EX220))+1,10)))))*$D$50)))))*INDEX($I$220:$I$223,MATCH(LEFT(EX220,FIND("·",EX220)-1),$C$220:$C$223,0)),0),0),0)</f>
        <v>0</v>
      </c>
      <c r="EZ220" s="110"/>
      <c r="FA220" s="76" t="str">
        <f>Idiomas!$D$369</f>
        <v>Pegar valores Cuartos</v>
      </c>
      <c r="FB220" s="77">
        <f t="shared" ref="FB220" si="1197">IFERROR(IF(COUNTIF($K$220:$K$223,LEFT(FA220,FIND("·",FA220)-1))&gt;0,IF(INDEX($L$220:$L$223,MATCH(LEFT(FA220,FIND("·",FA220)-1),$K$220:$K$223,0))=IFERROR(VALUE(MID(FA220,FIND("·",FA220)+1,1)),0),($D$24+(INDEX($M$220:$M$223,MATCH(LEFT(FA220,FIND("·",FA220)-1),$K$220:$K$223,0))=MID(FA220,FIND("|",FA220)+1,10))*$D$26+MAX(0,IF($D$50=1,$D$25*(1-(ABS(INDEX($P$220:$P$223,MATCH(LEFT(FA220,FIND("·",FA220)-1),$K$220:$K$223,0))-(VALUE(MID(FA220,FIND("|",FA220)+1,FIND("-",FA220,FIND("|",FA220))-FIND("|",FA220)-1))-VALUE(MID(FA220,FIND("-",FA220,FIND("|",FA220))+1,10)))))*$D$50),$D$25*(1-(IF(INDEX($L$220:$L$223,MATCH(LEFT(FA220,FIND("·",FA220)-1),$K$220:$K$223,0))=0,ABS(INDEX($N$220:$N$223,MATCH(LEFT(FA220,FIND("·",FA220)-1),$K$220:$K$223,0))-VALUE(MID(FA220,FIND("|",FA220)+1,FIND("-",FA220,FIND("|",FA220))-FIND("|",FA220)-1))),ABS(INDEX($P$220:$P$223,MATCH(LEFT(FA220,FIND("·",FA220)-1),$K$220:$K$223,0))-(VALUE(MID(FA220,FIND("|",FA220)+1,FIND("-",FA220,FIND("|",FA220))-FIND("|",FA220)-1))-VALUE(MID(FA220,FIND("-",FA220,FIND("|",FA220))+1,10)))))*$D$50)))))*INDEX($I$220:$I$223,MATCH(LEFT(FA220,FIND("·",FA220)-1),$K$220:$K$223,0)),0),0),0)+IFERROR(IF(COUNTIF($C$220:$C$223,LEFT(FA220,FIND("·",FA220)-1))&gt;0,IF(INDEX($D$220:$D$223,MATCH(LEFT(FA220,FIND("·",FA220)-1),$C$220:$C$223,0))=IFERROR(VALUE(MID(FA220,FIND("·",FA220)+1,1)),0),($D$24+(INDEX($E$220:$E$223,MATCH(LEFT(FA220,FIND("·",FA220)-1),$C$220:$C$223,0))=MID(FA220,FIND("|",FA220)+1,10))*$D$26+MAX(0,IF($D$50=1,$D$25*(1-(ABS(INDEX($Q$220:$Q$223,MATCH(LEFT(FA220,FIND("·",FA220)-1),$C$220:$C$223,0))-(VALUE(MID(FA220,FIND("|",FA220)+1,FIND("-",FA220,FIND("|",FA220))-FIND("|",FA220)-1))-VALUE(MID(FA220,FIND("-",FA220,FIND("|",FA220))+1,10)))))*$D$50),$D$25*(1-(IF(INDEX($D$220:$D$223,MATCH(LEFT(FA220,FIND("·",FA220)-1),$C$220:$C$223,0))=0,ABS(INDEX($A$220:$A$223,MATCH(LEFT(FA220,FIND("·",FA220)-1),$C$220:$C$223,0))-VALUE(MID(FA220,FIND("|",FA220)+1,FIND("-",FA220,FIND("|",FA220))-FIND("|",FA220)-1))),ABS(INDEX($Q$220:$Q$223,MATCH(LEFT(FA220,FIND("·",FA220)-1),$C$220:$C$223,0))-(VALUE(MID(FA220,FIND("|",FA220)+1,FIND("-",FA220,FIND("|",FA220))-FIND("|",FA220)-1))-VALUE(MID(FA220,FIND("-",FA220,FIND("|",FA220))+1,10)))))*$D$50)))))*INDEX($I$220:$I$223,MATCH(LEFT(FA220,FIND("·",FA220)-1),$C$220:$C$223,0)),0),0),0)</f>
        <v>0</v>
      </c>
      <c r="FC220" s="110"/>
      <c r="FD220" s="76" t="str">
        <f>Idiomas!$D$369</f>
        <v>Pegar valores Cuartos</v>
      </c>
      <c r="FE220" s="77">
        <f t="shared" ref="FE220" si="1198">IFERROR(IF(COUNTIF($K$220:$K$223,LEFT(FD220,FIND("·",FD220)-1))&gt;0,IF(INDEX($L$220:$L$223,MATCH(LEFT(FD220,FIND("·",FD220)-1),$K$220:$K$223,0))=IFERROR(VALUE(MID(FD220,FIND("·",FD220)+1,1)),0),($D$24+(INDEX($M$220:$M$223,MATCH(LEFT(FD220,FIND("·",FD220)-1),$K$220:$K$223,0))=MID(FD220,FIND("|",FD220)+1,10))*$D$26+MAX(0,IF($D$50=1,$D$25*(1-(ABS(INDEX($P$220:$P$223,MATCH(LEFT(FD220,FIND("·",FD220)-1),$K$220:$K$223,0))-(VALUE(MID(FD220,FIND("|",FD220)+1,FIND("-",FD220,FIND("|",FD220))-FIND("|",FD220)-1))-VALUE(MID(FD220,FIND("-",FD220,FIND("|",FD220))+1,10)))))*$D$50),$D$25*(1-(IF(INDEX($L$220:$L$223,MATCH(LEFT(FD220,FIND("·",FD220)-1),$K$220:$K$223,0))=0,ABS(INDEX($N$220:$N$223,MATCH(LEFT(FD220,FIND("·",FD220)-1),$K$220:$K$223,0))-VALUE(MID(FD220,FIND("|",FD220)+1,FIND("-",FD220,FIND("|",FD220))-FIND("|",FD220)-1))),ABS(INDEX($P$220:$P$223,MATCH(LEFT(FD220,FIND("·",FD220)-1),$K$220:$K$223,0))-(VALUE(MID(FD220,FIND("|",FD220)+1,FIND("-",FD220,FIND("|",FD220))-FIND("|",FD220)-1))-VALUE(MID(FD220,FIND("-",FD220,FIND("|",FD220))+1,10)))))*$D$50)))))*INDEX($I$220:$I$223,MATCH(LEFT(FD220,FIND("·",FD220)-1),$K$220:$K$223,0)),0),0),0)+IFERROR(IF(COUNTIF($C$220:$C$223,LEFT(FD220,FIND("·",FD220)-1))&gt;0,IF(INDEX($D$220:$D$223,MATCH(LEFT(FD220,FIND("·",FD220)-1),$C$220:$C$223,0))=IFERROR(VALUE(MID(FD220,FIND("·",FD220)+1,1)),0),($D$24+(INDEX($E$220:$E$223,MATCH(LEFT(FD220,FIND("·",FD220)-1),$C$220:$C$223,0))=MID(FD220,FIND("|",FD220)+1,10))*$D$26+MAX(0,IF($D$50=1,$D$25*(1-(ABS(INDEX($Q$220:$Q$223,MATCH(LEFT(FD220,FIND("·",FD220)-1),$C$220:$C$223,0))-(VALUE(MID(FD220,FIND("|",FD220)+1,FIND("-",FD220,FIND("|",FD220))-FIND("|",FD220)-1))-VALUE(MID(FD220,FIND("-",FD220,FIND("|",FD220))+1,10)))))*$D$50),$D$25*(1-(IF(INDEX($D$220:$D$223,MATCH(LEFT(FD220,FIND("·",FD220)-1),$C$220:$C$223,0))=0,ABS(INDEX($A$220:$A$223,MATCH(LEFT(FD220,FIND("·",FD220)-1),$C$220:$C$223,0))-VALUE(MID(FD220,FIND("|",FD220)+1,FIND("-",FD220,FIND("|",FD220))-FIND("|",FD220)-1))),ABS(INDEX($Q$220:$Q$223,MATCH(LEFT(FD220,FIND("·",FD220)-1),$C$220:$C$223,0))-(VALUE(MID(FD220,FIND("|",FD220)+1,FIND("-",FD220,FIND("|",FD220))-FIND("|",FD220)-1))-VALUE(MID(FD220,FIND("-",FD220,FIND("|",FD220))+1,10)))))*$D$50)))))*INDEX($I$220:$I$223,MATCH(LEFT(FD220,FIND("·",FD220)-1),$C$220:$C$223,0)),0),0),0)</f>
        <v>0</v>
      </c>
      <c r="FF220" s="110"/>
      <c r="FG220" s="76" t="str">
        <f>Idiomas!$D$369</f>
        <v>Pegar valores Cuartos</v>
      </c>
      <c r="FH220" s="77">
        <f t="shared" ref="FH220" si="1199">IFERROR(IF(COUNTIF($K$220:$K$223,LEFT(FG220,FIND("·",FG220)-1))&gt;0,IF(INDEX($L$220:$L$223,MATCH(LEFT(FG220,FIND("·",FG220)-1),$K$220:$K$223,0))=IFERROR(VALUE(MID(FG220,FIND("·",FG220)+1,1)),0),($D$24+(INDEX($M$220:$M$223,MATCH(LEFT(FG220,FIND("·",FG220)-1),$K$220:$K$223,0))=MID(FG220,FIND("|",FG220)+1,10))*$D$26+MAX(0,IF($D$50=1,$D$25*(1-(ABS(INDEX($P$220:$P$223,MATCH(LEFT(FG220,FIND("·",FG220)-1),$K$220:$K$223,0))-(VALUE(MID(FG220,FIND("|",FG220)+1,FIND("-",FG220,FIND("|",FG220))-FIND("|",FG220)-1))-VALUE(MID(FG220,FIND("-",FG220,FIND("|",FG220))+1,10)))))*$D$50),$D$25*(1-(IF(INDEX($L$220:$L$223,MATCH(LEFT(FG220,FIND("·",FG220)-1),$K$220:$K$223,0))=0,ABS(INDEX($N$220:$N$223,MATCH(LEFT(FG220,FIND("·",FG220)-1),$K$220:$K$223,0))-VALUE(MID(FG220,FIND("|",FG220)+1,FIND("-",FG220,FIND("|",FG220))-FIND("|",FG220)-1))),ABS(INDEX($P$220:$P$223,MATCH(LEFT(FG220,FIND("·",FG220)-1),$K$220:$K$223,0))-(VALUE(MID(FG220,FIND("|",FG220)+1,FIND("-",FG220,FIND("|",FG220))-FIND("|",FG220)-1))-VALUE(MID(FG220,FIND("-",FG220,FIND("|",FG220))+1,10)))))*$D$50)))))*INDEX($I$220:$I$223,MATCH(LEFT(FG220,FIND("·",FG220)-1),$K$220:$K$223,0)),0),0),0)+IFERROR(IF(COUNTIF($C$220:$C$223,LEFT(FG220,FIND("·",FG220)-1))&gt;0,IF(INDEX($D$220:$D$223,MATCH(LEFT(FG220,FIND("·",FG220)-1),$C$220:$C$223,0))=IFERROR(VALUE(MID(FG220,FIND("·",FG220)+1,1)),0),($D$24+(INDEX($E$220:$E$223,MATCH(LEFT(FG220,FIND("·",FG220)-1),$C$220:$C$223,0))=MID(FG220,FIND("|",FG220)+1,10))*$D$26+MAX(0,IF($D$50=1,$D$25*(1-(ABS(INDEX($Q$220:$Q$223,MATCH(LEFT(FG220,FIND("·",FG220)-1),$C$220:$C$223,0))-(VALUE(MID(FG220,FIND("|",FG220)+1,FIND("-",FG220,FIND("|",FG220))-FIND("|",FG220)-1))-VALUE(MID(FG220,FIND("-",FG220,FIND("|",FG220))+1,10)))))*$D$50),$D$25*(1-(IF(INDEX($D$220:$D$223,MATCH(LEFT(FG220,FIND("·",FG220)-1),$C$220:$C$223,0))=0,ABS(INDEX($A$220:$A$223,MATCH(LEFT(FG220,FIND("·",FG220)-1),$C$220:$C$223,0))-VALUE(MID(FG220,FIND("|",FG220)+1,FIND("-",FG220,FIND("|",FG220))-FIND("|",FG220)-1))),ABS(INDEX($Q$220:$Q$223,MATCH(LEFT(FG220,FIND("·",FG220)-1),$C$220:$C$223,0))-(VALUE(MID(FG220,FIND("|",FG220)+1,FIND("-",FG220,FIND("|",FG220))-FIND("|",FG220)-1))-VALUE(MID(FG220,FIND("-",FG220,FIND("|",FG220))+1,10)))))*$D$50)))))*INDEX($I$220:$I$223,MATCH(LEFT(FG220,FIND("·",FG220)-1),$C$220:$C$223,0)),0),0),0)</f>
        <v>0</v>
      </c>
      <c r="FI220" s="110"/>
      <c r="FJ220" s="76" t="str">
        <f>Idiomas!$D$369</f>
        <v>Pegar valores Cuartos</v>
      </c>
      <c r="FK220" s="77">
        <f t="shared" ref="FK220" si="1200">IFERROR(IF(COUNTIF($K$220:$K$223,LEFT(FJ220,FIND("·",FJ220)-1))&gt;0,IF(INDEX($L$220:$L$223,MATCH(LEFT(FJ220,FIND("·",FJ220)-1),$K$220:$K$223,0))=IFERROR(VALUE(MID(FJ220,FIND("·",FJ220)+1,1)),0),($D$24+(INDEX($M$220:$M$223,MATCH(LEFT(FJ220,FIND("·",FJ220)-1),$K$220:$K$223,0))=MID(FJ220,FIND("|",FJ220)+1,10))*$D$26+MAX(0,IF($D$50=1,$D$25*(1-(ABS(INDEX($P$220:$P$223,MATCH(LEFT(FJ220,FIND("·",FJ220)-1),$K$220:$K$223,0))-(VALUE(MID(FJ220,FIND("|",FJ220)+1,FIND("-",FJ220,FIND("|",FJ220))-FIND("|",FJ220)-1))-VALUE(MID(FJ220,FIND("-",FJ220,FIND("|",FJ220))+1,10)))))*$D$50),$D$25*(1-(IF(INDEX($L$220:$L$223,MATCH(LEFT(FJ220,FIND("·",FJ220)-1),$K$220:$K$223,0))=0,ABS(INDEX($N$220:$N$223,MATCH(LEFT(FJ220,FIND("·",FJ220)-1),$K$220:$K$223,0))-VALUE(MID(FJ220,FIND("|",FJ220)+1,FIND("-",FJ220,FIND("|",FJ220))-FIND("|",FJ220)-1))),ABS(INDEX($P$220:$P$223,MATCH(LEFT(FJ220,FIND("·",FJ220)-1),$K$220:$K$223,0))-(VALUE(MID(FJ220,FIND("|",FJ220)+1,FIND("-",FJ220,FIND("|",FJ220))-FIND("|",FJ220)-1))-VALUE(MID(FJ220,FIND("-",FJ220,FIND("|",FJ220))+1,10)))))*$D$50)))))*INDEX($I$220:$I$223,MATCH(LEFT(FJ220,FIND("·",FJ220)-1),$K$220:$K$223,0)),0),0),0)+IFERROR(IF(COUNTIF($C$220:$C$223,LEFT(FJ220,FIND("·",FJ220)-1))&gt;0,IF(INDEX($D$220:$D$223,MATCH(LEFT(FJ220,FIND("·",FJ220)-1),$C$220:$C$223,0))=IFERROR(VALUE(MID(FJ220,FIND("·",FJ220)+1,1)),0),($D$24+(INDEX($E$220:$E$223,MATCH(LEFT(FJ220,FIND("·",FJ220)-1),$C$220:$C$223,0))=MID(FJ220,FIND("|",FJ220)+1,10))*$D$26+MAX(0,IF($D$50=1,$D$25*(1-(ABS(INDEX($Q$220:$Q$223,MATCH(LEFT(FJ220,FIND("·",FJ220)-1),$C$220:$C$223,0))-(VALUE(MID(FJ220,FIND("|",FJ220)+1,FIND("-",FJ220,FIND("|",FJ220))-FIND("|",FJ220)-1))-VALUE(MID(FJ220,FIND("-",FJ220,FIND("|",FJ220))+1,10)))))*$D$50),$D$25*(1-(IF(INDEX($D$220:$D$223,MATCH(LEFT(FJ220,FIND("·",FJ220)-1),$C$220:$C$223,0))=0,ABS(INDEX($A$220:$A$223,MATCH(LEFT(FJ220,FIND("·",FJ220)-1),$C$220:$C$223,0))-VALUE(MID(FJ220,FIND("|",FJ220)+1,FIND("-",FJ220,FIND("|",FJ220))-FIND("|",FJ220)-1))),ABS(INDEX($Q$220:$Q$223,MATCH(LEFT(FJ220,FIND("·",FJ220)-1),$C$220:$C$223,0))-(VALUE(MID(FJ220,FIND("|",FJ220)+1,FIND("-",FJ220,FIND("|",FJ220))-FIND("|",FJ220)-1))-VALUE(MID(FJ220,FIND("-",FJ220,FIND("|",FJ220))+1,10)))))*$D$50)))))*INDEX($I$220:$I$223,MATCH(LEFT(FJ220,FIND("·",FJ220)-1),$C$220:$C$223,0)),0),0),0)</f>
        <v>0</v>
      </c>
      <c r="FL220" s="110"/>
      <c r="FM220" s="110"/>
    </row>
    <row r="221" spans="1:169">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07">
        <f t="shared" ref="F221:F223" si="1201">SUM($D$24:$D$26)*I221</f>
        <v>4</v>
      </c>
      <c r="G221" s="407">
        <f ca="1">VLOOKUP(H221,Equipos!$Q$1:$R$25,2,0)</f>
        <v>22</v>
      </c>
      <c r="H221" s="65" t="str">
        <f>Idiomas!$D$262</f>
        <v>Cuartos de final</v>
      </c>
      <c r="I221" s="43">
        <v>1</v>
      </c>
      <c r="J221" s="849"/>
      <c r="K221" s="56" t="str">
        <f>CONCATENATE(WORLDCUP!AA132,"-",WORLDCUP!AF132)</f>
        <v>W93-W94</v>
      </c>
      <c r="L221" s="53" t="str">
        <f>IF(OR(WORLDCUP!AC132="",WORLDCUP!AD132=""),"PD",IF(WORLDCUP!AC132&gt;WORLDCUP!AD132,1,IF(WORLDCUP!AC132&lt;WORLDCUP!AD132,2,0)))</f>
        <v>PD</v>
      </c>
      <c r="M221" s="55" t="str">
        <f t="shared" si="1150"/>
        <v>-</v>
      </c>
      <c r="N221" s="25">
        <f>WORLDCUP!AC132</f>
        <v>0</v>
      </c>
      <c r="O221" s="25">
        <f>WORLDCUP!AD132</f>
        <v>0</v>
      </c>
      <c r="P221" s="25">
        <f t="shared" si="1151"/>
        <v>0</v>
      </c>
      <c r="Q221" s="25">
        <f>+A221-B221</f>
        <v>0</v>
      </c>
      <c r="R221" s="110"/>
      <c r="S221" s="74" t="s">
        <v>1989</v>
      </c>
      <c r="T221" s="77">
        <f t="shared" ref="T221:T223" si="120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0"/>
      <c r="V221" s="74" t="s">
        <v>2028</v>
      </c>
      <c r="W221" s="77">
        <f t="shared" si="1152"/>
        <v>0</v>
      </c>
      <c r="X221" s="110"/>
      <c r="Y221" s="74" t="s">
        <v>2064</v>
      </c>
      <c r="Z221" s="77">
        <f t="shared" si="1152"/>
        <v>0</v>
      </c>
      <c r="AA221" s="110"/>
      <c r="AB221" s="74" t="s">
        <v>2089</v>
      </c>
      <c r="AC221" s="77">
        <f t="shared" si="1152"/>
        <v>0</v>
      </c>
      <c r="AD221" s="110"/>
      <c r="AE221" s="74" t="s">
        <v>2118</v>
      </c>
      <c r="AF221" s="77">
        <f t="shared" si="1152"/>
        <v>0</v>
      </c>
      <c r="AG221" s="110"/>
      <c r="AH221" s="74" t="s">
        <v>2147</v>
      </c>
      <c r="AI221" s="77">
        <f t="shared" si="1152"/>
        <v>0</v>
      </c>
      <c r="AJ221" s="110"/>
      <c r="AK221" s="74" t="s">
        <v>2174</v>
      </c>
      <c r="AL221" s="77">
        <f t="shared" si="1152"/>
        <v>0</v>
      </c>
      <c r="AM221" s="110"/>
      <c r="AN221" s="74" t="s">
        <v>2206</v>
      </c>
      <c r="AO221" s="77">
        <f t="shared" si="1152"/>
        <v>0</v>
      </c>
      <c r="AP221" s="110"/>
      <c r="AQ221" s="74" t="s">
        <v>2064</v>
      </c>
      <c r="AR221" s="77">
        <f t="shared" si="1152"/>
        <v>0</v>
      </c>
      <c r="AS221" s="110"/>
      <c r="AT221" s="74" t="s">
        <v>2255</v>
      </c>
      <c r="AU221" s="77">
        <f t="shared" si="1152"/>
        <v>0</v>
      </c>
      <c r="AV221" s="110"/>
      <c r="AW221" s="74" t="s">
        <v>2281</v>
      </c>
      <c r="AX221" s="77">
        <f t="shared" si="1152"/>
        <v>0</v>
      </c>
      <c r="AY221" s="110"/>
      <c r="AZ221" s="74" t="s">
        <v>2089</v>
      </c>
      <c r="BA221" s="77">
        <f t="shared" si="1152"/>
        <v>0</v>
      </c>
      <c r="BB221" s="110"/>
      <c r="BC221" s="74" t="s">
        <v>2064</v>
      </c>
      <c r="BD221" s="77">
        <f t="shared" si="1152"/>
        <v>0</v>
      </c>
      <c r="BE221" s="110"/>
      <c r="BF221" s="74" t="s">
        <v>2064</v>
      </c>
      <c r="BG221" s="77">
        <f t="shared" si="1152"/>
        <v>0</v>
      </c>
      <c r="BH221" s="110"/>
      <c r="BI221" s="74" t="s">
        <v>2373</v>
      </c>
      <c r="BJ221" s="77">
        <f t="shared" si="1152"/>
        <v>0</v>
      </c>
      <c r="BK221" s="110"/>
      <c r="BL221" s="74" t="s">
        <v>2393</v>
      </c>
      <c r="BM221" s="77">
        <f t="shared" si="1152"/>
        <v>0</v>
      </c>
      <c r="BN221" s="110"/>
      <c r="BO221" s="74" t="s">
        <v>2404</v>
      </c>
      <c r="BP221" s="77">
        <f t="shared" si="1152"/>
        <v>0</v>
      </c>
      <c r="BQ221" s="110"/>
      <c r="BR221" s="74" t="s">
        <v>2416</v>
      </c>
      <c r="BS221" s="77">
        <f t="shared" si="1152"/>
        <v>0</v>
      </c>
      <c r="BT221" s="110"/>
      <c r="BU221" s="74" t="s">
        <v>2438</v>
      </c>
      <c r="BV221" s="77">
        <f t="shared" si="1152"/>
        <v>0</v>
      </c>
      <c r="BW221" s="110"/>
      <c r="BX221" s="74" t="s">
        <v>2456</v>
      </c>
      <c r="BY221" s="77">
        <f t="shared" si="1152"/>
        <v>0</v>
      </c>
      <c r="BZ221" s="110"/>
      <c r="CA221" s="74" t="s">
        <v>2476</v>
      </c>
      <c r="CB221" s="77">
        <f t="shared" si="1152"/>
        <v>0</v>
      </c>
      <c r="CC221" s="110"/>
      <c r="CD221" s="74" t="s">
        <v>2255</v>
      </c>
      <c r="CE221" s="77">
        <f t="shared" si="1152"/>
        <v>0</v>
      </c>
      <c r="CF221" s="110"/>
      <c r="CG221" s="74" t="s">
        <v>2028</v>
      </c>
      <c r="CH221" s="77">
        <f t="shared" si="1152"/>
        <v>0</v>
      </c>
      <c r="CI221" s="110"/>
      <c r="CJ221" s="74" t="s">
        <v>2393</v>
      </c>
      <c r="CK221" s="77">
        <f t="shared" si="1174"/>
        <v>0</v>
      </c>
      <c r="CL221" s="110"/>
      <c r="CM221" s="74" t="s">
        <v>2544</v>
      </c>
      <c r="CN221" s="77">
        <f t="shared" si="1174"/>
        <v>0</v>
      </c>
      <c r="CO221" s="110"/>
      <c r="CP221" s="74" t="s">
        <v>2561</v>
      </c>
      <c r="CQ221" s="77">
        <f t="shared" si="1174"/>
        <v>0</v>
      </c>
      <c r="CR221" s="110"/>
      <c r="CS221" s="74" t="s">
        <v>2393</v>
      </c>
      <c r="CT221" s="77">
        <f t="shared" si="1174"/>
        <v>0</v>
      </c>
      <c r="CU221" s="110"/>
      <c r="CV221" s="74" t="s">
        <v>2577</v>
      </c>
      <c r="CW221" s="77">
        <f t="shared" si="1174"/>
        <v>0</v>
      </c>
      <c r="CX221" s="110"/>
      <c r="CY221" s="74" t="s">
        <v>2393</v>
      </c>
      <c r="CZ221" s="77">
        <f t="shared" si="1174"/>
        <v>0</v>
      </c>
      <c r="DA221" s="110"/>
      <c r="DB221" s="74" t="s">
        <v>2064</v>
      </c>
      <c r="DC221" s="77">
        <f t="shared" si="1174"/>
        <v>0</v>
      </c>
      <c r="DD221" s="110"/>
      <c r="DE221" s="74" t="s">
        <v>2632</v>
      </c>
      <c r="DF221" s="77">
        <f t="shared" si="1174"/>
        <v>0</v>
      </c>
      <c r="DG221" s="110"/>
      <c r="DH221" s="74" t="s">
        <v>2404</v>
      </c>
      <c r="DI221" s="77">
        <f t="shared" si="1174"/>
        <v>0</v>
      </c>
      <c r="DJ221" s="110"/>
      <c r="DK221" s="74" t="s">
        <v>2416</v>
      </c>
      <c r="DL221" s="77">
        <f t="shared" si="1174"/>
        <v>0</v>
      </c>
      <c r="DM221" s="110"/>
      <c r="DN221" s="795" t="s">
        <v>2404</v>
      </c>
      <c r="DO221" s="77">
        <f t="shared" si="1174"/>
        <v>0</v>
      </c>
      <c r="DP221" s="110"/>
      <c r="DQ221" s="795" t="s">
        <v>2702</v>
      </c>
      <c r="DR221" s="77">
        <f t="shared" si="1174"/>
        <v>0</v>
      </c>
      <c r="DS221" s="110"/>
      <c r="DT221" s="74" t="s">
        <v>2064</v>
      </c>
      <c r="DU221" s="77">
        <f t="shared" si="1174"/>
        <v>0</v>
      </c>
      <c r="DV221" s="110"/>
      <c r="DW221" s="74" t="s">
        <v>2743</v>
      </c>
      <c r="DX221" s="77">
        <f t="shared" si="1174"/>
        <v>0</v>
      </c>
      <c r="DY221" s="110"/>
      <c r="DZ221" s="74" t="s">
        <v>2760</v>
      </c>
      <c r="EA221" s="77">
        <f t="shared" si="1174"/>
        <v>0</v>
      </c>
      <c r="EB221" s="110"/>
      <c r="EC221" s="74" t="s">
        <v>2404</v>
      </c>
      <c r="ED221" s="77">
        <f t="shared" si="1174"/>
        <v>0</v>
      </c>
      <c r="EE221" s="110"/>
      <c r="EF221" s="74" t="s">
        <v>2787</v>
      </c>
      <c r="EG221" s="77">
        <f t="shared" si="1174"/>
        <v>0</v>
      </c>
      <c r="EH221" s="110"/>
      <c r="EI221" s="74" t="s">
        <v>2089</v>
      </c>
      <c r="EJ221" s="77">
        <f t="shared" si="1174"/>
        <v>0</v>
      </c>
      <c r="EK221" s="110"/>
      <c r="EL221" s="74"/>
      <c r="EM221" s="77">
        <f t="shared" si="1174"/>
        <v>0</v>
      </c>
      <c r="EN221" s="110"/>
      <c r="EO221" s="74"/>
      <c r="EP221" s="77">
        <f t="shared" si="1174"/>
        <v>0</v>
      </c>
      <c r="EQ221" s="110"/>
      <c r="ER221" s="74"/>
      <c r="ES221" s="77">
        <f t="shared" si="1174"/>
        <v>0</v>
      </c>
      <c r="ET221" s="110"/>
      <c r="EU221" s="74"/>
      <c r="EV221" s="77">
        <f t="shared" si="1174"/>
        <v>0</v>
      </c>
      <c r="EW221" s="110"/>
      <c r="EX221" s="74"/>
      <c r="EY221" s="77">
        <f t="shared" si="1196"/>
        <v>0</v>
      </c>
      <c r="EZ221" s="110"/>
      <c r="FA221" s="74"/>
      <c r="FB221" s="77">
        <f t="shared" si="1196"/>
        <v>0</v>
      </c>
      <c r="FC221" s="110"/>
      <c r="FD221" s="74"/>
      <c r="FE221" s="77">
        <f t="shared" si="1196"/>
        <v>0</v>
      </c>
      <c r="FF221" s="110"/>
      <c r="FG221" s="74"/>
      <c r="FH221" s="77">
        <f t="shared" si="1196"/>
        <v>0</v>
      </c>
      <c r="FI221" s="110"/>
      <c r="FJ221" s="74"/>
      <c r="FK221" s="77">
        <f t="shared" si="1196"/>
        <v>0</v>
      </c>
      <c r="FL221" s="110"/>
      <c r="FM221" s="110"/>
    </row>
    <row r="222" spans="1:169">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07">
        <f t="shared" si="1201"/>
        <v>4</v>
      </c>
      <c r="G222" s="407">
        <f ca="1">VLOOKUP(H222,Equipos!$Q$1:$R$25,2,0)</f>
        <v>22</v>
      </c>
      <c r="H222" s="65" t="str">
        <f>Idiomas!$D$262</f>
        <v>Cuartos de final</v>
      </c>
      <c r="I222" s="43">
        <v>1</v>
      </c>
      <c r="J222" s="849"/>
      <c r="K222" s="56" t="str">
        <f>CONCATENATE(WORLDCUP!AA133,"-",WORLDCUP!AF133)</f>
        <v>W91-W92</v>
      </c>
      <c r="L222" s="53" t="str">
        <f>IF(OR(WORLDCUP!AC133="",WORLDCUP!AD133=""),"PD",IF(WORLDCUP!AC133&gt;WORLDCUP!AD133,1,IF(WORLDCUP!AC133&lt;WORLDCUP!AD133,2,0)))</f>
        <v>PD</v>
      </c>
      <c r="M222" s="55" t="str">
        <f t="shared" si="1150"/>
        <v>-</v>
      </c>
      <c r="N222" s="25">
        <f>WORLDCUP!AC133</f>
        <v>0</v>
      </c>
      <c r="O222" s="25">
        <f>WORLDCUP!AD133</f>
        <v>0</v>
      </c>
      <c r="P222" s="25">
        <f t="shared" si="1151"/>
        <v>0</v>
      </c>
      <c r="Q222" s="25">
        <f>+A222-B222</f>
        <v>0</v>
      </c>
      <c r="R222" s="110"/>
      <c r="S222" s="74" t="s">
        <v>1990</v>
      </c>
      <c r="T222" s="77">
        <f t="shared" si="1202"/>
        <v>0</v>
      </c>
      <c r="U222" s="110"/>
      <c r="V222" s="74" t="s">
        <v>2029</v>
      </c>
      <c r="W222" s="77">
        <f t="shared" si="1152"/>
        <v>0</v>
      </c>
      <c r="X222" s="110"/>
      <c r="Y222" s="74" t="s">
        <v>2065</v>
      </c>
      <c r="Z222" s="77">
        <f t="shared" si="1152"/>
        <v>0</v>
      </c>
      <c r="AA222" s="110"/>
      <c r="AB222" s="74" t="s">
        <v>2090</v>
      </c>
      <c r="AC222" s="77">
        <f t="shared" si="1152"/>
        <v>0</v>
      </c>
      <c r="AD222" s="110"/>
      <c r="AE222" s="74" t="s">
        <v>2065</v>
      </c>
      <c r="AF222" s="77">
        <f t="shared" si="1152"/>
        <v>0</v>
      </c>
      <c r="AG222" s="110"/>
      <c r="AH222" s="74" t="s">
        <v>2148</v>
      </c>
      <c r="AI222" s="77">
        <f t="shared" si="1152"/>
        <v>0</v>
      </c>
      <c r="AJ222" s="110"/>
      <c r="AK222" s="74" t="s">
        <v>2175</v>
      </c>
      <c r="AL222" s="77">
        <f t="shared" si="1152"/>
        <v>0</v>
      </c>
      <c r="AM222" s="110"/>
      <c r="AN222" s="74" t="s">
        <v>2207</v>
      </c>
      <c r="AO222" s="77">
        <f t="shared" si="1152"/>
        <v>0</v>
      </c>
      <c r="AP222" s="110"/>
      <c r="AQ222" s="74" t="s">
        <v>2090</v>
      </c>
      <c r="AR222" s="77">
        <f t="shared" si="1152"/>
        <v>0</v>
      </c>
      <c r="AS222" s="110"/>
      <c r="AT222" s="74" t="s">
        <v>2090</v>
      </c>
      <c r="AU222" s="77">
        <f t="shared" si="1152"/>
        <v>0</v>
      </c>
      <c r="AV222" s="110"/>
      <c r="AW222" s="74" t="s">
        <v>2282</v>
      </c>
      <c r="AX222" s="77">
        <f t="shared" si="1152"/>
        <v>0</v>
      </c>
      <c r="AY222" s="110"/>
      <c r="AZ222" s="74" t="s">
        <v>2307</v>
      </c>
      <c r="BA222" s="77">
        <f t="shared" si="1152"/>
        <v>0</v>
      </c>
      <c r="BB222" s="110"/>
      <c r="BC222" s="74" t="s">
        <v>2333</v>
      </c>
      <c r="BD222" s="77">
        <f t="shared" si="1152"/>
        <v>0</v>
      </c>
      <c r="BE222" s="110"/>
      <c r="BF222" s="74" t="s">
        <v>2090</v>
      </c>
      <c r="BG222" s="77">
        <f t="shared" si="1152"/>
        <v>0</v>
      </c>
      <c r="BH222" s="110"/>
      <c r="BI222" s="74" t="s">
        <v>2374</v>
      </c>
      <c r="BJ222" s="77">
        <f t="shared" si="1152"/>
        <v>0</v>
      </c>
      <c r="BK222" s="110"/>
      <c r="BL222" s="74" t="s">
        <v>2090</v>
      </c>
      <c r="BM222" s="77">
        <f t="shared" si="1152"/>
        <v>0</v>
      </c>
      <c r="BN222" s="110"/>
      <c r="BO222" s="74" t="s">
        <v>2090</v>
      </c>
      <c r="BP222" s="77">
        <f t="shared" si="1152"/>
        <v>0</v>
      </c>
      <c r="BQ222" s="110"/>
      <c r="BR222" s="74" t="s">
        <v>2065</v>
      </c>
      <c r="BS222" s="77">
        <f t="shared" si="1152"/>
        <v>0</v>
      </c>
      <c r="BT222" s="110"/>
      <c r="BU222" s="74" t="s">
        <v>1990</v>
      </c>
      <c r="BV222" s="77">
        <f t="shared" si="1152"/>
        <v>0</v>
      </c>
      <c r="BW222" s="110"/>
      <c r="BX222" s="74" t="s">
        <v>2029</v>
      </c>
      <c r="BY222" s="77">
        <f t="shared" si="1152"/>
        <v>0</v>
      </c>
      <c r="BZ222" s="110"/>
      <c r="CA222" s="74" t="s">
        <v>2477</v>
      </c>
      <c r="CB222" s="77">
        <f t="shared" si="1152"/>
        <v>0</v>
      </c>
      <c r="CC222" s="110"/>
      <c r="CD222" s="74" t="s">
        <v>2497</v>
      </c>
      <c r="CE222" s="77">
        <f t="shared" si="1152"/>
        <v>0</v>
      </c>
      <c r="CF222" s="110"/>
      <c r="CG222" s="74" t="s">
        <v>2516</v>
      </c>
      <c r="CH222" s="77">
        <f t="shared" si="1152"/>
        <v>0</v>
      </c>
      <c r="CI222" s="110"/>
      <c r="CJ222" s="74" t="s">
        <v>1990</v>
      </c>
      <c r="CK222" s="77">
        <f t="shared" si="1174"/>
        <v>0</v>
      </c>
      <c r="CL222" s="110"/>
      <c r="CM222" s="74" t="s">
        <v>2545</v>
      </c>
      <c r="CN222" s="77">
        <f t="shared" si="1174"/>
        <v>0</v>
      </c>
      <c r="CO222" s="110"/>
      <c r="CP222" s="74" t="s">
        <v>1990</v>
      </c>
      <c r="CQ222" s="77">
        <f t="shared" si="1174"/>
        <v>0</v>
      </c>
      <c r="CR222" s="110"/>
      <c r="CS222" s="74" t="s">
        <v>2374</v>
      </c>
      <c r="CT222" s="77">
        <f t="shared" si="1174"/>
        <v>0</v>
      </c>
      <c r="CU222" s="110"/>
      <c r="CV222" s="74" t="s">
        <v>1990</v>
      </c>
      <c r="CW222" s="77">
        <f t="shared" si="1174"/>
        <v>0</v>
      </c>
      <c r="CX222" s="110"/>
      <c r="CY222" s="74" t="s">
        <v>2605</v>
      </c>
      <c r="CZ222" s="77">
        <f t="shared" si="1174"/>
        <v>0</v>
      </c>
      <c r="DA222" s="110"/>
      <c r="DB222" s="74" t="s">
        <v>2616</v>
      </c>
      <c r="DC222" s="77">
        <f t="shared" si="1174"/>
        <v>0</v>
      </c>
      <c r="DD222" s="110"/>
      <c r="DE222" s="74" t="s">
        <v>2112</v>
      </c>
      <c r="DF222" s="77">
        <f t="shared" si="1174"/>
        <v>0</v>
      </c>
      <c r="DG222" s="110"/>
      <c r="DH222" s="74" t="s">
        <v>2649</v>
      </c>
      <c r="DI222" s="77">
        <f t="shared" si="1174"/>
        <v>0</v>
      </c>
      <c r="DJ222" s="110"/>
      <c r="DK222" s="74" t="s">
        <v>2409</v>
      </c>
      <c r="DL222" s="77">
        <f t="shared" si="1174"/>
        <v>0</v>
      </c>
      <c r="DM222" s="110"/>
      <c r="DN222" s="795" t="s">
        <v>2516</v>
      </c>
      <c r="DO222" s="77">
        <f t="shared" si="1174"/>
        <v>0</v>
      </c>
      <c r="DP222" s="110"/>
      <c r="DQ222" s="795" t="s">
        <v>2703</v>
      </c>
      <c r="DR222" s="77">
        <f t="shared" si="1174"/>
        <v>0</v>
      </c>
      <c r="DS222" s="110"/>
      <c r="DT222" s="74" t="s">
        <v>2727</v>
      </c>
      <c r="DU222" s="77">
        <f t="shared" si="1174"/>
        <v>0</v>
      </c>
      <c r="DV222" s="110"/>
      <c r="DW222" s="74" t="s">
        <v>2744</v>
      </c>
      <c r="DX222" s="77">
        <f t="shared" si="1174"/>
        <v>0</v>
      </c>
      <c r="DY222" s="110"/>
      <c r="DZ222" s="74" t="s">
        <v>2761</v>
      </c>
      <c r="EA222" s="77">
        <f t="shared" si="1174"/>
        <v>0</v>
      </c>
      <c r="EB222" s="110"/>
      <c r="EC222" s="74" t="s">
        <v>2649</v>
      </c>
      <c r="ED222" s="77">
        <f t="shared" si="1174"/>
        <v>0</v>
      </c>
      <c r="EE222" s="110"/>
      <c r="EF222" s="74" t="s">
        <v>2029</v>
      </c>
      <c r="EG222" s="77">
        <f t="shared" si="1174"/>
        <v>0</v>
      </c>
      <c r="EH222" s="110"/>
      <c r="EI222" s="74" t="s">
        <v>2282</v>
      </c>
      <c r="EJ222" s="77">
        <f t="shared" si="1174"/>
        <v>0</v>
      </c>
      <c r="EK222" s="110"/>
      <c r="EL222" s="74"/>
      <c r="EM222" s="77">
        <f t="shared" si="1174"/>
        <v>0</v>
      </c>
      <c r="EN222" s="110"/>
      <c r="EO222" s="74"/>
      <c r="EP222" s="77">
        <f t="shared" si="1174"/>
        <v>0</v>
      </c>
      <c r="EQ222" s="110"/>
      <c r="ER222" s="74"/>
      <c r="ES222" s="77">
        <f t="shared" si="1174"/>
        <v>0</v>
      </c>
      <c r="ET222" s="110"/>
      <c r="EU222" s="74"/>
      <c r="EV222" s="77">
        <f t="shared" si="1174"/>
        <v>0</v>
      </c>
      <c r="EW222" s="110"/>
      <c r="EX222" s="74"/>
      <c r="EY222" s="77">
        <f t="shared" si="1196"/>
        <v>0</v>
      </c>
      <c r="EZ222" s="110"/>
      <c r="FA222" s="74"/>
      <c r="FB222" s="77">
        <f t="shared" si="1196"/>
        <v>0</v>
      </c>
      <c r="FC222" s="110"/>
      <c r="FD222" s="74"/>
      <c r="FE222" s="77">
        <f t="shared" si="1196"/>
        <v>0</v>
      </c>
      <c r="FF222" s="110"/>
      <c r="FG222" s="74"/>
      <c r="FH222" s="77">
        <f t="shared" si="1196"/>
        <v>0</v>
      </c>
      <c r="FI222" s="110"/>
      <c r="FJ222" s="74"/>
      <c r="FK222" s="77">
        <f t="shared" si="1196"/>
        <v>0</v>
      </c>
      <c r="FL222" s="110"/>
      <c r="FM222" s="110"/>
    </row>
    <row r="223" spans="1:169">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07">
        <f t="shared" si="1201"/>
        <v>4</v>
      </c>
      <c r="G223" s="407">
        <f ca="1">VLOOKUP(H223,Equipos!$Q$1:$R$25,2,0)</f>
        <v>22</v>
      </c>
      <c r="H223" s="65" t="str">
        <f>Idiomas!$D$262</f>
        <v>Cuartos de final</v>
      </c>
      <c r="I223" s="43">
        <v>1</v>
      </c>
      <c r="J223" s="849"/>
      <c r="K223" s="115" t="str">
        <f>CONCATENATE(WORLDCUP!AA134,"-",WORLDCUP!AF134)</f>
        <v>W95-W96</v>
      </c>
      <c r="L223" s="115" t="str">
        <f>IF(OR(WORLDCUP!AC134="",WORLDCUP!AD134=""),"PD",IF(WORLDCUP!AC134&gt;WORLDCUP!AD134,1,IF(WORLDCUP!AC134&lt;WORLDCUP!AD134,2,0)))</f>
        <v>PD</v>
      </c>
      <c r="M223" s="116" t="str">
        <f t="shared" si="1150"/>
        <v>-</v>
      </c>
      <c r="N223" s="25">
        <f>WORLDCUP!AC134</f>
        <v>0</v>
      </c>
      <c r="O223" s="25">
        <f>WORLDCUP!AD134</f>
        <v>0</v>
      </c>
      <c r="P223" s="25">
        <f t="shared" si="1151"/>
        <v>0</v>
      </c>
      <c r="Q223" s="25">
        <f>+A223-B223</f>
        <v>0</v>
      </c>
      <c r="R223" s="110"/>
      <c r="S223" s="80" t="s">
        <v>1991</v>
      </c>
      <c r="T223" s="81">
        <f t="shared" si="1202"/>
        <v>0</v>
      </c>
      <c r="U223" s="110"/>
      <c r="V223" s="80" t="s">
        <v>2030</v>
      </c>
      <c r="W223" s="81">
        <f t="shared" si="1152"/>
        <v>0</v>
      </c>
      <c r="X223" s="110"/>
      <c r="Y223" s="80" t="s">
        <v>2030</v>
      </c>
      <c r="Z223" s="81">
        <f t="shared" si="1152"/>
        <v>0</v>
      </c>
      <c r="AA223" s="110"/>
      <c r="AB223" s="80" t="s">
        <v>2091</v>
      </c>
      <c r="AC223" s="81">
        <f t="shared" si="1152"/>
        <v>0</v>
      </c>
      <c r="AD223" s="110"/>
      <c r="AE223" s="80" t="s">
        <v>2119</v>
      </c>
      <c r="AF223" s="81">
        <f t="shared" si="1152"/>
        <v>0</v>
      </c>
      <c r="AG223" s="110"/>
      <c r="AH223" s="80" t="s">
        <v>2149</v>
      </c>
      <c r="AI223" s="81">
        <f t="shared" si="1152"/>
        <v>0</v>
      </c>
      <c r="AJ223" s="110"/>
      <c r="AK223" s="80" t="s">
        <v>2176</v>
      </c>
      <c r="AL223" s="81">
        <f t="shared" si="1152"/>
        <v>0</v>
      </c>
      <c r="AM223" s="110"/>
      <c r="AN223" s="80" t="s">
        <v>2208</v>
      </c>
      <c r="AO223" s="81">
        <f t="shared" si="1152"/>
        <v>0</v>
      </c>
      <c r="AP223" s="110"/>
      <c r="AQ223" s="80" t="s">
        <v>2234</v>
      </c>
      <c r="AR223" s="81">
        <f t="shared" si="1152"/>
        <v>0</v>
      </c>
      <c r="AS223" s="110"/>
      <c r="AT223" s="80" t="s">
        <v>2256</v>
      </c>
      <c r="AU223" s="81">
        <f t="shared" si="1152"/>
        <v>0</v>
      </c>
      <c r="AV223" s="110"/>
      <c r="AW223" s="80" t="s">
        <v>2283</v>
      </c>
      <c r="AX223" s="81">
        <f t="shared" si="1152"/>
        <v>0</v>
      </c>
      <c r="AY223" s="110"/>
      <c r="AZ223" s="80" t="s">
        <v>2176</v>
      </c>
      <c r="BA223" s="81">
        <f t="shared" si="1152"/>
        <v>0</v>
      </c>
      <c r="BB223" s="110"/>
      <c r="BC223" s="80" t="s">
        <v>2030</v>
      </c>
      <c r="BD223" s="81">
        <f t="shared" si="1152"/>
        <v>0</v>
      </c>
      <c r="BE223" s="110"/>
      <c r="BF223" s="80" t="s">
        <v>2356</v>
      </c>
      <c r="BG223" s="81">
        <f t="shared" si="1152"/>
        <v>0</v>
      </c>
      <c r="BH223" s="110"/>
      <c r="BI223" s="80" t="s">
        <v>2091</v>
      </c>
      <c r="BJ223" s="81">
        <f t="shared" si="1152"/>
        <v>0</v>
      </c>
      <c r="BK223" s="110"/>
      <c r="BL223" s="80" t="s">
        <v>2356</v>
      </c>
      <c r="BM223" s="81">
        <f t="shared" si="1152"/>
        <v>0</v>
      </c>
      <c r="BN223" s="110"/>
      <c r="BO223" s="80" t="s">
        <v>2176</v>
      </c>
      <c r="BP223" s="81">
        <f t="shared" si="1152"/>
        <v>0</v>
      </c>
      <c r="BQ223" s="110"/>
      <c r="BR223" s="80" t="s">
        <v>2417</v>
      </c>
      <c r="BS223" s="81">
        <f t="shared" si="1152"/>
        <v>0</v>
      </c>
      <c r="BT223" s="110"/>
      <c r="BU223" s="80" t="s">
        <v>2439</v>
      </c>
      <c r="BV223" s="81">
        <f t="shared" si="1152"/>
        <v>0</v>
      </c>
      <c r="BW223" s="110"/>
      <c r="BX223" s="80" t="s">
        <v>2457</v>
      </c>
      <c r="BY223" s="81">
        <f t="shared" si="1152"/>
        <v>0</v>
      </c>
      <c r="BZ223" s="110"/>
      <c r="CA223" s="80" t="s">
        <v>2478</v>
      </c>
      <c r="CB223" s="81">
        <f t="shared" si="1152"/>
        <v>0</v>
      </c>
      <c r="CC223" s="110"/>
      <c r="CD223" s="80" t="s">
        <v>2030</v>
      </c>
      <c r="CE223" s="81">
        <f t="shared" si="1152"/>
        <v>0</v>
      </c>
      <c r="CF223" s="110"/>
      <c r="CG223" s="80" t="s">
        <v>2356</v>
      </c>
      <c r="CH223" s="81">
        <f t="shared" si="1152"/>
        <v>0</v>
      </c>
      <c r="CI223" s="110"/>
      <c r="CJ223" s="80" t="s">
        <v>2176</v>
      </c>
      <c r="CK223" s="81">
        <f t="shared" si="1174"/>
        <v>0</v>
      </c>
      <c r="CL223" s="110"/>
      <c r="CM223" s="80" t="s">
        <v>2030</v>
      </c>
      <c r="CN223" s="81">
        <f t="shared" si="1174"/>
        <v>0</v>
      </c>
      <c r="CO223" s="110"/>
      <c r="CP223" s="80" t="s">
        <v>2176</v>
      </c>
      <c r="CQ223" s="81">
        <f t="shared" si="1174"/>
        <v>0</v>
      </c>
      <c r="CR223" s="110"/>
      <c r="CS223" s="80" t="s">
        <v>2356</v>
      </c>
      <c r="CT223" s="81">
        <f t="shared" si="1174"/>
        <v>0</v>
      </c>
      <c r="CU223" s="110"/>
      <c r="CV223" s="80" t="s">
        <v>2030</v>
      </c>
      <c r="CW223" s="81">
        <f t="shared" si="1174"/>
        <v>0</v>
      </c>
      <c r="CX223" s="110"/>
      <c r="CY223" s="80" t="s">
        <v>2606</v>
      </c>
      <c r="CZ223" s="81">
        <f t="shared" si="1174"/>
        <v>0</v>
      </c>
      <c r="DA223" s="110"/>
      <c r="DB223" s="80" t="s">
        <v>2478</v>
      </c>
      <c r="DC223" s="81">
        <f t="shared" si="1174"/>
        <v>0</v>
      </c>
      <c r="DD223" s="110"/>
      <c r="DE223" s="80" t="s">
        <v>2633</v>
      </c>
      <c r="DF223" s="81">
        <f t="shared" si="1174"/>
        <v>0</v>
      </c>
      <c r="DG223" s="110"/>
      <c r="DH223" s="80" t="s">
        <v>2439</v>
      </c>
      <c r="DI223" s="81">
        <f t="shared" si="1174"/>
        <v>0</v>
      </c>
      <c r="DJ223" s="110"/>
      <c r="DK223" s="80" t="s">
        <v>2417</v>
      </c>
      <c r="DL223" s="81">
        <f t="shared" si="1174"/>
        <v>0</v>
      </c>
      <c r="DM223" s="110"/>
      <c r="DN223" s="795" t="s">
        <v>2149</v>
      </c>
      <c r="DO223" s="81">
        <f t="shared" si="1174"/>
        <v>0</v>
      </c>
      <c r="DP223" s="110"/>
      <c r="DQ223" s="795" t="s">
        <v>2439</v>
      </c>
      <c r="DR223" s="81">
        <f t="shared" si="1174"/>
        <v>0</v>
      </c>
      <c r="DS223" s="110"/>
      <c r="DT223" s="80" t="s">
        <v>2728</v>
      </c>
      <c r="DU223" s="81">
        <f t="shared" si="1174"/>
        <v>0</v>
      </c>
      <c r="DV223" s="110"/>
      <c r="DW223" s="80" t="s">
        <v>2745</v>
      </c>
      <c r="DX223" s="81">
        <f t="shared" si="1174"/>
        <v>0</v>
      </c>
      <c r="DY223" s="110"/>
      <c r="DZ223" s="80" t="s">
        <v>2417</v>
      </c>
      <c r="EA223" s="81">
        <f t="shared" si="1174"/>
        <v>0</v>
      </c>
      <c r="EB223" s="110"/>
      <c r="EC223" s="80" t="s">
        <v>2091</v>
      </c>
      <c r="ED223" s="81">
        <f t="shared" si="1174"/>
        <v>0</v>
      </c>
      <c r="EE223" s="110"/>
      <c r="EF223" s="80" t="s">
        <v>2788</v>
      </c>
      <c r="EG223" s="81">
        <f t="shared" si="1174"/>
        <v>0</v>
      </c>
      <c r="EH223" s="110"/>
      <c r="EI223" s="80" t="s">
        <v>2439</v>
      </c>
      <c r="EJ223" s="81">
        <f t="shared" si="1174"/>
        <v>0</v>
      </c>
      <c r="EK223" s="110"/>
      <c r="EL223" s="80"/>
      <c r="EM223" s="81">
        <f t="shared" si="1174"/>
        <v>0</v>
      </c>
      <c r="EN223" s="110"/>
      <c r="EO223" s="80"/>
      <c r="EP223" s="81">
        <f t="shared" si="1174"/>
        <v>0</v>
      </c>
      <c r="EQ223" s="110"/>
      <c r="ER223" s="80"/>
      <c r="ES223" s="81">
        <f t="shared" si="1174"/>
        <v>0</v>
      </c>
      <c r="ET223" s="110"/>
      <c r="EU223" s="80"/>
      <c r="EV223" s="81">
        <f t="shared" si="1174"/>
        <v>0</v>
      </c>
      <c r="EW223" s="110"/>
      <c r="EX223" s="80"/>
      <c r="EY223" s="81">
        <f t="shared" si="1196"/>
        <v>0</v>
      </c>
      <c r="EZ223" s="110"/>
      <c r="FA223" s="80"/>
      <c r="FB223" s="81">
        <f t="shared" si="1196"/>
        <v>0</v>
      </c>
      <c r="FC223" s="110"/>
      <c r="FD223" s="80"/>
      <c r="FE223" s="81">
        <f t="shared" si="1196"/>
        <v>0</v>
      </c>
      <c r="FF223" s="110"/>
      <c r="FG223" s="80"/>
      <c r="FH223" s="81">
        <f t="shared" si="1196"/>
        <v>0</v>
      </c>
      <c r="FI223" s="110"/>
      <c r="FJ223" s="80"/>
      <c r="FK223" s="81">
        <f t="shared" si="1196"/>
        <v>0</v>
      </c>
      <c r="FL223" s="110"/>
      <c r="FM223" s="110"/>
    </row>
    <row r="224" spans="1:169">
      <c r="A224" s="25"/>
      <c r="B224" s="25"/>
      <c r="C224" s="25"/>
      <c r="D224" s="25"/>
      <c r="E224" s="25"/>
      <c r="F224" s="407"/>
      <c r="G224" s="407"/>
      <c r="H224" s="65"/>
      <c r="I224" s="50"/>
      <c r="J224" s="94"/>
      <c r="K224" s="434" t="str">
        <f>Idiomas!D462</f>
        <v>Partidos 1/4</v>
      </c>
      <c r="L224" s="435"/>
      <c r="M224" s="434" t="str">
        <f>"Max: "&amp;SUM($D$24:$D$26)*SUM($I$220:$I$223)</f>
        <v>Max: 16</v>
      </c>
      <c r="N224" s="25"/>
      <c r="O224" s="25"/>
      <c r="P224" s="25"/>
      <c r="Q224" s="25"/>
      <c r="R224" s="49"/>
      <c r="S224" s="84"/>
      <c r="T224" s="71">
        <f>SUM(T220:T223)</f>
        <v>0</v>
      </c>
      <c r="U224" s="65"/>
      <c r="V224" s="84"/>
      <c r="W224" s="71">
        <f t="shared" ref="W224" si="1203">SUM(W220:W223)</f>
        <v>0</v>
      </c>
      <c r="X224" s="65"/>
      <c r="Y224" s="84"/>
      <c r="Z224" s="71">
        <f t="shared" ref="Z224" si="1204">SUM(Z220:Z223)</f>
        <v>0</v>
      </c>
      <c r="AA224" s="65"/>
      <c r="AB224" s="84"/>
      <c r="AC224" s="71">
        <f t="shared" ref="AC224" si="1205">SUM(AC220:AC223)</f>
        <v>0</v>
      </c>
      <c r="AD224" s="65"/>
      <c r="AE224" s="84"/>
      <c r="AF224" s="71">
        <f t="shared" ref="AF224" si="1206">SUM(AF220:AF223)</f>
        <v>0</v>
      </c>
      <c r="AG224" s="65"/>
      <c r="AH224" s="84"/>
      <c r="AI224" s="71">
        <f t="shared" ref="AI224" si="1207">SUM(AI220:AI223)</f>
        <v>0</v>
      </c>
      <c r="AJ224" s="65"/>
      <c r="AK224" s="84"/>
      <c r="AL224" s="71">
        <f t="shared" ref="AL224" si="1208">SUM(AL220:AL223)</f>
        <v>0</v>
      </c>
      <c r="AM224" s="65"/>
      <c r="AN224" s="84"/>
      <c r="AO224" s="71">
        <f t="shared" ref="AO224" si="1209">SUM(AO220:AO223)</f>
        <v>0</v>
      </c>
      <c r="AP224" s="65"/>
      <c r="AQ224" s="84"/>
      <c r="AR224" s="71">
        <f t="shared" ref="AR224" si="1210">SUM(AR220:AR223)</f>
        <v>0</v>
      </c>
      <c r="AS224" s="65"/>
      <c r="AT224" s="84"/>
      <c r="AU224" s="71">
        <f t="shared" ref="AU224" si="1211">SUM(AU220:AU223)</f>
        <v>0</v>
      </c>
      <c r="AV224" s="65"/>
      <c r="AW224" s="84"/>
      <c r="AX224" s="71">
        <f t="shared" ref="AX224" si="1212">SUM(AX220:AX223)</f>
        <v>0</v>
      </c>
      <c r="AY224" s="65"/>
      <c r="AZ224" s="84"/>
      <c r="BA224" s="71">
        <f t="shared" ref="BA224" si="1213">SUM(BA220:BA223)</f>
        <v>0</v>
      </c>
      <c r="BB224" s="65"/>
      <c r="BC224" s="84"/>
      <c r="BD224" s="71">
        <f t="shared" ref="BD224" si="1214">SUM(BD220:BD223)</f>
        <v>0</v>
      </c>
      <c r="BE224" s="65"/>
      <c r="BF224" s="84"/>
      <c r="BG224" s="71">
        <f t="shared" ref="BG224" si="1215">SUM(BG220:BG223)</f>
        <v>0</v>
      </c>
      <c r="BH224" s="65"/>
      <c r="BI224" s="84"/>
      <c r="BJ224" s="71">
        <f t="shared" ref="BJ224" si="1216">SUM(BJ220:BJ223)</f>
        <v>0</v>
      </c>
      <c r="BK224" s="65"/>
      <c r="BL224" s="84"/>
      <c r="BM224" s="71">
        <f t="shared" ref="BM224" si="1217">SUM(BM220:BM223)</f>
        <v>0</v>
      </c>
      <c r="BN224" s="65"/>
      <c r="BO224" s="84"/>
      <c r="BP224" s="71">
        <f t="shared" ref="BP224" si="1218">SUM(BP220:BP223)</f>
        <v>0</v>
      </c>
      <c r="BQ224" s="65"/>
      <c r="BR224" s="84"/>
      <c r="BS224" s="71">
        <f t="shared" ref="BS224" si="1219">SUM(BS220:BS223)</f>
        <v>0</v>
      </c>
      <c r="BT224" s="65"/>
      <c r="BU224" s="84"/>
      <c r="BV224" s="71">
        <f t="shared" ref="BV224" si="1220">SUM(BV220:BV223)</f>
        <v>0</v>
      </c>
      <c r="BW224" s="65"/>
      <c r="BX224" s="84"/>
      <c r="BY224" s="71">
        <f t="shared" ref="BY224" si="1221">SUM(BY220:BY223)</f>
        <v>0</v>
      </c>
      <c r="BZ224" s="65"/>
      <c r="CA224" s="84"/>
      <c r="CB224" s="71">
        <f t="shared" ref="CB224" si="1222">SUM(CB220:CB223)</f>
        <v>0</v>
      </c>
      <c r="CC224" s="65"/>
      <c r="CD224" s="84"/>
      <c r="CE224" s="71">
        <f t="shared" ref="CE224" si="1223">SUM(CE220:CE223)</f>
        <v>0</v>
      </c>
      <c r="CF224" s="65"/>
      <c r="CG224" s="84"/>
      <c r="CH224" s="71">
        <f t="shared" ref="CH224" si="1224">SUM(CH220:CH223)</f>
        <v>0</v>
      </c>
      <c r="CI224" s="65"/>
      <c r="CJ224" s="84"/>
      <c r="CK224" s="71">
        <f t="shared" ref="CK224" si="1225">SUM(CK220:CK223)</f>
        <v>0</v>
      </c>
      <c r="CL224" s="65"/>
      <c r="CM224" s="84"/>
      <c r="CN224" s="71">
        <f t="shared" ref="CN224" si="1226">SUM(CN220:CN223)</f>
        <v>0</v>
      </c>
      <c r="CO224" s="65"/>
      <c r="CP224" s="84"/>
      <c r="CQ224" s="71">
        <f t="shared" ref="CQ224" si="1227">SUM(CQ220:CQ223)</f>
        <v>0</v>
      </c>
      <c r="CR224" s="65"/>
      <c r="CS224" s="84"/>
      <c r="CT224" s="71">
        <f t="shared" ref="CT224" si="1228">SUM(CT220:CT223)</f>
        <v>0</v>
      </c>
      <c r="CU224" s="65"/>
      <c r="CV224" s="84"/>
      <c r="CW224" s="71">
        <f t="shared" ref="CW224" si="1229">SUM(CW220:CW223)</f>
        <v>0</v>
      </c>
      <c r="CX224" s="65"/>
      <c r="CY224" s="84"/>
      <c r="CZ224" s="71">
        <f t="shared" ref="CZ224" si="1230">SUM(CZ220:CZ223)</f>
        <v>0</v>
      </c>
      <c r="DA224" s="65"/>
      <c r="DB224" s="84"/>
      <c r="DC224" s="71">
        <f t="shared" ref="DC224" si="1231">SUM(DC220:DC223)</f>
        <v>0</v>
      </c>
      <c r="DD224" s="65"/>
      <c r="DE224" s="84"/>
      <c r="DF224" s="71">
        <f t="shared" ref="DF224" si="1232">SUM(DF220:DF223)</f>
        <v>0</v>
      </c>
      <c r="DG224" s="65"/>
      <c r="DH224" s="84"/>
      <c r="DI224" s="71">
        <f t="shared" ref="DI224" si="1233">SUM(DI220:DI223)</f>
        <v>0</v>
      </c>
      <c r="DJ224" s="65"/>
      <c r="DK224" s="84"/>
      <c r="DL224" s="71">
        <f t="shared" ref="DL224" si="1234">SUM(DL220:DL223)</f>
        <v>0</v>
      </c>
      <c r="DM224" s="65"/>
      <c r="DN224" s="796"/>
      <c r="DO224" s="71">
        <f t="shared" ref="DO224" si="1235">SUM(DO220:DO223)</f>
        <v>0</v>
      </c>
      <c r="DP224" s="65"/>
      <c r="DQ224" s="796"/>
      <c r="DR224" s="71">
        <f t="shared" ref="DR224" si="1236">SUM(DR220:DR223)</f>
        <v>0</v>
      </c>
      <c r="DS224" s="65"/>
      <c r="DT224" s="84"/>
      <c r="DU224" s="71">
        <f t="shared" ref="DU224" si="1237">SUM(DU220:DU223)</f>
        <v>0</v>
      </c>
      <c r="DV224" s="65"/>
      <c r="DW224" s="84"/>
      <c r="DX224" s="71">
        <f t="shared" ref="DX224" si="1238">SUM(DX220:DX223)</f>
        <v>0</v>
      </c>
      <c r="DY224" s="65"/>
      <c r="DZ224" s="84"/>
      <c r="EA224" s="71">
        <f t="shared" ref="EA224" si="1239">SUM(EA220:EA223)</f>
        <v>0</v>
      </c>
      <c r="EB224" s="65"/>
      <c r="EC224" s="84"/>
      <c r="ED224" s="71">
        <f t="shared" ref="ED224" si="1240">SUM(ED220:ED223)</f>
        <v>0</v>
      </c>
      <c r="EE224" s="65"/>
      <c r="EF224" s="84"/>
      <c r="EG224" s="71">
        <f t="shared" ref="EG224" si="1241">SUM(EG220:EG223)</f>
        <v>0</v>
      </c>
      <c r="EH224" s="65"/>
      <c r="EI224" s="84"/>
      <c r="EJ224" s="71">
        <f t="shared" ref="EJ224" si="1242">SUM(EJ220:EJ223)</f>
        <v>0</v>
      </c>
      <c r="EK224" s="65"/>
      <c r="EL224" s="84"/>
      <c r="EM224" s="71">
        <f t="shared" ref="EM224" si="1243">SUM(EM220:EM223)</f>
        <v>0</v>
      </c>
      <c r="EN224" s="65"/>
      <c r="EO224" s="84"/>
      <c r="EP224" s="71">
        <f t="shared" ref="EP224" si="1244">SUM(EP220:EP223)</f>
        <v>0</v>
      </c>
      <c r="EQ224" s="65"/>
      <c r="ER224" s="84"/>
      <c r="ES224" s="71">
        <f t="shared" ref="ES224" si="1245">SUM(ES220:ES223)</f>
        <v>0</v>
      </c>
      <c r="ET224" s="65"/>
      <c r="EU224" s="84"/>
      <c r="EV224" s="71">
        <f t="shared" ref="EV224" si="1246">SUM(EV220:EV223)</f>
        <v>0</v>
      </c>
      <c r="EW224" s="65"/>
      <c r="EX224" s="84"/>
      <c r="EY224" s="71">
        <f t="shared" ref="EY224" si="1247">SUM(EY220:EY223)</f>
        <v>0</v>
      </c>
      <c r="EZ224" s="65"/>
      <c r="FA224" s="84"/>
      <c r="FB224" s="71">
        <f t="shared" ref="FB224" si="1248">SUM(FB220:FB223)</f>
        <v>0</v>
      </c>
      <c r="FC224" s="65"/>
      <c r="FD224" s="84"/>
      <c r="FE224" s="71">
        <f t="shared" ref="FE224" si="1249">SUM(FE220:FE223)</f>
        <v>0</v>
      </c>
      <c r="FF224" s="65"/>
      <c r="FG224" s="84"/>
      <c r="FH224" s="71">
        <f t="shared" ref="FH224" si="1250">SUM(FH220:FH223)</f>
        <v>0</v>
      </c>
      <c r="FI224" s="65"/>
      <c r="FJ224" s="84"/>
      <c r="FK224" s="71">
        <f t="shared" ref="FK224" si="1251">SUM(FK220:FK223)</f>
        <v>0</v>
      </c>
      <c r="FL224" s="65"/>
      <c r="FM224" s="65"/>
    </row>
    <row r="225" spans="1:169">
      <c r="A225" s="25"/>
      <c r="B225" s="25"/>
      <c r="C225" s="25"/>
      <c r="D225" s="25"/>
      <c r="E225" s="25"/>
      <c r="F225" s="407"/>
      <c r="G225" s="407"/>
      <c r="H225" s="65"/>
      <c r="I225" s="50"/>
      <c r="J225" s="94"/>
      <c r="K225" s="113" t="str">
        <f>Idiomas!D143</f>
        <v>CLASIFICADOS PARA SEMIFINALES</v>
      </c>
      <c r="L225" s="50"/>
      <c r="M225" s="71"/>
      <c r="N225" s="25"/>
      <c r="O225" s="25"/>
      <c r="P225" s="25"/>
      <c r="Q225" s="25"/>
      <c r="R225" s="49"/>
      <c r="S225" s="84"/>
      <c r="T225" s="71"/>
      <c r="U225" s="65"/>
      <c r="V225" s="84"/>
      <c r="W225" s="71"/>
      <c r="X225" s="65"/>
      <c r="Y225" s="84"/>
      <c r="Z225" s="71"/>
      <c r="AA225" s="65"/>
      <c r="AB225" s="84"/>
      <c r="AC225" s="71"/>
      <c r="AD225" s="65"/>
      <c r="AE225" s="84"/>
      <c r="AF225" s="71"/>
      <c r="AG225" s="65"/>
      <c r="AH225" s="84"/>
      <c r="AI225" s="71"/>
      <c r="AJ225" s="65"/>
      <c r="AK225" s="84"/>
      <c r="AL225" s="71"/>
      <c r="AM225" s="65"/>
      <c r="AN225" s="84"/>
      <c r="AO225" s="71"/>
      <c r="AP225" s="65"/>
      <c r="AQ225" s="84"/>
      <c r="AR225" s="71"/>
      <c r="AS225" s="65"/>
      <c r="AT225" s="84"/>
      <c r="AU225" s="71"/>
      <c r="AV225" s="65"/>
      <c r="AW225" s="84"/>
      <c r="AX225" s="71"/>
      <c r="AY225" s="65"/>
      <c r="AZ225" s="84"/>
      <c r="BA225" s="71"/>
      <c r="BB225" s="65"/>
      <c r="BC225" s="84"/>
      <c r="BD225" s="71"/>
      <c r="BE225" s="65"/>
      <c r="BF225" s="84"/>
      <c r="BG225" s="71"/>
      <c r="BH225" s="65"/>
      <c r="BI225" s="84"/>
      <c r="BJ225" s="71"/>
      <c r="BK225" s="65"/>
      <c r="BL225" s="84"/>
      <c r="BM225" s="71"/>
      <c r="BN225" s="65"/>
      <c r="BO225" s="84"/>
      <c r="BP225" s="71"/>
      <c r="BQ225" s="65"/>
      <c r="BR225" s="84"/>
      <c r="BS225" s="71"/>
      <c r="BT225" s="65"/>
      <c r="BU225" s="84"/>
      <c r="BV225" s="71"/>
      <c r="BW225" s="65"/>
      <c r="BX225" s="84"/>
      <c r="BY225" s="71"/>
      <c r="BZ225" s="65"/>
      <c r="CA225" s="84"/>
      <c r="CB225" s="71"/>
      <c r="CC225" s="65"/>
      <c r="CD225" s="84"/>
      <c r="CE225" s="71"/>
      <c r="CF225" s="65"/>
      <c r="CG225" s="84"/>
      <c r="CH225" s="71"/>
      <c r="CI225" s="65"/>
      <c r="CJ225" s="84"/>
      <c r="CK225" s="71"/>
      <c r="CL225" s="65"/>
      <c r="CM225" s="84"/>
      <c r="CN225" s="71"/>
      <c r="CO225" s="65"/>
      <c r="CP225" s="84"/>
      <c r="CQ225" s="71"/>
      <c r="CR225" s="65"/>
      <c r="CS225" s="84"/>
      <c r="CT225" s="71"/>
      <c r="CU225" s="65"/>
      <c r="CV225" s="84"/>
      <c r="CW225" s="71"/>
      <c r="CX225" s="65"/>
      <c r="CY225" s="84"/>
      <c r="CZ225" s="71"/>
      <c r="DA225" s="65"/>
      <c r="DB225" s="84"/>
      <c r="DC225" s="71"/>
      <c r="DD225" s="65"/>
      <c r="DE225" s="84"/>
      <c r="DF225" s="71"/>
      <c r="DG225" s="65"/>
      <c r="DH225" s="84"/>
      <c r="DI225" s="71"/>
      <c r="DJ225" s="65"/>
      <c r="DK225" s="84"/>
      <c r="DL225" s="71"/>
      <c r="DM225" s="65"/>
      <c r="DN225" s="796"/>
      <c r="DO225" s="71"/>
      <c r="DP225" s="65"/>
      <c r="DQ225" s="796"/>
      <c r="DR225" s="71"/>
      <c r="DS225" s="65"/>
      <c r="DT225" s="84"/>
      <c r="DU225" s="71"/>
      <c r="DV225" s="65"/>
      <c r="DW225" s="84"/>
      <c r="DX225" s="71"/>
      <c r="DY225" s="65"/>
      <c r="DZ225" s="84"/>
      <c r="EA225" s="71"/>
      <c r="EB225" s="65"/>
      <c r="EC225" s="84"/>
      <c r="ED225" s="71"/>
      <c r="EE225" s="65"/>
      <c r="EF225" s="84"/>
      <c r="EG225" s="71"/>
      <c r="EH225" s="65"/>
      <c r="EI225" s="84"/>
      <c r="EJ225" s="71"/>
      <c r="EK225" s="65"/>
      <c r="EL225" s="84"/>
      <c r="EM225" s="71"/>
      <c r="EN225" s="65"/>
      <c r="EO225" s="84"/>
      <c r="EP225" s="71"/>
      <c r="EQ225" s="65"/>
      <c r="ER225" s="84"/>
      <c r="ES225" s="71"/>
      <c r="ET225" s="65"/>
      <c r="EU225" s="84"/>
      <c r="EV225" s="71"/>
      <c r="EW225" s="65"/>
      <c r="EX225" s="84"/>
      <c r="EY225" s="71"/>
      <c r="EZ225" s="65"/>
      <c r="FA225" s="84"/>
      <c r="FB225" s="71"/>
      <c r="FC225" s="65"/>
      <c r="FD225" s="84"/>
      <c r="FE225" s="71"/>
      <c r="FF225" s="65"/>
      <c r="FG225" s="84"/>
      <c r="FH225" s="71"/>
      <c r="FI225" s="65"/>
      <c r="FJ225" s="84"/>
      <c r="FK225" s="71"/>
      <c r="FL225" s="65"/>
      <c r="FM225" s="65"/>
    </row>
    <row r="226" spans="1:169">
      <c r="A226" s="25"/>
      <c r="B226" s="25"/>
      <c r="C226" s="25"/>
      <c r="D226" s="25"/>
      <c r="E226" s="25"/>
      <c r="F226" s="407">
        <f>$D$27</f>
        <v>5</v>
      </c>
      <c r="G226" s="407">
        <f ca="1">VLOOKUP(H226,Equipos!$Q$1:$R$25,2,0)</f>
        <v>22</v>
      </c>
      <c r="H226" s="65" t="str">
        <f>Idiomas!$D$262</f>
        <v>Cuartos de final</v>
      </c>
      <c r="I226" s="50"/>
      <c r="J226" s="849" t="s">
        <v>35</v>
      </c>
      <c r="K226" s="53" t="str">
        <f>Idiomas!$D$201&amp;"-"&amp;ROWS($L$226:L226)</f>
        <v>Semifinalista-1</v>
      </c>
      <c r="L226" s="53"/>
      <c r="M226" s="55" t="str">
        <f>WORLDCUP!AA138</f>
        <v>W97</v>
      </c>
      <c r="N226" s="25"/>
      <c r="O226" s="25"/>
      <c r="P226" s="25"/>
      <c r="Q226" s="25"/>
      <c r="R226" s="110"/>
      <c r="S226" s="76" t="s">
        <v>77</v>
      </c>
      <c r="T226" s="77">
        <f>COUNTIF($M$226:$M$229,S226)*$D$27</f>
        <v>0</v>
      </c>
      <c r="U226" s="64"/>
      <c r="V226" s="76" t="s">
        <v>74</v>
      </c>
      <c r="W226" s="77">
        <f t="shared" ref="W226" si="1252">COUNTIF($M$226:$M$229,V226)*$D$27</f>
        <v>0</v>
      </c>
      <c r="X226" s="64"/>
      <c r="Y226" s="76" t="s">
        <v>74</v>
      </c>
      <c r="Z226" s="77">
        <f t="shared" ref="Z226" si="1253">COUNTIF($M$226:$M$229,Y226)*$D$27</f>
        <v>0</v>
      </c>
      <c r="AA226" s="64"/>
      <c r="AB226" s="76" t="s">
        <v>74</v>
      </c>
      <c r="AC226" s="77">
        <f t="shared" ref="AC226" si="1254">COUNTIF($M$226:$M$229,AB226)*$D$27</f>
        <v>0</v>
      </c>
      <c r="AD226" s="64"/>
      <c r="AE226" s="76" t="s">
        <v>74</v>
      </c>
      <c r="AF226" s="77">
        <f t="shared" ref="AF226" si="1255">COUNTIF($M$226:$M$229,AE226)*$D$27</f>
        <v>0</v>
      </c>
      <c r="AG226" s="64"/>
      <c r="AH226" s="76" t="s">
        <v>74</v>
      </c>
      <c r="AI226" s="77">
        <f t="shared" ref="AI226" si="1256">COUNTIF($M$226:$M$229,AH226)*$D$27</f>
        <v>0</v>
      </c>
      <c r="AJ226" s="64"/>
      <c r="AK226" s="76" t="s">
        <v>111</v>
      </c>
      <c r="AL226" s="77">
        <f t="shared" ref="AL226" si="1257">COUNTIF($M$226:$M$229,AK226)*$D$27</f>
        <v>0</v>
      </c>
      <c r="AM226" s="64"/>
      <c r="AN226" s="76" t="s">
        <v>111</v>
      </c>
      <c r="AO226" s="77">
        <f t="shared" ref="AO226" si="1258">COUNTIF($M$226:$M$229,AN226)*$D$27</f>
        <v>0</v>
      </c>
      <c r="AP226" s="64"/>
      <c r="AQ226" s="76" t="s">
        <v>74</v>
      </c>
      <c r="AR226" s="77">
        <f t="shared" ref="AR226" si="1259">COUNTIF($M$226:$M$229,AQ226)*$D$27</f>
        <v>0</v>
      </c>
      <c r="AS226" s="64"/>
      <c r="AT226" s="76" t="s">
        <v>74</v>
      </c>
      <c r="AU226" s="77">
        <f t="shared" ref="AU226" si="1260">COUNTIF($M$226:$M$229,AT226)*$D$27</f>
        <v>0</v>
      </c>
      <c r="AV226" s="64"/>
      <c r="AW226" s="76" t="s">
        <v>74</v>
      </c>
      <c r="AX226" s="77">
        <f t="shared" ref="AX226" si="1261">COUNTIF($M$226:$M$229,AW226)*$D$27</f>
        <v>0</v>
      </c>
      <c r="AY226" s="64"/>
      <c r="AZ226" s="76" t="s">
        <v>74</v>
      </c>
      <c r="BA226" s="77">
        <f t="shared" ref="BA226" si="1262">COUNTIF($M$226:$M$229,AZ226)*$D$27</f>
        <v>0</v>
      </c>
      <c r="BB226" s="64"/>
      <c r="BC226" s="76" t="s">
        <v>74</v>
      </c>
      <c r="BD226" s="77">
        <f t="shared" ref="BD226" si="1263">COUNTIF($M$226:$M$229,BC226)*$D$27</f>
        <v>0</v>
      </c>
      <c r="BE226" s="64"/>
      <c r="BF226" s="76" t="s">
        <v>74</v>
      </c>
      <c r="BG226" s="77">
        <f t="shared" ref="BG226" si="1264">COUNTIF($M$226:$M$229,BF226)*$D$27</f>
        <v>0</v>
      </c>
      <c r="BH226" s="64"/>
      <c r="BI226" s="76" t="s">
        <v>74</v>
      </c>
      <c r="BJ226" s="77">
        <f t="shared" ref="BJ226" si="1265">COUNTIF($M$226:$M$229,BI226)*$D$27</f>
        <v>0</v>
      </c>
      <c r="BK226" s="64"/>
      <c r="BL226" s="76" t="s">
        <v>74</v>
      </c>
      <c r="BM226" s="77">
        <f t="shared" ref="BM226" si="1266">COUNTIF($M$226:$M$229,BL226)*$D$27</f>
        <v>0</v>
      </c>
      <c r="BN226" s="64"/>
      <c r="BO226" s="76" t="s">
        <v>74</v>
      </c>
      <c r="BP226" s="77">
        <f t="shared" ref="BP226" si="1267">COUNTIF($M$226:$M$229,BO226)*$D$27</f>
        <v>0</v>
      </c>
      <c r="BQ226" s="64"/>
      <c r="BR226" s="76" t="s">
        <v>74</v>
      </c>
      <c r="BS226" s="77">
        <f t="shared" ref="BS226" si="1268">COUNTIF($M$226:$M$229,BR226)*$D$27</f>
        <v>0</v>
      </c>
      <c r="BT226" s="64"/>
      <c r="BU226" s="76" t="s">
        <v>74</v>
      </c>
      <c r="BV226" s="77">
        <f t="shared" ref="BV226" si="1269">COUNTIF($M$226:$M$229,BU226)*$D$27</f>
        <v>0</v>
      </c>
      <c r="BW226" s="64"/>
      <c r="BX226" s="76" t="s">
        <v>74</v>
      </c>
      <c r="BY226" s="77">
        <f t="shared" ref="BY226" si="1270">COUNTIF($M$226:$M$229,BX226)*$D$27</f>
        <v>0</v>
      </c>
      <c r="BZ226" s="64"/>
      <c r="CA226" s="76" t="s">
        <v>77</v>
      </c>
      <c r="CB226" s="77">
        <f t="shared" ref="CB226" si="1271">COUNTIF($M$226:$M$229,CA226)*$D$27</f>
        <v>0</v>
      </c>
      <c r="CC226" s="64"/>
      <c r="CD226" s="76" t="s">
        <v>74</v>
      </c>
      <c r="CE226" s="77">
        <f t="shared" ref="CE226" si="1272">COUNTIF($M$226:$M$229,CD226)*$D$27</f>
        <v>0</v>
      </c>
      <c r="CF226" s="64"/>
      <c r="CG226" s="76" t="s">
        <v>74</v>
      </c>
      <c r="CH226" s="77">
        <f t="shared" ref="CH226" si="1273">COUNTIF($M$226:$M$229,CG226)*$D$27</f>
        <v>0</v>
      </c>
      <c r="CI226" s="64"/>
      <c r="CJ226" s="76" t="s">
        <v>74</v>
      </c>
      <c r="CK226" s="77">
        <f t="shared" ref="CK226" si="1274">COUNTIF($M$226:$M$229,CJ226)*$D$27</f>
        <v>0</v>
      </c>
      <c r="CL226" s="64"/>
      <c r="CM226" s="76" t="s">
        <v>74</v>
      </c>
      <c r="CN226" s="77">
        <f t="shared" ref="CN226" si="1275">COUNTIF($M$226:$M$229,CM226)*$D$27</f>
        <v>0</v>
      </c>
      <c r="CO226" s="64"/>
      <c r="CP226" s="76" t="s">
        <v>74</v>
      </c>
      <c r="CQ226" s="77">
        <f t="shared" ref="CQ226" si="1276">COUNTIF($M$226:$M$229,CP226)*$D$27</f>
        <v>0</v>
      </c>
      <c r="CR226" s="64"/>
      <c r="CS226" s="76" t="s">
        <v>74</v>
      </c>
      <c r="CT226" s="77">
        <f t="shared" ref="CT226" si="1277">COUNTIF($M$226:$M$229,CS226)*$D$27</f>
        <v>0</v>
      </c>
      <c r="CU226" s="64"/>
      <c r="CV226" s="76" t="s">
        <v>74</v>
      </c>
      <c r="CW226" s="77">
        <f t="shared" ref="CW226" si="1278">COUNTIF($M$226:$M$229,CV226)*$D$27</f>
        <v>0</v>
      </c>
      <c r="CX226" s="64"/>
      <c r="CY226" s="76" t="s">
        <v>74</v>
      </c>
      <c r="CZ226" s="77">
        <f t="shared" ref="CZ226" si="1279">COUNTIF($M$226:$M$229,CY226)*$D$27</f>
        <v>0</v>
      </c>
      <c r="DA226" s="64"/>
      <c r="DB226" s="76" t="s">
        <v>74</v>
      </c>
      <c r="DC226" s="77">
        <f t="shared" ref="DC226" si="1280">COUNTIF($M$226:$M$229,DB226)*$D$27</f>
        <v>0</v>
      </c>
      <c r="DD226" s="64"/>
      <c r="DE226" s="76" t="s">
        <v>77</v>
      </c>
      <c r="DF226" s="77">
        <f t="shared" ref="DF226" si="1281">COUNTIF($M$226:$M$229,DE226)*$D$27</f>
        <v>0</v>
      </c>
      <c r="DG226" s="64"/>
      <c r="DH226" s="76" t="s">
        <v>74</v>
      </c>
      <c r="DI226" s="77">
        <f t="shared" ref="DI226" si="1282">COUNTIF($M$226:$M$229,DH226)*$D$27</f>
        <v>0</v>
      </c>
      <c r="DJ226" s="64"/>
      <c r="DK226" s="76" t="s">
        <v>74</v>
      </c>
      <c r="DL226" s="77">
        <f t="shared" ref="DL226" si="1283">COUNTIF($M$226:$M$229,DK226)*$D$27</f>
        <v>0</v>
      </c>
      <c r="DM226" s="64"/>
      <c r="DN226" s="795" t="s">
        <v>74</v>
      </c>
      <c r="DO226" s="77">
        <f t="shared" ref="DO226" si="1284">COUNTIF($M$226:$M$229,DN226)*$D$27</f>
        <v>0</v>
      </c>
      <c r="DP226" s="64"/>
      <c r="DQ226" s="795" t="s">
        <v>1258</v>
      </c>
      <c r="DR226" s="77">
        <f t="shared" ref="DR226" si="1285">COUNTIF($M$226:$M$229,DQ226)*$D$27</f>
        <v>0</v>
      </c>
      <c r="DS226" s="64"/>
      <c r="DT226" s="76" t="s">
        <v>77</v>
      </c>
      <c r="DU226" s="77">
        <f t="shared" ref="DU226" si="1286">COUNTIF($M$226:$M$229,DT226)*$D$27</f>
        <v>0</v>
      </c>
      <c r="DV226" s="64"/>
      <c r="DW226" s="76" t="s">
        <v>74</v>
      </c>
      <c r="DX226" s="77">
        <f t="shared" ref="DX226" si="1287">COUNTIF($M$226:$M$229,DW226)*$D$27</f>
        <v>0</v>
      </c>
      <c r="DY226" s="64"/>
      <c r="DZ226" s="76" t="s">
        <v>77</v>
      </c>
      <c r="EA226" s="77">
        <f t="shared" ref="EA226" si="1288">COUNTIF($M$226:$M$229,DZ226)*$D$27</f>
        <v>0</v>
      </c>
      <c r="EB226" s="64"/>
      <c r="EC226" s="76" t="s">
        <v>77</v>
      </c>
      <c r="ED226" s="77">
        <f t="shared" ref="ED226" si="1289">COUNTIF($M$226:$M$229,EC226)*$D$27</f>
        <v>0</v>
      </c>
      <c r="EE226" s="64"/>
      <c r="EF226" s="76" t="s">
        <v>77</v>
      </c>
      <c r="EG226" s="77">
        <f t="shared" ref="EG226" si="1290">COUNTIF($M$226:$M$229,EF226)*$D$27</f>
        <v>0</v>
      </c>
      <c r="EH226" s="64"/>
      <c r="EI226" s="76" t="s">
        <v>74</v>
      </c>
      <c r="EJ226" s="77">
        <f t="shared" ref="EJ226" si="1291">COUNTIF($M$226:$M$229,EI226)*$D$27</f>
        <v>0</v>
      </c>
      <c r="EK226" s="64"/>
      <c r="EL226" s="76"/>
      <c r="EM226" s="77">
        <f t="shared" ref="EM226" si="1292">COUNTIF($M$226:$M$229,EL226)*$D$27</f>
        <v>0</v>
      </c>
      <c r="EN226" s="64"/>
      <c r="EO226" s="76"/>
      <c r="EP226" s="77">
        <f t="shared" ref="EP226" si="1293">COUNTIF($M$226:$M$229,EO226)*$D$27</f>
        <v>0</v>
      </c>
      <c r="EQ226" s="64"/>
      <c r="ER226" s="76"/>
      <c r="ES226" s="77">
        <f t="shared" ref="ES226" si="1294">COUNTIF($M$226:$M$229,ER226)*$D$27</f>
        <v>0</v>
      </c>
      <c r="ET226" s="64"/>
      <c r="EU226" s="76"/>
      <c r="EV226" s="77">
        <f t="shared" ref="EV226" si="1295">COUNTIF($M$226:$M$229,EU226)*$D$27</f>
        <v>0</v>
      </c>
      <c r="EW226" s="64"/>
      <c r="EX226" s="76"/>
      <c r="EY226" s="77">
        <f t="shared" ref="EY226" si="1296">COUNTIF($M$226:$M$229,EX226)*$D$27</f>
        <v>0</v>
      </c>
      <c r="EZ226" s="64"/>
      <c r="FA226" s="76"/>
      <c r="FB226" s="77">
        <f t="shared" ref="FB226" si="1297">COUNTIF($M$226:$M$229,FA226)*$D$27</f>
        <v>0</v>
      </c>
      <c r="FC226" s="64"/>
      <c r="FD226" s="76"/>
      <c r="FE226" s="77">
        <f t="shared" ref="FE226" si="1298">COUNTIF($M$226:$M$229,FD226)*$D$27</f>
        <v>0</v>
      </c>
      <c r="FF226" s="64"/>
      <c r="FG226" s="76"/>
      <c r="FH226" s="77">
        <f t="shared" ref="FH226" si="1299">COUNTIF($M$226:$M$229,FG226)*$D$27</f>
        <v>0</v>
      </c>
      <c r="FI226" s="64"/>
      <c r="FJ226" s="76"/>
      <c r="FK226" s="77">
        <f t="shared" ref="FK226" si="1300">COUNTIF($M$226:$M$229,FJ226)*$D$27</f>
        <v>0</v>
      </c>
      <c r="FL226" s="64"/>
      <c r="FM226" s="64"/>
    </row>
    <row r="227" spans="1:169">
      <c r="A227" s="25"/>
      <c r="B227" s="25"/>
      <c r="C227" s="25"/>
      <c r="D227" s="25"/>
      <c r="E227" s="25"/>
      <c r="F227" s="407">
        <f t="shared" ref="F227:F229" si="1301">$D$27</f>
        <v>5</v>
      </c>
      <c r="G227" s="407">
        <f ca="1">VLOOKUP(H227,Equipos!$Q$1:$R$25,2,0)</f>
        <v>22</v>
      </c>
      <c r="H227" s="65" t="str">
        <f>Idiomas!$D$262</f>
        <v>Cuartos de final</v>
      </c>
      <c r="I227" s="50"/>
      <c r="J227" s="849"/>
      <c r="K227" s="56" t="str">
        <f>Idiomas!$D$201&amp;"-"&amp;ROWS($L$226:L227)</f>
        <v>Semifinalista-2</v>
      </c>
      <c r="L227" s="53"/>
      <c r="M227" s="55" t="str">
        <f>WORLDCUP!AA139</f>
        <v>W99</v>
      </c>
      <c r="N227" s="25"/>
      <c r="O227" s="25"/>
      <c r="P227" s="25"/>
      <c r="Q227" s="25"/>
      <c r="R227" s="110"/>
      <c r="S227" s="74" t="s">
        <v>76</v>
      </c>
      <c r="T227" s="73">
        <f>COUNTIF($M$226:$M$229,S227)*$D$27</f>
        <v>0</v>
      </c>
      <c r="U227" s="64"/>
      <c r="V227" s="74" t="s">
        <v>76</v>
      </c>
      <c r="W227" s="73">
        <f t="shared" ref="W227" si="1302">COUNTIF($M$226:$M$229,V227)*$D$27</f>
        <v>0</v>
      </c>
      <c r="X227" s="64"/>
      <c r="Y227" s="74" t="s">
        <v>1258</v>
      </c>
      <c r="Z227" s="73">
        <f t="shared" ref="Z227" si="1303">COUNTIF($M$226:$M$229,Y227)*$D$27</f>
        <v>0</v>
      </c>
      <c r="AA227" s="64"/>
      <c r="AB227" s="74" t="s">
        <v>76</v>
      </c>
      <c r="AC227" s="73">
        <f t="shared" ref="AC227" si="1304">COUNTIF($M$226:$M$229,AB227)*$D$27</f>
        <v>0</v>
      </c>
      <c r="AD227" s="64"/>
      <c r="AE227" s="74" t="s">
        <v>1258</v>
      </c>
      <c r="AF227" s="73">
        <f t="shared" ref="AF227" si="1305">COUNTIF($M$226:$M$229,AE227)*$D$27</f>
        <v>0</v>
      </c>
      <c r="AG227" s="64"/>
      <c r="AH227" s="74" t="s">
        <v>1321</v>
      </c>
      <c r="AI227" s="73">
        <f t="shared" ref="AI227" si="1306">COUNTIF($M$226:$M$229,AH227)*$D$27</f>
        <v>0</v>
      </c>
      <c r="AJ227" s="64"/>
      <c r="AK227" s="74" t="s">
        <v>76</v>
      </c>
      <c r="AL227" s="73">
        <f t="shared" ref="AL227" si="1307">COUNTIF($M$226:$M$229,AK227)*$D$27</f>
        <v>0</v>
      </c>
      <c r="AM227" s="64"/>
      <c r="AN227" s="74" t="s">
        <v>76</v>
      </c>
      <c r="AO227" s="73">
        <f t="shared" ref="AO227" si="1308">COUNTIF($M$226:$M$229,AN227)*$D$27</f>
        <v>0</v>
      </c>
      <c r="AP227" s="64"/>
      <c r="AQ227" s="74" t="s">
        <v>76</v>
      </c>
      <c r="AR227" s="73">
        <f t="shared" ref="AR227" si="1309">COUNTIF($M$226:$M$229,AQ227)*$D$27</f>
        <v>0</v>
      </c>
      <c r="AS227" s="64"/>
      <c r="AT227" s="74" t="s">
        <v>76</v>
      </c>
      <c r="AU227" s="73">
        <f t="shared" ref="AU227" si="1310">COUNTIF($M$226:$M$229,AT227)*$D$27</f>
        <v>0</v>
      </c>
      <c r="AV227" s="64"/>
      <c r="AW227" s="74" t="s">
        <v>1258</v>
      </c>
      <c r="AX227" s="73">
        <f t="shared" ref="AX227" si="1311">COUNTIF($M$226:$M$229,AW227)*$D$27</f>
        <v>0</v>
      </c>
      <c r="AY227" s="64"/>
      <c r="AZ227" s="74" t="s">
        <v>1258</v>
      </c>
      <c r="BA227" s="73">
        <f t="shared" ref="BA227" si="1312">COUNTIF($M$226:$M$229,AZ227)*$D$27</f>
        <v>0</v>
      </c>
      <c r="BB227" s="64"/>
      <c r="BC227" s="74" t="s">
        <v>1258</v>
      </c>
      <c r="BD227" s="73">
        <f t="shared" ref="BD227" si="1313">COUNTIF($M$226:$M$229,BC227)*$D$27</f>
        <v>0</v>
      </c>
      <c r="BE227" s="64"/>
      <c r="BF227" s="74" t="s">
        <v>76</v>
      </c>
      <c r="BG227" s="73">
        <f t="shared" ref="BG227" si="1314">COUNTIF($M$226:$M$229,BF227)*$D$27</f>
        <v>0</v>
      </c>
      <c r="BH227" s="64"/>
      <c r="BI227" s="74" t="s">
        <v>1258</v>
      </c>
      <c r="BJ227" s="73">
        <f t="shared" ref="BJ227" si="1315">COUNTIF($M$226:$M$229,BI227)*$D$27</f>
        <v>0</v>
      </c>
      <c r="BK227" s="64"/>
      <c r="BL227" s="74" t="s">
        <v>76</v>
      </c>
      <c r="BM227" s="73">
        <f t="shared" ref="BM227" si="1316">COUNTIF($M$226:$M$229,BL227)*$D$27</f>
        <v>0</v>
      </c>
      <c r="BN227" s="64"/>
      <c r="BO227" s="74" t="s">
        <v>76</v>
      </c>
      <c r="BP227" s="73">
        <f t="shared" ref="BP227" si="1317">COUNTIF($M$226:$M$229,BO227)*$D$27</f>
        <v>0</v>
      </c>
      <c r="BQ227" s="64"/>
      <c r="BR227" s="74" t="s">
        <v>1258</v>
      </c>
      <c r="BS227" s="73">
        <f t="shared" ref="BS227" si="1318">COUNTIF($M$226:$M$229,BR227)*$D$27</f>
        <v>0</v>
      </c>
      <c r="BT227" s="64"/>
      <c r="BU227" s="74" t="s">
        <v>1258</v>
      </c>
      <c r="BV227" s="73">
        <f t="shared" ref="BV227" si="1319">COUNTIF($M$226:$M$229,BU227)*$D$27</f>
        <v>0</v>
      </c>
      <c r="BW227" s="64"/>
      <c r="BX227" s="74" t="s">
        <v>76</v>
      </c>
      <c r="BY227" s="73">
        <f t="shared" ref="BY227" si="1320">COUNTIF($M$226:$M$229,BX227)*$D$27</f>
        <v>0</v>
      </c>
      <c r="BZ227" s="64"/>
      <c r="CA227" s="74" t="s">
        <v>76</v>
      </c>
      <c r="CB227" s="73">
        <f t="shared" ref="CB227" si="1321">COUNTIF($M$226:$M$229,CA227)*$D$27</f>
        <v>0</v>
      </c>
      <c r="CC227" s="64"/>
      <c r="CD227" s="74" t="s">
        <v>1258</v>
      </c>
      <c r="CE227" s="73">
        <f t="shared" ref="CE227" si="1322">COUNTIF($M$226:$M$229,CD227)*$D$27</f>
        <v>0</v>
      </c>
      <c r="CF227" s="64"/>
      <c r="CG227" s="74" t="s">
        <v>1258</v>
      </c>
      <c r="CH227" s="73">
        <f t="shared" ref="CH227" si="1323">COUNTIF($M$226:$M$229,CG227)*$D$27</f>
        <v>0</v>
      </c>
      <c r="CI227" s="64"/>
      <c r="CJ227" s="74" t="s">
        <v>76</v>
      </c>
      <c r="CK227" s="73">
        <f t="shared" ref="CK227" si="1324">COUNTIF($M$226:$M$229,CJ227)*$D$27</f>
        <v>0</v>
      </c>
      <c r="CL227" s="64"/>
      <c r="CM227" s="74" t="s">
        <v>135</v>
      </c>
      <c r="CN227" s="73">
        <f t="shared" ref="CN227" si="1325">COUNTIF($M$226:$M$229,CM227)*$D$27</f>
        <v>0</v>
      </c>
      <c r="CO227" s="64"/>
      <c r="CP227" s="74" t="s">
        <v>1258</v>
      </c>
      <c r="CQ227" s="73">
        <f t="shared" ref="CQ227" si="1326">COUNTIF($M$226:$M$229,CP227)*$D$27</f>
        <v>0</v>
      </c>
      <c r="CR227" s="64"/>
      <c r="CS227" s="74" t="s">
        <v>1258</v>
      </c>
      <c r="CT227" s="73">
        <f t="shared" ref="CT227" si="1327">COUNTIF($M$226:$M$229,CS227)*$D$27</f>
        <v>0</v>
      </c>
      <c r="CU227" s="64"/>
      <c r="CV227" s="74" t="s">
        <v>1258</v>
      </c>
      <c r="CW227" s="73">
        <f t="shared" ref="CW227" si="1328">COUNTIF($M$226:$M$229,CV227)*$D$27</f>
        <v>0</v>
      </c>
      <c r="CX227" s="64"/>
      <c r="CY227" s="74" t="s">
        <v>76</v>
      </c>
      <c r="CZ227" s="73">
        <f t="shared" ref="CZ227" si="1329">COUNTIF($M$226:$M$229,CY227)*$D$27</f>
        <v>0</v>
      </c>
      <c r="DA227" s="64"/>
      <c r="DB227" s="74" t="s">
        <v>1258</v>
      </c>
      <c r="DC227" s="73">
        <f t="shared" ref="DC227" si="1330">COUNTIF($M$226:$M$229,DB227)*$D$27</f>
        <v>0</v>
      </c>
      <c r="DD227" s="64"/>
      <c r="DE227" s="74" t="s">
        <v>1258</v>
      </c>
      <c r="DF227" s="73">
        <f t="shared" ref="DF227" si="1331">COUNTIF($M$226:$M$229,DE227)*$D$27</f>
        <v>0</v>
      </c>
      <c r="DG227" s="64"/>
      <c r="DH227" s="74" t="s">
        <v>1258</v>
      </c>
      <c r="DI227" s="73">
        <f t="shared" ref="DI227" si="1332">COUNTIF($M$226:$M$229,DH227)*$D$27</f>
        <v>0</v>
      </c>
      <c r="DJ227" s="64"/>
      <c r="DK227" s="74" t="s">
        <v>1261</v>
      </c>
      <c r="DL227" s="73">
        <f t="shared" ref="DL227" si="1333">COUNTIF($M$226:$M$229,DK227)*$D$27</f>
        <v>0</v>
      </c>
      <c r="DM227" s="64"/>
      <c r="DN227" s="795" t="s">
        <v>1258</v>
      </c>
      <c r="DO227" s="73">
        <f t="shared" ref="DO227" si="1334">COUNTIF($M$226:$M$229,DN227)*$D$27</f>
        <v>0</v>
      </c>
      <c r="DP227" s="64"/>
      <c r="DQ227" s="795" t="s">
        <v>111</v>
      </c>
      <c r="DR227" s="73">
        <f t="shared" ref="DR227" si="1335">COUNTIF($M$226:$M$229,DQ227)*$D$27</f>
        <v>0</v>
      </c>
      <c r="DS227" s="64"/>
      <c r="DT227" s="74" t="s">
        <v>1258</v>
      </c>
      <c r="DU227" s="73">
        <f t="shared" ref="DU227" si="1336">COUNTIF($M$226:$M$229,DT227)*$D$27</f>
        <v>0</v>
      </c>
      <c r="DV227" s="64"/>
      <c r="DW227" s="74" t="s">
        <v>76</v>
      </c>
      <c r="DX227" s="73">
        <f t="shared" ref="DX227" si="1337">COUNTIF($M$226:$M$229,DW227)*$D$27</f>
        <v>0</v>
      </c>
      <c r="DY227" s="64"/>
      <c r="DZ227" s="74" t="s">
        <v>1258</v>
      </c>
      <c r="EA227" s="73">
        <f t="shared" ref="EA227" si="1338">COUNTIF($M$226:$M$229,DZ227)*$D$27</f>
        <v>0</v>
      </c>
      <c r="EB227" s="64"/>
      <c r="EC227" s="74" t="s">
        <v>1258</v>
      </c>
      <c r="ED227" s="73">
        <f t="shared" ref="ED227" si="1339">COUNTIF($M$226:$M$229,EC227)*$D$27</f>
        <v>0</v>
      </c>
      <c r="EE227" s="64"/>
      <c r="EF227" s="74" t="s">
        <v>76</v>
      </c>
      <c r="EG227" s="73">
        <f t="shared" ref="EG227" si="1340">COUNTIF($M$226:$M$229,EF227)*$D$27</f>
        <v>0</v>
      </c>
      <c r="EH227" s="64"/>
      <c r="EI227" s="74" t="s">
        <v>76</v>
      </c>
      <c r="EJ227" s="73">
        <f t="shared" ref="EJ227" si="1341">COUNTIF($M$226:$M$229,EI227)*$D$27</f>
        <v>0</v>
      </c>
      <c r="EK227" s="64"/>
      <c r="EL227" s="74"/>
      <c r="EM227" s="73">
        <f t="shared" ref="EM227" si="1342">COUNTIF($M$226:$M$229,EL227)*$D$27</f>
        <v>0</v>
      </c>
      <c r="EN227" s="64"/>
      <c r="EO227" s="74"/>
      <c r="EP227" s="73">
        <f t="shared" ref="EP227" si="1343">COUNTIF($M$226:$M$229,EO227)*$D$27</f>
        <v>0</v>
      </c>
      <c r="EQ227" s="64"/>
      <c r="ER227" s="74"/>
      <c r="ES227" s="73">
        <f t="shared" ref="ES227" si="1344">COUNTIF($M$226:$M$229,ER227)*$D$27</f>
        <v>0</v>
      </c>
      <c r="ET227" s="64"/>
      <c r="EU227" s="74"/>
      <c r="EV227" s="73">
        <f t="shared" ref="EV227" si="1345">COUNTIF($M$226:$M$229,EU227)*$D$27</f>
        <v>0</v>
      </c>
      <c r="EW227" s="64"/>
      <c r="EX227" s="74"/>
      <c r="EY227" s="73">
        <f t="shared" ref="EY227" si="1346">COUNTIF($M$226:$M$229,EX227)*$D$27</f>
        <v>0</v>
      </c>
      <c r="EZ227" s="64"/>
      <c r="FA227" s="74"/>
      <c r="FB227" s="73">
        <f t="shared" ref="FB227" si="1347">COUNTIF($M$226:$M$229,FA227)*$D$27</f>
        <v>0</v>
      </c>
      <c r="FC227" s="64"/>
      <c r="FD227" s="74"/>
      <c r="FE227" s="73">
        <f t="shared" ref="FE227" si="1348">COUNTIF($M$226:$M$229,FD227)*$D$27</f>
        <v>0</v>
      </c>
      <c r="FF227" s="64"/>
      <c r="FG227" s="74"/>
      <c r="FH227" s="73">
        <f t="shared" ref="FH227" si="1349">COUNTIF($M$226:$M$229,FG227)*$D$27</f>
        <v>0</v>
      </c>
      <c r="FI227" s="64"/>
      <c r="FJ227" s="74"/>
      <c r="FK227" s="73">
        <f t="shared" ref="FK227" si="1350">COUNTIF($M$226:$M$229,FJ227)*$D$27</f>
        <v>0</v>
      </c>
      <c r="FL227" s="64"/>
      <c r="FM227" s="64"/>
    </row>
    <row r="228" spans="1:169">
      <c r="A228" s="25"/>
      <c r="B228" s="25"/>
      <c r="C228" s="25"/>
      <c r="D228" s="25"/>
      <c r="E228" s="25"/>
      <c r="F228" s="407">
        <f t="shared" si="1301"/>
        <v>5</v>
      </c>
      <c r="G228" s="407">
        <f ca="1">VLOOKUP(H228,Equipos!$Q$1:$R$25,2,0)</f>
        <v>22</v>
      </c>
      <c r="H228" s="65" t="str">
        <f>Idiomas!$D$262</f>
        <v>Cuartos de final</v>
      </c>
      <c r="I228" s="50"/>
      <c r="J228" s="849"/>
      <c r="K228" s="56" t="str">
        <f>Idiomas!$D$201&amp;"-"&amp;ROWS($L$226:L228)</f>
        <v>Semifinalista-3</v>
      </c>
      <c r="L228" s="53"/>
      <c r="M228" s="55" t="str">
        <f>WORLDCUP!AF138</f>
        <v>W98</v>
      </c>
      <c r="N228" s="25"/>
      <c r="O228" s="25"/>
      <c r="P228" s="25"/>
      <c r="Q228" s="25"/>
      <c r="R228" s="110"/>
      <c r="S228" s="74" t="s">
        <v>38</v>
      </c>
      <c r="T228" s="73">
        <f>COUNTIF($M$226:$M$229,S228)*$D$27</f>
        <v>0</v>
      </c>
      <c r="U228" s="64"/>
      <c r="V228" s="74" t="s">
        <v>38</v>
      </c>
      <c r="W228" s="73">
        <f t="shared" ref="W228" si="1351">COUNTIF($M$226:$M$229,V228)*$D$27</f>
        <v>0</v>
      </c>
      <c r="X228" s="64"/>
      <c r="Y228" s="74" t="s">
        <v>38</v>
      </c>
      <c r="Z228" s="73">
        <f t="shared" ref="Z228" si="1352">COUNTIF($M$226:$M$229,Y228)*$D$27</f>
        <v>0</v>
      </c>
      <c r="AA228" s="64"/>
      <c r="AB228" s="74" t="s">
        <v>38</v>
      </c>
      <c r="AC228" s="73">
        <f t="shared" ref="AC228" si="1353">COUNTIF($M$226:$M$229,AB228)*$D$27</f>
        <v>0</v>
      </c>
      <c r="AD228" s="64"/>
      <c r="AE228" s="74" t="s">
        <v>38</v>
      </c>
      <c r="AF228" s="73">
        <f t="shared" ref="AF228" si="1354">COUNTIF($M$226:$M$229,AE228)*$D$27</f>
        <v>0</v>
      </c>
      <c r="AG228" s="64"/>
      <c r="AH228" s="74" t="s">
        <v>38</v>
      </c>
      <c r="AI228" s="73">
        <f t="shared" ref="AI228" si="1355">COUNTIF($M$226:$M$229,AH228)*$D$27</f>
        <v>0</v>
      </c>
      <c r="AJ228" s="64"/>
      <c r="AK228" s="74" t="s">
        <v>38</v>
      </c>
      <c r="AL228" s="73">
        <f t="shared" ref="AL228" si="1356">COUNTIF($M$226:$M$229,AK228)*$D$27</f>
        <v>0</v>
      </c>
      <c r="AM228" s="64"/>
      <c r="AN228" s="74" t="s">
        <v>1320</v>
      </c>
      <c r="AO228" s="73">
        <f t="shared" ref="AO228" si="1357">COUNTIF($M$226:$M$229,AN228)*$D$27</f>
        <v>0</v>
      </c>
      <c r="AP228" s="64"/>
      <c r="AQ228" s="74" t="s">
        <v>38</v>
      </c>
      <c r="AR228" s="73">
        <f t="shared" ref="AR228" si="1358">COUNTIF($M$226:$M$229,AQ228)*$D$27</f>
        <v>0</v>
      </c>
      <c r="AS228" s="64"/>
      <c r="AT228" s="74" t="s">
        <v>38</v>
      </c>
      <c r="AU228" s="73">
        <f t="shared" ref="AU228" si="1359">COUNTIF($M$226:$M$229,AT228)*$D$27</f>
        <v>0</v>
      </c>
      <c r="AV228" s="64"/>
      <c r="AW228" s="74" t="s">
        <v>38</v>
      </c>
      <c r="AX228" s="73">
        <f t="shared" ref="AX228" si="1360">COUNTIF($M$226:$M$229,AW228)*$D$27</f>
        <v>0</v>
      </c>
      <c r="AY228" s="64"/>
      <c r="AZ228" s="74" t="s">
        <v>38</v>
      </c>
      <c r="BA228" s="73">
        <f t="shared" ref="BA228" si="1361">COUNTIF($M$226:$M$229,AZ228)*$D$27</f>
        <v>0</v>
      </c>
      <c r="BB228" s="64"/>
      <c r="BC228" s="74" t="s">
        <v>38</v>
      </c>
      <c r="BD228" s="73">
        <f t="shared" ref="BD228" si="1362">COUNTIF($M$226:$M$229,BC228)*$D$27</f>
        <v>0</v>
      </c>
      <c r="BE228" s="64"/>
      <c r="BF228" s="74" t="s">
        <v>38</v>
      </c>
      <c r="BG228" s="73">
        <f t="shared" ref="BG228" si="1363">COUNTIF($M$226:$M$229,BF228)*$D$27</f>
        <v>0</v>
      </c>
      <c r="BH228" s="64"/>
      <c r="BI228" s="74" t="s">
        <v>38</v>
      </c>
      <c r="BJ228" s="73">
        <f t="shared" ref="BJ228" si="1364">COUNTIF($M$226:$M$229,BI228)*$D$27</f>
        <v>0</v>
      </c>
      <c r="BK228" s="64"/>
      <c r="BL228" s="74" t="s">
        <v>38</v>
      </c>
      <c r="BM228" s="73">
        <f t="shared" ref="BM228" si="1365">COUNTIF($M$226:$M$229,BL228)*$D$27</f>
        <v>0</v>
      </c>
      <c r="BN228" s="64"/>
      <c r="BO228" s="74" t="s">
        <v>38</v>
      </c>
      <c r="BP228" s="73">
        <f t="shared" ref="BP228" si="1366">COUNTIF($M$226:$M$229,BO228)*$D$27</f>
        <v>0</v>
      </c>
      <c r="BQ228" s="64"/>
      <c r="BR228" s="74" t="s">
        <v>38</v>
      </c>
      <c r="BS228" s="73">
        <f t="shared" ref="BS228" si="1367">COUNTIF($M$226:$M$229,BR228)*$D$27</f>
        <v>0</v>
      </c>
      <c r="BT228" s="64"/>
      <c r="BU228" s="74" t="s">
        <v>38</v>
      </c>
      <c r="BV228" s="73">
        <f t="shared" ref="BV228" si="1368">COUNTIF($M$226:$M$229,BU228)*$D$27</f>
        <v>0</v>
      </c>
      <c r="BW228" s="64"/>
      <c r="BX228" s="74" t="s">
        <v>38</v>
      </c>
      <c r="BY228" s="73">
        <f t="shared" ref="BY228" si="1369">COUNTIF($M$226:$M$229,BX228)*$D$27</f>
        <v>0</v>
      </c>
      <c r="BZ228" s="64"/>
      <c r="CA228" s="74" t="s">
        <v>38</v>
      </c>
      <c r="CB228" s="73">
        <f t="shared" ref="CB228" si="1370">COUNTIF($M$226:$M$229,CA228)*$D$27</f>
        <v>0</v>
      </c>
      <c r="CC228" s="64"/>
      <c r="CD228" s="74" t="s">
        <v>38</v>
      </c>
      <c r="CE228" s="73">
        <f t="shared" ref="CE228" si="1371">COUNTIF($M$226:$M$229,CD228)*$D$27</f>
        <v>0</v>
      </c>
      <c r="CF228" s="64"/>
      <c r="CG228" s="74" t="s">
        <v>38</v>
      </c>
      <c r="CH228" s="73">
        <f t="shared" ref="CH228" si="1372">COUNTIF($M$226:$M$229,CG228)*$D$27</f>
        <v>0</v>
      </c>
      <c r="CI228" s="64"/>
      <c r="CJ228" s="74" t="s">
        <v>38</v>
      </c>
      <c r="CK228" s="73">
        <f t="shared" ref="CK228" si="1373">COUNTIF($M$226:$M$229,CJ228)*$D$27</f>
        <v>0</v>
      </c>
      <c r="CL228" s="64"/>
      <c r="CM228" s="74" t="s">
        <v>38</v>
      </c>
      <c r="CN228" s="73">
        <f t="shared" ref="CN228" si="1374">COUNTIF($M$226:$M$229,CM228)*$D$27</f>
        <v>0</v>
      </c>
      <c r="CO228" s="64"/>
      <c r="CP228" s="74" t="s">
        <v>38</v>
      </c>
      <c r="CQ228" s="73">
        <f t="shared" ref="CQ228" si="1375">COUNTIF($M$226:$M$229,CP228)*$D$27</f>
        <v>0</v>
      </c>
      <c r="CR228" s="64"/>
      <c r="CS228" s="74" t="s">
        <v>38</v>
      </c>
      <c r="CT228" s="73">
        <f t="shared" ref="CT228" si="1376">COUNTIF($M$226:$M$229,CS228)*$D$27</f>
        <v>0</v>
      </c>
      <c r="CU228" s="64"/>
      <c r="CV228" s="74" t="s">
        <v>38</v>
      </c>
      <c r="CW228" s="73">
        <f t="shared" ref="CW228" si="1377">COUNTIF($M$226:$M$229,CV228)*$D$27</f>
        <v>0</v>
      </c>
      <c r="CX228" s="64"/>
      <c r="CY228" s="74" t="s">
        <v>38</v>
      </c>
      <c r="CZ228" s="73">
        <f t="shared" ref="CZ228" si="1378">COUNTIF($M$226:$M$229,CY228)*$D$27</f>
        <v>0</v>
      </c>
      <c r="DA228" s="64"/>
      <c r="DB228" s="74" t="s">
        <v>38</v>
      </c>
      <c r="DC228" s="73">
        <f t="shared" ref="DC228" si="1379">COUNTIF($M$226:$M$229,DB228)*$D$27</f>
        <v>0</v>
      </c>
      <c r="DD228" s="64"/>
      <c r="DE228" s="74" t="s">
        <v>1835</v>
      </c>
      <c r="DF228" s="73">
        <f t="shared" ref="DF228" si="1380">COUNTIF($M$226:$M$229,DE228)*$D$27</f>
        <v>0</v>
      </c>
      <c r="DG228" s="64"/>
      <c r="DH228" s="74" t="s">
        <v>38</v>
      </c>
      <c r="DI228" s="73">
        <f t="shared" ref="DI228" si="1381">COUNTIF($M$226:$M$229,DH228)*$D$27</f>
        <v>0</v>
      </c>
      <c r="DJ228" s="64"/>
      <c r="DK228" s="74" t="s">
        <v>38</v>
      </c>
      <c r="DL228" s="73">
        <f t="shared" ref="DL228" si="1382">COUNTIF($M$226:$M$229,DK228)*$D$27</f>
        <v>0</v>
      </c>
      <c r="DM228" s="64"/>
      <c r="DN228" s="795" t="s">
        <v>38</v>
      </c>
      <c r="DO228" s="73">
        <f t="shared" ref="DO228" si="1383">COUNTIF($M$226:$M$229,DN228)*$D$27</f>
        <v>0</v>
      </c>
      <c r="DP228" s="64"/>
      <c r="DQ228" s="795" t="s">
        <v>76</v>
      </c>
      <c r="DR228" s="73">
        <f t="shared" ref="DR228" si="1384">COUNTIF($M$226:$M$229,DQ228)*$D$27</f>
        <v>0</v>
      </c>
      <c r="DS228" s="64"/>
      <c r="DT228" s="74" t="s">
        <v>38</v>
      </c>
      <c r="DU228" s="73">
        <f t="shared" ref="DU228" si="1385">COUNTIF($M$226:$M$229,DT228)*$D$27</f>
        <v>0</v>
      </c>
      <c r="DV228" s="64"/>
      <c r="DW228" s="74" t="s">
        <v>38</v>
      </c>
      <c r="DX228" s="73">
        <f t="shared" ref="DX228" si="1386">COUNTIF($M$226:$M$229,DW228)*$D$27</f>
        <v>0</v>
      </c>
      <c r="DY228" s="64"/>
      <c r="DZ228" s="74" t="s">
        <v>38</v>
      </c>
      <c r="EA228" s="73">
        <f t="shared" ref="EA228" si="1387">COUNTIF($M$226:$M$229,DZ228)*$D$27</f>
        <v>0</v>
      </c>
      <c r="EB228" s="64"/>
      <c r="EC228" s="74" t="s">
        <v>38</v>
      </c>
      <c r="ED228" s="73">
        <f t="shared" ref="ED228" si="1388">COUNTIF($M$226:$M$229,EC228)*$D$27</f>
        <v>0</v>
      </c>
      <c r="EE228" s="64"/>
      <c r="EF228" s="74" t="s">
        <v>38</v>
      </c>
      <c r="EG228" s="73">
        <f t="shared" ref="EG228" si="1389">COUNTIF($M$226:$M$229,EF228)*$D$27</f>
        <v>0</v>
      </c>
      <c r="EH228" s="64"/>
      <c r="EI228" s="74" t="s">
        <v>38</v>
      </c>
      <c r="EJ228" s="73">
        <f t="shared" ref="EJ228" si="1390">COUNTIF($M$226:$M$229,EI228)*$D$27</f>
        <v>0</v>
      </c>
      <c r="EK228" s="64"/>
      <c r="EL228" s="74"/>
      <c r="EM228" s="73">
        <f t="shared" ref="EM228" si="1391">COUNTIF($M$226:$M$229,EL228)*$D$27</f>
        <v>0</v>
      </c>
      <c r="EN228" s="64"/>
      <c r="EO228" s="74"/>
      <c r="EP228" s="73">
        <f t="shared" ref="EP228" si="1392">COUNTIF($M$226:$M$229,EO228)*$D$27</f>
        <v>0</v>
      </c>
      <c r="EQ228" s="64"/>
      <c r="ER228" s="74"/>
      <c r="ES228" s="73">
        <f t="shared" ref="ES228" si="1393">COUNTIF($M$226:$M$229,ER228)*$D$27</f>
        <v>0</v>
      </c>
      <c r="ET228" s="64"/>
      <c r="EU228" s="74"/>
      <c r="EV228" s="73">
        <f t="shared" ref="EV228" si="1394">COUNTIF($M$226:$M$229,EU228)*$D$27</f>
        <v>0</v>
      </c>
      <c r="EW228" s="64"/>
      <c r="EX228" s="74"/>
      <c r="EY228" s="73">
        <f t="shared" ref="EY228" si="1395">COUNTIF($M$226:$M$229,EX228)*$D$27</f>
        <v>0</v>
      </c>
      <c r="EZ228" s="64"/>
      <c r="FA228" s="74"/>
      <c r="FB228" s="73">
        <f t="shared" ref="FB228" si="1396">COUNTIF($M$226:$M$229,FA228)*$D$27</f>
        <v>0</v>
      </c>
      <c r="FC228" s="64"/>
      <c r="FD228" s="74"/>
      <c r="FE228" s="73">
        <f t="shared" ref="FE228" si="1397">COUNTIF($M$226:$M$229,FD228)*$D$27</f>
        <v>0</v>
      </c>
      <c r="FF228" s="64"/>
      <c r="FG228" s="74"/>
      <c r="FH228" s="73">
        <f t="shared" ref="FH228" si="1398">COUNTIF($M$226:$M$229,FG228)*$D$27</f>
        <v>0</v>
      </c>
      <c r="FI228" s="64"/>
      <c r="FJ228" s="74"/>
      <c r="FK228" s="73">
        <f t="shared" ref="FK228" si="1399">COUNTIF($M$226:$M$229,FJ228)*$D$27</f>
        <v>0</v>
      </c>
      <c r="FL228" s="64"/>
      <c r="FM228" s="64"/>
    </row>
    <row r="229" spans="1:169">
      <c r="A229" s="25"/>
      <c r="B229" s="25"/>
      <c r="C229" s="25"/>
      <c r="D229" s="25"/>
      <c r="E229" s="25"/>
      <c r="F229" s="407">
        <f t="shared" si="1301"/>
        <v>5</v>
      </c>
      <c r="G229" s="407">
        <f ca="1">VLOOKUP(H229,Equipos!$Q$1:$R$25,2,0)</f>
        <v>22</v>
      </c>
      <c r="H229" s="65" t="str">
        <f>Idiomas!$D$262</f>
        <v>Cuartos de final</v>
      </c>
      <c r="I229" s="50"/>
      <c r="J229" s="849"/>
      <c r="K229" s="56" t="str">
        <f>Idiomas!$D$201&amp;"-"&amp;ROWS($L$226:L229)</f>
        <v>Semifinalista-4</v>
      </c>
      <c r="L229" s="53"/>
      <c r="M229" s="55" t="str">
        <f>WORLDCUP!AF139</f>
        <v>W100</v>
      </c>
      <c r="N229" s="25"/>
      <c r="O229" s="25"/>
      <c r="P229" s="25"/>
      <c r="Q229" s="25"/>
      <c r="R229" s="110"/>
      <c r="S229" s="80" t="s">
        <v>1256</v>
      </c>
      <c r="T229" s="81">
        <f>COUNTIF($M$226:$M$229,S229)*$D$27</f>
        <v>0</v>
      </c>
      <c r="U229" s="64"/>
      <c r="V229" s="80" t="s">
        <v>79</v>
      </c>
      <c r="W229" s="81">
        <f t="shared" ref="W229" si="1400">COUNTIF($M$226:$M$229,V229)*$D$27</f>
        <v>0</v>
      </c>
      <c r="X229" s="64"/>
      <c r="Y229" s="80" t="s">
        <v>79</v>
      </c>
      <c r="Z229" s="81">
        <f t="shared" ref="Z229" si="1401">COUNTIF($M$226:$M$229,Y229)*$D$27</f>
        <v>0</v>
      </c>
      <c r="AA229" s="64"/>
      <c r="AB229" s="80" t="s">
        <v>1256</v>
      </c>
      <c r="AC229" s="81">
        <f t="shared" ref="AC229" si="1402">COUNTIF($M$226:$M$229,AB229)*$D$27</f>
        <v>0</v>
      </c>
      <c r="AD229" s="64"/>
      <c r="AE229" s="80" t="s">
        <v>1256</v>
      </c>
      <c r="AF229" s="81">
        <f t="shared" ref="AF229" si="1403">COUNTIF($M$226:$M$229,AE229)*$D$27</f>
        <v>0</v>
      </c>
      <c r="AG229" s="64"/>
      <c r="AH229" s="80" t="s">
        <v>1256</v>
      </c>
      <c r="AI229" s="81">
        <f t="shared" ref="AI229" si="1404">COUNTIF($M$226:$M$229,AH229)*$D$27</f>
        <v>0</v>
      </c>
      <c r="AJ229" s="64"/>
      <c r="AK229" s="80" t="s">
        <v>79</v>
      </c>
      <c r="AL229" s="81">
        <f t="shared" ref="AL229" si="1405">COUNTIF($M$226:$M$229,AK229)*$D$27</f>
        <v>0</v>
      </c>
      <c r="AM229" s="64"/>
      <c r="AN229" s="80" t="s">
        <v>79</v>
      </c>
      <c r="AO229" s="81">
        <f t="shared" ref="AO229" si="1406">COUNTIF($M$226:$M$229,AN229)*$D$27</f>
        <v>0</v>
      </c>
      <c r="AP229" s="64"/>
      <c r="AQ229" s="80" t="s">
        <v>1256</v>
      </c>
      <c r="AR229" s="81">
        <f t="shared" ref="AR229" si="1407">COUNTIF($M$226:$M$229,AQ229)*$D$27</f>
        <v>0</v>
      </c>
      <c r="AS229" s="64"/>
      <c r="AT229" s="80" t="s">
        <v>79</v>
      </c>
      <c r="AU229" s="81">
        <f t="shared" ref="AU229" si="1408">COUNTIF($M$226:$M$229,AT229)*$D$27</f>
        <v>0</v>
      </c>
      <c r="AV229" s="64"/>
      <c r="AW229" s="80" t="s">
        <v>79</v>
      </c>
      <c r="AX229" s="81">
        <f t="shared" ref="AX229" si="1409">COUNTIF($M$226:$M$229,AW229)*$D$27</f>
        <v>0</v>
      </c>
      <c r="AY229" s="64"/>
      <c r="AZ229" s="80" t="s">
        <v>79</v>
      </c>
      <c r="BA229" s="81">
        <f t="shared" ref="BA229" si="1410">COUNTIF($M$226:$M$229,AZ229)*$D$27</f>
        <v>0</v>
      </c>
      <c r="BB229" s="64"/>
      <c r="BC229" s="80" t="s">
        <v>79</v>
      </c>
      <c r="BD229" s="81">
        <f t="shared" ref="BD229" si="1411">COUNTIF($M$226:$M$229,BC229)*$D$27</f>
        <v>0</v>
      </c>
      <c r="BE229" s="64"/>
      <c r="BF229" s="80" t="s">
        <v>1256</v>
      </c>
      <c r="BG229" s="81">
        <f t="shared" ref="BG229" si="1412">COUNTIF($M$226:$M$229,BF229)*$D$27</f>
        <v>0</v>
      </c>
      <c r="BH229" s="64"/>
      <c r="BI229" s="80" t="s">
        <v>79</v>
      </c>
      <c r="BJ229" s="81">
        <f t="shared" ref="BJ229" si="1413">COUNTIF($M$226:$M$229,BI229)*$D$27</f>
        <v>0</v>
      </c>
      <c r="BK229" s="64"/>
      <c r="BL229" s="80" t="s">
        <v>1256</v>
      </c>
      <c r="BM229" s="81">
        <f t="shared" ref="BM229" si="1414">COUNTIF($M$226:$M$229,BL229)*$D$27</f>
        <v>0</v>
      </c>
      <c r="BN229" s="64"/>
      <c r="BO229" s="80" t="s">
        <v>79</v>
      </c>
      <c r="BP229" s="81">
        <f t="shared" ref="BP229" si="1415">COUNTIF($M$226:$M$229,BO229)*$D$27</f>
        <v>0</v>
      </c>
      <c r="BQ229" s="64"/>
      <c r="BR229" s="80" t="s">
        <v>79</v>
      </c>
      <c r="BS229" s="81">
        <f t="shared" ref="BS229" si="1416">COUNTIF($M$226:$M$229,BR229)*$D$27</f>
        <v>0</v>
      </c>
      <c r="BT229" s="64"/>
      <c r="BU229" s="80" t="s">
        <v>79</v>
      </c>
      <c r="BV229" s="81">
        <f t="shared" ref="BV229" si="1417">COUNTIF($M$226:$M$229,BU229)*$D$27</f>
        <v>0</v>
      </c>
      <c r="BW229" s="64"/>
      <c r="BX229" s="80" t="s">
        <v>1320</v>
      </c>
      <c r="BY229" s="81">
        <f t="shared" ref="BY229" si="1418">COUNTIF($M$226:$M$229,BX229)*$D$27</f>
        <v>0</v>
      </c>
      <c r="BZ229" s="64"/>
      <c r="CA229" s="80" t="s">
        <v>1256</v>
      </c>
      <c r="CB229" s="81">
        <f t="shared" ref="CB229" si="1419">COUNTIF($M$226:$M$229,CA229)*$D$27</f>
        <v>0</v>
      </c>
      <c r="CC229" s="64"/>
      <c r="CD229" s="80" t="s">
        <v>79</v>
      </c>
      <c r="CE229" s="81">
        <f t="shared" ref="CE229" si="1420">COUNTIF($M$226:$M$229,CD229)*$D$27</f>
        <v>0</v>
      </c>
      <c r="CF229" s="64"/>
      <c r="CG229" s="80" t="s">
        <v>1256</v>
      </c>
      <c r="CH229" s="81">
        <f t="shared" ref="CH229" si="1421">COUNTIF($M$226:$M$229,CG229)*$D$27</f>
        <v>0</v>
      </c>
      <c r="CI229" s="64"/>
      <c r="CJ229" s="80" t="s">
        <v>79</v>
      </c>
      <c r="CK229" s="81">
        <f t="shared" ref="CK229" si="1422">COUNTIF($M$226:$M$229,CJ229)*$D$27</f>
        <v>0</v>
      </c>
      <c r="CL229" s="64"/>
      <c r="CM229" s="80" t="s">
        <v>79</v>
      </c>
      <c r="CN229" s="81">
        <f t="shared" ref="CN229" si="1423">COUNTIF($M$226:$M$229,CM229)*$D$27</f>
        <v>0</v>
      </c>
      <c r="CO229" s="64"/>
      <c r="CP229" s="80" t="s">
        <v>79</v>
      </c>
      <c r="CQ229" s="81">
        <f t="shared" ref="CQ229" si="1424">COUNTIF($M$226:$M$229,CP229)*$D$27</f>
        <v>0</v>
      </c>
      <c r="CR229" s="64"/>
      <c r="CS229" s="80" t="s">
        <v>1256</v>
      </c>
      <c r="CT229" s="81">
        <f t="shared" ref="CT229" si="1425">COUNTIF($M$226:$M$229,CS229)*$D$27</f>
        <v>0</v>
      </c>
      <c r="CU229" s="64"/>
      <c r="CV229" s="80" t="s">
        <v>79</v>
      </c>
      <c r="CW229" s="81">
        <f t="shared" ref="CW229" si="1426">COUNTIF($M$226:$M$229,CV229)*$D$27</f>
        <v>0</v>
      </c>
      <c r="CX229" s="64"/>
      <c r="CY229" s="80" t="s">
        <v>1256</v>
      </c>
      <c r="CZ229" s="81">
        <f t="shared" ref="CZ229" si="1427">COUNTIF($M$226:$M$229,CY229)*$D$27</f>
        <v>0</v>
      </c>
      <c r="DA229" s="64"/>
      <c r="DB229" s="80" t="s">
        <v>1256</v>
      </c>
      <c r="DC229" s="81">
        <f t="shared" ref="DC229" si="1428">COUNTIF($M$226:$M$229,DB229)*$D$27</f>
        <v>0</v>
      </c>
      <c r="DD229" s="64"/>
      <c r="DE229" s="80" t="s">
        <v>1256</v>
      </c>
      <c r="DF229" s="81">
        <f t="shared" ref="DF229" si="1429">COUNTIF($M$226:$M$229,DE229)*$D$27</f>
        <v>0</v>
      </c>
      <c r="DG229" s="64"/>
      <c r="DH229" s="80" t="s">
        <v>79</v>
      </c>
      <c r="DI229" s="81">
        <f t="shared" ref="DI229" si="1430">COUNTIF($M$226:$M$229,DH229)*$D$27</f>
        <v>0</v>
      </c>
      <c r="DJ229" s="64"/>
      <c r="DK229" s="80" t="s">
        <v>79</v>
      </c>
      <c r="DL229" s="81">
        <f t="shared" ref="DL229" si="1431">COUNTIF($M$226:$M$229,DK229)*$D$27</f>
        <v>0</v>
      </c>
      <c r="DM229" s="64"/>
      <c r="DN229" s="795" t="s">
        <v>79</v>
      </c>
      <c r="DO229" s="81">
        <f t="shared" ref="DO229" si="1432">COUNTIF($M$226:$M$229,DN229)*$D$27</f>
        <v>0</v>
      </c>
      <c r="DP229" s="64"/>
      <c r="DQ229" s="795" t="s">
        <v>79</v>
      </c>
      <c r="DR229" s="81">
        <f t="shared" ref="DR229" si="1433">COUNTIF($M$226:$M$229,DQ229)*$D$27</f>
        <v>0</v>
      </c>
      <c r="DS229" s="64"/>
      <c r="DT229" s="80" t="s">
        <v>1320</v>
      </c>
      <c r="DU229" s="81">
        <f t="shared" ref="DU229" si="1434">COUNTIF($M$226:$M$229,DT229)*$D$27</f>
        <v>0</v>
      </c>
      <c r="DV229" s="64"/>
      <c r="DW229" s="80" t="s">
        <v>79</v>
      </c>
      <c r="DX229" s="81">
        <f t="shared" ref="DX229" si="1435">COUNTIF($M$226:$M$229,DW229)*$D$27</f>
        <v>0</v>
      </c>
      <c r="DY229" s="64"/>
      <c r="DZ229" s="80" t="s">
        <v>1256</v>
      </c>
      <c r="EA229" s="81">
        <f t="shared" ref="EA229" si="1436">COUNTIF($M$226:$M$229,DZ229)*$D$27</f>
        <v>0</v>
      </c>
      <c r="EB229" s="64"/>
      <c r="EC229" s="80" t="s">
        <v>79</v>
      </c>
      <c r="ED229" s="81">
        <f t="shared" ref="ED229" si="1437">COUNTIF($M$226:$M$229,EC229)*$D$27</f>
        <v>0</v>
      </c>
      <c r="EE229" s="64"/>
      <c r="EF229" s="80" t="s">
        <v>1318</v>
      </c>
      <c r="EG229" s="81">
        <f t="shared" ref="EG229" si="1438">COUNTIF($M$226:$M$229,EF229)*$D$27</f>
        <v>0</v>
      </c>
      <c r="EH229" s="64"/>
      <c r="EI229" s="80" t="s">
        <v>79</v>
      </c>
      <c r="EJ229" s="81">
        <f t="shared" ref="EJ229" si="1439">COUNTIF($M$226:$M$229,EI229)*$D$27</f>
        <v>0</v>
      </c>
      <c r="EK229" s="64"/>
      <c r="EL229" s="80"/>
      <c r="EM229" s="81">
        <f t="shared" ref="EM229" si="1440">COUNTIF($M$226:$M$229,EL229)*$D$27</f>
        <v>0</v>
      </c>
      <c r="EN229" s="64"/>
      <c r="EO229" s="80"/>
      <c r="EP229" s="81">
        <f t="shared" ref="EP229" si="1441">COUNTIF($M$226:$M$229,EO229)*$D$27</f>
        <v>0</v>
      </c>
      <c r="EQ229" s="64"/>
      <c r="ER229" s="80"/>
      <c r="ES229" s="81">
        <f t="shared" ref="ES229" si="1442">COUNTIF($M$226:$M$229,ER229)*$D$27</f>
        <v>0</v>
      </c>
      <c r="ET229" s="64"/>
      <c r="EU229" s="80"/>
      <c r="EV229" s="81">
        <f t="shared" ref="EV229" si="1443">COUNTIF($M$226:$M$229,EU229)*$D$27</f>
        <v>0</v>
      </c>
      <c r="EW229" s="64"/>
      <c r="EX229" s="80"/>
      <c r="EY229" s="81">
        <f t="shared" ref="EY229" si="1444">COUNTIF($M$226:$M$229,EX229)*$D$27</f>
        <v>0</v>
      </c>
      <c r="EZ229" s="64"/>
      <c r="FA229" s="80"/>
      <c r="FB229" s="81">
        <f t="shared" ref="FB229" si="1445">COUNTIF($M$226:$M$229,FA229)*$D$27</f>
        <v>0</v>
      </c>
      <c r="FC229" s="64"/>
      <c r="FD229" s="80"/>
      <c r="FE229" s="81">
        <f t="shared" ref="FE229" si="1446">COUNTIF($M$226:$M$229,FD229)*$D$27</f>
        <v>0</v>
      </c>
      <c r="FF229" s="64"/>
      <c r="FG229" s="80"/>
      <c r="FH229" s="81">
        <f t="shared" ref="FH229" si="1447">COUNTIF($M$226:$M$229,FG229)*$D$27</f>
        <v>0</v>
      </c>
      <c r="FI229" s="64"/>
      <c r="FJ229" s="80"/>
      <c r="FK229" s="81">
        <f t="shared" ref="FK229" si="1448">COUNTIF($M$226:$M$229,FJ229)*$D$27</f>
        <v>0</v>
      </c>
      <c r="FL229" s="64"/>
      <c r="FM229" s="64"/>
    </row>
    <row r="230" spans="1:169">
      <c r="A230" s="25"/>
      <c r="B230" s="25"/>
      <c r="C230" s="25"/>
      <c r="D230" s="25"/>
      <c r="E230" s="25"/>
      <c r="F230" s="407"/>
      <c r="G230" s="407"/>
      <c r="H230" s="65"/>
      <c r="I230" s="50"/>
      <c r="J230" s="94"/>
      <c r="K230" s="434" t="str">
        <f>Idiomas!D463</f>
        <v>Equipos 1/2</v>
      </c>
      <c r="L230" s="435"/>
      <c r="M230" s="434" t="str">
        <f>"Max: "&amp;$D$27*COUNT(T226:T229)</f>
        <v>Max: 20</v>
      </c>
      <c r="N230" s="25"/>
      <c r="O230" s="25"/>
      <c r="P230" s="25"/>
      <c r="Q230" s="25"/>
      <c r="R230" s="49"/>
      <c r="S230" s="84"/>
      <c r="T230" s="71">
        <f>SUM(T226:T229)</f>
        <v>0</v>
      </c>
      <c r="U230" s="65"/>
      <c r="V230" s="84"/>
      <c r="W230" s="71">
        <f t="shared" ref="W230" si="1449">SUM(W226:W229)</f>
        <v>0</v>
      </c>
      <c r="X230" s="65"/>
      <c r="Y230" s="84"/>
      <c r="Z230" s="71">
        <f t="shared" ref="Z230" si="1450">SUM(Z226:Z229)</f>
        <v>0</v>
      </c>
      <c r="AA230" s="65"/>
      <c r="AB230" s="84"/>
      <c r="AC230" s="71">
        <f t="shared" ref="AC230" si="1451">SUM(AC226:AC229)</f>
        <v>0</v>
      </c>
      <c r="AD230" s="65"/>
      <c r="AE230" s="84"/>
      <c r="AF230" s="71">
        <f t="shared" ref="AF230" si="1452">SUM(AF226:AF229)</f>
        <v>0</v>
      </c>
      <c r="AG230" s="65"/>
      <c r="AH230" s="84"/>
      <c r="AI230" s="71">
        <f t="shared" ref="AI230" si="1453">SUM(AI226:AI229)</f>
        <v>0</v>
      </c>
      <c r="AJ230" s="65"/>
      <c r="AK230" s="84"/>
      <c r="AL230" s="71">
        <f t="shared" ref="AL230" si="1454">SUM(AL226:AL229)</f>
        <v>0</v>
      </c>
      <c r="AM230" s="65"/>
      <c r="AN230" s="84"/>
      <c r="AO230" s="71">
        <f t="shared" ref="AO230" si="1455">SUM(AO226:AO229)</f>
        <v>0</v>
      </c>
      <c r="AP230" s="65"/>
      <c r="AQ230" s="84"/>
      <c r="AR230" s="71">
        <f t="shared" ref="AR230" si="1456">SUM(AR226:AR229)</f>
        <v>0</v>
      </c>
      <c r="AS230" s="65"/>
      <c r="AT230" s="84"/>
      <c r="AU230" s="71">
        <f t="shared" ref="AU230" si="1457">SUM(AU226:AU229)</f>
        <v>0</v>
      </c>
      <c r="AV230" s="65"/>
      <c r="AW230" s="84"/>
      <c r="AX230" s="71">
        <f t="shared" ref="AX230" si="1458">SUM(AX226:AX229)</f>
        <v>0</v>
      </c>
      <c r="AY230" s="65"/>
      <c r="AZ230" s="84"/>
      <c r="BA230" s="71">
        <f t="shared" ref="BA230" si="1459">SUM(BA226:BA229)</f>
        <v>0</v>
      </c>
      <c r="BB230" s="65"/>
      <c r="BC230" s="84"/>
      <c r="BD230" s="71">
        <f t="shared" ref="BD230" si="1460">SUM(BD226:BD229)</f>
        <v>0</v>
      </c>
      <c r="BE230" s="65"/>
      <c r="BF230" s="84"/>
      <c r="BG230" s="71">
        <f t="shared" ref="BG230" si="1461">SUM(BG226:BG229)</f>
        <v>0</v>
      </c>
      <c r="BH230" s="65"/>
      <c r="BI230" s="84"/>
      <c r="BJ230" s="71">
        <f t="shared" ref="BJ230" si="1462">SUM(BJ226:BJ229)</f>
        <v>0</v>
      </c>
      <c r="BK230" s="65"/>
      <c r="BL230" s="84"/>
      <c r="BM230" s="71">
        <f t="shared" ref="BM230" si="1463">SUM(BM226:BM229)</f>
        <v>0</v>
      </c>
      <c r="BN230" s="65"/>
      <c r="BO230" s="84"/>
      <c r="BP230" s="71">
        <f t="shared" ref="BP230" si="1464">SUM(BP226:BP229)</f>
        <v>0</v>
      </c>
      <c r="BQ230" s="65"/>
      <c r="BR230" s="84"/>
      <c r="BS230" s="71">
        <f t="shared" ref="BS230" si="1465">SUM(BS226:BS229)</f>
        <v>0</v>
      </c>
      <c r="BT230" s="65"/>
      <c r="BU230" s="84"/>
      <c r="BV230" s="71">
        <f t="shared" ref="BV230" si="1466">SUM(BV226:BV229)</f>
        <v>0</v>
      </c>
      <c r="BW230" s="65"/>
      <c r="BX230" s="84"/>
      <c r="BY230" s="71">
        <f t="shared" ref="BY230" si="1467">SUM(BY226:BY229)</f>
        <v>0</v>
      </c>
      <c r="BZ230" s="65"/>
      <c r="CA230" s="84"/>
      <c r="CB230" s="71">
        <f t="shared" ref="CB230" si="1468">SUM(CB226:CB229)</f>
        <v>0</v>
      </c>
      <c r="CC230" s="65"/>
      <c r="CD230" s="84"/>
      <c r="CE230" s="71">
        <f t="shared" ref="CE230" si="1469">SUM(CE226:CE229)</f>
        <v>0</v>
      </c>
      <c r="CF230" s="65"/>
      <c r="CG230" s="84"/>
      <c r="CH230" s="71">
        <f t="shared" ref="CH230" si="1470">SUM(CH226:CH229)</f>
        <v>0</v>
      </c>
      <c r="CI230" s="65"/>
      <c r="CJ230" s="84"/>
      <c r="CK230" s="71">
        <f t="shared" ref="CK230" si="1471">SUM(CK226:CK229)</f>
        <v>0</v>
      </c>
      <c r="CL230" s="65"/>
      <c r="CM230" s="84"/>
      <c r="CN230" s="71">
        <f t="shared" ref="CN230" si="1472">SUM(CN226:CN229)</f>
        <v>0</v>
      </c>
      <c r="CO230" s="65"/>
      <c r="CP230" s="84"/>
      <c r="CQ230" s="71">
        <f t="shared" ref="CQ230" si="1473">SUM(CQ226:CQ229)</f>
        <v>0</v>
      </c>
      <c r="CR230" s="65"/>
      <c r="CS230" s="84"/>
      <c r="CT230" s="71">
        <f t="shared" ref="CT230" si="1474">SUM(CT226:CT229)</f>
        <v>0</v>
      </c>
      <c r="CU230" s="65"/>
      <c r="CV230" s="84"/>
      <c r="CW230" s="71">
        <f t="shared" ref="CW230" si="1475">SUM(CW226:CW229)</f>
        <v>0</v>
      </c>
      <c r="CX230" s="65"/>
      <c r="CY230" s="84"/>
      <c r="CZ230" s="71">
        <f t="shared" ref="CZ230" si="1476">SUM(CZ226:CZ229)</f>
        <v>0</v>
      </c>
      <c r="DA230" s="65"/>
      <c r="DB230" s="84"/>
      <c r="DC230" s="71">
        <f t="shared" ref="DC230" si="1477">SUM(DC226:DC229)</f>
        <v>0</v>
      </c>
      <c r="DD230" s="65"/>
      <c r="DE230" s="84"/>
      <c r="DF230" s="71">
        <f t="shared" ref="DF230" si="1478">SUM(DF226:DF229)</f>
        <v>0</v>
      </c>
      <c r="DG230" s="65"/>
      <c r="DH230" s="84"/>
      <c r="DI230" s="71">
        <f t="shared" ref="DI230" si="1479">SUM(DI226:DI229)</f>
        <v>0</v>
      </c>
      <c r="DJ230" s="65"/>
      <c r="DK230" s="84"/>
      <c r="DL230" s="71">
        <f t="shared" ref="DL230" si="1480">SUM(DL226:DL229)</f>
        <v>0</v>
      </c>
      <c r="DM230" s="65"/>
      <c r="DN230" s="796"/>
      <c r="DO230" s="71">
        <f t="shared" ref="DO230" si="1481">SUM(DO226:DO229)</f>
        <v>0</v>
      </c>
      <c r="DP230" s="65"/>
      <c r="DQ230" s="796"/>
      <c r="DR230" s="71">
        <f t="shared" ref="DR230" si="1482">SUM(DR226:DR229)</f>
        <v>0</v>
      </c>
      <c r="DS230" s="65"/>
      <c r="DT230" s="84"/>
      <c r="DU230" s="71">
        <f t="shared" ref="DU230" si="1483">SUM(DU226:DU229)</f>
        <v>0</v>
      </c>
      <c r="DV230" s="65"/>
      <c r="DW230" s="84"/>
      <c r="DX230" s="71">
        <f t="shared" ref="DX230" si="1484">SUM(DX226:DX229)</f>
        <v>0</v>
      </c>
      <c r="DY230" s="65"/>
      <c r="DZ230" s="84"/>
      <c r="EA230" s="71">
        <f t="shared" ref="EA230" si="1485">SUM(EA226:EA229)</f>
        <v>0</v>
      </c>
      <c r="EB230" s="65"/>
      <c r="EC230" s="84"/>
      <c r="ED230" s="71">
        <f t="shared" ref="ED230" si="1486">SUM(ED226:ED229)</f>
        <v>0</v>
      </c>
      <c r="EE230" s="65"/>
      <c r="EF230" s="84"/>
      <c r="EG230" s="71">
        <f t="shared" ref="EG230" si="1487">SUM(EG226:EG229)</f>
        <v>0</v>
      </c>
      <c r="EH230" s="65"/>
      <c r="EI230" s="84"/>
      <c r="EJ230" s="71">
        <f t="shared" ref="EJ230" si="1488">SUM(EJ226:EJ229)</f>
        <v>0</v>
      </c>
      <c r="EK230" s="65"/>
      <c r="EL230" s="84"/>
      <c r="EM230" s="71">
        <f t="shared" ref="EM230" si="1489">SUM(EM226:EM229)</f>
        <v>0</v>
      </c>
      <c r="EN230" s="65"/>
      <c r="EO230" s="84"/>
      <c r="EP230" s="71">
        <f t="shared" ref="EP230" si="1490">SUM(EP226:EP229)</f>
        <v>0</v>
      </c>
      <c r="EQ230" s="65"/>
      <c r="ER230" s="84"/>
      <c r="ES230" s="71">
        <f t="shared" ref="ES230" si="1491">SUM(ES226:ES229)</f>
        <v>0</v>
      </c>
      <c r="ET230" s="65"/>
      <c r="EU230" s="84"/>
      <c r="EV230" s="71">
        <f t="shared" ref="EV230" si="1492">SUM(EV226:EV229)</f>
        <v>0</v>
      </c>
      <c r="EW230" s="65"/>
      <c r="EX230" s="84"/>
      <c r="EY230" s="71">
        <f t="shared" ref="EY230" si="1493">SUM(EY226:EY229)</f>
        <v>0</v>
      </c>
      <c r="EZ230" s="65"/>
      <c r="FA230" s="84"/>
      <c r="FB230" s="71">
        <f t="shared" ref="FB230" si="1494">SUM(FB226:FB229)</f>
        <v>0</v>
      </c>
      <c r="FC230" s="65"/>
      <c r="FD230" s="84"/>
      <c r="FE230" s="71">
        <f t="shared" ref="FE230" si="1495">SUM(FE226:FE229)</f>
        <v>0</v>
      </c>
      <c r="FF230" s="65"/>
      <c r="FG230" s="84"/>
      <c r="FH230" s="71">
        <f t="shared" ref="FH230" si="1496">SUM(FH226:FH229)</f>
        <v>0</v>
      </c>
      <c r="FI230" s="65"/>
      <c r="FJ230" s="84"/>
      <c r="FK230" s="71">
        <f t="shared" ref="FK230" si="1497">SUM(FK226:FK229)</f>
        <v>0</v>
      </c>
      <c r="FL230" s="65"/>
      <c r="FM230" s="65"/>
    </row>
    <row r="231" spans="1:169">
      <c r="A231" s="25"/>
      <c r="B231" s="25"/>
      <c r="C231" s="25"/>
      <c r="D231" s="25"/>
      <c r="E231" s="25"/>
      <c r="F231" s="407"/>
      <c r="G231" s="407"/>
      <c r="H231" s="65"/>
      <c r="I231" s="52" t="s">
        <v>1578</v>
      </c>
      <c r="J231" s="94"/>
      <c r="K231" s="113" t="str">
        <f>Idiomas!D144</f>
        <v>ENFRENTAMIENTOS SEMIFINALES</v>
      </c>
      <c r="L231" s="50"/>
      <c r="M231" s="71"/>
      <c r="N231" s="25"/>
      <c r="O231" s="25"/>
      <c r="P231" s="25"/>
      <c r="Q231" s="25"/>
      <c r="R231" s="49"/>
      <c r="S231" s="84"/>
      <c r="T231" s="71"/>
      <c r="U231" s="65"/>
      <c r="V231" s="84"/>
      <c r="W231" s="71"/>
      <c r="X231" s="65"/>
      <c r="Y231" s="84"/>
      <c r="Z231" s="71"/>
      <c r="AA231" s="65"/>
      <c r="AB231" s="768"/>
      <c r="AC231" s="111"/>
      <c r="AD231" s="111"/>
      <c r="AE231" s="84"/>
      <c r="AF231" s="71"/>
      <c r="AG231" s="65"/>
      <c r="AH231" s="84"/>
      <c r="AI231" s="71"/>
      <c r="AJ231" s="65"/>
      <c r="AK231" s="84"/>
      <c r="AL231" s="71"/>
      <c r="AM231" s="65"/>
      <c r="AN231" s="84"/>
      <c r="AO231" s="71"/>
      <c r="AP231" s="65"/>
      <c r="AQ231" s="84"/>
      <c r="AR231" s="71"/>
      <c r="AS231" s="65"/>
      <c r="AT231" s="84"/>
      <c r="AU231" s="71"/>
      <c r="AV231" s="65"/>
      <c r="AW231" s="84"/>
      <c r="AX231" s="71"/>
      <c r="AY231" s="65"/>
      <c r="AZ231" s="84"/>
      <c r="BA231" s="71"/>
      <c r="BB231" s="65"/>
      <c r="BC231" s="84"/>
      <c r="BD231" s="71"/>
      <c r="BE231" s="65"/>
      <c r="BF231" s="84"/>
      <c r="BG231" s="71"/>
      <c r="BH231" s="65"/>
      <c r="BI231" s="84"/>
      <c r="BJ231" s="71"/>
      <c r="BK231" s="65"/>
      <c r="BL231" s="84"/>
      <c r="BM231" s="71"/>
      <c r="BN231" s="65"/>
      <c r="BO231" s="84"/>
      <c r="BP231" s="71"/>
      <c r="BQ231" s="65"/>
      <c r="BR231" s="84"/>
      <c r="BS231" s="71"/>
      <c r="BT231" s="65"/>
      <c r="BU231" s="84"/>
      <c r="BV231" s="71"/>
      <c r="BW231" s="65"/>
      <c r="BX231" s="84"/>
      <c r="BY231" s="71"/>
      <c r="BZ231" s="65"/>
      <c r="CA231" s="84"/>
      <c r="CB231" s="71"/>
      <c r="CC231" s="65"/>
      <c r="CD231" s="84"/>
      <c r="CE231" s="71"/>
      <c r="CF231" s="65"/>
      <c r="CG231" s="84"/>
      <c r="CH231" s="71"/>
      <c r="CI231" s="65"/>
      <c r="CJ231" s="84"/>
      <c r="CK231" s="71"/>
      <c r="CL231" s="65"/>
      <c r="CM231" s="84"/>
      <c r="CN231" s="71"/>
      <c r="CO231" s="65"/>
      <c r="CP231" s="84"/>
      <c r="CQ231" s="71"/>
      <c r="CR231" s="65"/>
      <c r="CS231" s="84"/>
      <c r="CT231" s="71"/>
      <c r="CU231" s="65"/>
      <c r="CV231" s="84"/>
      <c r="CW231" s="71"/>
      <c r="CX231" s="65"/>
      <c r="CY231" s="84"/>
      <c r="CZ231" s="71"/>
      <c r="DA231" s="65"/>
      <c r="DB231" s="84"/>
      <c r="DC231" s="71"/>
      <c r="DD231" s="65"/>
      <c r="DE231" s="84"/>
      <c r="DF231" s="71"/>
      <c r="DG231" s="65"/>
      <c r="DH231" s="84"/>
      <c r="DI231" s="71"/>
      <c r="DJ231" s="65"/>
      <c r="DK231" s="84"/>
      <c r="DL231" s="71"/>
      <c r="DM231" s="65"/>
      <c r="DN231" s="796"/>
      <c r="DO231" s="71"/>
      <c r="DP231" s="65"/>
      <c r="DQ231" s="796"/>
      <c r="DR231" s="71"/>
      <c r="DS231" s="65"/>
      <c r="DT231" s="84"/>
      <c r="DU231" s="71"/>
      <c r="DV231" s="65"/>
      <c r="DW231" s="84"/>
      <c r="DX231" s="71"/>
      <c r="DY231" s="65"/>
      <c r="DZ231" s="84"/>
      <c r="EA231" s="71"/>
      <c r="EB231" s="65"/>
      <c r="EC231" s="84"/>
      <c r="ED231" s="71"/>
      <c r="EE231" s="65"/>
      <c r="EF231" s="84"/>
      <c r="EG231" s="71"/>
      <c r="EH231" s="65"/>
      <c r="EI231" s="84"/>
      <c r="EJ231" s="71"/>
      <c r="EK231" s="65"/>
      <c r="EL231" s="84"/>
      <c r="EM231" s="71"/>
      <c r="EN231" s="65"/>
      <c r="EO231" s="84"/>
      <c r="EP231" s="71"/>
      <c r="EQ231" s="65"/>
      <c r="ER231" s="84"/>
      <c r="ES231" s="71"/>
      <c r="ET231" s="65"/>
      <c r="EU231" s="84"/>
      <c r="EV231" s="71"/>
      <c r="EW231" s="65"/>
      <c r="EX231" s="84"/>
      <c r="EY231" s="71"/>
      <c r="EZ231" s="65"/>
      <c r="FA231" s="84"/>
      <c r="FB231" s="71"/>
      <c r="FC231" s="65"/>
      <c r="FD231" s="84"/>
      <c r="FE231" s="71"/>
      <c r="FF231" s="65"/>
      <c r="FG231" s="84"/>
      <c r="FH231" s="71"/>
      <c r="FI231" s="65"/>
      <c r="FJ231" s="84"/>
      <c r="FK231" s="71"/>
      <c r="FL231" s="65"/>
      <c r="FM231" s="65"/>
    </row>
    <row r="232" spans="1:169">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07">
        <f>SUM($D$28:$D$30)*I232</f>
        <v>4</v>
      </c>
      <c r="G232" s="407">
        <f ca="1">VLOOKUP(H232,Equipos!$Q$1:$R$25,2,0)</f>
        <v>23</v>
      </c>
      <c r="H232" s="65" t="str">
        <f>Idiomas!$D$263</f>
        <v>Semifinales</v>
      </c>
      <c r="I232" s="43">
        <v>1</v>
      </c>
      <c r="J232" s="850" t="s">
        <v>35</v>
      </c>
      <c r="K232" s="53" t="str">
        <f>CONCATENATE(WORLDCUP!AA138,"-",WORLDCUP!AF138)</f>
        <v>W97-W98</v>
      </c>
      <c r="L232" s="53" t="str">
        <f>IF(OR(WORLDCUP!AC138="",WORLDCUP!AD138=""),"PD",IF(WORLDCUP!AC138&gt;WORLDCUP!AD138,1,IF(WORLDCUP!AC138&lt;WORLDCUP!AD138,2,0)))</f>
        <v>PD</v>
      </c>
      <c r="M232" s="55" t="str">
        <f t="shared" ref="M232:M233" si="1498">IF(L232="PD","-",N232&amp;"-"&amp;O232)</f>
        <v>-</v>
      </c>
      <c r="N232" s="25">
        <f>WORLDCUP!AC138</f>
        <v>0</v>
      </c>
      <c r="O232" s="25">
        <f>WORLDCUP!AD138</f>
        <v>0</v>
      </c>
      <c r="P232" s="25">
        <f>+N232-O232</f>
        <v>0</v>
      </c>
      <c r="Q232" s="25">
        <f>+A232-B232</f>
        <v>0</v>
      </c>
      <c r="R232" s="110"/>
      <c r="S232" s="76" t="s">
        <v>1992</v>
      </c>
      <c r="T232" s="77">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0"/>
      <c r="V232" s="76" t="s">
        <v>2031</v>
      </c>
      <c r="W232" s="77">
        <f t="shared" ref="W232" si="149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0"/>
      <c r="Y232" s="76" t="s">
        <v>2031</v>
      </c>
      <c r="Z232" s="77">
        <f t="shared" ref="Z232" si="150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0"/>
      <c r="AB232" s="76" t="s">
        <v>2092</v>
      </c>
      <c r="AC232" s="77">
        <f t="shared" ref="AC232" si="150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0"/>
      <c r="AE232" s="76" t="s">
        <v>2120</v>
      </c>
      <c r="AF232" s="77">
        <f t="shared" ref="AF232" si="150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0"/>
      <c r="AH232" s="76" t="s">
        <v>2150</v>
      </c>
      <c r="AI232" s="77">
        <f t="shared" ref="AI232" si="1503">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v>0</v>
      </c>
      <c r="AJ232" s="110"/>
      <c r="AK232" s="76" t="s">
        <v>2177</v>
      </c>
      <c r="AL232" s="77">
        <f t="shared" ref="AL232" si="1504">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v>0</v>
      </c>
      <c r="AM232" s="110"/>
      <c r="AN232" s="76" t="s">
        <v>2209</v>
      </c>
      <c r="AO232" s="77">
        <f t="shared" ref="AO232" si="1505">IFERROR(IF(COUNTIF($K$232:$K$233,LEFT(AN232,FIND("·",AN232)-1))&gt;0,IF(INDEX($L$232:$L$233,MATCH(LEFT(AN232,FIND("·",AN232)-1),$K$232:$K$233,0))=IFERROR(VALUE(MID(AN232,FIND("·",AN232)+1,1)),0),($D$28+(INDEX($M$232:$M$233,MATCH(LEFT(AN232,FIND("·",AN232)-1),$K$232:$K$233,0))=MID(AN232,FIND("|",AN232)+1,10))*$D$30+MAX(0,IF($D$50=1,$D$29*(1-(ABS(INDEX($P$232:$P$233,MATCH(LEFT(AN232,FIND("·",AN232)-1),$K$232:$K$233,0))-(VALUE(MID(AN232,FIND("|",AN232)+1,FIND("-",AN232,FIND("|",AN232))-FIND("|",AN232)-1))-VALUE(MID(AN232,FIND("-",AN232,FIND("|",AN232))+1,10)))))*$D$50),$D$29*(1-(IF(INDEX($L$232:$L$233,MATCH(LEFT(AN232,FIND("·",AN232)-1),$K$232:$K$233,0))=0,ABS(INDEX($N$232:$N$233,MATCH(LEFT(AN232,FIND("·",AN232)-1),$K$232:$K$233,0))-VALUE(MID(AN232,FIND("|",AN232)+1,FIND("-",AN232,FIND("|",AN232))-FIND("|",AN232)-1))),ABS(INDEX($P$232:$P$233,MATCH(LEFT(AN232,FIND("·",AN232)-1),$K$232:$K$233,0))-(VALUE(MID(AN232,FIND("|",AN232)+1,FIND("-",AN232,FIND("|",AN232))-FIND("|",AN232)-1))-VALUE(MID(AN232,FIND("-",AN232,FIND("|",AN232))+1,10)))))*$D$50)))))*INDEX($I$232:$I$233,MATCH(LEFT(AN232,FIND("·",AN232)-1),$K$232:$K$233,0)),0),0),0)+IFERROR(IF(COUNTIF($C$232:$C$233,LEFT(AN232,FIND("·",AN232)-1))&gt;0,IF(INDEX($D$232:$D$233,MATCH(LEFT(AN232,FIND("·",AN232)-1),$C$232:$C$233,0))=IFERROR(VALUE(MID(AN232,FIND("·",AN232)+1,1)),0),($D$28+(INDEX($E$232:$E$233,MATCH(LEFT(AN232,FIND("·",AN232)-1),$C$232:$C$233,0))=MID(AN232,FIND("|",AN232)+1,10))*$D$30+MAX(0,IF($D$50=1,$D$29*(1-(ABS(INDEX($Q$232:$Q$233,MATCH(LEFT(AN232,FIND("·",AN232)-1),$C$232:$C$233,0))-(VALUE(MID(AN232,FIND("|",AN232)+1,FIND("-",AN232,FIND("|",AN232))-FIND("|",AN232)-1))-VALUE(MID(AN232,FIND("-",AN232,FIND("|",AN232))+1,10)))))*$D$50),$D$29*(1-(IF(INDEX($D$232:$D$233,MATCH(LEFT(AN232,FIND("·",AN232)-1),$C$232:$C$233,0))=0,ABS(INDEX($A$232:$A$233,MATCH(LEFT(AN232,FIND("·",AN232)-1),$C$232:$C$233,0))-VALUE(MID(AN232,FIND("|",AN232)+1,FIND("-",AN232,FIND("|",AN232))-FIND("|",AN232)-1))),ABS(INDEX($Q$232:$Q$233,MATCH(LEFT(AN232,FIND("·",AN232)-1),$C$232:$C$233,0))-(VALUE(MID(AN232,FIND("|",AN232)+1,FIND("-",AN232,FIND("|",AN232))-FIND("|",AN232)-1))-VALUE(MID(AN232,FIND("-",AN232,FIND("|",AN232))+1,10)))))*$D$50)))))*INDEX($I$232:$I$233,MATCH(LEFT(AN232,FIND("·",AN232)-1),$C$232:$C$233,0)),0),0),0)</f>
        <v>0</v>
      </c>
      <c r="AP232" s="110"/>
      <c r="AQ232" s="76" t="s">
        <v>2120</v>
      </c>
      <c r="AR232" s="77">
        <f t="shared" ref="AR232" si="1506">IFERROR(IF(COUNTIF($K$232:$K$233,LEFT(AQ232,FIND("·",AQ232)-1))&gt;0,IF(INDEX($L$232:$L$233,MATCH(LEFT(AQ232,FIND("·",AQ232)-1),$K$232:$K$233,0))=IFERROR(VALUE(MID(AQ232,FIND("·",AQ232)+1,1)),0),($D$28+(INDEX($M$232:$M$233,MATCH(LEFT(AQ232,FIND("·",AQ232)-1),$K$232:$K$233,0))=MID(AQ232,FIND("|",AQ232)+1,10))*$D$30+MAX(0,IF($D$50=1,$D$29*(1-(ABS(INDEX($P$232:$P$233,MATCH(LEFT(AQ232,FIND("·",AQ232)-1),$K$232:$K$233,0))-(VALUE(MID(AQ232,FIND("|",AQ232)+1,FIND("-",AQ232,FIND("|",AQ232))-FIND("|",AQ232)-1))-VALUE(MID(AQ232,FIND("-",AQ232,FIND("|",AQ232))+1,10)))))*$D$50),$D$29*(1-(IF(INDEX($L$232:$L$233,MATCH(LEFT(AQ232,FIND("·",AQ232)-1),$K$232:$K$233,0))=0,ABS(INDEX($N$232:$N$233,MATCH(LEFT(AQ232,FIND("·",AQ232)-1),$K$232:$K$233,0))-VALUE(MID(AQ232,FIND("|",AQ232)+1,FIND("-",AQ232,FIND("|",AQ232))-FIND("|",AQ232)-1))),ABS(INDEX($P$232:$P$233,MATCH(LEFT(AQ232,FIND("·",AQ232)-1),$K$232:$K$233,0))-(VALUE(MID(AQ232,FIND("|",AQ232)+1,FIND("-",AQ232,FIND("|",AQ232))-FIND("|",AQ232)-1))-VALUE(MID(AQ232,FIND("-",AQ232,FIND("|",AQ232))+1,10)))))*$D$50)))))*INDEX($I$232:$I$233,MATCH(LEFT(AQ232,FIND("·",AQ232)-1),$K$232:$K$233,0)),0),0),0)+IFERROR(IF(COUNTIF($C$232:$C$233,LEFT(AQ232,FIND("·",AQ232)-1))&gt;0,IF(INDEX($D$232:$D$233,MATCH(LEFT(AQ232,FIND("·",AQ232)-1),$C$232:$C$233,0))=IFERROR(VALUE(MID(AQ232,FIND("·",AQ232)+1,1)),0),($D$28+(INDEX($E$232:$E$233,MATCH(LEFT(AQ232,FIND("·",AQ232)-1),$C$232:$C$233,0))=MID(AQ232,FIND("|",AQ232)+1,10))*$D$30+MAX(0,IF($D$50=1,$D$29*(1-(ABS(INDEX($Q$232:$Q$233,MATCH(LEFT(AQ232,FIND("·",AQ232)-1),$C$232:$C$233,0))-(VALUE(MID(AQ232,FIND("|",AQ232)+1,FIND("-",AQ232,FIND("|",AQ232))-FIND("|",AQ232)-1))-VALUE(MID(AQ232,FIND("-",AQ232,FIND("|",AQ232))+1,10)))))*$D$50),$D$29*(1-(IF(INDEX($D$232:$D$233,MATCH(LEFT(AQ232,FIND("·",AQ232)-1),$C$232:$C$233,0))=0,ABS(INDEX($A$232:$A$233,MATCH(LEFT(AQ232,FIND("·",AQ232)-1),$C$232:$C$233,0))-VALUE(MID(AQ232,FIND("|",AQ232)+1,FIND("-",AQ232,FIND("|",AQ232))-FIND("|",AQ232)-1))),ABS(INDEX($Q$232:$Q$233,MATCH(LEFT(AQ232,FIND("·",AQ232)-1),$C$232:$C$233,0))-(VALUE(MID(AQ232,FIND("|",AQ232)+1,FIND("-",AQ232,FIND("|",AQ232))-FIND("|",AQ232)-1))-VALUE(MID(AQ232,FIND("-",AQ232,FIND("|",AQ232))+1,10)))))*$D$50)))))*INDEX($I$232:$I$233,MATCH(LEFT(AQ232,FIND("·",AQ232)-1),$C$232:$C$233,0)),0),0),0)</f>
        <v>0</v>
      </c>
      <c r="AS232" s="110"/>
      <c r="AT232" s="76" t="s">
        <v>2257</v>
      </c>
      <c r="AU232" s="77">
        <f t="shared" ref="AU232" si="1507">IFERROR(IF(COUNTIF($K$232:$K$233,LEFT(AT232,FIND("·",AT232)-1))&gt;0,IF(INDEX($L$232:$L$233,MATCH(LEFT(AT232,FIND("·",AT232)-1),$K$232:$K$233,0))=IFERROR(VALUE(MID(AT232,FIND("·",AT232)+1,1)),0),($D$28+(INDEX($M$232:$M$233,MATCH(LEFT(AT232,FIND("·",AT232)-1),$K$232:$K$233,0))=MID(AT232,FIND("|",AT232)+1,10))*$D$30+MAX(0,IF($D$50=1,$D$29*(1-(ABS(INDEX($P$232:$P$233,MATCH(LEFT(AT232,FIND("·",AT232)-1),$K$232:$K$233,0))-(VALUE(MID(AT232,FIND("|",AT232)+1,FIND("-",AT232,FIND("|",AT232))-FIND("|",AT232)-1))-VALUE(MID(AT232,FIND("-",AT232,FIND("|",AT232))+1,10)))))*$D$50),$D$29*(1-(IF(INDEX($L$232:$L$233,MATCH(LEFT(AT232,FIND("·",AT232)-1),$K$232:$K$233,0))=0,ABS(INDEX($N$232:$N$233,MATCH(LEFT(AT232,FIND("·",AT232)-1),$K$232:$K$233,0))-VALUE(MID(AT232,FIND("|",AT232)+1,FIND("-",AT232,FIND("|",AT232))-FIND("|",AT232)-1))),ABS(INDEX($P$232:$P$233,MATCH(LEFT(AT232,FIND("·",AT232)-1),$K$232:$K$233,0))-(VALUE(MID(AT232,FIND("|",AT232)+1,FIND("-",AT232,FIND("|",AT232))-FIND("|",AT232)-1))-VALUE(MID(AT232,FIND("-",AT232,FIND("|",AT232))+1,10)))))*$D$50)))))*INDEX($I$232:$I$233,MATCH(LEFT(AT232,FIND("·",AT232)-1),$K$232:$K$233,0)),0),0),0)+IFERROR(IF(COUNTIF($C$232:$C$233,LEFT(AT232,FIND("·",AT232)-1))&gt;0,IF(INDEX($D$232:$D$233,MATCH(LEFT(AT232,FIND("·",AT232)-1),$C$232:$C$233,0))=IFERROR(VALUE(MID(AT232,FIND("·",AT232)+1,1)),0),($D$28+(INDEX($E$232:$E$233,MATCH(LEFT(AT232,FIND("·",AT232)-1),$C$232:$C$233,0))=MID(AT232,FIND("|",AT232)+1,10))*$D$30+MAX(0,IF($D$50=1,$D$29*(1-(ABS(INDEX($Q$232:$Q$233,MATCH(LEFT(AT232,FIND("·",AT232)-1),$C$232:$C$233,0))-(VALUE(MID(AT232,FIND("|",AT232)+1,FIND("-",AT232,FIND("|",AT232))-FIND("|",AT232)-1))-VALUE(MID(AT232,FIND("-",AT232,FIND("|",AT232))+1,10)))))*$D$50),$D$29*(1-(IF(INDEX($D$232:$D$233,MATCH(LEFT(AT232,FIND("·",AT232)-1),$C$232:$C$233,0))=0,ABS(INDEX($A$232:$A$233,MATCH(LEFT(AT232,FIND("·",AT232)-1),$C$232:$C$233,0))-VALUE(MID(AT232,FIND("|",AT232)+1,FIND("-",AT232,FIND("|",AT232))-FIND("|",AT232)-1))),ABS(INDEX($Q$232:$Q$233,MATCH(LEFT(AT232,FIND("·",AT232)-1),$C$232:$C$233,0))-(VALUE(MID(AT232,FIND("|",AT232)+1,FIND("-",AT232,FIND("|",AT232))-FIND("|",AT232)-1))-VALUE(MID(AT232,FIND("-",AT232,FIND("|",AT232))+1,10)))))*$D$50)))))*INDEX($I$232:$I$233,MATCH(LEFT(AT232,FIND("·",AT232)-1),$C$232:$C$233,0)),0),0),0)</f>
        <v>0</v>
      </c>
      <c r="AV232" s="110"/>
      <c r="AW232" s="76" t="s">
        <v>2092</v>
      </c>
      <c r="AX232" s="77">
        <f t="shared" ref="AX232" si="1508">IFERROR(IF(COUNTIF($K$232:$K$233,LEFT(AW232,FIND("·",AW232)-1))&gt;0,IF(INDEX($L$232:$L$233,MATCH(LEFT(AW232,FIND("·",AW232)-1),$K$232:$K$233,0))=IFERROR(VALUE(MID(AW232,FIND("·",AW232)+1,1)),0),($D$28+(INDEX($M$232:$M$233,MATCH(LEFT(AW232,FIND("·",AW232)-1),$K$232:$K$233,0))=MID(AW232,FIND("|",AW232)+1,10))*$D$30+MAX(0,IF($D$50=1,$D$29*(1-(ABS(INDEX($P$232:$P$233,MATCH(LEFT(AW232,FIND("·",AW232)-1),$K$232:$K$233,0))-(VALUE(MID(AW232,FIND("|",AW232)+1,FIND("-",AW232,FIND("|",AW232))-FIND("|",AW232)-1))-VALUE(MID(AW232,FIND("-",AW232,FIND("|",AW232))+1,10)))))*$D$50),$D$29*(1-(IF(INDEX($L$232:$L$233,MATCH(LEFT(AW232,FIND("·",AW232)-1),$K$232:$K$233,0))=0,ABS(INDEX($N$232:$N$233,MATCH(LEFT(AW232,FIND("·",AW232)-1),$K$232:$K$233,0))-VALUE(MID(AW232,FIND("|",AW232)+1,FIND("-",AW232,FIND("|",AW232))-FIND("|",AW232)-1))),ABS(INDEX($P$232:$P$233,MATCH(LEFT(AW232,FIND("·",AW232)-1),$K$232:$K$233,0))-(VALUE(MID(AW232,FIND("|",AW232)+1,FIND("-",AW232,FIND("|",AW232))-FIND("|",AW232)-1))-VALUE(MID(AW232,FIND("-",AW232,FIND("|",AW232))+1,10)))))*$D$50)))))*INDEX($I$232:$I$233,MATCH(LEFT(AW232,FIND("·",AW232)-1),$K$232:$K$233,0)),0),0),0)+IFERROR(IF(COUNTIF($C$232:$C$233,LEFT(AW232,FIND("·",AW232)-1))&gt;0,IF(INDEX($D$232:$D$233,MATCH(LEFT(AW232,FIND("·",AW232)-1),$C$232:$C$233,0))=IFERROR(VALUE(MID(AW232,FIND("·",AW232)+1,1)),0),($D$28+(INDEX($E$232:$E$233,MATCH(LEFT(AW232,FIND("·",AW232)-1),$C$232:$C$233,0))=MID(AW232,FIND("|",AW232)+1,10))*$D$30+MAX(0,IF($D$50=1,$D$29*(1-(ABS(INDEX($Q$232:$Q$233,MATCH(LEFT(AW232,FIND("·",AW232)-1),$C$232:$C$233,0))-(VALUE(MID(AW232,FIND("|",AW232)+1,FIND("-",AW232,FIND("|",AW232))-FIND("|",AW232)-1))-VALUE(MID(AW232,FIND("-",AW232,FIND("|",AW232))+1,10)))))*$D$50),$D$29*(1-(IF(INDEX($D$232:$D$233,MATCH(LEFT(AW232,FIND("·",AW232)-1),$C$232:$C$233,0))=0,ABS(INDEX($A$232:$A$233,MATCH(LEFT(AW232,FIND("·",AW232)-1),$C$232:$C$233,0))-VALUE(MID(AW232,FIND("|",AW232)+1,FIND("-",AW232,FIND("|",AW232))-FIND("|",AW232)-1))),ABS(INDEX($Q$232:$Q$233,MATCH(LEFT(AW232,FIND("·",AW232)-1),$C$232:$C$233,0))-(VALUE(MID(AW232,FIND("|",AW232)+1,FIND("-",AW232,FIND("|",AW232))-FIND("|",AW232)-1))-VALUE(MID(AW232,FIND("-",AW232,FIND("|",AW232))+1,10)))))*$D$50)))))*INDEX($I$232:$I$233,MATCH(LEFT(AW232,FIND("·",AW232)-1),$C$232:$C$233,0)),0),0),0)</f>
        <v>0</v>
      </c>
      <c r="AY232" s="110"/>
      <c r="AZ232" s="76" t="s">
        <v>2120</v>
      </c>
      <c r="BA232" s="77">
        <f t="shared" ref="BA232" si="1509">IFERROR(IF(COUNTIF($K$232:$K$233,LEFT(AZ232,FIND("·",AZ232)-1))&gt;0,IF(INDEX($L$232:$L$233,MATCH(LEFT(AZ232,FIND("·",AZ232)-1),$K$232:$K$233,0))=IFERROR(VALUE(MID(AZ232,FIND("·",AZ232)+1,1)),0),($D$28+(INDEX($M$232:$M$233,MATCH(LEFT(AZ232,FIND("·",AZ232)-1),$K$232:$K$233,0))=MID(AZ232,FIND("|",AZ232)+1,10))*$D$30+MAX(0,IF($D$50=1,$D$29*(1-(ABS(INDEX($P$232:$P$233,MATCH(LEFT(AZ232,FIND("·",AZ232)-1),$K$232:$K$233,0))-(VALUE(MID(AZ232,FIND("|",AZ232)+1,FIND("-",AZ232,FIND("|",AZ232))-FIND("|",AZ232)-1))-VALUE(MID(AZ232,FIND("-",AZ232,FIND("|",AZ232))+1,10)))))*$D$50),$D$29*(1-(IF(INDEX($L$232:$L$233,MATCH(LEFT(AZ232,FIND("·",AZ232)-1),$K$232:$K$233,0))=0,ABS(INDEX($N$232:$N$233,MATCH(LEFT(AZ232,FIND("·",AZ232)-1),$K$232:$K$233,0))-VALUE(MID(AZ232,FIND("|",AZ232)+1,FIND("-",AZ232,FIND("|",AZ232))-FIND("|",AZ232)-1))),ABS(INDEX($P$232:$P$233,MATCH(LEFT(AZ232,FIND("·",AZ232)-1),$K$232:$K$233,0))-(VALUE(MID(AZ232,FIND("|",AZ232)+1,FIND("-",AZ232,FIND("|",AZ232))-FIND("|",AZ232)-1))-VALUE(MID(AZ232,FIND("-",AZ232,FIND("|",AZ232))+1,10)))))*$D$50)))))*INDEX($I$232:$I$233,MATCH(LEFT(AZ232,FIND("·",AZ232)-1),$K$232:$K$233,0)),0),0),0)+IFERROR(IF(COUNTIF($C$232:$C$233,LEFT(AZ232,FIND("·",AZ232)-1))&gt;0,IF(INDEX($D$232:$D$233,MATCH(LEFT(AZ232,FIND("·",AZ232)-1),$C$232:$C$233,0))=IFERROR(VALUE(MID(AZ232,FIND("·",AZ232)+1,1)),0),($D$28+(INDEX($E$232:$E$233,MATCH(LEFT(AZ232,FIND("·",AZ232)-1),$C$232:$C$233,0))=MID(AZ232,FIND("|",AZ232)+1,10))*$D$30+MAX(0,IF($D$50=1,$D$29*(1-(ABS(INDEX($Q$232:$Q$233,MATCH(LEFT(AZ232,FIND("·",AZ232)-1),$C$232:$C$233,0))-(VALUE(MID(AZ232,FIND("|",AZ232)+1,FIND("-",AZ232,FIND("|",AZ232))-FIND("|",AZ232)-1))-VALUE(MID(AZ232,FIND("-",AZ232,FIND("|",AZ232))+1,10)))))*$D$50),$D$29*(1-(IF(INDEX($D$232:$D$233,MATCH(LEFT(AZ232,FIND("·",AZ232)-1),$C$232:$C$233,0))=0,ABS(INDEX($A$232:$A$233,MATCH(LEFT(AZ232,FIND("·",AZ232)-1),$C$232:$C$233,0))-VALUE(MID(AZ232,FIND("|",AZ232)+1,FIND("-",AZ232,FIND("|",AZ232))-FIND("|",AZ232)-1))),ABS(INDEX($Q$232:$Q$233,MATCH(LEFT(AZ232,FIND("·",AZ232)-1),$C$232:$C$233,0))-(VALUE(MID(AZ232,FIND("|",AZ232)+1,FIND("-",AZ232,FIND("|",AZ232))-FIND("|",AZ232)-1))-VALUE(MID(AZ232,FIND("-",AZ232,FIND("|",AZ232))+1,10)))))*$D$50)))))*INDEX($I$232:$I$233,MATCH(LEFT(AZ232,FIND("·",AZ232)-1),$C$232:$C$233,0)),0),0),0)</f>
        <v>0</v>
      </c>
      <c r="BB232" s="110"/>
      <c r="BC232" s="76" t="s">
        <v>2334</v>
      </c>
      <c r="BD232" s="77">
        <f t="shared" ref="BD232" si="1510">IFERROR(IF(COUNTIF($K$232:$K$233,LEFT(BC232,FIND("·",BC232)-1))&gt;0,IF(INDEX($L$232:$L$233,MATCH(LEFT(BC232,FIND("·",BC232)-1),$K$232:$K$233,0))=IFERROR(VALUE(MID(BC232,FIND("·",BC232)+1,1)),0),($D$28+(INDEX($M$232:$M$233,MATCH(LEFT(BC232,FIND("·",BC232)-1),$K$232:$K$233,0))=MID(BC232,FIND("|",BC232)+1,10))*$D$30+MAX(0,IF($D$50=1,$D$29*(1-(ABS(INDEX($P$232:$P$233,MATCH(LEFT(BC232,FIND("·",BC232)-1),$K$232:$K$233,0))-(VALUE(MID(BC232,FIND("|",BC232)+1,FIND("-",BC232,FIND("|",BC232))-FIND("|",BC232)-1))-VALUE(MID(BC232,FIND("-",BC232,FIND("|",BC232))+1,10)))))*$D$50),$D$29*(1-(IF(INDEX($L$232:$L$233,MATCH(LEFT(BC232,FIND("·",BC232)-1),$K$232:$K$233,0))=0,ABS(INDEX($N$232:$N$233,MATCH(LEFT(BC232,FIND("·",BC232)-1),$K$232:$K$233,0))-VALUE(MID(BC232,FIND("|",BC232)+1,FIND("-",BC232,FIND("|",BC232))-FIND("|",BC232)-1))),ABS(INDEX($P$232:$P$233,MATCH(LEFT(BC232,FIND("·",BC232)-1),$K$232:$K$233,0))-(VALUE(MID(BC232,FIND("|",BC232)+1,FIND("-",BC232,FIND("|",BC232))-FIND("|",BC232)-1))-VALUE(MID(BC232,FIND("-",BC232,FIND("|",BC232))+1,10)))))*$D$50)))))*INDEX($I$232:$I$233,MATCH(LEFT(BC232,FIND("·",BC232)-1),$K$232:$K$233,0)),0),0),0)+IFERROR(IF(COUNTIF($C$232:$C$233,LEFT(BC232,FIND("·",BC232)-1))&gt;0,IF(INDEX($D$232:$D$233,MATCH(LEFT(BC232,FIND("·",BC232)-1),$C$232:$C$233,0))=IFERROR(VALUE(MID(BC232,FIND("·",BC232)+1,1)),0),($D$28+(INDEX($E$232:$E$233,MATCH(LEFT(BC232,FIND("·",BC232)-1),$C$232:$C$233,0))=MID(BC232,FIND("|",BC232)+1,10))*$D$30+MAX(0,IF($D$50=1,$D$29*(1-(ABS(INDEX($Q$232:$Q$233,MATCH(LEFT(BC232,FIND("·",BC232)-1),$C$232:$C$233,0))-(VALUE(MID(BC232,FIND("|",BC232)+1,FIND("-",BC232,FIND("|",BC232))-FIND("|",BC232)-1))-VALUE(MID(BC232,FIND("-",BC232,FIND("|",BC232))+1,10)))))*$D$50),$D$29*(1-(IF(INDEX($D$232:$D$233,MATCH(LEFT(BC232,FIND("·",BC232)-1),$C$232:$C$233,0))=0,ABS(INDEX($A$232:$A$233,MATCH(LEFT(BC232,FIND("·",BC232)-1),$C$232:$C$233,0))-VALUE(MID(BC232,FIND("|",BC232)+1,FIND("-",BC232,FIND("|",BC232))-FIND("|",BC232)-1))),ABS(INDEX($Q$232:$Q$233,MATCH(LEFT(BC232,FIND("·",BC232)-1),$C$232:$C$233,0))-(VALUE(MID(BC232,FIND("|",BC232)+1,FIND("-",BC232,FIND("|",BC232))-FIND("|",BC232)-1))-VALUE(MID(BC232,FIND("-",BC232,FIND("|",BC232))+1,10)))))*$D$50)))))*INDEX($I$232:$I$233,MATCH(LEFT(BC232,FIND("·",BC232)-1),$C$232:$C$233,0)),0),0),0)</f>
        <v>0</v>
      </c>
      <c r="BE232" s="110"/>
      <c r="BF232" s="76" t="s">
        <v>2031</v>
      </c>
      <c r="BG232" s="77">
        <f t="shared" ref="BG232" si="1511">IFERROR(IF(COUNTIF($K$232:$K$233,LEFT(BF232,FIND("·",BF232)-1))&gt;0,IF(INDEX($L$232:$L$233,MATCH(LEFT(BF232,FIND("·",BF232)-1),$K$232:$K$233,0))=IFERROR(VALUE(MID(BF232,FIND("·",BF232)+1,1)),0),($D$28+(INDEX($M$232:$M$233,MATCH(LEFT(BF232,FIND("·",BF232)-1),$K$232:$K$233,0))=MID(BF232,FIND("|",BF232)+1,10))*$D$30+MAX(0,IF($D$50=1,$D$29*(1-(ABS(INDEX($P$232:$P$233,MATCH(LEFT(BF232,FIND("·",BF232)-1),$K$232:$K$233,0))-(VALUE(MID(BF232,FIND("|",BF232)+1,FIND("-",BF232,FIND("|",BF232))-FIND("|",BF232)-1))-VALUE(MID(BF232,FIND("-",BF232,FIND("|",BF232))+1,10)))))*$D$50),$D$29*(1-(IF(INDEX($L$232:$L$233,MATCH(LEFT(BF232,FIND("·",BF232)-1),$K$232:$K$233,0))=0,ABS(INDEX($N$232:$N$233,MATCH(LEFT(BF232,FIND("·",BF232)-1),$K$232:$K$233,0))-VALUE(MID(BF232,FIND("|",BF232)+1,FIND("-",BF232,FIND("|",BF232))-FIND("|",BF232)-1))),ABS(INDEX($P$232:$P$233,MATCH(LEFT(BF232,FIND("·",BF232)-1),$K$232:$K$233,0))-(VALUE(MID(BF232,FIND("|",BF232)+1,FIND("-",BF232,FIND("|",BF232))-FIND("|",BF232)-1))-VALUE(MID(BF232,FIND("-",BF232,FIND("|",BF232))+1,10)))))*$D$50)))))*INDEX($I$232:$I$233,MATCH(LEFT(BF232,FIND("·",BF232)-1),$K$232:$K$233,0)),0),0),0)+IFERROR(IF(COUNTIF($C$232:$C$233,LEFT(BF232,FIND("·",BF232)-1))&gt;0,IF(INDEX($D$232:$D$233,MATCH(LEFT(BF232,FIND("·",BF232)-1),$C$232:$C$233,0))=IFERROR(VALUE(MID(BF232,FIND("·",BF232)+1,1)),0),($D$28+(INDEX($E$232:$E$233,MATCH(LEFT(BF232,FIND("·",BF232)-1),$C$232:$C$233,0))=MID(BF232,FIND("|",BF232)+1,10))*$D$30+MAX(0,IF($D$50=1,$D$29*(1-(ABS(INDEX($Q$232:$Q$233,MATCH(LEFT(BF232,FIND("·",BF232)-1),$C$232:$C$233,0))-(VALUE(MID(BF232,FIND("|",BF232)+1,FIND("-",BF232,FIND("|",BF232))-FIND("|",BF232)-1))-VALUE(MID(BF232,FIND("-",BF232,FIND("|",BF232))+1,10)))))*$D$50),$D$29*(1-(IF(INDEX($D$232:$D$233,MATCH(LEFT(BF232,FIND("·",BF232)-1),$C$232:$C$233,0))=0,ABS(INDEX($A$232:$A$233,MATCH(LEFT(BF232,FIND("·",BF232)-1),$C$232:$C$233,0))-VALUE(MID(BF232,FIND("|",BF232)+1,FIND("-",BF232,FIND("|",BF232))-FIND("|",BF232)-1))),ABS(INDEX($Q$232:$Q$233,MATCH(LEFT(BF232,FIND("·",BF232)-1),$C$232:$C$233,0))-(VALUE(MID(BF232,FIND("|",BF232)+1,FIND("-",BF232,FIND("|",BF232))-FIND("|",BF232)-1))-VALUE(MID(BF232,FIND("-",BF232,FIND("|",BF232))+1,10)))))*$D$50)))))*INDEX($I$232:$I$233,MATCH(LEFT(BF232,FIND("·",BF232)-1),$C$232:$C$233,0)),0),0),0)</f>
        <v>0</v>
      </c>
      <c r="BH232" s="110"/>
      <c r="BI232" s="76" t="s">
        <v>2375</v>
      </c>
      <c r="BJ232" s="77">
        <f t="shared" ref="BJ232" si="1512">IFERROR(IF(COUNTIF($K$232:$K$233,LEFT(BI232,FIND("·",BI232)-1))&gt;0,IF(INDEX($L$232:$L$233,MATCH(LEFT(BI232,FIND("·",BI232)-1),$K$232:$K$233,0))=IFERROR(VALUE(MID(BI232,FIND("·",BI232)+1,1)),0),($D$28+(INDEX($M$232:$M$233,MATCH(LEFT(BI232,FIND("·",BI232)-1),$K$232:$K$233,0))=MID(BI232,FIND("|",BI232)+1,10))*$D$30+MAX(0,IF($D$50=1,$D$29*(1-(ABS(INDEX($P$232:$P$233,MATCH(LEFT(BI232,FIND("·",BI232)-1),$K$232:$K$233,0))-(VALUE(MID(BI232,FIND("|",BI232)+1,FIND("-",BI232,FIND("|",BI232))-FIND("|",BI232)-1))-VALUE(MID(BI232,FIND("-",BI232,FIND("|",BI232))+1,10)))))*$D$50),$D$29*(1-(IF(INDEX($L$232:$L$233,MATCH(LEFT(BI232,FIND("·",BI232)-1),$K$232:$K$233,0))=0,ABS(INDEX($N$232:$N$233,MATCH(LEFT(BI232,FIND("·",BI232)-1),$K$232:$K$233,0))-VALUE(MID(BI232,FIND("|",BI232)+1,FIND("-",BI232,FIND("|",BI232))-FIND("|",BI232)-1))),ABS(INDEX($P$232:$P$233,MATCH(LEFT(BI232,FIND("·",BI232)-1),$K$232:$K$233,0))-(VALUE(MID(BI232,FIND("|",BI232)+1,FIND("-",BI232,FIND("|",BI232))-FIND("|",BI232)-1))-VALUE(MID(BI232,FIND("-",BI232,FIND("|",BI232))+1,10)))))*$D$50)))))*INDEX($I$232:$I$233,MATCH(LEFT(BI232,FIND("·",BI232)-1),$K$232:$K$233,0)),0),0),0)+IFERROR(IF(COUNTIF($C$232:$C$233,LEFT(BI232,FIND("·",BI232)-1))&gt;0,IF(INDEX($D$232:$D$233,MATCH(LEFT(BI232,FIND("·",BI232)-1),$C$232:$C$233,0))=IFERROR(VALUE(MID(BI232,FIND("·",BI232)+1,1)),0),($D$28+(INDEX($E$232:$E$233,MATCH(LEFT(BI232,FIND("·",BI232)-1),$C$232:$C$233,0))=MID(BI232,FIND("|",BI232)+1,10))*$D$30+MAX(0,IF($D$50=1,$D$29*(1-(ABS(INDEX($Q$232:$Q$233,MATCH(LEFT(BI232,FIND("·",BI232)-1),$C$232:$C$233,0))-(VALUE(MID(BI232,FIND("|",BI232)+1,FIND("-",BI232,FIND("|",BI232))-FIND("|",BI232)-1))-VALUE(MID(BI232,FIND("-",BI232,FIND("|",BI232))+1,10)))))*$D$50),$D$29*(1-(IF(INDEX($D$232:$D$233,MATCH(LEFT(BI232,FIND("·",BI232)-1),$C$232:$C$233,0))=0,ABS(INDEX($A$232:$A$233,MATCH(LEFT(BI232,FIND("·",BI232)-1),$C$232:$C$233,0))-VALUE(MID(BI232,FIND("|",BI232)+1,FIND("-",BI232,FIND("|",BI232))-FIND("|",BI232)-1))),ABS(INDEX($Q$232:$Q$233,MATCH(LEFT(BI232,FIND("·",BI232)-1),$C$232:$C$233,0))-(VALUE(MID(BI232,FIND("|",BI232)+1,FIND("-",BI232,FIND("|",BI232))-FIND("|",BI232)-1))-VALUE(MID(BI232,FIND("-",BI232,FIND("|",BI232))+1,10)))))*$D$50)))))*INDEX($I$232:$I$233,MATCH(LEFT(BI232,FIND("·",BI232)-1),$C$232:$C$233,0)),0),0),0)</f>
        <v>0</v>
      </c>
      <c r="BK232" s="110"/>
      <c r="BL232" s="76" t="s">
        <v>2031</v>
      </c>
      <c r="BM232" s="77">
        <f t="shared" ref="BM232" si="1513">IFERROR(IF(COUNTIF($K$232:$K$233,LEFT(BL232,FIND("·",BL232)-1))&gt;0,IF(INDEX($L$232:$L$233,MATCH(LEFT(BL232,FIND("·",BL232)-1),$K$232:$K$233,0))=IFERROR(VALUE(MID(BL232,FIND("·",BL232)+1,1)),0),($D$28+(INDEX($M$232:$M$233,MATCH(LEFT(BL232,FIND("·",BL232)-1),$K$232:$K$233,0))=MID(BL232,FIND("|",BL232)+1,10))*$D$30+MAX(0,IF($D$50=1,$D$29*(1-(ABS(INDEX($P$232:$P$233,MATCH(LEFT(BL232,FIND("·",BL232)-1),$K$232:$K$233,0))-(VALUE(MID(BL232,FIND("|",BL232)+1,FIND("-",BL232,FIND("|",BL232))-FIND("|",BL232)-1))-VALUE(MID(BL232,FIND("-",BL232,FIND("|",BL232))+1,10)))))*$D$50),$D$29*(1-(IF(INDEX($L$232:$L$233,MATCH(LEFT(BL232,FIND("·",BL232)-1),$K$232:$K$233,0))=0,ABS(INDEX($N$232:$N$233,MATCH(LEFT(BL232,FIND("·",BL232)-1),$K$232:$K$233,0))-VALUE(MID(BL232,FIND("|",BL232)+1,FIND("-",BL232,FIND("|",BL232))-FIND("|",BL232)-1))),ABS(INDEX($P$232:$P$233,MATCH(LEFT(BL232,FIND("·",BL232)-1),$K$232:$K$233,0))-(VALUE(MID(BL232,FIND("|",BL232)+1,FIND("-",BL232,FIND("|",BL232))-FIND("|",BL232)-1))-VALUE(MID(BL232,FIND("-",BL232,FIND("|",BL232))+1,10)))))*$D$50)))))*INDEX($I$232:$I$233,MATCH(LEFT(BL232,FIND("·",BL232)-1),$K$232:$K$233,0)),0),0),0)+IFERROR(IF(COUNTIF($C$232:$C$233,LEFT(BL232,FIND("·",BL232)-1))&gt;0,IF(INDEX($D$232:$D$233,MATCH(LEFT(BL232,FIND("·",BL232)-1),$C$232:$C$233,0))=IFERROR(VALUE(MID(BL232,FIND("·",BL232)+1,1)),0),($D$28+(INDEX($E$232:$E$233,MATCH(LEFT(BL232,FIND("·",BL232)-1),$C$232:$C$233,0))=MID(BL232,FIND("|",BL232)+1,10))*$D$30+MAX(0,IF($D$50=1,$D$29*(1-(ABS(INDEX($Q$232:$Q$233,MATCH(LEFT(BL232,FIND("·",BL232)-1),$C$232:$C$233,0))-(VALUE(MID(BL232,FIND("|",BL232)+1,FIND("-",BL232,FIND("|",BL232))-FIND("|",BL232)-1))-VALUE(MID(BL232,FIND("-",BL232,FIND("|",BL232))+1,10)))))*$D$50),$D$29*(1-(IF(INDEX($D$232:$D$233,MATCH(LEFT(BL232,FIND("·",BL232)-1),$C$232:$C$233,0))=0,ABS(INDEX($A$232:$A$233,MATCH(LEFT(BL232,FIND("·",BL232)-1),$C$232:$C$233,0))-VALUE(MID(BL232,FIND("|",BL232)+1,FIND("-",BL232,FIND("|",BL232))-FIND("|",BL232)-1))),ABS(INDEX($Q$232:$Q$233,MATCH(LEFT(BL232,FIND("·",BL232)-1),$C$232:$C$233,0))-(VALUE(MID(BL232,FIND("|",BL232)+1,FIND("-",BL232,FIND("|",BL232))-FIND("|",BL232)-1))-VALUE(MID(BL232,FIND("-",BL232,FIND("|",BL232))+1,10)))))*$D$50)))))*INDEX($I$232:$I$233,MATCH(LEFT(BL232,FIND("·",BL232)-1),$C$232:$C$233,0)),0),0),0)</f>
        <v>0</v>
      </c>
      <c r="BN232" s="110"/>
      <c r="BO232" s="76" t="s">
        <v>2031</v>
      </c>
      <c r="BP232" s="77">
        <f t="shared" ref="BP232" si="1514">IFERROR(IF(COUNTIF($K$232:$K$233,LEFT(BO232,FIND("·",BO232)-1))&gt;0,IF(INDEX($L$232:$L$233,MATCH(LEFT(BO232,FIND("·",BO232)-1),$K$232:$K$233,0))=IFERROR(VALUE(MID(BO232,FIND("·",BO232)+1,1)),0),($D$28+(INDEX($M$232:$M$233,MATCH(LEFT(BO232,FIND("·",BO232)-1),$K$232:$K$233,0))=MID(BO232,FIND("|",BO232)+1,10))*$D$30+MAX(0,IF($D$50=1,$D$29*(1-(ABS(INDEX($P$232:$P$233,MATCH(LEFT(BO232,FIND("·",BO232)-1),$K$232:$K$233,0))-(VALUE(MID(BO232,FIND("|",BO232)+1,FIND("-",BO232,FIND("|",BO232))-FIND("|",BO232)-1))-VALUE(MID(BO232,FIND("-",BO232,FIND("|",BO232))+1,10)))))*$D$50),$D$29*(1-(IF(INDEX($L$232:$L$233,MATCH(LEFT(BO232,FIND("·",BO232)-1),$K$232:$K$233,0))=0,ABS(INDEX($N$232:$N$233,MATCH(LEFT(BO232,FIND("·",BO232)-1),$K$232:$K$233,0))-VALUE(MID(BO232,FIND("|",BO232)+1,FIND("-",BO232,FIND("|",BO232))-FIND("|",BO232)-1))),ABS(INDEX($P$232:$P$233,MATCH(LEFT(BO232,FIND("·",BO232)-1),$K$232:$K$233,0))-(VALUE(MID(BO232,FIND("|",BO232)+1,FIND("-",BO232,FIND("|",BO232))-FIND("|",BO232)-1))-VALUE(MID(BO232,FIND("-",BO232,FIND("|",BO232))+1,10)))))*$D$50)))))*INDEX($I$232:$I$233,MATCH(LEFT(BO232,FIND("·",BO232)-1),$K$232:$K$233,0)),0),0),0)+IFERROR(IF(COUNTIF($C$232:$C$233,LEFT(BO232,FIND("·",BO232)-1))&gt;0,IF(INDEX($D$232:$D$233,MATCH(LEFT(BO232,FIND("·",BO232)-1),$C$232:$C$233,0))=IFERROR(VALUE(MID(BO232,FIND("·",BO232)+1,1)),0),($D$28+(INDEX($E$232:$E$233,MATCH(LEFT(BO232,FIND("·",BO232)-1),$C$232:$C$233,0))=MID(BO232,FIND("|",BO232)+1,10))*$D$30+MAX(0,IF($D$50=1,$D$29*(1-(ABS(INDEX($Q$232:$Q$233,MATCH(LEFT(BO232,FIND("·",BO232)-1),$C$232:$C$233,0))-(VALUE(MID(BO232,FIND("|",BO232)+1,FIND("-",BO232,FIND("|",BO232))-FIND("|",BO232)-1))-VALUE(MID(BO232,FIND("-",BO232,FIND("|",BO232))+1,10)))))*$D$50),$D$29*(1-(IF(INDEX($D$232:$D$233,MATCH(LEFT(BO232,FIND("·",BO232)-1),$C$232:$C$233,0))=0,ABS(INDEX($A$232:$A$233,MATCH(LEFT(BO232,FIND("·",BO232)-1),$C$232:$C$233,0))-VALUE(MID(BO232,FIND("|",BO232)+1,FIND("-",BO232,FIND("|",BO232))-FIND("|",BO232)-1))),ABS(INDEX($Q$232:$Q$233,MATCH(LEFT(BO232,FIND("·",BO232)-1),$C$232:$C$233,0))-(VALUE(MID(BO232,FIND("|",BO232)+1,FIND("-",BO232,FIND("|",BO232))-FIND("|",BO232)-1))-VALUE(MID(BO232,FIND("-",BO232,FIND("|",BO232))+1,10)))))*$D$50)))))*INDEX($I$232:$I$233,MATCH(LEFT(BO232,FIND("·",BO232)-1),$C$232:$C$233,0)),0),0),0)</f>
        <v>0</v>
      </c>
      <c r="BQ232" s="110"/>
      <c r="BR232" s="76" t="s">
        <v>2418</v>
      </c>
      <c r="BS232" s="77">
        <f t="shared" ref="BS232" si="1515">IFERROR(IF(COUNTIF($K$232:$K$233,LEFT(BR232,FIND("·",BR232)-1))&gt;0,IF(INDEX($L$232:$L$233,MATCH(LEFT(BR232,FIND("·",BR232)-1),$K$232:$K$233,0))=IFERROR(VALUE(MID(BR232,FIND("·",BR232)+1,1)),0),($D$28+(INDEX($M$232:$M$233,MATCH(LEFT(BR232,FIND("·",BR232)-1),$K$232:$K$233,0))=MID(BR232,FIND("|",BR232)+1,10))*$D$30+MAX(0,IF($D$50=1,$D$29*(1-(ABS(INDEX($P$232:$P$233,MATCH(LEFT(BR232,FIND("·",BR232)-1),$K$232:$K$233,0))-(VALUE(MID(BR232,FIND("|",BR232)+1,FIND("-",BR232,FIND("|",BR232))-FIND("|",BR232)-1))-VALUE(MID(BR232,FIND("-",BR232,FIND("|",BR232))+1,10)))))*$D$50),$D$29*(1-(IF(INDEX($L$232:$L$233,MATCH(LEFT(BR232,FIND("·",BR232)-1),$K$232:$K$233,0))=0,ABS(INDEX($N$232:$N$233,MATCH(LEFT(BR232,FIND("·",BR232)-1),$K$232:$K$233,0))-VALUE(MID(BR232,FIND("|",BR232)+1,FIND("-",BR232,FIND("|",BR232))-FIND("|",BR232)-1))),ABS(INDEX($P$232:$P$233,MATCH(LEFT(BR232,FIND("·",BR232)-1),$K$232:$K$233,0))-(VALUE(MID(BR232,FIND("|",BR232)+1,FIND("-",BR232,FIND("|",BR232))-FIND("|",BR232)-1))-VALUE(MID(BR232,FIND("-",BR232,FIND("|",BR232))+1,10)))))*$D$50)))))*INDEX($I$232:$I$233,MATCH(LEFT(BR232,FIND("·",BR232)-1),$K$232:$K$233,0)),0),0),0)+IFERROR(IF(COUNTIF($C$232:$C$233,LEFT(BR232,FIND("·",BR232)-1))&gt;0,IF(INDEX($D$232:$D$233,MATCH(LEFT(BR232,FIND("·",BR232)-1),$C$232:$C$233,0))=IFERROR(VALUE(MID(BR232,FIND("·",BR232)+1,1)),0),($D$28+(INDEX($E$232:$E$233,MATCH(LEFT(BR232,FIND("·",BR232)-1),$C$232:$C$233,0))=MID(BR232,FIND("|",BR232)+1,10))*$D$30+MAX(0,IF($D$50=1,$D$29*(1-(ABS(INDEX($Q$232:$Q$233,MATCH(LEFT(BR232,FIND("·",BR232)-1),$C$232:$C$233,0))-(VALUE(MID(BR232,FIND("|",BR232)+1,FIND("-",BR232,FIND("|",BR232))-FIND("|",BR232)-1))-VALUE(MID(BR232,FIND("-",BR232,FIND("|",BR232))+1,10)))))*$D$50),$D$29*(1-(IF(INDEX($D$232:$D$233,MATCH(LEFT(BR232,FIND("·",BR232)-1),$C$232:$C$233,0))=0,ABS(INDEX($A$232:$A$233,MATCH(LEFT(BR232,FIND("·",BR232)-1),$C$232:$C$233,0))-VALUE(MID(BR232,FIND("|",BR232)+1,FIND("-",BR232,FIND("|",BR232))-FIND("|",BR232)-1))),ABS(INDEX($Q$232:$Q$233,MATCH(LEFT(BR232,FIND("·",BR232)-1),$C$232:$C$233,0))-(VALUE(MID(BR232,FIND("|",BR232)+1,FIND("-",BR232,FIND("|",BR232))-FIND("|",BR232)-1))-VALUE(MID(BR232,FIND("-",BR232,FIND("|",BR232))+1,10)))))*$D$50)))))*INDEX($I$232:$I$233,MATCH(LEFT(BR232,FIND("·",BR232)-1),$C$232:$C$233,0)),0),0),0)</f>
        <v>0</v>
      </c>
      <c r="BT232" s="110"/>
      <c r="BU232" s="76" t="s">
        <v>2334</v>
      </c>
      <c r="BV232" s="77">
        <f t="shared" ref="BV232" si="1516">IFERROR(IF(COUNTIF($K$232:$K$233,LEFT(BU232,FIND("·",BU232)-1))&gt;0,IF(INDEX($L$232:$L$233,MATCH(LEFT(BU232,FIND("·",BU232)-1),$K$232:$K$233,0))=IFERROR(VALUE(MID(BU232,FIND("·",BU232)+1,1)),0),($D$28+(INDEX($M$232:$M$233,MATCH(LEFT(BU232,FIND("·",BU232)-1),$K$232:$K$233,0))=MID(BU232,FIND("|",BU232)+1,10))*$D$30+MAX(0,IF($D$50=1,$D$29*(1-(ABS(INDEX($P$232:$P$233,MATCH(LEFT(BU232,FIND("·",BU232)-1),$K$232:$K$233,0))-(VALUE(MID(BU232,FIND("|",BU232)+1,FIND("-",BU232,FIND("|",BU232))-FIND("|",BU232)-1))-VALUE(MID(BU232,FIND("-",BU232,FIND("|",BU232))+1,10)))))*$D$50),$D$29*(1-(IF(INDEX($L$232:$L$233,MATCH(LEFT(BU232,FIND("·",BU232)-1),$K$232:$K$233,0))=0,ABS(INDEX($N$232:$N$233,MATCH(LEFT(BU232,FIND("·",BU232)-1),$K$232:$K$233,0))-VALUE(MID(BU232,FIND("|",BU232)+1,FIND("-",BU232,FIND("|",BU232))-FIND("|",BU232)-1))),ABS(INDEX($P$232:$P$233,MATCH(LEFT(BU232,FIND("·",BU232)-1),$K$232:$K$233,0))-(VALUE(MID(BU232,FIND("|",BU232)+1,FIND("-",BU232,FIND("|",BU232))-FIND("|",BU232)-1))-VALUE(MID(BU232,FIND("-",BU232,FIND("|",BU232))+1,10)))))*$D$50)))))*INDEX($I$232:$I$233,MATCH(LEFT(BU232,FIND("·",BU232)-1),$K$232:$K$233,0)),0),0),0)+IFERROR(IF(COUNTIF($C$232:$C$233,LEFT(BU232,FIND("·",BU232)-1))&gt;0,IF(INDEX($D$232:$D$233,MATCH(LEFT(BU232,FIND("·",BU232)-1),$C$232:$C$233,0))=IFERROR(VALUE(MID(BU232,FIND("·",BU232)+1,1)),0),($D$28+(INDEX($E$232:$E$233,MATCH(LEFT(BU232,FIND("·",BU232)-1),$C$232:$C$233,0))=MID(BU232,FIND("|",BU232)+1,10))*$D$30+MAX(0,IF($D$50=1,$D$29*(1-(ABS(INDEX($Q$232:$Q$233,MATCH(LEFT(BU232,FIND("·",BU232)-1),$C$232:$C$233,0))-(VALUE(MID(BU232,FIND("|",BU232)+1,FIND("-",BU232,FIND("|",BU232))-FIND("|",BU232)-1))-VALUE(MID(BU232,FIND("-",BU232,FIND("|",BU232))+1,10)))))*$D$50),$D$29*(1-(IF(INDEX($D$232:$D$233,MATCH(LEFT(BU232,FIND("·",BU232)-1),$C$232:$C$233,0))=0,ABS(INDEX($A$232:$A$233,MATCH(LEFT(BU232,FIND("·",BU232)-1),$C$232:$C$233,0))-VALUE(MID(BU232,FIND("|",BU232)+1,FIND("-",BU232,FIND("|",BU232))-FIND("|",BU232)-1))),ABS(INDEX($Q$232:$Q$233,MATCH(LEFT(BU232,FIND("·",BU232)-1),$C$232:$C$233,0))-(VALUE(MID(BU232,FIND("|",BU232)+1,FIND("-",BU232,FIND("|",BU232))-FIND("|",BU232)-1))-VALUE(MID(BU232,FIND("-",BU232,FIND("|",BU232))+1,10)))))*$D$50)))))*INDEX($I$232:$I$233,MATCH(LEFT(BU232,FIND("·",BU232)-1),$C$232:$C$233,0)),0),0),0)</f>
        <v>0</v>
      </c>
      <c r="BW232" s="110"/>
      <c r="BX232" s="76" t="s">
        <v>2092</v>
      </c>
      <c r="BY232" s="77">
        <f t="shared" ref="BY232" si="1517">IFERROR(IF(COUNTIF($K$232:$K$233,LEFT(BX232,FIND("·",BX232)-1))&gt;0,IF(INDEX($L$232:$L$233,MATCH(LEFT(BX232,FIND("·",BX232)-1),$K$232:$K$233,0))=IFERROR(VALUE(MID(BX232,FIND("·",BX232)+1,1)),0),($D$28+(INDEX($M$232:$M$233,MATCH(LEFT(BX232,FIND("·",BX232)-1),$K$232:$K$233,0))=MID(BX232,FIND("|",BX232)+1,10))*$D$30+MAX(0,IF($D$50=1,$D$29*(1-(ABS(INDEX($P$232:$P$233,MATCH(LEFT(BX232,FIND("·",BX232)-1),$K$232:$K$233,0))-(VALUE(MID(BX232,FIND("|",BX232)+1,FIND("-",BX232,FIND("|",BX232))-FIND("|",BX232)-1))-VALUE(MID(BX232,FIND("-",BX232,FIND("|",BX232))+1,10)))))*$D$50),$D$29*(1-(IF(INDEX($L$232:$L$233,MATCH(LEFT(BX232,FIND("·",BX232)-1),$K$232:$K$233,0))=0,ABS(INDEX($N$232:$N$233,MATCH(LEFT(BX232,FIND("·",BX232)-1),$K$232:$K$233,0))-VALUE(MID(BX232,FIND("|",BX232)+1,FIND("-",BX232,FIND("|",BX232))-FIND("|",BX232)-1))),ABS(INDEX($P$232:$P$233,MATCH(LEFT(BX232,FIND("·",BX232)-1),$K$232:$K$233,0))-(VALUE(MID(BX232,FIND("|",BX232)+1,FIND("-",BX232,FIND("|",BX232))-FIND("|",BX232)-1))-VALUE(MID(BX232,FIND("-",BX232,FIND("|",BX232))+1,10)))))*$D$50)))))*INDEX($I$232:$I$233,MATCH(LEFT(BX232,FIND("·",BX232)-1),$K$232:$K$233,0)),0),0),0)+IFERROR(IF(COUNTIF($C$232:$C$233,LEFT(BX232,FIND("·",BX232)-1))&gt;0,IF(INDEX($D$232:$D$233,MATCH(LEFT(BX232,FIND("·",BX232)-1),$C$232:$C$233,0))=IFERROR(VALUE(MID(BX232,FIND("·",BX232)+1,1)),0),($D$28+(INDEX($E$232:$E$233,MATCH(LEFT(BX232,FIND("·",BX232)-1),$C$232:$C$233,0))=MID(BX232,FIND("|",BX232)+1,10))*$D$30+MAX(0,IF($D$50=1,$D$29*(1-(ABS(INDEX($Q$232:$Q$233,MATCH(LEFT(BX232,FIND("·",BX232)-1),$C$232:$C$233,0))-(VALUE(MID(BX232,FIND("|",BX232)+1,FIND("-",BX232,FIND("|",BX232))-FIND("|",BX232)-1))-VALUE(MID(BX232,FIND("-",BX232,FIND("|",BX232))+1,10)))))*$D$50),$D$29*(1-(IF(INDEX($D$232:$D$233,MATCH(LEFT(BX232,FIND("·",BX232)-1),$C$232:$C$233,0))=0,ABS(INDEX($A$232:$A$233,MATCH(LEFT(BX232,FIND("·",BX232)-1),$C$232:$C$233,0))-VALUE(MID(BX232,FIND("|",BX232)+1,FIND("-",BX232,FIND("|",BX232))-FIND("|",BX232)-1))),ABS(INDEX($Q$232:$Q$233,MATCH(LEFT(BX232,FIND("·",BX232)-1),$C$232:$C$233,0))-(VALUE(MID(BX232,FIND("|",BX232)+1,FIND("-",BX232,FIND("|",BX232))-FIND("|",BX232)-1))-VALUE(MID(BX232,FIND("-",BX232,FIND("|",BX232))+1,10)))))*$D$50)))))*INDEX($I$232:$I$233,MATCH(LEFT(BX232,FIND("·",BX232)-1),$C$232:$C$233,0)),0),0),0)</f>
        <v>0</v>
      </c>
      <c r="BZ232" s="110"/>
      <c r="CA232" s="76" t="s">
        <v>2479</v>
      </c>
      <c r="CB232" s="77">
        <f t="shared" ref="CB232" si="1518">IFERROR(IF(COUNTIF($K$232:$K$233,LEFT(CA232,FIND("·",CA232)-1))&gt;0,IF(INDEX($L$232:$L$233,MATCH(LEFT(CA232,FIND("·",CA232)-1),$K$232:$K$233,0))=IFERROR(VALUE(MID(CA232,FIND("·",CA232)+1,1)),0),($D$28+(INDEX($M$232:$M$233,MATCH(LEFT(CA232,FIND("·",CA232)-1),$K$232:$K$233,0))=MID(CA232,FIND("|",CA232)+1,10))*$D$30+MAX(0,IF($D$50=1,$D$29*(1-(ABS(INDEX($P$232:$P$233,MATCH(LEFT(CA232,FIND("·",CA232)-1),$K$232:$K$233,0))-(VALUE(MID(CA232,FIND("|",CA232)+1,FIND("-",CA232,FIND("|",CA232))-FIND("|",CA232)-1))-VALUE(MID(CA232,FIND("-",CA232,FIND("|",CA232))+1,10)))))*$D$50),$D$29*(1-(IF(INDEX($L$232:$L$233,MATCH(LEFT(CA232,FIND("·",CA232)-1),$K$232:$K$233,0))=0,ABS(INDEX($N$232:$N$233,MATCH(LEFT(CA232,FIND("·",CA232)-1),$K$232:$K$233,0))-VALUE(MID(CA232,FIND("|",CA232)+1,FIND("-",CA232,FIND("|",CA232))-FIND("|",CA232)-1))),ABS(INDEX($P$232:$P$233,MATCH(LEFT(CA232,FIND("·",CA232)-1),$K$232:$K$233,0))-(VALUE(MID(CA232,FIND("|",CA232)+1,FIND("-",CA232,FIND("|",CA232))-FIND("|",CA232)-1))-VALUE(MID(CA232,FIND("-",CA232,FIND("|",CA232))+1,10)))))*$D$50)))))*INDEX($I$232:$I$233,MATCH(LEFT(CA232,FIND("·",CA232)-1),$K$232:$K$233,0)),0),0),0)+IFERROR(IF(COUNTIF($C$232:$C$233,LEFT(CA232,FIND("·",CA232)-1))&gt;0,IF(INDEX($D$232:$D$233,MATCH(LEFT(CA232,FIND("·",CA232)-1),$C$232:$C$233,0))=IFERROR(VALUE(MID(CA232,FIND("·",CA232)+1,1)),0),($D$28+(INDEX($E$232:$E$233,MATCH(LEFT(CA232,FIND("·",CA232)-1),$C$232:$C$233,0))=MID(CA232,FIND("|",CA232)+1,10))*$D$30+MAX(0,IF($D$50=1,$D$29*(1-(ABS(INDEX($Q$232:$Q$233,MATCH(LEFT(CA232,FIND("·",CA232)-1),$C$232:$C$233,0))-(VALUE(MID(CA232,FIND("|",CA232)+1,FIND("-",CA232,FIND("|",CA232))-FIND("|",CA232)-1))-VALUE(MID(CA232,FIND("-",CA232,FIND("|",CA232))+1,10)))))*$D$50),$D$29*(1-(IF(INDEX($D$232:$D$233,MATCH(LEFT(CA232,FIND("·",CA232)-1),$C$232:$C$233,0))=0,ABS(INDEX($A$232:$A$233,MATCH(LEFT(CA232,FIND("·",CA232)-1),$C$232:$C$233,0))-VALUE(MID(CA232,FIND("|",CA232)+1,FIND("-",CA232,FIND("|",CA232))-FIND("|",CA232)-1))),ABS(INDEX($Q$232:$Q$233,MATCH(LEFT(CA232,FIND("·",CA232)-1),$C$232:$C$233,0))-(VALUE(MID(CA232,FIND("|",CA232)+1,FIND("-",CA232,FIND("|",CA232))-FIND("|",CA232)-1))-VALUE(MID(CA232,FIND("-",CA232,FIND("|",CA232))+1,10)))))*$D$50)))))*INDEX($I$232:$I$233,MATCH(LEFT(CA232,FIND("·",CA232)-1),$C$232:$C$233,0)),0),0),0)</f>
        <v>0</v>
      </c>
      <c r="CC232" s="110"/>
      <c r="CD232" s="76" t="s">
        <v>2257</v>
      </c>
      <c r="CE232" s="77">
        <f t="shared" ref="CE232" si="1519">IFERROR(IF(COUNTIF($K$232:$K$233,LEFT(CD232,FIND("·",CD232)-1))&gt;0,IF(INDEX($L$232:$L$233,MATCH(LEFT(CD232,FIND("·",CD232)-1),$K$232:$K$233,0))=IFERROR(VALUE(MID(CD232,FIND("·",CD232)+1,1)),0),($D$28+(INDEX($M$232:$M$233,MATCH(LEFT(CD232,FIND("·",CD232)-1),$K$232:$K$233,0))=MID(CD232,FIND("|",CD232)+1,10))*$D$30+MAX(0,IF($D$50=1,$D$29*(1-(ABS(INDEX($P$232:$P$233,MATCH(LEFT(CD232,FIND("·",CD232)-1),$K$232:$K$233,0))-(VALUE(MID(CD232,FIND("|",CD232)+1,FIND("-",CD232,FIND("|",CD232))-FIND("|",CD232)-1))-VALUE(MID(CD232,FIND("-",CD232,FIND("|",CD232))+1,10)))))*$D$50),$D$29*(1-(IF(INDEX($L$232:$L$233,MATCH(LEFT(CD232,FIND("·",CD232)-1),$K$232:$K$233,0))=0,ABS(INDEX($N$232:$N$233,MATCH(LEFT(CD232,FIND("·",CD232)-1),$K$232:$K$233,0))-VALUE(MID(CD232,FIND("|",CD232)+1,FIND("-",CD232,FIND("|",CD232))-FIND("|",CD232)-1))),ABS(INDEX($P$232:$P$233,MATCH(LEFT(CD232,FIND("·",CD232)-1),$K$232:$K$233,0))-(VALUE(MID(CD232,FIND("|",CD232)+1,FIND("-",CD232,FIND("|",CD232))-FIND("|",CD232)-1))-VALUE(MID(CD232,FIND("-",CD232,FIND("|",CD232))+1,10)))))*$D$50)))))*INDEX($I$232:$I$233,MATCH(LEFT(CD232,FIND("·",CD232)-1),$K$232:$K$233,0)),0),0),0)+IFERROR(IF(COUNTIF($C$232:$C$233,LEFT(CD232,FIND("·",CD232)-1))&gt;0,IF(INDEX($D$232:$D$233,MATCH(LEFT(CD232,FIND("·",CD232)-1),$C$232:$C$233,0))=IFERROR(VALUE(MID(CD232,FIND("·",CD232)+1,1)),0),($D$28+(INDEX($E$232:$E$233,MATCH(LEFT(CD232,FIND("·",CD232)-1),$C$232:$C$233,0))=MID(CD232,FIND("|",CD232)+1,10))*$D$30+MAX(0,IF($D$50=1,$D$29*(1-(ABS(INDEX($Q$232:$Q$233,MATCH(LEFT(CD232,FIND("·",CD232)-1),$C$232:$C$233,0))-(VALUE(MID(CD232,FIND("|",CD232)+1,FIND("-",CD232,FIND("|",CD232))-FIND("|",CD232)-1))-VALUE(MID(CD232,FIND("-",CD232,FIND("|",CD232))+1,10)))))*$D$50),$D$29*(1-(IF(INDEX($D$232:$D$233,MATCH(LEFT(CD232,FIND("·",CD232)-1),$C$232:$C$233,0))=0,ABS(INDEX($A$232:$A$233,MATCH(LEFT(CD232,FIND("·",CD232)-1),$C$232:$C$233,0))-VALUE(MID(CD232,FIND("|",CD232)+1,FIND("-",CD232,FIND("|",CD232))-FIND("|",CD232)-1))),ABS(INDEX($Q$232:$Q$233,MATCH(LEFT(CD232,FIND("·",CD232)-1),$C$232:$C$233,0))-(VALUE(MID(CD232,FIND("|",CD232)+1,FIND("-",CD232,FIND("|",CD232))-FIND("|",CD232)-1))-VALUE(MID(CD232,FIND("-",CD232,FIND("|",CD232))+1,10)))))*$D$50)))))*INDEX($I$232:$I$233,MATCH(LEFT(CD232,FIND("·",CD232)-1),$C$232:$C$233,0)),0),0),0)</f>
        <v>0</v>
      </c>
      <c r="CF232" s="110"/>
      <c r="CG232" s="76" t="s">
        <v>2150</v>
      </c>
      <c r="CH232" s="77">
        <f t="shared" ref="CH232" si="1520">IFERROR(IF(COUNTIF($K$232:$K$233,LEFT(CG232,FIND("·",CG232)-1))&gt;0,IF(INDEX($L$232:$L$233,MATCH(LEFT(CG232,FIND("·",CG232)-1),$K$232:$K$233,0))=IFERROR(VALUE(MID(CG232,FIND("·",CG232)+1,1)),0),($D$28+(INDEX($M$232:$M$233,MATCH(LEFT(CG232,FIND("·",CG232)-1),$K$232:$K$233,0))=MID(CG232,FIND("|",CG232)+1,10))*$D$30+MAX(0,IF($D$50=1,$D$29*(1-(ABS(INDEX($P$232:$P$233,MATCH(LEFT(CG232,FIND("·",CG232)-1),$K$232:$K$233,0))-(VALUE(MID(CG232,FIND("|",CG232)+1,FIND("-",CG232,FIND("|",CG232))-FIND("|",CG232)-1))-VALUE(MID(CG232,FIND("-",CG232,FIND("|",CG232))+1,10)))))*$D$50),$D$29*(1-(IF(INDEX($L$232:$L$233,MATCH(LEFT(CG232,FIND("·",CG232)-1),$K$232:$K$233,0))=0,ABS(INDEX($N$232:$N$233,MATCH(LEFT(CG232,FIND("·",CG232)-1),$K$232:$K$233,0))-VALUE(MID(CG232,FIND("|",CG232)+1,FIND("-",CG232,FIND("|",CG232))-FIND("|",CG232)-1))),ABS(INDEX($P$232:$P$233,MATCH(LEFT(CG232,FIND("·",CG232)-1),$K$232:$K$233,0))-(VALUE(MID(CG232,FIND("|",CG232)+1,FIND("-",CG232,FIND("|",CG232))-FIND("|",CG232)-1))-VALUE(MID(CG232,FIND("-",CG232,FIND("|",CG232))+1,10)))))*$D$50)))))*INDEX($I$232:$I$233,MATCH(LEFT(CG232,FIND("·",CG232)-1),$K$232:$K$233,0)),0),0),0)+IFERROR(IF(COUNTIF($C$232:$C$233,LEFT(CG232,FIND("·",CG232)-1))&gt;0,IF(INDEX($D$232:$D$233,MATCH(LEFT(CG232,FIND("·",CG232)-1),$C$232:$C$233,0))=IFERROR(VALUE(MID(CG232,FIND("·",CG232)+1,1)),0),($D$28+(INDEX($E$232:$E$233,MATCH(LEFT(CG232,FIND("·",CG232)-1),$C$232:$C$233,0))=MID(CG232,FIND("|",CG232)+1,10))*$D$30+MAX(0,IF($D$50=1,$D$29*(1-(ABS(INDEX($Q$232:$Q$233,MATCH(LEFT(CG232,FIND("·",CG232)-1),$C$232:$C$233,0))-(VALUE(MID(CG232,FIND("|",CG232)+1,FIND("-",CG232,FIND("|",CG232))-FIND("|",CG232)-1))-VALUE(MID(CG232,FIND("-",CG232,FIND("|",CG232))+1,10)))))*$D$50),$D$29*(1-(IF(INDEX($D$232:$D$233,MATCH(LEFT(CG232,FIND("·",CG232)-1),$C$232:$C$233,0))=0,ABS(INDEX($A$232:$A$233,MATCH(LEFT(CG232,FIND("·",CG232)-1),$C$232:$C$233,0))-VALUE(MID(CG232,FIND("|",CG232)+1,FIND("-",CG232,FIND("|",CG232))-FIND("|",CG232)-1))),ABS(INDEX($Q$232:$Q$233,MATCH(LEFT(CG232,FIND("·",CG232)-1),$C$232:$C$233,0))-(VALUE(MID(CG232,FIND("|",CG232)+1,FIND("-",CG232,FIND("|",CG232))-FIND("|",CG232)-1))-VALUE(MID(CG232,FIND("-",CG232,FIND("|",CG232))+1,10)))))*$D$50)))))*INDEX($I$232:$I$233,MATCH(LEFT(CG232,FIND("·",CG232)-1),$C$232:$C$233,0)),0),0),0)</f>
        <v>0</v>
      </c>
      <c r="CI232" s="110"/>
      <c r="CJ232" s="76" t="s">
        <v>2120</v>
      </c>
      <c r="CK232" s="77">
        <f t="shared" ref="CK232" si="1521">IFERROR(IF(COUNTIF($K$232:$K$233,LEFT(CJ232,FIND("·",CJ232)-1))&gt;0,IF(INDEX($L$232:$L$233,MATCH(LEFT(CJ232,FIND("·",CJ232)-1),$K$232:$K$233,0))=IFERROR(VALUE(MID(CJ232,FIND("·",CJ232)+1,1)),0),($D$28+(INDEX($M$232:$M$233,MATCH(LEFT(CJ232,FIND("·",CJ232)-1),$K$232:$K$233,0))=MID(CJ232,FIND("|",CJ232)+1,10))*$D$30+MAX(0,IF($D$50=1,$D$29*(1-(ABS(INDEX($P$232:$P$233,MATCH(LEFT(CJ232,FIND("·",CJ232)-1),$K$232:$K$233,0))-(VALUE(MID(CJ232,FIND("|",CJ232)+1,FIND("-",CJ232,FIND("|",CJ232))-FIND("|",CJ232)-1))-VALUE(MID(CJ232,FIND("-",CJ232,FIND("|",CJ232))+1,10)))))*$D$50),$D$29*(1-(IF(INDEX($L$232:$L$233,MATCH(LEFT(CJ232,FIND("·",CJ232)-1),$K$232:$K$233,0))=0,ABS(INDEX($N$232:$N$233,MATCH(LEFT(CJ232,FIND("·",CJ232)-1),$K$232:$K$233,0))-VALUE(MID(CJ232,FIND("|",CJ232)+1,FIND("-",CJ232,FIND("|",CJ232))-FIND("|",CJ232)-1))),ABS(INDEX($P$232:$P$233,MATCH(LEFT(CJ232,FIND("·",CJ232)-1),$K$232:$K$233,0))-(VALUE(MID(CJ232,FIND("|",CJ232)+1,FIND("-",CJ232,FIND("|",CJ232))-FIND("|",CJ232)-1))-VALUE(MID(CJ232,FIND("-",CJ232,FIND("|",CJ232))+1,10)))))*$D$50)))))*INDEX($I$232:$I$233,MATCH(LEFT(CJ232,FIND("·",CJ232)-1),$K$232:$K$233,0)),0),0),0)+IFERROR(IF(COUNTIF($C$232:$C$233,LEFT(CJ232,FIND("·",CJ232)-1))&gt;0,IF(INDEX($D$232:$D$233,MATCH(LEFT(CJ232,FIND("·",CJ232)-1),$C$232:$C$233,0))=IFERROR(VALUE(MID(CJ232,FIND("·",CJ232)+1,1)),0),($D$28+(INDEX($E$232:$E$233,MATCH(LEFT(CJ232,FIND("·",CJ232)-1),$C$232:$C$233,0))=MID(CJ232,FIND("|",CJ232)+1,10))*$D$30+MAX(0,IF($D$50=1,$D$29*(1-(ABS(INDEX($Q$232:$Q$233,MATCH(LEFT(CJ232,FIND("·",CJ232)-1),$C$232:$C$233,0))-(VALUE(MID(CJ232,FIND("|",CJ232)+1,FIND("-",CJ232,FIND("|",CJ232))-FIND("|",CJ232)-1))-VALUE(MID(CJ232,FIND("-",CJ232,FIND("|",CJ232))+1,10)))))*$D$50),$D$29*(1-(IF(INDEX($D$232:$D$233,MATCH(LEFT(CJ232,FIND("·",CJ232)-1),$C$232:$C$233,0))=0,ABS(INDEX($A$232:$A$233,MATCH(LEFT(CJ232,FIND("·",CJ232)-1),$C$232:$C$233,0))-VALUE(MID(CJ232,FIND("|",CJ232)+1,FIND("-",CJ232,FIND("|",CJ232))-FIND("|",CJ232)-1))),ABS(INDEX($Q$232:$Q$233,MATCH(LEFT(CJ232,FIND("·",CJ232)-1),$C$232:$C$233,0))-(VALUE(MID(CJ232,FIND("|",CJ232)+1,FIND("-",CJ232,FIND("|",CJ232))-FIND("|",CJ232)-1))-VALUE(MID(CJ232,FIND("-",CJ232,FIND("|",CJ232))+1,10)))))*$D$50)))))*INDEX($I$232:$I$233,MATCH(LEFT(CJ232,FIND("·",CJ232)-1),$C$232:$C$233,0)),0),0),0)</f>
        <v>0</v>
      </c>
      <c r="CL232" s="110"/>
      <c r="CM232" s="76" t="s">
        <v>2418</v>
      </c>
      <c r="CN232" s="77">
        <f t="shared" ref="CN232" si="1522">IFERROR(IF(COUNTIF($K$232:$K$233,LEFT(CM232,FIND("·",CM232)-1))&gt;0,IF(INDEX($L$232:$L$233,MATCH(LEFT(CM232,FIND("·",CM232)-1),$K$232:$K$233,0))=IFERROR(VALUE(MID(CM232,FIND("·",CM232)+1,1)),0),($D$28+(INDEX($M$232:$M$233,MATCH(LEFT(CM232,FIND("·",CM232)-1),$K$232:$K$233,0))=MID(CM232,FIND("|",CM232)+1,10))*$D$30+MAX(0,IF($D$50=1,$D$29*(1-(ABS(INDEX($P$232:$P$233,MATCH(LEFT(CM232,FIND("·",CM232)-1),$K$232:$K$233,0))-(VALUE(MID(CM232,FIND("|",CM232)+1,FIND("-",CM232,FIND("|",CM232))-FIND("|",CM232)-1))-VALUE(MID(CM232,FIND("-",CM232,FIND("|",CM232))+1,10)))))*$D$50),$D$29*(1-(IF(INDEX($L$232:$L$233,MATCH(LEFT(CM232,FIND("·",CM232)-1),$K$232:$K$233,0))=0,ABS(INDEX($N$232:$N$233,MATCH(LEFT(CM232,FIND("·",CM232)-1),$K$232:$K$233,0))-VALUE(MID(CM232,FIND("|",CM232)+1,FIND("-",CM232,FIND("|",CM232))-FIND("|",CM232)-1))),ABS(INDEX($P$232:$P$233,MATCH(LEFT(CM232,FIND("·",CM232)-1),$K$232:$K$233,0))-(VALUE(MID(CM232,FIND("|",CM232)+1,FIND("-",CM232,FIND("|",CM232))-FIND("|",CM232)-1))-VALUE(MID(CM232,FIND("-",CM232,FIND("|",CM232))+1,10)))))*$D$50)))))*INDEX($I$232:$I$233,MATCH(LEFT(CM232,FIND("·",CM232)-1),$K$232:$K$233,0)),0),0),0)+IFERROR(IF(COUNTIF($C$232:$C$233,LEFT(CM232,FIND("·",CM232)-1))&gt;0,IF(INDEX($D$232:$D$233,MATCH(LEFT(CM232,FIND("·",CM232)-1),$C$232:$C$233,0))=IFERROR(VALUE(MID(CM232,FIND("·",CM232)+1,1)),0),($D$28+(INDEX($E$232:$E$233,MATCH(LEFT(CM232,FIND("·",CM232)-1),$C$232:$C$233,0))=MID(CM232,FIND("|",CM232)+1,10))*$D$30+MAX(0,IF($D$50=1,$D$29*(1-(ABS(INDEX($Q$232:$Q$233,MATCH(LEFT(CM232,FIND("·",CM232)-1),$C$232:$C$233,0))-(VALUE(MID(CM232,FIND("|",CM232)+1,FIND("-",CM232,FIND("|",CM232))-FIND("|",CM232)-1))-VALUE(MID(CM232,FIND("-",CM232,FIND("|",CM232))+1,10)))))*$D$50),$D$29*(1-(IF(INDEX($D$232:$D$233,MATCH(LEFT(CM232,FIND("·",CM232)-1),$C$232:$C$233,0))=0,ABS(INDEX($A$232:$A$233,MATCH(LEFT(CM232,FIND("·",CM232)-1),$C$232:$C$233,0))-VALUE(MID(CM232,FIND("|",CM232)+1,FIND("-",CM232,FIND("|",CM232))-FIND("|",CM232)-1))),ABS(INDEX($Q$232:$Q$233,MATCH(LEFT(CM232,FIND("·",CM232)-1),$C$232:$C$233,0))-(VALUE(MID(CM232,FIND("|",CM232)+1,FIND("-",CM232,FIND("|",CM232))-FIND("|",CM232)-1))-VALUE(MID(CM232,FIND("-",CM232,FIND("|",CM232))+1,10)))))*$D$50)))))*INDEX($I$232:$I$233,MATCH(LEFT(CM232,FIND("·",CM232)-1),$C$232:$C$233,0)),0),0),0)</f>
        <v>0</v>
      </c>
      <c r="CO232" s="110"/>
      <c r="CP232" s="76" t="s">
        <v>2150</v>
      </c>
      <c r="CQ232" s="77">
        <f t="shared" ref="CQ232" si="1523">IFERROR(IF(COUNTIF($K$232:$K$233,LEFT(CP232,FIND("·",CP232)-1))&gt;0,IF(INDEX($L$232:$L$233,MATCH(LEFT(CP232,FIND("·",CP232)-1),$K$232:$K$233,0))=IFERROR(VALUE(MID(CP232,FIND("·",CP232)+1,1)),0),($D$28+(INDEX($M$232:$M$233,MATCH(LEFT(CP232,FIND("·",CP232)-1),$K$232:$K$233,0))=MID(CP232,FIND("|",CP232)+1,10))*$D$30+MAX(0,IF($D$50=1,$D$29*(1-(ABS(INDEX($P$232:$P$233,MATCH(LEFT(CP232,FIND("·",CP232)-1),$K$232:$K$233,0))-(VALUE(MID(CP232,FIND("|",CP232)+1,FIND("-",CP232,FIND("|",CP232))-FIND("|",CP232)-1))-VALUE(MID(CP232,FIND("-",CP232,FIND("|",CP232))+1,10)))))*$D$50),$D$29*(1-(IF(INDEX($L$232:$L$233,MATCH(LEFT(CP232,FIND("·",CP232)-1),$K$232:$K$233,0))=0,ABS(INDEX($N$232:$N$233,MATCH(LEFT(CP232,FIND("·",CP232)-1),$K$232:$K$233,0))-VALUE(MID(CP232,FIND("|",CP232)+1,FIND("-",CP232,FIND("|",CP232))-FIND("|",CP232)-1))),ABS(INDEX($P$232:$P$233,MATCH(LEFT(CP232,FIND("·",CP232)-1),$K$232:$K$233,0))-(VALUE(MID(CP232,FIND("|",CP232)+1,FIND("-",CP232,FIND("|",CP232))-FIND("|",CP232)-1))-VALUE(MID(CP232,FIND("-",CP232,FIND("|",CP232))+1,10)))))*$D$50)))))*INDEX($I$232:$I$233,MATCH(LEFT(CP232,FIND("·",CP232)-1),$K$232:$K$233,0)),0),0),0)+IFERROR(IF(COUNTIF($C$232:$C$233,LEFT(CP232,FIND("·",CP232)-1))&gt;0,IF(INDEX($D$232:$D$233,MATCH(LEFT(CP232,FIND("·",CP232)-1),$C$232:$C$233,0))=IFERROR(VALUE(MID(CP232,FIND("·",CP232)+1,1)),0),($D$28+(INDEX($E$232:$E$233,MATCH(LEFT(CP232,FIND("·",CP232)-1),$C$232:$C$233,0))=MID(CP232,FIND("|",CP232)+1,10))*$D$30+MAX(0,IF($D$50=1,$D$29*(1-(ABS(INDEX($Q$232:$Q$233,MATCH(LEFT(CP232,FIND("·",CP232)-1),$C$232:$C$233,0))-(VALUE(MID(CP232,FIND("|",CP232)+1,FIND("-",CP232,FIND("|",CP232))-FIND("|",CP232)-1))-VALUE(MID(CP232,FIND("-",CP232,FIND("|",CP232))+1,10)))))*$D$50),$D$29*(1-(IF(INDEX($D$232:$D$233,MATCH(LEFT(CP232,FIND("·",CP232)-1),$C$232:$C$233,0))=0,ABS(INDEX($A$232:$A$233,MATCH(LEFT(CP232,FIND("·",CP232)-1),$C$232:$C$233,0))-VALUE(MID(CP232,FIND("|",CP232)+1,FIND("-",CP232,FIND("|",CP232))-FIND("|",CP232)-1))),ABS(INDEX($Q$232:$Q$233,MATCH(LEFT(CP232,FIND("·",CP232)-1),$C$232:$C$233,0))-(VALUE(MID(CP232,FIND("|",CP232)+1,FIND("-",CP232,FIND("|",CP232))-FIND("|",CP232)-1))-VALUE(MID(CP232,FIND("-",CP232,FIND("|",CP232))+1,10)))))*$D$50)))))*INDEX($I$232:$I$233,MATCH(LEFT(CP232,FIND("·",CP232)-1),$C$232:$C$233,0)),0),0),0)</f>
        <v>0</v>
      </c>
      <c r="CR232" s="110"/>
      <c r="CS232" s="76" t="s">
        <v>2031</v>
      </c>
      <c r="CT232" s="77">
        <f t="shared" ref="CT232" si="1524">IFERROR(IF(COUNTIF($K$232:$K$233,LEFT(CS232,FIND("·",CS232)-1))&gt;0,IF(INDEX($L$232:$L$233,MATCH(LEFT(CS232,FIND("·",CS232)-1),$K$232:$K$233,0))=IFERROR(VALUE(MID(CS232,FIND("·",CS232)+1,1)),0),($D$28+(INDEX($M$232:$M$233,MATCH(LEFT(CS232,FIND("·",CS232)-1),$K$232:$K$233,0))=MID(CS232,FIND("|",CS232)+1,10))*$D$30+MAX(0,IF($D$50=1,$D$29*(1-(ABS(INDEX($P$232:$P$233,MATCH(LEFT(CS232,FIND("·",CS232)-1),$K$232:$K$233,0))-(VALUE(MID(CS232,FIND("|",CS232)+1,FIND("-",CS232,FIND("|",CS232))-FIND("|",CS232)-1))-VALUE(MID(CS232,FIND("-",CS232,FIND("|",CS232))+1,10)))))*$D$50),$D$29*(1-(IF(INDEX($L$232:$L$233,MATCH(LEFT(CS232,FIND("·",CS232)-1),$K$232:$K$233,0))=0,ABS(INDEX($N$232:$N$233,MATCH(LEFT(CS232,FIND("·",CS232)-1),$K$232:$K$233,0))-VALUE(MID(CS232,FIND("|",CS232)+1,FIND("-",CS232,FIND("|",CS232))-FIND("|",CS232)-1))),ABS(INDEX($P$232:$P$233,MATCH(LEFT(CS232,FIND("·",CS232)-1),$K$232:$K$233,0))-(VALUE(MID(CS232,FIND("|",CS232)+1,FIND("-",CS232,FIND("|",CS232))-FIND("|",CS232)-1))-VALUE(MID(CS232,FIND("-",CS232,FIND("|",CS232))+1,10)))))*$D$50)))))*INDEX($I$232:$I$233,MATCH(LEFT(CS232,FIND("·",CS232)-1),$K$232:$K$233,0)),0),0),0)+IFERROR(IF(COUNTIF($C$232:$C$233,LEFT(CS232,FIND("·",CS232)-1))&gt;0,IF(INDEX($D$232:$D$233,MATCH(LEFT(CS232,FIND("·",CS232)-1),$C$232:$C$233,0))=IFERROR(VALUE(MID(CS232,FIND("·",CS232)+1,1)),0),($D$28+(INDEX($E$232:$E$233,MATCH(LEFT(CS232,FIND("·",CS232)-1),$C$232:$C$233,0))=MID(CS232,FIND("|",CS232)+1,10))*$D$30+MAX(0,IF($D$50=1,$D$29*(1-(ABS(INDEX($Q$232:$Q$233,MATCH(LEFT(CS232,FIND("·",CS232)-1),$C$232:$C$233,0))-(VALUE(MID(CS232,FIND("|",CS232)+1,FIND("-",CS232,FIND("|",CS232))-FIND("|",CS232)-1))-VALUE(MID(CS232,FIND("-",CS232,FIND("|",CS232))+1,10)))))*$D$50),$D$29*(1-(IF(INDEX($D$232:$D$233,MATCH(LEFT(CS232,FIND("·",CS232)-1),$C$232:$C$233,0))=0,ABS(INDEX($A$232:$A$233,MATCH(LEFT(CS232,FIND("·",CS232)-1),$C$232:$C$233,0))-VALUE(MID(CS232,FIND("|",CS232)+1,FIND("-",CS232,FIND("|",CS232))-FIND("|",CS232)-1))),ABS(INDEX($Q$232:$Q$233,MATCH(LEFT(CS232,FIND("·",CS232)-1),$C$232:$C$233,0))-(VALUE(MID(CS232,FIND("|",CS232)+1,FIND("-",CS232,FIND("|",CS232))-FIND("|",CS232)-1))-VALUE(MID(CS232,FIND("-",CS232,FIND("|",CS232))+1,10)))))*$D$50)))))*INDEX($I$232:$I$233,MATCH(LEFT(CS232,FIND("·",CS232)-1),$C$232:$C$233,0)),0),0),0)</f>
        <v>0</v>
      </c>
      <c r="CU232" s="110"/>
      <c r="CV232" s="76" t="s">
        <v>2120</v>
      </c>
      <c r="CW232" s="77">
        <f t="shared" ref="CW232" si="1525">IFERROR(IF(COUNTIF($K$232:$K$233,LEFT(CV232,FIND("·",CV232)-1))&gt;0,IF(INDEX($L$232:$L$233,MATCH(LEFT(CV232,FIND("·",CV232)-1),$K$232:$K$233,0))=IFERROR(VALUE(MID(CV232,FIND("·",CV232)+1,1)),0),($D$28+(INDEX($M$232:$M$233,MATCH(LEFT(CV232,FIND("·",CV232)-1),$K$232:$K$233,0))=MID(CV232,FIND("|",CV232)+1,10))*$D$30+MAX(0,IF($D$50=1,$D$29*(1-(ABS(INDEX($P$232:$P$233,MATCH(LEFT(CV232,FIND("·",CV232)-1),$K$232:$K$233,0))-(VALUE(MID(CV232,FIND("|",CV232)+1,FIND("-",CV232,FIND("|",CV232))-FIND("|",CV232)-1))-VALUE(MID(CV232,FIND("-",CV232,FIND("|",CV232))+1,10)))))*$D$50),$D$29*(1-(IF(INDEX($L$232:$L$233,MATCH(LEFT(CV232,FIND("·",CV232)-1),$K$232:$K$233,0))=0,ABS(INDEX($N$232:$N$233,MATCH(LEFT(CV232,FIND("·",CV232)-1),$K$232:$K$233,0))-VALUE(MID(CV232,FIND("|",CV232)+1,FIND("-",CV232,FIND("|",CV232))-FIND("|",CV232)-1))),ABS(INDEX($P$232:$P$233,MATCH(LEFT(CV232,FIND("·",CV232)-1),$K$232:$K$233,0))-(VALUE(MID(CV232,FIND("|",CV232)+1,FIND("-",CV232,FIND("|",CV232))-FIND("|",CV232)-1))-VALUE(MID(CV232,FIND("-",CV232,FIND("|",CV232))+1,10)))))*$D$50)))))*INDEX($I$232:$I$233,MATCH(LEFT(CV232,FIND("·",CV232)-1),$K$232:$K$233,0)),0),0),0)+IFERROR(IF(COUNTIF($C$232:$C$233,LEFT(CV232,FIND("·",CV232)-1))&gt;0,IF(INDEX($D$232:$D$233,MATCH(LEFT(CV232,FIND("·",CV232)-1),$C$232:$C$233,0))=IFERROR(VALUE(MID(CV232,FIND("·",CV232)+1,1)),0),($D$28+(INDEX($E$232:$E$233,MATCH(LEFT(CV232,FIND("·",CV232)-1),$C$232:$C$233,0))=MID(CV232,FIND("|",CV232)+1,10))*$D$30+MAX(0,IF($D$50=1,$D$29*(1-(ABS(INDEX($Q$232:$Q$233,MATCH(LEFT(CV232,FIND("·",CV232)-1),$C$232:$C$233,0))-(VALUE(MID(CV232,FIND("|",CV232)+1,FIND("-",CV232,FIND("|",CV232))-FIND("|",CV232)-1))-VALUE(MID(CV232,FIND("-",CV232,FIND("|",CV232))+1,10)))))*$D$50),$D$29*(1-(IF(INDEX($D$232:$D$233,MATCH(LEFT(CV232,FIND("·",CV232)-1),$C$232:$C$233,0))=0,ABS(INDEX($A$232:$A$233,MATCH(LEFT(CV232,FIND("·",CV232)-1),$C$232:$C$233,0))-VALUE(MID(CV232,FIND("|",CV232)+1,FIND("-",CV232,FIND("|",CV232))-FIND("|",CV232)-1))),ABS(INDEX($Q$232:$Q$233,MATCH(LEFT(CV232,FIND("·",CV232)-1),$C$232:$C$233,0))-(VALUE(MID(CV232,FIND("|",CV232)+1,FIND("-",CV232,FIND("|",CV232))-FIND("|",CV232)-1))-VALUE(MID(CV232,FIND("-",CV232,FIND("|",CV232))+1,10)))))*$D$50)))))*INDEX($I$232:$I$233,MATCH(LEFT(CV232,FIND("·",CV232)-1),$C$232:$C$233,0)),0),0),0)</f>
        <v>0</v>
      </c>
      <c r="CX232" s="110"/>
      <c r="CY232" s="76" t="s">
        <v>2092</v>
      </c>
      <c r="CZ232" s="77">
        <f t="shared" ref="CZ232" si="1526">IFERROR(IF(COUNTIF($K$232:$K$233,LEFT(CY232,FIND("·",CY232)-1))&gt;0,IF(INDEX($L$232:$L$233,MATCH(LEFT(CY232,FIND("·",CY232)-1),$K$232:$K$233,0))=IFERROR(VALUE(MID(CY232,FIND("·",CY232)+1,1)),0),($D$28+(INDEX($M$232:$M$233,MATCH(LEFT(CY232,FIND("·",CY232)-1),$K$232:$K$233,0))=MID(CY232,FIND("|",CY232)+1,10))*$D$30+MAX(0,IF($D$50=1,$D$29*(1-(ABS(INDEX($P$232:$P$233,MATCH(LEFT(CY232,FIND("·",CY232)-1),$K$232:$K$233,0))-(VALUE(MID(CY232,FIND("|",CY232)+1,FIND("-",CY232,FIND("|",CY232))-FIND("|",CY232)-1))-VALUE(MID(CY232,FIND("-",CY232,FIND("|",CY232))+1,10)))))*$D$50),$D$29*(1-(IF(INDEX($L$232:$L$233,MATCH(LEFT(CY232,FIND("·",CY232)-1),$K$232:$K$233,0))=0,ABS(INDEX($N$232:$N$233,MATCH(LEFT(CY232,FIND("·",CY232)-1),$K$232:$K$233,0))-VALUE(MID(CY232,FIND("|",CY232)+1,FIND("-",CY232,FIND("|",CY232))-FIND("|",CY232)-1))),ABS(INDEX($P$232:$P$233,MATCH(LEFT(CY232,FIND("·",CY232)-1),$K$232:$K$233,0))-(VALUE(MID(CY232,FIND("|",CY232)+1,FIND("-",CY232,FIND("|",CY232))-FIND("|",CY232)-1))-VALUE(MID(CY232,FIND("-",CY232,FIND("|",CY232))+1,10)))))*$D$50)))))*INDEX($I$232:$I$233,MATCH(LEFT(CY232,FIND("·",CY232)-1),$K$232:$K$233,0)),0),0),0)+IFERROR(IF(COUNTIF($C$232:$C$233,LEFT(CY232,FIND("·",CY232)-1))&gt;0,IF(INDEX($D$232:$D$233,MATCH(LEFT(CY232,FIND("·",CY232)-1),$C$232:$C$233,0))=IFERROR(VALUE(MID(CY232,FIND("·",CY232)+1,1)),0),($D$28+(INDEX($E$232:$E$233,MATCH(LEFT(CY232,FIND("·",CY232)-1),$C$232:$C$233,0))=MID(CY232,FIND("|",CY232)+1,10))*$D$30+MAX(0,IF($D$50=1,$D$29*(1-(ABS(INDEX($Q$232:$Q$233,MATCH(LEFT(CY232,FIND("·",CY232)-1),$C$232:$C$233,0))-(VALUE(MID(CY232,FIND("|",CY232)+1,FIND("-",CY232,FIND("|",CY232))-FIND("|",CY232)-1))-VALUE(MID(CY232,FIND("-",CY232,FIND("|",CY232))+1,10)))))*$D$50),$D$29*(1-(IF(INDEX($D$232:$D$233,MATCH(LEFT(CY232,FIND("·",CY232)-1),$C$232:$C$233,0))=0,ABS(INDEX($A$232:$A$233,MATCH(LEFT(CY232,FIND("·",CY232)-1),$C$232:$C$233,0))-VALUE(MID(CY232,FIND("|",CY232)+1,FIND("-",CY232,FIND("|",CY232))-FIND("|",CY232)-1))),ABS(INDEX($Q$232:$Q$233,MATCH(LEFT(CY232,FIND("·",CY232)-1),$C$232:$C$233,0))-(VALUE(MID(CY232,FIND("|",CY232)+1,FIND("-",CY232,FIND("|",CY232))-FIND("|",CY232)-1))-VALUE(MID(CY232,FIND("-",CY232,FIND("|",CY232))+1,10)))))*$D$50)))))*INDEX($I$232:$I$233,MATCH(LEFT(CY232,FIND("·",CY232)-1),$C$232:$C$233,0)),0),0),0)</f>
        <v>0</v>
      </c>
      <c r="DA232" s="110"/>
      <c r="DB232" s="76" t="s">
        <v>2031</v>
      </c>
      <c r="DC232" s="77">
        <f t="shared" ref="DC232" si="1527">IFERROR(IF(COUNTIF($K$232:$K$233,LEFT(DB232,FIND("·",DB232)-1))&gt;0,IF(INDEX($L$232:$L$233,MATCH(LEFT(DB232,FIND("·",DB232)-1),$K$232:$K$233,0))=IFERROR(VALUE(MID(DB232,FIND("·",DB232)+1,1)),0),($D$28+(INDEX($M$232:$M$233,MATCH(LEFT(DB232,FIND("·",DB232)-1),$K$232:$K$233,0))=MID(DB232,FIND("|",DB232)+1,10))*$D$30+MAX(0,IF($D$50=1,$D$29*(1-(ABS(INDEX($P$232:$P$233,MATCH(LEFT(DB232,FIND("·",DB232)-1),$K$232:$K$233,0))-(VALUE(MID(DB232,FIND("|",DB232)+1,FIND("-",DB232,FIND("|",DB232))-FIND("|",DB232)-1))-VALUE(MID(DB232,FIND("-",DB232,FIND("|",DB232))+1,10)))))*$D$50),$D$29*(1-(IF(INDEX($L$232:$L$233,MATCH(LEFT(DB232,FIND("·",DB232)-1),$K$232:$K$233,0))=0,ABS(INDEX($N$232:$N$233,MATCH(LEFT(DB232,FIND("·",DB232)-1),$K$232:$K$233,0))-VALUE(MID(DB232,FIND("|",DB232)+1,FIND("-",DB232,FIND("|",DB232))-FIND("|",DB232)-1))),ABS(INDEX($P$232:$P$233,MATCH(LEFT(DB232,FIND("·",DB232)-1),$K$232:$K$233,0))-(VALUE(MID(DB232,FIND("|",DB232)+1,FIND("-",DB232,FIND("|",DB232))-FIND("|",DB232)-1))-VALUE(MID(DB232,FIND("-",DB232,FIND("|",DB232))+1,10)))))*$D$50)))))*INDEX($I$232:$I$233,MATCH(LEFT(DB232,FIND("·",DB232)-1),$K$232:$K$233,0)),0),0),0)+IFERROR(IF(COUNTIF($C$232:$C$233,LEFT(DB232,FIND("·",DB232)-1))&gt;0,IF(INDEX($D$232:$D$233,MATCH(LEFT(DB232,FIND("·",DB232)-1),$C$232:$C$233,0))=IFERROR(VALUE(MID(DB232,FIND("·",DB232)+1,1)),0),($D$28+(INDEX($E$232:$E$233,MATCH(LEFT(DB232,FIND("·",DB232)-1),$C$232:$C$233,0))=MID(DB232,FIND("|",DB232)+1,10))*$D$30+MAX(0,IF($D$50=1,$D$29*(1-(ABS(INDEX($Q$232:$Q$233,MATCH(LEFT(DB232,FIND("·",DB232)-1),$C$232:$C$233,0))-(VALUE(MID(DB232,FIND("|",DB232)+1,FIND("-",DB232,FIND("|",DB232))-FIND("|",DB232)-1))-VALUE(MID(DB232,FIND("-",DB232,FIND("|",DB232))+1,10)))))*$D$50),$D$29*(1-(IF(INDEX($D$232:$D$233,MATCH(LEFT(DB232,FIND("·",DB232)-1),$C$232:$C$233,0))=0,ABS(INDEX($A$232:$A$233,MATCH(LEFT(DB232,FIND("·",DB232)-1),$C$232:$C$233,0))-VALUE(MID(DB232,FIND("|",DB232)+1,FIND("-",DB232,FIND("|",DB232))-FIND("|",DB232)-1))),ABS(INDEX($Q$232:$Q$233,MATCH(LEFT(DB232,FIND("·",DB232)-1),$C$232:$C$233,0))-(VALUE(MID(DB232,FIND("|",DB232)+1,FIND("-",DB232,FIND("|",DB232))-FIND("|",DB232)-1))-VALUE(MID(DB232,FIND("-",DB232,FIND("|",DB232))+1,10)))))*$D$50)))))*INDEX($I$232:$I$233,MATCH(LEFT(DB232,FIND("·",DB232)-1),$C$232:$C$233,0)),0),0),0)</f>
        <v>0</v>
      </c>
      <c r="DD232" s="110"/>
      <c r="DE232" s="76" t="s">
        <v>2634</v>
      </c>
      <c r="DF232" s="77">
        <f t="shared" ref="DF232" si="1528">IFERROR(IF(COUNTIF($K$232:$K$233,LEFT(DE232,FIND("·",DE232)-1))&gt;0,IF(INDEX($L$232:$L$233,MATCH(LEFT(DE232,FIND("·",DE232)-1),$K$232:$K$233,0))=IFERROR(VALUE(MID(DE232,FIND("·",DE232)+1,1)),0),($D$28+(INDEX($M$232:$M$233,MATCH(LEFT(DE232,FIND("·",DE232)-1),$K$232:$K$233,0))=MID(DE232,FIND("|",DE232)+1,10))*$D$30+MAX(0,IF($D$50=1,$D$29*(1-(ABS(INDEX($P$232:$P$233,MATCH(LEFT(DE232,FIND("·",DE232)-1),$K$232:$K$233,0))-(VALUE(MID(DE232,FIND("|",DE232)+1,FIND("-",DE232,FIND("|",DE232))-FIND("|",DE232)-1))-VALUE(MID(DE232,FIND("-",DE232,FIND("|",DE232))+1,10)))))*$D$50),$D$29*(1-(IF(INDEX($L$232:$L$233,MATCH(LEFT(DE232,FIND("·",DE232)-1),$K$232:$K$233,0))=0,ABS(INDEX($N$232:$N$233,MATCH(LEFT(DE232,FIND("·",DE232)-1),$K$232:$K$233,0))-VALUE(MID(DE232,FIND("|",DE232)+1,FIND("-",DE232,FIND("|",DE232))-FIND("|",DE232)-1))),ABS(INDEX($P$232:$P$233,MATCH(LEFT(DE232,FIND("·",DE232)-1),$K$232:$K$233,0))-(VALUE(MID(DE232,FIND("|",DE232)+1,FIND("-",DE232,FIND("|",DE232))-FIND("|",DE232)-1))-VALUE(MID(DE232,FIND("-",DE232,FIND("|",DE232))+1,10)))))*$D$50)))))*INDEX($I$232:$I$233,MATCH(LEFT(DE232,FIND("·",DE232)-1),$K$232:$K$233,0)),0),0),0)+IFERROR(IF(COUNTIF($C$232:$C$233,LEFT(DE232,FIND("·",DE232)-1))&gt;0,IF(INDEX($D$232:$D$233,MATCH(LEFT(DE232,FIND("·",DE232)-1),$C$232:$C$233,0))=IFERROR(VALUE(MID(DE232,FIND("·",DE232)+1,1)),0),($D$28+(INDEX($E$232:$E$233,MATCH(LEFT(DE232,FIND("·",DE232)-1),$C$232:$C$233,0))=MID(DE232,FIND("|",DE232)+1,10))*$D$30+MAX(0,IF($D$50=1,$D$29*(1-(ABS(INDEX($Q$232:$Q$233,MATCH(LEFT(DE232,FIND("·",DE232)-1),$C$232:$C$233,0))-(VALUE(MID(DE232,FIND("|",DE232)+1,FIND("-",DE232,FIND("|",DE232))-FIND("|",DE232)-1))-VALUE(MID(DE232,FIND("-",DE232,FIND("|",DE232))+1,10)))))*$D$50),$D$29*(1-(IF(INDEX($D$232:$D$233,MATCH(LEFT(DE232,FIND("·",DE232)-1),$C$232:$C$233,0))=0,ABS(INDEX($A$232:$A$233,MATCH(LEFT(DE232,FIND("·",DE232)-1),$C$232:$C$233,0))-VALUE(MID(DE232,FIND("|",DE232)+1,FIND("-",DE232,FIND("|",DE232))-FIND("|",DE232)-1))),ABS(INDEX($Q$232:$Q$233,MATCH(LEFT(DE232,FIND("·",DE232)-1),$C$232:$C$233,0))-(VALUE(MID(DE232,FIND("|",DE232)+1,FIND("-",DE232,FIND("|",DE232))-FIND("|",DE232)-1))-VALUE(MID(DE232,FIND("-",DE232,FIND("|",DE232))+1,10)))))*$D$50)))))*INDEX($I$232:$I$233,MATCH(LEFT(DE232,FIND("·",DE232)-1),$C$232:$C$233,0)),0),0),0)</f>
        <v>0</v>
      </c>
      <c r="DG232" s="110"/>
      <c r="DH232" s="76" t="s">
        <v>2650</v>
      </c>
      <c r="DI232" s="77">
        <f t="shared" ref="DI232" si="1529">IFERROR(IF(COUNTIF($K$232:$K$233,LEFT(DH232,FIND("·",DH232)-1))&gt;0,IF(INDEX($L$232:$L$233,MATCH(LEFT(DH232,FIND("·",DH232)-1),$K$232:$K$233,0))=IFERROR(VALUE(MID(DH232,FIND("·",DH232)+1,1)),0),($D$28+(INDEX($M$232:$M$233,MATCH(LEFT(DH232,FIND("·",DH232)-1),$K$232:$K$233,0))=MID(DH232,FIND("|",DH232)+1,10))*$D$30+MAX(0,IF($D$50=1,$D$29*(1-(ABS(INDEX($P$232:$P$233,MATCH(LEFT(DH232,FIND("·",DH232)-1),$K$232:$K$233,0))-(VALUE(MID(DH232,FIND("|",DH232)+1,FIND("-",DH232,FIND("|",DH232))-FIND("|",DH232)-1))-VALUE(MID(DH232,FIND("-",DH232,FIND("|",DH232))+1,10)))))*$D$50),$D$29*(1-(IF(INDEX($L$232:$L$233,MATCH(LEFT(DH232,FIND("·",DH232)-1),$K$232:$K$233,0))=0,ABS(INDEX($N$232:$N$233,MATCH(LEFT(DH232,FIND("·",DH232)-1),$K$232:$K$233,0))-VALUE(MID(DH232,FIND("|",DH232)+1,FIND("-",DH232,FIND("|",DH232))-FIND("|",DH232)-1))),ABS(INDEX($P$232:$P$233,MATCH(LEFT(DH232,FIND("·",DH232)-1),$K$232:$K$233,0))-(VALUE(MID(DH232,FIND("|",DH232)+1,FIND("-",DH232,FIND("|",DH232))-FIND("|",DH232)-1))-VALUE(MID(DH232,FIND("-",DH232,FIND("|",DH232))+1,10)))))*$D$50)))))*INDEX($I$232:$I$233,MATCH(LEFT(DH232,FIND("·",DH232)-1),$K$232:$K$233,0)),0),0),0)+IFERROR(IF(COUNTIF($C$232:$C$233,LEFT(DH232,FIND("·",DH232)-1))&gt;0,IF(INDEX($D$232:$D$233,MATCH(LEFT(DH232,FIND("·",DH232)-1),$C$232:$C$233,0))=IFERROR(VALUE(MID(DH232,FIND("·",DH232)+1,1)),0),($D$28+(INDEX($E$232:$E$233,MATCH(LEFT(DH232,FIND("·",DH232)-1),$C$232:$C$233,0))=MID(DH232,FIND("|",DH232)+1,10))*$D$30+MAX(0,IF($D$50=1,$D$29*(1-(ABS(INDEX($Q$232:$Q$233,MATCH(LEFT(DH232,FIND("·",DH232)-1),$C$232:$C$233,0))-(VALUE(MID(DH232,FIND("|",DH232)+1,FIND("-",DH232,FIND("|",DH232))-FIND("|",DH232)-1))-VALUE(MID(DH232,FIND("-",DH232,FIND("|",DH232))+1,10)))))*$D$50),$D$29*(1-(IF(INDEX($D$232:$D$233,MATCH(LEFT(DH232,FIND("·",DH232)-1),$C$232:$C$233,0))=0,ABS(INDEX($A$232:$A$233,MATCH(LEFT(DH232,FIND("·",DH232)-1),$C$232:$C$233,0))-VALUE(MID(DH232,FIND("|",DH232)+1,FIND("-",DH232,FIND("|",DH232))-FIND("|",DH232)-1))),ABS(INDEX($Q$232:$Q$233,MATCH(LEFT(DH232,FIND("·",DH232)-1),$C$232:$C$233,0))-(VALUE(MID(DH232,FIND("|",DH232)+1,FIND("-",DH232,FIND("|",DH232))-FIND("|",DH232)-1))-VALUE(MID(DH232,FIND("-",DH232,FIND("|",DH232))+1,10)))))*$D$50)))))*INDEX($I$232:$I$233,MATCH(LEFT(DH232,FIND("·",DH232)-1),$C$232:$C$233,0)),0),0),0)</f>
        <v>0</v>
      </c>
      <c r="DJ232" s="110"/>
      <c r="DK232" s="76" t="s">
        <v>2092</v>
      </c>
      <c r="DL232" s="77">
        <f t="shared" ref="DL232" si="1530">IFERROR(IF(COUNTIF($K$232:$K$233,LEFT(DK232,FIND("·",DK232)-1))&gt;0,IF(INDEX($L$232:$L$233,MATCH(LEFT(DK232,FIND("·",DK232)-1),$K$232:$K$233,0))=IFERROR(VALUE(MID(DK232,FIND("·",DK232)+1,1)),0),($D$28+(INDEX($M$232:$M$233,MATCH(LEFT(DK232,FIND("·",DK232)-1),$K$232:$K$233,0))=MID(DK232,FIND("|",DK232)+1,10))*$D$30+MAX(0,IF($D$50=1,$D$29*(1-(ABS(INDEX($P$232:$P$233,MATCH(LEFT(DK232,FIND("·",DK232)-1),$K$232:$K$233,0))-(VALUE(MID(DK232,FIND("|",DK232)+1,FIND("-",DK232,FIND("|",DK232))-FIND("|",DK232)-1))-VALUE(MID(DK232,FIND("-",DK232,FIND("|",DK232))+1,10)))))*$D$50),$D$29*(1-(IF(INDEX($L$232:$L$233,MATCH(LEFT(DK232,FIND("·",DK232)-1),$K$232:$K$233,0))=0,ABS(INDEX($N$232:$N$233,MATCH(LEFT(DK232,FIND("·",DK232)-1),$K$232:$K$233,0))-VALUE(MID(DK232,FIND("|",DK232)+1,FIND("-",DK232,FIND("|",DK232))-FIND("|",DK232)-1))),ABS(INDEX($P$232:$P$233,MATCH(LEFT(DK232,FIND("·",DK232)-1),$K$232:$K$233,0))-(VALUE(MID(DK232,FIND("|",DK232)+1,FIND("-",DK232,FIND("|",DK232))-FIND("|",DK232)-1))-VALUE(MID(DK232,FIND("-",DK232,FIND("|",DK232))+1,10)))))*$D$50)))))*INDEX($I$232:$I$233,MATCH(LEFT(DK232,FIND("·",DK232)-1),$K$232:$K$233,0)),0),0),0)+IFERROR(IF(COUNTIF($C$232:$C$233,LEFT(DK232,FIND("·",DK232)-1))&gt;0,IF(INDEX($D$232:$D$233,MATCH(LEFT(DK232,FIND("·",DK232)-1),$C$232:$C$233,0))=IFERROR(VALUE(MID(DK232,FIND("·",DK232)+1,1)),0),($D$28+(INDEX($E$232:$E$233,MATCH(LEFT(DK232,FIND("·",DK232)-1),$C$232:$C$233,0))=MID(DK232,FIND("|",DK232)+1,10))*$D$30+MAX(0,IF($D$50=1,$D$29*(1-(ABS(INDEX($Q$232:$Q$233,MATCH(LEFT(DK232,FIND("·",DK232)-1),$C$232:$C$233,0))-(VALUE(MID(DK232,FIND("|",DK232)+1,FIND("-",DK232,FIND("|",DK232))-FIND("|",DK232)-1))-VALUE(MID(DK232,FIND("-",DK232,FIND("|",DK232))+1,10)))))*$D$50),$D$29*(1-(IF(INDEX($D$232:$D$233,MATCH(LEFT(DK232,FIND("·",DK232)-1),$C$232:$C$233,0))=0,ABS(INDEX($A$232:$A$233,MATCH(LEFT(DK232,FIND("·",DK232)-1),$C$232:$C$233,0))-VALUE(MID(DK232,FIND("|",DK232)+1,FIND("-",DK232,FIND("|",DK232))-FIND("|",DK232)-1))),ABS(INDEX($Q$232:$Q$233,MATCH(LEFT(DK232,FIND("·",DK232)-1),$C$232:$C$233,0))-(VALUE(MID(DK232,FIND("|",DK232)+1,FIND("-",DK232,FIND("|",DK232))-FIND("|",DK232)-1))-VALUE(MID(DK232,FIND("-",DK232,FIND("|",DK232))+1,10)))))*$D$50)))))*INDEX($I$232:$I$233,MATCH(LEFT(DK232,FIND("·",DK232)-1),$C$232:$C$233,0)),0),0),0)</f>
        <v>0</v>
      </c>
      <c r="DM232" s="110"/>
      <c r="DN232" s="797" t="s">
        <v>2418</v>
      </c>
      <c r="DO232" s="77">
        <f t="shared" ref="DO232" si="1531">IFERROR(IF(COUNTIF($K$232:$K$233,LEFT(DN232,FIND("·",DN232)-1))&gt;0,IF(INDEX($L$232:$L$233,MATCH(LEFT(DN232,FIND("·",DN232)-1),$K$232:$K$233,0))=IFERROR(VALUE(MID(DN232,FIND("·",DN232)+1,1)),0),($D$28+(INDEX($M$232:$M$233,MATCH(LEFT(DN232,FIND("·",DN232)-1),$K$232:$K$233,0))=MID(DN232,FIND("|",DN232)+1,10))*$D$30+MAX(0,IF($D$50=1,$D$29*(1-(ABS(INDEX($P$232:$P$233,MATCH(LEFT(DN232,FIND("·",DN232)-1),$K$232:$K$233,0))-(VALUE(MID(DN232,FIND("|",DN232)+1,FIND("-",DN232,FIND("|",DN232))-FIND("|",DN232)-1))-VALUE(MID(DN232,FIND("-",DN232,FIND("|",DN232))+1,10)))))*$D$50),$D$29*(1-(IF(INDEX($L$232:$L$233,MATCH(LEFT(DN232,FIND("·",DN232)-1),$K$232:$K$233,0))=0,ABS(INDEX($N$232:$N$233,MATCH(LEFT(DN232,FIND("·",DN232)-1),$K$232:$K$233,0))-VALUE(MID(DN232,FIND("|",DN232)+1,FIND("-",DN232,FIND("|",DN232))-FIND("|",DN232)-1))),ABS(INDEX($P$232:$P$233,MATCH(LEFT(DN232,FIND("·",DN232)-1),$K$232:$K$233,0))-(VALUE(MID(DN232,FIND("|",DN232)+1,FIND("-",DN232,FIND("|",DN232))-FIND("|",DN232)-1))-VALUE(MID(DN232,FIND("-",DN232,FIND("|",DN232))+1,10)))))*$D$50)))))*INDEX($I$232:$I$233,MATCH(LEFT(DN232,FIND("·",DN232)-1),$K$232:$K$233,0)),0),0),0)+IFERROR(IF(COUNTIF($C$232:$C$233,LEFT(DN232,FIND("·",DN232)-1))&gt;0,IF(INDEX($D$232:$D$233,MATCH(LEFT(DN232,FIND("·",DN232)-1),$C$232:$C$233,0))=IFERROR(VALUE(MID(DN232,FIND("·",DN232)+1,1)),0),($D$28+(INDEX($E$232:$E$233,MATCH(LEFT(DN232,FIND("·",DN232)-1),$C$232:$C$233,0))=MID(DN232,FIND("|",DN232)+1,10))*$D$30+MAX(0,IF($D$50=1,$D$29*(1-(ABS(INDEX($Q$232:$Q$233,MATCH(LEFT(DN232,FIND("·",DN232)-1),$C$232:$C$233,0))-(VALUE(MID(DN232,FIND("|",DN232)+1,FIND("-",DN232,FIND("|",DN232))-FIND("|",DN232)-1))-VALUE(MID(DN232,FIND("-",DN232,FIND("|",DN232))+1,10)))))*$D$50),$D$29*(1-(IF(INDEX($D$232:$D$233,MATCH(LEFT(DN232,FIND("·",DN232)-1),$C$232:$C$233,0))=0,ABS(INDEX($A$232:$A$233,MATCH(LEFT(DN232,FIND("·",DN232)-1),$C$232:$C$233,0))-VALUE(MID(DN232,FIND("|",DN232)+1,FIND("-",DN232,FIND("|",DN232))-FIND("|",DN232)-1))),ABS(INDEX($Q$232:$Q$233,MATCH(LEFT(DN232,FIND("·",DN232)-1),$C$232:$C$233,0))-(VALUE(MID(DN232,FIND("|",DN232)+1,FIND("-",DN232,FIND("|",DN232))-FIND("|",DN232)-1))-VALUE(MID(DN232,FIND("-",DN232,FIND("|",DN232))+1,10)))))*$D$50)))))*INDEX($I$232:$I$233,MATCH(LEFT(DN232,FIND("·",DN232)-1),$C$232:$C$233,0)),0),0),0)</f>
        <v>0</v>
      </c>
      <c r="DP232" s="110"/>
      <c r="DQ232" s="797" t="s">
        <v>2704</v>
      </c>
      <c r="DR232" s="77">
        <f t="shared" ref="DR232" si="1532">IFERROR(IF(COUNTIF($K$232:$K$233,LEFT(DQ232,FIND("·",DQ232)-1))&gt;0,IF(INDEX($L$232:$L$233,MATCH(LEFT(DQ232,FIND("·",DQ232)-1),$K$232:$K$233,0))=IFERROR(VALUE(MID(DQ232,FIND("·",DQ232)+1,1)),0),($D$28+(INDEX($M$232:$M$233,MATCH(LEFT(DQ232,FIND("·",DQ232)-1),$K$232:$K$233,0))=MID(DQ232,FIND("|",DQ232)+1,10))*$D$30+MAX(0,IF($D$50=1,$D$29*(1-(ABS(INDEX($P$232:$P$233,MATCH(LEFT(DQ232,FIND("·",DQ232)-1),$K$232:$K$233,0))-(VALUE(MID(DQ232,FIND("|",DQ232)+1,FIND("-",DQ232,FIND("|",DQ232))-FIND("|",DQ232)-1))-VALUE(MID(DQ232,FIND("-",DQ232,FIND("|",DQ232))+1,10)))))*$D$50),$D$29*(1-(IF(INDEX($L$232:$L$233,MATCH(LEFT(DQ232,FIND("·",DQ232)-1),$K$232:$K$233,0))=0,ABS(INDEX($N$232:$N$233,MATCH(LEFT(DQ232,FIND("·",DQ232)-1),$K$232:$K$233,0))-VALUE(MID(DQ232,FIND("|",DQ232)+1,FIND("-",DQ232,FIND("|",DQ232))-FIND("|",DQ232)-1))),ABS(INDEX($P$232:$P$233,MATCH(LEFT(DQ232,FIND("·",DQ232)-1),$K$232:$K$233,0))-(VALUE(MID(DQ232,FIND("|",DQ232)+1,FIND("-",DQ232,FIND("|",DQ232))-FIND("|",DQ232)-1))-VALUE(MID(DQ232,FIND("-",DQ232,FIND("|",DQ232))+1,10)))))*$D$50)))))*INDEX($I$232:$I$233,MATCH(LEFT(DQ232,FIND("·",DQ232)-1),$K$232:$K$233,0)),0),0),0)+IFERROR(IF(COUNTIF($C$232:$C$233,LEFT(DQ232,FIND("·",DQ232)-1))&gt;0,IF(INDEX($D$232:$D$233,MATCH(LEFT(DQ232,FIND("·",DQ232)-1),$C$232:$C$233,0))=IFERROR(VALUE(MID(DQ232,FIND("·",DQ232)+1,1)),0),($D$28+(INDEX($E$232:$E$233,MATCH(LEFT(DQ232,FIND("·",DQ232)-1),$C$232:$C$233,0))=MID(DQ232,FIND("|",DQ232)+1,10))*$D$30+MAX(0,IF($D$50=1,$D$29*(1-(ABS(INDEX($Q$232:$Q$233,MATCH(LEFT(DQ232,FIND("·",DQ232)-1),$C$232:$C$233,0))-(VALUE(MID(DQ232,FIND("|",DQ232)+1,FIND("-",DQ232,FIND("|",DQ232))-FIND("|",DQ232)-1))-VALUE(MID(DQ232,FIND("-",DQ232,FIND("|",DQ232))+1,10)))))*$D$50),$D$29*(1-(IF(INDEX($D$232:$D$233,MATCH(LEFT(DQ232,FIND("·",DQ232)-1),$C$232:$C$233,0))=0,ABS(INDEX($A$232:$A$233,MATCH(LEFT(DQ232,FIND("·",DQ232)-1),$C$232:$C$233,0))-VALUE(MID(DQ232,FIND("|",DQ232)+1,FIND("-",DQ232,FIND("|",DQ232))-FIND("|",DQ232)-1))),ABS(INDEX($Q$232:$Q$233,MATCH(LEFT(DQ232,FIND("·",DQ232)-1),$C$232:$C$233,0))-(VALUE(MID(DQ232,FIND("|",DQ232)+1,FIND("-",DQ232,FIND("|",DQ232))-FIND("|",DQ232)-1))-VALUE(MID(DQ232,FIND("-",DQ232,FIND("|",DQ232))+1,10)))))*$D$50)))))*INDEX($I$232:$I$233,MATCH(LEFT(DQ232,FIND("·",DQ232)-1),$C$232:$C$233,0)),0),0),0)</f>
        <v>0</v>
      </c>
      <c r="DS232" s="110"/>
      <c r="DT232" s="76" t="s">
        <v>2729</v>
      </c>
      <c r="DU232" s="77">
        <f t="shared" ref="DU232" si="1533">IFERROR(IF(COUNTIF($K$232:$K$233,LEFT(DT232,FIND("·",DT232)-1))&gt;0,IF(INDEX($L$232:$L$233,MATCH(LEFT(DT232,FIND("·",DT232)-1),$K$232:$K$233,0))=IFERROR(VALUE(MID(DT232,FIND("·",DT232)+1,1)),0),($D$28+(INDEX($M$232:$M$233,MATCH(LEFT(DT232,FIND("·",DT232)-1),$K$232:$K$233,0))=MID(DT232,FIND("|",DT232)+1,10))*$D$30+MAX(0,IF($D$50=1,$D$29*(1-(ABS(INDEX($P$232:$P$233,MATCH(LEFT(DT232,FIND("·",DT232)-1),$K$232:$K$233,0))-(VALUE(MID(DT232,FIND("|",DT232)+1,FIND("-",DT232,FIND("|",DT232))-FIND("|",DT232)-1))-VALUE(MID(DT232,FIND("-",DT232,FIND("|",DT232))+1,10)))))*$D$50),$D$29*(1-(IF(INDEX($L$232:$L$233,MATCH(LEFT(DT232,FIND("·",DT232)-1),$K$232:$K$233,0))=0,ABS(INDEX($N$232:$N$233,MATCH(LEFT(DT232,FIND("·",DT232)-1),$K$232:$K$233,0))-VALUE(MID(DT232,FIND("|",DT232)+1,FIND("-",DT232,FIND("|",DT232))-FIND("|",DT232)-1))),ABS(INDEX($P$232:$P$233,MATCH(LEFT(DT232,FIND("·",DT232)-1),$K$232:$K$233,0))-(VALUE(MID(DT232,FIND("|",DT232)+1,FIND("-",DT232,FIND("|",DT232))-FIND("|",DT232)-1))-VALUE(MID(DT232,FIND("-",DT232,FIND("|",DT232))+1,10)))))*$D$50)))))*INDEX($I$232:$I$233,MATCH(LEFT(DT232,FIND("·",DT232)-1),$K$232:$K$233,0)),0),0),0)+IFERROR(IF(COUNTIF($C$232:$C$233,LEFT(DT232,FIND("·",DT232)-1))&gt;0,IF(INDEX($D$232:$D$233,MATCH(LEFT(DT232,FIND("·",DT232)-1),$C$232:$C$233,0))=IFERROR(VALUE(MID(DT232,FIND("·",DT232)+1,1)),0),($D$28+(INDEX($E$232:$E$233,MATCH(LEFT(DT232,FIND("·",DT232)-1),$C$232:$C$233,0))=MID(DT232,FIND("|",DT232)+1,10))*$D$30+MAX(0,IF($D$50=1,$D$29*(1-(ABS(INDEX($Q$232:$Q$233,MATCH(LEFT(DT232,FIND("·",DT232)-1),$C$232:$C$233,0))-(VALUE(MID(DT232,FIND("|",DT232)+1,FIND("-",DT232,FIND("|",DT232))-FIND("|",DT232)-1))-VALUE(MID(DT232,FIND("-",DT232,FIND("|",DT232))+1,10)))))*$D$50),$D$29*(1-(IF(INDEX($D$232:$D$233,MATCH(LEFT(DT232,FIND("·",DT232)-1),$C$232:$C$233,0))=0,ABS(INDEX($A$232:$A$233,MATCH(LEFT(DT232,FIND("·",DT232)-1),$C$232:$C$233,0))-VALUE(MID(DT232,FIND("|",DT232)+1,FIND("-",DT232,FIND("|",DT232))-FIND("|",DT232)-1))),ABS(INDEX($Q$232:$Q$233,MATCH(LEFT(DT232,FIND("·",DT232)-1),$C$232:$C$233,0))-(VALUE(MID(DT232,FIND("|",DT232)+1,FIND("-",DT232,FIND("|",DT232))-FIND("|",DT232)-1))-VALUE(MID(DT232,FIND("-",DT232,FIND("|",DT232))+1,10)))))*$D$50)))))*INDEX($I$232:$I$233,MATCH(LEFT(DT232,FIND("·",DT232)-1),$C$232:$C$233,0)),0),0),0)</f>
        <v>0</v>
      </c>
      <c r="DV232" s="110"/>
      <c r="DW232" s="76" t="s">
        <v>2031</v>
      </c>
      <c r="DX232" s="77">
        <f t="shared" ref="DX232" si="1534">IFERROR(IF(COUNTIF($K$232:$K$233,LEFT(DW232,FIND("·",DW232)-1))&gt;0,IF(INDEX($L$232:$L$233,MATCH(LEFT(DW232,FIND("·",DW232)-1),$K$232:$K$233,0))=IFERROR(VALUE(MID(DW232,FIND("·",DW232)+1,1)),0),($D$28+(INDEX($M$232:$M$233,MATCH(LEFT(DW232,FIND("·",DW232)-1),$K$232:$K$233,0))=MID(DW232,FIND("|",DW232)+1,10))*$D$30+MAX(0,IF($D$50=1,$D$29*(1-(ABS(INDEX($P$232:$P$233,MATCH(LEFT(DW232,FIND("·",DW232)-1),$K$232:$K$233,0))-(VALUE(MID(DW232,FIND("|",DW232)+1,FIND("-",DW232,FIND("|",DW232))-FIND("|",DW232)-1))-VALUE(MID(DW232,FIND("-",DW232,FIND("|",DW232))+1,10)))))*$D$50),$D$29*(1-(IF(INDEX($L$232:$L$233,MATCH(LEFT(DW232,FIND("·",DW232)-1),$K$232:$K$233,0))=0,ABS(INDEX($N$232:$N$233,MATCH(LEFT(DW232,FIND("·",DW232)-1),$K$232:$K$233,0))-VALUE(MID(DW232,FIND("|",DW232)+1,FIND("-",DW232,FIND("|",DW232))-FIND("|",DW232)-1))),ABS(INDEX($P$232:$P$233,MATCH(LEFT(DW232,FIND("·",DW232)-1),$K$232:$K$233,0))-(VALUE(MID(DW232,FIND("|",DW232)+1,FIND("-",DW232,FIND("|",DW232))-FIND("|",DW232)-1))-VALUE(MID(DW232,FIND("-",DW232,FIND("|",DW232))+1,10)))))*$D$50)))))*INDEX($I$232:$I$233,MATCH(LEFT(DW232,FIND("·",DW232)-1),$K$232:$K$233,0)),0),0),0)+IFERROR(IF(COUNTIF($C$232:$C$233,LEFT(DW232,FIND("·",DW232)-1))&gt;0,IF(INDEX($D$232:$D$233,MATCH(LEFT(DW232,FIND("·",DW232)-1),$C$232:$C$233,0))=IFERROR(VALUE(MID(DW232,FIND("·",DW232)+1,1)),0),($D$28+(INDEX($E$232:$E$233,MATCH(LEFT(DW232,FIND("·",DW232)-1),$C$232:$C$233,0))=MID(DW232,FIND("|",DW232)+1,10))*$D$30+MAX(0,IF($D$50=1,$D$29*(1-(ABS(INDEX($Q$232:$Q$233,MATCH(LEFT(DW232,FIND("·",DW232)-1),$C$232:$C$233,0))-(VALUE(MID(DW232,FIND("|",DW232)+1,FIND("-",DW232,FIND("|",DW232))-FIND("|",DW232)-1))-VALUE(MID(DW232,FIND("-",DW232,FIND("|",DW232))+1,10)))))*$D$50),$D$29*(1-(IF(INDEX($D$232:$D$233,MATCH(LEFT(DW232,FIND("·",DW232)-1),$C$232:$C$233,0))=0,ABS(INDEX($A$232:$A$233,MATCH(LEFT(DW232,FIND("·",DW232)-1),$C$232:$C$233,0))-VALUE(MID(DW232,FIND("|",DW232)+1,FIND("-",DW232,FIND("|",DW232))-FIND("|",DW232)-1))),ABS(INDEX($Q$232:$Q$233,MATCH(LEFT(DW232,FIND("·",DW232)-1),$C$232:$C$233,0))-(VALUE(MID(DW232,FIND("|",DW232)+1,FIND("-",DW232,FIND("|",DW232))-FIND("|",DW232)-1))-VALUE(MID(DW232,FIND("-",DW232,FIND("|",DW232))+1,10)))))*$D$50)))))*INDEX($I$232:$I$233,MATCH(LEFT(DW232,FIND("·",DW232)-1),$C$232:$C$233,0)),0),0),0)</f>
        <v>0</v>
      </c>
      <c r="DY232" s="110"/>
      <c r="DZ232" s="76" t="s">
        <v>2479</v>
      </c>
      <c r="EA232" s="77">
        <f t="shared" ref="EA232" si="1535">IFERROR(IF(COUNTIF($K$232:$K$233,LEFT(DZ232,FIND("·",DZ232)-1))&gt;0,IF(INDEX($L$232:$L$233,MATCH(LEFT(DZ232,FIND("·",DZ232)-1),$K$232:$K$233,0))=IFERROR(VALUE(MID(DZ232,FIND("·",DZ232)+1,1)),0),($D$28+(INDEX($M$232:$M$233,MATCH(LEFT(DZ232,FIND("·",DZ232)-1),$K$232:$K$233,0))=MID(DZ232,FIND("|",DZ232)+1,10))*$D$30+MAX(0,IF($D$50=1,$D$29*(1-(ABS(INDEX($P$232:$P$233,MATCH(LEFT(DZ232,FIND("·",DZ232)-1),$K$232:$K$233,0))-(VALUE(MID(DZ232,FIND("|",DZ232)+1,FIND("-",DZ232,FIND("|",DZ232))-FIND("|",DZ232)-1))-VALUE(MID(DZ232,FIND("-",DZ232,FIND("|",DZ232))+1,10)))))*$D$50),$D$29*(1-(IF(INDEX($L$232:$L$233,MATCH(LEFT(DZ232,FIND("·",DZ232)-1),$K$232:$K$233,0))=0,ABS(INDEX($N$232:$N$233,MATCH(LEFT(DZ232,FIND("·",DZ232)-1),$K$232:$K$233,0))-VALUE(MID(DZ232,FIND("|",DZ232)+1,FIND("-",DZ232,FIND("|",DZ232))-FIND("|",DZ232)-1))),ABS(INDEX($P$232:$P$233,MATCH(LEFT(DZ232,FIND("·",DZ232)-1),$K$232:$K$233,0))-(VALUE(MID(DZ232,FIND("|",DZ232)+1,FIND("-",DZ232,FIND("|",DZ232))-FIND("|",DZ232)-1))-VALUE(MID(DZ232,FIND("-",DZ232,FIND("|",DZ232))+1,10)))))*$D$50)))))*INDEX($I$232:$I$233,MATCH(LEFT(DZ232,FIND("·",DZ232)-1),$K$232:$K$233,0)),0),0),0)+IFERROR(IF(COUNTIF($C$232:$C$233,LEFT(DZ232,FIND("·",DZ232)-1))&gt;0,IF(INDEX($D$232:$D$233,MATCH(LEFT(DZ232,FIND("·",DZ232)-1),$C$232:$C$233,0))=IFERROR(VALUE(MID(DZ232,FIND("·",DZ232)+1,1)),0),($D$28+(INDEX($E$232:$E$233,MATCH(LEFT(DZ232,FIND("·",DZ232)-1),$C$232:$C$233,0))=MID(DZ232,FIND("|",DZ232)+1,10))*$D$30+MAX(0,IF($D$50=1,$D$29*(1-(ABS(INDEX($Q$232:$Q$233,MATCH(LEFT(DZ232,FIND("·",DZ232)-1),$C$232:$C$233,0))-(VALUE(MID(DZ232,FIND("|",DZ232)+1,FIND("-",DZ232,FIND("|",DZ232))-FIND("|",DZ232)-1))-VALUE(MID(DZ232,FIND("-",DZ232,FIND("|",DZ232))+1,10)))))*$D$50),$D$29*(1-(IF(INDEX($D$232:$D$233,MATCH(LEFT(DZ232,FIND("·",DZ232)-1),$C$232:$C$233,0))=0,ABS(INDEX($A$232:$A$233,MATCH(LEFT(DZ232,FIND("·",DZ232)-1),$C$232:$C$233,0))-VALUE(MID(DZ232,FIND("|",DZ232)+1,FIND("-",DZ232,FIND("|",DZ232))-FIND("|",DZ232)-1))),ABS(INDEX($Q$232:$Q$233,MATCH(LEFT(DZ232,FIND("·",DZ232)-1),$C$232:$C$233,0))-(VALUE(MID(DZ232,FIND("|",DZ232)+1,FIND("-",DZ232,FIND("|",DZ232))-FIND("|",DZ232)-1))-VALUE(MID(DZ232,FIND("-",DZ232,FIND("|",DZ232))+1,10)))))*$D$50)))))*INDEX($I$232:$I$233,MATCH(LEFT(DZ232,FIND("·",DZ232)-1),$C$232:$C$233,0)),0),0),0)</f>
        <v>0</v>
      </c>
      <c r="EB232" s="110"/>
      <c r="EC232" s="76" t="s">
        <v>2774</v>
      </c>
      <c r="ED232" s="77">
        <f t="shared" ref="ED232" si="1536">IFERROR(IF(COUNTIF($K$232:$K$233,LEFT(EC232,FIND("·",EC232)-1))&gt;0,IF(INDEX($L$232:$L$233,MATCH(LEFT(EC232,FIND("·",EC232)-1),$K$232:$K$233,0))=IFERROR(VALUE(MID(EC232,FIND("·",EC232)+1,1)),0),($D$28+(INDEX($M$232:$M$233,MATCH(LEFT(EC232,FIND("·",EC232)-1),$K$232:$K$233,0))=MID(EC232,FIND("|",EC232)+1,10))*$D$30+MAX(0,IF($D$50=1,$D$29*(1-(ABS(INDEX($P$232:$P$233,MATCH(LEFT(EC232,FIND("·",EC232)-1),$K$232:$K$233,0))-(VALUE(MID(EC232,FIND("|",EC232)+1,FIND("-",EC232,FIND("|",EC232))-FIND("|",EC232)-1))-VALUE(MID(EC232,FIND("-",EC232,FIND("|",EC232))+1,10)))))*$D$50),$D$29*(1-(IF(INDEX($L$232:$L$233,MATCH(LEFT(EC232,FIND("·",EC232)-1),$K$232:$K$233,0))=0,ABS(INDEX($N$232:$N$233,MATCH(LEFT(EC232,FIND("·",EC232)-1),$K$232:$K$233,0))-VALUE(MID(EC232,FIND("|",EC232)+1,FIND("-",EC232,FIND("|",EC232))-FIND("|",EC232)-1))),ABS(INDEX($P$232:$P$233,MATCH(LEFT(EC232,FIND("·",EC232)-1),$K$232:$K$233,0))-(VALUE(MID(EC232,FIND("|",EC232)+1,FIND("-",EC232,FIND("|",EC232))-FIND("|",EC232)-1))-VALUE(MID(EC232,FIND("-",EC232,FIND("|",EC232))+1,10)))))*$D$50)))))*INDEX($I$232:$I$233,MATCH(LEFT(EC232,FIND("·",EC232)-1),$K$232:$K$233,0)),0),0),0)+IFERROR(IF(COUNTIF($C$232:$C$233,LEFT(EC232,FIND("·",EC232)-1))&gt;0,IF(INDEX($D$232:$D$233,MATCH(LEFT(EC232,FIND("·",EC232)-1),$C$232:$C$233,0))=IFERROR(VALUE(MID(EC232,FIND("·",EC232)+1,1)),0),($D$28+(INDEX($E$232:$E$233,MATCH(LEFT(EC232,FIND("·",EC232)-1),$C$232:$C$233,0))=MID(EC232,FIND("|",EC232)+1,10))*$D$30+MAX(0,IF($D$50=1,$D$29*(1-(ABS(INDEX($Q$232:$Q$233,MATCH(LEFT(EC232,FIND("·",EC232)-1),$C$232:$C$233,0))-(VALUE(MID(EC232,FIND("|",EC232)+1,FIND("-",EC232,FIND("|",EC232))-FIND("|",EC232)-1))-VALUE(MID(EC232,FIND("-",EC232,FIND("|",EC232))+1,10)))))*$D$50),$D$29*(1-(IF(INDEX($D$232:$D$233,MATCH(LEFT(EC232,FIND("·",EC232)-1),$C$232:$C$233,0))=0,ABS(INDEX($A$232:$A$233,MATCH(LEFT(EC232,FIND("·",EC232)-1),$C$232:$C$233,0))-VALUE(MID(EC232,FIND("|",EC232)+1,FIND("-",EC232,FIND("|",EC232))-FIND("|",EC232)-1))),ABS(INDEX($Q$232:$Q$233,MATCH(LEFT(EC232,FIND("·",EC232)-1),$C$232:$C$233,0))-(VALUE(MID(EC232,FIND("|",EC232)+1,FIND("-",EC232,FIND("|",EC232))-FIND("|",EC232)-1))-VALUE(MID(EC232,FIND("-",EC232,FIND("|",EC232))+1,10)))))*$D$50)))))*INDEX($I$232:$I$233,MATCH(LEFT(EC232,FIND("·",EC232)-1),$C$232:$C$233,0)),0),0),0)</f>
        <v>0</v>
      </c>
      <c r="EE232" s="110"/>
      <c r="EF232" s="76" t="s">
        <v>2789</v>
      </c>
      <c r="EG232" s="77">
        <f t="shared" ref="EG232" si="1537">IFERROR(IF(COUNTIF($K$232:$K$233,LEFT(EF232,FIND("·",EF232)-1))&gt;0,IF(INDEX($L$232:$L$233,MATCH(LEFT(EF232,FIND("·",EF232)-1),$K$232:$K$233,0))=IFERROR(VALUE(MID(EF232,FIND("·",EF232)+1,1)),0),($D$28+(INDEX($M$232:$M$233,MATCH(LEFT(EF232,FIND("·",EF232)-1),$K$232:$K$233,0))=MID(EF232,FIND("|",EF232)+1,10))*$D$30+MAX(0,IF($D$50=1,$D$29*(1-(ABS(INDEX($P$232:$P$233,MATCH(LEFT(EF232,FIND("·",EF232)-1),$K$232:$K$233,0))-(VALUE(MID(EF232,FIND("|",EF232)+1,FIND("-",EF232,FIND("|",EF232))-FIND("|",EF232)-1))-VALUE(MID(EF232,FIND("-",EF232,FIND("|",EF232))+1,10)))))*$D$50),$D$29*(1-(IF(INDEX($L$232:$L$233,MATCH(LEFT(EF232,FIND("·",EF232)-1),$K$232:$K$233,0))=0,ABS(INDEX($N$232:$N$233,MATCH(LEFT(EF232,FIND("·",EF232)-1),$K$232:$K$233,0))-VALUE(MID(EF232,FIND("|",EF232)+1,FIND("-",EF232,FIND("|",EF232))-FIND("|",EF232)-1))),ABS(INDEX($P$232:$P$233,MATCH(LEFT(EF232,FIND("·",EF232)-1),$K$232:$K$233,0))-(VALUE(MID(EF232,FIND("|",EF232)+1,FIND("-",EF232,FIND("|",EF232))-FIND("|",EF232)-1))-VALUE(MID(EF232,FIND("-",EF232,FIND("|",EF232))+1,10)))))*$D$50)))))*INDEX($I$232:$I$233,MATCH(LEFT(EF232,FIND("·",EF232)-1),$K$232:$K$233,0)),0),0),0)+IFERROR(IF(COUNTIF($C$232:$C$233,LEFT(EF232,FIND("·",EF232)-1))&gt;0,IF(INDEX($D$232:$D$233,MATCH(LEFT(EF232,FIND("·",EF232)-1),$C$232:$C$233,0))=IFERROR(VALUE(MID(EF232,FIND("·",EF232)+1,1)),0),($D$28+(INDEX($E$232:$E$233,MATCH(LEFT(EF232,FIND("·",EF232)-1),$C$232:$C$233,0))=MID(EF232,FIND("|",EF232)+1,10))*$D$30+MAX(0,IF($D$50=1,$D$29*(1-(ABS(INDEX($Q$232:$Q$233,MATCH(LEFT(EF232,FIND("·",EF232)-1),$C$232:$C$233,0))-(VALUE(MID(EF232,FIND("|",EF232)+1,FIND("-",EF232,FIND("|",EF232))-FIND("|",EF232)-1))-VALUE(MID(EF232,FIND("-",EF232,FIND("|",EF232))+1,10)))))*$D$50),$D$29*(1-(IF(INDEX($D$232:$D$233,MATCH(LEFT(EF232,FIND("·",EF232)-1),$C$232:$C$233,0))=0,ABS(INDEX($A$232:$A$233,MATCH(LEFT(EF232,FIND("·",EF232)-1),$C$232:$C$233,0))-VALUE(MID(EF232,FIND("|",EF232)+1,FIND("-",EF232,FIND("|",EF232))-FIND("|",EF232)-1))),ABS(INDEX($Q$232:$Q$233,MATCH(LEFT(EF232,FIND("·",EF232)-1),$C$232:$C$233,0))-(VALUE(MID(EF232,FIND("|",EF232)+1,FIND("-",EF232,FIND("|",EF232))-FIND("|",EF232)-1))-VALUE(MID(EF232,FIND("-",EF232,FIND("|",EF232))+1,10)))))*$D$50)))))*INDEX($I$232:$I$233,MATCH(LEFT(EF232,FIND("·",EF232)-1),$C$232:$C$233,0)),0),0),0)</f>
        <v>0</v>
      </c>
      <c r="EH232" s="110"/>
      <c r="EI232" s="76" t="s">
        <v>2150</v>
      </c>
      <c r="EJ232" s="77">
        <f t="shared" ref="EJ232" si="1538">IFERROR(IF(COUNTIF($K$232:$K$233,LEFT(EI232,FIND("·",EI232)-1))&gt;0,IF(INDEX($L$232:$L$233,MATCH(LEFT(EI232,FIND("·",EI232)-1),$K$232:$K$233,0))=IFERROR(VALUE(MID(EI232,FIND("·",EI232)+1,1)),0),($D$28+(INDEX($M$232:$M$233,MATCH(LEFT(EI232,FIND("·",EI232)-1),$K$232:$K$233,0))=MID(EI232,FIND("|",EI232)+1,10))*$D$30+MAX(0,IF($D$50=1,$D$29*(1-(ABS(INDEX($P$232:$P$233,MATCH(LEFT(EI232,FIND("·",EI232)-1),$K$232:$K$233,0))-(VALUE(MID(EI232,FIND("|",EI232)+1,FIND("-",EI232,FIND("|",EI232))-FIND("|",EI232)-1))-VALUE(MID(EI232,FIND("-",EI232,FIND("|",EI232))+1,10)))))*$D$50),$D$29*(1-(IF(INDEX($L$232:$L$233,MATCH(LEFT(EI232,FIND("·",EI232)-1),$K$232:$K$233,0))=0,ABS(INDEX($N$232:$N$233,MATCH(LEFT(EI232,FIND("·",EI232)-1),$K$232:$K$233,0))-VALUE(MID(EI232,FIND("|",EI232)+1,FIND("-",EI232,FIND("|",EI232))-FIND("|",EI232)-1))),ABS(INDEX($P$232:$P$233,MATCH(LEFT(EI232,FIND("·",EI232)-1),$K$232:$K$233,0))-(VALUE(MID(EI232,FIND("|",EI232)+1,FIND("-",EI232,FIND("|",EI232))-FIND("|",EI232)-1))-VALUE(MID(EI232,FIND("-",EI232,FIND("|",EI232))+1,10)))))*$D$50)))))*INDEX($I$232:$I$233,MATCH(LEFT(EI232,FIND("·",EI232)-1),$K$232:$K$233,0)),0),0),0)+IFERROR(IF(COUNTIF($C$232:$C$233,LEFT(EI232,FIND("·",EI232)-1))&gt;0,IF(INDEX($D$232:$D$233,MATCH(LEFT(EI232,FIND("·",EI232)-1),$C$232:$C$233,0))=IFERROR(VALUE(MID(EI232,FIND("·",EI232)+1,1)),0),($D$28+(INDEX($E$232:$E$233,MATCH(LEFT(EI232,FIND("·",EI232)-1),$C$232:$C$233,0))=MID(EI232,FIND("|",EI232)+1,10))*$D$30+MAX(0,IF($D$50=1,$D$29*(1-(ABS(INDEX($Q$232:$Q$233,MATCH(LEFT(EI232,FIND("·",EI232)-1),$C$232:$C$233,0))-(VALUE(MID(EI232,FIND("|",EI232)+1,FIND("-",EI232,FIND("|",EI232))-FIND("|",EI232)-1))-VALUE(MID(EI232,FIND("-",EI232,FIND("|",EI232))+1,10)))))*$D$50),$D$29*(1-(IF(INDEX($D$232:$D$233,MATCH(LEFT(EI232,FIND("·",EI232)-1),$C$232:$C$233,0))=0,ABS(INDEX($A$232:$A$233,MATCH(LEFT(EI232,FIND("·",EI232)-1),$C$232:$C$233,0))-VALUE(MID(EI232,FIND("|",EI232)+1,FIND("-",EI232,FIND("|",EI232))-FIND("|",EI232)-1))),ABS(INDEX($Q$232:$Q$233,MATCH(LEFT(EI232,FIND("·",EI232)-1),$C$232:$C$233,0))-(VALUE(MID(EI232,FIND("|",EI232)+1,FIND("-",EI232,FIND("|",EI232))-FIND("|",EI232)-1))-VALUE(MID(EI232,FIND("-",EI232,FIND("|",EI232))+1,10)))))*$D$50)))))*INDEX($I$232:$I$233,MATCH(LEFT(EI232,FIND("·",EI232)-1),$C$232:$C$233,0)),0),0),0)</f>
        <v>0</v>
      </c>
      <c r="EK232" s="110"/>
      <c r="EL232" s="76" t="str">
        <f>Idiomas!$D$370</f>
        <v>Pegar valores Semifinales</v>
      </c>
      <c r="EM232" s="77">
        <f t="shared" ref="EM232" si="1539">IFERROR(IF(COUNTIF($K$232:$K$233,LEFT(EL232,FIND("·",EL232)-1))&gt;0,IF(INDEX($L$232:$L$233,MATCH(LEFT(EL232,FIND("·",EL232)-1),$K$232:$K$233,0))=IFERROR(VALUE(MID(EL232,FIND("·",EL232)+1,1)),0),($D$28+(INDEX($M$232:$M$233,MATCH(LEFT(EL232,FIND("·",EL232)-1),$K$232:$K$233,0))=MID(EL232,FIND("|",EL232)+1,10))*$D$30+MAX(0,IF($D$50=1,$D$29*(1-(ABS(INDEX($P$232:$P$233,MATCH(LEFT(EL232,FIND("·",EL232)-1),$K$232:$K$233,0))-(VALUE(MID(EL232,FIND("|",EL232)+1,FIND("-",EL232,FIND("|",EL232))-FIND("|",EL232)-1))-VALUE(MID(EL232,FIND("-",EL232,FIND("|",EL232))+1,10)))))*$D$50),$D$29*(1-(IF(INDEX($L$232:$L$233,MATCH(LEFT(EL232,FIND("·",EL232)-1),$K$232:$K$233,0))=0,ABS(INDEX($N$232:$N$233,MATCH(LEFT(EL232,FIND("·",EL232)-1),$K$232:$K$233,0))-VALUE(MID(EL232,FIND("|",EL232)+1,FIND("-",EL232,FIND("|",EL232))-FIND("|",EL232)-1))),ABS(INDEX($P$232:$P$233,MATCH(LEFT(EL232,FIND("·",EL232)-1),$K$232:$K$233,0))-(VALUE(MID(EL232,FIND("|",EL232)+1,FIND("-",EL232,FIND("|",EL232))-FIND("|",EL232)-1))-VALUE(MID(EL232,FIND("-",EL232,FIND("|",EL232))+1,10)))))*$D$50)))))*INDEX($I$232:$I$233,MATCH(LEFT(EL232,FIND("·",EL232)-1),$K$232:$K$233,0)),0),0),0)+IFERROR(IF(COUNTIF($C$232:$C$233,LEFT(EL232,FIND("·",EL232)-1))&gt;0,IF(INDEX($D$232:$D$233,MATCH(LEFT(EL232,FIND("·",EL232)-1),$C$232:$C$233,0))=IFERROR(VALUE(MID(EL232,FIND("·",EL232)+1,1)),0),($D$28+(INDEX($E$232:$E$233,MATCH(LEFT(EL232,FIND("·",EL232)-1),$C$232:$C$233,0))=MID(EL232,FIND("|",EL232)+1,10))*$D$30+MAX(0,IF($D$50=1,$D$29*(1-(ABS(INDEX($Q$232:$Q$233,MATCH(LEFT(EL232,FIND("·",EL232)-1),$C$232:$C$233,0))-(VALUE(MID(EL232,FIND("|",EL232)+1,FIND("-",EL232,FIND("|",EL232))-FIND("|",EL232)-1))-VALUE(MID(EL232,FIND("-",EL232,FIND("|",EL232))+1,10)))))*$D$50),$D$29*(1-(IF(INDEX($D$232:$D$233,MATCH(LEFT(EL232,FIND("·",EL232)-1),$C$232:$C$233,0))=0,ABS(INDEX($A$232:$A$233,MATCH(LEFT(EL232,FIND("·",EL232)-1),$C$232:$C$233,0))-VALUE(MID(EL232,FIND("|",EL232)+1,FIND("-",EL232,FIND("|",EL232))-FIND("|",EL232)-1))),ABS(INDEX($Q$232:$Q$233,MATCH(LEFT(EL232,FIND("·",EL232)-1),$C$232:$C$233,0))-(VALUE(MID(EL232,FIND("|",EL232)+1,FIND("-",EL232,FIND("|",EL232))-FIND("|",EL232)-1))-VALUE(MID(EL232,FIND("-",EL232,FIND("|",EL232))+1,10)))))*$D$50)))))*INDEX($I$232:$I$233,MATCH(LEFT(EL232,FIND("·",EL232)-1),$C$232:$C$233,0)),0),0),0)</f>
        <v>0</v>
      </c>
      <c r="EN232" s="110"/>
      <c r="EO232" s="76" t="str">
        <f>Idiomas!$D$370</f>
        <v>Pegar valores Semifinales</v>
      </c>
      <c r="EP232" s="77">
        <f t="shared" ref="EP232" si="1540">IFERROR(IF(COUNTIF($K$232:$K$233,LEFT(EO232,FIND("·",EO232)-1))&gt;0,IF(INDEX($L$232:$L$233,MATCH(LEFT(EO232,FIND("·",EO232)-1),$K$232:$K$233,0))=IFERROR(VALUE(MID(EO232,FIND("·",EO232)+1,1)),0),($D$28+(INDEX($M$232:$M$233,MATCH(LEFT(EO232,FIND("·",EO232)-1),$K$232:$K$233,0))=MID(EO232,FIND("|",EO232)+1,10))*$D$30+MAX(0,IF($D$50=1,$D$29*(1-(ABS(INDEX($P$232:$P$233,MATCH(LEFT(EO232,FIND("·",EO232)-1),$K$232:$K$233,0))-(VALUE(MID(EO232,FIND("|",EO232)+1,FIND("-",EO232,FIND("|",EO232))-FIND("|",EO232)-1))-VALUE(MID(EO232,FIND("-",EO232,FIND("|",EO232))+1,10)))))*$D$50),$D$29*(1-(IF(INDEX($L$232:$L$233,MATCH(LEFT(EO232,FIND("·",EO232)-1),$K$232:$K$233,0))=0,ABS(INDEX($N$232:$N$233,MATCH(LEFT(EO232,FIND("·",EO232)-1),$K$232:$K$233,0))-VALUE(MID(EO232,FIND("|",EO232)+1,FIND("-",EO232,FIND("|",EO232))-FIND("|",EO232)-1))),ABS(INDEX($P$232:$P$233,MATCH(LEFT(EO232,FIND("·",EO232)-1),$K$232:$K$233,0))-(VALUE(MID(EO232,FIND("|",EO232)+1,FIND("-",EO232,FIND("|",EO232))-FIND("|",EO232)-1))-VALUE(MID(EO232,FIND("-",EO232,FIND("|",EO232))+1,10)))))*$D$50)))))*INDEX($I$232:$I$233,MATCH(LEFT(EO232,FIND("·",EO232)-1),$K$232:$K$233,0)),0),0),0)+IFERROR(IF(COUNTIF($C$232:$C$233,LEFT(EO232,FIND("·",EO232)-1))&gt;0,IF(INDEX($D$232:$D$233,MATCH(LEFT(EO232,FIND("·",EO232)-1),$C$232:$C$233,0))=IFERROR(VALUE(MID(EO232,FIND("·",EO232)+1,1)),0),($D$28+(INDEX($E$232:$E$233,MATCH(LEFT(EO232,FIND("·",EO232)-1),$C$232:$C$233,0))=MID(EO232,FIND("|",EO232)+1,10))*$D$30+MAX(0,IF($D$50=1,$D$29*(1-(ABS(INDEX($Q$232:$Q$233,MATCH(LEFT(EO232,FIND("·",EO232)-1),$C$232:$C$233,0))-(VALUE(MID(EO232,FIND("|",EO232)+1,FIND("-",EO232,FIND("|",EO232))-FIND("|",EO232)-1))-VALUE(MID(EO232,FIND("-",EO232,FIND("|",EO232))+1,10)))))*$D$50),$D$29*(1-(IF(INDEX($D$232:$D$233,MATCH(LEFT(EO232,FIND("·",EO232)-1),$C$232:$C$233,0))=0,ABS(INDEX($A$232:$A$233,MATCH(LEFT(EO232,FIND("·",EO232)-1),$C$232:$C$233,0))-VALUE(MID(EO232,FIND("|",EO232)+1,FIND("-",EO232,FIND("|",EO232))-FIND("|",EO232)-1))),ABS(INDEX($Q$232:$Q$233,MATCH(LEFT(EO232,FIND("·",EO232)-1),$C$232:$C$233,0))-(VALUE(MID(EO232,FIND("|",EO232)+1,FIND("-",EO232,FIND("|",EO232))-FIND("|",EO232)-1))-VALUE(MID(EO232,FIND("-",EO232,FIND("|",EO232))+1,10)))))*$D$50)))))*INDEX($I$232:$I$233,MATCH(LEFT(EO232,FIND("·",EO232)-1),$C$232:$C$233,0)),0),0),0)</f>
        <v>0</v>
      </c>
      <c r="EQ232" s="110"/>
      <c r="ER232" s="76" t="str">
        <f>Idiomas!$D$370</f>
        <v>Pegar valores Semifinales</v>
      </c>
      <c r="ES232" s="77">
        <f t="shared" ref="ES232" si="1541">IFERROR(IF(COUNTIF($K$232:$K$233,LEFT(ER232,FIND("·",ER232)-1))&gt;0,IF(INDEX($L$232:$L$233,MATCH(LEFT(ER232,FIND("·",ER232)-1),$K$232:$K$233,0))=IFERROR(VALUE(MID(ER232,FIND("·",ER232)+1,1)),0),($D$28+(INDEX($M$232:$M$233,MATCH(LEFT(ER232,FIND("·",ER232)-1),$K$232:$K$233,0))=MID(ER232,FIND("|",ER232)+1,10))*$D$30+MAX(0,IF($D$50=1,$D$29*(1-(ABS(INDEX($P$232:$P$233,MATCH(LEFT(ER232,FIND("·",ER232)-1),$K$232:$K$233,0))-(VALUE(MID(ER232,FIND("|",ER232)+1,FIND("-",ER232,FIND("|",ER232))-FIND("|",ER232)-1))-VALUE(MID(ER232,FIND("-",ER232,FIND("|",ER232))+1,10)))))*$D$50),$D$29*(1-(IF(INDEX($L$232:$L$233,MATCH(LEFT(ER232,FIND("·",ER232)-1),$K$232:$K$233,0))=0,ABS(INDEX($N$232:$N$233,MATCH(LEFT(ER232,FIND("·",ER232)-1),$K$232:$K$233,0))-VALUE(MID(ER232,FIND("|",ER232)+1,FIND("-",ER232,FIND("|",ER232))-FIND("|",ER232)-1))),ABS(INDEX($P$232:$P$233,MATCH(LEFT(ER232,FIND("·",ER232)-1),$K$232:$K$233,0))-(VALUE(MID(ER232,FIND("|",ER232)+1,FIND("-",ER232,FIND("|",ER232))-FIND("|",ER232)-1))-VALUE(MID(ER232,FIND("-",ER232,FIND("|",ER232))+1,10)))))*$D$50)))))*INDEX($I$232:$I$233,MATCH(LEFT(ER232,FIND("·",ER232)-1),$K$232:$K$233,0)),0),0),0)+IFERROR(IF(COUNTIF($C$232:$C$233,LEFT(ER232,FIND("·",ER232)-1))&gt;0,IF(INDEX($D$232:$D$233,MATCH(LEFT(ER232,FIND("·",ER232)-1),$C$232:$C$233,0))=IFERROR(VALUE(MID(ER232,FIND("·",ER232)+1,1)),0),($D$28+(INDEX($E$232:$E$233,MATCH(LEFT(ER232,FIND("·",ER232)-1),$C$232:$C$233,0))=MID(ER232,FIND("|",ER232)+1,10))*$D$30+MAX(0,IF($D$50=1,$D$29*(1-(ABS(INDEX($Q$232:$Q$233,MATCH(LEFT(ER232,FIND("·",ER232)-1),$C$232:$C$233,0))-(VALUE(MID(ER232,FIND("|",ER232)+1,FIND("-",ER232,FIND("|",ER232))-FIND("|",ER232)-1))-VALUE(MID(ER232,FIND("-",ER232,FIND("|",ER232))+1,10)))))*$D$50),$D$29*(1-(IF(INDEX($D$232:$D$233,MATCH(LEFT(ER232,FIND("·",ER232)-1),$C$232:$C$233,0))=0,ABS(INDEX($A$232:$A$233,MATCH(LEFT(ER232,FIND("·",ER232)-1),$C$232:$C$233,0))-VALUE(MID(ER232,FIND("|",ER232)+1,FIND("-",ER232,FIND("|",ER232))-FIND("|",ER232)-1))),ABS(INDEX($Q$232:$Q$233,MATCH(LEFT(ER232,FIND("·",ER232)-1),$C$232:$C$233,0))-(VALUE(MID(ER232,FIND("|",ER232)+1,FIND("-",ER232,FIND("|",ER232))-FIND("|",ER232)-1))-VALUE(MID(ER232,FIND("-",ER232,FIND("|",ER232))+1,10)))))*$D$50)))))*INDEX($I$232:$I$233,MATCH(LEFT(ER232,FIND("·",ER232)-1),$C$232:$C$233,0)),0),0),0)</f>
        <v>0</v>
      </c>
      <c r="ET232" s="110"/>
      <c r="EU232" s="76" t="str">
        <f>Idiomas!$D$370</f>
        <v>Pegar valores Semifinales</v>
      </c>
      <c r="EV232" s="77">
        <f t="shared" ref="EV232" si="1542">IFERROR(IF(COUNTIF($K$232:$K$233,LEFT(EU232,FIND("·",EU232)-1))&gt;0,IF(INDEX($L$232:$L$233,MATCH(LEFT(EU232,FIND("·",EU232)-1),$K$232:$K$233,0))=IFERROR(VALUE(MID(EU232,FIND("·",EU232)+1,1)),0),($D$28+(INDEX($M$232:$M$233,MATCH(LEFT(EU232,FIND("·",EU232)-1),$K$232:$K$233,0))=MID(EU232,FIND("|",EU232)+1,10))*$D$30+MAX(0,IF($D$50=1,$D$29*(1-(ABS(INDEX($P$232:$P$233,MATCH(LEFT(EU232,FIND("·",EU232)-1),$K$232:$K$233,0))-(VALUE(MID(EU232,FIND("|",EU232)+1,FIND("-",EU232,FIND("|",EU232))-FIND("|",EU232)-1))-VALUE(MID(EU232,FIND("-",EU232,FIND("|",EU232))+1,10)))))*$D$50),$D$29*(1-(IF(INDEX($L$232:$L$233,MATCH(LEFT(EU232,FIND("·",EU232)-1),$K$232:$K$233,0))=0,ABS(INDEX($N$232:$N$233,MATCH(LEFT(EU232,FIND("·",EU232)-1),$K$232:$K$233,0))-VALUE(MID(EU232,FIND("|",EU232)+1,FIND("-",EU232,FIND("|",EU232))-FIND("|",EU232)-1))),ABS(INDEX($P$232:$P$233,MATCH(LEFT(EU232,FIND("·",EU232)-1),$K$232:$K$233,0))-(VALUE(MID(EU232,FIND("|",EU232)+1,FIND("-",EU232,FIND("|",EU232))-FIND("|",EU232)-1))-VALUE(MID(EU232,FIND("-",EU232,FIND("|",EU232))+1,10)))))*$D$50)))))*INDEX($I$232:$I$233,MATCH(LEFT(EU232,FIND("·",EU232)-1),$K$232:$K$233,0)),0),0),0)+IFERROR(IF(COUNTIF($C$232:$C$233,LEFT(EU232,FIND("·",EU232)-1))&gt;0,IF(INDEX($D$232:$D$233,MATCH(LEFT(EU232,FIND("·",EU232)-1),$C$232:$C$233,0))=IFERROR(VALUE(MID(EU232,FIND("·",EU232)+1,1)),0),($D$28+(INDEX($E$232:$E$233,MATCH(LEFT(EU232,FIND("·",EU232)-1),$C$232:$C$233,0))=MID(EU232,FIND("|",EU232)+1,10))*$D$30+MAX(0,IF($D$50=1,$D$29*(1-(ABS(INDEX($Q$232:$Q$233,MATCH(LEFT(EU232,FIND("·",EU232)-1),$C$232:$C$233,0))-(VALUE(MID(EU232,FIND("|",EU232)+1,FIND("-",EU232,FIND("|",EU232))-FIND("|",EU232)-1))-VALUE(MID(EU232,FIND("-",EU232,FIND("|",EU232))+1,10)))))*$D$50),$D$29*(1-(IF(INDEX($D$232:$D$233,MATCH(LEFT(EU232,FIND("·",EU232)-1),$C$232:$C$233,0))=0,ABS(INDEX($A$232:$A$233,MATCH(LEFT(EU232,FIND("·",EU232)-1),$C$232:$C$233,0))-VALUE(MID(EU232,FIND("|",EU232)+1,FIND("-",EU232,FIND("|",EU232))-FIND("|",EU232)-1))),ABS(INDEX($Q$232:$Q$233,MATCH(LEFT(EU232,FIND("·",EU232)-1),$C$232:$C$233,0))-(VALUE(MID(EU232,FIND("|",EU232)+1,FIND("-",EU232,FIND("|",EU232))-FIND("|",EU232)-1))-VALUE(MID(EU232,FIND("-",EU232,FIND("|",EU232))+1,10)))))*$D$50)))))*INDEX($I$232:$I$233,MATCH(LEFT(EU232,FIND("·",EU232)-1),$C$232:$C$233,0)),0),0),0)</f>
        <v>0</v>
      </c>
      <c r="EW232" s="110"/>
      <c r="EX232" s="76" t="str">
        <f>Idiomas!$D$370</f>
        <v>Pegar valores Semifinales</v>
      </c>
      <c r="EY232" s="77">
        <f t="shared" ref="EY232" si="1543">IFERROR(IF(COUNTIF($K$232:$K$233,LEFT(EX232,FIND("·",EX232)-1))&gt;0,IF(INDEX($L$232:$L$233,MATCH(LEFT(EX232,FIND("·",EX232)-1),$K$232:$K$233,0))=IFERROR(VALUE(MID(EX232,FIND("·",EX232)+1,1)),0),($D$28+(INDEX($M$232:$M$233,MATCH(LEFT(EX232,FIND("·",EX232)-1),$K$232:$K$233,0))=MID(EX232,FIND("|",EX232)+1,10))*$D$30+MAX(0,IF($D$50=1,$D$29*(1-(ABS(INDEX($P$232:$P$233,MATCH(LEFT(EX232,FIND("·",EX232)-1),$K$232:$K$233,0))-(VALUE(MID(EX232,FIND("|",EX232)+1,FIND("-",EX232,FIND("|",EX232))-FIND("|",EX232)-1))-VALUE(MID(EX232,FIND("-",EX232,FIND("|",EX232))+1,10)))))*$D$50),$D$29*(1-(IF(INDEX($L$232:$L$233,MATCH(LEFT(EX232,FIND("·",EX232)-1),$K$232:$K$233,0))=0,ABS(INDEX($N$232:$N$233,MATCH(LEFT(EX232,FIND("·",EX232)-1),$K$232:$K$233,0))-VALUE(MID(EX232,FIND("|",EX232)+1,FIND("-",EX232,FIND("|",EX232))-FIND("|",EX232)-1))),ABS(INDEX($P$232:$P$233,MATCH(LEFT(EX232,FIND("·",EX232)-1),$K$232:$K$233,0))-(VALUE(MID(EX232,FIND("|",EX232)+1,FIND("-",EX232,FIND("|",EX232))-FIND("|",EX232)-1))-VALUE(MID(EX232,FIND("-",EX232,FIND("|",EX232))+1,10)))))*$D$50)))))*INDEX($I$232:$I$233,MATCH(LEFT(EX232,FIND("·",EX232)-1),$K$232:$K$233,0)),0),0),0)+IFERROR(IF(COUNTIF($C$232:$C$233,LEFT(EX232,FIND("·",EX232)-1))&gt;0,IF(INDEX($D$232:$D$233,MATCH(LEFT(EX232,FIND("·",EX232)-1),$C$232:$C$233,0))=IFERROR(VALUE(MID(EX232,FIND("·",EX232)+1,1)),0),($D$28+(INDEX($E$232:$E$233,MATCH(LEFT(EX232,FIND("·",EX232)-1),$C$232:$C$233,0))=MID(EX232,FIND("|",EX232)+1,10))*$D$30+MAX(0,IF($D$50=1,$D$29*(1-(ABS(INDEX($Q$232:$Q$233,MATCH(LEFT(EX232,FIND("·",EX232)-1),$C$232:$C$233,0))-(VALUE(MID(EX232,FIND("|",EX232)+1,FIND("-",EX232,FIND("|",EX232))-FIND("|",EX232)-1))-VALUE(MID(EX232,FIND("-",EX232,FIND("|",EX232))+1,10)))))*$D$50),$D$29*(1-(IF(INDEX($D$232:$D$233,MATCH(LEFT(EX232,FIND("·",EX232)-1),$C$232:$C$233,0))=0,ABS(INDEX($A$232:$A$233,MATCH(LEFT(EX232,FIND("·",EX232)-1),$C$232:$C$233,0))-VALUE(MID(EX232,FIND("|",EX232)+1,FIND("-",EX232,FIND("|",EX232))-FIND("|",EX232)-1))),ABS(INDEX($Q$232:$Q$233,MATCH(LEFT(EX232,FIND("·",EX232)-1),$C$232:$C$233,0))-(VALUE(MID(EX232,FIND("|",EX232)+1,FIND("-",EX232,FIND("|",EX232))-FIND("|",EX232)-1))-VALUE(MID(EX232,FIND("-",EX232,FIND("|",EX232))+1,10)))))*$D$50)))))*INDEX($I$232:$I$233,MATCH(LEFT(EX232,FIND("·",EX232)-1),$C$232:$C$233,0)),0),0),0)</f>
        <v>0</v>
      </c>
      <c r="EZ232" s="110"/>
      <c r="FA232" s="76" t="str">
        <f>Idiomas!$D$370</f>
        <v>Pegar valores Semifinales</v>
      </c>
      <c r="FB232" s="77">
        <f t="shared" ref="FB232" si="1544">IFERROR(IF(COUNTIF($K$232:$K$233,LEFT(FA232,FIND("·",FA232)-1))&gt;0,IF(INDEX($L$232:$L$233,MATCH(LEFT(FA232,FIND("·",FA232)-1),$K$232:$K$233,0))=IFERROR(VALUE(MID(FA232,FIND("·",FA232)+1,1)),0),($D$28+(INDEX($M$232:$M$233,MATCH(LEFT(FA232,FIND("·",FA232)-1),$K$232:$K$233,0))=MID(FA232,FIND("|",FA232)+1,10))*$D$30+MAX(0,IF($D$50=1,$D$29*(1-(ABS(INDEX($P$232:$P$233,MATCH(LEFT(FA232,FIND("·",FA232)-1),$K$232:$K$233,0))-(VALUE(MID(FA232,FIND("|",FA232)+1,FIND("-",FA232,FIND("|",FA232))-FIND("|",FA232)-1))-VALUE(MID(FA232,FIND("-",FA232,FIND("|",FA232))+1,10)))))*$D$50),$D$29*(1-(IF(INDEX($L$232:$L$233,MATCH(LEFT(FA232,FIND("·",FA232)-1),$K$232:$K$233,0))=0,ABS(INDEX($N$232:$N$233,MATCH(LEFT(FA232,FIND("·",FA232)-1),$K$232:$K$233,0))-VALUE(MID(FA232,FIND("|",FA232)+1,FIND("-",FA232,FIND("|",FA232))-FIND("|",FA232)-1))),ABS(INDEX($P$232:$P$233,MATCH(LEFT(FA232,FIND("·",FA232)-1),$K$232:$K$233,0))-(VALUE(MID(FA232,FIND("|",FA232)+1,FIND("-",FA232,FIND("|",FA232))-FIND("|",FA232)-1))-VALUE(MID(FA232,FIND("-",FA232,FIND("|",FA232))+1,10)))))*$D$50)))))*INDEX($I$232:$I$233,MATCH(LEFT(FA232,FIND("·",FA232)-1),$K$232:$K$233,0)),0),0),0)+IFERROR(IF(COUNTIF($C$232:$C$233,LEFT(FA232,FIND("·",FA232)-1))&gt;0,IF(INDEX($D$232:$D$233,MATCH(LEFT(FA232,FIND("·",FA232)-1),$C$232:$C$233,0))=IFERROR(VALUE(MID(FA232,FIND("·",FA232)+1,1)),0),($D$28+(INDEX($E$232:$E$233,MATCH(LEFT(FA232,FIND("·",FA232)-1),$C$232:$C$233,0))=MID(FA232,FIND("|",FA232)+1,10))*$D$30+MAX(0,IF($D$50=1,$D$29*(1-(ABS(INDEX($Q$232:$Q$233,MATCH(LEFT(FA232,FIND("·",FA232)-1),$C$232:$C$233,0))-(VALUE(MID(FA232,FIND("|",FA232)+1,FIND("-",FA232,FIND("|",FA232))-FIND("|",FA232)-1))-VALUE(MID(FA232,FIND("-",FA232,FIND("|",FA232))+1,10)))))*$D$50),$D$29*(1-(IF(INDEX($D$232:$D$233,MATCH(LEFT(FA232,FIND("·",FA232)-1),$C$232:$C$233,0))=0,ABS(INDEX($A$232:$A$233,MATCH(LEFT(FA232,FIND("·",FA232)-1),$C$232:$C$233,0))-VALUE(MID(FA232,FIND("|",FA232)+1,FIND("-",FA232,FIND("|",FA232))-FIND("|",FA232)-1))),ABS(INDEX($Q$232:$Q$233,MATCH(LEFT(FA232,FIND("·",FA232)-1),$C$232:$C$233,0))-(VALUE(MID(FA232,FIND("|",FA232)+1,FIND("-",FA232,FIND("|",FA232))-FIND("|",FA232)-1))-VALUE(MID(FA232,FIND("-",FA232,FIND("|",FA232))+1,10)))))*$D$50)))))*INDEX($I$232:$I$233,MATCH(LEFT(FA232,FIND("·",FA232)-1),$C$232:$C$233,0)),0),0),0)</f>
        <v>0</v>
      </c>
      <c r="FC232" s="110"/>
      <c r="FD232" s="76" t="str">
        <f>Idiomas!$D$370</f>
        <v>Pegar valores Semifinales</v>
      </c>
      <c r="FE232" s="77">
        <f t="shared" ref="FE232" si="1545">IFERROR(IF(COUNTIF($K$232:$K$233,LEFT(FD232,FIND("·",FD232)-1))&gt;0,IF(INDEX($L$232:$L$233,MATCH(LEFT(FD232,FIND("·",FD232)-1),$K$232:$K$233,0))=IFERROR(VALUE(MID(FD232,FIND("·",FD232)+1,1)),0),($D$28+(INDEX($M$232:$M$233,MATCH(LEFT(FD232,FIND("·",FD232)-1),$K$232:$K$233,0))=MID(FD232,FIND("|",FD232)+1,10))*$D$30+MAX(0,IF($D$50=1,$D$29*(1-(ABS(INDEX($P$232:$P$233,MATCH(LEFT(FD232,FIND("·",FD232)-1),$K$232:$K$233,0))-(VALUE(MID(FD232,FIND("|",FD232)+1,FIND("-",FD232,FIND("|",FD232))-FIND("|",FD232)-1))-VALUE(MID(FD232,FIND("-",FD232,FIND("|",FD232))+1,10)))))*$D$50),$D$29*(1-(IF(INDEX($L$232:$L$233,MATCH(LEFT(FD232,FIND("·",FD232)-1),$K$232:$K$233,0))=0,ABS(INDEX($N$232:$N$233,MATCH(LEFT(FD232,FIND("·",FD232)-1),$K$232:$K$233,0))-VALUE(MID(FD232,FIND("|",FD232)+1,FIND("-",FD232,FIND("|",FD232))-FIND("|",FD232)-1))),ABS(INDEX($P$232:$P$233,MATCH(LEFT(FD232,FIND("·",FD232)-1),$K$232:$K$233,0))-(VALUE(MID(FD232,FIND("|",FD232)+1,FIND("-",FD232,FIND("|",FD232))-FIND("|",FD232)-1))-VALUE(MID(FD232,FIND("-",FD232,FIND("|",FD232))+1,10)))))*$D$50)))))*INDEX($I$232:$I$233,MATCH(LEFT(FD232,FIND("·",FD232)-1),$K$232:$K$233,0)),0),0),0)+IFERROR(IF(COUNTIF($C$232:$C$233,LEFT(FD232,FIND("·",FD232)-1))&gt;0,IF(INDEX($D$232:$D$233,MATCH(LEFT(FD232,FIND("·",FD232)-1),$C$232:$C$233,0))=IFERROR(VALUE(MID(FD232,FIND("·",FD232)+1,1)),0),($D$28+(INDEX($E$232:$E$233,MATCH(LEFT(FD232,FIND("·",FD232)-1),$C$232:$C$233,0))=MID(FD232,FIND("|",FD232)+1,10))*$D$30+MAX(0,IF($D$50=1,$D$29*(1-(ABS(INDEX($Q$232:$Q$233,MATCH(LEFT(FD232,FIND("·",FD232)-1),$C$232:$C$233,0))-(VALUE(MID(FD232,FIND("|",FD232)+1,FIND("-",FD232,FIND("|",FD232))-FIND("|",FD232)-1))-VALUE(MID(FD232,FIND("-",FD232,FIND("|",FD232))+1,10)))))*$D$50),$D$29*(1-(IF(INDEX($D$232:$D$233,MATCH(LEFT(FD232,FIND("·",FD232)-1),$C$232:$C$233,0))=0,ABS(INDEX($A$232:$A$233,MATCH(LEFT(FD232,FIND("·",FD232)-1),$C$232:$C$233,0))-VALUE(MID(FD232,FIND("|",FD232)+1,FIND("-",FD232,FIND("|",FD232))-FIND("|",FD232)-1))),ABS(INDEX($Q$232:$Q$233,MATCH(LEFT(FD232,FIND("·",FD232)-1),$C$232:$C$233,0))-(VALUE(MID(FD232,FIND("|",FD232)+1,FIND("-",FD232,FIND("|",FD232))-FIND("|",FD232)-1))-VALUE(MID(FD232,FIND("-",FD232,FIND("|",FD232))+1,10)))))*$D$50)))))*INDEX($I$232:$I$233,MATCH(LEFT(FD232,FIND("·",FD232)-1),$C$232:$C$233,0)),0),0),0)</f>
        <v>0</v>
      </c>
      <c r="FF232" s="110"/>
      <c r="FG232" s="76" t="str">
        <f>Idiomas!$D$370</f>
        <v>Pegar valores Semifinales</v>
      </c>
      <c r="FH232" s="77">
        <f t="shared" ref="FH232" si="1546">IFERROR(IF(COUNTIF($K$232:$K$233,LEFT(FG232,FIND("·",FG232)-1))&gt;0,IF(INDEX($L$232:$L$233,MATCH(LEFT(FG232,FIND("·",FG232)-1),$K$232:$K$233,0))=IFERROR(VALUE(MID(FG232,FIND("·",FG232)+1,1)),0),($D$28+(INDEX($M$232:$M$233,MATCH(LEFT(FG232,FIND("·",FG232)-1),$K$232:$K$233,0))=MID(FG232,FIND("|",FG232)+1,10))*$D$30+MAX(0,IF($D$50=1,$D$29*(1-(ABS(INDEX($P$232:$P$233,MATCH(LEFT(FG232,FIND("·",FG232)-1),$K$232:$K$233,0))-(VALUE(MID(FG232,FIND("|",FG232)+1,FIND("-",FG232,FIND("|",FG232))-FIND("|",FG232)-1))-VALUE(MID(FG232,FIND("-",FG232,FIND("|",FG232))+1,10)))))*$D$50),$D$29*(1-(IF(INDEX($L$232:$L$233,MATCH(LEFT(FG232,FIND("·",FG232)-1),$K$232:$K$233,0))=0,ABS(INDEX($N$232:$N$233,MATCH(LEFT(FG232,FIND("·",FG232)-1),$K$232:$K$233,0))-VALUE(MID(FG232,FIND("|",FG232)+1,FIND("-",FG232,FIND("|",FG232))-FIND("|",FG232)-1))),ABS(INDEX($P$232:$P$233,MATCH(LEFT(FG232,FIND("·",FG232)-1),$K$232:$K$233,0))-(VALUE(MID(FG232,FIND("|",FG232)+1,FIND("-",FG232,FIND("|",FG232))-FIND("|",FG232)-1))-VALUE(MID(FG232,FIND("-",FG232,FIND("|",FG232))+1,10)))))*$D$50)))))*INDEX($I$232:$I$233,MATCH(LEFT(FG232,FIND("·",FG232)-1),$K$232:$K$233,0)),0),0),0)+IFERROR(IF(COUNTIF($C$232:$C$233,LEFT(FG232,FIND("·",FG232)-1))&gt;0,IF(INDEX($D$232:$D$233,MATCH(LEFT(FG232,FIND("·",FG232)-1),$C$232:$C$233,0))=IFERROR(VALUE(MID(FG232,FIND("·",FG232)+1,1)),0),($D$28+(INDEX($E$232:$E$233,MATCH(LEFT(FG232,FIND("·",FG232)-1),$C$232:$C$233,0))=MID(FG232,FIND("|",FG232)+1,10))*$D$30+MAX(0,IF($D$50=1,$D$29*(1-(ABS(INDEX($Q$232:$Q$233,MATCH(LEFT(FG232,FIND("·",FG232)-1),$C$232:$C$233,0))-(VALUE(MID(FG232,FIND("|",FG232)+1,FIND("-",FG232,FIND("|",FG232))-FIND("|",FG232)-1))-VALUE(MID(FG232,FIND("-",FG232,FIND("|",FG232))+1,10)))))*$D$50),$D$29*(1-(IF(INDEX($D$232:$D$233,MATCH(LEFT(FG232,FIND("·",FG232)-1),$C$232:$C$233,0))=0,ABS(INDEX($A$232:$A$233,MATCH(LEFT(FG232,FIND("·",FG232)-1),$C$232:$C$233,0))-VALUE(MID(FG232,FIND("|",FG232)+1,FIND("-",FG232,FIND("|",FG232))-FIND("|",FG232)-1))),ABS(INDEX($Q$232:$Q$233,MATCH(LEFT(FG232,FIND("·",FG232)-1),$C$232:$C$233,0))-(VALUE(MID(FG232,FIND("|",FG232)+1,FIND("-",FG232,FIND("|",FG232))-FIND("|",FG232)-1))-VALUE(MID(FG232,FIND("-",FG232,FIND("|",FG232))+1,10)))))*$D$50)))))*INDEX($I$232:$I$233,MATCH(LEFT(FG232,FIND("·",FG232)-1),$C$232:$C$233,0)),0),0),0)</f>
        <v>0</v>
      </c>
      <c r="FI232" s="110"/>
      <c r="FJ232" s="76" t="str">
        <f>Idiomas!$D$370</f>
        <v>Pegar valores Semifinales</v>
      </c>
      <c r="FK232" s="77">
        <f t="shared" ref="FK232" si="1547">IFERROR(IF(COUNTIF($K$232:$K$233,LEFT(FJ232,FIND("·",FJ232)-1))&gt;0,IF(INDEX($L$232:$L$233,MATCH(LEFT(FJ232,FIND("·",FJ232)-1),$K$232:$K$233,0))=IFERROR(VALUE(MID(FJ232,FIND("·",FJ232)+1,1)),0),($D$28+(INDEX($M$232:$M$233,MATCH(LEFT(FJ232,FIND("·",FJ232)-1),$K$232:$K$233,0))=MID(FJ232,FIND("|",FJ232)+1,10))*$D$30+MAX(0,IF($D$50=1,$D$29*(1-(ABS(INDEX($P$232:$P$233,MATCH(LEFT(FJ232,FIND("·",FJ232)-1),$K$232:$K$233,0))-(VALUE(MID(FJ232,FIND("|",FJ232)+1,FIND("-",FJ232,FIND("|",FJ232))-FIND("|",FJ232)-1))-VALUE(MID(FJ232,FIND("-",FJ232,FIND("|",FJ232))+1,10)))))*$D$50),$D$29*(1-(IF(INDEX($L$232:$L$233,MATCH(LEFT(FJ232,FIND("·",FJ232)-1),$K$232:$K$233,0))=0,ABS(INDEX($N$232:$N$233,MATCH(LEFT(FJ232,FIND("·",FJ232)-1),$K$232:$K$233,0))-VALUE(MID(FJ232,FIND("|",FJ232)+1,FIND("-",FJ232,FIND("|",FJ232))-FIND("|",FJ232)-1))),ABS(INDEX($P$232:$P$233,MATCH(LEFT(FJ232,FIND("·",FJ232)-1),$K$232:$K$233,0))-(VALUE(MID(FJ232,FIND("|",FJ232)+1,FIND("-",FJ232,FIND("|",FJ232))-FIND("|",FJ232)-1))-VALUE(MID(FJ232,FIND("-",FJ232,FIND("|",FJ232))+1,10)))))*$D$50)))))*INDEX($I$232:$I$233,MATCH(LEFT(FJ232,FIND("·",FJ232)-1),$K$232:$K$233,0)),0),0),0)+IFERROR(IF(COUNTIF($C$232:$C$233,LEFT(FJ232,FIND("·",FJ232)-1))&gt;0,IF(INDEX($D$232:$D$233,MATCH(LEFT(FJ232,FIND("·",FJ232)-1),$C$232:$C$233,0))=IFERROR(VALUE(MID(FJ232,FIND("·",FJ232)+1,1)),0),($D$28+(INDEX($E$232:$E$233,MATCH(LEFT(FJ232,FIND("·",FJ232)-1),$C$232:$C$233,0))=MID(FJ232,FIND("|",FJ232)+1,10))*$D$30+MAX(0,IF($D$50=1,$D$29*(1-(ABS(INDEX($Q$232:$Q$233,MATCH(LEFT(FJ232,FIND("·",FJ232)-1),$C$232:$C$233,0))-(VALUE(MID(FJ232,FIND("|",FJ232)+1,FIND("-",FJ232,FIND("|",FJ232))-FIND("|",FJ232)-1))-VALUE(MID(FJ232,FIND("-",FJ232,FIND("|",FJ232))+1,10)))))*$D$50),$D$29*(1-(IF(INDEX($D$232:$D$233,MATCH(LEFT(FJ232,FIND("·",FJ232)-1),$C$232:$C$233,0))=0,ABS(INDEX($A$232:$A$233,MATCH(LEFT(FJ232,FIND("·",FJ232)-1),$C$232:$C$233,0))-VALUE(MID(FJ232,FIND("|",FJ232)+1,FIND("-",FJ232,FIND("|",FJ232))-FIND("|",FJ232)-1))),ABS(INDEX($Q$232:$Q$233,MATCH(LEFT(FJ232,FIND("·",FJ232)-1),$C$232:$C$233,0))-(VALUE(MID(FJ232,FIND("|",FJ232)+1,FIND("-",FJ232,FIND("|",FJ232))-FIND("|",FJ232)-1))-VALUE(MID(FJ232,FIND("-",FJ232,FIND("|",FJ232))+1,10)))))*$D$50)))))*INDEX($I$232:$I$233,MATCH(LEFT(FJ232,FIND("·",FJ232)-1),$C$232:$C$233,0)),0),0),0)</f>
        <v>0</v>
      </c>
      <c r="FL232" s="110"/>
      <c r="FM232" s="110"/>
    </row>
    <row r="233" spans="1:169">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07">
        <f>SUM($D$28:$D$30)*I233</f>
        <v>4</v>
      </c>
      <c r="G233" s="407">
        <f ca="1">VLOOKUP(H233,Equipos!$Q$1:$R$25,2,0)</f>
        <v>23</v>
      </c>
      <c r="H233" s="65" t="str">
        <f>Idiomas!$D$263</f>
        <v>Semifinales</v>
      </c>
      <c r="I233" s="43">
        <v>1</v>
      </c>
      <c r="J233" s="850"/>
      <c r="K233" s="56" t="str">
        <f>CONCATENATE(WORLDCUP!AA139,"-",WORLDCUP!AF139)</f>
        <v>W99-W100</v>
      </c>
      <c r="L233" s="53" t="str">
        <f>IF(OR(WORLDCUP!AC139="",WORLDCUP!AD139=""),"PD",IF(WORLDCUP!AC139&gt;WORLDCUP!AD139,1,IF(WORLDCUP!AC139&lt;WORLDCUP!AD139,2,0)))</f>
        <v>PD</v>
      </c>
      <c r="M233" s="55" t="str">
        <f t="shared" si="1498"/>
        <v>-</v>
      </c>
      <c r="N233" s="25">
        <f>WORLDCUP!AC139</f>
        <v>0</v>
      </c>
      <c r="O233" s="25">
        <f>WORLDCUP!AD139</f>
        <v>0</v>
      </c>
      <c r="P233" s="25">
        <f>+N233-O233</f>
        <v>0</v>
      </c>
      <c r="Q233" s="25">
        <f>+A233-B233</f>
        <v>0</v>
      </c>
      <c r="R233" s="110"/>
      <c r="S233" s="80" t="s">
        <v>1993</v>
      </c>
      <c r="T233" s="81">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0"/>
      <c r="V233" s="80" t="s">
        <v>2032</v>
      </c>
      <c r="W233" s="81">
        <f t="shared" ref="W233" si="1548">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0"/>
      <c r="Y233" s="80" t="s">
        <v>2066</v>
      </c>
      <c r="Z233" s="81">
        <f t="shared" ref="Z233" si="1549">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0"/>
      <c r="AB233" s="80" t="s">
        <v>1993</v>
      </c>
      <c r="AC233" s="81">
        <f t="shared" ref="AC233" si="1550">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0"/>
      <c r="AE233" s="80" t="s">
        <v>2121</v>
      </c>
      <c r="AF233" s="81">
        <f t="shared" ref="AF233" si="1551">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0"/>
      <c r="AH233" s="80" t="s">
        <v>2151</v>
      </c>
      <c r="AI233" s="81">
        <f t="shared" ref="AI233" si="1552">IFERROR(IF(COUNTIF($K$232:$K$233,LEFT(AH233,FIND("·",AH233)-1))&gt;0,IF(INDEX($L$232:$L$233,MATCH(LEFT(AH233,FIND("·",AH233)-1),$K$232:$K$233,0))=IFERROR(VALUE(MID(AH233,FIND("·",AH233)+1,1)),0),($D$28+(INDEX($M$232:$M$233,MATCH(LEFT(AH233,FIND("·",AH233)-1),$K$232:$K$233,0))=MID(AH233,FIND("|",AH233)+1,10))*$D$30+MAX(0,IF($D$50=1,$D$29*(1-(ABS(INDEX($P$232:$P$233,MATCH(LEFT(AH233,FIND("·",AH233)-1),$K$232:$K$233,0))-(VALUE(MID(AH233,FIND("|",AH233)+1,FIND("-",AH233,FIND("|",AH233))-FIND("|",AH233)-1))-VALUE(MID(AH233,FIND("-",AH233,FIND("|",AH233))+1,10)))))*$D$50),$D$29*(1-(IF(INDEX($L$232:$L$233,MATCH(LEFT(AH233,FIND("·",AH233)-1),$K$232:$K$233,0))=0,ABS(INDEX($N$232:$N$233,MATCH(LEFT(AH233,FIND("·",AH233)-1),$K$232:$K$233,0))-VALUE(MID(AH233,FIND("|",AH233)+1,FIND("-",AH233,FIND("|",AH233))-FIND("|",AH233)-1))),ABS(INDEX($P$232:$P$233,MATCH(LEFT(AH233,FIND("·",AH233)-1),$K$232:$K$233,0))-(VALUE(MID(AH233,FIND("|",AH233)+1,FIND("-",AH233,FIND("|",AH233))-FIND("|",AH233)-1))-VALUE(MID(AH233,FIND("-",AH233,FIND("|",AH233))+1,10)))))*$D$50)))))*INDEX($I$232:$I$233,MATCH(LEFT(AH233,FIND("·",AH233)-1),$K$232:$K$233,0)),0),0),0)+IFERROR(IF(COUNTIF($C$232:$C$233,LEFT(AH233,FIND("·",AH233)-1))&gt;0,IF(INDEX($D$232:$D$233,MATCH(LEFT(AH233,FIND("·",AH233)-1),$C$232:$C$233,0))=IFERROR(VALUE(MID(AH233,FIND("·",AH233)+1,1)),0),($D$28+(INDEX($E$232:$E$233,MATCH(LEFT(AH233,FIND("·",AH233)-1),$C$232:$C$233,0))=MID(AH233,FIND("|",AH233)+1,10))*$D$30+MAX(0,IF($D$50=1,$D$29*(1-(ABS(INDEX($Q$232:$Q$233,MATCH(LEFT(AH233,FIND("·",AH233)-1),$C$232:$C$233,0))-(VALUE(MID(AH233,FIND("|",AH233)+1,FIND("-",AH233,FIND("|",AH233))-FIND("|",AH233)-1))-VALUE(MID(AH233,FIND("-",AH233,FIND("|",AH233))+1,10)))))*$D$50),$D$29*(1-(IF(INDEX($D$232:$D$233,MATCH(LEFT(AH233,FIND("·",AH233)-1),$C$232:$C$233,0))=0,ABS(INDEX($A$232:$A$233,MATCH(LEFT(AH233,FIND("·",AH233)-1),$C$232:$C$233,0))-VALUE(MID(AH233,FIND("|",AH233)+1,FIND("-",AH233,FIND("|",AH233))-FIND("|",AH233)-1))),ABS(INDEX($Q$232:$Q$233,MATCH(LEFT(AH233,FIND("·",AH233)-1),$C$232:$C$233,0))-(VALUE(MID(AH233,FIND("|",AH233)+1,FIND("-",AH233,FIND("|",AH233))-FIND("|",AH233)-1))-VALUE(MID(AH233,FIND("-",AH233,FIND("|",AH233))+1,10)))))*$D$50)))))*INDEX($I$232:$I$233,MATCH(LEFT(AH233,FIND("·",AH233)-1),$C$232:$C$233,0)),0),0),0)</f>
        <v>0</v>
      </c>
      <c r="AJ233" s="110"/>
      <c r="AK233" s="80" t="s">
        <v>2178</v>
      </c>
      <c r="AL233" s="81">
        <f t="shared" ref="AL233" si="1553">IFERROR(IF(COUNTIF($K$232:$K$233,LEFT(AK233,FIND("·",AK233)-1))&gt;0,IF(INDEX($L$232:$L$233,MATCH(LEFT(AK233,FIND("·",AK233)-1),$K$232:$K$233,0))=IFERROR(VALUE(MID(AK233,FIND("·",AK233)+1,1)),0),($D$28+(INDEX($M$232:$M$233,MATCH(LEFT(AK233,FIND("·",AK233)-1),$K$232:$K$233,0))=MID(AK233,FIND("|",AK233)+1,10))*$D$30+MAX(0,IF($D$50=1,$D$29*(1-(ABS(INDEX($P$232:$P$233,MATCH(LEFT(AK233,FIND("·",AK233)-1),$K$232:$K$233,0))-(VALUE(MID(AK233,FIND("|",AK233)+1,FIND("-",AK233,FIND("|",AK233))-FIND("|",AK233)-1))-VALUE(MID(AK233,FIND("-",AK233,FIND("|",AK233))+1,10)))))*$D$50),$D$29*(1-(IF(INDEX($L$232:$L$233,MATCH(LEFT(AK233,FIND("·",AK233)-1),$K$232:$K$233,0))=0,ABS(INDEX($N$232:$N$233,MATCH(LEFT(AK233,FIND("·",AK233)-1),$K$232:$K$233,0))-VALUE(MID(AK233,FIND("|",AK233)+1,FIND("-",AK233,FIND("|",AK233))-FIND("|",AK233)-1))),ABS(INDEX($P$232:$P$233,MATCH(LEFT(AK233,FIND("·",AK233)-1),$K$232:$K$233,0))-(VALUE(MID(AK233,FIND("|",AK233)+1,FIND("-",AK233,FIND("|",AK233))-FIND("|",AK233)-1))-VALUE(MID(AK233,FIND("-",AK233,FIND("|",AK233))+1,10)))))*$D$50)))))*INDEX($I$232:$I$233,MATCH(LEFT(AK233,FIND("·",AK233)-1),$K$232:$K$233,0)),0),0),0)+IFERROR(IF(COUNTIF($C$232:$C$233,LEFT(AK233,FIND("·",AK233)-1))&gt;0,IF(INDEX($D$232:$D$233,MATCH(LEFT(AK233,FIND("·",AK233)-1),$C$232:$C$233,0))=IFERROR(VALUE(MID(AK233,FIND("·",AK233)+1,1)),0),($D$28+(INDEX($E$232:$E$233,MATCH(LEFT(AK233,FIND("·",AK233)-1),$C$232:$C$233,0))=MID(AK233,FIND("|",AK233)+1,10))*$D$30+MAX(0,IF($D$50=1,$D$29*(1-(ABS(INDEX($Q$232:$Q$233,MATCH(LEFT(AK233,FIND("·",AK233)-1),$C$232:$C$233,0))-(VALUE(MID(AK233,FIND("|",AK233)+1,FIND("-",AK233,FIND("|",AK233))-FIND("|",AK233)-1))-VALUE(MID(AK233,FIND("-",AK233,FIND("|",AK233))+1,10)))))*$D$50),$D$29*(1-(IF(INDEX($D$232:$D$233,MATCH(LEFT(AK233,FIND("·",AK233)-1),$C$232:$C$233,0))=0,ABS(INDEX($A$232:$A$233,MATCH(LEFT(AK233,FIND("·",AK233)-1),$C$232:$C$233,0))-VALUE(MID(AK233,FIND("|",AK233)+1,FIND("-",AK233,FIND("|",AK233))-FIND("|",AK233)-1))),ABS(INDEX($Q$232:$Q$233,MATCH(LEFT(AK233,FIND("·",AK233)-1),$C$232:$C$233,0))-(VALUE(MID(AK233,FIND("|",AK233)+1,FIND("-",AK233,FIND("|",AK233))-FIND("|",AK233)-1))-VALUE(MID(AK233,FIND("-",AK233,FIND("|",AK233))+1,10)))))*$D$50)))))*INDEX($I$232:$I$233,MATCH(LEFT(AK233,FIND("·",AK233)-1),$C$232:$C$233,0)),0),0),0)</f>
        <v>0</v>
      </c>
      <c r="AM233" s="110"/>
      <c r="AN233" s="80" t="s">
        <v>2210</v>
      </c>
      <c r="AO233" s="81">
        <f t="shared" ref="AO233" si="1554">IFERROR(IF(COUNTIF($K$232:$K$233,LEFT(AN233,FIND("·",AN233)-1))&gt;0,IF(INDEX($L$232:$L$233,MATCH(LEFT(AN233,FIND("·",AN233)-1),$K$232:$K$233,0))=IFERROR(VALUE(MID(AN233,FIND("·",AN233)+1,1)),0),($D$28+(INDEX($M$232:$M$233,MATCH(LEFT(AN233,FIND("·",AN233)-1),$K$232:$K$233,0))=MID(AN233,FIND("|",AN233)+1,10))*$D$30+MAX(0,IF($D$50=1,$D$29*(1-(ABS(INDEX($P$232:$P$233,MATCH(LEFT(AN233,FIND("·",AN233)-1),$K$232:$K$233,0))-(VALUE(MID(AN233,FIND("|",AN233)+1,FIND("-",AN233,FIND("|",AN233))-FIND("|",AN233)-1))-VALUE(MID(AN233,FIND("-",AN233,FIND("|",AN233))+1,10)))))*$D$50),$D$29*(1-(IF(INDEX($L$232:$L$233,MATCH(LEFT(AN233,FIND("·",AN233)-1),$K$232:$K$233,0))=0,ABS(INDEX($N$232:$N$233,MATCH(LEFT(AN233,FIND("·",AN233)-1),$K$232:$K$233,0))-VALUE(MID(AN233,FIND("|",AN233)+1,FIND("-",AN233,FIND("|",AN233))-FIND("|",AN233)-1))),ABS(INDEX($P$232:$P$233,MATCH(LEFT(AN233,FIND("·",AN233)-1),$K$232:$K$233,0))-(VALUE(MID(AN233,FIND("|",AN233)+1,FIND("-",AN233,FIND("|",AN233))-FIND("|",AN233)-1))-VALUE(MID(AN233,FIND("-",AN233,FIND("|",AN233))+1,10)))))*$D$50)))))*INDEX($I$232:$I$233,MATCH(LEFT(AN233,FIND("·",AN233)-1),$K$232:$K$233,0)),0),0),0)+IFERROR(IF(COUNTIF($C$232:$C$233,LEFT(AN233,FIND("·",AN233)-1))&gt;0,IF(INDEX($D$232:$D$233,MATCH(LEFT(AN233,FIND("·",AN233)-1),$C$232:$C$233,0))=IFERROR(VALUE(MID(AN233,FIND("·",AN233)+1,1)),0),($D$28+(INDEX($E$232:$E$233,MATCH(LEFT(AN233,FIND("·",AN233)-1),$C$232:$C$233,0))=MID(AN233,FIND("|",AN233)+1,10))*$D$30+MAX(0,IF($D$50=1,$D$29*(1-(ABS(INDEX($Q$232:$Q$233,MATCH(LEFT(AN233,FIND("·",AN233)-1),$C$232:$C$233,0))-(VALUE(MID(AN233,FIND("|",AN233)+1,FIND("-",AN233,FIND("|",AN233))-FIND("|",AN233)-1))-VALUE(MID(AN233,FIND("-",AN233,FIND("|",AN233))+1,10)))))*$D$50),$D$29*(1-(IF(INDEX($D$232:$D$233,MATCH(LEFT(AN233,FIND("·",AN233)-1),$C$232:$C$233,0))=0,ABS(INDEX($A$232:$A$233,MATCH(LEFT(AN233,FIND("·",AN233)-1),$C$232:$C$233,0))-VALUE(MID(AN233,FIND("|",AN233)+1,FIND("-",AN233,FIND("|",AN233))-FIND("|",AN233)-1))),ABS(INDEX($Q$232:$Q$233,MATCH(LEFT(AN233,FIND("·",AN233)-1),$C$232:$C$233,0))-(VALUE(MID(AN233,FIND("|",AN233)+1,FIND("-",AN233,FIND("|",AN233))-FIND("|",AN233)-1))-VALUE(MID(AN233,FIND("-",AN233,FIND("|",AN233))+1,10)))))*$D$50)))))*INDEX($I$232:$I$233,MATCH(LEFT(AN233,FIND("·",AN233)-1),$C$232:$C$233,0)),0),0),0)</f>
        <v>0</v>
      </c>
      <c r="AP233" s="110"/>
      <c r="AQ233" s="80" t="s">
        <v>2235</v>
      </c>
      <c r="AR233" s="81">
        <f t="shared" ref="AR233" si="1555">IFERROR(IF(COUNTIF($K$232:$K$233,LEFT(AQ233,FIND("·",AQ233)-1))&gt;0,IF(INDEX($L$232:$L$233,MATCH(LEFT(AQ233,FIND("·",AQ233)-1),$K$232:$K$233,0))=IFERROR(VALUE(MID(AQ233,FIND("·",AQ233)+1,1)),0),($D$28+(INDEX($M$232:$M$233,MATCH(LEFT(AQ233,FIND("·",AQ233)-1),$K$232:$K$233,0))=MID(AQ233,FIND("|",AQ233)+1,10))*$D$30+MAX(0,IF($D$50=1,$D$29*(1-(ABS(INDEX($P$232:$P$233,MATCH(LEFT(AQ233,FIND("·",AQ233)-1),$K$232:$K$233,0))-(VALUE(MID(AQ233,FIND("|",AQ233)+1,FIND("-",AQ233,FIND("|",AQ233))-FIND("|",AQ233)-1))-VALUE(MID(AQ233,FIND("-",AQ233,FIND("|",AQ233))+1,10)))))*$D$50),$D$29*(1-(IF(INDEX($L$232:$L$233,MATCH(LEFT(AQ233,FIND("·",AQ233)-1),$K$232:$K$233,0))=0,ABS(INDEX($N$232:$N$233,MATCH(LEFT(AQ233,FIND("·",AQ233)-1),$K$232:$K$233,0))-VALUE(MID(AQ233,FIND("|",AQ233)+1,FIND("-",AQ233,FIND("|",AQ233))-FIND("|",AQ233)-1))),ABS(INDEX($P$232:$P$233,MATCH(LEFT(AQ233,FIND("·",AQ233)-1),$K$232:$K$233,0))-(VALUE(MID(AQ233,FIND("|",AQ233)+1,FIND("-",AQ233,FIND("|",AQ233))-FIND("|",AQ233)-1))-VALUE(MID(AQ233,FIND("-",AQ233,FIND("|",AQ233))+1,10)))))*$D$50)))))*INDEX($I$232:$I$233,MATCH(LEFT(AQ233,FIND("·",AQ233)-1),$K$232:$K$233,0)),0),0),0)+IFERROR(IF(COUNTIF($C$232:$C$233,LEFT(AQ233,FIND("·",AQ233)-1))&gt;0,IF(INDEX($D$232:$D$233,MATCH(LEFT(AQ233,FIND("·",AQ233)-1),$C$232:$C$233,0))=IFERROR(VALUE(MID(AQ233,FIND("·",AQ233)+1,1)),0),($D$28+(INDEX($E$232:$E$233,MATCH(LEFT(AQ233,FIND("·",AQ233)-1),$C$232:$C$233,0))=MID(AQ233,FIND("|",AQ233)+1,10))*$D$30+MAX(0,IF($D$50=1,$D$29*(1-(ABS(INDEX($Q$232:$Q$233,MATCH(LEFT(AQ233,FIND("·",AQ233)-1),$C$232:$C$233,0))-(VALUE(MID(AQ233,FIND("|",AQ233)+1,FIND("-",AQ233,FIND("|",AQ233))-FIND("|",AQ233)-1))-VALUE(MID(AQ233,FIND("-",AQ233,FIND("|",AQ233))+1,10)))))*$D$50),$D$29*(1-(IF(INDEX($D$232:$D$233,MATCH(LEFT(AQ233,FIND("·",AQ233)-1),$C$232:$C$233,0))=0,ABS(INDEX($A$232:$A$233,MATCH(LEFT(AQ233,FIND("·",AQ233)-1),$C$232:$C$233,0))-VALUE(MID(AQ233,FIND("|",AQ233)+1,FIND("-",AQ233,FIND("|",AQ233))-FIND("|",AQ233)-1))),ABS(INDEX($Q$232:$Q$233,MATCH(LEFT(AQ233,FIND("·",AQ233)-1),$C$232:$C$233,0))-(VALUE(MID(AQ233,FIND("|",AQ233)+1,FIND("-",AQ233,FIND("|",AQ233))-FIND("|",AQ233)-1))-VALUE(MID(AQ233,FIND("-",AQ233,FIND("|",AQ233))+1,10)))))*$D$50)))))*INDEX($I$232:$I$233,MATCH(LEFT(AQ233,FIND("·",AQ233)-1),$C$232:$C$233,0)),0),0),0)</f>
        <v>0</v>
      </c>
      <c r="AS233" s="110"/>
      <c r="AT233" s="80" t="s">
        <v>2178</v>
      </c>
      <c r="AU233" s="81">
        <f t="shared" ref="AU233" si="1556">IFERROR(IF(COUNTIF($K$232:$K$233,LEFT(AT233,FIND("·",AT233)-1))&gt;0,IF(INDEX($L$232:$L$233,MATCH(LEFT(AT233,FIND("·",AT233)-1),$K$232:$K$233,0))=IFERROR(VALUE(MID(AT233,FIND("·",AT233)+1,1)),0),($D$28+(INDEX($M$232:$M$233,MATCH(LEFT(AT233,FIND("·",AT233)-1),$K$232:$K$233,0))=MID(AT233,FIND("|",AT233)+1,10))*$D$30+MAX(0,IF($D$50=1,$D$29*(1-(ABS(INDEX($P$232:$P$233,MATCH(LEFT(AT233,FIND("·",AT233)-1),$K$232:$K$233,0))-(VALUE(MID(AT233,FIND("|",AT233)+1,FIND("-",AT233,FIND("|",AT233))-FIND("|",AT233)-1))-VALUE(MID(AT233,FIND("-",AT233,FIND("|",AT233))+1,10)))))*$D$50),$D$29*(1-(IF(INDEX($L$232:$L$233,MATCH(LEFT(AT233,FIND("·",AT233)-1),$K$232:$K$233,0))=0,ABS(INDEX($N$232:$N$233,MATCH(LEFT(AT233,FIND("·",AT233)-1),$K$232:$K$233,0))-VALUE(MID(AT233,FIND("|",AT233)+1,FIND("-",AT233,FIND("|",AT233))-FIND("|",AT233)-1))),ABS(INDEX($P$232:$P$233,MATCH(LEFT(AT233,FIND("·",AT233)-1),$K$232:$K$233,0))-(VALUE(MID(AT233,FIND("|",AT233)+1,FIND("-",AT233,FIND("|",AT233))-FIND("|",AT233)-1))-VALUE(MID(AT233,FIND("-",AT233,FIND("|",AT233))+1,10)))))*$D$50)))))*INDEX($I$232:$I$233,MATCH(LEFT(AT233,FIND("·",AT233)-1),$K$232:$K$233,0)),0),0),0)+IFERROR(IF(COUNTIF($C$232:$C$233,LEFT(AT233,FIND("·",AT233)-1))&gt;0,IF(INDEX($D$232:$D$233,MATCH(LEFT(AT233,FIND("·",AT233)-1),$C$232:$C$233,0))=IFERROR(VALUE(MID(AT233,FIND("·",AT233)+1,1)),0),($D$28+(INDEX($E$232:$E$233,MATCH(LEFT(AT233,FIND("·",AT233)-1),$C$232:$C$233,0))=MID(AT233,FIND("|",AT233)+1,10))*$D$30+MAX(0,IF($D$50=1,$D$29*(1-(ABS(INDEX($Q$232:$Q$233,MATCH(LEFT(AT233,FIND("·",AT233)-1),$C$232:$C$233,0))-(VALUE(MID(AT233,FIND("|",AT233)+1,FIND("-",AT233,FIND("|",AT233))-FIND("|",AT233)-1))-VALUE(MID(AT233,FIND("-",AT233,FIND("|",AT233))+1,10)))))*$D$50),$D$29*(1-(IF(INDEX($D$232:$D$233,MATCH(LEFT(AT233,FIND("·",AT233)-1),$C$232:$C$233,0))=0,ABS(INDEX($A$232:$A$233,MATCH(LEFT(AT233,FIND("·",AT233)-1),$C$232:$C$233,0))-VALUE(MID(AT233,FIND("|",AT233)+1,FIND("-",AT233,FIND("|",AT233))-FIND("|",AT233)-1))),ABS(INDEX($Q$232:$Q$233,MATCH(LEFT(AT233,FIND("·",AT233)-1),$C$232:$C$233,0))-(VALUE(MID(AT233,FIND("|",AT233)+1,FIND("-",AT233,FIND("|",AT233))-FIND("|",AT233)-1))-VALUE(MID(AT233,FIND("-",AT233,FIND("|",AT233))+1,10)))))*$D$50)))))*INDEX($I$232:$I$233,MATCH(LEFT(AT233,FIND("·",AT233)-1),$C$232:$C$233,0)),0),0),0)</f>
        <v>0</v>
      </c>
      <c r="AV233" s="110"/>
      <c r="AW233" s="80" t="s">
        <v>2284</v>
      </c>
      <c r="AX233" s="81">
        <f t="shared" ref="AX233" si="1557">IFERROR(IF(COUNTIF($K$232:$K$233,LEFT(AW233,FIND("·",AW233)-1))&gt;0,IF(INDEX($L$232:$L$233,MATCH(LEFT(AW233,FIND("·",AW233)-1),$K$232:$K$233,0))=IFERROR(VALUE(MID(AW233,FIND("·",AW233)+1,1)),0),($D$28+(INDEX($M$232:$M$233,MATCH(LEFT(AW233,FIND("·",AW233)-1),$K$232:$K$233,0))=MID(AW233,FIND("|",AW233)+1,10))*$D$30+MAX(0,IF($D$50=1,$D$29*(1-(ABS(INDEX($P$232:$P$233,MATCH(LEFT(AW233,FIND("·",AW233)-1),$K$232:$K$233,0))-(VALUE(MID(AW233,FIND("|",AW233)+1,FIND("-",AW233,FIND("|",AW233))-FIND("|",AW233)-1))-VALUE(MID(AW233,FIND("-",AW233,FIND("|",AW233))+1,10)))))*$D$50),$D$29*(1-(IF(INDEX($L$232:$L$233,MATCH(LEFT(AW233,FIND("·",AW233)-1),$K$232:$K$233,0))=0,ABS(INDEX($N$232:$N$233,MATCH(LEFT(AW233,FIND("·",AW233)-1),$K$232:$K$233,0))-VALUE(MID(AW233,FIND("|",AW233)+1,FIND("-",AW233,FIND("|",AW233))-FIND("|",AW233)-1))),ABS(INDEX($P$232:$P$233,MATCH(LEFT(AW233,FIND("·",AW233)-1),$K$232:$K$233,0))-(VALUE(MID(AW233,FIND("|",AW233)+1,FIND("-",AW233,FIND("|",AW233))-FIND("|",AW233)-1))-VALUE(MID(AW233,FIND("-",AW233,FIND("|",AW233))+1,10)))))*$D$50)))))*INDEX($I$232:$I$233,MATCH(LEFT(AW233,FIND("·",AW233)-1),$K$232:$K$233,0)),0),0),0)+IFERROR(IF(COUNTIF($C$232:$C$233,LEFT(AW233,FIND("·",AW233)-1))&gt;0,IF(INDEX($D$232:$D$233,MATCH(LEFT(AW233,FIND("·",AW233)-1),$C$232:$C$233,0))=IFERROR(VALUE(MID(AW233,FIND("·",AW233)+1,1)),0),($D$28+(INDEX($E$232:$E$233,MATCH(LEFT(AW233,FIND("·",AW233)-1),$C$232:$C$233,0))=MID(AW233,FIND("|",AW233)+1,10))*$D$30+MAX(0,IF($D$50=1,$D$29*(1-(ABS(INDEX($Q$232:$Q$233,MATCH(LEFT(AW233,FIND("·",AW233)-1),$C$232:$C$233,0))-(VALUE(MID(AW233,FIND("|",AW233)+1,FIND("-",AW233,FIND("|",AW233))-FIND("|",AW233)-1))-VALUE(MID(AW233,FIND("-",AW233,FIND("|",AW233))+1,10)))))*$D$50),$D$29*(1-(IF(INDEX($D$232:$D$233,MATCH(LEFT(AW233,FIND("·",AW233)-1),$C$232:$C$233,0))=0,ABS(INDEX($A$232:$A$233,MATCH(LEFT(AW233,FIND("·",AW233)-1),$C$232:$C$233,0))-VALUE(MID(AW233,FIND("|",AW233)+1,FIND("-",AW233,FIND("|",AW233))-FIND("|",AW233)-1))),ABS(INDEX($Q$232:$Q$233,MATCH(LEFT(AW233,FIND("·",AW233)-1),$C$232:$C$233,0))-(VALUE(MID(AW233,FIND("|",AW233)+1,FIND("-",AW233,FIND("|",AW233))-FIND("|",AW233)-1))-VALUE(MID(AW233,FIND("-",AW233,FIND("|",AW233))+1,10)))))*$D$50)))))*INDEX($I$232:$I$233,MATCH(LEFT(AW233,FIND("·",AW233)-1),$C$232:$C$233,0)),0),0),0)</f>
        <v>0</v>
      </c>
      <c r="AY233" s="110"/>
      <c r="AZ233" s="80" t="s">
        <v>2308</v>
      </c>
      <c r="BA233" s="81">
        <f t="shared" ref="BA233" si="1558">IFERROR(IF(COUNTIF($K$232:$K$233,LEFT(AZ233,FIND("·",AZ233)-1))&gt;0,IF(INDEX($L$232:$L$233,MATCH(LEFT(AZ233,FIND("·",AZ233)-1),$K$232:$K$233,0))=IFERROR(VALUE(MID(AZ233,FIND("·",AZ233)+1,1)),0),($D$28+(INDEX($M$232:$M$233,MATCH(LEFT(AZ233,FIND("·",AZ233)-1),$K$232:$K$233,0))=MID(AZ233,FIND("|",AZ233)+1,10))*$D$30+MAX(0,IF($D$50=1,$D$29*(1-(ABS(INDEX($P$232:$P$233,MATCH(LEFT(AZ233,FIND("·",AZ233)-1),$K$232:$K$233,0))-(VALUE(MID(AZ233,FIND("|",AZ233)+1,FIND("-",AZ233,FIND("|",AZ233))-FIND("|",AZ233)-1))-VALUE(MID(AZ233,FIND("-",AZ233,FIND("|",AZ233))+1,10)))))*$D$50),$D$29*(1-(IF(INDEX($L$232:$L$233,MATCH(LEFT(AZ233,FIND("·",AZ233)-1),$K$232:$K$233,0))=0,ABS(INDEX($N$232:$N$233,MATCH(LEFT(AZ233,FIND("·",AZ233)-1),$K$232:$K$233,0))-VALUE(MID(AZ233,FIND("|",AZ233)+1,FIND("-",AZ233,FIND("|",AZ233))-FIND("|",AZ233)-1))),ABS(INDEX($P$232:$P$233,MATCH(LEFT(AZ233,FIND("·",AZ233)-1),$K$232:$K$233,0))-(VALUE(MID(AZ233,FIND("|",AZ233)+1,FIND("-",AZ233,FIND("|",AZ233))-FIND("|",AZ233)-1))-VALUE(MID(AZ233,FIND("-",AZ233,FIND("|",AZ233))+1,10)))))*$D$50)))))*INDEX($I$232:$I$233,MATCH(LEFT(AZ233,FIND("·",AZ233)-1),$K$232:$K$233,0)),0),0),0)+IFERROR(IF(COUNTIF($C$232:$C$233,LEFT(AZ233,FIND("·",AZ233)-1))&gt;0,IF(INDEX($D$232:$D$233,MATCH(LEFT(AZ233,FIND("·",AZ233)-1),$C$232:$C$233,0))=IFERROR(VALUE(MID(AZ233,FIND("·",AZ233)+1,1)),0),($D$28+(INDEX($E$232:$E$233,MATCH(LEFT(AZ233,FIND("·",AZ233)-1),$C$232:$C$233,0))=MID(AZ233,FIND("|",AZ233)+1,10))*$D$30+MAX(0,IF($D$50=1,$D$29*(1-(ABS(INDEX($Q$232:$Q$233,MATCH(LEFT(AZ233,FIND("·",AZ233)-1),$C$232:$C$233,0))-(VALUE(MID(AZ233,FIND("|",AZ233)+1,FIND("-",AZ233,FIND("|",AZ233))-FIND("|",AZ233)-1))-VALUE(MID(AZ233,FIND("-",AZ233,FIND("|",AZ233))+1,10)))))*$D$50),$D$29*(1-(IF(INDEX($D$232:$D$233,MATCH(LEFT(AZ233,FIND("·",AZ233)-1),$C$232:$C$233,0))=0,ABS(INDEX($A$232:$A$233,MATCH(LEFT(AZ233,FIND("·",AZ233)-1),$C$232:$C$233,0))-VALUE(MID(AZ233,FIND("|",AZ233)+1,FIND("-",AZ233,FIND("|",AZ233))-FIND("|",AZ233)-1))),ABS(INDEX($Q$232:$Q$233,MATCH(LEFT(AZ233,FIND("·",AZ233)-1),$C$232:$C$233,0))-(VALUE(MID(AZ233,FIND("|",AZ233)+1,FIND("-",AZ233,FIND("|",AZ233))-FIND("|",AZ233)-1))-VALUE(MID(AZ233,FIND("-",AZ233,FIND("|",AZ233))+1,10)))))*$D$50)))))*INDEX($I$232:$I$233,MATCH(LEFT(AZ233,FIND("·",AZ233)-1),$C$232:$C$233,0)),0),0),0)</f>
        <v>0</v>
      </c>
      <c r="BB233" s="110"/>
      <c r="BC233" s="80" t="s">
        <v>2335</v>
      </c>
      <c r="BD233" s="81">
        <f t="shared" ref="BD233" si="1559">IFERROR(IF(COUNTIF($K$232:$K$233,LEFT(BC233,FIND("·",BC233)-1))&gt;0,IF(INDEX($L$232:$L$233,MATCH(LEFT(BC233,FIND("·",BC233)-1),$K$232:$K$233,0))=IFERROR(VALUE(MID(BC233,FIND("·",BC233)+1,1)),0),($D$28+(INDEX($M$232:$M$233,MATCH(LEFT(BC233,FIND("·",BC233)-1),$K$232:$K$233,0))=MID(BC233,FIND("|",BC233)+1,10))*$D$30+MAX(0,IF($D$50=1,$D$29*(1-(ABS(INDEX($P$232:$P$233,MATCH(LEFT(BC233,FIND("·",BC233)-1),$K$232:$K$233,0))-(VALUE(MID(BC233,FIND("|",BC233)+1,FIND("-",BC233,FIND("|",BC233))-FIND("|",BC233)-1))-VALUE(MID(BC233,FIND("-",BC233,FIND("|",BC233))+1,10)))))*$D$50),$D$29*(1-(IF(INDEX($L$232:$L$233,MATCH(LEFT(BC233,FIND("·",BC233)-1),$K$232:$K$233,0))=0,ABS(INDEX($N$232:$N$233,MATCH(LEFT(BC233,FIND("·",BC233)-1),$K$232:$K$233,0))-VALUE(MID(BC233,FIND("|",BC233)+1,FIND("-",BC233,FIND("|",BC233))-FIND("|",BC233)-1))),ABS(INDEX($P$232:$P$233,MATCH(LEFT(BC233,FIND("·",BC233)-1),$K$232:$K$233,0))-(VALUE(MID(BC233,FIND("|",BC233)+1,FIND("-",BC233,FIND("|",BC233))-FIND("|",BC233)-1))-VALUE(MID(BC233,FIND("-",BC233,FIND("|",BC233))+1,10)))))*$D$50)))))*INDEX($I$232:$I$233,MATCH(LEFT(BC233,FIND("·",BC233)-1),$K$232:$K$233,0)),0),0),0)+IFERROR(IF(COUNTIF($C$232:$C$233,LEFT(BC233,FIND("·",BC233)-1))&gt;0,IF(INDEX($D$232:$D$233,MATCH(LEFT(BC233,FIND("·",BC233)-1),$C$232:$C$233,0))=IFERROR(VALUE(MID(BC233,FIND("·",BC233)+1,1)),0),($D$28+(INDEX($E$232:$E$233,MATCH(LEFT(BC233,FIND("·",BC233)-1),$C$232:$C$233,0))=MID(BC233,FIND("|",BC233)+1,10))*$D$30+MAX(0,IF($D$50=1,$D$29*(1-(ABS(INDEX($Q$232:$Q$233,MATCH(LEFT(BC233,FIND("·",BC233)-1),$C$232:$C$233,0))-(VALUE(MID(BC233,FIND("|",BC233)+1,FIND("-",BC233,FIND("|",BC233))-FIND("|",BC233)-1))-VALUE(MID(BC233,FIND("-",BC233,FIND("|",BC233))+1,10)))))*$D$50),$D$29*(1-(IF(INDEX($D$232:$D$233,MATCH(LEFT(BC233,FIND("·",BC233)-1),$C$232:$C$233,0))=0,ABS(INDEX($A$232:$A$233,MATCH(LEFT(BC233,FIND("·",BC233)-1),$C$232:$C$233,0))-VALUE(MID(BC233,FIND("|",BC233)+1,FIND("-",BC233,FIND("|",BC233))-FIND("|",BC233)-1))),ABS(INDEX($Q$232:$Q$233,MATCH(LEFT(BC233,FIND("·",BC233)-1),$C$232:$C$233,0))-(VALUE(MID(BC233,FIND("|",BC233)+1,FIND("-",BC233,FIND("|",BC233))-FIND("|",BC233)-1))-VALUE(MID(BC233,FIND("-",BC233,FIND("|",BC233))+1,10)))))*$D$50)))))*INDEX($I$232:$I$233,MATCH(LEFT(BC233,FIND("·",BC233)-1),$C$232:$C$233,0)),0),0),0)</f>
        <v>0</v>
      </c>
      <c r="BE233" s="110"/>
      <c r="BF233" s="80" t="s">
        <v>2235</v>
      </c>
      <c r="BG233" s="81">
        <f t="shared" ref="BG233" si="1560">IFERROR(IF(COUNTIF($K$232:$K$233,LEFT(BF233,FIND("·",BF233)-1))&gt;0,IF(INDEX($L$232:$L$233,MATCH(LEFT(BF233,FIND("·",BF233)-1),$K$232:$K$233,0))=IFERROR(VALUE(MID(BF233,FIND("·",BF233)+1,1)),0),($D$28+(INDEX($M$232:$M$233,MATCH(LEFT(BF233,FIND("·",BF233)-1),$K$232:$K$233,0))=MID(BF233,FIND("|",BF233)+1,10))*$D$30+MAX(0,IF($D$50=1,$D$29*(1-(ABS(INDEX($P$232:$P$233,MATCH(LEFT(BF233,FIND("·",BF233)-1),$K$232:$K$233,0))-(VALUE(MID(BF233,FIND("|",BF233)+1,FIND("-",BF233,FIND("|",BF233))-FIND("|",BF233)-1))-VALUE(MID(BF233,FIND("-",BF233,FIND("|",BF233))+1,10)))))*$D$50),$D$29*(1-(IF(INDEX($L$232:$L$233,MATCH(LEFT(BF233,FIND("·",BF233)-1),$K$232:$K$233,0))=0,ABS(INDEX($N$232:$N$233,MATCH(LEFT(BF233,FIND("·",BF233)-1),$K$232:$K$233,0))-VALUE(MID(BF233,FIND("|",BF233)+1,FIND("-",BF233,FIND("|",BF233))-FIND("|",BF233)-1))),ABS(INDEX($P$232:$P$233,MATCH(LEFT(BF233,FIND("·",BF233)-1),$K$232:$K$233,0))-(VALUE(MID(BF233,FIND("|",BF233)+1,FIND("-",BF233,FIND("|",BF233))-FIND("|",BF233)-1))-VALUE(MID(BF233,FIND("-",BF233,FIND("|",BF233))+1,10)))))*$D$50)))))*INDEX($I$232:$I$233,MATCH(LEFT(BF233,FIND("·",BF233)-1),$K$232:$K$233,0)),0),0),0)+IFERROR(IF(COUNTIF($C$232:$C$233,LEFT(BF233,FIND("·",BF233)-1))&gt;0,IF(INDEX($D$232:$D$233,MATCH(LEFT(BF233,FIND("·",BF233)-1),$C$232:$C$233,0))=IFERROR(VALUE(MID(BF233,FIND("·",BF233)+1,1)),0),($D$28+(INDEX($E$232:$E$233,MATCH(LEFT(BF233,FIND("·",BF233)-1),$C$232:$C$233,0))=MID(BF233,FIND("|",BF233)+1,10))*$D$30+MAX(0,IF($D$50=1,$D$29*(1-(ABS(INDEX($Q$232:$Q$233,MATCH(LEFT(BF233,FIND("·",BF233)-1),$C$232:$C$233,0))-(VALUE(MID(BF233,FIND("|",BF233)+1,FIND("-",BF233,FIND("|",BF233))-FIND("|",BF233)-1))-VALUE(MID(BF233,FIND("-",BF233,FIND("|",BF233))+1,10)))))*$D$50),$D$29*(1-(IF(INDEX($D$232:$D$233,MATCH(LEFT(BF233,FIND("·",BF233)-1),$C$232:$C$233,0))=0,ABS(INDEX($A$232:$A$233,MATCH(LEFT(BF233,FIND("·",BF233)-1),$C$232:$C$233,0))-VALUE(MID(BF233,FIND("|",BF233)+1,FIND("-",BF233,FIND("|",BF233))-FIND("|",BF233)-1))),ABS(INDEX($Q$232:$Q$233,MATCH(LEFT(BF233,FIND("·",BF233)-1),$C$232:$C$233,0))-(VALUE(MID(BF233,FIND("|",BF233)+1,FIND("-",BF233,FIND("|",BF233))-FIND("|",BF233)-1))-VALUE(MID(BF233,FIND("-",BF233,FIND("|",BF233))+1,10)))))*$D$50)))))*INDEX($I$232:$I$233,MATCH(LEFT(BF233,FIND("·",BF233)-1),$C$232:$C$233,0)),0),0),0)</f>
        <v>0</v>
      </c>
      <c r="BH233" s="110"/>
      <c r="BI233" s="80" t="s">
        <v>2376</v>
      </c>
      <c r="BJ233" s="81">
        <f t="shared" ref="BJ233" si="1561">IFERROR(IF(COUNTIF($K$232:$K$233,LEFT(BI233,FIND("·",BI233)-1))&gt;0,IF(INDEX($L$232:$L$233,MATCH(LEFT(BI233,FIND("·",BI233)-1),$K$232:$K$233,0))=IFERROR(VALUE(MID(BI233,FIND("·",BI233)+1,1)),0),($D$28+(INDEX($M$232:$M$233,MATCH(LEFT(BI233,FIND("·",BI233)-1),$K$232:$K$233,0))=MID(BI233,FIND("|",BI233)+1,10))*$D$30+MAX(0,IF($D$50=1,$D$29*(1-(ABS(INDEX($P$232:$P$233,MATCH(LEFT(BI233,FIND("·",BI233)-1),$K$232:$K$233,0))-(VALUE(MID(BI233,FIND("|",BI233)+1,FIND("-",BI233,FIND("|",BI233))-FIND("|",BI233)-1))-VALUE(MID(BI233,FIND("-",BI233,FIND("|",BI233))+1,10)))))*$D$50),$D$29*(1-(IF(INDEX($L$232:$L$233,MATCH(LEFT(BI233,FIND("·",BI233)-1),$K$232:$K$233,0))=0,ABS(INDEX($N$232:$N$233,MATCH(LEFT(BI233,FIND("·",BI233)-1),$K$232:$K$233,0))-VALUE(MID(BI233,FIND("|",BI233)+1,FIND("-",BI233,FIND("|",BI233))-FIND("|",BI233)-1))),ABS(INDEX($P$232:$P$233,MATCH(LEFT(BI233,FIND("·",BI233)-1),$K$232:$K$233,0))-(VALUE(MID(BI233,FIND("|",BI233)+1,FIND("-",BI233,FIND("|",BI233))-FIND("|",BI233)-1))-VALUE(MID(BI233,FIND("-",BI233,FIND("|",BI233))+1,10)))))*$D$50)))))*INDEX($I$232:$I$233,MATCH(LEFT(BI233,FIND("·",BI233)-1),$K$232:$K$233,0)),0),0),0)+IFERROR(IF(COUNTIF($C$232:$C$233,LEFT(BI233,FIND("·",BI233)-1))&gt;0,IF(INDEX($D$232:$D$233,MATCH(LEFT(BI233,FIND("·",BI233)-1),$C$232:$C$233,0))=IFERROR(VALUE(MID(BI233,FIND("·",BI233)+1,1)),0),($D$28+(INDEX($E$232:$E$233,MATCH(LEFT(BI233,FIND("·",BI233)-1),$C$232:$C$233,0))=MID(BI233,FIND("|",BI233)+1,10))*$D$30+MAX(0,IF($D$50=1,$D$29*(1-(ABS(INDEX($Q$232:$Q$233,MATCH(LEFT(BI233,FIND("·",BI233)-1),$C$232:$C$233,0))-(VALUE(MID(BI233,FIND("|",BI233)+1,FIND("-",BI233,FIND("|",BI233))-FIND("|",BI233)-1))-VALUE(MID(BI233,FIND("-",BI233,FIND("|",BI233))+1,10)))))*$D$50),$D$29*(1-(IF(INDEX($D$232:$D$233,MATCH(LEFT(BI233,FIND("·",BI233)-1),$C$232:$C$233,0))=0,ABS(INDEX($A$232:$A$233,MATCH(LEFT(BI233,FIND("·",BI233)-1),$C$232:$C$233,0))-VALUE(MID(BI233,FIND("|",BI233)+1,FIND("-",BI233,FIND("|",BI233))-FIND("|",BI233)-1))),ABS(INDEX($Q$232:$Q$233,MATCH(LEFT(BI233,FIND("·",BI233)-1),$C$232:$C$233,0))-(VALUE(MID(BI233,FIND("|",BI233)+1,FIND("-",BI233,FIND("|",BI233))-FIND("|",BI233)-1))-VALUE(MID(BI233,FIND("-",BI233,FIND("|",BI233))+1,10)))))*$D$50)))))*INDEX($I$232:$I$233,MATCH(LEFT(BI233,FIND("·",BI233)-1),$C$232:$C$233,0)),0),0),0)</f>
        <v>0</v>
      </c>
      <c r="BK233" s="110"/>
      <c r="BL233" s="80" t="s">
        <v>2394</v>
      </c>
      <c r="BM233" s="81">
        <f t="shared" ref="BM233" si="1562">IFERROR(IF(COUNTIF($K$232:$K$233,LEFT(BL233,FIND("·",BL233)-1))&gt;0,IF(INDEX($L$232:$L$233,MATCH(LEFT(BL233,FIND("·",BL233)-1),$K$232:$K$233,0))=IFERROR(VALUE(MID(BL233,FIND("·",BL233)+1,1)),0),($D$28+(INDEX($M$232:$M$233,MATCH(LEFT(BL233,FIND("·",BL233)-1),$K$232:$K$233,0))=MID(BL233,FIND("|",BL233)+1,10))*$D$30+MAX(0,IF($D$50=1,$D$29*(1-(ABS(INDEX($P$232:$P$233,MATCH(LEFT(BL233,FIND("·",BL233)-1),$K$232:$K$233,0))-(VALUE(MID(BL233,FIND("|",BL233)+1,FIND("-",BL233,FIND("|",BL233))-FIND("|",BL233)-1))-VALUE(MID(BL233,FIND("-",BL233,FIND("|",BL233))+1,10)))))*$D$50),$D$29*(1-(IF(INDEX($L$232:$L$233,MATCH(LEFT(BL233,FIND("·",BL233)-1),$K$232:$K$233,0))=0,ABS(INDEX($N$232:$N$233,MATCH(LEFT(BL233,FIND("·",BL233)-1),$K$232:$K$233,0))-VALUE(MID(BL233,FIND("|",BL233)+1,FIND("-",BL233,FIND("|",BL233))-FIND("|",BL233)-1))),ABS(INDEX($P$232:$P$233,MATCH(LEFT(BL233,FIND("·",BL233)-1),$K$232:$K$233,0))-(VALUE(MID(BL233,FIND("|",BL233)+1,FIND("-",BL233,FIND("|",BL233))-FIND("|",BL233)-1))-VALUE(MID(BL233,FIND("-",BL233,FIND("|",BL233))+1,10)))))*$D$50)))))*INDEX($I$232:$I$233,MATCH(LEFT(BL233,FIND("·",BL233)-1),$K$232:$K$233,0)),0),0),0)+IFERROR(IF(COUNTIF($C$232:$C$233,LEFT(BL233,FIND("·",BL233)-1))&gt;0,IF(INDEX($D$232:$D$233,MATCH(LEFT(BL233,FIND("·",BL233)-1),$C$232:$C$233,0))=IFERROR(VALUE(MID(BL233,FIND("·",BL233)+1,1)),0),($D$28+(INDEX($E$232:$E$233,MATCH(LEFT(BL233,FIND("·",BL233)-1),$C$232:$C$233,0))=MID(BL233,FIND("|",BL233)+1,10))*$D$30+MAX(0,IF($D$50=1,$D$29*(1-(ABS(INDEX($Q$232:$Q$233,MATCH(LEFT(BL233,FIND("·",BL233)-1),$C$232:$C$233,0))-(VALUE(MID(BL233,FIND("|",BL233)+1,FIND("-",BL233,FIND("|",BL233))-FIND("|",BL233)-1))-VALUE(MID(BL233,FIND("-",BL233,FIND("|",BL233))+1,10)))))*$D$50),$D$29*(1-(IF(INDEX($D$232:$D$233,MATCH(LEFT(BL233,FIND("·",BL233)-1),$C$232:$C$233,0))=0,ABS(INDEX($A$232:$A$233,MATCH(LEFT(BL233,FIND("·",BL233)-1),$C$232:$C$233,0))-VALUE(MID(BL233,FIND("|",BL233)+1,FIND("-",BL233,FIND("|",BL233))-FIND("|",BL233)-1))),ABS(INDEX($Q$232:$Q$233,MATCH(LEFT(BL233,FIND("·",BL233)-1),$C$232:$C$233,0))-(VALUE(MID(BL233,FIND("|",BL233)+1,FIND("-",BL233,FIND("|",BL233))-FIND("|",BL233)-1))-VALUE(MID(BL233,FIND("-",BL233,FIND("|",BL233))+1,10)))))*$D$50)))))*INDEX($I$232:$I$233,MATCH(LEFT(BL233,FIND("·",BL233)-1),$C$232:$C$233,0)),0),0),0)</f>
        <v>0</v>
      </c>
      <c r="BN233" s="110"/>
      <c r="BO233" s="80" t="s">
        <v>2210</v>
      </c>
      <c r="BP233" s="81">
        <f t="shared" ref="BP233" si="1563">IFERROR(IF(COUNTIF($K$232:$K$233,LEFT(BO233,FIND("·",BO233)-1))&gt;0,IF(INDEX($L$232:$L$233,MATCH(LEFT(BO233,FIND("·",BO233)-1),$K$232:$K$233,0))=IFERROR(VALUE(MID(BO233,FIND("·",BO233)+1,1)),0),($D$28+(INDEX($M$232:$M$233,MATCH(LEFT(BO233,FIND("·",BO233)-1),$K$232:$K$233,0))=MID(BO233,FIND("|",BO233)+1,10))*$D$30+MAX(0,IF($D$50=1,$D$29*(1-(ABS(INDEX($P$232:$P$233,MATCH(LEFT(BO233,FIND("·",BO233)-1),$K$232:$K$233,0))-(VALUE(MID(BO233,FIND("|",BO233)+1,FIND("-",BO233,FIND("|",BO233))-FIND("|",BO233)-1))-VALUE(MID(BO233,FIND("-",BO233,FIND("|",BO233))+1,10)))))*$D$50),$D$29*(1-(IF(INDEX($L$232:$L$233,MATCH(LEFT(BO233,FIND("·",BO233)-1),$K$232:$K$233,0))=0,ABS(INDEX($N$232:$N$233,MATCH(LEFT(BO233,FIND("·",BO233)-1),$K$232:$K$233,0))-VALUE(MID(BO233,FIND("|",BO233)+1,FIND("-",BO233,FIND("|",BO233))-FIND("|",BO233)-1))),ABS(INDEX($P$232:$P$233,MATCH(LEFT(BO233,FIND("·",BO233)-1),$K$232:$K$233,0))-(VALUE(MID(BO233,FIND("|",BO233)+1,FIND("-",BO233,FIND("|",BO233))-FIND("|",BO233)-1))-VALUE(MID(BO233,FIND("-",BO233,FIND("|",BO233))+1,10)))))*$D$50)))))*INDEX($I$232:$I$233,MATCH(LEFT(BO233,FIND("·",BO233)-1),$K$232:$K$233,0)),0),0),0)+IFERROR(IF(COUNTIF($C$232:$C$233,LEFT(BO233,FIND("·",BO233)-1))&gt;0,IF(INDEX($D$232:$D$233,MATCH(LEFT(BO233,FIND("·",BO233)-1),$C$232:$C$233,0))=IFERROR(VALUE(MID(BO233,FIND("·",BO233)+1,1)),0),($D$28+(INDEX($E$232:$E$233,MATCH(LEFT(BO233,FIND("·",BO233)-1),$C$232:$C$233,0))=MID(BO233,FIND("|",BO233)+1,10))*$D$30+MAX(0,IF($D$50=1,$D$29*(1-(ABS(INDEX($Q$232:$Q$233,MATCH(LEFT(BO233,FIND("·",BO233)-1),$C$232:$C$233,0))-(VALUE(MID(BO233,FIND("|",BO233)+1,FIND("-",BO233,FIND("|",BO233))-FIND("|",BO233)-1))-VALUE(MID(BO233,FIND("-",BO233,FIND("|",BO233))+1,10)))))*$D$50),$D$29*(1-(IF(INDEX($D$232:$D$233,MATCH(LEFT(BO233,FIND("·",BO233)-1),$C$232:$C$233,0))=0,ABS(INDEX($A$232:$A$233,MATCH(LEFT(BO233,FIND("·",BO233)-1),$C$232:$C$233,0))-VALUE(MID(BO233,FIND("|",BO233)+1,FIND("-",BO233,FIND("|",BO233))-FIND("|",BO233)-1))),ABS(INDEX($Q$232:$Q$233,MATCH(LEFT(BO233,FIND("·",BO233)-1),$C$232:$C$233,0))-(VALUE(MID(BO233,FIND("|",BO233)+1,FIND("-",BO233,FIND("|",BO233))-FIND("|",BO233)-1))-VALUE(MID(BO233,FIND("-",BO233,FIND("|",BO233))+1,10)))))*$D$50)))))*INDEX($I$232:$I$233,MATCH(LEFT(BO233,FIND("·",BO233)-1),$C$232:$C$233,0)),0),0),0)</f>
        <v>0</v>
      </c>
      <c r="BQ233" s="110"/>
      <c r="BR233" s="80" t="s">
        <v>2308</v>
      </c>
      <c r="BS233" s="81">
        <f t="shared" ref="BS233" si="1564">IFERROR(IF(COUNTIF($K$232:$K$233,LEFT(BR233,FIND("·",BR233)-1))&gt;0,IF(INDEX($L$232:$L$233,MATCH(LEFT(BR233,FIND("·",BR233)-1),$K$232:$K$233,0))=IFERROR(VALUE(MID(BR233,FIND("·",BR233)+1,1)),0),($D$28+(INDEX($M$232:$M$233,MATCH(LEFT(BR233,FIND("·",BR233)-1),$K$232:$K$233,0))=MID(BR233,FIND("|",BR233)+1,10))*$D$30+MAX(0,IF($D$50=1,$D$29*(1-(ABS(INDEX($P$232:$P$233,MATCH(LEFT(BR233,FIND("·",BR233)-1),$K$232:$K$233,0))-(VALUE(MID(BR233,FIND("|",BR233)+1,FIND("-",BR233,FIND("|",BR233))-FIND("|",BR233)-1))-VALUE(MID(BR233,FIND("-",BR233,FIND("|",BR233))+1,10)))))*$D$50),$D$29*(1-(IF(INDEX($L$232:$L$233,MATCH(LEFT(BR233,FIND("·",BR233)-1),$K$232:$K$233,0))=0,ABS(INDEX($N$232:$N$233,MATCH(LEFT(BR233,FIND("·",BR233)-1),$K$232:$K$233,0))-VALUE(MID(BR233,FIND("|",BR233)+1,FIND("-",BR233,FIND("|",BR233))-FIND("|",BR233)-1))),ABS(INDEX($P$232:$P$233,MATCH(LEFT(BR233,FIND("·",BR233)-1),$K$232:$K$233,0))-(VALUE(MID(BR233,FIND("|",BR233)+1,FIND("-",BR233,FIND("|",BR233))-FIND("|",BR233)-1))-VALUE(MID(BR233,FIND("-",BR233,FIND("|",BR233))+1,10)))))*$D$50)))))*INDEX($I$232:$I$233,MATCH(LEFT(BR233,FIND("·",BR233)-1),$K$232:$K$233,0)),0),0),0)+IFERROR(IF(COUNTIF($C$232:$C$233,LEFT(BR233,FIND("·",BR233)-1))&gt;0,IF(INDEX($D$232:$D$233,MATCH(LEFT(BR233,FIND("·",BR233)-1),$C$232:$C$233,0))=IFERROR(VALUE(MID(BR233,FIND("·",BR233)+1,1)),0),($D$28+(INDEX($E$232:$E$233,MATCH(LEFT(BR233,FIND("·",BR233)-1),$C$232:$C$233,0))=MID(BR233,FIND("|",BR233)+1,10))*$D$30+MAX(0,IF($D$50=1,$D$29*(1-(ABS(INDEX($Q$232:$Q$233,MATCH(LEFT(BR233,FIND("·",BR233)-1),$C$232:$C$233,0))-(VALUE(MID(BR233,FIND("|",BR233)+1,FIND("-",BR233,FIND("|",BR233))-FIND("|",BR233)-1))-VALUE(MID(BR233,FIND("-",BR233,FIND("|",BR233))+1,10)))))*$D$50),$D$29*(1-(IF(INDEX($D$232:$D$233,MATCH(LEFT(BR233,FIND("·",BR233)-1),$C$232:$C$233,0))=0,ABS(INDEX($A$232:$A$233,MATCH(LEFT(BR233,FIND("·",BR233)-1),$C$232:$C$233,0))-VALUE(MID(BR233,FIND("|",BR233)+1,FIND("-",BR233,FIND("|",BR233))-FIND("|",BR233)-1))),ABS(INDEX($Q$232:$Q$233,MATCH(LEFT(BR233,FIND("·",BR233)-1),$C$232:$C$233,0))-(VALUE(MID(BR233,FIND("|",BR233)+1,FIND("-",BR233,FIND("|",BR233))-FIND("|",BR233)-1))-VALUE(MID(BR233,FIND("-",BR233,FIND("|",BR233))+1,10)))))*$D$50)))))*INDEX($I$232:$I$233,MATCH(LEFT(BR233,FIND("·",BR233)-1),$C$232:$C$233,0)),0),0),0)</f>
        <v>0</v>
      </c>
      <c r="BT233" s="110"/>
      <c r="BU233" s="80" t="s">
        <v>2308</v>
      </c>
      <c r="BV233" s="81">
        <f t="shared" ref="BV233" si="1565">IFERROR(IF(COUNTIF($K$232:$K$233,LEFT(BU233,FIND("·",BU233)-1))&gt;0,IF(INDEX($L$232:$L$233,MATCH(LEFT(BU233,FIND("·",BU233)-1),$K$232:$K$233,0))=IFERROR(VALUE(MID(BU233,FIND("·",BU233)+1,1)),0),($D$28+(INDEX($M$232:$M$233,MATCH(LEFT(BU233,FIND("·",BU233)-1),$K$232:$K$233,0))=MID(BU233,FIND("|",BU233)+1,10))*$D$30+MAX(0,IF($D$50=1,$D$29*(1-(ABS(INDEX($P$232:$P$233,MATCH(LEFT(BU233,FIND("·",BU233)-1),$K$232:$K$233,0))-(VALUE(MID(BU233,FIND("|",BU233)+1,FIND("-",BU233,FIND("|",BU233))-FIND("|",BU233)-1))-VALUE(MID(BU233,FIND("-",BU233,FIND("|",BU233))+1,10)))))*$D$50),$D$29*(1-(IF(INDEX($L$232:$L$233,MATCH(LEFT(BU233,FIND("·",BU233)-1),$K$232:$K$233,0))=0,ABS(INDEX($N$232:$N$233,MATCH(LEFT(BU233,FIND("·",BU233)-1),$K$232:$K$233,0))-VALUE(MID(BU233,FIND("|",BU233)+1,FIND("-",BU233,FIND("|",BU233))-FIND("|",BU233)-1))),ABS(INDEX($P$232:$P$233,MATCH(LEFT(BU233,FIND("·",BU233)-1),$K$232:$K$233,0))-(VALUE(MID(BU233,FIND("|",BU233)+1,FIND("-",BU233,FIND("|",BU233))-FIND("|",BU233)-1))-VALUE(MID(BU233,FIND("-",BU233,FIND("|",BU233))+1,10)))))*$D$50)))))*INDEX($I$232:$I$233,MATCH(LEFT(BU233,FIND("·",BU233)-1),$K$232:$K$233,0)),0),0),0)+IFERROR(IF(COUNTIF($C$232:$C$233,LEFT(BU233,FIND("·",BU233)-1))&gt;0,IF(INDEX($D$232:$D$233,MATCH(LEFT(BU233,FIND("·",BU233)-1),$C$232:$C$233,0))=IFERROR(VALUE(MID(BU233,FIND("·",BU233)+1,1)),0),($D$28+(INDEX($E$232:$E$233,MATCH(LEFT(BU233,FIND("·",BU233)-1),$C$232:$C$233,0))=MID(BU233,FIND("|",BU233)+1,10))*$D$30+MAX(0,IF($D$50=1,$D$29*(1-(ABS(INDEX($Q$232:$Q$233,MATCH(LEFT(BU233,FIND("·",BU233)-1),$C$232:$C$233,0))-(VALUE(MID(BU233,FIND("|",BU233)+1,FIND("-",BU233,FIND("|",BU233))-FIND("|",BU233)-1))-VALUE(MID(BU233,FIND("-",BU233,FIND("|",BU233))+1,10)))))*$D$50),$D$29*(1-(IF(INDEX($D$232:$D$233,MATCH(LEFT(BU233,FIND("·",BU233)-1),$C$232:$C$233,0))=0,ABS(INDEX($A$232:$A$233,MATCH(LEFT(BU233,FIND("·",BU233)-1),$C$232:$C$233,0))-VALUE(MID(BU233,FIND("|",BU233)+1,FIND("-",BU233,FIND("|",BU233))-FIND("|",BU233)-1))),ABS(INDEX($Q$232:$Q$233,MATCH(LEFT(BU233,FIND("·",BU233)-1),$C$232:$C$233,0))-(VALUE(MID(BU233,FIND("|",BU233)+1,FIND("-",BU233,FIND("|",BU233))-FIND("|",BU233)-1))-VALUE(MID(BU233,FIND("-",BU233,FIND("|",BU233))+1,10)))))*$D$50)))))*INDEX($I$232:$I$233,MATCH(LEFT(BU233,FIND("·",BU233)-1),$C$232:$C$233,0)),0),0),0)</f>
        <v>0</v>
      </c>
      <c r="BW233" s="110"/>
      <c r="BX233" s="80" t="s">
        <v>2458</v>
      </c>
      <c r="BY233" s="81">
        <f t="shared" ref="BY233" si="1566">IFERROR(IF(COUNTIF($K$232:$K$233,LEFT(BX233,FIND("·",BX233)-1))&gt;0,IF(INDEX($L$232:$L$233,MATCH(LEFT(BX233,FIND("·",BX233)-1),$K$232:$K$233,0))=IFERROR(VALUE(MID(BX233,FIND("·",BX233)+1,1)),0),($D$28+(INDEX($M$232:$M$233,MATCH(LEFT(BX233,FIND("·",BX233)-1),$K$232:$K$233,0))=MID(BX233,FIND("|",BX233)+1,10))*$D$30+MAX(0,IF($D$50=1,$D$29*(1-(ABS(INDEX($P$232:$P$233,MATCH(LEFT(BX233,FIND("·",BX233)-1),$K$232:$K$233,0))-(VALUE(MID(BX233,FIND("|",BX233)+1,FIND("-",BX233,FIND("|",BX233))-FIND("|",BX233)-1))-VALUE(MID(BX233,FIND("-",BX233,FIND("|",BX233))+1,10)))))*$D$50),$D$29*(1-(IF(INDEX($L$232:$L$233,MATCH(LEFT(BX233,FIND("·",BX233)-1),$K$232:$K$233,0))=0,ABS(INDEX($N$232:$N$233,MATCH(LEFT(BX233,FIND("·",BX233)-1),$K$232:$K$233,0))-VALUE(MID(BX233,FIND("|",BX233)+1,FIND("-",BX233,FIND("|",BX233))-FIND("|",BX233)-1))),ABS(INDEX($P$232:$P$233,MATCH(LEFT(BX233,FIND("·",BX233)-1),$K$232:$K$233,0))-(VALUE(MID(BX233,FIND("|",BX233)+1,FIND("-",BX233,FIND("|",BX233))-FIND("|",BX233)-1))-VALUE(MID(BX233,FIND("-",BX233,FIND("|",BX233))+1,10)))))*$D$50)))))*INDEX($I$232:$I$233,MATCH(LEFT(BX233,FIND("·",BX233)-1),$K$232:$K$233,0)),0),0),0)+IFERROR(IF(COUNTIF($C$232:$C$233,LEFT(BX233,FIND("·",BX233)-1))&gt;0,IF(INDEX($D$232:$D$233,MATCH(LEFT(BX233,FIND("·",BX233)-1),$C$232:$C$233,0))=IFERROR(VALUE(MID(BX233,FIND("·",BX233)+1,1)),0),($D$28+(INDEX($E$232:$E$233,MATCH(LEFT(BX233,FIND("·",BX233)-1),$C$232:$C$233,0))=MID(BX233,FIND("|",BX233)+1,10))*$D$30+MAX(0,IF($D$50=1,$D$29*(1-(ABS(INDEX($Q$232:$Q$233,MATCH(LEFT(BX233,FIND("·",BX233)-1),$C$232:$C$233,0))-(VALUE(MID(BX233,FIND("|",BX233)+1,FIND("-",BX233,FIND("|",BX233))-FIND("|",BX233)-1))-VALUE(MID(BX233,FIND("-",BX233,FIND("|",BX233))+1,10)))))*$D$50),$D$29*(1-(IF(INDEX($D$232:$D$233,MATCH(LEFT(BX233,FIND("·",BX233)-1),$C$232:$C$233,0))=0,ABS(INDEX($A$232:$A$233,MATCH(LEFT(BX233,FIND("·",BX233)-1),$C$232:$C$233,0))-VALUE(MID(BX233,FIND("|",BX233)+1,FIND("-",BX233,FIND("|",BX233))-FIND("|",BX233)-1))),ABS(INDEX($Q$232:$Q$233,MATCH(LEFT(BX233,FIND("·",BX233)-1),$C$232:$C$233,0))-(VALUE(MID(BX233,FIND("|",BX233)+1,FIND("-",BX233,FIND("|",BX233))-FIND("|",BX233)-1))-VALUE(MID(BX233,FIND("-",BX233,FIND("|",BX233))+1,10)))))*$D$50)))))*INDEX($I$232:$I$233,MATCH(LEFT(BX233,FIND("·",BX233)-1),$C$232:$C$233,0)),0),0),0)</f>
        <v>0</v>
      </c>
      <c r="BZ233" s="110"/>
      <c r="CA233" s="80" t="s">
        <v>2235</v>
      </c>
      <c r="CB233" s="81">
        <f t="shared" ref="CB233" si="1567">IFERROR(IF(COUNTIF($K$232:$K$233,LEFT(CA233,FIND("·",CA233)-1))&gt;0,IF(INDEX($L$232:$L$233,MATCH(LEFT(CA233,FIND("·",CA233)-1),$K$232:$K$233,0))=IFERROR(VALUE(MID(CA233,FIND("·",CA233)+1,1)),0),($D$28+(INDEX($M$232:$M$233,MATCH(LEFT(CA233,FIND("·",CA233)-1),$K$232:$K$233,0))=MID(CA233,FIND("|",CA233)+1,10))*$D$30+MAX(0,IF($D$50=1,$D$29*(1-(ABS(INDEX($P$232:$P$233,MATCH(LEFT(CA233,FIND("·",CA233)-1),$K$232:$K$233,0))-(VALUE(MID(CA233,FIND("|",CA233)+1,FIND("-",CA233,FIND("|",CA233))-FIND("|",CA233)-1))-VALUE(MID(CA233,FIND("-",CA233,FIND("|",CA233))+1,10)))))*$D$50),$D$29*(1-(IF(INDEX($L$232:$L$233,MATCH(LEFT(CA233,FIND("·",CA233)-1),$K$232:$K$233,0))=0,ABS(INDEX($N$232:$N$233,MATCH(LEFT(CA233,FIND("·",CA233)-1),$K$232:$K$233,0))-VALUE(MID(CA233,FIND("|",CA233)+1,FIND("-",CA233,FIND("|",CA233))-FIND("|",CA233)-1))),ABS(INDEX($P$232:$P$233,MATCH(LEFT(CA233,FIND("·",CA233)-1),$K$232:$K$233,0))-(VALUE(MID(CA233,FIND("|",CA233)+1,FIND("-",CA233,FIND("|",CA233))-FIND("|",CA233)-1))-VALUE(MID(CA233,FIND("-",CA233,FIND("|",CA233))+1,10)))))*$D$50)))))*INDEX($I$232:$I$233,MATCH(LEFT(CA233,FIND("·",CA233)-1),$K$232:$K$233,0)),0),0),0)+IFERROR(IF(COUNTIF($C$232:$C$233,LEFT(CA233,FIND("·",CA233)-1))&gt;0,IF(INDEX($D$232:$D$233,MATCH(LEFT(CA233,FIND("·",CA233)-1),$C$232:$C$233,0))=IFERROR(VALUE(MID(CA233,FIND("·",CA233)+1,1)),0),($D$28+(INDEX($E$232:$E$233,MATCH(LEFT(CA233,FIND("·",CA233)-1),$C$232:$C$233,0))=MID(CA233,FIND("|",CA233)+1,10))*$D$30+MAX(0,IF($D$50=1,$D$29*(1-(ABS(INDEX($Q$232:$Q$233,MATCH(LEFT(CA233,FIND("·",CA233)-1),$C$232:$C$233,0))-(VALUE(MID(CA233,FIND("|",CA233)+1,FIND("-",CA233,FIND("|",CA233))-FIND("|",CA233)-1))-VALUE(MID(CA233,FIND("-",CA233,FIND("|",CA233))+1,10)))))*$D$50),$D$29*(1-(IF(INDEX($D$232:$D$233,MATCH(LEFT(CA233,FIND("·",CA233)-1),$C$232:$C$233,0))=0,ABS(INDEX($A$232:$A$233,MATCH(LEFT(CA233,FIND("·",CA233)-1),$C$232:$C$233,0))-VALUE(MID(CA233,FIND("|",CA233)+1,FIND("-",CA233,FIND("|",CA233))-FIND("|",CA233)-1))),ABS(INDEX($Q$232:$Q$233,MATCH(LEFT(CA233,FIND("·",CA233)-1),$C$232:$C$233,0))-(VALUE(MID(CA233,FIND("|",CA233)+1,FIND("-",CA233,FIND("|",CA233))-FIND("|",CA233)-1))-VALUE(MID(CA233,FIND("-",CA233,FIND("|",CA233))+1,10)))))*$D$50)))))*INDEX($I$232:$I$233,MATCH(LEFT(CA233,FIND("·",CA233)-1),$C$232:$C$233,0)),0),0),0)</f>
        <v>0</v>
      </c>
      <c r="CC233" s="110"/>
      <c r="CD233" s="80" t="s">
        <v>2498</v>
      </c>
      <c r="CE233" s="81">
        <f t="shared" ref="CE233" si="1568">IFERROR(IF(COUNTIF($K$232:$K$233,LEFT(CD233,FIND("·",CD233)-1))&gt;0,IF(INDEX($L$232:$L$233,MATCH(LEFT(CD233,FIND("·",CD233)-1),$K$232:$K$233,0))=IFERROR(VALUE(MID(CD233,FIND("·",CD233)+1,1)),0),($D$28+(INDEX($M$232:$M$233,MATCH(LEFT(CD233,FIND("·",CD233)-1),$K$232:$K$233,0))=MID(CD233,FIND("|",CD233)+1,10))*$D$30+MAX(0,IF($D$50=1,$D$29*(1-(ABS(INDEX($P$232:$P$233,MATCH(LEFT(CD233,FIND("·",CD233)-1),$K$232:$K$233,0))-(VALUE(MID(CD233,FIND("|",CD233)+1,FIND("-",CD233,FIND("|",CD233))-FIND("|",CD233)-1))-VALUE(MID(CD233,FIND("-",CD233,FIND("|",CD233))+1,10)))))*$D$50),$D$29*(1-(IF(INDEX($L$232:$L$233,MATCH(LEFT(CD233,FIND("·",CD233)-1),$K$232:$K$233,0))=0,ABS(INDEX($N$232:$N$233,MATCH(LEFT(CD233,FIND("·",CD233)-1),$K$232:$K$233,0))-VALUE(MID(CD233,FIND("|",CD233)+1,FIND("-",CD233,FIND("|",CD233))-FIND("|",CD233)-1))),ABS(INDEX($P$232:$P$233,MATCH(LEFT(CD233,FIND("·",CD233)-1),$K$232:$K$233,0))-(VALUE(MID(CD233,FIND("|",CD233)+1,FIND("-",CD233,FIND("|",CD233))-FIND("|",CD233)-1))-VALUE(MID(CD233,FIND("-",CD233,FIND("|",CD233))+1,10)))))*$D$50)))))*INDEX($I$232:$I$233,MATCH(LEFT(CD233,FIND("·",CD233)-1),$K$232:$K$233,0)),0),0),0)+IFERROR(IF(COUNTIF($C$232:$C$233,LEFT(CD233,FIND("·",CD233)-1))&gt;0,IF(INDEX($D$232:$D$233,MATCH(LEFT(CD233,FIND("·",CD233)-1),$C$232:$C$233,0))=IFERROR(VALUE(MID(CD233,FIND("·",CD233)+1,1)),0),($D$28+(INDEX($E$232:$E$233,MATCH(LEFT(CD233,FIND("·",CD233)-1),$C$232:$C$233,0))=MID(CD233,FIND("|",CD233)+1,10))*$D$30+MAX(0,IF($D$50=1,$D$29*(1-(ABS(INDEX($Q$232:$Q$233,MATCH(LEFT(CD233,FIND("·",CD233)-1),$C$232:$C$233,0))-(VALUE(MID(CD233,FIND("|",CD233)+1,FIND("-",CD233,FIND("|",CD233))-FIND("|",CD233)-1))-VALUE(MID(CD233,FIND("-",CD233,FIND("|",CD233))+1,10)))))*$D$50),$D$29*(1-(IF(INDEX($D$232:$D$233,MATCH(LEFT(CD233,FIND("·",CD233)-1),$C$232:$C$233,0))=0,ABS(INDEX($A$232:$A$233,MATCH(LEFT(CD233,FIND("·",CD233)-1),$C$232:$C$233,0))-VALUE(MID(CD233,FIND("|",CD233)+1,FIND("-",CD233,FIND("|",CD233))-FIND("|",CD233)-1))),ABS(INDEX($Q$232:$Q$233,MATCH(LEFT(CD233,FIND("·",CD233)-1),$C$232:$C$233,0))-(VALUE(MID(CD233,FIND("|",CD233)+1,FIND("-",CD233,FIND("|",CD233))-FIND("|",CD233)-1))-VALUE(MID(CD233,FIND("-",CD233,FIND("|",CD233))+1,10)))))*$D$50)))))*INDEX($I$232:$I$233,MATCH(LEFT(CD233,FIND("·",CD233)-1),$C$232:$C$233,0)),0),0),0)</f>
        <v>0</v>
      </c>
      <c r="CF233" s="110"/>
      <c r="CG233" s="80" t="s">
        <v>2517</v>
      </c>
      <c r="CH233" s="81">
        <f t="shared" ref="CH233" si="1569">IFERROR(IF(COUNTIF($K$232:$K$233,LEFT(CG233,FIND("·",CG233)-1))&gt;0,IF(INDEX($L$232:$L$233,MATCH(LEFT(CG233,FIND("·",CG233)-1),$K$232:$K$233,0))=IFERROR(VALUE(MID(CG233,FIND("·",CG233)+1,1)),0),($D$28+(INDEX($M$232:$M$233,MATCH(LEFT(CG233,FIND("·",CG233)-1),$K$232:$K$233,0))=MID(CG233,FIND("|",CG233)+1,10))*$D$30+MAX(0,IF($D$50=1,$D$29*(1-(ABS(INDEX($P$232:$P$233,MATCH(LEFT(CG233,FIND("·",CG233)-1),$K$232:$K$233,0))-(VALUE(MID(CG233,FIND("|",CG233)+1,FIND("-",CG233,FIND("|",CG233))-FIND("|",CG233)-1))-VALUE(MID(CG233,FIND("-",CG233,FIND("|",CG233))+1,10)))))*$D$50),$D$29*(1-(IF(INDEX($L$232:$L$233,MATCH(LEFT(CG233,FIND("·",CG233)-1),$K$232:$K$233,0))=0,ABS(INDEX($N$232:$N$233,MATCH(LEFT(CG233,FIND("·",CG233)-1),$K$232:$K$233,0))-VALUE(MID(CG233,FIND("|",CG233)+1,FIND("-",CG233,FIND("|",CG233))-FIND("|",CG233)-1))),ABS(INDEX($P$232:$P$233,MATCH(LEFT(CG233,FIND("·",CG233)-1),$K$232:$K$233,0))-(VALUE(MID(CG233,FIND("|",CG233)+1,FIND("-",CG233,FIND("|",CG233))-FIND("|",CG233)-1))-VALUE(MID(CG233,FIND("-",CG233,FIND("|",CG233))+1,10)))))*$D$50)))))*INDEX($I$232:$I$233,MATCH(LEFT(CG233,FIND("·",CG233)-1),$K$232:$K$233,0)),0),0),0)+IFERROR(IF(COUNTIF($C$232:$C$233,LEFT(CG233,FIND("·",CG233)-1))&gt;0,IF(INDEX($D$232:$D$233,MATCH(LEFT(CG233,FIND("·",CG233)-1),$C$232:$C$233,0))=IFERROR(VALUE(MID(CG233,FIND("·",CG233)+1,1)),0),($D$28+(INDEX($E$232:$E$233,MATCH(LEFT(CG233,FIND("·",CG233)-1),$C$232:$C$233,0))=MID(CG233,FIND("|",CG233)+1,10))*$D$30+MAX(0,IF($D$50=1,$D$29*(1-(ABS(INDEX($Q$232:$Q$233,MATCH(LEFT(CG233,FIND("·",CG233)-1),$C$232:$C$233,0))-(VALUE(MID(CG233,FIND("|",CG233)+1,FIND("-",CG233,FIND("|",CG233))-FIND("|",CG233)-1))-VALUE(MID(CG233,FIND("-",CG233,FIND("|",CG233))+1,10)))))*$D$50),$D$29*(1-(IF(INDEX($D$232:$D$233,MATCH(LEFT(CG233,FIND("·",CG233)-1),$C$232:$C$233,0))=0,ABS(INDEX($A$232:$A$233,MATCH(LEFT(CG233,FIND("·",CG233)-1),$C$232:$C$233,0))-VALUE(MID(CG233,FIND("|",CG233)+1,FIND("-",CG233,FIND("|",CG233))-FIND("|",CG233)-1))),ABS(INDEX($Q$232:$Q$233,MATCH(LEFT(CG233,FIND("·",CG233)-1),$C$232:$C$233,0))-(VALUE(MID(CG233,FIND("|",CG233)+1,FIND("-",CG233,FIND("|",CG233))-FIND("|",CG233)-1))-VALUE(MID(CG233,FIND("-",CG233,FIND("|",CG233))+1,10)))))*$D$50)))))*INDEX($I$232:$I$233,MATCH(LEFT(CG233,FIND("·",CG233)-1),$C$232:$C$233,0)),0),0),0)</f>
        <v>0</v>
      </c>
      <c r="CI233" s="110"/>
      <c r="CJ233" s="80" t="s">
        <v>2210</v>
      </c>
      <c r="CK233" s="81">
        <f t="shared" ref="CK233" si="1570">IFERROR(IF(COUNTIF($K$232:$K$233,LEFT(CJ233,FIND("·",CJ233)-1))&gt;0,IF(INDEX($L$232:$L$233,MATCH(LEFT(CJ233,FIND("·",CJ233)-1),$K$232:$K$233,0))=IFERROR(VALUE(MID(CJ233,FIND("·",CJ233)+1,1)),0),($D$28+(INDEX($M$232:$M$233,MATCH(LEFT(CJ233,FIND("·",CJ233)-1),$K$232:$K$233,0))=MID(CJ233,FIND("|",CJ233)+1,10))*$D$30+MAX(0,IF($D$50=1,$D$29*(1-(ABS(INDEX($P$232:$P$233,MATCH(LEFT(CJ233,FIND("·",CJ233)-1),$K$232:$K$233,0))-(VALUE(MID(CJ233,FIND("|",CJ233)+1,FIND("-",CJ233,FIND("|",CJ233))-FIND("|",CJ233)-1))-VALUE(MID(CJ233,FIND("-",CJ233,FIND("|",CJ233))+1,10)))))*$D$50),$D$29*(1-(IF(INDEX($L$232:$L$233,MATCH(LEFT(CJ233,FIND("·",CJ233)-1),$K$232:$K$233,0))=0,ABS(INDEX($N$232:$N$233,MATCH(LEFT(CJ233,FIND("·",CJ233)-1),$K$232:$K$233,0))-VALUE(MID(CJ233,FIND("|",CJ233)+1,FIND("-",CJ233,FIND("|",CJ233))-FIND("|",CJ233)-1))),ABS(INDEX($P$232:$P$233,MATCH(LEFT(CJ233,FIND("·",CJ233)-1),$K$232:$K$233,0))-(VALUE(MID(CJ233,FIND("|",CJ233)+1,FIND("-",CJ233,FIND("|",CJ233))-FIND("|",CJ233)-1))-VALUE(MID(CJ233,FIND("-",CJ233,FIND("|",CJ233))+1,10)))))*$D$50)))))*INDEX($I$232:$I$233,MATCH(LEFT(CJ233,FIND("·",CJ233)-1),$K$232:$K$233,0)),0),0),0)+IFERROR(IF(COUNTIF($C$232:$C$233,LEFT(CJ233,FIND("·",CJ233)-1))&gt;0,IF(INDEX($D$232:$D$233,MATCH(LEFT(CJ233,FIND("·",CJ233)-1),$C$232:$C$233,0))=IFERROR(VALUE(MID(CJ233,FIND("·",CJ233)+1,1)),0),($D$28+(INDEX($E$232:$E$233,MATCH(LEFT(CJ233,FIND("·",CJ233)-1),$C$232:$C$233,0))=MID(CJ233,FIND("|",CJ233)+1,10))*$D$30+MAX(0,IF($D$50=1,$D$29*(1-(ABS(INDEX($Q$232:$Q$233,MATCH(LEFT(CJ233,FIND("·",CJ233)-1),$C$232:$C$233,0))-(VALUE(MID(CJ233,FIND("|",CJ233)+1,FIND("-",CJ233,FIND("|",CJ233))-FIND("|",CJ233)-1))-VALUE(MID(CJ233,FIND("-",CJ233,FIND("|",CJ233))+1,10)))))*$D$50),$D$29*(1-(IF(INDEX($D$232:$D$233,MATCH(LEFT(CJ233,FIND("·",CJ233)-1),$C$232:$C$233,0))=0,ABS(INDEX($A$232:$A$233,MATCH(LEFT(CJ233,FIND("·",CJ233)-1),$C$232:$C$233,0))-VALUE(MID(CJ233,FIND("|",CJ233)+1,FIND("-",CJ233,FIND("|",CJ233))-FIND("|",CJ233)-1))),ABS(INDEX($Q$232:$Q$233,MATCH(LEFT(CJ233,FIND("·",CJ233)-1),$C$232:$C$233,0))-(VALUE(MID(CJ233,FIND("|",CJ233)+1,FIND("-",CJ233,FIND("|",CJ233))-FIND("|",CJ233)-1))-VALUE(MID(CJ233,FIND("-",CJ233,FIND("|",CJ233))+1,10)))))*$D$50)))))*INDEX($I$232:$I$233,MATCH(LEFT(CJ233,FIND("·",CJ233)-1),$C$232:$C$233,0)),0),0),0)</f>
        <v>0</v>
      </c>
      <c r="CL233" s="110"/>
      <c r="CM233" s="80" t="s">
        <v>2546</v>
      </c>
      <c r="CN233" s="81">
        <f t="shared" ref="CN233" si="1571">IFERROR(IF(COUNTIF($K$232:$K$233,LEFT(CM233,FIND("·",CM233)-1))&gt;0,IF(INDEX($L$232:$L$233,MATCH(LEFT(CM233,FIND("·",CM233)-1),$K$232:$K$233,0))=IFERROR(VALUE(MID(CM233,FIND("·",CM233)+1,1)),0),($D$28+(INDEX($M$232:$M$233,MATCH(LEFT(CM233,FIND("·",CM233)-1),$K$232:$K$233,0))=MID(CM233,FIND("|",CM233)+1,10))*$D$30+MAX(0,IF($D$50=1,$D$29*(1-(ABS(INDEX($P$232:$P$233,MATCH(LEFT(CM233,FIND("·",CM233)-1),$K$232:$K$233,0))-(VALUE(MID(CM233,FIND("|",CM233)+1,FIND("-",CM233,FIND("|",CM233))-FIND("|",CM233)-1))-VALUE(MID(CM233,FIND("-",CM233,FIND("|",CM233))+1,10)))))*$D$50),$D$29*(1-(IF(INDEX($L$232:$L$233,MATCH(LEFT(CM233,FIND("·",CM233)-1),$K$232:$K$233,0))=0,ABS(INDEX($N$232:$N$233,MATCH(LEFT(CM233,FIND("·",CM233)-1),$K$232:$K$233,0))-VALUE(MID(CM233,FIND("|",CM233)+1,FIND("-",CM233,FIND("|",CM233))-FIND("|",CM233)-1))),ABS(INDEX($P$232:$P$233,MATCH(LEFT(CM233,FIND("·",CM233)-1),$K$232:$K$233,0))-(VALUE(MID(CM233,FIND("|",CM233)+1,FIND("-",CM233,FIND("|",CM233))-FIND("|",CM233)-1))-VALUE(MID(CM233,FIND("-",CM233,FIND("|",CM233))+1,10)))))*$D$50)))))*INDEX($I$232:$I$233,MATCH(LEFT(CM233,FIND("·",CM233)-1),$K$232:$K$233,0)),0),0),0)+IFERROR(IF(COUNTIF($C$232:$C$233,LEFT(CM233,FIND("·",CM233)-1))&gt;0,IF(INDEX($D$232:$D$233,MATCH(LEFT(CM233,FIND("·",CM233)-1),$C$232:$C$233,0))=IFERROR(VALUE(MID(CM233,FIND("·",CM233)+1,1)),0),($D$28+(INDEX($E$232:$E$233,MATCH(LEFT(CM233,FIND("·",CM233)-1),$C$232:$C$233,0))=MID(CM233,FIND("|",CM233)+1,10))*$D$30+MAX(0,IF($D$50=1,$D$29*(1-(ABS(INDEX($Q$232:$Q$233,MATCH(LEFT(CM233,FIND("·",CM233)-1),$C$232:$C$233,0))-(VALUE(MID(CM233,FIND("|",CM233)+1,FIND("-",CM233,FIND("|",CM233))-FIND("|",CM233)-1))-VALUE(MID(CM233,FIND("-",CM233,FIND("|",CM233))+1,10)))))*$D$50),$D$29*(1-(IF(INDEX($D$232:$D$233,MATCH(LEFT(CM233,FIND("·",CM233)-1),$C$232:$C$233,0))=0,ABS(INDEX($A$232:$A$233,MATCH(LEFT(CM233,FIND("·",CM233)-1),$C$232:$C$233,0))-VALUE(MID(CM233,FIND("|",CM233)+1,FIND("-",CM233,FIND("|",CM233))-FIND("|",CM233)-1))),ABS(INDEX($Q$232:$Q$233,MATCH(LEFT(CM233,FIND("·",CM233)-1),$C$232:$C$233,0))-(VALUE(MID(CM233,FIND("|",CM233)+1,FIND("-",CM233,FIND("|",CM233))-FIND("|",CM233)-1))-VALUE(MID(CM233,FIND("-",CM233,FIND("|",CM233))+1,10)))))*$D$50)))))*INDEX($I$232:$I$233,MATCH(LEFT(CM233,FIND("·",CM233)-1),$C$232:$C$233,0)),0),0),0)</f>
        <v>0</v>
      </c>
      <c r="CO233" s="110"/>
      <c r="CP233" s="80" t="s">
        <v>2284</v>
      </c>
      <c r="CQ233" s="81">
        <f t="shared" ref="CQ233" si="1572">IFERROR(IF(COUNTIF($K$232:$K$233,LEFT(CP233,FIND("·",CP233)-1))&gt;0,IF(INDEX($L$232:$L$233,MATCH(LEFT(CP233,FIND("·",CP233)-1),$K$232:$K$233,0))=IFERROR(VALUE(MID(CP233,FIND("·",CP233)+1,1)),0),($D$28+(INDEX($M$232:$M$233,MATCH(LEFT(CP233,FIND("·",CP233)-1),$K$232:$K$233,0))=MID(CP233,FIND("|",CP233)+1,10))*$D$30+MAX(0,IF($D$50=1,$D$29*(1-(ABS(INDEX($P$232:$P$233,MATCH(LEFT(CP233,FIND("·",CP233)-1),$K$232:$K$233,0))-(VALUE(MID(CP233,FIND("|",CP233)+1,FIND("-",CP233,FIND("|",CP233))-FIND("|",CP233)-1))-VALUE(MID(CP233,FIND("-",CP233,FIND("|",CP233))+1,10)))))*$D$50),$D$29*(1-(IF(INDEX($L$232:$L$233,MATCH(LEFT(CP233,FIND("·",CP233)-1),$K$232:$K$233,0))=0,ABS(INDEX($N$232:$N$233,MATCH(LEFT(CP233,FIND("·",CP233)-1),$K$232:$K$233,0))-VALUE(MID(CP233,FIND("|",CP233)+1,FIND("-",CP233,FIND("|",CP233))-FIND("|",CP233)-1))),ABS(INDEX($P$232:$P$233,MATCH(LEFT(CP233,FIND("·",CP233)-1),$K$232:$K$233,0))-(VALUE(MID(CP233,FIND("|",CP233)+1,FIND("-",CP233,FIND("|",CP233))-FIND("|",CP233)-1))-VALUE(MID(CP233,FIND("-",CP233,FIND("|",CP233))+1,10)))))*$D$50)))))*INDEX($I$232:$I$233,MATCH(LEFT(CP233,FIND("·",CP233)-1),$K$232:$K$233,0)),0),0),0)+IFERROR(IF(COUNTIF($C$232:$C$233,LEFT(CP233,FIND("·",CP233)-1))&gt;0,IF(INDEX($D$232:$D$233,MATCH(LEFT(CP233,FIND("·",CP233)-1),$C$232:$C$233,0))=IFERROR(VALUE(MID(CP233,FIND("·",CP233)+1,1)),0),($D$28+(INDEX($E$232:$E$233,MATCH(LEFT(CP233,FIND("·",CP233)-1),$C$232:$C$233,0))=MID(CP233,FIND("|",CP233)+1,10))*$D$30+MAX(0,IF($D$50=1,$D$29*(1-(ABS(INDEX($Q$232:$Q$233,MATCH(LEFT(CP233,FIND("·",CP233)-1),$C$232:$C$233,0))-(VALUE(MID(CP233,FIND("|",CP233)+1,FIND("-",CP233,FIND("|",CP233))-FIND("|",CP233)-1))-VALUE(MID(CP233,FIND("-",CP233,FIND("|",CP233))+1,10)))))*$D$50),$D$29*(1-(IF(INDEX($D$232:$D$233,MATCH(LEFT(CP233,FIND("·",CP233)-1),$C$232:$C$233,0))=0,ABS(INDEX($A$232:$A$233,MATCH(LEFT(CP233,FIND("·",CP233)-1),$C$232:$C$233,0))-VALUE(MID(CP233,FIND("|",CP233)+1,FIND("-",CP233,FIND("|",CP233))-FIND("|",CP233)-1))),ABS(INDEX($Q$232:$Q$233,MATCH(LEFT(CP233,FIND("·",CP233)-1),$C$232:$C$233,0))-(VALUE(MID(CP233,FIND("|",CP233)+1,FIND("-",CP233,FIND("|",CP233))-FIND("|",CP233)-1))-VALUE(MID(CP233,FIND("-",CP233,FIND("|",CP233))+1,10)))))*$D$50)))))*INDEX($I$232:$I$233,MATCH(LEFT(CP233,FIND("·",CP233)-1),$C$232:$C$233,0)),0),0),0)</f>
        <v>0</v>
      </c>
      <c r="CR233" s="110"/>
      <c r="CS233" s="80" t="s">
        <v>2567</v>
      </c>
      <c r="CT233" s="81">
        <f t="shared" ref="CT233" si="1573">IFERROR(IF(COUNTIF($K$232:$K$233,LEFT(CS233,FIND("·",CS233)-1))&gt;0,IF(INDEX($L$232:$L$233,MATCH(LEFT(CS233,FIND("·",CS233)-1),$K$232:$K$233,0))=IFERROR(VALUE(MID(CS233,FIND("·",CS233)+1,1)),0),($D$28+(INDEX($M$232:$M$233,MATCH(LEFT(CS233,FIND("·",CS233)-1),$K$232:$K$233,0))=MID(CS233,FIND("|",CS233)+1,10))*$D$30+MAX(0,IF($D$50=1,$D$29*(1-(ABS(INDEX($P$232:$P$233,MATCH(LEFT(CS233,FIND("·",CS233)-1),$K$232:$K$233,0))-(VALUE(MID(CS233,FIND("|",CS233)+1,FIND("-",CS233,FIND("|",CS233))-FIND("|",CS233)-1))-VALUE(MID(CS233,FIND("-",CS233,FIND("|",CS233))+1,10)))))*$D$50),$D$29*(1-(IF(INDEX($L$232:$L$233,MATCH(LEFT(CS233,FIND("·",CS233)-1),$K$232:$K$233,0))=0,ABS(INDEX($N$232:$N$233,MATCH(LEFT(CS233,FIND("·",CS233)-1),$K$232:$K$233,0))-VALUE(MID(CS233,FIND("|",CS233)+1,FIND("-",CS233,FIND("|",CS233))-FIND("|",CS233)-1))),ABS(INDEX($P$232:$P$233,MATCH(LEFT(CS233,FIND("·",CS233)-1),$K$232:$K$233,0))-(VALUE(MID(CS233,FIND("|",CS233)+1,FIND("-",CS233,FIND("|",CS233))-FIND("|",CS233)-1))-VALUE(MID(CS233,FIND("-",CS233,FIND("|",CS233))+1,10)))))*$D$50)))))*INDEX($I$232:$I$233,MATCH(LEFT(CS233,FIND("·",CS233)-1),$K$232:$K$233,0)),0),0),0)+IFERROR(IF(COUNTIF($C$232:$C$233,LEFT(CS233,FIND("·",CS233)-1))&gt;0,IF(INDEX($D$232:$D$233,MATCH(LEFT(CS233,FIND("·",CS233)-1),$C$232:$C$233,0))=IFERROR(VALUE(MID(CS233,FIND("·",CS233)+1,1)),0),($D$28+(INDEX($E$232:$E$233,MATCH(LEFT(CS233,FIND("·",CS233)-1),$C$232:$C$233,0))=MID(CS233,FIND("|",CS233)+1,10))*$D$30+MAX(0,IF($D$50=1,$D$29*(1-(ABS(INDEX($Q$232:$Q$233,MATCH(LEFT(CS233,FIND("·",CS233)-1),$C$232:$C$233,0))-(VALUE(MID(CS233,FIND("|",CS233)+1,FIND("-",CS233,FIND("|",CS233))-FIND("|",CS233)-1))-VALUE(MID(CS233,FIND("-",CS233,FIND("|",CS233))+1,10)))))*$D$50),$D$29*(1-(IF(INDEX($D$232:$D$233,MATCH(LEFT(CS233,FIND("·",CS233)-1),$C$232:$C$233,0))=0,ABS(INDEX($A$232:$A$233,MATCH(LEFT(CS233,FIND("·",CS233)-1),$C$232:$C$233,0))-VALUE(MID(CS233,FIND("|",CS233)+1,FIND("-",CS233,FIND("|",CS233))-FIND("|",CS233)-1))),ABS(INDEX($Q$232:$Q$233,MATCH(LEFT(CS233,FIND("·",CS233)-1),$C$232:$C$233,0))-(VALUE(MID(CS233,FIND("|",CS233)+1,FIND("-",CS233,FIND("|",CS233))-FIND("|",CS233)-1))-VALUE(MID(CS233,FIND("-",CS233,FIND("|",CS233))+1,10)))))*$D$50)))))*INDEX($I$232:$I$233,MATCH(LEFT(CS233,FIND("·",CS233)-1),$C$232:$C$233,0)),0),0),0)</f>
        <v>0</v>
      </c>
      <c r="CU233" s="110"/>
      <c r="CV233" s="80" t="s">
        <v>2578</v>
      </c>
      <c r="CW233" s="81">
        <f t="shared" ref="CW233" si="1574">IFERROR(IF(COUNTIF($K$232:$K$233,LEFT(CV233,FIND("·",CV233)-1))&gt;0,IF(INDEX($L$232:$L$233,MATCH(LEFT(CV233,FIND("·",CV233)-1),$K$232:$K$233,0))=IFERROR(VALUE(MID(CV233,FIND("·",CV233)+1,1)),0),($D$28+(INDEX($M$232:$M$233,MATCH(LEFT(CV233,FIND("·",CV233)-1),$K$232:$K$233,0))=MID(CV233,FIND("|",CV233)+1,10))*$D$30+MAX(0,IF($D$50=1,$D$29*(1-(ABS(INDEX($P$232:$P$233,MATCH(LEFT(CV233,FIND("·",CV233)-1),$K$232:$K$233,0))-(VALUE(MID(CV233,FIND("|",CV233)+1,FIND("-",CV233,FIND("|",CV233))-FIND("|",CV233)-1))-VALUE(MID(CV233,FIND("-",CV233,FIND("|",CV233))+1,10)))))*$D$50),$D$29*(1-(IF(INDEX($L$232:$L$233,MATCH(LEFT(CV233,FIND("·",CV233)-1),$K$232:$K$233,0))=0,ABS(INDEX($N$232:$N$233,MATCH(LEFT(CV233,FIND("·",CV233)-1),$K$232:$K$233,0))-VALUE(MID(CV233,FIND("|",CV233)+1,FIND("-",CV233,FIND("|",CV233))-FIND("|",CV233)-1))),ABS(INDEX($P$232:$P$233,MATCH(LEFT(CV233,FIND("·",CV233)-1),$K$232:$K$233,0))-(VALUE(MID(CV233,FIND("|",CV233)+1,FIND("-",CV233,FIND("|",CV233))-FIND("|",CV233)-1))-VALUE(MID(CV233,FIND("-",CV233,FIND("|",CV233))+1,10)))))*$D$50)))))*INDEX($I$232:$I$233,MATCH(LEFT(CV233,FIND("·",CV233)-1),$K$232:$K$233,0)),0),0),0)+IFERROR(IF(COUNTIF($C$232:$C$233,LEFT(CV233,FIND("·",CV233)-1))&gt;0,IF(INDEX($D$232:$D$233,MATCH(LEFT(CV233,FIND("·",CV233)-1),$C$232:$C$233,0))=IFERROR(VALUE(MID(CV233,FIND("·",CV233)+1,1)),0),($D$28+(INDEX($E$232:$E$233,MATCH(LEFT(CV233,FIND("·",CV233)-1),$C$232:$C$233,0))=MID(CV233,FIND("|",CV233)+1,10))*$D$30+MAX(0,IF($D$50=1,$D$29*(1-(ABS(INDEX($Q$232:$Q$233,MATCH(LEFT(CV233,FIND("·",CV233)-1),$C$232:$C$233,0))-(VALUE(MID(CV233,FIND("|",CV233)+1,FIND("-",CV233,FIND("|",CV233))-FIND("|",CV233)-1))-VALUE(MID(CV233,FIND("-",CV233,FIND("|",CV233))+1,10)))))*$D$50),$D$29*(1-(IF(INDEX($D$232:$D$233,MATCH(LEFT(CV233,FIND("·",CV233)-1),$C$232:$C$233,0))=0,ABS(INDEX($A$232:$A$233,MATCH(LEFT(CV233,FIND("·",CV233)-1),$C$232:$C$233,0))-VALUE(MID(CV233,FIND("|",CV233)+1,FIND("-",CV233,FIND("|",CV233))-FIND("|",CV233)-1))),ABS(INDEX($Q$232:$Q$233,MATCH(LEFT(CV233,FIND("·",CV233)-1),$C$232:$C$233,0))-(VALUE(MID(CV233,FIND("|",CV233)+1,FIND("-",CV233,FIND("|",CV233))-FIND("|",CV233)-1))-VALUE(MID(CV233,FIND("-",CV233,FIND("|",CV233))+1,10)))))*$D$50)))))*INDEX($I$232:$I$233,MATCH(LEFT(CV233,FIND("·",CV233)-1),$C$232:$C$233,0)),0),0),0)</f>
        <v>0</v>
      </c>
      <c r="CX233" s="110"/>
      <c r="CY233" s="80" t="s">
        <v>1993</v>
      </c>
      <c r="CZ233" s="81">
        <f t="shared" ref="CZ233" si="1575">IFERROR(IF(COUNTIF($K$232:$K$233,LEFT(CY233,FIND("·",CY233)-1))&gt;0,IF(INDEX($L$232:$L$233,MATCH(LEFT(CY233,FIND("·",CY233)-1),$K$232:$K$233,0))=IFERROR(VALUE(MID(CY233,FIND("·",CY233)+1,1)),0),($D$28+(INDEX($M$232:$M$233,MATCH(LEFT(CY233,FIND("·",CY233)-1),$K$232:$K$233,0))=MID(CY233,FIND("|",CY233)+1,10))*$D$30+MAX(0,IF($D$50=1,$D$29*(1-(ABS(INDEX($P$232:$P$233,MATCH(LEFT(CY233,FIND("·",CY233)-1),$K$232:$K$233,0))-(VALUE(MID(CY233,FIND("|",CY233)+1,FIND("-",CY233,FIND("|",CY233))-FIND("|",CY233)-1))-VALUE(MID(CY233,FIND("-",CY233,FIND("|",CY233))+1,10)))))*$D$50),$D$29*(1-(IF(INDEX($L$232:$L$233,MATCH(LEFT(CY233,FIND("·",CY233)-1),$K$232:$K$233,0))=0,ABS(INDEX($N$232:$N$233,MATCH(LEFT(CY233,FIND("·",CY233)-1),$K$232:$K$233,0))-VALUE(MID(CY233,FIND("|",CY233)+1,FIND("-",CY233,FIND("|",CY233))-FIND("|",CY233)-1))),ABS(INDEX($P$232:$P$233,MATCH(LEFT(CY233,FIND("·",CY233)-1),$K$232:$K$233,0))-(VALUE(MID(CY233,FIND("|",CY233)+1,FIND("-",CY233,FIND("|",CY233))-FIND("|",CY233)-1))-VALUE(MID(CY233,FIND("-",CY233,FIND("|",CY233))+1,10)))))*$D$50)))))*INDEX($I$232:$I$233,MATCH(LEFT(CY233,FIND("·",CY233)-1),$K$232:$K$233,0)),0),0),0)+IFERROR(IF(COUNTIF($C$232:$C$233,LEFT(CY233,FIND("·",CY233)-1))&gt;0,IF(INDEX($D$232:$D$233,MATCH(LEFT(CY233,FIND("·",CY233)-1),$C$232:$C$233,0))=IFERROR(VALUE(MID(CY233,FIND("·",CY233)+1,1)),0),($D$28+(INDEX($E$232:$E$233,MATCH(LEFT(CY233,FIND("·",CY233)-1),$C$232:$C$233,0))=MID(CY233,FIND("|",CY233)+1,10))*$D$30+MAX(0,IF($D$50=1,$D$29*(1-(ABS(INDEX($Q$232:$Q$233,MATCH(LEFT(CY233,FIND("·",CY233)-1),$C$232:$C$233,0))-(VALUE(MID(CY233,FIND("|",CY233)+1,FIND("-",CY233,FIND("|",CY233))-FIND("|",CY233)-1))-VALUE(MID(CY233,FIND("-",CY233,FIND("|",CY233))+1,10)))))*$D$50),$D$29*(1-(IF(INDEX($D$232:$D$233,MATCH(LEFT(CY233,FIND("·",CY233)-1),$C$232:$C$233,0))=0,ABS(INDEX($A$232:$A$233,MATCH(LEFT(CY233,FIND("·",CY233)-1),$C$232:$C$233,0))-VALUE(MID(CY233,FIND("|",CY233)+1,FIND("-",CY233,FIND("|",CY233))-FIND("|",CY233)-1))),ABS(INDEX($Q$232:$Q$233,MATCH(LEFT(CY233,FIND("·",CY233)-1),$C$232:$C$233,0))-(VALUE(MID(CY233,FIND("|",CY233)+1,FIND("-",CY233,FIND("|",CY233))-FIND("|",CY233)-1))-VALUE(MID(CY233,FIND("-",CY233,FIND("|",CY233))+1,10)))))*$D$50)))))*INDEX($I$232:$I$233,MATCH(LEFT(CY233,FIND("·",CY233)-1),$C$232:$C$233,0)),0),0),0)</f>
        <v>0</v>
      </c>
      <c r="DA233" s="110"/>
      <c r="DB233" s="80" t="s">
        <v>2617</v>
      </c>
      <c r="DC233" s="81">
        <f t="shared" ref="DC233" si="1576">IFERROR(IF(COUNTIF($K$232:$K$233,LEFT(DB233,FIND("·",DB233)-1))&gt;0,IF(INDEX($L$232:$L$233,MATCH(LEFT(DB233,FIND("·",DB233)-1),$K$232:$K$233,0))=IFERROR(VALUE(MID(DB233,FIND("·",DB233)+1,1)),0),($D$28+(INDEX($M$232:$M$233,MATCH(LEFT(DB233,FIND("·",DB233)-1),$K$232:$K$233,0))=MID(DB233,FIND("|",DB233)+1,10))*$D$30+MAX(0,IF($D$50=1,$D$29*(1-(ABS(INDEX($P$232:$P$233,MATCH(LEFT(DB233,FIND("·",DB233)-1),$K$232:$K$233,0))-(VALUE(MID(DB233,FIND("|",DB233)+1,FIND("-",DB233,FIND("|",DB233))-FIND("|",DB233)-1))-VALUE(MID(DB233,FIND("-",DB233,FIND("|",DB233))+1,10)))))*$D$50),$D$29*(1-(IF(INDEX($L$232:$L$233,MATCH(LEFT(DB233,FIND("·",DB233)-1),$K$232:$K$233,0))=0,ABS(INDEX($N$232:$N$233,MATCH(LEFT(DB233,FIND("·",DB233)-1),$K$232:$K$233,0))-VALUE(MID(DB233,FIND("|",DB233)+1,FIND("-",DB233,FIND("|",DB233))-FIND("|",DB233)-1))),ABS(INDEX($P$232:$P$233,MATCH(LEFT(DB233,FIND("·",DB233)-1),$K$232:$K$233,0))-(VALUE(MID(DB233,FIND("|",DB233)+1,FIND("-",DB233,FIND("|",DB233))-FIND("|",DB233)-1))-VALUE(MID(DB233,FIND("-",DB233,FIND("|",DB233))+1,10)))))*$D$50)))))*INDEX($I$232:$I$233,MATCH(LEFT(DB233,FIND("·",DB233)-1),$K$232:$K$233,0)),0),0),0)+IFERROR(IF(COUNTIF($C$232:$C$233,LEFT(DB233,FIND("·",DB233)-1))&gt;0,IF(INDEX($D$232:$D$233,MATCH(LEFT(DB233,FIND("·",DB233)-1),$C$232:$C$233,0))=IFERROR(VALUE(MID(DB233,FIND("·",DB233)+1,1)),0),($D$28+(INDEX($E$232:$E$233,MATCH(LEFT(DB233,FIND("·",DB233)-1),$C$232:$C$233,0))=MID(DB233,FIND("|",DB233)+1,10))*$D$30+MAX(0,IF($D$50=1,$D$29*(1-(ABS(INDEX($Q$232:$Q$233,MATCH(LEFT(DB233,FIND("·",DB233)-1),$C$232:$C$233,0))-(VALUE(MID(DB233,FIND("|",DB233)+1,FIND("-",DB233,FIND("|",DB233))-FIND("|",DB233)-1))-VALUE(MID(DB233,FIND("-",DB233,FIND("|",DB233))+1,10)))))*$D$50),$D$29*(1-(IF(INDEX($D$232:$D$233,MATCH(LEFT(DB233,FIND("·",DB233)-1),$C$232:$C$233,0))=0,ABS(INDEX($A$232:$A$233,MATCH(LEFT(DB233,FIND("·",DB233)-1),$C$232:$C$233,0))-VALUE(MID(DB233,FIND("|",DB233)+1,FIND("-",DB233,FIND("|",DB233))-FIND("|",DB233)-1))),ABS(INDEX($Q$232:$Q$233,MATCH(LEFT(DB233,FIND("·",DB233)-1),$C$232:$C$233,0))-(VALUE(MID(DB233,FIND("|",DB233)+1,FIND("-",DB233,FIND("|",DB233))-FIND("|",DB233)-1))-VALUE(MID(DB233,FIND("-",DB233,FIND("|",DB233))+1,10)))))*$D$50)))))*INDEX($I$232:$I$233,MATCH(LEFT(DB233,FIND("·",DB233)-1),$C$232:$C$233,0)),0),0),0)</f>
        <v>0</v>
      </c>
      <c r="DD233" s="110"/>
      <c r="DE233" s="80" t="s">
        <v>2635</v>
      </c>
      <c r="DF233" s="81">
        <f t="shared" ref="DF233" si="1577">IFERROR(IF(COUNTIF($K$232:$K$233,LEFT(DE233,FIND("·",DE233)-1))&gt;0,IF(INDEX($L$232:$L$233,MATCH(LEFT(DE233,FIND("·",DE233)-1),$K$232:$K$233,0))=IFERROR(VALUE(MID(DE233,FIND("·",DE233)+1,1)),0),($D$28+(INDEX($M$232:$M$233,MATCH(LEFT(DE233,FIND("·",DE233)-1),$K$232:$K$233,0))=MID(DE233,FIND("|",DE233)+1,10))*$D$30+MAX(0,IF($D$50=1,$D$29*(1-(ABS(INDEX($P$232:$P$233,MATCH(LEFT(DE233,FIND("·",DE233)-1),$K$232:$K$233,0))-(VALUE(MID(DE233,FIND("|",DE233)+1,FIND("-",DE233,FIND("|",DE233))-FIND("|",DE233)-1))-VALUE(MID(DE233,FIND("-",DE233,FIND("|",DE233))+1,10)))))*$D$50),$D$29*(1-(IF(INDEX($L$232:$L$233,MATCH(LEFT(DE233,FIND("·",DE233)-1),$K$232:$K$233,0))=0,ABS(INDEX($N$232:$N$233,MATCH(LEFT(DE233,FIND("·",DE233)-1),$K$232:$K$233,0))-VALUE(MID(DE233,FIND("|",DE233)+1,FIND("-",DE233,FIND("|",DE233))-FIND("|",DE233)-1))),ABS(INDEX($P$232:$P$233,MATCH(LEFT(DE233,FIND("·",DE233)-1),$K$232:$K$233,0))-(VALUE(MID(DE233,FIND("|",DE233)+1,FIND("-",DE233,FIND("|",DE233))-FIND("|",DE233)-1))-VALUE(MID(DE233,FIND("-",DE233,FIND("|",DE233))+1,10)))))*$D$50)))))*INDEX($I$232:$I$233,MATCH(LEFT(DE233,FIND("·",DE233)-1),$K$232:$K$233,0)),0),0),0)+IFERROR(IF(COUNTIF($C$232:$C$233,LEFT(DE233,FIND("·",DE233)-1))&gt;0,IF(INDEX($D$232:$D$233,MATCH(LEFT(DE233,FIND("·",DE233)-1),$C$232:$C$233,0))=IFERROR(VALUE(MID(DE233,FIND("·",DE233)+1,1)),0),($D$28+(INDEX($E$232:$E$233,MATCH(LEFT(DE233,FIND("·",DE233)-1),$C$232:$C$233,0))=MID(DE233,FIND("|",DE233)+1,10))*$D$30+MAX(0,IF($D$50=1,$D$29*(1-(ABS(INDEX($Q$232:$Q$233,MATCH(LEFT(DE233,FIND("·",DE233)-1),$C$232:$C$233,0))-(VALUE(MID(DE233,FIND("|",DE233)+1,FIND("-",DE233,FIND("|",DE233))-FIND("|",DE233)-1))-VALUE(MID(DE233,FIND("-",DE233,FIND("|",DE233))+1,10)))))*$D$50),$D$29*(1-(IF(INDEX($D$232:$D$233,MATCH(LEFT(DE233,FIND("·",DE233)-1),$C$232:$C$233,0))=0,ABS(INDEX($A$232:$A$233,MATCH(LEFT(DE233,FIND("·",DE233)-1),$C$232:$C$233,0))-VALUE(MID(DE233,FIND("|",DE233)+1,FIND("-",DE233,FIND("|",DE233))-FIND("|",DE233)-1))),ABS(INDEX($Q$232:$Q$233,MATCH(LEFT(DE233,FIND("·",DE233)-1),$C$232:$C$233,0))-(VALUE(MID(DE233,FIND("|",DE233)+1,FIND("-",DE233,FIND("|",DE233))-FIND("|",DE233)-1))-VALUE(MID(DE233,FIND("-",DE233,FIND("|",DE233))+1,10)))))*$D$50)))))*INDEX($I$232:$I$233,MATCH(LEFT(DE233,FIND("·",DE233)-1),$C$232:$C$233,0)),0),0),0)</f>
        <v>0</v>
      </c>
      <c r="DG233" s="110"/>
      <c r="DH233" s="80" t="s">
        <v>2498</v>
      </c>
      <c r="DI233" s="81">
        <f t="shared" ref="DI233" si="1578">IFERROR(IF(COUNTIF($K$232:$K$233,LEFT(DH233,FIND("·",DH233)-1))&gt;0,IF(INDEX($L$232:$L$233,MATCH(LEFT(DH233,FIND("·",DH233)-1),$K$232:$K$233,0))=IFERROR(VALUE(MID(DH233,FIND("·",DH233)+1,1)),0),($D$28+(INDEX($M$232:$M$233,MATCH(LEFT(DH233,FIND("·",DH233)-1),$K$232:$K$233,0))=MID(DH233,FIND("|",DH233)+1,10))*$D$30+MAX(0,IF($D$50=1,$D$29*(1-(ABS(INDEX($P$232:$P$233,MATCH(LEFT(DH233,FIND("·",DH233)-1),$K$232:$K$233,0))-(VALUE(MID(DH233,FIND("|",DH233)+1,FIND("-",DH233,FIND("|",DH233))-FIND("|",DH233)-1))-VALUE(MID(DH233,FIND("-",DH233,FIND("|",DH233))+1,10)))))*$D$50),$D$29*(1-(IF(INDEX($L$232:$L$233,MATCH(LEFT(DH233,FIND("·",DH233)-1),$K$232:$K$233,0))=0,ABS(INDEX($N$232:$N$233,MATCH(LEFT(DH233,FIND("·",DH233)-1),$K$232:$K$233,0))-VALUE(MID(DH233,FIND("|",DH233)+1,FIND("-",DH233,FIND("|",DH233))-FIND("|",DH233)-1))),ABS(INDEX($P$232:$P$233,MATCH(LEFT(DH233,FIND("·",DH233)-1),$K$232:$K$233,0))-(VALUE(MID(DH233,FIND("|",DH233)+1,FIND("-",DH233,FIND("|",DH233))-FIND("|",DH233)-1))-VALUE(MID(DH233,FIND("-",DH233,FIND("|",DH233))+1,10)))))*$D$50)))))*INDEX($I$232:$I$233,MATCH(LEFT(DH233,FIND("·",DH233)-1),$K$232:$K$233,0)),0),0),0)+IFERROR(IF(COUNTIF($C$232:$C$233,LEFT(DH233,FIND("·",DH233)-1))&gt;0,IF(INDEX($D$232:$D$233,MATCH(LEFT(DH233,FIND("·",DH233)-1),$C$232:$C$233,0))=IFERROR(VALUE(MID(DH233,FIND("·",DH233)+1,1)),0),($D$28+(INDEX($E$232:$E$233,MATCH(LEFT(DH233,FIND("·",DH233)-1),$C$232:$C$233,0))=MID(DH233,FIND("|",DH233)+1,10))*$D$30+MAX(0,IF($D$50=1,$D$29*(1-(ABS(INDEX($Q$232:$Q$233,MATCH(LEFT(DH233,FIND("·",DH233)-1),$C$232:$C$233,0))-(VALUE(MID(DH233,FIND("|",DH233)+1,FIND("-",DH233,FIND("|",DH233))-FIND("|",DH233)-1))-VALUE(MID(DH233,FIND("-",DH233,FIND("|",DH233))+1,10)))))*$D$50),$D$29*(1-(IF(INDEX($D$232:$D$233,MATCH(LEFT(DH233,FIND("·",DH233)-1),$C$232:$C$233,0))=0,ABS(INDEX($A$232:$A$233,MATCH(LEFT(DH233,FIND("·",DH233)-1),$C$232:$C$233,0))-VALUE(MID(DH233,FIND("|",DH233)+1,FIND("-",DH233,FIND("|",DH233))-FIND("|",DH233)-1))),ABS(INDEX($Q$232:$Q$233,MATCH(LEFT(DH233,FIND("·",DH233)-1),$C$232:$C$233,0))-(VALUE(MID(DH233,FIND("|",DH233)+1,FIND("-",DH233,FIND("|",DH233))-FIND("|",DH233)-1))-VALUE(MID(DH233,FIND("-",DH233,FIND("|",DH233))+1,10)))))*$D$50)))))*INDEX($I$232:$I$233,MATCH(LEFT(DH233,FIND("·",DH233)-1),$C$232:$C$233,0)),0),0),0)</f>
        <v>0</v>
      </c>
      <c r="DJ233" s="110"/>
      <c r="DK233" s="80" t="s">
        <v>2062</v>
      </c>
      <c r="DL233" s="81">
        <f t="shared" ref="DL233" si="1579">IFERROR(IF(COUNTIF($K$232:$K$233,LEFT(DK233,FIND("·",DK233)-1))&gt;0,IF(INDEX($L$232:$L$233,MATCH(LEFT(DK233,FIND("·",DK233)-1),$K$232:$K$233,0))=IFERROR(VALUE(MID(DK233,FIND("·",DK233)+1,1)),0),($D$28+(INDEX($M$232:$M$233,MATCH(LEFT(DK233,FIND("·",DK233)-1),$K$232:$K$233,0))=MID(DK233,FIND("|",DK233)+1,10))*$D$30+MAX(0,IF($D$50=1,$D$29*(1-(ABS(INDEX($P$232:$P$233,MATCH(LEFT(DK233,FIND("·",DK233)-1),$K$232:$K$233,0))-(VALUE(MID(DK233,FIND("|",DK233)+1,FIND("-",DK233,FIND("|",DK233))-FIND("|",DK233)-1))-VALUE(MID(DK233,FIND("-",DK233,FIND("|",DK233))+1,10)))))*$D$50),$D$29*(1-(IF(INDEX($L$232:$L$233,MATCH(LEFT(DK233,FIND("·",DK233)-1),$K$232:$K$233,0))=0,ABS(INDEX($N$232:$N$233,MATCH(LEFT(DK233,FIND("·",DK233)-1),$K$232:$K$233,0))-VALUE(MID(DK233,FIND("|",DK233)+1,FIND("-",DK233,FIND("|",DK233))-FIND("|",DK233)-1))),ABS(INDEX($P$232:$P$233,MATCH(LEFT(DK233,FIND("·",DK233)-1),$K$232:$K$233,0))-(VALUE(MID(DK233,FIND("|",DK233)+1,FIND("-",DK233,FIND("|",DK233))-FIND("|",DK233)-1))-VALUE(MID(DK233,FIND("-",DK233,FIND("|",DK233))+1,10)))))*$D$50)))))*INDEX($I$232:$I$233,MATCH(LEFT(DK233,FIND("·",DK233)-1),$K$232:$K$233,0)),0),0),0)+IFERROR(IF(COUNTIF($C$232:$C$233,LEFT(DK233,FIND("·",DK233)-1))&gt;0,IF(INDEX($D$232:$D$233,MATCH(LEFT(DK233,FIND("·",DK233)-1),$C$232:$C$233,0))=IFERROR(VALUE(MID(DK233,FIND("·",DK233)+1,1)),0),($D$28+(INDEX($E$232:$E$233,MATCH(LEFT(DK233,FIND("·",DK233)-1),$C$232:$C$233,0))=MID(DK233,FIND("|",DK233)+1,10))*$D$30+MAX(0,IF($D$50=1,$D$29*(1-(ABS(INDEX($Q$232:$Q$233,MATCH(LEFT(DK233,FIND("·",DK233)-1),$C$232:$C$233,0))-(VALUE(MID(DK233,FIND("|",DK233)+1,FIND("-",DK233,FIND("|",DK233))-FIND("|",DK233)-1))-VALUE(MID(DK233,FIND("-",DK233,FIND("|",DK233))+1,10)))))*$D$50),$D$29*(1-(IF(INDEX($D$232:$D$233,MATCH(LEFT(DK233,FIND("·",DK233)-1),$C$232:$C$233,0))=0,ABS(INDEX($A$232:$A$233,MATCH(LEFT(DK233,FIND("·",DK233)-1),$C$232:$C$233,0))-VALUE(MID(DK233,FIND("|",DK233)+1,FIND("-",DK233,FIND("|",DK233))-FIND("|",DK233)-1))),ABS(INDEX($Q$232:$Q$233,MATCH(LEFT(DK233,FIND("·",DK233)-1),$C$232:$C$233,0))-(VALUE(MID(DK233,FIND("|",DK233)+1,FIND("-",DK233,FIND("|",DK233))-FIND("|",DK233)-1))-VALUE(MID(DK233,FIND("-",DK233,FIND("|",DK233))+1,10)))))*$D$50)))))*INDEX($I$232:$I$233,MATCH(LEFT(DK233,FIND("·",DK233)-1),$C$232:$C$233,0)),0),0),0)</f>
        <v>0</v>
      </c>
      <c r="DM233" s="110"/>
      <c r="DN233" s="797" t="s">
        <v>2498</v>
      </c>
      <c r="DO233" s="81">
        <f t="shared" ref="DO233" si="1580">IFERROR(IF(COUNTIF($K$232:$K$233,LEFT(DN233,FIND("·",DN233)-1))&gt;0,IF(INDEX($L$232:$L$233,MATCH(LEFT(DN233,FIND("·",DN233)-1),$K$232:$K$233,0))=IFERROR(VALUE(MID(DN233,FIND("·",DN233)+1,1)),0),($D$28+(INDEX($M$232:$M$233,MATCH(LEFT(DN233,FIND("·",DN233)-1),$K$232:$K$233,0))=MID(DN233,FIND("|",DN233)+1,10))*$D$30+MAX(0,IF($D$50=1,$D$29*(1-(ABS(INDEX($P$232:$P$233,MATCH(LEFT(DN233,FIND("·",DN233)-1),$K$232:$K$233,0))-(VALUE(MID(DN233,FIND("|",DN233)+1,FIND("-",DN233,FIND("|",DN233))-FIND("|",DN233)-1))-VALUE(MID(DN233,FIND("-",DN233,FIND("|",DN233))+1,10)))))*$D$50),$D$29*(1-(IF(INDEX($L$232:$L$233,MATCH(LEFT(DN233,FIND("·",DN233)-1),$K$232:$K$233,0))=0,ABS(INDEX($N$232:$N$233,MATCH(LEFT(DN233,FIND("·",DN233)-1),$K$232:$K$233,0))-VALUE(MID(DN233,FIND("|",DN233)+1,FIND("-",DN233,FIND("|",DN233))-FIND("|",DN233)-1))),ABS(INDEX($P$232:$P$233,MATCH(LEFT(DN233,FIND("·",DN233)-1),$K$232:$K$233,0))-(VALUE(MID(DN233,FIND("|",DN233)+1,FIND("-",DN233,FIND("|",DN233))-FIND("|",DN233)-1))-VALUE(MID(DN233,FIND("-",DN233,FIND("|",DN233))+1,10)))))*$D$50)))))*INDEX($I$232:$I$233,MATCH(LEFT(DN233,FIND("·",DN233)-1),$K$232:$K$233,0)),0),0),0)+IFERROR(IF(COUNTIF($C$232:$C$233,LEFT(DN233,FIND("·",DN233)-1))&gt;0,IF(INDEX($D$232:$D$233,MATCH(LEFT(DN233,FIND("·",DN233)-1),$C$232:$C$233,0))=IFERROR(VALUE(MID(DN233,FIND("·",DN233)+1,1)),0),($D$28+(INDEX($E$232:$E$233,MATCH(LEFT(DN233,FIND("·",DN233)-1),$C$232:$C$233,0))=MID(DN233,FIND("|",DN233)+1,10))*$D$30+MAX(0,IF($D$50=1,$D$29*(1-(ABS(INDEX($Q$232:$Q$233,MATCH(LEFT(DN233,FIND("·",DN233)-1),$C$232:$C$233,0))-(VALUE(MID(DN233,FIND("|",DN233)+1,FIND("-",DN233,FIND("|",DN233))-FIND("|",DN233)-1))-VALUE(MID(DN233,FIND("-",DN233,FIND("|",DN233))+1,10)))))*$D$50),$D$29*(1-(IF(INDEX($D$232:$D$233,MATCH(LEFT(DN233,FIND("·",DN233)-1),$C$232:$C$233,0))=0,ABS(INDEX($A$232:$A$233,MATCH(LEFT(DN233,FIND("·",DN233)-1),$C$232:$C$233,0))-VALUE(MID(DN233,FIND("|",DN233)+1,FIND("-",DN233,FIND("|",DN233))-FIND("|",DN233)-1))),ABS(INDEX($Q$232:$Q$233,MATCH(LEFT(DN233,FIND("·",DN233)-1),$C$232:$C$233,0))-(VALUE(MID(DN233,FIND("|",DN233)+1,FIND("-",DN233,FIND("|",DN233))-FIND("|",DN233)-1))-VALUE(MID(DN233,FIND("-",DN233,FIND("|",DN233))+1,10)))))*$D$50)))))*INDEX($I$232:$I$233,MATCH(LEFT(DN233,FIND("·",DN233)-1),$C$232:$C$233,0)),0),0),0)</f>
        <v>0</v>
      </c>
      <c r="DP233" s="110"/>
      <c r="DQ233" s="797" t="s">
        <v>2705</v>
      </c>
      <c r="DR233" s="81">
        <f t="shared" ref="DR233" si="1581">IFERROR(IF(COUNTIF($K$232:$K$233,LEFT(DQ233,FIND("·",DQ233)-1))&gt;0,IF(INDEX($L$232:$L$233,MATCH(LEFT(DQ233,FIND("·",DQ233)-1),$K$232:$K$233,0))=IFERROR(VALUE(MID(DQ233,FIND("·",DQ233)+1,1)),0),($D$28+(INDEX($M$232:$M$233,MATCH(LEFT(DQ233,FIND("·",DQ233)-1),$K$232:$K$233,0))=MID(DQ233,FIND("|",DQ233)+1,10))*$D$30+MAX(0,IF($D$50=1,$D$29*(1-(ABS(INDEX($P$232:$P$233,MATCH(LEFT(DQ233,FIND("·",DQ233)-1),$K$232:$K$233,0))-(VALUE(MID(DQ233,FIND("|",DQ233)+1,FIND("-",DQ233,FIND("|",DQ233))-FIND("|",DQ233)-1))-VALUE(MID(DQ233,FIND("-",DQ233,FIND("|",DQ233))+1,10)))))*$D$50),$D$29*(1-(IF(INDEX($L$232:$L$233,MATCH(LEFT(DQ233,FIND("·",DQ233)-1),$K$232:$K$233,0))=0,ABS(INDEX($N$232:$N$233,MATCH(LEFT(DQ233,FIND("·",DQ233)-1),$K$232:$K$233,0))-VALUE(MID(DQ233,FIND("|",DQ233)+1,FIND("-",DQ233,FIND("|",DQ233))-FIND("|",DQ233)-1))),ABS(INDEX($P$232:$P$233,MATCH(LEFT(DQ233,FIND("·",DQ233)-1),$K$232:$K$233,0))-(VALUE(MID(DQ233,FIND("|",DQ233)+1,FIND("-",DQ233,FIND("|",DQ233))-FIND("|",DQ233)-1))-VALUE(MID(DQ233,FIND("-",DQ233,FIND("|",DQ233))+1,10)))))*$D$50)))))*INDEX($I$232:$I$233,MATCH(LEFT(DQ233,FIND("·",DQ233)-1),$K$232:$K$233,0)),0),0),0)+IFERROR(IF(COUNTIF($C$232:$C$233,LEFT(DQ233,FIND("·",DQ233)-1))&gt;0,IF(INDEX($D$232:$D$233,MATCH(LEFT(DQ233,FIND("·",DQ233)-1),$C$232:$C$233,0))=IFERROR(VALUE(MID(DQ233,FIND("·",DQ233)+1,1)),0),($D$28+(INDEX($E$232:$E$233,MATCH(LEFT(DQ233,FIND("·",DQ233)-1),$C$232:$C$233,0))=MID(DQ233,FIND("|",DQ233)+1,10))*$D$30+MAX(0,IF($D$50=1,$D$29*(1-(ABS(INDEX($Q$232:$Q$233,MATCH(LEFT(DQ233,FIND("·",DQ233)-1),$C$232:$C$233,0))-(VALUE(MID(DQ233,FIND("|",DQ233)+1,FIND("-",DQ233,FIND("|",DQ233))-FIND("|",DQ233)-1))-VALUE(MID(DQ233,FIND("-",DQ233,FIND("|",DQ233))+1,10)))))*$D$50),$D$29*(1-(IF(INDEX($D$232:$D$233,MATCH(LEFT(DQ233,FIND("·",DQ233)-1),$C$232:$C$233,0))=0,ABS(INDEX($A$232:$A$233,MATCH(LEFT(DQ233,FIND("·",DQ233)-1),$C$232:$C$233,0))-VALUE(MID(DQ233,FIND("|",DQ233)+1,FIND("-",DQ233,FIND("|",DQ233))-FIND("|",DQ233)-1))),ABS(INDEX($Q$232:$Q$233,MATCH(LEFT(DQ233,FIND("·",DQ233)-1),$C$232:$C$233,0))-(VALUE(MID(DQ233,FIND("|",DQ233)+1,FIND("-",DQ233,FIND("|",DQ233))-FIND("|",DQ233)-1))-VALUE(MID(DQ233,FIND("-",DQ233,FIND("|",DQ233))+1,10)))))*$D$50)))))*INDEX($I$232:$I$233,MATCH(LEFT(DQ233,FIND("·",DQ233)-1),$C$232:$C$233,0)),0),0),0)</f>
        <v>0</v>
      </c>
      <c r="DS233" s="110"/>
      <c r="DT233" s="80" t="s">
        <v>2730</v>
      </c>
      <c r="DU233" s="81">
        <f t="shared" ref="DU233" si="1582">IFERROR(IF(COUNTIF($K$232:$K$233,LEFT(DT233,FIND("·",DT233)-1))&gt;0,IF(INDEX($L$232:$L$233,MATCH(LEFT(DT233,FIND("·",DT233)-1),$K$232:$K$233,0))=IFERROR(VALUE(MID(DT233,FIND("·",DT233)+1,1)),0),($D$28+(INDEX($M$232:$M$233,MATCH(LEFT(DT233,FIND("·",DT233)-1),$K$232:$K$233,0))=MID(DT233,FIND("|",DT233)+1,10))*$D$30+MAX(0,IF($D$50=1,$D$29*(1-(ABS(INDEX($P$232:$P$233,MATCH(LEFT(DT233,FIND("·",DT233)-1),$K$232:$K$233,0))-(VALUE(MID(DT233,FIND("|",DT233)+1,FIND("-",DT233,FIND("|",DT233))-FIND("|",DT233)-1))-VALUE(MID(DT233,FIND("-",DT233,FIND("|",DT233))+1,10)))))*$D$50),$D$29*(1-(IF(INDEX($L$232:$L$233,MATCH(LEFT(DT233,FIND("·",DT233)-1),$K$232:$K$233,0))=0,ABS(INDEX($N$232:$N$233,MATCH(LEFT(DT233,FIND("·",DT233)-1),$K$232:$K$233,0))-VALUE(MID(DT233,FIND("|",DT233)+1,FIND("-",DT233,FIND("|",DT233))-FIND("|",DT233)-1))),ABS(INDEX($P$232:$P$233,MATCH(LEFT(DT233,FIND("·",DT233)-1),$K$232:$K$233,0))-(VALUE(MID(DT233,FIND("|",DT233)+1,FIND("-",DT233,FIND("|",DT233))-FIND("|",DT233)-1))-VALUE(MID(DT233,FIND("-",DT233,FIND("|",DT233))+1,10)))))*$D$50)))))*INDEX($I$232:$I$233,MATCH(LEFT(DT233,FIND("·",DT233)-1),$K$232:$K$233,0)),0),0),0)+IFERROR(IF(COUNTIF($C$232:$C$233,LEFT(DT233,FIND("·",DT233)-1))&gt;0,IF(INDEX($D$232:$D$233,MATCH(LEFT(DT233,FIND("·",DT233)-1),$C$232:$C$233,0))=IFERROR(VALUE(MID(DT233,FIND("·",DT233)+1,1)),0),($D$28+(INDEX($E$232:$E$233,MATCH(LEFT(DT233,FIND("·",DT233)-1),$C$232:$C$233,0))=MID(DT233,FIND("|",DT233)+1,10))*$D$30+MAX(0,IF($D$50=1,$D$29*(1-(ABS(INDEX($Q$232:$Q$233,MATCH(LEFT(DT233,FIND("·",DT233)-1),$C$232:$C$233,0))-(VALUE(MID(DT233,FIND("|",DT233)+1,FIND("-",DT233,FIND("|",DT233))-FIND("|",DT233)-1))-VALUE(MID(DT233,FIND("-",DT233,FIND("|",DT233))+1,10)))))*$D$50),$D$29*(1-(IF(INDEX($D$232:$D$233,MATCH(LEFT(DT233,FIND("·",DT233)-1),$C$232:$C$233,0))=0,ABS(INDEX($A$232:$A$233,MATCH(LEFT(DT233,FIND("·",DT233)-1),$C$232:$C$233,0))-VALUE(MID(DT233,FIND("|",DT233)+1,FIND("-",DT233,FIND("|",DT233))-FIND("|",DT233)-1))),ABS(INDEX($Q$232:$Q$233,MATCH(LEFT(DT233,FIND("·",DT233)-1),$C$232:$C$233,0))-(VALUE(MID(DT233,FIND("|",DT233)+1,FIND("-",DT233,FIND("|",DT233))-FIND("|",DT233)-1))-VALUE(MID(DT233,FIND("-",DT233,FIND("|",DT233))+1,10)))))*$D$50)))))*INDEX($I$232:$I$233,MATCH(LEFT(DT233,FIND("·",DT233)-1),$C$232:$C$233,0)),0),0),0)</f>
        <v>0</v>
      </c>
      <c r="DV233" s="110"/>
      <c r="DW233" s="80" t="s">
        <v>2746</v>
      </c>
      <c r="DX233" s="81">
        <f t="shared" ref="DX233" si="1583">IFERROR(IF(COUNTIF($K$232:$K$233,LEFT(DW233,FIND("·",DW233)-1))&gt;0,IF(INDEX($L$232:$L$233,MATCH(LEFT(DW233,FIND("·",DW233)-1),$K$232:$K$233,0))=IFERROR(VALUE(MID(DW233,FIND("·",DW233)+1,1)),0),($D$28+(INDEX($M$232:$M$233,MATCH(LEFT(DW233,FIND("·",DW233)-1),$K$232:$K$233,0))=MID(DW233,FIND("|",DW233)+1,10))*$D$30+MAX(0,IF($D$50=1,$D$29*(1-(ABS(INDEX($P$232:$P$233,MATCH(LEFT(DW233,FIND("·",DW233)-1),$K$232:$K$233,0))-(VALUE(MID(DW233,FIND("|",DW233)+1,FIND("-",DW233,FIND("|",DW233))-FIND("|",DW233)-1))-VALUE(MID(DW233,FIND("-",DW233,FIND("|",DW233))+1,10)))))*$D$50),$D$29*(1-(IF(INDEX($L$232:$L$233,MATCH(LEFT(DW233,FIND("·",DW233)-1),$K$232:$K$233,0))=0,ABS(INDEX($N$232:$N$233,MATCH(LEFT(DW233,FIND("·",DW233)-1),$K$232:$K$233,0))-VALUE(MID(DW233,FIND("|",DW233)+1,FIND("-",DW233,FIND("|",DW233))-FIND("|",DW233)-1))),ABS(INDEX($P$232:$P$233,MATCH(LEFT(DW233,FIND("·",DW233)-1),$K$232:$K$233,0))-(VALUE(MID(DW233,FIND("|",DW233)+1,FIND("-",DW233,FIND("|",DW233))-FIND("|",DW233)-1))-VALUE(MID(DW233,FIND("-",DW233,FIND("|",DW233))+1,10)))))*$D$50)))))*INDEX($I$232:$I$233,MATCH(LEFT(DW233,FIND("·",DW233)-1),$K$232:$K$233,0)),0),0),0)+IFERROR(IF(COUNTIF($C$232:$C$233,LEFT(DW233,FIND("·",DW233)-1))&gt;0,IF(INDEX($D$232:$D$233,MATCH(LEFT(DW233,FIND("·",DW233)-1),$C$232:$C$233,0))=IFERROR(VALUE(MID(DW233,FIND("·",DW233)+1,1)),0),($D$28+(INDEX($E$232:$E$233,MATCH(LEFT(DW233,FIND("·",DW233)-1),$C$232:$C$233,0))=MID(DW233,FIND("|",DW233)+1,10))*$D$30+MAX(0,IF($D$50=1,$D$29*(1-(ABS(INDEX($Q$232:$Q$233,MATCH(LEFT(DW233,FIND("·",DW233)-1),$C$232:$C$233,0))-(VALUE(MID(DW233,FIND("|",DW233)+1,FIND("-",DW233,FIND("|",DW233))-FIND("|",DW233)-1))-VALUE(MID(DW233,FIND("-",DW233,FIND("|",DW233))+1,10)))))*$D$50),$D$29*(1-(IF(INDEX($D$232:$D$233,MATCH(LEFT(DW233,FIND("·",DW233)-1),$C$232:$C$233,0))=0,ABS(INDEX($A$232:$A$233,MATCH(LEFT(DW233,FIND("·",DW233)-1),$C$232:$C$233,0))-VALUE(MID(DW233,FIND("|",DW233)+1,FIND("-",DW233,FIND("|",DW233))-FIND("|",DW233)-1))),ABS(INDEX($Q$232:$Q$233,MATCH(LEFT(DW233,FIND("·",DW233)-1),$C$232:$C$233,0))-(VALUE(MID(DW233,FIND("|",DW233)+1,FIND("-",DW233,FIND("|",DW233))-FIND("|",DW233)-1))-VALUE(MID(DW233,FIND("-",DW233,FIND("|",DW233))+1,10)))))*$D$50)))))*INDEX($I$232:$I$233,MATCH(LEFT(DW233,FIND("·",DW233)-1),$C$232:$C$233,0)),0),0),0)</f>
        <v>0</v>
      </c>
      <c r="DY233" s="110"/>
      <c r="DZ233" s="80" t="s">
        <v>2762</v>
      </c>
      <c r="EA233" s="81">
        <f t="shared" ref="EA233" si="1584">IFERROR(IF(COUNTIF($K$232:$K$233,LEFT(DZ233,FIND("·",DZ233)-1))&gt;0,IF(INDEX($L$232:$L$233,MATCH(LEFT(DZ233,FIND("·",DZ233)-1),$K$232:$K$233,0))=IFERROR(VALUE(MID(DZ233,FIND("·",DZ233)+1,1)),0),($D$28+(INDEX($M$232:$M$233,MATCH(LEFT(DZ233,FIND("·",DZ233)-1),$K$232:$K$233,0))=MID(DZ233,FIND("|",DZ233)+1,10))*$D$30+MAX(0,IF($D$50=1,$D$29*(1-(ABS(INDEX($P$232:$P$233,MATCH(LEFT(DZ233,FIND("·",DZ233)-1),$K$232:$K$233,0))-(VALUE(MID(DZ233,FIND("|",DZ233)+1,FIND("-",DZ233,FIND("|",DZ233))-FIND("|",DZ233)-1))-VALUE(MID(DZ233,FIND("-",DZ233,FIND("|",DZ233))+1,10)))))*$D$50),$D$29*(1-(IF(INDEX($L$232:$L$233,MATCH(LEFT(DZ233,FIND("·",DZ233)-1),$K$232:$K$233,0))=0,ABS(INDEX($N$232:$N$233,MATCH(LEFT(DZ233,FIND("·",DZ233)-1),$K$232:$K$233,0))-VALUE(MID(DZ233,FIND("|",DZ233)+1,FIND("-",DZ233,FIND("|",DZ233))-FIND("|",DZ233)-1))),ABS(INDEX($P$232:$P$233,MATCH(LEFT(DZ233,FIND("·",DZ233)-1),$K$232:$K$233,0))-(VALUE(MID(DZ233,FIND("|",DZ233)+1,FIND("-",DZ233,FIND("|",DZ233))-FIND("|",DZ233)-1))-VALUE(MID(DZ233,FIND("-",DZ233,FIND("|",DZ233))+1,10)))))*$D$50)))))*INDEX($I$232:$I$233,MATCH(LEFT(DZ233,FIND("·",DZ233)-1),$K$232:$K$233,0)),0),0),0)+IFERROR(IF(COUNTIF($C$232:$C$233,LEFT(DZ233,FIND("·",DZ233)-1))&gt;0,IF(INDEX($D$232:$D$233,MATCH(LEFT(DZ233,FIND("·",DZ233)-1),$C$232:$C$233,0))=IFERROR(VALUE(MID(DZ233,FIND("·",DZ233)+1,1)),0),($D$28+(INDEX($E$232:$E$233,MATCH(LEFT(DZ233,FIND("·",DZ233)-1),$C$232:$C$233,0))=MID(DZ233,FIND("|",DZ233)+1,10))*$D$30+MAX(0,IF($D$50=1,$D$29*(1-(ABS(INDEX($Q$232:$Q$233,MATCH(LEFT(DZ233,FIND("·",DZ233)-1),$C$232:$C$233,0))-(VALUE(MID(DZ233,FIND("|",DZ233)+1,FIND("-",DZ233,FIND("|",DZ233))-FIND("|",DZ233)-1))-VALUE(MID(DZ233,FIND("-",DZ233,FIND("|",DZ233))+1,10)))))*$D$50),$D$29*(1-(IF(INDEX($D$232:$D$233,MATCH(LEFT(DZ233,FIND("·",DZ233)-1),$C$232:$C$233,0))=0,ABS(INDEX($A$232:$A$233,MATCH(LEFT(DZ233,FIND("·",DZ233)-1),$C$232:$C$233,0))-VALUE(MID(DZ233,FIND("|",DZ233)+1,FIND("-",DZ233,FIND("|",DZ233))-FIND("|",DZ233)-1))),ABS(INDEX($Q$232:$Q$233,MATCH(LEFT(DZ233,FIND("·",DZ233)-1),$C$232:$C$233,0))-(VALUE(MID(DZ233,FIND("|",DZ233)+1,FIND("-",DZ233,FIND("|",DZ233))-FIND("|",DZ233)-1))-VALUE(MID(DZ233,FIND("-",DZ233,FIND("|",DZ233))+1,10)))))*$D$50)))))*INDEX($I$232:$I$233,MATCH(LEFT(DZ233,FIND("·",DZ233)-1),$C$232:$C$233,0)),0),0),0)</f>
        <v>0</v>
      </c>
      <c r="EB233" s="110"/>
      <c r="EC233" s="80" t="s">
        <v>2284</v>
      </c>
      <c r="ED233" s="81">
        <f t="shared" ref="ED233" si="1585">IFERROR(IF(COUNTIF($K$232:$K$233,LEFT(EC233,FIND("·",EC233)-1))&gt;0,IF(INDEX($L$232:$L$233,MATCH(LEFT(EC233,FIND("·",EC233)-1),$K$232:$K$233,0))=IFERROR(VALUE(MID(EC233,FIND("·",EC233)+1,1)),0),($D$28+(INDEX($M$232:$M$233,MATCH(LEFT(EC233,FIND("·",EC233)-1),$K$232:$K$233,0))=MID(EC233,FIND("|",EC233)+1,10))*$D$30+MAX(0,IF($D$50=1,$D$29*(1-(ABS(INDEX($P$232:$P$233,MATCH(LEFT(EC233,FIND("·",EC233)-1),$K$232:$K$233,0))-(VALUE(MID(EC233,FIND("|",EC233)+1,FIND("-",EC233,FIND("|",EC233))-FIND("|",EC233)-1))-VALUE(MID(EC233,FIND("-",EC233,FIND("|",EC233))+1,10)))))*$D$50),$D$29*(1-(IF(INDEX($L$232:$L$233,MATCH(LEFT(EC233,FIND("·",EC233)-1),$K$232:$K$233,0))=0,ABS(INDEX($N$232:$N$233,MATCH(LEFT(EC233,FIND("·",EC233)-1),$K$232:$K$233,0))-VALUE(MID(EC233,FIND("|",EC233)+1,FIND("-",EC233,FIND("|",EC233))-FIND("|",EC233)-1))),ABS(INDEX($P$232:$P$233,MATCH(LEFT(EC233,FIND("·",EC233)-1),$K$232:$K$233,0))-(VALUE(MID(EC233,FIND("|",EC233)+1,FIND("-",EC233,FIND("|",EC233))-FIND("|",EC233)-1))-VALUE(MID(EC233,FIND("-",EC233,FIND("|",EC233))+1,10)))))*$D$50)))))*INDEX($I$232:$I$233,MATCH(LEFT(EC233,FIND("·",EC233)-1),$K$232:$K$233,0)),0),0),0)+IFERROR(IF(COUNTIF($C$232:$C$233,LEFT(EC233,FIND("·",EC233)-1))&gt;0,IF(INDEX($D$232:$D$233,MATCH(LEFT(EC233,FIND("·",EC233)-1),$C$232:$C$233,0))=IFERROR(VALUE(MID(EC233,FIND("·",EC233)+1,1)),0),($D$28+(INDEX($E$232:$E$233,MATCH(LEFT(EC233,FIND("·",EC233)-1),$C$232:$C$233,0))=MID(EC233,FIND("|",EC233)+1,10))*$D$30+MAX(0,IF($D$50=1,$D$29*(1-(ABS(INDEX($Q$232:$Q$233,MATCH(LEFT(EC233,FIND("·",EC233)-1),$C$232:$C$233,0))-(VALUE(MID(EC233,FIND("|",EC233)+1,FIND("-",EC233,FIND("|",EC233))-FIND("|",EC233)-1))-VALUE(MID(EC233,FIND("-",EC233,FIND("|",EC233))+1,10)))))*$D$50),$D$29*(1-(IF(INDEX($D$232:$D$233,MATCH(LEFT(EC233,FIND("·",EC233)-1),$C$232:$C$233,0))=0,ABS(INDEX($A$232:$A$233,MATCH(LEFT(EC233,FIND("·",EC233)-1),$C$232:$C$233,0))-VALUE(MID(EC233,FIND("|",EC233)+1,FIND("-",EC233,FIND("|",EC233))-FIND("|",EC233)-1))),ABS(INDEX($Q$232:$Q$233,MATCH(LEFT(EC233,FIND("·",EC233)-1),$C$232:$C$233,0))-(VALUE(MID(EC233,FIND("|",EC233)+1,FIND("-",EC233,FIND("|",EC233))-FIND("|",EC233)-1))-VALUE(MID(EC233,FIND("-",EC233,FIND("|",EC233))+1,10)))))*$D$50)))))*INDEX($I$232:$I$233,MATCH(LEFT(EC233,FIND("·",EC233)-1),$C$232:$C$233,0)),0),0),0)</f>
        <v>0</v>
      </c>
      <c r="EE233" s="110"/>
      <c r="EF233" s="80" t="s">
        <v>2790</v>
      </c>
      <c r="EG233" s="81">
        <f t="shared" ref="EG233" si="1586">IFERROR(IF(COUNTIF($K$232:$K$233,LEFT(EF233,FIND("·",EF233)-1))&gt;0,IF(INDEX($L$232:$L$233,MATCH(LEFT(EF233,FIND("·",EF233)-1),$K$232:$K$233,0))=IFERROR(VALUE(MID(EF233,FIND("·",EF233)+1,1)),0),($D$28+(INDEX($M$232:$M$233,MATCH(LEFT(EF233,FIND("·",EF233)-1),$K$232:$K$233,0))=MID(EF233,FIND("|",EF233)+1,10))*$D$30+MAX(0,IF($D$50=1,$D$29*(1-(ABS(INDEX($P$232:$P$233,MATCH(LEFT(EF233,FIND("·",EF233)-1),$K$232:$K$233,0))-(VALUE(MID(EF233,FIND("|",EF233)+1,FIND("-",EF233,FIND("|",EF233))-FIND("|",EF233)-1))-VALUE(MID(EF233,FIND("-",EF233,FIND("|",EF233))+1,10)))))*$D$50),$D$29*(1-(IF(INDEX($L$232:$L$233,MATCH(LEFT(EF233,FIND("·",EF233)-1),$K$232:$K$233,0))=0,ABS(INDEX($N$232:$N$233,MATCH(LEFT(EF233,FIND("·",EF233)-1),$K$232:$K$233,0))-VALUE(MID(EF233,FIND("|",EF233)+1,FIND("-",EF233,FIND("|",EF233))-FIND("|",EF233)-1))),ABS(INDEX($P$232:$P$233,MATCH(LEFT(EF233,FIND("·",EF233)-1),$K$232:$K$233,0))-(VALUE(MID(EF233,FIND("|",EF233)+1,FIND("-",EF233,FIND("|",EF233))-FIND("|",EF233)-1))-VALUE(MID(EF233,FIND("-",EF233,FIND("|",EF233))+1,10)))))*$D$50)))))*INDEX($I$232:$I$233,MATCH(LEFT(EF233,FIND("·",EF233)-1),$K$232:$K$233,0)),0),0),0)+IFERROR(IF(COUNTIF($C$232:$C$233,LEFT(EF233,FIND("·",EF233)-1))&gt;0,IF(INDEX($D$232:$D$233,MATCH(LEFT(EF233,FIND("·",EF233)-1),$C$232:$C$233,0))=IFERROR(VALUE(MID(EF233,FIND("·",EF233)+1,1)),0),($D$28+(INDEX($E$232:$E$233,MATCH(LEFT(EF233,FIND("·",EF233)-1),$C$232:$C$233,0))=MID(EF233,FIND("|",EF233)+1,10))*$D$30+MAX(0,IF($D$50=1,$D$29*(1-(ABS(INDEX($Q$232:$Q$233,MATCH(LEFT(EF233,FIND("·",EF233)-1),$C$232:$C$233,0))-(VALUE(MID(EF233,FIND("|",EF233)+1,FIND("-",EF233,FIND("|",EF233))-FIND("|",EF233)-1))-VALUE(MID(EF233,FIND("-",EF233,FIND("|",EF233))+1,10)))))*$D$50),$D$29*(1-(IF(INDEX($D$232:$D$233,MATCH(LEFT(EF233,FIND("·",EF233)-1),$C$232:$C$233,0))=0,ABS(INDEX($A$232:$A$233,MATCH(LEFT(EF233,FIND("·",EF233)-1),$C$232:$C$233,0))-VALUE(MID(EF233,FIND("|",EF233)+1,FIND("-",EF233,FIND("|",EF233))-FIND("|",EF233)-1))),ABS(INDEX($Q$232:$Q$233,MATCH(LEFT(EF233,FIND("·",EF233)-1),$C$232:$C$233,0))-(VALUE(MID(EF233,FIND("|",EF233)+1,FIND("-",EF233,FIND("|",EF233))-FIND("|",EF233)-1))-VALUE(MID(EF233,FIND("-",EF233,FIND("|",EF233))+1,10)))))*$D$50)))))*INDEX($I$232:$I$233,MATCH(LEFT(EF233,FIND("·",EF233)-1),$C$232:$C$233,0)),0),0),0)</f>
        <v>0</v>
      </c>
      <c r="EH233" s="110"/>
      <c r="EI233" s="80" t="s">
        <v>2210</v>
      </c>
      <c r="EJ233" s="81">
        <f t="shared" ref="EJ233" si="1587">IFERROR(IF(COUNTIF($K$232:$K$233,LEFT(EI233,FIND("·",EI233)-1))&gt;0,IF(INDEX($L$232:$L$233,MATCH(LEFT(EI233,FIND("·",EI233)-1),$K$232:$K$233,0))=IFERROR(VALUE(MID(EI233,FIND("·",EI233)+1,1)),0),($D$28+(INDEX($M$232:$M$233,MATCH(LEFT(EI233,FIND("·",EI233)-1),$K$232:$K$233,0))=MID(EI233,FIND("|",EI233)+1,10))*$D$30+MAX(0,IF($D$50=1,$D$29*(1-(ABS(INDEX($P$232:$P$233,MATCH(LEFT(EI233,FIND("·",EI233)-1),$K$232:$K$233,0))-(VALUE(MID(EI233,FIND("|",EI233)+1,FIND("-",EI233,FIND("|",EI233))-FIND("|",EI233)-1))-VALUE(MID(EI233,FIND("-",EI233,FIND("|",EI233))+1,10)))))*$D$50),$D$29*(1-(IF(INDEX($L$232:$L$233,MATCH(LEFT(EI233,FIND("·",EI233)-1),$K$232:$K$233,0))=0,ABS(INDEX($N$232:$N$233,MATCH(LEFT(EI233,FIND("·",EI233)-1),$K$232:$K$233,0))-VALUE(MID(EI233,FIND("|",EI233)+1,FIND("-",EI233,FIND("|",EI233))-FIND("|",EI233)-1))),ABS(INDEX($P$232:$P$233,MATCH(LEFT(EI233,FIND("·",EI233)-1),$K$232:$K$233,0))-(VALUE(MID(EI233,FIND("|",EI233)+1,FIND("-",EI233,FIND("|",EI233))-FIND("|",EI233)-1))-VALUE(MID(EI233,FIND("-",EI233,FIND("|",EI233))+1,10)))))*$D$50)))))*INDEX($I$232:$I$233,MATCH(LEFT(EI233,FIND("·",EI233)-1),$K$232:$K$233,0)),0),0),0)+IFERROR(IF(COUNTIF($C$232:$C$233,LEFT(EI233,FIND("·",EI233)-1))&gt;0,IF(INDEX($D$232:$D$233,MATCH(LEFT(EI233,FIND("·",EI233)-1),$C$232:$C$233,0))=IFERROR(VALUE(MID(EI233,FIND("·",EI233)+1,1)),0),($D$28+(INDEX($E$232:$E$233,MATCH(LEFT(EI233,FIND("·",EI233)-1),$C$232:$C$233,0))=MID(EI233,FIND("|",EI233)+1,10))*$D$30+MAX(0,IF($D$50=1,$D$29*(1-(ABS(INDEX($Q$232:$Q$233,MATCH(LEFT(EI233,FIND("·",EI233)-1),$C$232:$C$233,0))-(VALUE(MID(EI233,FIND("|",EI233)+1,FIND("-",EI233,FIND("|",EI233))-FIND("|",EI233)-1))-VALUE(MID(EI233,FIND("-",EI233,FIND("|",EI233))+1,10)))))*$D$50),$D$29*(1-(IF(INDEX($D$232:$D$233,MATCH(LEFT(EI233,FIND("·",EI233)-1),$C$232:$C$233,0))=0,ABS(INDEX($A$232:$A$233,MATCH(LEFT(EI233,FIND("·",EI233)-1),$C$232:$C$233,0))-VALUE(MID(EI233,FIND("|",EI233)+1,FIND("-",EI233,FIND("|",EI233))-FIND("|",EI233)-1))),ABS(INDEX($Q$232:$Q$233,MATCH(LEFT(EI233,FIND("·",EI233)-1),$C$232:$C$233,0))-(VALUE(MID(EI233,FIND("|",EI233)+1,FIND("-",EI233,FIND("|",EI233))-FIND("|",EI233)-1))-VALUE(MID(EI233,FIND("-",EI233,FIND("|",EI233))+1,10)))))*$D$50)))))*INDEX($I$232:$I$233,MATCH(LEFT(EI233,FIND("·",EI233)-1),$C$232:$C$233,0)),0),0),0)</f>
        <v>0</v>
      </c>
      <c r="EK233" s="110"/>
      <c r="EL233" s="80"/>
      <c r="EM233" s="81">
        <f t="shared" ref="EM233" si="1588">IFERROR(IF(COUNTIF($K$232:$K$233,LEFT(EL233,FIND("·",EL233)-1))&gt;0,IF(INDEX($L$232:$L$233,MATCH(LEFT(EL233,FIND("·",EL233)-1),$K$232:$K$233,0))=IFERROR(VALUE(MID(EL233,FIND("·",EL233)+1,1)),0),($D$28+(INDEX($M$232:$M$233,MATCH(LEFT(EL233,FIND("·",EL233)-1),$K$232:$K$233,0))=MID(EL233,FIND("|",EL233)+1,10))*$D$30+MAX(0,IF($D$50=1,$D$29*(1-(ABS(INDEX($P$232:$P$233,MATCH(LEFT(EL233,FIND("·",EL233)-1),$K$232:$K$233,0))-(VALUE(MID(EL233,FIND("|",EL233)+1,FIND("-",EL233,FIND("|",EL233))-FIND("|",EL233)-1))-VALUE(MID(EL233,FIND("-",EL233,FIND("|",EL233))+1,10)))))*$D$50),$D$29*(1-(IF(INDEX($L$232:$L$233,MATCH(LEFT(EL233,FIND("·",EL233)-1),$K$232:$K$233,0))=0,ABS(INDEX($N$232:$N$233,MATCH(LEFT(EL233,FIND("·",EL233)-1),$K$232:$K$233,0))-VALUE(MID(EL233,FIND("|",EL233)+1,FIND("-",EL233,FIND("|",EL233))-FIND("|",EL233)-1))),ABS(INDEX($P$232:$P$233,MATCH(LEFT(EL233,FIND("·",EL233)-1),$K$232:$K$233,0))-(VALUE(MID(EL233,FIND("|",EL233)+1,FIND("-",EL233,FIND("|",EL233))-FIND("|",EL233)-1))-VALUE(MID(EL233,FIND("-",EL233,FIND("|",EL233))+1,10)))))*$D$50)))))*INDEX($I$232:$I$233,MATCH(LEFT(EL233,FIND("·",EL233)-1),$K$232:$K$233,0)),0),0),0)+IFERROR(IF(COUNTIF($C$232:$C$233,LEFT(EL233,FIND("·",EL233)-1))&gt;0,IF(INDEX($D$232:$D$233,MATCH(LEFT(EL233,FIND("·",EL233)-1),$C$232:$C$233,0))=IFERROR(VALUE(MID(EL233,FIND("·",EL233)+1,1)),0),($D$28+(INDEX($E$232:$E$233,MATCH(LEFT(EL233,FIND("·",EL233)-1),$C$232:$C$233,0))=MID(EL233,FIND("|",EL233)+1,10))*$D$30+MAX(0,IF($D$50=1,$D$29*(1-(ABS(INDEX($Q$232:$Q$233,MATCH(LEFT(EL233,FIND("·",EL233)-1),$C$232:$C$233,0))-(VALUE(MID(EL233,FIND("|",EL233)+1,FIND("-",EL233,FIND("|",EL233))-FIND("|",EL233)-1))-VALUE(MID(EL233,FIND("-",EL233,FIND("|",EL233))+1,10)))))*$D$50),$D$29*(1-(IF(INDEX($D$232:$D$233,MATCH(LEFT(EL233,FIND("·",EL233)-1),$C$232:$C$233,0))=0,ABS(INDEX($A$232:$A$233,MATCH(LEFT(EL233,FIND("·",EL233)-1),$C$232:$C$233,0))-VALUE(MID(EL233,FIND("|",EL233)+1,FIND("-",EL233,FIND("|",EL233))-FIND("|",EL233)-1))),ABS(INDEX($Q$232:$Q$233,MATCH(LEFT(EL233,FIND("·",EL233)-1),$C$232:$C$233,0))-(VALUE(MID(EL233,FIND("|",EL233)+1,FIND("-",EL233,FIND("|",EL233))-FIND("|",EL233)-1))-VALUE(MID(EL233,FIND("-",EL233,FIND("|",EL233))+1,10)))))*$D$50)))))*INDEX($I$232:$I$233,MATCH(LEFT(EL233,FIND("·",EL233)-1),$C$232:$C$233,0)),0),0),0)</f>
        <v>0</v>
      </c>
      <c r="EN233" s="110"/>
      <c r="EO233" s="80"/>
      <c r="EP233" s="81">
        <f t="shared" ref="EP233" si="1589">IFERROR(IF(COUNTIF($K$232:$K$233,LEFT(EO233,FIND("·",EO233)-1))&gt;0,IF(INDEX($L$232:$L$233,MATCH(LEFT(EO233,FIND("·",EO233)-1),$K$232:$K$233,0))=IFERROR(VALUE(MID(EO233,FIND("·",EO233)+1,1)),0),($D$28+(INDEX($M$232:$M$233,MATCH(LEFT(EO233,FIND("·",EO233)-1),$K$232:$K$233,0))=MID(EO233,FIND("|",EO233)+1,10))*$D$30+MAX(0,IF($D$50=1,$D$29*(1-(ABS(INDEX($P$232:$P$233,MATCH(LEFT(EO233,FIND("·",EO233)-1),$K$232:$K$233,0))-(VALUE(MID(EO233,FIND("|",EO233)+1,FIND("-",EO233,FIND("|",EO233))-FIND("|",EO233)-1))-VALUE(MID(EO233,FIND("-",EO233,FIND("|",EO233))+1,10)))))*$D$50),$D$29*(1-(IF(INDEX($L$232:$L$233,MATCH(LEFT(EO233,FIND("·",EO233)-1),$K$232:$K$233,0))=0,ABS(INDEX($N$232:$N$233,MATCH(LEFT(EO233,FIND("·",EO233)-1),$K$232:$K$233,0))-VALUE(MID(EO233,FIND("|",EO233)+1,FIND("-",EO233,FIND("|",EO233))-FIND("|",EO233)-1))),ABS(INDEX($P$232:$P$233,MATCH(LEFT(EO233,FIND("·",EO233)-1),$K$232:$K$233,0))-(VALUE(MID(EO233,FIND("|",EO233)+1,FIND("-",EO233,FIND("|",EO233))-FIND("|",EO233)-1))-VALUE(MID(EO233,FIND("-",EO233,FIND("|",EO233))+1,10)))))*$D$50)))))*INDEX($I$232:$I$233,MATCH(LEFT(EO233,FIND("·",EO233)-1),$K$232:$K$233,0)),0),0),0)+IFERROR(IF(COUNTIF($C$232:$C$233,LEFT(EO233,FIND("·",EO233)-1))&gt;0,IF(INDEX($D$232:$D$233,MATCH(LEFT(EO233,FIND("·",EO233)-1),$C$232:$C$233,0))=IFERROR(VALUE(MID(EO233,FIND("·",EO233)+1,1)),0),($D$28+(INDEX($E$232:$E$233,MATCH(LEFT(EO233,FIND("·",EO233)-1),$C$232:$C$233,0))=MID(EO233,FIND("|",EO233)+1,10))*$D$30+MAX(0,IF($D$50=1,$D$29*(1-(ABS(INDEX($Q$232:$Q$233,MATCH(LEFT(EO233,FIND("·",EO233)-1),$C$232:$C$233,0))-(VALUE(MID(EO233,FIND("|",EO233)+1,FIND("-",EO233,FIND("|",EO233))-FIND("|",EO233)-1))-VALUE(MID(EO233,FIND("-",EO233,FIND("|",EO233))+1,10)))))*$D$50),$D$29*(1-(IF(INDEX($D$232:$D$233,MATCH(LEFT(EO233,FIND("·",EO233)-1),$C$232:$C$233,0))=0,ABS(INDEX($A$232:$A$233,MATCH(LEFT(EO233,FIND("·",EO233)-1),$C$232:$C$233,0))-VALUE(MID(EO233,FIND("|",EO233)+1,FIND("-",EO233,FIND("|",EO233))-FIND("|",EO233)-1))),ABS(INDEX($Q$232:$Q$233,MATCH(LEFT(EO233,FIND("·",EO233)-1),$C$232:$C$233,0))-(VALUE(MID(EO233,FIND("|",EO233)+1,FIND("-",EO233,FIND("|",EO233))-FIND("|",EO233)-1))-VALUE(MID(EO233,FIND("-",EO233,FIND("|",EO233))+1,10)))))*$D$50)))))*INDEX($I$232:$I$233,MATCH(LEFT(EO233,FIND("·",EO233)-1),$C$232:$C$233,0)),0),0),0)</f>
        <v>0</v>
      </c>
      <c r="EQ233" s="110"/>
      <c r="ER233" s="80"/>
      <c r="ES233" s="81">
        <f t="shared" ref="ES233" si="1590">IFERROR(IF(COUNTIF($K$232:$K$233,LEFT(ER233,FIND("·",ER233)-1))&gt;0,IF(INDEX($L$232:$L$233,MATCH(LEFT(ER233,FIND("·",ER233)-1),$K$232:$K$233,0))=IFERROR(VALUE(MID(ER233,FIND("·",ER233)+1,1)),0),($D$28+(INDEX($M$232:$M$233,MATCH(LEFT(ER233,FIND("·",ER233)-1),$K$232:$K$233,0))=MID(ER233,FIND("|",ER233)+1,10))*$D$30+MAX(0,IF($D$50=1,$D$29*(1-(ABS(INDEX($P$232:$P$233,MATCH(LEFT(ER233,FIND("·",ER233)-1),$K$232:$K$233,0))-(VALUE(MID(ER233,FIND("|",ER233)+1,FIND("-",ER233,FIND("|",ER233))-FIND("|",ER233)-1))-VALUE(MID(ER233,FIND("-",ER233,FIND("|",ER233))+1,10)))))*$D$50),$D$29*(1-(IF(INDEX($L$232:$L$233,MATCH(LEFT(ER233,FIND("·",ER233)-1),$K$232:$K$233,0))=0,ABS(INDEX($N$232:$N$233,MATCH(LEFT(ER233,FIND("·",ER233)-1),$K$232:$K$233,0))-VALUE(MID(ER233,FIND("|",ER233)+1,FIND("-",ER233,FIND("|",ER233))-FIND("|",ER233)-1))),ABS(INDEX($P$232:$P$233,MATCH(LEFT(ER233,FIND("·",ER233)-1),$K$232:$K$233,0))-(VALUE(MID(ER233,FIND("|",ER233)+1,FIND("-",ER233,FIND("|",ER233))-FIND("|",ER233)-1))-VALUE(MID(ER233,FIND("-",ER233,FIND("|",ER233))+1,10)))))*$D$50)))))*INDEX($I$232:$I$233,MATCH(LEFT(ER233,FIND("·",ER233)-1),$K$232:$K$233,0)),0),0),0)+IFERROR(IF(COUNTIF($C$232:$C$233,LEFT(ER233,FIND("·",ER233)-1))&gt;0,IF(INDEX($D$232:$D$233,MATCH(LEFT(ER233,FIND("·",ER233)-1),$C$232:$C$233,0))=IFERROR(VALUE(MID(ER233,FIND("·",ER233)+1,1)),0),($D$28+(INDEX($E$232:$E$233,MATCH(LEFT(ER233,FIND("·",ER233)-1),$C$232:$C$233,0))=MID(ER233,FIND("|",ER233)+1,10))*$D$30+MAX(0,IF($D$50=1,$D$29*(1-(ABS(INDEX($Q$232:$Q$233,MATCH(LEFT(ER233,FIND("·",ER233)-1),$C$232:$C$233,0))-(VALUE(MID(ER233,FIND("|",ER233)+1,FIND("-",ER233,FIND("|",ER233))-FIND("|",ER233)-1))-VALUE(MID(ER233,FIND("-",ER233,FIND("|",ER233))+1,10)))))*$D$50),$D$29*(1-(IF(INDEX($D$232:$D$233,MATCH(LEFT(ER233,FIND("·",ER233)-1),$C$232:$C$233,0))=0,ABS(INDEX($A$232:$A$233,MATCH(LEFT(ER233,FIND("·",ER233)-1),$C$232:$C$233,0))-VALUE(MID(ER233,FIND("|",ER233)+1,FIND("-",ER233,FIND("|",ER233))-FIND("|",ER233)-1))),ABS(INDEX($Q$232:$Q$233,MATCH(LEFT(ER233,FIND("·",ER233)-1),$C$232:$C$233,0))-(VALUE(MID(ER233,FIND("|",ER233)+1,FIND("-",ER233,FIND("|",ER233))-FIND("|",ER233)-1))-VALUE(MID(ER233,FIND("-",ER233,FIND("|",ER233))+1,10)))))*$D$50)))))*INDEX($I$232:$I$233,MATCH(LEFT(ER233,FIND("·",ER233)-1),$C$232:$C$233,0)),0),0),0)</f>
        <v>0</v>
      </c>
      <c r="ET233" s="110"/>
      <c r="EU233" s="80"/>
      <c r="EV233" s="81">
        <f t="shared" ref="EV233" si="1591">IFERROR(IF(COUNTIF($K$232:$K$233,LEFT(EU233,FIND("·",EU233)-1))&gt;0,IF(INDEX($L$232:$L$233,MATCH(LEFT(EU233,FIND("·",EU233)-1),$K$232:$K$233,0))=IFERROR(VALUE(MID(EU233,FIND("·",EU233)+1,1)),0),($D$28+(INDEX($M$232:$M$233,MATCH(LEFT(EU233,FIND("·",EU233)-1),$K$232:$K$233,0))=MID(EU233,FIND("|",EU233)+1,10))*$D$30+MAX(0,IF($D$50=1,$D$29*(1-(ABS(INDEX($P$232:$P$233,MATCH(LEFT(EU233,FIND("·",EU233)-1),$K$232:$K$233,0))-(VALUE(MID(EU233,FIND("|",EU233)+1,FIND("-",EU233,FIND("|",EU233))-FIND("|",EU233)-1))-VALUE(MID(EU233,FIND("-",EU233,FIND("|",EU233))+1,10)))))*$D$50),$D$29*(1-(IF(INDEX($L$232:$L$233,MATCH(LEFT(EU233,FIND("·",EU233)-1),$K$232:$K$233,0))=0,ABS(INDEX($N$232:$N$233,MATCH(LEFT(EU233,FIND("·",EU233)-1),$K$232:$K$233,0))-VALUE(MID(EU233,FIND("|",EU233)+1,FIND("-",EU233,FIND("|",EU233))-FIND("|",EU233)-1))),ABS(INDEX($P$232:$P$233,MATCH(LEFT(EU233,FIND("·",EU233)-1),$K$232:$K$233,0))-(VALUE(MID(EU233,FIND("|",EU233)+1,FIND("-",EU233,FIND("|",EU233))-FIND("|",EU233)-1))-VALUE(MID(EU233,FIND("-",EU233,FIND("|",EU233))+1,10)))))*$D$50)))))*INDEX($I$232:$I$233,MATCH(LEFT(EU233,FIND("·",EU233)-1),$K$232:$K$233,0)),0),0),0)+IFERROR(IF(COUNTIF($C$232:$C$233,LEFT(EU233,FIND("·",EU233)-1))&gt;0,IF(INDEX($D$232:$D$233,MATCH(LEFT(EU233,FIND("·",EU233)-1),$C$232:$C$233,0))=IFERROR(VALUE(MID(EU233,FIND("·",EU233)+1,1)),0),($D$28+(INDEX($E$232:$E$233,MATCH(LEFT(EU233,FIND("·",EU233)-1),$C$232:$C$233,0))=MID(EU233,FIND("|",EU233)+1,10))*$D$30+MAX(0,IF($D$50=1,$D$29*(1-(ABS(INDEX($Q$232:$Q$233,MATCH(LEFT(EU233,FIND("·",EU233)-1),$C$232:$C$233,0))-(VALUE(MID(EU233,FIND("|",EU233)+1,FIND("-",EU233,FIND("|",EU233))-FIND("|",EU233)-1))-VALUE(MID(EU233,FIND("-",EU233,FIND("|",EU233))+1,10)))))*$D$50),$D$29*(1-(IF(INDEX($D$232:$D$233,MATCH(LEFT(EU233,FIND("·",EU233)-1),$C$232:$C$233,0))=0,ABS(INDEX($A$232:$A$233,MATCH(LEFT(EU233,FIND("·",EU233)-1),$C$232:$C$233,0))-VALUE(MID(EU233,FIND("|",EU233)+1,FIND("-",EU233,FIND("|",EU233))-FIND("|",EU233)-1))),ABS(INDEX($Q$232:$Q$233,MATCH(LEFT(EU233,FIND("·",EU233)-1),$C$232:$C$233,0))-(VALUE(MID(EU233,FIND("|",EU233)+1,FIND("-",EU233,FIND("|",EU233))-FIND("|",EU233)-1))-VALUE(MID(EU233,FIND("-",EU233,FIND("|",EU233))+1,10)))))*$D$50)))))*INDEX($I$232:$I$233,MATCH(LEFT(EU233,FIND("·",EU233)-1),$C$232:$C$233,0)),0),0),0)</f>
        <v>0</v>
      </c>
      <c r="EW233" s="110"/>
      <c r="EX233" s="80"/>
      <c r="EY233" s="81">
        <f t="shared" ref="EY233" si="1592">IFERROR(IF(COUNTIF($K$232:$K$233,LEFT(EX233,FIND("·",EX233)-1))&gt;0,IF(INDEX($L$232:$L$233,MATCH(LEFT(EX233,FIND("·",EX233)-1),$K$232:$K$233,0))=IFERROR(VALUE(MID(EX233,FIND("·",EX233)+1,1)),0),($D$28+(INDEX($M$232:$M$233,MATCH(LEFT(EX233,FIND("·",EX233)-1),$K$232:$K$233,0))=MID(EX233,FIND("|",EX233)+1,10))*$D$30+MAX(0,IF($D$50=1,$D$29*(1-(ABS(INDEX($P$232:$P$233,MATCH(LEFT(EX233,FIND("·",EX233)-1),$K$232:$K$233,0))-(VALUE(MID(EX233,FIND("|",EX233)+1,FIND("-",EX233,FIND("|",EX233))-FIND("|",EX233)-1))-VALUE(MID(EX233,FIND("-",EX233,FIND("|",EX233))+1,10)))))*$D$50),$D$29*(1-(IF(INDEX($L$232:$L$233,MATCH(LEFT(EX233,FIND("·",EX233)-1),$K$232:$K$233,0))=0,ABS(INDEX($N$232:$N$233,MATCH(LEFT(EX233,FIND("·",EX233)-1),$K$232:$K$233,0))-VALUE(MID(EX233,FIND("|",EX233)+1,FIND("-",EX233,FIND("|",EX233))-FIND("|",EX233)-1))),ABS(INDEX($P$232:$P$233,MATCH(LEFT(EX233,FIND("·",EX233)-1),$K$232:$K$233,0))-(VALUE(MID(EX233,FIND("|",EX233)+1,FIND("-",EX233,FIND("|",EX233))-FIND("|",EX233)-1))-VALUE(MID(EX233,FIND("-",EX233,FIND("|",EX233))+1,10)))))*$D$50)))))*INDEX($I$232:$I$233,MATCH(LEFT(EX233,FIND("·",EX233)-1),$K$232:$K$233,0)),0),0),0)+IFERROR(IF(COUNTIF($C$232:$C$233,LEFT(EX233,FIND("·",EX233)-1))&gt;0,IF(INDEX($D$232:$D$233,MATCH(LEFT(EX233,FIND("·",EX233)-1),$C$232:$C$233,0))=IFERROR(VALUE(MID(EX233,FIND("·",EX233)+1,1)),0),($D$28+(INDEX($E$232:$E$233,MATCH(LEFT(EX233,FIND("·",EX233)-1),$C$232:$C$233,0))=MID(EX233,FIND("|",EX233)+1,10))*$D$30+MAX(0,IF($D$50=1,$D$29*(1-(ABS(INDEX($Q$232:$Q$233,MATCH(LEFT(EX233,FIND("·",EX233)-1),$C$232:$C$233,0))-(VALUE(MID(EX233,FIND("|",EX233)+1,FIND("-",EX233,FIND("|",EX233))-FIND("|",EX233)-1))-VALUE(MID(EX233,FIND("-",EX233,FIND("|",EX233))+1,10)))))*$D$50),$D$29*(1-(IF(INDEX($D$232:$D$233,MATCH(LEFT(EX233,FIND("·",EX233)-1),$C$232:$C$233,0))=0,ABS(INDEX($A$232:$A$233,MATCH(LEFT(EX233,FIND("·",EX233)-1),$C$232:$C$233,0))-VALUE(MID(EX233,FIND("|",EX233)+1,FIND("-",EX233,FIND("|",EX233))-FIND("|",EX233)-1))),ABS(INDEX($Q$232:$Q$233,MATCH(LEFT(EX233,FIND("·",EX233)-1),$C$232:$C$233,0))-(VALUE(MID(EX233,FIND("|",EX233)+1,FIND("-",EX233,FIND("|",EX233))-FIND("|",EX233)-1))-VALUE(MID(EX233,FIND("-",EX233,FIND("|",EX233))+1,10)))))*$D$50)))))*INDEX($I$232:$I$233,MATCH(LEFT(EX233,FIND("·",EX233)-1),$C$232:$C$233,0)),0),0),0)</f>
        <v>0</v>
      </c>
      <c r="EZ233" s="110"/>
      <c r="FA233" s="80"/>
      <c r="FB233" s="81">
        <f t="shared" ref="FB233" si="1593">IFERROR(IF(COUNTIF($K$232:$K$233,LEFT(FA233,FIND("·",FA233)-1))&gt;0,IF(INDEX($L$232:$L$233,MATCH(LEFT(FA233,FIND("·",FA233)-1),$K$232:$K$233,0))=IFERROR(VALUE(MID(FA233,FIND("·",FA233)+1,1)),0),($D$28+(INDEX($M$232:$M$233,MATCH(LEFT(FA233,FIND("·",FA233)-1),$K$232:$K$233,0))=MID(FA233,FIND("|",FA233)+1,10))*$D$30+MAX(0,IF($D$50=1,$D$29*(1-(ABS(INDEX($P$232:$P$233,MATCH(LEFT(FA233,FIND("·",FA233)-1),$K$232:$K$233,0))-(VALUE(MID(FA233,FIND("|",FA233)+1,FIND("-",FA233,FIND("|",FA233))-FIND("|",FA233)-1))-VALUE(MID(FA233,FIND("-",FA233,FIND("|",FA233))+1,10)))))*$D$50),$D$29*(1-(IF(INDEX($L$232:$L$233,MATCH(LEFT(FA233,FIND("·",FA233)-1),$K$232:$K$233,0))=0,ABS(INDEX($N$232:$N$233,MATCH(LEFT(FA233,FIND("·",FA233)-1),$K$232:$K$233,0))-VALUE(MID(FA233,FIND("|",FA233)+1,FIND("-",FA233,FIND("|",FA233))-FIND("|",FA233)-1))),ABS(INDEX($P$232:$P$233,MATCH(LEFT(FA233,FIND("·",FA233)-1),$K$232:$K$233,0))-(VALUE(MID(FA233,FIND("|",FA233)+1,FIND("-",FA233,FIND("|",FA233))-FIND("|",FA233)-1))-VALUE(MID(FA233,FIND("-",FA233,FIND("|",FA233))+1,10)))))*$D$50)))))*INDEX($I$232:$I$233,MATCH(LEFT(FA233,FIND("·",FA233)-1),$K$232:$K$233,0)),0),0),0)+IFERROR(IF(COUNTIF($C$232:$C$233,LEFT(FA233,FIND("·",FA233)-1))&gt;0,IF(INDEX($D$232:$D$233,MATCH(LEFT(FA233,FIND("·",FA233)-1),$C$232:$C$233,0))=IFERROR(VALUE(MID(FA233,FIND("·",FA233)+1,1)),0),($D$28+(INDEX($E$232:$E$233,MATCH(LEFT(FA233,FIND("·",FA233)-1),$C$232:$C$233,0))=MID(FA233,FIND("|",FA233)+1,10))*$D$30+MAX(0,IF($D$50=1,$D$29*(1-(ABS(INDEX($Q$232:$Q$233,MATCH(LEFT(FA233,FIND("·",FA233)-1),$C$232:$C$233,0))-(VALUE(MID(FA233,FIND("|",FA233)+1,FIND("-",FA233,FIND("|",FA233))-FIND("|",FA233)-1))-VALUE(MID(FA233,FIND("-",FA233,FIND("|",FA233))+1,10)))))*$D$50),$D$29*(1-(IF(INDEX($D$232:$D$233,MATCH(LEFT(FA233,FIND("·",FA233)-1),$C$232:$C$233,0))=0,ABS(INDEX($A$232:$A$233,MATCH(LEFT(FA233,FIND("·",FA233)-1),$C$232:$C$233,0))-VALUE(MID(FA233,FIND("|",FA233)+1,FIND("-",FA233,FIND("|",FA233))-FIND("|",FA233)-1))),ABS(INDEX($Q$232:$Q$233,MATCH(LEFT(FA233,FIND("·",FA233)-1),$C$232:$C$233,0))-(VALUE(MID(FA233,FIND("|",FA233)+1,FIND("-",FA233,FIND("|",FA233))-FIND("|",FA233)-1))-VALUE(MID(FA233,FIND("-",FA233,FIND("|",FA233))+1,10)))))*$D$50)))))*INDEX($I$232:$I$233,MATCH(LEFT(FA233,FIND("·",FA233)-1),$C$232:$C$233,0)),0),0),0)</f>
        <v>0</v>
      </c>
      <c r="FC233" s="110"/>
      <c r="FD233" s="80"/>
      <c r="FE233" s="81">
        <f t="shared" ref="FE233" si="1594">IFERROR(IF(COUNTIF($K$232:$K$233,LEFT(FD233,FIND("·",FD233)-1))&gt;0,IF(INDEX($L$232:$L$233,MATCH(LEFT(FD233,FIND("·",FD233)-1),$K$232:$K$233,0))=IFERROR(VALUE(MID(FD233,FIND("·",FD233)+1,1)),0),($D$28+(INDEX($M$232:$M$233,MATCH(LEFT(FD233,FIND("·",FD233)-1),$K$232:$K$233,0))=MID(FD233,FIND("|",FD233)+1,10))*$D$30+MAX(0,IF($D$50=1,$D$29*(1-(ABS(INDEX($P$232:$P$233,MATCH(LEFT(FD233,FIND("·",FD233)-1),$K$232:$K$233,0))-(VALUE(MID(FD233,FIND("|",FD233)+1,FIND("-",FD233,FIND("|",FD233))-FIND("|",FD233)-1))-VALUE(MID(FD233,FIND("-",FD233,FIND("|",FD233))+1,10)))))*$D$50),$D$29*(1-(IF(INDEX($L$232:$L$233,MATCH(LEFT(FD233,FIND("·",FD233)-1),$K$232:$K$233,0))=0,ABS(INDEX($N$232:$N$233,MATCH(LEFT(FD233,FIND("·",FD233)-1),$K$232:$K$233,0))-VALUE(MID(FD233,FIND("|",FD233)+1,FIND("-",FD233,FIND("|",FD233))-FIND("|",FD233)-1))),ABS(INDEX($P$232:$P$233,MATCH(LEFT(FD233,FIND("·",FD233)-1),$K$232:$K$233,0))-(VALUE(MID(FD233,FIND("|",FD233)+1,FIND("-",FD233,FIND("|",FD233))-FIND("|",FD233)-1))-VALUE(MID(FD233,FIND("-",FD233,FIND("|",FD233))+1,10)))))*$D$50)))))*INDEX($I$232:$I$233,MATCH(LEFT(FD233,FIND("·",FD233)-1),$K$232:$K$233,0)),0),0),0)+IFERROR(IF(COUNTIF($C$232:$C$233,LEFT(FD233,FIND("·",FD233)-1))&gt;0,IF(INDEX($D$232:$D$233,MATCH(LEFT(FD233,FIND("·",FD233)-1),$C$232:$C$233,0))=IFERROR(VALUE(MID(FD233,FIND("·",FD233)+1,1)),0),($D$28+(INDEX($E$232:$E$233,MATCH(LEFT(FD233,FIND("·",FD233)-1),$C$232:$C$233,0))=MID(FD233,FIND("|",FD233)+1,10))*$D$30+MAX(0,IF($D$50=1,$D$29*(1-(ABS(INDEX($Q$232:$Q$233,MATCH(LEFT(FD233,FIND("·",FD233)-1),$C$232:$C$233,0))-(VALUE(MID(FD233,FIND("|",FD233)+1,FIND("-",FD233,FIND("|",FD233))-FIND("|",FD233)-1))-VALUE(MID(FD233,FIND("-",FD233,FIND("|",FD233))+1,10)))))*$D$50),$D$29*(1-(IF(INDEX($D$232:$D$233,MATCH(LEFT(FD233,FIND("·",FD233)-1),$C$232:$C$233,0))=0,ABS(INDEX($A$232:$A$233,MATCH(LEFT(FD233,FIND("·",FD233)-1),$C$232:$C$233,0))-VALUE(MID(FD233,FIND("|",FD233)+1,FIND("-",FD233,FIND("|",FD233))-FIND("|",FD233)-1))),ABS(INDEX($Q$232:$Q$233,MATCH(LEFT(FD233,FIND("·",FD233)-1),$C$232:$C$233,0))-(VALUE(MID(FD233,FIND("|",FD233)+1,FIND("-",FD233,FIND("|",FD233))-FIND("|",FD233)-1))-VALUE(MID(FD233,FIND("-",FD233,FIND("|",FD233))+1,10)))))*$D$50)))))*INDEX($I$232:$I$233,MATCH(LEFT(FD233,FIND("·",FD233)-1),$C$232:$C$233,0)),0),0),0)</f>
        <v>0</v>
      </c>
      <c r="FF233" s="110"/>
      <c r="FG233" s="80"/>
      <c r="FH233" s="81">
        <f t="shared" ref="FH233" si="1595">IFERROR(IF(COUNTIF($K$232:$K$233,LEFT(FG233,FIND("·",FG233)-1))&gt;0,IF(INDEX($L$232:$L$233,MATCH(LEFT(FG233,FIND("·",FG233)-1),$K$232:$K$233,0))=IFERROR(VALUE(MID(FG233,FIND("·",FG233)+1,1)),0),($D$28+(INDEX($M$232:$M$233,MATCH(LEFT(FG233,FIND("·",FG233)-1),$K$232:$K$233,0))=MID(FG233,FIND("|",FG233)+1,10))*$D$30+MAX(0,IF($D$50=1,$D$29*(1-(ABS(INDEX($P$232:$P$233,MATCH(LEFT(FG233,FIND("·",FG233)-1),$K$232:$K$233,0))-(VALUE(MID(FG233,FIND("|",FG233)+1,FIND("-",FG233,FIND("|",FG233))-FIND("|",FG233)-1))-VALUE(MID(FG233,FIND("-",FG233,FIND("|",FG233))+1,10)))))*$D$50),$D$29*(1-(IF(INDEX($L$232:$L$233,MATCH(LEFT(FG233,FIND("·",FG233)-1),$K$232:$K$233,0))=0,ABS(INDEX($N$232:$N$233,MATCH(LEFT(FG233,FIND("·",FG233)-1),$K$232:$K$233,0))-VALUE(MID(FG233,FIND("|",FG233)+1,FIND("-",FG233,FIND("|",FG233))-FIND("|",FG233)-1))),ABS(INDEX($P$232:$P$233,MATCH(LEFT(FG233,FIND("·",FG233)-1),$K$232:$K$233,0))-(VALUE(MID(FG233,FIND("|",FG233)+1,FIND("-",FG233,FIND("|",FG233))-FIND("|",FG233)-1))-VALUE(MID(FG233,FIND("-",FG233,FIND("|",FG233))+1,10)))))*$D$50)))))*INDEX($I$232:$I$233,MATCH(LEFT(FG233,FIND("·",FG233)-1),$K$232:$K$233,0)),0),0),0)+IFERROR(IF(COUNTIF($C$232:$C$233,LEFT(FG233,FIND("·",FG233)-1))&gt;0,IF(INDEX($D$232:$D$233,MATCH(LEFT(FG233,FIND("·",FG233)-1),$C$232:$C$233,0))=IFERROR(VALUE(MID(FG233,FIND("·",FG233)+1,1)),0),($D$28+(INDEX($E$232:$E$233,MATCH(LEFT(FG233,FIND("·",FG233)-1),$C$232:$C$233,0))=MID(FG233,FIND("|",FG233)+1,10))*$D$30+MAX(0,IF($D$50=1,$D$29*(1-(ABS(INDEX($Q$232:$Q$233,MATCH(LEFT(FG233,FIND("·",FG233)-1),$C$232:$C$233,0))-(VALUE(MID(FG233,FIND("|",FG233)+1,FIND("-",FG233,FIND("|",FG233))-FIND("|",FG233)-1))-VALUE(MID(FG233,FIND("-",FG233,FIND("|",FG233))+1,10)))))*$D$50),$D$29*(1-(IF(INDEX($D$232:$D$233,MATCH(LEFT(FG233,FIND("·",FG233)-1),$C$232:$C$233,0))=0,ABS(INDEX($A$232:$A$233,MATCH(LEFT(FG233,FIND("·",FG233)-1),$C$232:$C$233,0))-VALUE(MID(FG233,FIND("|",FG233)+1,FIND("-",FG233,FIND("|",FG233))-FIND("|",FG233)-1))),ABS(INDEX($Q$232:$Q$233,MATCH(LEFT(FG233,FIND("·",FG233)-1),$C$232:$C$233,0))-(VALUE(MID(FG233,FIND("|",FG233)+1,FIND("-",FG233,FIND("|",FG233))-FIND("|",FG233)-1))-VALUE(MID(FG233,FIND("-",FG233,FIND("|",FG233))+1,10)))))*$D$50)))))*INDEX($I$232:$I$233,MATCH(LEFT(FG233,FIND("·",FG233)-1),$C$232:$C$233,0)),0),0),0)</f>
        <v>0</v>
      </c>
      <c r="FI233" s="110"/>
      <c r="FJ233" s="80"/>
      <c r="FK233" s="81">
        <f t="shared" ref="FK233" si="1596">IFERROR(IF(COUNTIF($K$232:$K$233,LEFT(FJ233,FIND("·",FJ233)-1))&gt;0,IF(INDEX($L$232:$L$233,MATCH(LEFT(FJ233,FIND("·",FJ233)-1),$K$232:$K$233,0))=IFERROR(VALUE(MID(FJ233,FIND("·",FJ233)+1,1)),0),($D$28+(INDEX($M$232:$M$233,MATCH(LEFT(FJ233,FIND("·",FJ233)-1),$K$232:$K$233,0))=MID(FJ233,FIND("|",FJ233)+1,10))*$D$30+MAX(0,IF($D$50=1,$D$29*(1-(ABS(INDEX($P$232:$P$233,MATCH(LEFT(FJ233,FIND("·",FJ233)-1),$K$232:$K$233,0))-(VALUE(MID(FJ233,FIND("|",FJ233)+1,FIND("-",FJ233,FIND("|",FJ233))-FIND("|",FJ233)-1))-VALUE(MID(FJ233,FIND("-",FJ233,FIND("|",FJ233))+1,10)))))*$D$50),$D$29*(1-(IF(INDEX($L$232:$L$233,MATCH(LEFT(FJ233,FIND("·",FJ233)-1),$K$232:$K$233,0))=0,ABS(INDEX($N$232:$N$233,MATCH(LEFT(FJ233,FIND("·",FJ233)-1),$K$232:$K$233,0))-VALUE(MID(FJ233,FIND("|",FJ233)+1,FIND("-",FJ233,FIND("|",FJ233))-FIND("|",FJ233)-1))),ABS(INDEX($P$232:$P$233,MATCH(LEFT(FJ233,FIND("·",FJ233)-1),$K$232:$K$233,0))-(VALUE(MID(FJ233,FIND("|",FJ233)+1,FIND("-",FJ233,FIND("|",FJ233))-FIND("|",FJ233)-1))-VALUE(MID(FJ233,FIND("-",FJ233,FIND("|",FJ233))+1,10)))))*$D$50)))))*INDEX($I$232:$I$233,MATCH(LEFT(FJ233,FIND("·",FJ233)-1),$K$232:$K$233,0)),0),0),0)+IFERROR(IF(COUNTIF($C$232:$C$233,LEFT(FJ233,FIND("·",FJ233)-1))&gt;0,IF(INDEX($D$232:$D$233,MATCH(LEFT(FJ233,FIND("·",FJ233)-1),$C$232:$C$233,0))=IFERROR(VALUE(MID(FJ233,FIND("·",FJ233)+1,1)),0),($D$28+(INDEX($E$232:$E$233,MATCH(LEFT(FJ233,FIND("·",FJ233)-1),$C$232:$C$233,0))=MID(FJ233,FIND("|",FJ233)+1,10))*$D$30+MAX(0,IF($D$50=1,$D$29*(1-(ABS(INDEX($Q$232:$Q$233,MATCH(LEFT(FJ233,FIND("·",FJ233)-1),$C$232:$C$233,0))-(VALUE(MID(FJ233,FIND("|",FJ233)+1,FIND("-",FJ233,FIND("|",FJ233))-FIND("|",FJ233)-1))-VALUE(MID(FJ233,FIND("-",FJ233,FIND("|",FJ233))+1,10)))))*$D$50),$D$29*(1-(IF(INDEX($D$232:$D$233,MATCH(LEFT(FJ233,FIND("·",FJ233)-1),$C$232:$C$233,0))=0,ABS(INDEX($A$232:$A$233,MATCH(LEFT(FJ233,FIND("·",FJ233)-1),$C$232:$C$233,0))-VALUE(MID(FJ233,FIND("|",FJ233)+1,FIND("-",FJ233,FIND("|",FJ233))-FIND("|",FJ233)-1))),ABS(INDEX($Q$232:$Q$233,MATCH(LEFT(FJ233,FIND("·",FJ233)-1),$C$232:$C$233,0))-(VALUE(MID(FJ233,FIND("|",FJ233)+1,FIND("-",FJ233,FIND("|",FJ233))-FIND("|",FJ233)-1))-VALUE(MID(FJ233,FIND("-",FJ233,FIND("|",FJ233))+1,10)))))*$D$50)))))*INDEX($I$232:$I$233,MATCH(LEFT(FJ233,FIND("·",FJ233)-1),$C$232:$C$233,0)),0),0),0)</f>
        <v>0</v>
      </c>
      <c r="FL233" s="110"/>
      <c r="FM233" s="110"/>
    </row>
    <row r="234" spans="1:169">
      <c r="A234" s="25"/>
      <c r="B234" s="25"/>
      <c r="C234" s="25"/>
      <c r="D234" s="25"/>
      <c r="E234" s="25"/>
      <c r="F234" s="407"/>
      <c r="G234" s="407"/>
      <c r="H234" s="65"/>
      <c r="I234" s="50"/>
      <c r="J234" s="94"/>
      <c r="K234" s="434" t="str">
        <f>Idiomas!D464</f>
        <v>Partidos 1/2</v>
      </c>
      <c r="L234" s="435"/>
      <c r="M234" s="434" t="str">
        <f>"Max: "&amp;SUM($D$28:$D$30)*SUM($I$232:$I$233)</f>
        <v>Max: 8</v>
      </c>
      <c r="N234" s="25"/>
      <c r="O234" s="25"/>
      <c r="P234" s="25"/>
      <c r="Q234" s="25"/>
      <c r="R234" s="17"/>
      <c r="S234" s="84"/>
      <c r="T234" s="71">
        <f>SUM(T232:T233)</f>
        <v>0</v>
      </c>
      <c r="U234" s="49"/>
      <c r="V234" s="84"/>
      <c r="W234" s="71">
        <f t="shared" ref="W234" si="1597">SUM(W232:W233)</f>
        <v>0</v>
      </c>
      <c r="X234" s="49"/>
      <c r="Y234" s="84"/>
      <c r="Z234" s="71">
        <f t="shared" ref="Z234" si="1598">SUM(Z232:Z233)</f>
        <v>0</v>
      </c>
      <c r="AA234" s="49"/>
      <c r="AB234" s="84"/>
      <c r="AC234" s="71">
        <f t="shared" ref="AC234" si="1599">SUM(AC232:AC233)</f>
        <v>0</v>
      </c>
      <c r="AD234" s="111"/>
      <c r="AE234" s="84"/>
      <c r="AF234" s="71">
        <f t="shared" ref="AF234" si="1600">SUM(AF232:AF233)</f>
        <v>0</v>
      </c>
      <c r="AG234" s="49"/>
      <c r="AH234" s="84"/>
      <c r="AI234" s="71">
        <f t="shared" ref="AI234" si="1601">SUM(AI232:AI233)</f>
        <v>0</v>
      </c>
      <c r="AJ234" s="49"/>
      <c r="AK234" s="84"/>
      <c r="AL234" s="71">
        <f t="shared" ref="AL234" si="1602">SUM(AL232:AL233)</f>
        <v>0</v>
      </c>
      <c r="AM234" s="49"/>
      <c r="AN234" s="84"/>
      <c r="AO234" s="71">
        <f t="shared" ref="AO234" si="1603">SUM(AO232:AO233)</f>
        <v>0</v>
      </c>
      <c r="AP234" s="49"/>
      <c r="AQ234" s="84"/>
      <c r="AR234" s="71">
        <f t="shared" ref="AR234" si="1604">SUM(AR232:AR233)</f>
        <v>0</v>
      </c>
      <c r="AS234" s="49"/>
      <c r="AT234" s="84"/>
      <c r="AU234" s="71">
        <f t="shared" ref="AU234" si="1605">SUM(AU232:AU233)</f>
        <v>0</v>
      </c>
      <c r="AV234" s="49"/>
      <c r="AW234" s="84"/>
      <c r="AX234" s="71">
        <f t="shared" ref="AX234" si="1606">SUM(AX232:AX233)</f>
        <v>0</v>
      </c>
      <c r="AY234" s="49"/>
      <c r="AZ234" s="84"/>
      <c r="BA234" s="71">
        <f t="shared" ref="BA234" si="1607">SUM(BA232:BA233)</f>
        <v>0</v>
      </c>
      <c r="BB234" s="49"/>
      <c r="BC234" s="84"/>
      <c r="BD234" s="71">
        <f t="shared" ref="BD234" si="1608">SUM(BD232:BD233)</f>
        <v>0</v>
      </c>
      <c r="BE234" s="49"/>
      <c r="BF234" s="84"/>
      <c r="BG234" s="71">
        <f t="shared" ref="BG234" si="1609">SUM(BG232:BG233)</f>
        <v>0</v>
      </c>
      <c r="BH234" s="49"/>
      <c r="BI234" s="84"/>
      <c r="BJ234" s="71">
        <f t="shared" ref="BJ234" si="1610">SUM(BJ232:BJ233)</f>
        <v>0</v>
      </c>
      <c r="BK234" s="49"/>
      <c r="BL234" s="84"/>
      <c r="BM234" s="71">
        <f t="shared" ref="BM234" si="1611">SUM(BM232:BM233)</f>
        <v>0</v>
      </c>
      <c r="BN234" s="49"/>
      <c r="BO234" s="84"/>
      <c r="BP234" s="71">
        <f t="shared" ref="BP234" si="1612">SUM(BP232:BP233)</f>
        <v>0</v>
      </c>
      <c r="BQ234" s="49"/>
      <c r="BR234" s="84"/>
      <c r="BS234" s="71">
        <f t="shared" ref="BS234" si="1613">SUM(BS232:BS233)</f>
        <v>0</v>
      </c>
      <c r="BT234" s="49"/>
      <c r="BU234" s="84"/>
      <c r="BV234" s="71">
        <f t="shared" ref="BV234" si="1614">SUM(BV232:BV233)</f>
        <v>0</v>
      </c>
      <c r="BW234" s="49"/>
      <c r="BX234" s="84"/>
      <c r="BY234" s="71">
        <f t="shared" ref="BY234" si="1615">SUM(BY232:BY233)</f>
        <v>0</v>
      </c>
      <c r="BZ234" s="49"/>
      <c r="CA234" s="84"/>
      <c r="CB234" s="71">
        <f t="shared" ref="CB234" si="1616">SUM(CB232:CB233)</f>
        <v>0</v>
      </c>
      <c r="CC234" s="49"/>
      <c r="CD234" s="84"/>
      <c r="CE234" s="71">
        <f t="shared" ref="CE234" si="1617">SUM(CE232:CE233)</f>
        <v>0</v>
      </c>
      <c r="CF234" s="49"/>
      <c r="CG234" s="84"/>
      <c r="CH234" s="71">
        <f t="shared" ref="CH234" si="1618">SUM(CH232:CH233)</f>
        <v>0</v>
      </c>
      <c r="CI234" s="49"/>
      <c r="CJ234" s="84"/>
      <c r="CK234" s="71">
        <f t="shared" ref="CK234" si="1619">SUM(CK232:CK233)</f>
        <v>0</v>
      </c>
      <c r="CL234" s="49"/>
      <c r="CM234" s="84"/>
      <c r="CN234" s="71">
        <f t="shared" ref="CN234" si="1620">SUM(CN232:CN233)</f>
        <v>0</v>
      </c>
      <c r="CO234" s="49"/>
      <c r="CP234" s="84"/>
      <c r="CQ234" s="71">
        <f t="shared" ref="CQ234" si="1621">SUM(CQ232:CQ233)</f>
        <v>0</v>
      </c>
      <c r="CR234" s="49"/>
      <c r="CS234" s="84"/>
      <c r="CT234" s="71">
        <f t="shared" ref="CT234" si="1622">SUM(CT232:CT233)</f>
        <v>0</v>
      </c>
      <c r="CU234" s="49"/>
      <c r="CV234" s="84"/>
      <c r="CW234" s="71">
        <f t="shared" ref="CW234" si="1623">SUM(CW232:CW233)</f>
        <v>0</v>
      </c>
      <c r="CX234" s="49"/>
      <c r="CY234" s="84"/>
      <c r="CZ234" s="71">
        <f t="shared" ref="CZ234" si="1624">SUM(CZ232:CZ233)</f>
        <v>0</v>
      </c>
      <c r="DA234" s="49"/>
      <c r="DB234" s="84"/>
      <c r="DC234" s="71">
        <f t="shared" ref="DC234" si="1625">SUM(DC232:DC233)</f>
        <v>0</v>
      </c>
      <c r="DD234" s="49"/>
      <c r="DE234" s="84"/>
      <c r="DF234" s="71">
        <f t="shared" ref="DF234" si="1626">SUM(DF232:DF233)</f>
        <v>0</v>
      </c>
      <c r="DG234" s="49"/>
      <c r="DH234" s="84"/>
      <c r="DI234" s="71">
        <f t="shared" ref="DI234" si="1627">SUM(DI232:DI233)</f>
        <v>0</v>
      </c>
      <c r="DJ234" s="49"/>
      <c r="DK234" s="84"/>
      <c r="DL234" s="71">
        <f t="shared" ref="DL234" si="1628">SUM(DL232:DL233)</f>
        <v>0</v>
      </c>
      <c r="DM234" s="49"/>
      <c r="DN234" s="796"/>
      <c r="DO234" s="71">
        <f t="shared" ref="DO234" si="1629">SUM(DO232:DO233)</f>
        <v>0</v>
      </c>
      <c r="DP234" s="49"/>
      <c r="DQ234" s="796"/>
      <c r="DR234" s="71">
        <f t="shared" ref="DR234" si="1630">SUM(DR232:DR233)</f>
        <v>0</v>
      </c>
      <c r="DS234" s="49"/>
      <c r="DT234" s="84"/>
      <c r="DU234" s="71">
        <f t="shared" ref="DU234" si="1631">SUM(DU232:DU233)</f>
        <v>0</v>
      </c>
      <c r="DV234" s="49"/>
      <c r="DW234" s="84"/>
      <c r="DX234" s="71">
        <f t="shared" ref="DX234" si="1632">SUM(DX232:DX233)</f>
        <v>0</v>
      </c>
      <c r="DY234" s="49"/>
      <c r="DZ234" s="84"/>
      <c r="EA234" s="71">
        <f t="shared" ref="EA234" si="1633">SUM(EA232:EA233)</f>
        <v>0</v>
      </c>
      <c r="EB234" s="49"/>
      <c r="EC234" s="84"/>
      <c r="ED234" s="71">
        <f t="shared" ref="ED234" si="1634">SUM(ED232:ED233)</f>
        <v>0</v>
      </c>
      <c r="EE234" s="49"/>
      <c r="EF234" s="84"/>
      <c r="EG234" s="71">
        <f t="shared" ref="EG234" si="1635">SUM(EG232:EG233)</f>
        <v>0</v>
      </c>
      <c r="EH234" s="49"/>
      <c r="EI234" s="84"/>
      <c r="EJ234" s="71">
        <f t="shared" ref="EJ234" si="1636">SUM(EJ232:EJ233)</f>
        <v>0</v>
      </c>
      <c r="EK234" s="49"/>
      <c r="EL234" s="84"/>
      <c r="EM234" s="71">
        <f t="shared" ref="EM234" si="1637">SUM(EM232:EM233)</f>
        <v>0</v>
      </c>
      <c r="EN234" s="49"/>
      <c r="EO234" s="84"/>
      <c r="EP234" s="71">
        <f t="shared" ref="EP234" si="1638">SUM(EP232:EP233)</f>
        <v>0</v>
      </c>
      <c r="EQ234" s="49"/>
      <c r="ER234" s="84"/>
      <c r="ES234" s="71">
        <f t="shared" ref="ES234" si="1639">SUM(ES232:ES233)</f>
        <v>0</v>
      </c>
      <c r="ET234" s="49"/>
      <c r="EU234" s="84"/>
      <c r="EV234" s="71">
        <f t="shared" ref="EV234" si="1640">SUM(EV232:EV233)</f>
        <v>0</v>
      </c>
      <c r="EW234" s="49"/>
      <c r="EX234" s="84"/>
      <c r="EY234" s="71">
        <f t="shared" ref="EY234" si="1641">SUM(EY232:EY233)</f>
        <v>0</v>
      </c>
      <c r="EZ234" s="49"/>
      <c r="FA234" s="84"/>
      <c r="FB234" s="71">
        <f t="shared" ref="FB234" si="1642">SUM(FB232:FB233)</f>
        <v>0</v>
      </c>
      <c r="FC234" s="49"/>
      <c r="FD234" s="84"/>
      <c r="FE234" s="71">
        <f t="shared" ref="FE234" si="1643">SUM(FE232:FE233)</f>
        <v>0</v>
      </c>
      <c r="FF234" s="49"/>
      <c r="FG234" s="84"/>
      <c r="FH234" s="71">
        <f t="shared" ref="FH234" si="1644">SUM(FH232:FH233)</f>
        <v>0</v>
      </c>
      <c r="FI234" s="49"/>
      <c r="FJ234" s="84"/>
      <c r="FK234" s="71">
        <f t="shared" ref="FK234" si="1645">SUM(FK232:FK233)</f>
        <v>0</v>
      </c>
      <c r="FL234" s="49"/>
      <c r="FM234" s="49"/>
    </row>
    <row r="235" spans="1:169">
      <c r="A235" s="25"/>
      <c r="B235" s="25"/>
      <c r="C235" s="25"/>
      <c r="D235" s="25"/>
      <c r="E235" s="25"/>
      <c r="F235" s="407"/>
      <c r="G235" s="407"/>
      <c r="H235" s="65"/>
      <c r="I235" s="50"/>
      <c r="J235" s="94"/>
      <c r="K235" s="113" t="str">
        <f>Idiomas!D145</f>
        <v>CLASIFICADOS PARA EL 3º y 4º PUESTO</v>
      </c>
      <c r="L235" s="50"/>
      <c r="M235" s="71"/>
      <c r="N235" s="25"/>
      <c r="O235" s="25"/>
      <c r="P235" s="25"/>
      <c r="Q235" s="25"/>
      <c r="R235" s="17"/>
      <c r="S235" s="84"/>
      <c r="T235" s="71"/>
      <c r="U235" s="49"/>
      <c r="V235" s="84"/>
      <c r="W235" s="71"/>
      <c r="X235" s="49"/>
      <c r="Y235" s="84"/>
      <c r="Z235" s="71"/>
      <c r="AA235" s="49"/>
      <c r="AB235" s="84"/>
      <c r="AC235" s="71"/>
      <c r="AD235" s="111"/>
      <c r="AE235" s="84"/>
      <c r="AF235" s="71"/>
      <c r="AG235" s="49"/>
      <c r="AH235" s="84"/>
      <c r="AI235" s="71"/>
      <c r="AJ235" s="49"/>
      <c r="AK235" s="84"/>
      <c r="AL235" s="71"/>
      <c r="AM235" s="49"/>
      <c r="AN235" s="84"/>
      <c r="AO235" s="71"/>
      <c r="AP235" s="49"/>
      <c r="AQ235" s="84"/>
      <c r="AR235" s="71"/>
      <c r="AS235" s="49"/>
      <c r="AT235" s="84"/>
      <c r="AU235" s="71"/>
      <c r="AV235" s="49"/>
      <c r="AW235" s="84"/>
      <c r="AX235" s="71"/>
      <c r="AY235" s="49"/>
      <c r="AZ235" s="84"/>
      <c r="BA235" s="71"/>
      <c r="BB235" s="49"/>
      <c r="BC235" s="84"/>
      <c r="BD235" s="71"/>
      <c r="BE235" s="49"/>
      <c r="BF235" s="84"/>
      <c r="BG235" s="71"/>
      <c r="BH235" s="49"/>
      <c r="BI235" s="84"/>
      <c r="BJ235" s="71"/>
      <c r="BK235" s="49"/>
      <c r="BL235" s="84"/>
      <c r="BM235" s="71"/>
      <c r="BN235" s="49"/>
      <c r="BO235" s="84"/>
      <c r="BP235" s="71"/>
      <c r="BQ235" s="49"/>
      <c r="BR235" s="84"/>
      <c r="BS235" s="71"/>
      <c r="BT235" s="49"/>
      <c r="BU235" s="84"/>
      <c r="BV235" s="71"/>
      <c r="BW235" s="49"/>
      <c r="BX235" s="84"/>
      <c r="BY235" s="71"/>
      <c r="BZ235" s="49"/>
      <c r="CA235" s="84"/>
      <c r="CB235" s="71"/>
      <c r="CC235" s="49"/>
      <c r="CD235" s="84"/>
      <c r="CE235" s="71"/>
      <c r="CF235" s="49"/>
      <c r="CG235" s="84"/>
      <c r="CH235" s="71"/>
      <c r="CI235" s="49"/>
      <c r="CJ235" s="84"/>
      <c r="CK235" s="71"/>
      <c r="CL235" s="49"/>
      <c r="CM235" s="84"/>
      <c r="CN235" s="71"/>
      <c r="CO235" s="49"/>
      <c r="CP235" s="84"/>
      <c r="CQ235" s="71"/>
      <c r="CR235" s="49"/>
      <c r="CS235" s="84"/>
      <c r="CT235" s="71"/>
      <c r="CU235" s="49"/>
      <c r="CV235" s="84"/>
      <c r="CW235" s="71"/>
      <c r="CX235" s="49"/>
      <c r="CY235" s="84"/>
      <c r="CZ235" s="71"/>
      <c r="DA235" s="49"/>
      <c r="DB235" s="84"/>
      <c r="DC235" s="71"/>
      <c r="DD235" s="49"/>
      <c r="DE235" s="84"/>
      <c r="DF235" s="71"/>
      <c r="DG235" s="49"/>
      <c r="DH235" s="84"/>
      <c r="DI235" s="71"/>
      <c r="DJ235" s="49"/>
      <c r="DK235" s="84"/>
      <c r="DL235" s="71"/>
      <c r="DM235" s="49"/>
      <c r="DN235" s="796"/>
      <c r="DO235" s="71"/>
      <c r="DP235" s="49"/>
      <c r="DQ235" s="796"/>
      <c r="DR235" s="71"/>
      <c r="DS235" s="49"/>
      <c r="DT235" s="84"/>
      <c r="DU235" s="71"/>
      <c r="DV235" s="49"/>
      <c r="DW235" s="84"/>
      <c r="DX235" s="71"/>
      <c r="DY235" s="49"/>
      <c r="DZ235" s="84"/>
      <c r="EA235" s="71"/>
      <c r="EB235" s="49"/>
      <c r="EC235" s="84"/>
      <c r="ED235" s="71"/>
      <c r="EE235" s="49"/>
      <c r="EF235" s="84"/>
      <c r="EG235" s="71"/>
      <c r="EH235" s="49"/>
      <c r="EI235" s="84"/>
      <c r="EJ235" s="71"/>
      <c r="EK235" s="49"/>
      <c r="EL235" s="84"/>
      <c r="EM235" s="71"/>
      <c r="EN235" s="49"/>
      <c r="EO235" s="84"/>
      <c r="EP235" s="71"/>
      <c r="EQ235" s="49"/>
      <c r="ER235" s="84"/>
      <c r="ES235" s="71"/>
      <c r="ET235" s="49"/>
      <c r="EU235" s="84"/>
      <c r="EV235" s="71"/>
      <c r="EW235" s="49"/>
      <c r="EX235" s="84"/>
      <c r="EY235" s="71"/>
      <c r="EZ235" s="49"/>
      <c r="FA235" s="84"/>
      <c r="FB235" s="71"/>
      <c r="FC235" s="49"/>
      <c r="FD235" s="84"/>
      <c r="FE235" s="71"/>
      <c r="FF235" s="49"/>
      <c r="FG235" s="84"/>
      <c r="FH235" s="71"/>
      <c r="FI235" s="49"/>
      <c r="FJ235" s="84"/>
      <c r="FK235" s="71"/>
      <c r="FL235" s="49"/>
      <c r="FM235" s="49"/>
    </row>
    <row r="236" spans="1:169">
      <c r="A236" s="25"/>
      <c r="B236" s="25"/>
      <c r="C236" s="25"/>
      <c r="D236" s="25"/>
      <c r="E236" s="25"/>
      <c r="F236" s="407">
        <f>$D$31</f>
        <v>6</v>
      </c>
      <c r="G236" s="407">
        <f ca="1">VLOOKUP(H236,Equipos!$Q$1:$R$25,2,0)</f>
        <v>23</v>
      </c>
      <c r="H236" s="65" t="str">
        <f>Idiomas!$D$263</f>
        <v>Semifinales</v>
      </c>
      <c r="I236" s="50"/>
      <c r="J236" s="850" t="s">
        <v>493</v>
      </c>
      <c r="K236" s="53" t="str">
        <f>Idiomas!D202&amp;"-"&amp;ROWS($L$236:L236)</f>
        <v>3º y 4º puesto-1</v>
      </c>
      <c r="L236" s="53"/>
      <c r="M236" s="55" t="str">
        <f>WORLDCUP!AA143</f>
        <v>L101</v>
      </c>
      <c r="N236" s="25"/>
      <c r="O236" s="25"/>
      <c r="P236" s="25"/>
      <c r="Q236" s="25"/>
      <c r="R236" s="17"/>
      <c r="S236" s="76" t="s">
        <v>38</v>
      </c>
      <c r="T236" s="77">
        <f>COUNTIF($M$236:$M$237,S236)*$D$31</f>
        <v>0</v>
      </c>
      <c r="U236" s="110"/>
      <c r="V236" s="76" t="s">
        <v>74</v>
      </c>
      <c r="W236" s="77">
        <f t="shared" ref="W236" si="1646">COUNTIF($M$236:$M$237,V236)*$D$31</f>
        <v>0</v>
      </c>
      <c r="X236" s="110"/>
      <c r="Y236" s="76" t="s">
        <v>74</v>
      </c>
      <c r="Z236" s="77">
        <f t="shared" ref="Z236" si="1647">COUNTIF($M$236:$M$237,Y236)*$D$31</f>
        <v>0</v>
      </c>
      <c r="AA236" s="110"/>
      <c r="AB236" s="76" t="s">
        <v>38</v>
      </c>
      <c r="AC236" s="77">
        <f t="shared" ref="AC236" si="1648">COUNTIF($M$236:$M$237,AB236)*$D$31</f>
        <v>0</v>
      </c>
      <c r="AD236" s="110"/>
      <c r="AE236" s="76" t="s">
        <v>38</v>
      </c>
      <c r="AF236" s="77">
        <f t="shared" ref="AF236" si="1649">COUNTIF($M$236:$M$237,AE236)*$D$31</f>
        <v>0</v>
      </c>
      <c r="AG236" s="110"/>
      <c r="AH236" s="76" t="s">
        <v>74</v>
      </c>
      <c r="AI236" s="77">
        <f t="shared" ref="AI236" si="1650">COUNTIF($M$236:$M$237,AH236)*$D$31</f>
        <v>0</v>
      </c>
      <c r="AJ236" s="110"/>
      <c r="AK236" s="76" t="s">
        <v>111</v>
      </c>
      <c r="AL236" s="77">
        <f t="shared" ref="AL236" si="1651">COUNTIF($M$236:$M$237,AK236)*$D$31</f>
        <v>0</v>
      </c>
      <c r="AM236" s="110"/>
      <c r="AN236" s="76" t="s">
        <v>1320</v>
      </c>
      <c r="AO236" s="77">
        <f t="shared" ref="AO236" si="1652">COUNTIF($M$236:$M$237,AN236)*$D$31</f>
        <v>0</v>
      </c>
      <c r="AP236" s="110"/>
      <c r="AQ236" s="76" t="s">
        <v>74</v>
      </c>
      <c r="AR236" s="77">
        <f t="shared" ref="AR236" si="1653">COUNTIF($M$236:$M$237,AQ236)*$D$31</f>
        <v>0</v>
      </c>
      <c r="AS236" s="110"/>
      <c r="AT236" s="76" t="s">
        <v>38</v>
      </c>
      <c r="AU236" s="77">
        <f t="shared" ref="AU236" si="1654">COUNTIF($M$236:$M$237,AT236)*$D$31</f>
        <v>0</v>
      </c>
      <c r="AV236" s="110"/>
      <c r="AW236" s="76" t="s">
        <v>38</v>
      </c>
      <c r="AX236" s="77">
        <f t="shared" ref="AX236" si="1655">COUNTIF($M$236:$M$237,AW236)*$D$31</f>
        <v>0</v>
      </c>
      <c r="AY236" s="110"/>
      <c r="AZ236" s="76" t="s">
        <v>74</v>
      </c>
      <c r="BA236" s="77">
        <f t="shared" ref="BA236" si="1656">COUNTIF($M$236:$M$237,AZ236)*$D$31</f>
        <v>0</v>
      </c>
      <c r="BB236" s="110"/>
      <c r="BC236" s="76" t="s">
        <v>74</v>
      </c>
      <c r="BD236" s="77">
        <f t="shared" ref="BD236" si="1657">COUNTIF($M$236:$M$237,BC236)*$D$31</f>
        <v>0</v>
      </c>
      <c r="BE236" s="110"/>
      <c r="BF236" s="76" t="s">
        <v>74</v>
      </c>
      <c r="BG236" s="77">
        <f t="shared" ref="BG236" si="1658">COUNTIF($M$236:$M$237,BF236)*$D$31</f>
        <v>0</v>
      </c>
      <c r="BH236" s="110"/>
      <c r="BI236" s="76" t="s">
        <v>74</v>
      </c>
      <c r="BJ236" s="77">
        <f t="shared" ref="BJ236" si="1659">COUNTIF($M$236:$M$237,BI236)*$D$31</f>
        <v>0</v>
      </c>
      <c r="BK236" s="110"/>
      <c r="BL236" s="76" t="s">
        <v>74</v>
      </c>
      <c r="BM236" s="77">
        <f t="shared" ref="BM236" si="1660">COUNTIF($M$236:$M$237,BL236)*$D$31</f>
        <v>0</v>
      </c>
      <c r="BN236" s="110"/>
      <c r="BO236" s="76" t="s">
        <v>74</v>
      </c>
      <c r="BP236" s="77">
        <f t="shared" ref="BP236" si="1661">COUNTIF($M$236:$M$237,BO236)*$D$31</f>
        <v>0</v>
      </c>
      <c r="BQ236" s="110"/>
      <c r="BR236" s="76" t="s">
        <v>74</v>
      </c>
      <c r="BS236" s="77">
        <f t="shared" ref="BS236" si="1662">COUNTIF($M$236:$M$237,BR236)*$D$31</f>
        <v>0</v>
      </c>
      <c r="BT236" s="110"/>
      <c r="BU236" s="76" t="s">
        <v>74</v>
      </c>
      <c r="BV236" s="77">
        <f t="shared" ref="BV236" si="1663">COUNTIF($M$236:$M$237,BU236)*$D$31</f>
        <v>0</v>
      </c>
      <c r="BW236" s="110"/>
      <c r="BX236" s="76" t="s">
        <v>38</v>
      </c>
      <c r="BY236" s="77">
        <f t="shared" ref="BY236" si="1664">COUNTIF($M$236:$M$237,BX236)*$D$31</f>
        <v>0</v>
      </c>
      <c r="BZ236" s="110"/>
      <c r="CA236" s="76" t="s">
        <v>77</v>
      </c>
      <c r="CB236" s="77">
        <f t="shared" ref="CB236" si="1665">COUNTIF($M$236:$M$237,CA236)*$D$31</f>
        <v>0</v>
      </c>
      <c r="CC236" s="110"/>
      <c r="CD236" s="76" t="s">
        <v>38</v>
      </c>
      <c r="CE236" s="77">
        <f t="shared" ref="CE236" si="1666">COUNTIF($M$236:$M$237,CD236)*$D$31</f>
        <v>0</v>
      </c>
      <c r="CF236" s="110"/>
      <c r="CG236" s="76" t="s">
        <v>74</v>
      </c>
      <c r="CH236" s="77">
        <f t="shared" ref="CH236" si="1667">COUNTIF($M$236:$M$237,CG236)*$D$31</f>
        <v>0</v>
      </c>
      <c r="CI236" s="110"/>
      <c r="CJ236" s="76" t="s">
        <v>74</v>
      </c>
      <c r="CK236" s="77">
        <f t="shared" ref="CK236" si="1668">COUNTIF($M$236:$M$237,CJ236)*$D$31</f>
        <v>0</v>
      </c>
      <c r="CL236" s="110"/>
      <c r="CM236" s="76" t="s">
        <v>74</v>
      </c>
      <c r="CN236" s="77">
        <f t="shared" ref="CN236" si="1669">COUNTIF($M$236:$M$237,CM236)*$D$31</f>
        <v>0</v>
      </c>
      <c r="CO236" s="110"/>
      <c r="CP236" s="76" t="s">
        <v>74</v>
      </c>
      <c r="CQ236" s="77">
        <f t="shared" ref="CQ236" si="1670">COUNTIF($M$236:$M$237,CP236)*$D$31</f>
        <v>0</v>
      </c>
      <c r="CR236" s="110"/>
      <c r="CS236" s="76" t="s">
        <v>74</v>
      </c>
      <c r="CT236" s="77">
        <f t="shared" ref="CT236" si="1671">COUNTIF($M$236:$M$237,CS236)*$D$31</f>
        <v>0</v>
      </c>
      <c r="CU236" s="110"/>
      <c r="CV236" s="76" t="s">
        <v>74</v>
      </c>
      <c r="CW236" s="77">
        <f t="shared" ref="CW236" si="1672">COUNTIF($M$236:$M$237,CV236)*$D$31</f>
        <v>0</v>
      </c>
      <c r="CX236" s="110"/>
      <c r="CY236" s="76" t="s">
        <v>38</v>
      </c>
      <c r="CZ236" s="77">
        <f t="shared" ref="CZ236" si="1673">COUNTIF($M$236:$M$237,CY236)*$D$31</f>
        <v>0</v>
      </c>
      <c r="DA236" s="110"/>
      <c r="DB236" s="76" t="s">
        <v>74</v>
      </c>
      <c r="DC236" s="77">
        <f t="shared" ref="DC236" si="1674">COUNTIF($M$236:$M$237,DB236)*$D$31</f>
        <v>0</v>
      </c>
      <c r="DD236" s="110"/>
      <c r="DE236" s="76" t="s">
        <v>1835</v>
      </c>
      <c r="DF236" s="77">
        <f t="shared" ref="DF236" si="1675">COUNTIF($M$236:$M$237,DE236)*$D$31</f>
        <v>0</v>
      </c>
      <c r="DG236" s="110"/>
      <c r="DH236" s="76" t="s">
        <v>38</v>
      </c>
      <c r="DI236" s="77">
        <f t="shared" ref="DI236" si="1676">COUNTIF($M$236:$M$237,DH236)*$D$31</f>
        <v>0</v>
      </c>
      <c r="DJ236" s="110"/>
      <c r="DK236" s="76" t="s">
        <v>38</v>
      </c>
      <c r="DL236" s="77">
        <f t="shared" ref="DL236" si="1677">COUNTIF($M$236:$M$237,DK236)*$D$31</f>
        <v>0</v>
      </c>
      <c r="DM236" s="110"/>
      <c r="DN236" s="795" t="s">
        <v>74</v>
      </c>
      <c r="DO236" s="77">
        <f t="shared" ref="DO236" si="1678">COUNTIF($M$236:$M$237,DN236)*$D$31</f>
        <v>0</v>
      </c>
      <c r="DP236" s="110"/>
      <c r="DQ236" s="795" t="s">
        <v>76</v>
      </c>
      <c r="DR236" s="77">
        <f t="shared" ref="DR236" si="1679">COUNTIF($M$236:$M$237,DQ236)*$D$31</f>
        <v>0</v>
      </c>
      <c r="DS236" s="110"/>
      <c r="DT236" s="76" t="s">
        <v>77</v>
      </c>
      <c r="DU236" s="77">
        <f t="shared" ref="DU236" si="1680">COUNTIF($M$236:$M$237,DT236)*$D$31</f>
        <v>0</v>
      </c>
      <c r="DV236" s="110"/>
      <c r="DW236" s="76" t="s">
        <v>74</v>
      </c>
      <c r="DX236" s="77">
        <f t="shared" ref="DX236" si="1681">COUNTIF($M$236:$M$237,DW236)*$D$31</f>
        <v>0</v>
      </c>
      <c r="DY236" s="110"/>
      <c r="DZ236" s="76" t="s">
        <v>77</v>
      </c>
      <c r="EA236" s="77">
        <f t="shared" ref="EA236" si="1682">COUNTIF($M$236:$M$237,DZ236)*$D$31</f>
        <v>0</v>
      </c>
      <c r="EB236" s="110"/>
      <c r="EC236" s="76" t="s">
        <v>77</v>
      </c>
      <c r="ED236" s="77">
        <f t="shared" ref="ED236" si="1683">COUNTIF($M$236:$M$237,EC236)*$D$31</f>
        <v>0</v>
      </c>
      <c r="EE236" s="110"/>
      <c r="EF236" s="76" t="s">
        <v>77</v>
      </c>
      <c r="EG236" s="77">
        <f t="shared" ref="EG236" si="1684">COUNTIF($M$236:$M$237,EF236)*$D$31</f>
        <v>0</v>
      </c>
      <c r="EH236" s="110"/>
      <c r="EI236" s="76" t="s">
        <v>74</v>
      </c>
      <c r="EJ236" s="77">
        <f t="shared" ref="EJ236" si="1685">COUNTIF($M$236:$M$237,EI236)*$D$31</f>
        <v>0</v>
      </c>
      <c r="EK236" s="110"/>
      <c r="EL236" s="76"/>
      <c r="EM236" s="77">
        <f t="shared" ref="EM236" si="1686">COUNTIF($M$236:$M$237,EL236)*$D$31</f>
        <v>0</v>
      </c>
      <c r="EN236" s="110"/>
      <c r="EO236" s="76"/>
      <c r="EP236" s="77">
        <f t="shared" ref="EP236" si="1687">COUNTIF($M$236:$M$237,EO236)*$D$31</f>
        <v>0</v>
      </c>
      <c r="EQ236" s="110"/>
      <c r="ER236" s="76"/>
      <c r="ES236" s="77">
        <f t="shared" ref="ES236" si="1688">COUNTIF($M$236:$M$237,ER236)*$D$31</f>
        <v>0</v>
      </c>
      <c r="ET236" s="110"/>
      <c r="EU236" s="76"/>
      <c r="EV236" s="77">
        <f t="shared" ref="EV236" si="1689">COUNTIF($M$236:$M$237,EU236)*$D$31</f>
        <v>0</v>
      </c>
      <c r="EW236" s="110"/>
      <c r="EX236" s="76"/>
      <c r="EY236" s="77">
        <f t="shared" ref="EY236" si="1690">COUNTIF($M$236:$M$237,EX236)*$D$31</f>
        <v>0</v>
      </c>
      <c r="EZ236" s="110"/>
      <c r="FA236" s="76"/>
      <c r="FB236" s="77">
        <f t="shared" ref="FB236" si="1691">COUNTIF($M$236:$M$237,FA236)*$D$31</f>
        <v>0</v>
      </c>
      <c r="FC236" s="110"/>
      <c r="FD236" s="76"/>
      <c r="FE236" s="77">
        <f t="shared" ref="FE236" si="1692">COUNTIF($M$236:$M$237,FD236)*$D$31</f>
        <v>0</v>
      </c>
      <c r="FF236" s="110"/>
      <c r="FG236" s="76"/>
      <c r="FH236" s="77">
        <f t="shared" ref="FH236" si="1693">COUNTIF($M$236:$M$237,FG236)*$D$31</f>
        <v>0</v>
      </c>
      <c r="FI236" s="110"/>
      <c r="FJ236" s="76"/>
      <c r="FK236" s="77">
        <f t="shared" ref="FK236" si="1694">COUNTIF($M$236:$M$237,FJ236)*$D$31</f>
        <v>0</v>
      </c>
      <c r="FL236" s="110"/>
      <c r="FM236" s="110"/>
    </row>
    <row r="237" spans="1:169">
      <c r="A237" s="25"/>
      <c r="B237" s="25"/>
      <c r="C237" s="25"/>
      <c r="D237" s="25"/>
      <c r="E237" s="25"/>
      <c r="F237" s="407">
        <f>$D$31</f>
        <v>6</v>
      </c>
      <c r="G237" s="407">
        <f ca="1">VLOOKUP(H237,Equipos!$Q$1:$R$25,2,0)</f>
        <v>23</v>
      </c>
      <c r="H237" s="65" t="str">
        <f>Idiomas!$D$263</f>
        <v>Semifinales</v>
      </c>
      <c r="I237" s="50"/>
      <c r="J237" s="850"/>
      <c r="K237" s="115" t="str">
        <f>Idiomas!D203&amp;"-"&amp;ROWS($L$236:L237)</f>
        <v>Finalista-2</v>
      </c>
      <c r="L237" s="115"/>
      <c r="M237" s="116" t="str">
        <f>WORLDCUP!AF143</f>
        <v>L102</v>
      </c>
      <c r="N237" s="25"/>
      <c r="O237" s="25"/>
      <c r="P237" s="25"/>
      <c r="Q237" s="25"/>
      <c r="R237" s="17"/>
      <c r="S237" s="80" t="s">
        <v>1256</v>
      </c>
      <c r="T237" s="81">
        <f>COUNTIF($M$236:$M$237,S237)*$D$31</f>
        <v>0</v>
      </c>
      <c r="U237" s="110"/>
      <c r="V237" s="80" t="s">
        <v>76</v>
      </c>
      <c r="W237" s="81">
        <f t="shared" ref="W237" si="1695">COUNTIF($M$236:$M$237,V237)*$D$31</f>
        <v>0</v>
      </c>
      <c r="X237" s="110"/>
      <c r="Y237" s="80" t="s">
        <v>1258</v>
      </c>
      <c r="Z237" s="81">
        <f t="shared" ref="Z237" si="1696">COUNTIF($M$236:$M$237,Y237)*$D$31</f>
        <v>0</v>
      </c>
      <c r="AA237" s="110"/>
      <c r="AB237" s="80" t="s">
        <v>1256</v>
      </c>
      <c r="AC237" s="81">
        <f t="shared" ref="AC237" si="1697">COUNTIF($M$236:$M$237,AB237)*$D$31</f>
        <v>0</v>
      </c>
      <c r="AD237" s="110"/>
      <c r="AE237" s="80" t="s">
        <v>1256</v>
      </c>
      <c r="AF237" s="81">
        <f t="shared" ref="AF237" si="1698">COUNTIF($M$236:$M$237,AE237)*$D$31</f>
        <v>0</v>
      </c>
      <c r="AG237" s="110"/>
      <c r="AH237" s="80" t="s">
        <v>1321</v>
      </c>
      <c r="AI237" s="81">
        <f t="shared" ref="AI237" si="1699">COUNTIF($M$236:$M$237,AH237)*$D$31</f>
        <v>0</v>
      </c>
      <c r="AJ237" s="110"/>
      <c r="AK237" s="80" t="s">
        <v>76</v>
      </c>
      <c r="AL237" s="81">
        <f t="shared" ref="AL237" si="1700">COUNTIF($M$236:$M$237,AK237)*$D$31</f>
        <v>0</v>
      </c>
      <c r="AM237" s="110"/>
      <c r="AN237" s="80" t="s">
        <v>76</v>
      </c>
      <c r="AO237" s="81">
        <f t="shared" ref="AO237" si="1701">COUNTIF($M$236:$M$237,AN237)*$D$31</f>
        <v>0</v>
      </c>
      <c r="AP237" s="110"/>
      <c r="AQ237" s="80" t="s">
        <v>76</v>
      </c>
      <c r="AR237" s="81">
        <f t="shared" ref="AR237" si="1702">COUNTIF($M$236:$M$237,AQ237)*$D$31</f>
        <v>0</v>
      </c>
      <c r="AS237" s="110"/>
      <c r="AT237" s="80" t="s">
        <v>76</v>
      </c>
      <c r="AU237" s="81">
        <f t="shared" ref="AU237" si="1703">COUNTIF($M$236:$M$237,AT237)*$D$31</f>
        <v>0</v>
      </c>
      <c r="AV237" s="110"/>
      <c r="AW237" s="80" t="s">
        <v>1258</v>
      </c>
      <c r="AX237" s="81">
        <f t="shared" ref="AX237" si="1704">COUNTIF($M$236:$M$237,AW237)*$D$31</f>
        <v>0</v>
      </c>
      <c r="AY237" s="110"/>
      <c r="AZ237" s="80" t="s">
        <v>1258</v>
      </c>
      <c r="BA237" s="81">
        <f t="shared" ref="BA237" si="1705">COUNTIF($M$236:$M$237,AZ237)*$D$31</f>
        <v>0</v>
      </c>
      <c r="BB237" s="110"/>
      <c r="BC237" s="80" t="s">
        <v>79</v>
      </c>
      <c r="BD237" s="81">
        <f t="shared" ref="BD237" si="1706">COUNTIF($M$236:$M$237,BC237)*$D$31</f>
        <v>0</v>
      </c>
      <c r="BE237" s="110"/>
      <c r="BF237" s="80" t="s">
        <v>76</v>
      </c>
      <c r="BG237" s="81">
        <f t="shared" ref="BG237" si="1707">COUNTIF($M$236:$M$237,BF237)*$D$31</f>
        <v>0</v>
      </c>
      <c r="BH237" s="110"/>
      <c r="BI237" s="80" t="s">
        <v>79</v>
      </c>
      <c r="BJ237" s="81">
        <f t="shared" ref="BJ237" si="1708">COUNTIF($M$236:$M$237,BI237)*$D$31</f>
        <v>0</v>
      </c>
      <c r="BK237" s="110"/>
      <c r="BL237" s="80" t="s">
        <v>76</v>
      </c>
      <c r="BM237" s="81">
        <f t="shared" ref="BM237" si="1709">COUNTIF($M$236:$M$237,BL237)*$D$31</f>
        <v>0</v>
      </c>
      <c r="BN237" s="110"/>
      <c r="BO237" s="80" t="s">
        <v>76</v>
      </c>
      <c r="BP237" s="81">
        <f t="shared" ref="BP237" si="1710">COUNTIF($M$236:$M$237,BO237)*$D$31</f>
        <v>0</v>
      </c>
      <c r="BQ237" s="110"/>
      <c r="BR237" s="80" t="s">
        <v>1258</v>
      </c>
      <c r="BS237" s="81">
        <f t="shared" ref="BS237" si="1711">COUNTIF($M$236:$M$237,BR237)*$D$31</f>
        <v>0</v>
      </c>
      <c r="BT237" s="110"/>
      <c r="BU237" s="80" t="s">
        <v>1258</v>
      </c>
      <c r="BV237" s="81">
        <f t="shared" ref="BV237" si="1712">COUNTIF($M$236:$M$237,BU237)*$D$31</f>
        <v>0</v>
      </c>
      <c r="BW237" s="110"/>
      <c r="BX237" s="80" t="s">
        <v>1320</v>
      </c>
      <c r="BY237" s="81">
        <f t="shared" ref="BY237" si="1713">COUNTIF($M$236:$M$237,BX237)*$D$31</f>
        <v>0</v>
      </c>
      <c r="BZ237" s="110"/>
      <c r="CA237" s="80" t="s">
        <v>76</v>
      </c>
      <c r="CB237" s="81">
        <f t="shared" ref="CB237" si="1714">COUNTIF($M$236:$M$237,CA237)*$D$31</f>
        <v>0</v>
      </c>
      <c r="CC237" s="110"/>
      <c r="CD237" s="80" t="s">
        <v>1258</v>
      </c>
      <c r="CE237" s="81">
        <f t="shared" ref="CE237" si="1715">COUNTIF($M$236:$M$237,CD237)*$D$31</f>
        <v>0</v>
      </c>
      <c r="CF237" s="110"/>
      <c r="CG237" s="80" t="s">
        <v>1256</v>
      </c>
      <c r="CH237" s="81">
        <f t="shared" ref="CH237" si="1716">COUNTIF($M$236:$M$237,CG237)*$D$31</f>
        <v>0</v>
      </c>
      <c r="CI237" s="110"/>
      <c r="CJ237" s="80" t="s">
        <v>76</v>
      </c>
      <c r="CK237" s="81">
        <f t="shared" ref="CK237" si="1717">COUNTIF($M$236:$M$237,CJ237)*$D$31</f>
        <v>0</v>
      </c>
      <c r="CL237" s="110"/>
      <c r="CM237" s="80" t="s">
        <v>135</v>
      </c>
      <c r="CN237" s="81">
        <f t="shared" ref="CN237" si="1718">COUNTIF($M$236:$M$237,CM237)*$D$31</f>
        <v>0</v>
      </c>
      <c r="CO237" s="110"/>
      <c r="CP237" s="80" t="s">
        <v>1258</v>
      </c>
      <c r="CQ237" s="81">
        <f t="shared" ref="CQ237" si="1719">COUNTIF($M$236:$M$237,CP237)*$D$31</f>
        <v>0</v>
      </c>
      <c r="CR237" s="110"/>
      <c r="CS237" s="80" t="s">
        <v>1258</v>
      </c>
      <c r="CT237" s="81">
        <f t="shared" ref="CT237" si="1720">COUNTIF($M$236:$M$237,CS237)*$D$31</f>
        <v>0</v>
      </c>
      <c r="CU237" s="110"/>
      <c r="CV237" s="80" t="s">
        <v>1258</v>
      </c>
      <c r="CW237" s="81">
        <f t="shared" ref="CW237" si="1721">COUNTIF($M$236:$M$237,CV237)*$D$31</f>
        <v>0</v>
      </c>
      <c r="CX237" s="110"/>
      <c r="CY237" s="80" t="s">
        <v>1256</v>
      </c>
      <c r="CZ237" s="81">
        <f t="shared" ref="CZ237" si="1722">COUNTIF($M$236:$M$237,CY237)*$D$31</f>
        <v>0</v>
      </c>
      <c r="DA237" s="110"/>
      <c r="DB237" s="80" t="s">
        <v>1258</v>
      </c>
      <c r="DC237" s="81">
        <f t="shared" ref="DC237" si="1723">COUNTIF($M$236:$M$237,DB237)*$D$31</f>
        <v>0</v>
      </c>
      <c r="DD237" s="110"/>
      <c r="DE237" s="80" t="s">
        <v>1256</v>
      </c>
      <c r="DF237" s="81">
        <f t="shared" ref="DF237" si="1724">COUNTIF($M$236:$M$237,DE237)*$D$31</f>
        <v>0</v>
      </c>
      <c r="DG237" s="110"/>
      <c r="DH237" s="80" t="s">
        <v>1258</v>
      </c>
      <c r="DI237" s="81">
        <f t="shared" ref="DI237" si="1725">COUNTIF($M$236:$M$237,DH237)*$D$31</f>
        <v>0</v>
      </c>
      <c r="DJ237" s="110"/>
      <c r="DK237" s="80" t="s">
        <v>1261</v>
      </c>
      <c r="DL237" s="81">
        <f t="shared" ref="DL237" si="1726">COUNTIF($M$236:$M$237,DK237)*$D$31</f>
        <v>0</v>
      </c>
      <c r="DM237" s="110"/>
      <c r="DN237" s="795" t="s">
        <v>1258</v>
      </c>
      <c r="DO237" s="81">
        <f t="shared" ref="DO237" si="1727">COUNTIF($M$236:$M$237,DN237)*$D$31</f>
        <v>0</v>
      </c>
      <c r="DP237" s="110"/>
      <c r="DQ237" s="795" t="s">
        <v>111</v>
      </c>
      <c r="DR237" s="81">
        <f t="shared" ref="DR237" si="1728">COUNTIF($M$236:$M$237,DQ237)*$D$31</f>
        <v>0</v>
      </c>
      <c r="DS237" s="110"/>
      <c r="DT237" s="80" t="s">
        <v>1320</v>
      </c>
      <c r="DU237" s="81">
        <f t="shared" ref="DU237" si="1729">COUNTIF($M$236:$M$237,DT237)*$D$31</f>
        <v>0</v>
      </c>
      <c r="DV237" s="110"/>
      <c r="DW237" s="80" t="s">
        <v>76</v>
      </c>
      <c r="DX237" s="81">
        <f t="shared" ref="DX237" si="1730">COUNTIF($M$236:$M$237,DW237)*$D$31</f>
        <v>0</v>
      </c>
      <c r="DY237" s="110"/>
      <c r="DZ237" s="80" t="s">
        <v>1258</v>
      </c>
      <c r="EA237" s="81">
        <f t="shared" ref="EA237" si="1731">COUNTIF($M$236:$M$237,DZ237)*$D$31</f>
        <v>0</v>
      </c>
      <c r="EB237" s="110"/>
      <c r="EC237" s="80" t="s">
        <v>1258</v>
      </c>
      <c r="ED237" s="81">
        <f t="shared" ref="ED237" si="1732">COUNTIF($M$236:$M$237,EC237)*$D$31</f>
        <v>0</v>
      </c>
      <c r="EE237" s="110"/>
      <c r="EF237" s="80" t="s">
        <v>1318</v>
      </c>
      <c r="EG237" s="81">
        <f t="shared" ref="EG237" si="1733">COUNTIF($M$236:$M$237,EF237)*$D$31</f>
        <v>0</v>
      </c>
      <c r="EH237" s="110"/>
      <c r="EI237" s="80" t="s">
        <v>76</v>
      </c>
      <c r="EJ237" s="81">
        <f t="shared" ref="EJ237" si="1734">COUNTIF($M$236:$M$237,EI237)*$D$31</f>
        <v>0</v>
      </c>
      <c r="EK237" s="110"/>
      <c r="EL237" s="80"/>
      <c r="EM237" s="81">
        <f t="shared" ref="EM237" si="1735">COUNTIF($M$236:$M$237,EL237)*$D$31</f>
        <v>0</v>
      </c>
      <c r="EN237" s="110"/>
      <c r="EO237" s="80"/>
      <c r="EP237" s="81">
        <f t="shared" ref="EP237" si="1736">COUNTIF($M$236:$M$237,EO237)*$D$31</f>
        <v>0</v>
      </c>
      <c r="EQ237" s="110"/>
      <c r="ER237" s="80"/>
      <c r="ES237" s="81">
        <f t="shared" ref="ES237" si="1737">COUNTIF($M$236:$M$237,ER237)*$D$31</f>
        <v>0</v>
      </c>
      <c r="ET237" s="110"/>
      <c r="EU237" s="80"/>
      <c r="EV237" s="81">
        <f t="shared" ref="EV237" si="1738">COUNTIF($M$236:$M$237,EU237)*$D$31</f>
        <v>0</v>
      </c>
      <c r="EW237" s="110"/>
      <c r="EX237" s="80"/>
      <c r="EY237" s="81">
        <f t="shared" ref="EY237" si="1739">COUNTIF($M$236:$M$237,EX237)*$D$31</f>
        <v>0</v>
      </c>
      <c r="EZ237" s="110"/>
      <c r="FA237" s="80"/>
      <c r="FB237" s="81">
        <f t="shared" ref="FB237" si="1740">COUNTIF($M$236:$M$237,FA237)*$D$31</f>
        <v>0</v>
      </c>
      <c r="FC237" s="110"/>
      <c r="FD237" s="80"/>
      <c r="FE237" s="81">
        <f t="shared" ref="FE237" si="1741">COUNTIF($M$236:$M$237,FD237)*$D$31</f>
        <v>0</v>
      </c>
      <c r="FF237" s="110"/>
      <c r="FG237" s="80"/>
      <c r="FH237" s="81">
        <f t="shared" ref="FH237" si="1742">COUNTIF($M$236:$M$237,FG237)*$D$31</f>
        <v>0</v>
      </c>
      <c r="FI237" s="110"/>
      <c r="FJ237" s="80"/>
      <c r="FK237" s="81">
        <f t="shared" ref="FK237" si="1743">COUNTIF($M$236:$M$237,FJ237)*$D$31</f>
        <v>0</v>
      </c>
      <c r="FL237" s="110"/>
      <c r="FM237" s="110"/>
    </row>
    <row r="238" spans="1:169">
      <c r="A238" s="25"/>
      <c r="B238" s="25"/>
      <c r="C238" s="25"/>
      <c r="D238" s="25"/>
      <c r="E238" s="25"/>
      <c r="F238" s="407"/>
      <c r="G238" s="407"/>
      <c r="H238" s="65"/>
      <c r="I238" s="50"/>
      <c r="J238" s="94"/>
      <c r="K238" s="434" t="str">
        <f>Idiomas!D465</f>
        <v>Equipos 3-4</v>
      </c>
      <c r="L238" s="435"/>
      <c r="M238" s="434" t="str">
        <f>"Max: "&amp;$D$31*COUNT(T236:T237)</f>
        <v>Max: 12</v>
      </c>
      <c r="N238" s="25"/>
      <c r="O238" s="25"/>
      <c r="P238" s="25"/>
      <c r="Q238" s="25"/>
      <c r="R238" s="17"/>
      <c r="S238" s="84"/>
      <c r="T238" s="71">
        <f>SUM(T236:T237)</f>
        <v>0</v>
      </c>
      <c r="U238" s="49"/>
      <c r="V238" s="84"/>
      <c r="W238" s="71">
        <f t="shared" ref="W238" si="1744">SUM(W236:W237)</f>
        <v>0</v>
      </c>
      <c r="X238" s="49"/>
      <c r="Y238" s="84"/>
      <c r="Z238" s="71">
        <f t="shared" ref="Z238" si="1745">SUM(Z236:Z237)</f>
        <v>0</v>
      </c>
      <c r="AA238" s="49"/>
      <c r="AB238" s="84"/>
      <c r="AC238" s="71">
        <f t="shared" ref="AC238" si="1746">SUM(AC236:AC237)</f>
        <v>0</v>
      </c>
      <c r="AD238" s="49"/>
      <c r="AE238" s="84"/>
      <c r="AF238" s="71">
        <f t="shared" ref="AF238" si="1747">SUM(AF236:AF237)</f>
        <v>0</v>
      </c>
      <c r="AG238" s="49"/>
      <c r="AH238" s="84"/>
      <c r="AI238" s="71">
        <f t="shared" ref="AI238" si="1748">SUM(AI236:AI237)</f>
        <v>0</v>
      </c>
      <c r="AJ238" s="49"/>
      <c r="AK238" s="84"/>
      <c r="AL238" s="71">
        <f t="shared" ref="AL238" si="1749">SUM(AL236:AL237)</f>
        <v>0</v>
      </c>
      <c r="AM238" s="49"/>
      <c r="AN238" s="84"/>
      <c r="AO238" s="71">
        <f t="shared" ref="AO238" si="1750">SUM(AO236:AO237)</f>
        <v>0</v>
      </c>
      <c r="AP238" s="49"/>
      <c r="AQ238" s="84"/>
      <c r="AR238" s="71">
        <f t="shared" ref="AR238" si="1751">SUM(AR236:AR237)</f>
        <v>0</v>
      </c>
      <c r="AS238" s="49"/>
      <c r="AT238" s="84"/>
      <c r="AU238" s="71">
        <f t="shared" ref="AU238" si="1752">SUM(AU236:AU237)</f>
        <v>0</v>
      </c>
      <c r="AV238" s="49"/>
      <c r="AW238" s="84"/>
      <c r="AX238" s="71">
        <f t="shared" ref="AX238" si="1753">SUM(AX236:AX237)</f>
        <v>0</v>
      </c>
      <c r="AY238" s="49"/>
      <c r="AZ238" s="84"/>
      <c r="BA238" s="71">
        <f t="shared" ref="BA238" si="1754">SUM(BA236:BA237)</f>
        <v>0</v>
      </c>
      <c r="BB238" s="49"/>
      <c r="BC238" s="84"/>
      <c r="BD238" s="71">
        <f t="shared" ref="BD238" si="1755">SUM(BD236:BD237)</f>
        <v>0</v>
      </c>
      <c r="BE238" s="49"/>
      <c r="BF238" s="84"/>
      <c r="BG238" s="71">
        <f t="shared" ref="BG238" si="1756">SUM(BG236:BG237)</f>
        <v>0</v>
      </c>
      <c r="BH238" s="49"/>
      <c r="BI238" s="84"/>
      <c r="BJ238" s="71">
        <f t="shared" ref="BJ238" si="1757">SUM(BJ236:BJ237)</f>
        <v>0</v>
      </c>
      <c r="BK238" s="49"/>
      <c r="BL238" s="84"/>
      <c r="BM238" s="71">
        <f t="shared" ref="BM238" si="1758">SUM(BM236:BM237)</f>
        <v>0</v>
      </c>
      <c r="BN238" s="49"/>
      <c r="BO238" s="84"/>
      <c r="BP238" s="71">
        <f t="shared" ref="BP238" si="1759">SUM(BP236:BP237)</f>
        <v>0</v>
      </c>
      <c r="BQ238" s="49"/>
      <c r="BR238" s="84"/>
      <c r="BS238" s="71">
        <f t="shared" ref="BS238" si="1760">SUM(BS236:BS237)</f>
        <v>0</v>
      </c>
      <c r="BT238" s="49"/>
      <c r="BU238" s="84"/>
      <c r="BV238" s="71">
        <f t="shared" ref="BV238" si="1761">SUM(BV236:BV237)</f>
        <v>0</v>
      </c>
      <c r="BW238" s="49"/>
      <c r="BX238" s="84"/>
      <c r="BY238" s="71">
        <f t="shared" ref="BY238" si="1762">SUM(BY236:BY237)</f>
        <v>0</v>
      </c>
      <c r="BZ238" s="49"/>
      <c r="CA238" s="84"/>
      <c r="CB238" s="71">
        <f t="shared" ref="CB238" si="1763">SUM(CB236:CB237)</f>
        <v>0</v>
      </c>
      <c r="CC238" s="49"/>
      <c r="CD238" s="84"/>
      <c r="CE238" s="71">
        <f t="shared" ref="CE238" si="1764">SUM(CE236:CE237)</f>
        <v>0</v>
      </c>
      <c r="CF238" s="49"/>
      <c r="CG238" s="84"/>
      <c r="CH238" s="71">
        <f t="shared" ref="CH238" si="1765">SUM(CH236:CH237)</f>
        <v>0</v>
      </c>
      <c r="CI238" s="49"/>
      <c r="CJ238" s="84"/>
      <c r="CK238" s="71">
        <f t="shared" ref="CK238" si="1766">SUM(CK236:CK237)</f>
        <v>0</v>
      </c>
      <c r="CL238" s="49"/>
      <c r="CM238" s="84"/>
      <c r="CN238" s="71">
        <f t="shared" ref="CN238" si="1767">SUM(CN236:CN237)</f>
        <v>0</v>
      </c>
      <c r="CO238" s="49"/>
      <c r="CP238" s="84"/>
      <c r="CQ238" s="71">
        <f t="shared" ref="CQ238" si="1768">SUM(CQ236:CQ237)</f>
        <v>0</v>
      </c>
      <c r="CR238" s="49"/>
      <c r="CS238" s="84"/>
      <c r="CT238" s="71">
        <f t="shared" ref="CT238" si="1769">SUM(CT236:CT237)</f>
        <v>0</v>
      </c>
      <c r="CU238" s="49"/>
      <c r="CV238" s="84"/>
      <c r="CW238" s="71">
        <f t="shared" ref="CW238" si="1770">SUM(CW236:CW237)</f>
        <v>0</v>
      </c>
      <c r="CX238" s="49"/>
      <c r="CY238" s="84"/>
      <c r="CZ238" s="71">
        <f t="shared" ref="CZ238" si="1771">SUM(CZ236:CZ237)</f>
        <v>0</v>
      </c>
      <c r="DA238" s="49"/>
      <c r="DB238" s="84"/>
      <c r="DC238" s="71">
        <f t="shared" ref="DC238" si="1772">SUM(DC236:DC237)</f>
        <v>0</v>
      </c>
      <c r="DD238" s="49"/>
      <c r="DE238" s="84"/>
      <c r="DF238" s="71">
        <f t="shared" ref="DF238" si="1773">SUM(DF236:DF237)</f>
        <v>0</v>
      </c>
      <c r="DG238" s="49"/>
      <c r="DH238" s="84"/>
      <c r="DI238" s="71">
        <f t="shared" ref="DI238" si="1774">SUM(DI236:DI237)</f>
        <v>0</v>
      </c>
      <c r="DJ238" s="49"/>
      <c r="DK238" s="84"/>
      <c r="DL238" s="71">
        <f t="shared" ref="DL238" si="1775">SUM(DL236:DL237)</f>
        <v>0</v>
      </c>
      <c r="DM238" s="49"/>
      <c r="DN238" s="796"/>
      <c r="DO238" s="71">
        <f t="shared" ref="DO238" si="1776">SUM(DO236:DO237)</f>
        <v>0</v>
      </c>
      <c r="DP238" s="49"/>
      <c r="DQ238" s="796"/>
      <c r="DR238" s="71">
        <f t="shared" ref="DR238" si="1777">SUM(DR236:DR237)</f>
        <v>0</v>
      </c>
      <c r="DS238" s="49"/>
      <c r="DT238" s="84"/>
      <c r="DU238" s="71">
        <f t="shared" ref="DU238" si="1778">SUM(DU236:DU237)</f>
        <v>0</v>
      </c>
      <c r="DV238" s="49"/>
      <c r="DW238" s="84"/>
      <c r="DX238" s="71">
        <f t="shared" ref="DX238" si="1779">SUM(DX236:DX237)</f>
        <v>0</v>
      </c>
      <c r="DY238" s="49"/>
      <c r="DZ238" s="84"/>
      <c r="EA238" s="71">
        <f t="shared" ref="EA238" si="1780">SUM(EA236:EA237)</f>
        <v>0</v>
      </c>
      <c r="EB238" s="49"/>
      <c r="EC238" s="84"/>
      <c r="ED238" s="71">
        <f t="shared" ref="ED238" si="1781">SUM(ED236:ED237)</f>
        <v>0</v>
      </c>
      <c r="EE238" s="49"/>
      <c r="EF238" s="84"/>
      <c r="EG238" s="71">
        <f t="shared" ref="EG238" si="1782">SUM(EG236:EG237)</f>
        <v>0</v>
      </c>
      <c r="EH238" s="49"/>
      <c r="EI238" s="84"/>
      <c r="EJ238" s="71">
        <f t="shared" ref="EJ238" si="1783">SUM(EJ236:EJ237)</f>
        <v>0</v>
      </c>
      <c r="EK238" s="49"/>
      <c r="EL238" s="84"/>
      <c r="EM238" s="71">
        <f t="shared" ref="EM238" si="1784">SUM(EM236:EM237)</f>
        <v>0</v>
      </c>
      <c r="EN238" s="49"/>
      <c r="EO238" s="84"/>
      <c r="EP238" s="71">
        <f t="shared" ref="EP238" si="1785">SUM(EP236:EP237)</f>
        <v>0</v>
      </c>
      <c r="EQ238" s="49"/>
      <c r="ER238" s="84"/>
      <c r="ES238" s="71">
        <f t="shared" ref="ES238" si="1786">SUM(ES236:ES237)</f>
        <v>0</v>
      </c>
      <c r="ET238" s="49"/>
      <c r="EU238" s="84"/>
      <c r="EV238" s="71">
        <f t="shared" ref="EV238" si="1787">SUM(EV236:EV237)</f>
        <v>0</v>
      </c>
      <c r="EW238" s="49"/>
      <c r="EX238" s="84"/>
      <c r="EY238" s="71">
        <f t="shared" ref="EY238" si="1788">SUM(EY236:EY237)</f>
        <v>0</v>
      </c>
      <c r="EZ238" s="49"/>
      <c r="FA238" s="84"/>
      <c r="FB238" s="71">
        <f t="shared" ref="FB238" si="1789">SUM(FB236:FB237)</f>
        <v>0</v>
      </c>
      <c r="FC238" s="49"/>
      <c r="FD238" s="84"/>
      <c r="FE238" s="71">
        <f t="shared" ref="FE238" si="1790">SUM(FE236:FE237)</f>
        <v>0</v>
      </c>
      <c r="FF238" s="49"/>
      <c r="FG238" s="84"/>
      <c r="FH238" s="71">
        <f t="shared" ref="FH238" si="1791">SUM(FH236:FH237)</f>
        <v>0</v>
      </c>
      <c r="FI238" s="49"/>
      <c r="FJ238" s="84"/>
      <c r="FK238" s="71">
        <f t="shared" ref="FK238" si="1792">SUM(FK236:FK237)</f>
        <v>0</v>
      </c>
      <c r="FL238" s="49"/>
      <c r="FM238" s="49"/>
    </row>
    <row r="239" spans="1:169">
      <c r="A239" s="25"/>
      <c r="B239" s="25"/>
      <c r="C239" s="25"/>
      <c r="D239" s="25"/>
      <c r="E239" s="25"/>
      <c r="F239" s="407"/>
      <c r="G239" s="407"/>
      <c r="H239" s="65"/>
      <c r="I239" s="50"/>
      <c r="J239" s="94"/>
      <c r="K239" s="113" t="str">
        <f>Idiomas!D146</f>
        <v>CLASIFICADOS PARA LA FINAL</v>
      </c>
      <c r="L239" s="50"/>
      <c r="M239" s="71"/>
      <c r="N239" s="25"/>
      <c r="O239" s="25"/>
      <c r="P239" s="25"/>
      <c r="Q239" s="25"/>
      <c r="R239" s="17"/>
      <c r="S239" s="84"/>
      <c r="T239" s="71"/>
      <c r="U239" s="49"/>
      <c r="V239" s="84"/>
      <c r="W239" s="71"/>
      <c r="X239" s="49"/>
      <c r="Y239" s="84"/>
      <c r="Z239" s="71"/>
      <c r="AA239" s="49"/>
      <c r="AB239" s="84"/>
      <c r="AC239" s="71"/>
      <c r="AD239" s="49"/>
      <c r="AE239" s="84"/>
      <c r="AF239" s="71"/>
      <c r="AG239" s="49"/>
      <c r="AH239" s="84"/>
      <c r="AI239" s="71"/>
      <c r="AJ239" s="49"/>
      <c r="AK239" s="84"/>
      <c r="AL239" s="71"/>
      <c r="AM239" s="49"/>
      <c r="AN239" s="84"/>
      <c r="AO239" s="71"/>
      <c r="AP239" s="49"/>
      <c r="AQ239" s="84"/>
      <c r="AR239" s="71"/>
      <c r="AS239" s="49"/>
      <c r="AT239" s="84"/>
      <c r="AU239" s="71"/>
      <c r="AV239" s="49"/>
      <c r="AW239" s="84"/>
      <c r="AX239" s="71"/>
      <c r="AY239" s="49"/>
      <c r="AZ239" s="84"/>
      <c r="BA239" s="71"/>
      <c r="BB239" s="49"/>
      <c r="BC239" s="84"/>
      <c r="BD239" s="71"/>
      <c r="BE239" s="49"/>
      <c r="BF239" s="84"/>
      <c r="BG239" s="71"/>
      <c r="BH239" s="49"/>
      <c r="BI239" s="84"/>
      <c r="BJ239" s="71"/>
      <c r="BK239" s="49"/>
      <c r="BL239" s="84"/>
      <c r="BM239" s="71"/>
      <c r="BN239" s="49"/>
      <c r="BO239" s="84"/>
      <c r="BP239" s="71"/>
      <c r="BQ239" s="49"/>
      <c r="BR239" s="84"/>
      <c r="BS239" s="71"/>
      <c r="BT239" s="49"/>
      <c r="BU239" s="84"/>
      <c r="BV239" s="71"/>
      <c r="BW239" s="49"/>
      <c r="BX239" s="84"/>
      <c r="BY239" s="71"/>
      <c r="BZ239" s="49"/>
      <c r="CA239" s="84"/>
      <c r="CB239" s="71"/>
      <c r="CC239" s="49"/>
      <c r="CD239" s="84"/>
      <c r="CE239" s="71"/>
      <c r="CF239" s="49"/>
      <c r="CG239" s="84"/>
      <c r="CH239" s="71"/>
      <c r="CI239" s="49"/>
      <c r="CJ239" s="84"/>
      <c r="CK239" s="71"/>
      <c r="CL239" s="49"/>
      <c r="CM239" s="84"/>
      <c r="CN239" s="71"/>
      <c r="CO239" s="49"/>
      <c r="CP239" s="84"/>
      <c r="CQ239" s="71"/>
      <c r="CR239" s="49"/>
      <c r="CS239" s="84"/>
      <c r="CT239" s="71"/>
      <c r="CU239" s="49"/>
      <c r="CV239" s="84"/>
      <c r="CW239" s="71"/>
      <c r="CX239" s="49"/>
      <c r="CY239" s="84"/>
      <c r="CZ239" s="71"/>
      <c r="DA239" s="49"/>
      <c r="DB239" s="84"/>
      <c r="DC239" s="71"/>
      <c r="DD239" s="49"/>
      <c r="DE239" s="84"/>
      <c r="DF239" s="71"/>
      <c r="DG239" s="49"/>
      <c r="DH239" s="84"/>
      <c r="DI239" s="71"/>
      <c r="DJ239" s="49"/>
      <c r="DK239" s="84"/>
      <c r="DL239" s="71"/>
      <c r="DM239" s="49"/>
      <c r="DN239" s="796"/>
      <c r="DO239" s="71"/>
      <c r="DP239" s="49"/>
      <c r="DQ239" s="796"/>
      <c r="DR239" s="71"/>
      <c r="DS239" s="49"/>
      <c r="DT239" s="84"/>
      <c r="DU239" s="71"/>
      <c r="DV239" s="49"/>
      <c r="DW239" s="84"/>
      <c r="DX239" s="71"/>
      <c r="DY239" s="49"/>
      <c r="DZ239" s="84"/>
      <c r="EA239" s="71"/>
      <c r="EB239" s="49"/>
      <c r="EC239" s="84"/>
      <c r="ED239" s="71"/>
      <c r="EE239" s="49"/>
      <c r="EF239" s="84"/>
      <c r="EG239" s="71"/>
      <c r="EH239" s="49"/>
      <c r="EI239" s="84"/>
      <c r="EJ239" s="71"/>
      <c r="EK239" s="49"/>
      <c r="EL239" s="84"/>
      <c r="EM239" s="71"/>
      <c r="EN239" s="49"/>
      <c r="EO239" s="84"/>
      <c r="EP239" s="71"/>
      <c r="EQ239" s="49"/>
      <c r="ER239" s="84"/>
      <c r="ES239" s="71"/>
      <c r="ET239" s="49"/>
      <c r="EU239" s="84"/>
      <c r="EV239" s="71"/>
      <c r="EW239" s="49"/>
      <c r="EX239" s="84"/>
      <c r="EY239" s="71"/>
      <c r="EZ239" s="49"/>
      <c r="FA239" s="84"/>
      <c r="FB239" s="71"/>
      <c r="FC239" s="49"/>
      <c r="FD239" s="84"/>
      <c r="FE239" s="71"/>
      <c r="FF239" s="49"/>
      <c r="FG239" s="84"/>
      <c r="FH239" s="71"/>
      <c r="FI239" s="49"/>
      <c r="FJ239" s="84"/>
      <c r="FK239" s="71"/>
      <c r="FL239" s="49"/>
      <c r="FM239" s="49"/>
    </row>
    <row r="240" spans="1:169">
      <c r="A240" s="25"/>
      <c r="B240" s="25"/>
      <c r="C240" s="25"/>
      <c r="D240" s="25"/>
      <c r="E240" s="25"/>
      <c r="F240" s="407">
        <f>$D$32</f>
        <v>7</v>
      </c>
      <c r="G240" s="407">
        <f ca="1">VLOOKUP(H240,Equipos!$Q$1:$R$25,2,0)</f>
        <v>23</v>
      </c>
      <c r="H240" s="65" t="str">
        <f>Idiomas!$D$263</f>
        <v>Semifinales</v>
      </c>
      <c r="I240" s="50"/>
      <c r="J240" s="850" t="s">
        <v>4</v>
      </c>
      <c r="K240" s="53" t="str">
        <f>Idiomas!$D$203&amp;"-"&amp;ROWS($L$240:L240)</f>
        <v>Finalista-1</v>
      </c>
      <c r="L240" s="53"/>
      <c r="M240" s="55" t="str">
        <f>WORLDCUP!AA147</f>
        <v>W101</v>
      </c>
      <c r="N240" s="25"/>
      <c r="O240" s="25"/>
      <c r="P240" s="25"/>
      <c r="Q240" s="25"/>
      <c r="R240" s="17"/>
      <c r="S240" s="76" t="s">
        <v>77</v>
      </c>
      <c r="T240" s="77">
        <f>COUNTIF($M$240:$M$241,S240)*$D$32</f>
        <v>0</v>
      </c>
      <c r="U240" s="110"/>
      <c r="V240" s="76" t="s">
        <v>38</v>
      </c>
      <c r="W240" s="77">
        <f t="shared" ref="W240" si="1793">COUNTIF($M$240:$M$241,V240)*$D$32</f>
        <v>0</v>
      </c>
      <c r="X240" s="110"/>
      <c r="Y240" s="76" t="s">
        <v>38</v>
      </c>
      <c r="Z240" s="77">
        <f t="shared" ref="Z240" si="1794">COUNTIF($M$240:$M$241,Y240)*$D$32</f>
        <v>0</v>
      </c>
      <c r="AA240" s="110"/>
      <c r="AB240" s="76" t="s">
        <v>74</v>
      </c>
      <c r="AC240" s="77">
        <f t="shared" ref="AC240" si="1795">COUNTIF($M$240:$M$241,AB240)*$D$32</f>
        <v>0</v>
      </c>
      <c r="AD240" s="110"/>
      <c r="AE240" s="76" t="s">
        <v>74</v>
      </c>
      <c r="AF240" s="77">
        <f t="shared" ref="AF240" si="1796">COUNTIF($M$240:$M$241,AE240)*$D$32</f>
        <v>0</v>
      </c>
      <c r="AG240" s="110"/>
      <c r="AH240" s="76" t="s">
        <v>38</v>
      </c>
      <c r="AI240" s="77">
        <f t="shared" ref="AI240" si="1797">COUNTIF($M$240:$M$241,AH240)*$D$32</f>
        <v>0</v>
      </c>
      <c r="AJ240" s="110"/>
      <c r="AK240" s="76" t="s">
        <v>38</v>
      </c>
      <c r="AL240" s="77">
        <f t="shared" ref="AL240" si="1798">COUNTIF($M$240:$M$241,AK240)*$D$32</f>
        <v>0</v>
      </c>
      <c r="AM240" s="110"/>
      <c r="AN240" s="76" t="s">
        <v>111</v>
      </c>
      <c r="AO240" s="77">
        <f t="shared" ref="AO240" si="1799">COUNTIF($M$240:$M$241,AN240)*$D$32</f>
        <v>0</v>
      </c>
      <c r="AP240" s="110"/>
      <c r="AQ240" s="76" t="s">
        <v>38</v>
      </c>
      <c r="AR240" s="77">
        <f t="shared" ref="AR240" si="1800">COUNTIF($M$240:$M$241,AQ240)*$D$32</f>
        <v>0</v>
      </c>
      <c r="AS240" s="110"/>
      <c r="AT240" s="76" t="s">
        <v>74</v>
      </c>
      <c r="AU240" s="77">
        <f t="shared" ref="AU240" si="1801">COUNTIF($M$240:$M$241,AT240)*$D$32</f>
        <v>0</v>
      </c>
      <c r="AV240" s="110"/>
      <c r="AW240" s="76" t="s">
        <v>74</v>
      </c>
      <c r="AX240" s="77">
        <f t="shared" ref="AX240" si="1802">COUNTIF($M$240:$M$241,AW240)*$D$32</f>
        <v>0</v>
      </c>
      <c r="AY240" s="110"/>
      <c r="AZ240" s="76" t="s">
        <v>38</v>
      </c>
      <c r="BA240" s="77">
        <f t="shared" ref="BA240" si="1803">COUNTIF($M$240:$M$241,AZ240)*$D$32</f>
        <v>0</v>
      </c>
      <c r="BB240" s="110"/>
      <c r="BC240" s="76" t="s">
        <v>38</v>
      </c>
      <c r="BD240" s="77">
        <f t="shared" ref="BD240" si="1804">COUNTIF($M$240:$M$241,BC240)*$D$32</f>
        <v>0</v>
      </c>
      <c r="BE240" s="110"/>
      <c r="BF240" s="76" t="s">
        <v>38</v>
      </c>
      <c r="BG240" s="77">
        <f t="shared" ref="BG240" si="1805">COUNTIF($M$240:$M$241,BF240)*$D$32</f>
        <v>0</v>
      </c>
      <c r="BH240" s="110"/>
      <c r="BI240" s="76" t="s">
        <v>38</v>
      </c>
      <c r="BJ240" s="77">
        <f t="shared" ref="BJ240" si="1806">COUNTIF($M$240:$M$241,BI240)*$D$32</f>
        <v>0</v>
      </c>
      <c r="BK240" s="110"/>
      <c r="BL240" s="76" t="s">
        <v>38</v>
      </c>
      <c r="BM240" s="77">
        <f t="shared" ref="BM240" si="1807">COUNTIF($M$240:$M$241,BL240)*$D$32</f>
        <v>0</v>
      </c>
      <c r="BN240" s="110"/>
      <c r="BO240" s="76" t="s">
        <v>38</v>
      </c>
      <c r="BP240" s="77">
        <f t="shared" ref="BP240" si="1808">COUNTIF($M$240:$M$241,BO240)*$D$32</f>
        <v>0</v>
      </c>
      <c r="BQ240" s="110"/>
      <c r="BR240" s="76" t="s">
        <v>38</v>
      </c>
      <c r="BS240" s="77">
        <f t="shared" ref="BS240" si="1809">COUNTIF($M$240:$M$241,BR240)*$D$32</f>
        <v>0</v>
      </c>
      <c r="BT240" s="110"/>
      <c r="BU240" s="76" t="s">
        <v>38</v>
      </c>
      <c r="BV240" s="77">
        <f t="shared" ref="BV240" si="1810">COUNTIF($M$240:$M$241,BU240)*$D$32</f>
        <v>0</v>
      </c>
      <c r="BW240" s="110"/>
      <c r="BX240" s="76" t="s">
        <v>74</v>
      </c>
      <c r="BY240" s="77">
        <f t="shared" ref="BY240" si="1811">COUNTIF($M$240:$M$241,BX240)*$D$32</f>
        <v>0</v>
      </c>
      <c r="BZ240" s="110"/>
      <c r="CA240" s="76" t="s">
        <v>38</v>
      </c>
      <c r="CB240" s="77">
        <f t="shared" ref="CB240" si="1812">COUNTIF($M$240:$M$241,CA240)*$D$32</f>
        <v>0</v>
      </c>
      <c r="CC240" s="110"/>
      <c r="CD240" s="76" t="s">
        <v>74</v>
      </c>
      <c r="CE240" s="77">
        <f t="shared" ref="CE240" si="1813">COUNTIF($M$240:$M$241,CD240)*$D$32</f>
        <v>0</v>
      </c>
      <c r="CF240" s="110"/>
      <c r="CG240" s="76" t="s">
        <v>38</v>
      </c>
      <c r="CH240" s="77">
        <f t="shared" ref="CH240" si="1814">COUNTIF($M$240:$M$241,CG240)*$D$32</f>
        <v>0</v>
      </c>
      <c r="CI240" s="110"/>
      <c r="CJ240" s="76" t="s">
        <v>38</v>
      </c>
      <c r="CK240" s="77">
        <f t="shared" ref="CK240" si="1815">COUNTIF($M$240:$M$241,CJ240)*$D$32</f>
        <v>0</v>
      </c>
      <c r="CL240" s="110"/>
      <c r="CM240" s="76" t="s">
        <v>38</v>
      </c>
      <c r="CN240" s="77">
        <f t="shared" ref="CN240" si="1816">COUNTIF($M$240:$M$241,CM240)*$D$32</f>
        <v>0</v>
      </c>
      <c r="CO240" s="110"/>
      <c r="CP240" s="76" t="s">
        <v>38</v>
      </c>
      <c r="CQ240" s="77">
        <f t="shared" ref="CQ240" si="1817">COUNTIF($M$240:$M$241,CP240)*$D$32</f>
        <v>0</v>
      </c>
      <c r="CR240" s="110"/>
      <c r="CS240" s="76" t="s">
        <v>38</v>
      </c>
      <c r="CT240" s="77">
        <f t="shared" ref="CT240" si="1818">COUNTIF($M$240:$M$241,CS240)*$D$32</f>
        <v>0</v>
      </c>
      <c r="CU240" s="110"/>
      <c r="CV240" s="76" t="s">
        <v>38</v>
      </c>
      <c r="CW240" s="77">
        <f t="shared" ref="CW240" si="1819">COUNTIF($M$240:$M$241,CV240)*$D$32</f>
        <v>0</v>
      </c>
      <c r="CX240" s="110"/>
      <c r="CY240" s="76" t="s">
        <v>74</v>
      </c>
      <c r="CZ240" s="77">
        <f t="shared" ref="CZ240" si="1820">COUNTIF($M$240:$M$241,CY240)*$D$32</f>
        <v>0</v>
      </c>
      <c r="DA240" s="110"/>
      <c r="DB240" s="76" t="s">
        <v>38</v>
      </c>
      <c r="DC240" s="77">
        <f t="shared" ref="DC240" si="1821">COUNTIF($M$240:$M$241,DB240)*$D$32</f>
        <v>0</v>
      </c>
      <c r="DD240" s="110"/>
      <c r="DE240" s="76" t="s">
        <v>77</v>
      </c>
      <c r="DF240" s="77">
        <f t="shared" ref="DF240" si="1822">COUNTIF($M$240:$M$241,DE240)*$D$32</f>
        <v>0</v>
      </c>
      <c r="DG240" s="110"/>
      <c r="DH240" s="76" t="s">
        <v>74</v>
      </c>
      <c r="DI240" s="77">
        <f t="shared" ref="DI240" si="1823">COUNTIF($M$240:$M$241,DH240)*$D$32</f>
        <v>0</v>
      </c>
      <c r="DJ240" s="110"/>
      <c r="DK240" s="76" t="s">
        <v>74</v>
      </c>
      <c r="DL240" s="77">
        <f t="shared" ref="DL240" si="1824">COUNTIF($M$240:$M$241,DK240)*$D$32</f>
        <v>0</v>
      </c>
      <c r="DM240" s="110"/>
      <c r="DN240" s="795" t="s">
        <v>38</v>
      </c>
      <c r="DO240" s="77">
        <f t="shared" ref="DO240" si="1825">COUNTIF($M$240:$M$241,DN240)*$D$32</f>
        <v>0</v>
      </c>
      <c r="DP240" s="110"/>
      <c r="DQ240" s="795" t="s">
        <v>1258</v>
      </c>
      <c r="DR240" s="77">
        <f t="shared" ref="DR240" si="1826">COUNTIF($M$240:$M$241,DQ240)*$D$32</f>
        <v>0</v>
      </c>
      <c r="DS240" s="110"/>
      <c r="DT240" s="76" t="s">
        <v>38</v>
      </c>
      <c r="DU240" s="77">
        <f t="shared" ref="DU240" si="1827">COUNTIF($M$240:$M$241,DT240)*$D$32</f>
        <v>0</v>
      </c>
      <c r="DV240" s="110"/>
      <c r="DW240" s="76" t="s">
        <v>38</v>
      </c>
      <c r="DX240" s="77">
        <f t="shared" ref="DX240" si="1828">COUNTIF($M$240:$M$241,DW240)*$D$32</f>
        <v>0</v>
      </c>
      <c r="DY240" s="110"/>
      <c r="DZ240" s="76" t="s">
        <v>38</v>
      </c>
      <c r="EA240" s="77">
        <f t="shared" ref="EA240" si="1829">COUNTIF($M$240:$M$241,DZ240)*$D$32</f>
        <v>0</v>
      </c>
      <c r="EB240" s="110"/>
      <c r="EC240" s="76" t="s">
        <v>38</v>
      </c>
      <c r="ED240" s="77">
        <f t="shared" ref="ED240" si="1830">COUNTIF($M$240:$M$241,EC240)*$D$32</f>
        <v>0</v>
      </c>
      <c r="EE240" s="110"/>
      <c r="EF240" s="76" t="s">
        <v>38</v>
      </c>
      <c r="EG240" s="77">
        <f t="shared" ref="EG240" si="1831">COUNTIF($M$240:$M$241,EF240)*$D$32</f>
        <v>0</v>
      </c>
      <c r="EH240" s="110"/>
      <c r="EI240" s="76" t="s">
        <v>38</v>
      </c>
      <c r="EJ240" s="77">
        <f t="shared" ref="EJ240" si="1832">COUNTIF($M$240:$M$241,EI240)*$D$32</f>
        <v>0</v>
      </c>
      <c r="EK240" s="110"/>
      <c r="EL240" s="76"/>
      <c r="EM240" s="77">
        <f t="shared" ref="EM240" si="1833">COUNTIF($M$240:$M$241,EL240)*$D$32</f>
        <v>0</v>
      </c>
      <c r="EN240" s="110"/>
      <c r="EO240" s="76"/>
      <c r="EP240" s="77">
        <f t="shared" ref="EP240" si="1834">COUNTIF($M$240:$M$241,EO240)*$D$32</f>
        <v>0</v>
      </c>
      <c r="EQ240" s="110"/>
      <c r="ER240" s="76"/>
      <c r="ES240" s="77">
        <f t="shared" ref="ES240" si="1835">COUNTIF($M$240:$M$241,ER240)*$D$32</f>
        <v>0</v>
      </c>
      <c r="ET240" s="110"/>
      <c r="EU240" s="76"/>
      <c r="EV240" s="77">
        <f t="shared" ref="EV240" si="1836">COUNTIF($M$240:$M$241,EU240)*$D$32</f>
        <v>0</v>
      </c>
      <c r="EW240" s="110"/>
      <c r="EX240" s="76"/>
      <c r="EY240" s="77">
        <f t="shared" ref="EY240" si="1837">COUNTIF($M$240:$M$241,EX240)*$D$32</f>
        <v>0</v>
      </c>
      <c r="EZ240" s="110"/>
      <c r="FA240" s="76"/>
      <c r="FB240" s="77">
        <f t="shared" ref="FB240" si="1838">COUNTIF($M$240:$M$241,FA240)*$D$32</f>
        <v>0</v>
      </c>
      <c r="FC240" s="110"/>
      <c r="FD240" s="76"/>
      <c r="FE240" s="77">
        <f t="shared" ref="FE240" si="1839">COUNTIF($M$240:$M$241,FD240)*$D$32</f>
        <v>0</v>
      </c>
      <c r="FF240" s="110"/>
      <c r="FG240" s="76"/>
      <c r="FH240" s="77">
        <f t="shared" ref="FH240" si="1840">COUNTIF($M$240:$M$241,FG240)*$D$32</f>
        <v>0</v>
      </c>
      <c r="FI240" s="110"/>
      <c r="FJ240" s="76"/>
      <c r="FK240" s="77">
        <f t="shared" ref="FK240" si="1841">COUNTIF($M$240:$M$241,FJ240)*$D$32</f>
        <v>0</v>
      </c>
      <c r="FL240" s="110"/>
      <c r="FM240" s="110"/>
    </row>
    <row r="241" spans="1:169">
      <c r="A241" s="25"/>
      <c r="B241" s="25"/>
      <c r="C241" s="25"/>
      <c r="D241" s="25"/>
      <c r="E241" s="25"/>
      <c r="F241" s="407">
        <f>$D$32</f>
        <v>7</v>
      </c>
      <c r="G241" s="407">
        <f ca="1">VLOOKUP(H241,Equipos!$Q$1:$R$25,2,0)</f>
        <v>23</v>
      </c>
      <c r="H241" s="65" t="str">
        <f>Idiomas!$D$263</f>
        <v>Semifinales</v>
      </c>
      <c r="I241" s="50"/>
      <c r="J241" s="850"/>
      <c r="K241" s="115" t="str">
        <f>Idiomas!$D$203&amp;"-"&amp;ROWS($L$240:L241)</f>
        <v>Finalista-2</v>
      </c>
      <c r="L241" s="115"/>
      <c r="M241" s="116" t="str">
        <f>WORLDCUP!AF147</f>
        <v>W102</v>
      </c>
      <c r="N241" s="25"/>
      <c r="O241" s="25"/>
      <c r="P241" s="25"/>
      <c r="Q241" s="25"/>
      <c r="R241" s="17"/>
      <c r="S241" s="80" t="s">
        <v>76</v>
      </c>
      <c r="T241" s="81">
        <f>COUNTIF($M$240:$M$241,S241)*$D$32</f>
        <v>0</v>
      </c>
      <c r="U241" s="110"/>
      <c r="V241" s="80" t="s">
        <v>79</v>
      </c>
      <c r="W241" s="81">
        <f t="shared" ref="W241" si="1842">COUNTIF($M$240:$M$241,V241)*$D$32</f>
        <v>0</v>
      </c>
      <c r="X241" s="110"/>
      <c r="Y241" s="80" t="s">
        <v>79</v>
      </c>
      <c r="Z241" s="81">
        <f t="shared" ref="Z241" si="1843">COUNTIF($M$240:$M$241,Y241)*$D$32</f>
        <v>0</v>
      </c>
      <c r="AA241" s="110"/>
      <c r="AB241" s="80" t="s">
        <v>76</v>
      </c>
      <c r="AC241" s="81">
        <f t="shared" ref="AC241" si="1844">COUNTIF($M$240:$M$241,AB241)*$D$32</f>
        <v>0</v>
      </c>
      <c r="AD241" s="110"/>
      <c r="AE241" s="80" t="s">
        <v>1258</v>
      </c>
      <c r="AF241" s="81">
        <f t="shared" ref="AF241" si="1845">COUNTIF($M$240:$M$241,AE241)*$D$32</f>
        <v>0</v>
      </c>
      <c r="AG241" s="110"/>
      <c r="AH241" s="80" t="s">
        <v>1256</v>
      </c>
      <c r="AI241" s="81">
        <f t="shared" ref="AI241" si="1846">COUNTIF($M$240:$M$241,AH241)*$D$32</f>
        <v>0</v>
      </c>
      <c r="AJ241" s="110"/>
      <c r="AK241" s="80" t="s">
        <v>79</v>
      </c>
      <c r="AL241" s="81">
        <f t="shared" ref="AL241" si="1847">COUNTIF($M$240:$M$241,AK241)*$D$32</f>
        <v>0</v>
      </c>
      <c r="AM241" s="110"/>
      <c r="AN241" s="80" t="s">
        <v>79</v>
      </c>
      <c r="AO241" s="81">
        <f t="shared" ref="AO241" si="1848">COUNTIF($M$240:$M$241,AN241)*$D$32</f>
        <v>0</v>
      </c>
      <c r="AP241" s="110"/>
      <c r="AQ241" s="80" t="s">
        <v>1256</v>
      </c>
      <c r="AR241" s="81">
        <f t="shared" ref="AR241" si="1849">COUNTIF($M$240:$M$241,AQ241)*$D$32</f>
        <v>0</v>
      </c>
      <c r="AS241" s="110"/>
      <c r="AT241" s="80" t="s">
        <v>79</v>
      </c>
      <c r="AU241" s="81">
        <f t="shared" ref="AU241" si="1850">COUNTIF($M$240:$M$241,AT241)*$D$32</f>
        <v>0</v>
      </c>
      <c r="AV241" s="110"/>
      <c r="AW241" s="80" t="s">
        <v>79</v>
      </c>
      <c r="AX241" s="81">
        <f t="shared" ref="AX241" si="1851">COUNTIF($M$240:$M$241,AW241)*$D$32</f>
        <v>0</v>
      </c>
      <c r="AY241" s="110"/>
      <c r="AZ241" s="80" t="s">
        <v>79</v>
      </c>
      <c r="BA241" s="81">
        <f t="shared" ref="BA241" si="1852">COUNTIF($M$240:$M$241,AZ241)*$D$32</f>
        <v>0</v>
      </c>
      <c r="BB241" s="110"/>
      <c r="BC241" s="80" t="s">
        <v>1258</v>
      </c>
      <c r="BD241" s="81">
        <f t="shared" ref="BD241" si="1853">COUNTIF($M$240:$M$241,BC241)*$D$32</f>
        <v>0</v>
      </c>
      <c r="BE241" s="110"/>
      <c r="BF241" s="80" t="s">
        <v>1256</v>
      </c>
      <c r="BG241" s="81">
        <f t="shared" ref="BG241" si="1854">COUNTIF($M$240:$M$241,BF241)*$D$32</f>
        <v>0</v>
      </c>
      <c r="BH241" s="110"/>
      <c r="BI241" s="80" t="s">
        <v>1258</v>
      </c>
      <c r="BJ241" s="81">
        <f t="shared" ref="BJ241" si="1855">COUNTIF($M$240:$M$241,BI241)*$D$32</f>
        <v>0</v>
      </c>
      <c r="BK241" s="110"/>
      <c r="BL241" s="80" t="s">
        <v>1256</v>
      </c>
      <c r="BM241" s="81">
        <f t="shared" ref="BM241" si="1856">COUNTIF($M$240:$M$241,BL241)*$D$32</f>
        <v>0</v>
      </c>
      <c r="BN241" s="110"/>
      <c r="BO241" s="80" t="s">
        <v>79</v>
      </c>
      <c r="BP241" s="81">
        <f t="shared" ref="BP241" si="1857">COUNTIF($M$240:$M$241,BO241)*$D$32</f>
        <v>0</v>
      </c>
      <c r="BQ241" s="110"/>
      <c r="BR241" s="80" t="s">
        <v>79</v>
      </c>
      <c r="BS241" s="81">
        <f t="shared" ref="BS241" si="1858">COUNTIF($M$240:$M$241,BR241)*$D$32</f>
        <v>0</v>
      </c>
      <c r="BT241" s="110"/>
      <c r="BU241" s="80" t="s">
        <v>79</v>
      </c>
      <c r="BV241" s="81">
        <f t="shared" ref="BV241" si="1859">COUNTIF($M$240:$M$241,BU241)*$D$32</f>
        <v>0</v>
      </c>
      <c r="BW241" s="110"/>
      <c r="BX241" s="80" t="s">
        <v>76</v>
      </c>
      <c r="BY241" s="81">
        <f t="shared" ref="BY241" si="1860">COUNTIF($M$240:$M$241,BX241)*$D$32</f>
        <v>0</v>
      </c>
      <c r="BZ241" s="110"/>
      <c r="CA241" s="80" t="s">
        <v>1256</v>
      </c>
      <c r="CB241" s="81">
        <f t="shared" ref="CB241" si="1861">COUNTIF($M$240:$M$241,CA241)*$D$32</f>
        <v>0</v>
      </c>
      <c r="CC241" s="110"/>
      <c r="CD241" s="80" t="s">
        <v>79</v>
      </c>
      <c r="CE241" s="81">
        <f t="shared" ref="CE241" si="1862">COUNTIF($M$240:$M$241,CD241)*$D$32</f>
        <v>0</v>
      </c>
      <c r="CF241" s="110"/>
      <c r="CG241" s="80" t="s">
        <v>1258</v>
      </c>
      <c r="CH241" s="81">
        <f t="shared" ref="CH241" si="1863">COUNTIF($M$240:$M$241,CG241)*$D$32</f>
        <v>0</v>
      </c>
      <c r="CI241" s="110"/>
      <c r="CJ241" s="80" t="s">
        <v>79</v>
      </c>
      <c r="CK241" s="81">
        <f t="shared" ref="CK241" si="1864">COUNTIF($M$240:$M$241,CJ241)*$D$32</f>
        <v>0</v>
      </c>
      <c r="CL241" s="110"/>
      <c r="CM241" s="80" t="s">
        <v>79</v>
      </c>
      <c r="CN241" s="81">
        <f t="shared" ref="CN241" si="1865">COUNTIF($M$240:$M$241,CM241)*$D$32</f>
        <v>0</v>
      </c>
      <c r="CO241" s="110"/>
      <c r="CP241" s="80" t="s">
        <v>79</v>
      </c>
      <c r="CQ241" s="81">
        <f t="shared" ref="CQ241" si="1866">COUNTIF($M$240:$M$241,CP241)*$D$32</f>
        <v>0</v>
      </c>
      <c r="CR241" s="110"/>
      <c r="CS241" s="80" t="s">
        <v>1256</v>
      </c>
      <c r="CT241" s="81">
        <f t="shared" ref="CT241" si="1867">COUNTIF($M$240:$M$241,CS241)*$D$32</f>
        <v>0</v>
      </c>
      <c r="CU241" s="110"/>
      <c r="CV241" s="80" t="s">
        <v>79</v>
      </c>
      <c r="CW241" s="81">
        <f t="shared" ref="CW241" si="1868">COUNTIF($M$240:$M$241,CV241)*$D$32</f>
        <v>0</v>
      </c>
      <c r="CX241" s="110"/>
      <c r="CY241" s="80" t="s">
        <v>76</v>
      </c>
      <c r="CZ241" s="81">
        <f t="shared" ref="CZ241" si="1869">COUNTIF($M$240:$M$241,CY241)*$D$32</f>
        <v>0</v>
      </c>
      <c r="DA241" s="110"/>
      <c r="DB241" s="80" t="s">
        <v>1256</v>
      </c>
      <c r="DC241" s="81">
        <f t="shared" ref="DC241" si="1870">COUNTIF($M$240:$M$241,DB241)*$D$32</f>
        <v>0</v>
      </c>
      <c r="DD241" s="110"/>
      <c r="DE241" s="80" t="s">
        <v>1258</v>
      </c>
      <c r="DF241" s="81">
        <f t="shared" ref="DF241" si="1871">COUNTIF($M$240:$M$241,DE241)*$D$32</f>
        <v>0</v>
      </c>
      <c r="DG241" s="110"/>
      <c r="DH241" s="80" t="s">
        <v>79</v>
      </c>
      <c r="DI241" s="81">
        <f t="shared" ref="DI241" si="1872">COUNTIF($M$240:$M$241,DH241)*$D$32</f>
        <v>0</v>
      </c>
      <c r="DJ241" s="110"/>
      <c r="DK241" s="80" t="s">
        <v>79</v>
      </c>
      <c r="DL241" s="81">
        <f t="shared" ref="DL241" si="1873">COUNTIF($M$240:$M$241,DK241)*$D$32</f>
        <v>0</v>
      </c>
      <c r="DM241" s="110"/>
      <c r="DN241" s="795" t="s">
        <v>79</v>
      </c>
      <c r="DO241" s="81">
        <f t="shared" ref="DO241" si="1874">COUNTIF($M$240:$M$241,DN241)*$D$32</f>
        <v>0</v>
      </c>
      <c r="DP241" s="110"/>
      <c r="DQ241" s="795" t="s">
        <v>79</v>
      </c>
      <c r="DR241" s="81">
        <f t="shared" ref="DR241" si="1875">COUNTIF($M$240:$M$241,DQ241)*$D$32</f>
        <v>0</v>
      </c>
      <c r="DS241" s="110"/>
      <c r="DT241" s="80" t="s">
        <v>1258</v>
      </c>
      <c r="DU241" s="81">
        <f t="shared" ref="DU241" si="1876">COUNTIF($M$240:$M$241,DT241)*$D$32</f>
        <v>0</v>
      </c>
      <c r="DV241" s="110"/>
      <c r="DW241" s="80" t="s">
        <v>79</v>
      </c>
      <c r="DX241" s="81">
        <f t="shared" ref="DX241" si="1877">COUNTIF($M$240:$M$241,DW241)*$D$32</f>
        <v>0</v>
      </c>
      <c r="DY241" s="110"/>
      <c r="DZ241" s="80" t="s">
        <v>1256</v>
      </c>
      <c r="EA241" s="81">
        <f t="shared" ref="EA241" si="1878">COUNTIF($M$240:$M$241,DZ241)*$D$32</f>
        <v>0</v>
      </c>
      <c r="EB241" s="110"/>
      <c r="EC241" s="80" t="s">
        <v>79</v>
      </c>
      <c r="ED241" s="81">
        <f t="shared" ref="ED241" si="1879">COUNTIF($M$240:$M$241,EC241)*$D$32</f>
        <v>0</v>
      </c>
      <c r="EE241" s="110"/>
      <c r="EF241" s="80" t="s">
        <v>76</v>
      </c>
      <c r="EG241" s="81">
        <f t="shared" ref="EG241" si="1880">COUNTIF($M$240:$M$241,EF241)*$D$32</f>
        <v>0</v>
      </c>
      <c r="EH241" s="110"/>
      <c r="EI241" s="80" t="s">
        <v>79</v>
      </c>
      <c r="EJ241" s="81">
        <f t="shared" ref="EJ241" si="1881">COUNTIF($M$240:$M$241,EI241)*$D$32</f>
        <v>0</v>
      </c>
      <c r="EK241" s="110"/>
      <c r="EL241" s="80"/>
      <c r="EM241" s="81">
        <f t="shared" ref="EM241" si="1882">COUNTIF($M$240:$M$241,EL241)*$D$32</f>
        <v>0</v>
      </c>
      <c r="EN241" s="110"/>
      <c r="EO241" s="80"/>
      <c r="EP241" s="81">
        <f t="shared" ref="EP241" si="1883">COUNTIF($M$240:$M$241,EO241)*$D$32</f>
        <v>0</v>
      </c>
      <c r="EQ241" s="110"/>
      <c r="ER241" s="80"/>
      <c r="ES241" s="81">
        <f t="shared" ref="ES241" si="1884">COUNTIF($M$240:$M$241,ER241)*$D$32</f>
        <v>0</v>
      </c>
      <c r="ET241" s="110"/>
      <c r="EU241" s="80"/>
      <c r="EV241" s="81">
        <f t="shared" ref="EV241" si="1885">COUNTIF($M$240:$M$241,EU241)*$D$32</f>
        <v>0</v>
      </c>
      <c r="EW241" s="110"/>
      <c r="EX241" s="80"/>
      <c r="EY241" s="81">
        <f t="shared" ref="EY241" si="1886">COUNTIF($M$240:$M$241,EX241)*$D$32</f>
        <v>0</v>
      </c>
      <c r="EZ241" s="110"/>
      <c r="FA241" s="80"/>
      <c r="FB241" s="81">
        <f t="shared" ref="FB241" si="1887">COUNTIF($M$240:$M$241,FA241)*$D$32</f>
        <v>0</v>
      </c>
      <c r="FC241" s="110"/>
      <c r="FD241" s="80"/>
      <c r="FE241" s="81">
        <f t="shared" ref="FE241" si="1888">COUNTIF($M$240:$M$241,FD241)*$D$32</f>
        <v>0</v>
      </c>
      <c r="FF241" s="110"/>
      <c r="FG241" s="80"/>
      <c r="FH241" s="81">
        <f t="shared" ref="FH241" si="1889">COUNTIF($M$240:$M$241,FG241)*$D$32</f>
        <v>0</v>
      </c>
      <c r="FI241" s="110"/>
      <c r="FJ241" s="80"/>
      <c r="FK241" s="81">
        <f t="shared" ref="FK241" si="1890">COUNTIF($M$240:$M$241,FJ241)*$D$32</f>
        <v>0</v>
      </c>
      <c r="FL241" s="110"/>
      <c r="FM241" s="110"/>
    </row>
    <row r="242" spans="1:169">
      <c r="A242" s="25"/>
      <c r="B242" s="25"/>
      <c r="C242" s="25"/>
      <c r="D242" s="25"/>
      <c r="E242" s="25"/>
      <c r="F242" s="407"/>
      <c r="G242" s="407"/>
      <c r="H242" s="65"/>
      <c r="I242" s="50"/>
      <c r="J242" s="94"/>
      <c r="K242" s="434" t="str">
        <f>Idiomas!D466</f>
        <v>Equipos Final</v>
      </c>
      <c r="L242" s="435"/>
      <c r="M242" s="434" t="str">
        <f>"Max: "&amp;$D$32*COUNT(T240:T241)</f>
        <v>Max: 14</v>
      </c>
      <c r="N242" s="25"/>
      <c r="O242" s="25"/>
      <c r="P242" s="25"/>
      <c r="Q242" s="25"/>
      <c r="R242" s="17"/>
      <c r="S242" s="84"/>
      <c r="T242" s="71">
        <f>SUM(T240:T241)</f>
        <v>0</v>
      </c>
      <c r="U242" s="49"/>
      <c r="V242" s="84"/>
      <c r="W242" s="71">
        <f t="shared" ref="W242" si="1891">SUM(W240:W241)</f>
        <v>0</v>
      </c>
      <c r="X242" s="49"/>
      <c r="Y242" s="84"/>
      <c r="Z242" s="71">
        <f t="shared" ref="Z242" si="1892">SUM(Z240:Z241)</f>
        <v>0</v>
      </c>
      <c r="AA242" s="49"/>
      <c r="AB242" s="84"/>
      <c r="AC242" s="71">
        <f t="shared" ref="AC242" si="1893">SUM(AC240:AC241)</f>
        <v>0</v>
      </c>
      <c r="AD242" s="49"/>
      <c r="AE242" s="84"/>
      <c r="AF242" s="71">
        <f t="shared" ref="AF242" si="1894">SUM(AF240:AF241)</f>
        <v>0</v>
      </c>
      <c r="AG242" s="49"/>
      <c r="AH242" s="84"/>
      <c r="AI242" s="71">
        <f t="shared" ref="AI242" si="1895">SUM(AI240:AI241)</f>
        <v>0</v>
      </c>
      <c r="AJ242" s="49"/>
      <c r="AK242" s="84"/>
      <c r="AL242" s="71">
        <f t="shared" ref="AL242" si="1896">SUM(AL240:AL241)</f>
        <v>0</v>
      </c>
      <c r="AM242" s="49"/>
      <c r="AN242" s="84"/>
      <c r="AO242" s="71">
        <f t="shared" ref="AO242" si="1897">SUM(AO240:AO241)</f>
        <v>0</v>
      </c>
      <c r="AP242" s="49"/>
      <c r="AQ242" s="84"/>
      <c r="AR242" s="71">
        <f t="shared" ref="AR242" si="1898">SUM(AR240:AR241)</f>
        <v>0</v>
      </c>
      <c r="AS242" s="49"/>
      <c r="AT242" s="84"/>
      <c r="AU242" s="71">
        <f t="shared" ref="AU242" si="1899">SUM(AU240:AU241)</f>
        <v>0</v>
      </c>
      <c r="AV242" s="49"/>
      <c r="AW242" s="84"/>
      <c r="AX242" s="71">
        <f t="shared" ref="AX242" si="1900">SUM(AX240:AX241)</f>
        <v>0</v>
      </c>
      <c r="AY242" s="49"/>
      <c r="AZ242" s="84"/>
      <c r="BA242" s="71">
        <f t="shared" ref="BA242" si="1901">SUM(BA240:BA241)</f>
        <v>0</v>
      </c>
      <c r="BB242" s="49"/>
      <c r="BC242" s="84"/>
      <c r="BD242" s="71">
        <f t="shared" ref="BD242" si="1902">SUM(BD240:BD241)</f>
        <v>0</v>
      </c>
      <c r="BE242" s="49"/>
      <c r="BF242" s="84"/>
      <c r="BG242" s="71">
        <f t="shared" ref="BG242" si="1903">SUM(BG240:BG241)</f>
        <v>0</v>
      </c>
      <c r="BH242" s="49"/>
      <c r="BI242" s="84"/>
      <c r="BJ242" s="71">
        <f t="shared" ref="BJ242" si="1904">SUM(BJ240:BJ241)</f>
        <v>0</v>
      </c>
      <c r="BK242" s="49"/>
      <c r="BL242" s="84"/>
      <c r="BM242" s="71">
        <f t="shared" ref="BM242" si="1905">SUM(BM240:BM241)</f>
        <v>0</v>
      </c>
      <c r="BN242" s="49"/>
      <c r="BO242" s="84"/>
      <c r="BP242" s="71">
        <f t="shared" ref="BP242" si="1906">SUM(BP240:BP241)</f>
        <v>0</v>
      </c>
      <c r="BQ242" s="49"/>
      <c r="BR242" s="84"/>
      <c r="BS242" s="71">
        <f t="shared" ref="BS242" si="1907">SUM(BS240:BS241)</f>
        <v>0</v>
      </c>
      <c r="BT242" s="49"/>
      <c r="BU242" s="84"/>
      <c r="BV242" s="71">
        <f t="shared" ref="BV242" si="1908">SUM(BV240:BV241)</f>
        <v>0</v>
      </c>
      <c r="BW242" s="49"/>
      <c r="BX242" s="84"/>
      <c r="BY242" s="71">
        <f t="shared" ref="BY242" si="1909">SUM(BY240:BY241)</f>
        <v>0</v>
      </c>
      <c r="BZ242" s="49"/>
      <c r="CA242" s="84"/>
      <c r="CB242" s="71">
        <f t="shared" ref="CB242" si="1910">SUM(CB240:CB241)</f>
        <v>0</v>
      </c>
      <c r="CC242" s="49"/>
      <c r="CD242" s="84"/>
      <c r="CE242" s="71">
        <f t="shared" ref="CE242" si="1911">SUM(CE240:CE241)</f>
        <v>0</v>
      </c>
      <c r="CF242" s="49"/>
      <c r="CG242" s="84"/>
      <c r="CH242" s="71">
        <f t="shared" ref="CH242" si="1912">SUM(CH240:CH241)</f>
        <v>0</v>
      </c>
      <c r="CI242" s="49"/>
      <c r="CJ242" s="84"/>
      <c r="CK242" s="71">
        <f t="shared" ref="CK242" si="1913">SUM(CK240:CK241)</f>
        <v>0</v>
      </c>
      <c r="CL242" s="49"/>
      <c r="CM242" s="84"/>
      <c r="CN242" s="71">
        <f t="shared" ref="CN242" si="1914">SUM(CN240:CN241)</f>
        <v>0</v>
      </c>
      <c r="CO242" s="49"/>
      <c r="CP242" s="84"/>
      <c r="CQ242" s="71">
        <f t="shared" ref="CQ242" si="1915">SUM(CQ240:CQ241)</f>
        <v>0</v>
      </c>
      <c r="CR242" s="49"/>
      <c r="CS242" s="84"/>
      <c r="CT242" s="71">
        <f t="shared" ref="CT242" si="1916">SUM(CT240:CT241)</f>
        <v>0</v>
      </c>
      <c r="CU242" s="49"/>
      <c r="CV242" s="84"/>
      <c r="CW242" s="71">
        <f t="shared" ref="CW242" si="1917">SUM(CW240:CW241)</f>
        <v>0</v>
      </c>
      <c r="CX242" s="49"/>
      <c r="CY242" s="84"/>
      <c r="CZ242" s="71">
        <f t="shared" ref="CZ242" si="1918">SUM(CZ240:CZ241)</f>
        <v>0</v>
      </c>
      <c r="DA242" s="49"/>
      <c r="DB242" s="84"/>
      <c r="DC242" s="71">
        <f t="shared" ref="DC242" si="1919">SUM(DC240:DC241)</f>
        <v>0</v>
      </c>
      <c r="DD242" s="49"/>
      <c r="DE242" s="84"/>
      <c r="DF242" s="71">
        <f t="shared" ref="DF242" si="1920">SUM(DF240:DF241)</f>
        <v>0</v>
      </c>
      <c r="DG242" s="49"/>
      <c r="DH242" s="84"/>
      <c r="DI242" s="71">
        <f t="shared" ref="DI242" si="1921">SUM(DI240:DI241)</f>
        <v>0</v>
      </c>
      <c r="DJ242" s="49"/>
      <c r="DK242" s="84"/>
      <c r="DL242" s="71">
        <f t="shared" ref="DL242" si="1922">SUM(DL240:DL241)</f>
        <v>0</v>
      </c>
      <c r="DM242" s="49"/>
      <c r="DN242" s="796"/>
      <c r="DO242" s="71">
        <f t="shared" ref="DO242" si="1923">SUM(DO240:DO241)</f>
        <v>0</v>
      </c>
      <c r="DP242" s="49"/>
      <c r="DQ242" s="796"/>
      <c r="DR242" s="71">
        <f t="shared" ref="DR242" si="1924">SUM(DR240:DR241)</f>
        <v>0</v>
      </c>
      <c r="DS242" s="49"/>
      <c r="DT242" s="84"/>
      <c r="DU242" s="71">
        <f t="shared" ref="DU242" si="1925">SUM(DU240:DU241)</f>
        <v>0</v>
      </c>
      <c r="DV242" s="49"/>
      <c r="DW242" s="84"/>
      <c r="DX242" s="71">
        <f t="shared" ref="DX242" si="1926">SUM(DX240:DX241)</f>
        <v>0</v>
      </c>
      <c r="DY242" s="49"/>
      <c r="DZ242" s="84"/>
      <c r="EA242" s="71">
        <f t="shared" ref="EA242" si="1927">SUM(EA240:EA241)</f>
        <v>0</v>
      </c>
      <c r="EB242" s="49"/>
      <c r="EC242" s="84"/>
      <c r="ED242" s="71">
        <f t="shared" ref="ED242" si="1928">SUM(ED240:ED241)</f>
        <v>0</v>
      </c>
      <c r="EE242" s="49"/>
      <c r="EF242" s="84"/>
      <c r="EG242" s="71">
        <f t="shared" ref="EG242" si="1929">SUM(EG240:EG241)</f>
        <v>0</v>
      </c>
      <c r="EH242" s="49"/>
      <c r="EI242" s="84"/>
      <c r="EJ242" s="71">
        <f t="shared" ref="EJ242" si="1930">SUM(EJ240:EJ241)</f>
        <v>0</v>
      </c>
      <c r="EK242" s="49"/>
      <c r="EL242" s="84"/>
      <c r="EM242" s="71">
        <f t="shared" ref="EM242" si="1931">SUM(EM240:EM241)</f>
        <v>0</v>
      </c>
      <c r="EN242" s="49"/>
      <c r="EO242" s="84"/>
      <c r="EP242" s="71">
        <f t="shared" ref="EP242" si="1932">SUM(EP240:EP241)</f>
        <v>0</v>
      </c>
      <c r="EQ242" s="49"/>
      <c r="ER242" s="84"/>
      <c r="ES242" s="71">
        <f t="shared" ref="ES242" si="1933">SUM(ES240:ES241)</f>
        <v>0</v>
      </c>
      <c r="ET242" s="49"/>
      <c r="EU242" s="84"/>
      <c r="EV242" s="71">
        <f t="shared" ref="EV242" si="1934">SUM(EV240:EV241)</f>
        <v>0</v>
      </c>
      <c r="EW242" s="49"/>
      <c r="EX242" s="84"/>
      <c r="EY242" s="71">
        <f t="shared" ref="EY242" si="1935">SUM(EY240:EY241)</f>
        <v>0</v>
      </c>
      <c r="EZ242" s="49"/>
      <c r="FA242" s="84"/>
      <c r="FB242" s="71">
        <f t="shared" ref="FB242" si="1936">SUM(FB240:FB241)</f>
        <v>0</v>
      </c>
      <c r="FC242" s="49"/>
      <c r="FD242" s="84"/>
      <c r="FE242" s="71">
        <f t="shared" ref="FE242" si="1937">SUM(FE240:FE241)</f>
        <v>0</v>
      </c>
      <c r="FF242" s="49"/>
      <c r="FG242" s="84"/>
      <c r="FH242" s="71">
        <f t="shared" ref="FH242" si="1938">SUM(FH240:FH241)</f>
        <v>0</v>
      </c>
      <c r="FI242" s="49"/>
      <c r="FJ242" s="84"/>
      <c r="FK242" s="71">
        <f t="shared" ref="FK242" si="1939">SUM(FK240:FK241)</f>
        <v>0</v>
      </c>
      <c r="FL242" s="49"/>
      <c r="FM242" s="49"/>
    </row>
    <row r="243" spans="1:169">
      <c r="A243" s="25"/>
      <c r="B243" s="25"/>
      <c r="C243" s="25"/>
      <c r="D243" s="25"/>
      <c r="E243" s="25"/>
      <c r="F243" s="407"/>
      <c r="G243" s="407"/>
      <c r="H243" s="65"/>
      <c r="I243" s="52" t="s">
        <v>1578</v>
      </c>
      <c r="J243" s="94"/>
      <c r="K243" s="113" t="str">
        <f>UPPER(Idiomas!D147)</f>
        <v>3º-4º PUESTO</v>
      </c>
      <c r="L243" s="50"/>
      <c r="M243" s="71"/>
      <c r="N243" s="25"/>
      <c r="O243" s="25"/>
      <c r="P243" s="25"/>
      <c r="Q243" s="25"/>
      <c r="R243" s="17"/>
      <c r="S243" s="84"/>
      <c r="T243" s="112"/>
      <c r="U243" s="49"/>
      <c r="V243" s="84"/>
      <c r="W243" s="71"/>
      <c r="X243" s="49"/>
      <c r="Y243" s="84"/>
      <c r="Z243" s="71"/>
      <c r="AA243" s="49"/>
      <c r="AB243" s="84"/>
      <c r="AC243" s="71"/>
      <c r="AD243" s="49"/>
      <c r="AE243" s="84"/>
      <c r="AF243" s="71"/>
      <c r="AG243" s="49"/>
      <c r="AH243" s="84"/>
      <c r="AI243" s="71"/>
      <c r="AJ243" s="49"/>
      <c r="AK243" s="84"/>
      <c r="AL243" s="71"/>
      <c r="AM243" s="49"/>
      <c r="AN243" s="84"/>
      <c r="AO243" s="71"/>
      <c r="AP243" s="49"/>
      <c r="AQ243" s="84"/>
      <c r="AR243" s="71"/>
      <c r="AS243" s="49"/>
      <c r="AT243" s="84"/>
      <c r="AU243" s="71"/>
      <c r="AV243" s="49"/>
      <c r="AW243" s="84"/>
      <c r="AX243" s="71"/>
      <c r="AY243" s="49"/>
      <c r="AZ243" s="84"/>
      <c r="BA243" s="71"/>
      <c r="BB243" s="49"/>
      <c r="BC243" s="84"/>
      <c r="BD243" s="71"/>
      <c r="BE243" s="49"/>
      <c r="BF243" s="84"/>
      <c r="BG243" s="71"/>
      <c r="BH243" s="49"/>
      <c r="BI243" s="84"/>
      <c r="BJ243" s="71"/>
      <c r="BK243" s="49"/>
      <c r="BL243" s="84"/>
      <c r="BM243" s="71"/>
      <c r="BN243" s="49"/>
      <c r="BO243" s="84"/>
      <c r="BP243" s="71"/>
      <c r="BQ243" s="49"/>
      <c r="BR243" s="84"/>
      <c r="BS243" s="71"/>
      <c r="BT243" s="49"/>
      <c r="BU243" s="84"/>
      <c r="BV243" s="71"/>
      <c r="BW243" s="49"/>
      <c r="BX243" s="84"/>
      <c r="BY243" s="71"/>
      <c r="BZ243" s="49"/>
      <c r="CA243" s="84"/>
      <c r="CB243" s="71"/>
      <c r="CC243" s="49"/>
      <c r="CD243" s="84"/>
      <c r="CE243" s="71"/>
      <c r="CF243" s="49"/>
      <c r="CG243" s="84"/>
      <c r="CH243" s="71"/>
      <c r="CI243" s="49"/>
      <c r="CJ243" s="84"/>
      <c r="CK243" s="71"/>
      <c r="CL243" s="49"/>
      <c r="CM243" s="84"/>
      <c r="CN243" s="71"/>
      <c r="CO243" s="49"/>
      <c r="CP243" s="84"/>
      <c r="CQ243" s="71"/>
      <c r="CR243" s="49"/>
      <c r="CS243" s="84"/>
      <c r="CT243" s="71"/>
      <c r="CU243" s="49"/>
      <c r="CV243" s="84"/>
      <c r="CW243" s="71"/>
      <c r="CX243" s="49"/>
      <c r="CY243" s="84"/>
      <c r="CZ243" s="71"/>
      <c r="DA243" s="49"/>
      <c r="DB243" s="84"/>
      <c r="DC243" s="71"/>
      <c r="DD243" s="49"/>
      <c r="DE243" s="84"/>
      <c r="DF243" s="71"/>
      <c r="DG243" s="49"/>
      <c r="DH243" s="84"/>
      <c r="DI243" s="71"/>
      <c r="DJ243" s="49"/>
      <c r="DK243" s="84"/>
      <c r="DL243" s="71"/>
      <c r="DM243" s="49"/>
      <c r="DN243" s="796"/>
      <c r="DO243" s="71"/>
      <c r="DP243" s="49"/>
      <c r="DQ243" s="796"/>
      <c r="DR243" s="71"/>
      <c r="DS243" s="49"/>
      <c r="DT243" s="84"/>
      <c r="DU243" s="71"/>
      <c r="DV243" s="49"/>
      <c r="DW243" s="84"/>
      <c r="DX243" s="71"/>
      <c r="DY243" s="49"/>
      <c r="DZ243" s="84"/>
      <c r="EA243" s="71"/>
      <c r="EB243" s="49"/>
      <c r="EC243" s="84"/>
      <c r="ED243" s="71"/>
      <c r="EE243" s="49"/>
      <c r="EF243" s="84"/>
      <c r="EG243" s="71"/>
      <c r="EH243" s="49"/>
      <c r="EI243" s="84"/>
      <c r="EJ243" s="71"/>
      <c r="EK243" s="49"/>
      <c r="EL243" s="84"/>
      <c r="EM243" s="71"/>
      <c r="EN243" s="49"/>
      <c r="EO243" s="84"/>
      <c r="EP243" s="71"/>
      <c r="EQ243" s="49"/>
      <c r="ER243" s="84"/>
      <c r="ES243" s="71"/>
      <c r="ET243" s="49"/>
      <c r="EU243" s="84"/>
      <c r="EV243" s="71"/>
      <c r="EW243" s="49"/>
      <c r="EX243" s="84"/>
      <c r="EY243" s="71"/>
      <c r="EZ243" s="49"/>
      <c r="FA243" s="84"/>
      <c r="FB243" s="71"/>
      <c r="FC243" s="49"/>
      <c r="FD243" s="84"/>
      <c r="FE243" s="71"/>
      <c r="FF243" s="49"/>
      <c r="FG243" s="84"/>
      <c r="FH243" s="71"/>
      <c r="FI243" s="49"/>
      <c r="FJ243" s="84"/>
      <c r="FK243" s="71"/>
      <c r="FL243" s="49"/>
      <c r="FM243" s="49"/>
    </row>
    <row r="244" spans="1:169" ht="20.399999999999999">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07">
        <f>SUM($D$33:$D$35)*$I$244</f>
        <v>4</v>
      </c>
      <c r="G244" s="407">
        <f ca="1">VLOOKUP(H244,Equipos!$Q$1:$R$25,2,0)</f>
        <v>24</v>
      </c>
      <c r="H244" s="65" t="str">
        <f>Idiomas!$D$264</f>
        <v>3-4 &amp; Final</v>
      </c>
      <c r="I244" s="43">
        <v>1</v>
      </c>
      <c r="J244" s="98" t="s">
        <v>493</v>
      </c>
      <c r="K244" s="114" t="str">
        <f>CONCATENATE(WORLDCUP!AA143,"-",WORLDCUP!AF143)</f>
        <v>L101-L102</v>
      </c>
      <c r="L244" s="114" t="str">
        <f>IF(OR(WORLDCUP!AC143="",WORLDCUP!AD143=""),"PD",IF(WORLDCUP!AC143&gt;WORLDCUP!AD143,1,IF(WORLDCUP!AC143&lt;WORLDCUP!AD143,2,0)))</f>
        <v>PD</v>
      </c>
      <c r="M244" s="117" t="str">
        <f>IF(L244="PD","-",N244&amp;"-"&amp;O244)</f>
        <v>-</v>
      </c>
      <c r="N244" s="25">
        <f>WORLDCUP!AC143</f>
        <v>0</v>
      </c>
      <c r="O244" s="25">
        <f>WORLDCUP!AD143</f>
        <v>0</v>
      </c>
      <c r="P244" s="25">
        <f>+N244-O244</f>
        <v>0</v>
      </c>
      <c r="Q244" s="25">
        <f>+A244-B244</f>
        <v>0</v>
      </c>
      <c r="R244" s="17"/>
      <c r="S244" s="66" t="s">
        <v>1994</v>
      </c>
      <c r="T244" s="85">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3"/>
      <c r="V244" s="66" t="s">
        <v>2033</v>
      </c>
      <c r="W244" s="85">
        <f t="shared" ref="W244" si="1940">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0"/>
      <c r="Y244" s="66" t="s">
        <v>2067</v>
      </c>
      <c r="Z244" s="85">
        <f t="shared" ref="Z244" si="1941">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0"/>
      <c r="AB244" s="66" t="s">
        <v>1994</v>
      </c>
      <c r="AC244" s="85">
        <f t="shared" ref="AC244" si="1942">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0"/>
      <c r="AE244" s="66" t="s">
        <v>2122</v>
      </c>
      <c r="AF244" s="85">
        <f t="shared" ref="AF244" si="1943">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0"/>
      <c r="AH244" s="66" t="s">
        <v>2152</v>
      </c>
      <c r="AI244" s="85">
        <f t="shared" ref="AI244" si="1944">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v>0</v>
      </c>
      <c r="AJ244" s="110"/>
      <c r="AK244" s="66" t="s">
        <v>2179</v>
      </c>
      <c r="AL244" s="85">
        <f t="shared" ref="AL244" si="1945">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v>0</v>
      </c>
      <c r="AM244" s="110"/>
      <c r="AN244" s="66" t="s">
        <v>2211</v>
      </c>
      <c r="AO244" s="85">
        <f t="shared" ref="AO244" si="1946">IFERROR(IF(LEFT(AN244,FIND("·",AN244)-1)=$K$244,IF($L$244=IFERROR(VALUE(MID(AN244,FIND("·",AN244)+1,1)),0),($D$33+($M$244=MID(AN244,FIND("|",AN244)+1,10))*$D$35+MAX(0,IF($D$50=1,$D$34*(1-(ABS($P$244-(VALUE(MID(AN244,FIND("|",AN244)+1,FIND("-",AN244,FIND("|",AN244))-FIND("|",AN244)-1))-VALUE(MID(AN244,FIND("-",AN244,FIND("|",AN244))+1,10)))))*$D$50),$D$34*(1-(IF($L$244=0,ABS($N$244-VALUE(MID(AN244,FIND("|",AN244)+1,FIND("-",AN244,FIND("|",AN244))-FIND("|",AN244)-1))),ABS($P$244-(VALUE(MID(AN244,FIND("|",AN244)+1,FIND("-",AN244,FIND("|",AN244))-FIND("|",AN244)-1))-VALUE(MID(AN244,FIND("-",AN244,FIND("|",AN244))+1,10)))))*$D$50)))))*$I$244,0),0),0)
+IFERROR(IF(LEFT(AN244,FIND("·",AN244)-1)=$C$244,IF($D$244=IFERROR(VALUE(MID(AN244,FIND("·",AN244)+1,1)),0),($D$33+($E$244=MID(AN244,FIND("|",AN244)+1,10))*$D$35+MAX(0,IF($D$50=1,$D$34*(1-(ABS($Q$244-(VALUE(MID(AN244,FIND("|",AN244)+1,FIND("-",AN244,FIND("|",AN244))-FIND("|",AN244)-1))-VALUE(MID(AN244,FIND("-",AN244,FIND("|",AN244))+1,10)))))*$D$50),$D$34*(1-(IF($D$244=0,ABS($A$244-VALUE(MID(AN244,FIND("|",AN244)+1,FIND("-",AN244,FIND("|",AN244))-FIND("|",AN244)-1))),ABS($Q$244-(VALUE(MID(AN244,FIND("|",AN244)+1,FIND("-",AN244,FIND("|",AN244))-FIND("|",AN244)-1))-VALUE(MID(AN244,FIND("-",AN244,FIND("|",AN244))+1,10)))))*$D$50)))))*$I$244,0),0),0)</f>
        <v>0</v>
      </c>
      <c r="AP244" s="110"/>
      <c r="AQ244" s="66" t="s">
        <v>2236</v>
      </c>
      <c r="AR244" s="85">
        <f t="shared" ref="AR244" si="1947">IFERROR(IF(LEFT(AQ244,FIND("·",AQ244)-1)=$K$244,IF($L$244=IFERROR(VALUE(MID(AQ244,FIND("·",AQ244)+1,1)),0),($D$33+($M$244=MID(AQ244,FIND("|",AQ244)+1,10))*$D$35+MAX(0,IF($D$50=1,$D$34*(1-(ABS($P$244-(VALUE(MID(AQ244,FIND("|",AQ244)+1,FIND("-",AQ244,FIND("|",AQ244))-FIND("|",AQ244)-1))-VALUE(MID(AQ244,FIND("-",AQ244,FIND("|",AQ244))+1,10)))))*$D$50),$D$34*(1-(IF($L$244=0,ABS($N$244-VALUE(MID(AQ244,FIND("|",AQ244)+1,FIND("-",AQ244,FIND("|",AQ244))-FIND("|",AQ244)-1))),ABS($P$244-(VALUE(MID(AQ244,FIND("|",AQ244)+1,FIND("-",AQ244,FIND("|",AQ244))-FIND("|",AQ244)-1))-VALUE(MID(AQ244,FIND("-",AQ244,FIND("|",AQ244))+1,10)))))*$D$50)))))*$I$244,0),0),0)
+IFERROR(IF(LEFT(AQ244,FIND("·",AQ244)-1)=$C$244,IF($D$244=IFERROR(VALUE(MID(AQ244,FIND("·",AQ244)+1,1)),0),($D$33+($E$244=MID(AQ244,FIND("|",AQ244)+1,10))*$D$35+MAX(0,IF($D$50=1,$D$34*(1-(ABS($Q$244-(VALUE(MID(AQ244,FIND("|",AQ244)+1,FIND("-",AQ244,FIND("|",AQ244))-FIND("|",AQ244)-1))-VALUE(MID(AQ244,FIND("-",AQ244,FIND("|",AQ244))+1,10)))))*$D$50),$D$34*(1-(IF($D$244=0,ABS($A$244-VALUE(MID(AQ244,FIND("|",AQ244)+1,FIND("-",AQ244,FIND("|",AQ244))-FIND("|",AQ244)-1))),ABS($Q$244-(VALUE(MID(AQ244,FIND("|",AQ244)+1,FIND("-",AQ244,FIND("|",AQ244))-FIND("|",AQ244)-1))-VALUE(MID(AQ244,FIND("-",AQ244,FIND("|",AQ244))+1,10)))))*$D$50)))))*$I$244,0),0),0)</f>
        <v>0</v>
      </c>
      <c r="AS244" s="110"/>
      <c r="AT244" s="66" t="s">
        <v>2258</v>
      </c>
      <c r="AU244" s="85">
        <f t="shared" ref="AU244" si="1948">IFERROR(IF(LEFT(AT244,FIND("·",AT244)-1)=$K$244,IF($L$244=IFERROR(VALUE(MID(AT244,FIND("·",AT244)+1,1)),0),($D$33+($M$244=MID(AT244,FIND("|",AT244)+1,10))*$D$35+MAX(0,IF($D$50=1,$D$34*(1-(ABS($P$244-(VALUE(MID(AT244,FIND("|",AT244)+1,FIND("-",AT244,FIND("|",AT244))-FIND("|",AT244)-1))-VALUE(MID(AT244,FIND("-",AT244,FIND("|",AT244))+1,10)))))*$D$50),$D$34*(1-(IF($L$244=0,ABS($N$244-VALUE(MID(AT244,FIND("|",AT244)+1,FIND("-",AT244,FIND("|",AT244))-FIND("|",AT244)-1))),ABS($P$244-(VALUE(MID(AT244,FIND("|",AT244)+1,FIND("-",AT244,FIND("|",AT244))-FIND("|",AT244)-1))-VALUE(MID(AT244,FIND("-",AT244,FIND("|",AT244))+1,10)))))*$D$50)))))*$I$244,0),0),0)
+IFERROR(IF(LEFT(AT244,FIND("·",AT244)-1)=$C$244,IF($D$244=IFERROR(VALUE(MID(AT244,FIND("·",AT244)+1,1)),0),($D$33+($E$244=MID(AT244,FIND("|",AT244)+1,10))*$D$35+MAX(0,IF($D$50=1,$D$34*(1-(ABS($Q$244-(VALUE(MID(AT244,FIND("|",AT244)+1,FIND("-",AT244,FIND("|",AT244))-FIND("|",AT244)-1))-VALUE(MID(AT244,FIND("-",AT244,FIND("|",AT244))+1,10)))))*$D$50),$D$34*(1-(IF($D$244=0,ABS($A$244-VALUE(MID(AT244,FIND("|",AT244)+1,FIND("-",AT244,FIND("|",AT244))-FIND("|",AT244)-1))),ABS($Q$244-(VALUE(MID(AT244,FIND("|",AT244)+1,FIND("-",AT244,FIND("|",AT244))-FIND("|",AT244)-1))-VALUE(MID(AT244,FIND("-",AT244,FIND("|",AT244))+1,10)))))*$D$50)))))*$I$244,0),0),0)</f>
        <v>0</v>
      </c>
      <c r="AV244" s="110"/>
      <c r="AW244" s="66" t="s">
        <v>2285</v>
      </c>
      <c r="AX244" s="85">
        <f t="shared" ref="AX244" si="1949">IFERROR(IF(LEFT(AW244,FIND("·",AW244)-1)=$K$244,IF($L$244=IFERROR(VALUE(MID(AW244,FIND("·",AW244)+1,1)),0),($D$33+($M$244=MID(AW244,FIND("|",AW244)+1,10))*$D$35+MAX(0,IF($D$50=1,$D$34*(1-(ABS($P$244-(VALUE(MID(AW244,FIND("|",AW244)+1,FIND("-",AW244,FIND("|",AW244))-FIND("|",AW244)-1))-VALUE(MID(AW244,FIND("-",AW244,FIND("|",AW244))+1,10)))))*$D$50),$D$34*(1-(IF($L$244=0,ABS($N$244-VALUE(MID(AW244,FIND("|",AW244)+1,FIND("-",AW244,FIND("|",AW244))-FIND("|",AW244)-1))),ABS($P$244-(VALUE(MID(AW244,FIND("|",AW244)+1,FIND("-",AW244,FIND("|",AW244))-FIND("|",AW244)-1))-VALUE(MID(AW244,FIND("-",AW244,FIND("|",AW244))+1,10)))))*$D$50)))))*$I$244,0),0),0)
+IFERROR(IF(LEFT(AW244,FIND("·",AW244)-1)=$C$244,IF($D$244=IFERROR(VALUE(MID(AW244,FIND("·",AW244)+1,1)),0),($D$33+($E$244=MID(AW244,FIND("|",AW244)+1,10))*$D$35+MAX(0,IF($D$50=1,$D$34*(1-(ABS($Q$244-(VALUE(MID(AW244,FIND("|",AW244)+1,FIND("-",AW244,FIND("|",AW244))-FIND("|",AW244)-1))-VALUE(MID(AW244,FIND("-",AW244,FIND("|",AW244))+1,10)))))*$D$50),$D$34*(1-(IF($D$244=0,ABS($A$244-VALUE(MID(AW244,FIND("|",AW244)+1,FIND("-",AW244,FIND("|",AW244))-FIND("|",AW244)-1))),ABS($Q$244-(VALUE(MID(AW244,FIND("|",AW244)+1,FIND("-",AW244,FIND("|",AW244))-FIND("|",AW244)-1))-VALUE(MID(AW244,FIND("-",AW244,FIND("|",AW244))+1,10)))))*$D$50)))))*$I$244,0),0),0)</f>
        <v>0</v>
      </c>
      <c r="AY244" s="110"/>
      <c r="AZ244" s="66" t="s">
        <v>2309</v>
      </c>
      <c r="BA244" s="85">
        <f t="shared" ref="BA244" si="1950">IFERROR(IF(LEFT(AZ244,FIND("·",AZ244)-1)=$K$244,IF($L$244=IFERROR(VALUE(MID(AZ244,FIND("·",AZ244)+1,1)),0),($D$33+($M$244=MID(AZ244,FIND("|",AZ244)+1,10))*$D$35+MAX(0,IF($D$50=1,$D$34*(1-(ABS($P$244-(VALUE(MID(AZ244,FIND("|",AZ244)+1,FIND("-",AZ244,FIND("|",AZ244))-FIND("|",AZ244)-1))-VALUE(MID(AZ244,FIND("-",AZ244,FIND("|",AZ244))+1,10)))))*$D$50),$D$34*(1-(IF($L$244=0,ABS($N$244-VALUE(MID(AZ244,FIND("|",AZ244)+1,FIND("-",AZ244,FIND("|",AZ244))-FIND("|",AZ244)-1))),ABS($P$244-(VALUE(MID(AZ244,FIND("|",AZ244)+1,FIND("-",AZ244,FIND("|",AZ244))-FIND("|",AZ244)-1))-VALUE(MID(AZ244,FIND("-",AZ244,FIND("|",AZ244))+1,10)))))*$D$50)))))*$I$244,0),0),0)
+IFERROR(IF(LEFT(AZ244,FIND("·",AZ244)-1)=$C$244,IF($D$244=IFERROR(VALUE(MID(AZ244,FIND("·",AZ244)+1,1)),0),($D$33+($E$244=MID(AZ244,FIND("|",AZ244)+1,10))*$D$35+MAX(0,IF($D$50=1,$D$34*(1-(ABS($Q$244-(VALUE(MID(AZ244,FIND("|",AZ244)+1,FIND("-",AZ244,FIND("|",AZ244))-FIND("|",AZ244)-1))-VALUE(MID(AZ244,FIND("-",AZ244,FIND("|",AZ244))+1,10)))))*$D$50),$D$34*(1-(IF($D$244=0,ABS($A$244-VALUE(MID(AZ244,FIND("|",AZ244)+1,FIND("-",AZ244,FIND("|",AZ244))-FIND("|",AZ244)-1))),ABS($Q$244-(VALUE(MID(AZ244,FIND("|",AZ244)+1,FIND("-",AZ244,FIND("|",AZ244))-FIND("|",AZ244)-1))-VALUE(MID(AZ244,FIND("-",AZ244,FIND("|",AZ244))+1,10)))))*$D$50)))))*$I$244,0),0),0)</f>
        <v>0</v>
      </c>
      <c r="BB244" s="110"/>
      <c r="BC244" s="66" t="s">
        <v>2336</v>
      </c>
      <c r="BD244" s="85">
        <f t="shared" ref="BD244" si="1951">IFERROR(IF(LEFT(BC244,FIND("·",BC244)-1)=$K$244,IF($L$244=IFERROR(VALUE(MID(BC244,FIND("·",BC244)+1,1)),0),($D$33+($M$244=MID(BC244,FIND("|",BC244)+1,10))*$D$35+MAX(0,IF($D$50=1,$D$34*(1-(ABS($P$244-(VALUE(MID(BC244,FIND("|",BC244)+1,FIND("-",BC244,FIND("|",BC244))-FIND("|",BC244)-1))-VALUE(MID(BC244,FIND("-",BC244,FIND("|",BC244))+1,10)))))*$D$50),$D$34*(1-(IF($L$244=0,ABS($N$244-VALUE(MID(BC244,FIND("|",BC244)+1,FIND("-",BC244,FIND("|",BC244))-FIND("|",BC244)-1))),ABS($P$244-(VALUE(MID(BC244,FIND("|",BC244)+1,FIND("-",BC244,FIND("|",BC244))-FIND("|",BC244)-1))-VALUE(MID(BC244,FIND("-",BC244,FIND("|",BC244))+1,10)))))*$D$50)))))*$I$244,0),0),0)
+IFERROR(IF(LEFT(BC244,FIND("·",BC244)-1)=$C$244,IF($D$244=IFERROR(VALUE(MID(BC244,FIND("·",BC244)+1,1)),0),($D$33+($E$244=MID(BC244,FIND("|",BC244)+1,10))*$D$35+MAX(0,IF($D$50=1,$D$34*(1-(ABS($Q$244-(VALUE(MID(BC244,FIND("|",BC244)+1,FIND("-",BC244,FIND("|",BC244))-FIND("|",BC244)-1))-VALUE(MID(BC244,FIND("-",BC244,FIND("|",BC244))+1,10)))))*$D$50),$D$34*(1-(IF($D$244=0,ABS($A$244-VALUE(MID(BC244,FIND("|",BC244)+1,FIND("-",BC244,FIND("|",BC244))-FIND("|",BC244)-1))),ABS($Q$244-(VALUE(MID(BC244,FIND("|",BC244)+1,FIND("-",BC244,FIND("|",BC244))-FIND("|",BC244)-1))-VALUE(MID(BC244,FIND("-",BC244,FIND("|",BC244))+1,10)))))*$D$50)))))*$I$244,0),0),0)</f>
        <v>0</v>
      </c>
      <c r="BE244" s="110"/>
      <c r="BF244" s="66" t="s">
        <v>2033</v>
      </c>
      <c r="BG244" s="85">
        <f t="shared" ref="BG244" si="1952">IFERROR(IF(LEFT(BF244,FIND("·",BF244)-1)=$K$244,IF($L$244=IFERROR(VALUE(MID(BF244,FIND("·",BF244)+1,1)),0),($D$33+($M$244=MID(BF244,FIND("|",BF244)+1,10))*$D$35+MAX(0,IF($D$50=1,$D$34*(1-(ABS($P$244-(VALUE(MID(BF244,FIND("|",BF244)+1,FIND("-",BF244,FIND("|",BF244))-FIND("|",BF244)-1))-VALUE(MID(BF244,FIND("-",BF244,FIND("|",BF244))+1,10)))))*$D$50),$D$34*(1-(IF($L$244=0,ABS($N$244-VALUE(MID(BF244,FIND("|",BF244)+1,FIND("-",BF244,FIND("|",BF244))-FIND("|",BF244)-1))),ABS($P$244-(VALUE(MID(BF244,FIND("|",BF244)+1,FIND("-",BF244,FIND("|",BF244))-FIND("|",BF244)-1))-VALUE(MID(BF244,FIND("-",BF244,FIND("|",BF244))+1,10)))))*$D$50)))))*$I$244,0),0),0)
+IFERROR(IF(LEFT(BF244,FIND("·",BF244)-1)=$C$244,IF($D$244=IFERROR(VALUE(MID(BF244,FIND("·",BF244)+1,1)),0),($D$33+($E$244=MID(BF244,FIND("|",BF244)+1,10))*$D$35+MAX(0,IF($D$50=1,$D$34*(1-(ABS($Q$244-(VALUE(MID(BF244,FIND("|",BF244)+1,FIND("-",BF244,FIND("|",BF244))-FIND("|",BF244)-1))-VALUE(MID(BF244,FIND("-",BF244,FIND("|",BF244))+1,10)))))*$D$50),$D$34*(1-(IF($D$244=0,ABS($A$244-VALUE(MID(BF244,FIND("|",BF244)+1,FIND("-",BF244,FIND("|",BF244))-FIND("|",BF244)-1))),ABS($Q$244-(VALUE(MID(BF244,FIND("|",BF244)+1,FIND("-",BF244,FIND("|",BF244))-FIND("|",BF244)-1))-VALUE(MID(BF244,FIND("-",BF244,FIND("|",BF244))+1,10)))))*$D$50)))))*$I$244,0),0),0)</f>
        <v>0</v>
      </c>
      <c r="BH244" s="110"/>
      <c r="BI244" s="66" t="s">
        <v>2259</v>
      </c>
      <c r="BJ244" s="85">
        <f t="shared" ref="BJ244" si="1953">IFERROR(IF(LEFT(BI244,FIND("·",BI244)-1)=$K$244,IF($L$244=IFERROR(VALUE(MID(BI244,FIND("·",BI244)+1,1)),0),($D$33+($M$244=MID(BI244,FIND("|",BI244)+1,10))*$D$35+MAX(0,IF($D$50=1,$D$34*(1-(ABS($P$244-(VALUE(MID(BI244,FIND("|",BI244)+1,FIND("-",BI244,FIND("|",BI244))-FIND("|",BI244)-1))-VALUE(MID(BI244,FIND("-",BI244,FIND("|",BI244))+1,10)))))*$D$50),$D$34*(1-(IF($L$244=0,ABS($N$244-VALUE(MID(BI244,FIND("|",BI244)+1,FIND("-",BI244,FIND("|",BI244))-FIND("|",BI244)-1))),ABS($P$244-(VALUE(MID(BI244,FIND("|",BI244)+1,FIND("-",BI244,FIND("|",BI244))-FIND("|",BI244)-1))-VALUE(MID(BI244,FIND("-",BI244,FIND("|",BI244))+1,10)))))*$D$50)))))*$I$244,0),0),0)
+IFERROR(IF(LEFT(BI244,FIND("·",BI244)-1)=$C$244,IF($D$244=IFERROR(VALUE(MID(BI244,FIND("·",BI244)+1,1)),0),($D$33+($E$244=MID(BI244,FIND("|",BI244)+1,10))*$D$35+MAX(0,IF($D$50=1,$D$34*(1-(ABS($Q$244-(VALUE(MID(BI244,FIND("|",BI244)+1,FIND("-",BI244,FIND("|",BI244))-FIND("|",BI244)-1))-VALUE(MID(BI244,FIND("-",BI244,FIND("|",BI244))+1,10)))))*$D$50),$D$34*(1-(IF($D$244=0,ABS($A$244-VALUE(MID(BI244,FIND("|",BI244)+1,FIND("-",BI244,FIND("|",BI244))-FIND("|",BI244)-1))),ABS($Q$244-(VALUE(MID(BI244,FIND("|",BI244)+1,FIND("-",BI244,FIND("|",BI244))-FIND("|",BI244)-1))-VALUE(MID(BI244,FIND("-",BI244,FIND("|",BI244))+1,10)))))*$D$50)))))*$I$244,0),0),0)</f>
        <v>0</v>
      </c>
      <c r="BK244" s="110"/>
      <c r="BL244" s="66" t="s">
        <v>2033</v>
      </c>
      <c r="BM244" s="85">
        <f t="shared" ref="BM244" si="1954">IFERROR(IF(LEFT(BL244,FIND("·",BL244)-1)=$K$244,IF($L$244=IFERROR(VALUE(MID(BL244,FIND("·",BL244)+1,1)),0),($D$33+($M$244=MID(BL244,FIND("|",BL244)+1,10))*$D$35+MAX(0,IF($D$50=1,$D$34*(1-(ABS($P$244-(VALUE(MID(BL244,FIND("|",BL244)+1,FIND("-",BL244,FIND("|",BL244))-FIND("|",BL244)-1))-VALUE(MID(BL244,FIND("-",BL244,FIND("|",BL244))+1,10)))))*$D$50),$D$34*(1-(IF($L$244=0,ABS($N$244-VALUE(MID(BL244,FIND("|",BL244)+1,FIND("-",BL244,FIND("|",BL244))-FIND("|",BL244)-1))),ABS($P$244-(VALUE(MID(BL244,FIND("|",BL244)+1,FIND("-",BL244,FIND("|",BL244))-FIND("|",BL244)-1))-VALUE(MID(BL244,FIND("-",BL244,FIND("|",BL244))+1,10)))))*$D$50)))))*$I$244,0),0),0)
+IFERROR(IF(LEFT(BL244,FIND("·",BL244)-1)=$C$244,IF($D$244=IFERROR(VALUE(MID(BL244,FIND("·",BL244)+1,1)),0),($D$33+($E$244=MID(BL244,FIND("|",BL244)+1,10))*$D$35+MAX(0,IF($D$50=1,$D$34*(1-(ABS($Q$244-(VALUE(MID(BL244,FIND("|",BL244)+1,FIND("-",BL244,FIND("|",BL244))-FIND("|",BL244)-1))-VALUE(MID(BL244,FIND("-",BL244,FIND("|",BL244))+1,10)))))*$D$50),$D$34*(1-(IF($D$244=0,ABS($A$244-VALUE(MID(BL244,FIND("|",BL244)+1,FIND("-",BL244,FIND("|",BL244))-FIND("|",BL244)-1))),ABS($Q$244-(VALUE(MID(BL244,FIND("|",BL244)+1,FIND("-",BL244,FIND("|",BL244))-FIND("|",BL244)-1))-VALUE(MID(BL244,FIND("-",BL244,FIND("|",BL244))+1,10)))))*$D$50)))))*$I$244,0),0),0)</f>
        <v>0</v>
      </c>
      <c r="BN244" s="110"/>
      <c r="BO244" s="66" t="s">
        <v>2033</v>
      </c>
      <c r="BP244" s="85">
        <f t="shared" ref="BP244" si="1955">IFERROR(IF(LEFT(BO244,FIND("·",BO244)-1)=$K$244,IF($L$244=IFERROR(VALUE(MID(BO244,FIND("·",BO244)+1,1)),0),($D$33+($M$244=MID(BO244,FIND("|",BO244)+1,10))*$D$35+MAX(0,IF($D$50=1,$D$34*(1-(ABS($P$244-(VALUE(MID(BO244,FIND("|",BO244)+1,FIND("-",BO244,FIND("|",BO244))-FIND("|",BO244)-1))-VALUE(MID(BO244,FIND("-",BO244,FIND("|",BO244))+1,10)))))*$D$50),$D$34*(1-(IF($L$244=0,ABS($N$244-VALUE(MID(BO244,FIND("|",BO244)+1,FIND("-",BO244,FIND("|",BO244))-FIND("|",BO244)-1))),ABS($P$244-(VALUE(MID(BO244,FIND("|",BO244)+1,FIND("-",BO244,FIND("|",BO244))-FIND("|",BO244)-1))-VALUE(MID(BO244,FIND("-",BO244,FIND("|",BO244))+1,10)))))*$D$50)))))*$I$244,0),0),0)
+IFERROR(IF(LEFT(BO244,FIND("·",BO244)-1)=$C$244,IF($D$244=IFERROR(VALUE(MID(BO244,FIND("·",BO244)+1,1)),0),($D$33+($E$244=MID(BO244,FIND("|",BO244)+1,10))*$D$35+MAX(0,IF($D$50=1,$D$34*(1-(ABS($Q$244-(VALUE(MID(BO244,FIND("|",BO244)+1,FIND("-",BO244,FIND("|",BO244))-FIND("|",BO244)-1))-VALUE(MID(BO244,FIND("-",BO244,FIND("|",BO244))+1,10)))))*$D$50),$D$34*(1-(IF($D$244=0,ABS($A$244-VALUE(MID(BO244,FIND("|",BO244)+1,FIND("-",BO244,FIND("|",BO244))-FIND("|",BO244)-1))),ABS($Q$244-(VALUE(MID(BO244,FIND("|",BO244)+1,FIND("-",BO244,FIND("|",BO244))-FIND("|",BO244)-1))-VALUE(MID(BO244,FIND("-",BO244,FIND("|",BO244))+1,10)))))*$D$50)))))*$I$244,0),0),0)</f>
        <v>0</v>
      </c>
      <c r="BQ244" s="110"/>
      <c r="BR244" s="66" t="s">
        <v>2309</v>
      </c>
      <c r="BS244" s="85">
        <f t="shared" ref="BS244" si="1956">IFERROR(IF(LEFT(BR244,FIND("·",BR244)-1)=$K$244,IF($L$244=IFERROR(VALUE(MID(BR244,FIND("·",BR244)+1,1)),0),($D$33+($M$244=MID(BR244,FIND("|",BR244)+1,10))*$D$35+MAX(0,IF($D$50=1,$D$34*(1-(ABS($P$244-(VALUE(MID(BR244,FIND("|",BR244)+1,FIND("-",BR244,FIND("|",BR244))-FIND("|",BR244)-1))-VALUE(MID(BR244,FIND("-",BR244,FIND("|",BR244))+1,10)))))*$D$50),$D$34*(1-(IF($L$244=0,ABS($N$244-VALUE(MID(BR244,FIND("|",BR244)+1,FIND("-",BR244,FIND("|",BR244))-FIND("|",BR244)-1))),ABS($P$244-(VALUE(MID(BR244,FIND("|",BR244)+1,FIND("-",BR244,FIND("|",BR244))-FIND("|",BR244)-1))-VALUE(MID(BR244,FIND("-",BR244,FIND("|",BR244))+1,10)))))*$D$50)))))*$I$244,0),0),0)
+IFERROR(IF(LEFT(BR244,FIND("·",BR244)-1)=$C$244,IF($D$244=IFERROR(VALUE(MID(BR244,FIND("·",BR244)+1,1)),0),($D$33+($E$244=MID(BR244,FIND("|",BR244)+1,10))*$D$35+MAX(0,IF($D$50=1,$D$34*(1-(ABS($Q$244-(VALUE(MID(BR244,FIND("|",BR244)+1,FIND("-",BR244,FIND("|",BR244))-FIND("|",BR244)-1))-VALUE(MID(BR244,FIND("-",BR244,FIND("|",BR244))+1,10)))))*$D$50),$D$34*(1-(IF($D$244=0,ABS($A$244-VALUE(MID(BR244,FIND("|",BR244)+1,FIND("-",BR244,FIND("|",BR244))-FIND("|",BR244)-1))),ABS($Q$244-(VALUE(MID(BR244,FIND("|",BR244)+1,FIND("-",BR244,FIND("|",BR244))-FIND("|",BR244)-1))-VALUE(MID(BR244,FIND("-",BR244,FIND("|",BR244))+1,10)))))*$D$50)))))*$I$244,0),0),0)</f>
        <v>0</v>
      </c>
      <c r="BT244" s="110"/>
      <c r="BU244" s="66" t="s">
        <v>2440</v>
      </c>
      <c r="BV244" s="85">
        <f t="shared" ref="BV244" si="1957">IFERROR(IF(LEFT(BU244,FIND("·",BU244)-1)=$K$244,IF($L$244=IFERROR(VALUE(MID(BU244,FIND("·",BU244)+1,1)),0),($D$33+($M$244=MID(BU244,FIND("|",BU244)+1,10))*$D$35+MAX(0,IF($D$50=1,$D$34*(1-(ABS($P$244-(VALUE(MID(BU244,FIND("|",BU244)+1,FIND("-",BU244,FIND("|",BU244))-FIND("|",BU244)-1))-VALUE(MID(BU244,FIND("-",BU244,FIND("|",BU244))+1,10)))))*$D$50),$D$34*(1-(IF($L$244=0,ABS($N$244-VALUE(MID(BU244,FIND("|",BU244)+1,FIND("-",BU244,FIND("|",BU244))-FIND("|",BU244)-1))),ABS($P$244-(VALUE(MID(BU244,FIND("|",BU244)+1,FIND("-",BU244,FIND("|",BU244))-FIND("|",BU244)-1))-VALUE(MID(BU244,FIND("-",BU244,FIND("|",BU244))+1,10)))))*$D$50)))))*$I$244,0),0),0)
+IFERROR(IF(LEFT(BU244,FIND("·",BU244)-1)=$C$244,IF($D$244=IFERROR(VALUE(MID(BU244,FIND("·",BU244)+1,1)),0),($D$33+($E$244=MID(BU244,FIND("|",BU244)+1,10))*$D$35+MAX(0,IF($D$50=1,$D$34*(1-(ABS($Q$244-(VALUE(MID(BU244,FIND("|",BU244)+1,FIND("-",BU244,FIND("|",BU244))-FIND("|",BU244)-1))-VALUE(MID(BU244,FIND("-",BU244,FIND("|",BU244))+1,10)))))*$D$50),$D$34*(1-(IF($D$244=0,ABS($A$244-VALUE(MID(BU244,FIND("|",BU244)+1,FIND("-",BU244,FIND("|",BU244))-FIND("|",BU244)-1))),ABS($Q$244-(VALUE(MID(BU244,FIND("|",BU244)+1,FIND("-",BU244,FIND("|",BU244))-FIND("|",BU244)-1))-VALUE(MID(BU244,FIND("-",BU244,FIND("|",BU244))+1,10)))))*$D$50)))))*$I$244,0),0),0)</f>
        <v>0</v>
      </c>
      <c r="BW244" s="110"/>
      <c r="BX244" s="66" t="s">
        <v>2459</v>
      </c>
      <c r="BY244" s="85">
        <f t="shared" ref="BY244" si="1958">IFERROR(IF(LEFT(BX244,FIND("·",BX244)-1)=$K$244,IF($L$244=IFERROR(VALUE(MID(BX244,FIND("·",BX244)+1,1)),0),($D$33+($M$244=MID(BX244,FIND("|",BX244)+1,10))*$D$35+MAX(0,IF($D$50=1,$D$34*(1-(ABS($P$244-(VALUE(MID(BX244,FIND("|",BX244)+1,FIND("-",BX244,FIND("|",BX244))-FIND("|",BX244)-1))-VALUE(MID(BX244,FIND("-",BX244,FIND("|",BX244))+1,10)))))*$D$50),$D$34*(1-(IF($L$244=0,ABS($N$244-VALUE(MID(BX244,FIND("|",BX244)+1,FIND("-",BX244,FIND("|",BX244))-FIND("|",BX244)-1))),ABS($P$244-(VALUE(MID(BX244,FIND("|",BX244)+1,FIND("-",BX244,FIND("|",BX244))-FIND("|",BX244)-1))-VALUE(MID(BX244,FIND("-",BX244,FIND("|",BX244))+1,10)))))*$D$50)))))*$I$244,0),0),0)
+IFERROR(IF(LEFT(BX244,FIND("·",BX244)-1)=$C$244,IF($D$244=IFERROR(VALUE(MID(BX244,FIND("·",BX244)+1,1)),0),($D$33+($E$244=MID(BX244,FIND("|",BX244)+1,10))*$D$35+MAX(0,IF($D$50=1,$D$34*(1-(ABS($Q$244-(VALUE(MID(BX244,FIND("|",BX244)+1,FIND("-",BX244,FIND("|",BX244))-FIND("|",BX244)-1))-VALUE(MID(BX244,FIND("-",BX244,FIND("|",BX244))+1,10)))))*$D$50),$D$34*(1-(IF($D$244=0,ABS($A$244-VALUE(MID(BX244,FIND("|",BX244)+1,FIND("-",BX244,FIND("|",BX244))-FIND("|",BX244)-1))),ABS($Q$244-(VALUE(MID(BX244,FIND("|",BX244)+1,FIND("-",BX244,FIND("|",BX244))-FIND("|",BX244)-1))-VALUE(MID(BX244,FIND("-",BX244,FIND("|",BX244))+1,10)))))*$D$50)))))*$I$244,0),0),0)</f>
        <v>0</v>
      </c>
      <c r="BZ244" s="110"/>
      <c r="CA244" s="66" t="s">
        <v>2480</v>
      </c>
      <c r="CB244" s="85">
        <f t="shared" ref="CB244" si="1959">IFERROR(IF(LEFT(CA244,FIND("·",CA244)-1)=$K$244,IF($L$244=IFERROR(VALUE(MID(CA244,FIND("·",CA244)+1,1)),0),($D$33+($M$244=MID(CA244,FIND("|",CA244)+1,10))*$D$35+MAX(0,IF($D$50=1,$D$34*(1-(ABS($P$244-(VALUE(MID(CA244,FIND("|",CA244)+1,FIND("-",CA244,FIND("|",CA244))-FIND("|",CA244)-1))-VALUE(MID(CA244,FIND("-",CA244,FIND("|",CA244))+1,10)))))*$D$50),$D$34*(1-(IF($L$244=0,ABS($N$244-VALUE(MID(CA244,FIND("|",CA244)+1,FIND("-",CA244,FIND("|",CA244))-FIND("|",CA244)-1))),ABS($P$244-(VALUE(MID(CA244,FIND("|",CA244)+1,FIND("-",CA244,FIND("|",CA244))-FIND("|",CA244)-1))-VALUE(MID(CA244,FIND("-",CA244,FIND("|",CA244))+1,10)))))*$D$50)))))*$I$244,0),0),0)
+IFERROR(IF(LEFT(CA244,FIND("·",CA244)-1)=$C$244,IF($D$244=IFERROR(VALUE(MID(CA244,FIND("·",CA244)+1,1)),0),($D$33+($E$244=MID(CA244,FIND("|",CA244)+1,10))*$D$35+MAX(0,IF($D$50=1,$D$34*(1-(ABS($Q$244-(VALUE(MID(CA244,FIND("|",CA244)+1,FIND("-",CA244,FIND("|",CA244))-FIND("|",CA244)-1))-VALUE(MID(CA244,FIND("-",CA244,FIND("|",CA244))+1,10)))))*$D$50),$D$34*(1-(IF($D$244=0,ABS($A$244-VALUE(MID(CA244,FIND("|",CA244)+1,FIND("-",CA244,FIND("|",CA244))-FIND("|",CA244)-1))),ABS($Q$244-(VALUE(MID(CA244,FIND("|",CA244)+1,FIND("-",CA244,FIND("|",CA244))-FIND("|",CA244)-1))-VALUE(MID(CA244,FIND("-",CA244,FIND("|",CA244))+1,10)))))*$D$50)))))*$I$244,0),0),0)</f>
        <v>0</v>
      </c>
      <c r="CC244" s="110"/>
      <c r="CD244" s="66" t="s">
        <v>2285</v>
      </c>
      <c r="CE244" s="85">
        <f t="shared" ref="CE244" si="1960">IFERROR(IF(LEFT(CD244,FIND("·",CD244)-1)=$K$244,IF($L$244=IFERROR(VALUE(MID(CD244,FIND("·",CD244)+1,1)),0),($D$33+($M$244=MID(CD244,FIND("|",CD244)+1,10))*$D$35+MAX(0,IF($D$50=1,$D$34*(1-(ABS($P$244-(VALUE(MID(CD244,FIND("|",CD244)+1,FIND("-",CD244,FIND("|",CD244))-FIND("|",CD244)-1))-VALUE(MID(CD244,FIND("-",CD244,FIND("|",CD244))+1,10)))))*$D$50),$D$34*(1-(IF($L$244=0,ABS($N$244-VALUE(MID(CD244,FIND("|",CD244)+1,FIND("-",CD244,FIND("|",CD244))-FIND("|",CD244)-1))),ABS($P$244-(VALUE(MID(CD244,FIND("|",CD244)+1,FIND("-",CD244,FIND("|",CD244))-FIND("|",CD244)-1))-VALUE(MID(CD244,FIND("-",CD244,FIND("|",CD244))+1,10)))))*$D$50)))))*$I$244,0),0),0)
+IFERROR(IF(LEFT(CD244,FIND("·",CD244)-1)=$C$244,IF($D$244=IFERROR(VALUE(MID(CD244,FIND("·",CD244)+1,1)),0),($D$33+($E$244=MID(CD244,FIND("|",CD244)+1,10))*$D$35+MAX(0,IF($D$50=1,$D$34*(1-(ABS($Q$244-(VALUE(MID(CD244,FIND("|",CD244)+1,FIND("-",CD244,FIND("|",CD244))-FIND("|",CD244)-1))-VALUE(MID(CD244,FIND("-",CD244,FIND("|",CD244))+1,10)))))*$D$50),$D$34*(1-(IF($D$244=0,ABS($A$244-VALUE(MID(CD244,FIND("|",CD244)+1,FIND("-",CD244,FIND("|",CD244))-FIND("|",CD244)-1))),ABS($Q$244-(VALUE(MID(CD244,FIND("|",CD244)+1,FIND("-",CD244,FIND("|",CD244))-FIND("|",CD244)-1))-VALUE(MID(CD244,FIND("-",CD244,FIND("|",CD244))+1,10)))))*$D$50)))))*$I$244,0),0),0)</f>
        <v>0</v>
      </c>
      <c r="CF244" s="110"/>
      <c r="CG244" s="66" t="s">
        <v>2518</v>
      </c>
      <c r="CH244" s="85">
        <f t="shared" ref="CH244" si="1961">IFERROR(IF(LEFT(CG244,FIND("·",CG244)-1)=$K$244,IF($L$244=IFERROR(VALUE(MID(CG244,FIND("·",CG244)+1,1)),0),($D$33+($M$244=MID(CG244,FIND("|",CG244)+1,10))*$D$35+MAX(0,IF($D$50=1,$D$34*(1-(ABS($P$244-(VALUE(MID(CG244,FIND("|",CG244)+1,FIND("-",CG244,FIND("|",CG244))-FIND("|",CG244)-1))-VALUE(MID(CG244,FIND("-",CG244,FIND("|",CG244))+1,10)))))*$D$50),$D$34*(1-(IF($L$244=0,ABS($N$244-VALUE(MID(CG244,FIND("|",CG244)+1,FIND("-",CG244,FIND("|",CG244))-FIND("|",CG244)-1))),ABS($P$244-(VALUE(MID(CG244,FIND("|",CG244)+1,FIND("-",CG244,FIND("|",CG244))-FIND("|",CG244)-1))-VALUE(MID(CG244,FIND("-",CG244,FIND("|",CG244))+1,10)))))*$D$50)))))*$I$244,0),0),0)
+IFERROR(IF(LEFT(CG244,FIND("·",CG244)-1)=$C$244,IF($D$244=IFERROR(VALUE(MID(CG244,FIND("·",CG244)+1,1)),0),($D$33+($E$244=MID(CG244,FIND("|",CG244)+1,10))*$D$35+MAX(0,IF($D$50=1,$D$34*(1-(ABS($Q$244-(VALUE(MID(CG244,FIND("|",CG244)+1,FIND("-",CG244,FIND("|",CG244))-FIND("|",CG244)-1))-VALUE(MID(CG244,FIND("-",CG244,FIND("|",CG244))+1,10)))))*$D$50),$D$34*(1-(IF($D$244=0,ABS($A$244-VALUE(MID(CG244,FIND("|",CG244)+1,FIND("-",CG244,FIND("|",CG244))-FIND("|",CG244)-1))),ABS($Q$244-(VALUE(MID(CG244,FIND("|",CG244)+1,FIND("-",CG244,FIND("|",CG244))-FIND("|",CG244)-1))-VALUE(MID(CG244,FIND("-",CG244,FIND("|",CG244))+1,10)))))*$D$50)))))*$I$244,0),0),0)</f>
        <v>0</v>
      </c>
      <c r="CI244" s="110"/>
      <c r="CJ244" s="66" t="s">
        <v>2532</v>
      </c>
      <c r="CK244" s="85">
        <f t="shared" ref="CK244" si="1962">IFERROR(IF(LEFT(CJ244,FIND("·",CJ244)-1)=$K$244,IF($L$244=IFERROR(VALUE(MID(CJ244,FIND("·",CJ244)+1,1)),0),($D$33+($M$244=MID(CJ244,FIND("|",CJ244)+1,10))*$D$35+MAX(0,IF($D$50=1,$D$34*(1-(ABS($P$244-(VALUE(MID(CJ244,FIND("|",CJ244)+1,FIND("-",CJ244,FIND("|",CJ244))-FIND("|",CJ244)-1))-VALUE(MID(CJ244,FIND("-",CJ244,FIND("|",CJ244))+1,10)))))*$D$50),$D$34*(1-(IF($L$244=0,ABS($N$244-VALUE(MID(CJ244,FIND("|",CJ244)+1,FIND("-",CJ244,FIND("|",CJ244))-FIND("|",CJ244)-1))),ABS($P$244-(VALUE(MID(CJ244,FIND("|",CJ244)+1,FIND("-",CJ244,FIND("|",CJ244))-FIND("|",CJ244)-1))-VALUE(MID(CJ244,FIND("-",CJ244,FIND("|",CJ244))+1,10)))))*$D$50)))))*$I$244,0),0),0)
+IFERROR(IF(LEFT(CJ244,FIND("·",CJ244)-1)=$C$244,IF($D$244=IFERROR(VALUE(MID(CJ244,FIND("·",CJ244)+1,1)),0),($D$33+($E$244=MID(CJ244,FIND("|",CJ244)+1,10))*$D$35+MAX(0,IF($D$50=1,$D$34*(1-(ABS($Q$244-(VALUE(MID(CJ244,FIND("|",CJ244)+1,FIND("-",CJ244,FIND("|",CJ244))-FIND("|",CJ244)-1))-VALUE(MID(CJ244,FIND("-",CJ244,FIND("|",CJ244))+1,10)))))*$D$50),$D$34*(1-(IF($D$244=0,ABS($A$244-VALUE(MID(CJ244,FIND("|",CJ244)+1,FIND("-",CJ244,FIND("|",CJ244))-FIND("|",CJ244)-1))),ABS($Q$244-(VALUE(MID(CJ244,FIND("|",CJ244)+1,FIND("-",CJ244,FIND("|",CJ244))-FIND("|",CJ244)-1))-VALUE(MID(CJ244,FIND("-",CJ244,FIND("|",CJ244))+1,10)))))*$D$50)))))*$I$244,0),0),0)</f>
        <v>0</v>
      </c>
      <c r="CL244" s="110"/>
      <c r="CM244" s="66" t="s">
        <v>2547</v>
      </c>
      <c r="CN244" s="85">
        <f t="shared" ref="CN244" si="1963">IFERROR(IF(LEFT(CM244,FIND("·",CM244)-1)=$K$244,IF($L$244=IFERROR(VALUE(MID(CM244,FIND("·",CM244)+1,1)),0),($D$33+($M$244=MID(CM244,FIND("|",CM244)+1,10))*$D$35+MAX(0,IF($D$50=1,$D$34*(1-(ABS($P$244-(VALUE(MID(CM244,FIND("|",CM244)+1,FIND("-",CM244,FIND("|",CM244))-FIND("|",CM244)-1))-VALUE(MID(CM244,FIND("-",CM244,FIND("|",CM244))+1,10)))))*$D$50),$D$34*(1-(IF($L$244=0,ABS($N$244-VALUE(MID(CM244,FIND("|",CM244)+1,FIND("-",CM244,FIND("|",CM244))-FIND("|",CM244)-1))),ABS($P$244-(VALUE(MID(CM244,FIND("|",CM244)+1,FIND("-",CM244,FIND("|",CM244))-FIND("|",CM244)-1))-VALUE(MID(CM244,FIND("-",CM244,FIND("|",CM244))+1,10)))))*$D$50)))))*$I$244,0),0),0)
+IFERROR(IF(LEFT(CM244,FIND("·",CM244)-1)=$C$244,IF($D$244=IFERROR(VALUE(MID(CM244,FIND("·",CM244)+1,1)),0),($D$33+($E$244=MID(CM244,FIND("|",CM244)+1,10))*$D$35+MAX(0,IF($D$50=1,$D$34*(1-(ABS($Q$244-(VALUE(MID(CM244,FIND("|",CM244)+1,FIND("-",CM244,FIND("|",CM244))-FIND("|",CM244)-1))-VALUE(MID(CM244,FIND("-",CM244,FIND("|",CM244))+1,10)))))*$D$50),$D$34*(1-(IF($D$244=0,ABS($A$244-VALUE(MID(CM244,FIND("|",CM244)+1,FIND("-",CM244,FIND("|",CM244))-FIND("|",CM244)-1))),ABS($Q$244-(VALUE(MID(CM244,FIND("|",CM244)+1,FIND("-",CM244,FIND("|",CM244))-FIND("|",CM244)-1))-VALUE(MID(CM244,FIND("-",CM244,FIND("|",CM244))+1,10)))))*$D$50)))))*$I$244,0),0),0)</f>
        <v>0</v>
      </c>
      <c r="CO244" s="110"/>
      <c r="CP244" s="66" t="s">
        <v>2562</v>
      </c>
      <c r="CQ244" s="85">
        <f t="shared" ref="CQ244" si="1964">IFERROR(IF(LEFT(CP244,FIND("·",CP244)-1)=$K$244,IF($L$244=IFERROR(VALUE(MID(CP244,FIND("·",CP244)+1,1)),0),($D$33+($M$244=MID(CP244,FIND("|",CP244)+1,10))*$D$35+MAX(0,IF($D$50=1,$D$34*(1-(ABS($P$244-(VALUE(MID(CP244,FIND("|",CP244)+1,FIND("-",CP244,FIND("|",CP244))-FIND("|",CP244)-1))-VALUE(MID(CP244,FIND("-",CP244,FIND("|",CP244))+1,10)))))*$D$50),$D$34*(1-(IF($L$244=0,ABS($N$244-VALUE(MID(CP244,FIND("|",CP244)+1,FIND("-",CP244,FIND("|",CP244))-FIND("|",CP244)-1))),ABS($P$244-(VALUE(MID(CP244,FIND("|",CP244)+1,FIND("-",CP244,FIND("|",CP244))-FIND("|",CP244)-1))-VALUE(MID(CP244,FIND("-",CP244,FIND("|",CP244))+1,10)))))*$D$50)))))*$I$244,0),0),0)
+IFERROR(IF(LEFT(CP244,FIND("·",CP244)-1)=$C$244,IF($D$244=IFERROR(VALUE(MID(CP244,FIND("·",CP244)+1,1)),0),($D$33+($E$244=MID(CP244,FIND("|",CP244)+1,10))*$D$35+MAX(0,IF($D$50=1,$D$34*(1-(ABS($Q$244-(VALUE(MID(CP244,FIND("|",CP244)+1,FIND("-",CP244,FIND("|",CP244))-FIND("|",CP244)-1))-VALUE(MID(CP244,FIND("-",CP244,FIND("|",CP244))+1,10)))))*$D$50),$D$34*(1-(IF($D$244=0,ABS($A$244-VALUE(MID(CP244,FIND("|",CP244)+1,FIND("-",CP244,FIND("|",CP244))-FIND("|",CP244)-1))),ABS($Q$244-(VALUE(MID(CP244,FIND("|",CP244)+1,FIND("-",CP244,FIND("|",CP244))-FIND("|",CP244)-1))-VALUE(MID(CP244,FIND("-",CP244,FIND("|",CP244))+1,10)))))*$D$50)))))*$I$244,0),0),0)</f>
        <v>0</v>
      </c>
      <c r="CR244" s="110"/>
      <c r="CS244" s="66" t="s">
        <v>2568</v>
      </c>
      <c r="CT244" s="85">
        <f t="shared" ref="CT244" si="1965">IFERROR(IF(LEFT(CS244,FIND("·",CS244)-1)=$K$244,IF($L$244=IFERROR(VALUE(MID(CS244,FIND("·",CS244)+1,1)),0),($D$33+($M$244=MID(CS244,FIND("|",CS244)+1,10))*$D$35+MAX(0,IF($D$50=1,$D$34*(1-(ABS($P$244-(VALUE(MID(CS244,FIND("|",CS244)+1,FIND("-",CS244,FIND("|",CS244))-FIND("|",CS244)-1))-VALUE(MID(CS244,FIND("-",CS244,FIND("|",CS244))+1,10)))))*$D$50),$D$34*(1-(IF($L$244=0,ABS($N$244-VALUE(MID(CS244,FIND("|",CS244)+1,FIND("-",CS244,FIND("|",CS244))-FIND("|",CS244)-1))),ABS($P$244-(VALUE(MID(CS244,FIND("|",CS244)+1,FIND("-",CS244,FIND("|",CS244))-FIND("|",CS244)-1))-VALUE(MID(CS244,FIND("-",CS244,FIND("|",CS244))+1,10)))))*$D$50)))))*$I$244,0),0),0)
+IFERROR(IF(LEFT(CS244,FIND("·",CS244)-1)=$C$244,IF($D$244=IFERROR(VALUE(MID(CS244,FIND("·",CS244)+1,1)),0),($D$33+($E$244=MID(CS244,FIND("|",CS244)+1,10))*$D$35+MAX(0,IF($D$50=1,$D$34*(1-(ABS($Q$244-(VALUE(MID(CS244,FIND("|",CS244)+1,FIND("-",CS244,FIND("|",CS244))-FIND("|",CS244)-1))-VALUE(MID(CS244,FIND("-",CS244,FIND("|",CS244))+1,10)))))*$D$50),$D$34*(1-(IF($D$244=0,ABS($A$244-VALUE(MID(CS244,FIND("|",CS244)+1,FIND("-",CS244,FIND("|",CS244))-FIND("|",CS244)-1))),ABS($Q$244-(VALUE(MID(CS244,FIND("|",CS244)+1,FIND("-",CS244,FIND("|",CS244))-FIND("|",CS244)-1))-VALUE(MID(CS244,FIND("-",CS244,FIND("|",CS244))+1,10)))))*$D$50)))))*$I$244,0),0),0)</f>
        <v>0</v>
      </c>
      <c r="CU244" s="110"/>
      <c r="CV244" s="66" t="s">
        <v>2568</v>
      </c>
      <c r="CW244" s="85">
        <f t="shared" ref="CW244" si="1966">IFERROR(IF(LEFT(CV244,FIND("·",CV244)-1)=$K$244,IF($L$244=IFERROR(VALUE(MID(CV244,FIND("·",CV244)+1,1)),0),($D$33+($M$244=MID(CV244,FIND("|",CV244)+1,10))*$D$35+MAX(0,IF($D$50=1,$D$34*(1-(ABS($P$244-(VALUE(MID(CV244,FIND("|",CV244)+1,FIND("-",CV244,FIND("|",CV244))-FIND("|",CV244)-1))-VALUE(MID(CV244,FIND("-",CV244,FIND("|",CV244))+1,10)))))*$D$50),$D$34*(1-(IF($L$244=0,ABS($N$244-VALUE(MID(CV244,FIND("|",CV244)+1,FIND("-",CV244,FIND("|",CV244))-FIND("|",CV244)-1))),ABS($P$244-(VALUE(MID(CV244,FIND("|",CV244)+1,FIND("-",CV244,FIND("|",CV244))-FIND("|",CV244)-1))-VALUE(MID(CV244,FIND("-",CV244,FIND("|",CV244))+1,10)))))*$D$50)))))*$I$244,0),0),0)
+IFERROR(IF(LEFT(CV244,FIND("·",CV244)-1)=$C$244,IF($D$244=IFERROR(VALUE(MID(CV244,FIND("·",CV244)+1,1)),0),($D$33+($E$244=MID(CV244,FIND("|",CV244)+1,10))*$D$35+MAX(0,IF($D$50=1,$D$34*(1-(ABS($Q$244-(VALUE(MID(CV244,FIND("|",CV244)+1,FIND("-",CV244,FIND("|",CV244))-FIND("|",CV244)-1))-VALUE(MID(CV244,FIND("-",CV244,FIND("|",CV244))+1,10)))))*$D$50),$D$34*(1-(IF($D$244=0,ABS($A$244-VALUE(MID(CV244,FIND("|",CV244)+1,FIND("-",CV244,FIND("|",CV244))-FIND("|",CV244)-1))),ABS($Q$244-(VALUE(MID(CV244,FIND("|",CV244)+1,FIND("-",CV244,FIND("|",CV244))-FIND("|",CV244)-1))-VALUE(MID(CV244,FIND("-",CV244,FIND("|",CV244))+1,10)))))*$D$50)))))*$I$244,0),0),0)</f>
        <v>0</v>
      </c>
      <c r="CX244" s="110"/>
      <c r="CY244" s="66" t="s">
        <v>2357</v>
      </c>
      <c r="CZ244" s="85">
        <f t="shared" ref="CZ244" si="1967">IFERROR(IF(LEFT(CY244,FIND("·",CY244)-1)=$K$244,IF($L$244=IFERROR(VALUE(MID(CY244,FIND("·",CY244)+1,1)),0),($D$33+($M$244=MID(CY244,FIND("|",CY244)+1,10))*$D$35+MAX(0,IF($D$50=1,$D$34*(1-(ABS($P$244-(VALUE(MID(CY244,FIND("|",CY244)+1,FIND("-",CY244,FIND("|",CY244))-FIND("|",CY244)-1))-VALUE(MID(CY244,FIND("-",CY244,FIND("|",CY244))+1,10)))))*$D$50),$D$34*(1-(IF($L$244=0,ABS($N$244-VALUE(MID(CY244,FIND("|",CY244)+1,FIND("-",CY244,FIND("|",CY244))-FIND("|",CY244)-1))),ABS($P$244-(VALUE(MID(CY244,FIND("|",CY244)+1,FIND("-",CY244,FIND("|",CY244))-FIND("|",CY244)-1))-VALUE(MID(CY244,FIND("-",CY244,FIND("|",CY244))+1,10)))))*$D$50)))))*$I$244,0),0),0)
+IFERROR(IF(LEFT(CY244,FIND("·",CY244)-1)=$C$244,IF($D$244=IFERROR(VALUE(MID(CY244,FIND("·",CY244)+1,1)),0),($D$33+($E$244=MID(CY244,FIND("|",CY244)+1,10))*$D$35+MAX(0,IF($D$50=1,$D$34*(1-(ABS($Q$244-(VALUE(MID(CY244,FIND("|",CY244)+1,FIND("-",CY244,FIND("|",CY244))-FIND("|",CY244)-1))-VALUE(MID(CY244,FIND("-",CY244,FIND("|",CY244))+1,10)))))*$D$50),$D$34*(1-(IF($D$244=0,ABS($A$244-VALUE(MID(CY244,FIND("|",CY244)+1,FIND("-",CY244,FIND("|",CY244))-FIND("|",CY244)-1))),ABS($Q$244-(VALUE(MID(CY244,FIND("|",CY244)+1,FIND("-",CY244,FIND("|",CY244))-FIND("|",CY244)-1))-VALUE(MID(CY244,FIND("-",CY244,FIND("|",CY244))+1,10)))))*$D$50)))))*$I$244,0),0),0)</f>
        <v>0</v>
      </c>
      <c r="DA244" s="110"/>
      <c r="DB244" s="66" t="s">
        <v>2618</v>
      </c>
      <c r="DC244" s="85">
        <f t="shared" ref="DC244" si="1968">IFERROR(IF(LEFT(DB244,FIND("·",DB244)-1)=$K$244,IF($L$244=IFERROR(VALUE(MID(DB244,FIND("·",DB244)+1,1)),0),($D$33+($M$244=MID(DB244,FIND("|",DB244)+1,10))*$D$35+MAX(0,IF($D$50=1,$D$34*(1-(ABS($P$244-(VALUE(MID(DB244,FIND("|",DB244)+1,FIND("-",DB244,FIND("|",DB244))-FIND("|",DB244)-1))-VALUE(MID(DB244,FIND("-",DB244,FIND("|",DB244))+1,10)))))*$D$50),$D$34*(1-(IF($L$244=0,ABS($N$244-VALUE(MID(DB244,FIND("|",DB244)+1,FIND("-",DB244,FIND("|",DB244))-FIND("|",DB244)-1))),ABS($P$244-(VALUE(MID(DB244,FIND("|",DB244)+1,FIND("-",DB244,FIND("|",DB244))-FIND("|",DB244)-1))-VALUE(MID(DB244,FIND("-",DB244,FIND("|",DB244))+1,10)))))*$D$50)))))*$I$244,0),0),0)
+IFERROR(IF(LEFT(DB244,FIND("·",DB244)-1)=$C$244,IF($D$244=IFERROR(VALUE(MID(DB244,FIND("·",DB244)+1,1)),0),($D$33+($E$244=MID(DB244,FIND("|",DB244)+1,10))*$D$35+MAX(0,IF($D$50=1,$D$34*(1-(ABS($Q$244-(VALUE(MID(DB244,FIND("|",DB244)+1,FIND("-",DB244,FIND("|",DB244))-FIND("|",DB244)-1))-VALUE(MID(DB244,FIND("-",DB244,FIND("|",DB244))+1,10)))))*$D$50),$D$34*(1-(IF($D$244=0,ABS($A$244-VALUE(MID(DB244,FIND("|",DB244)+1,FIND("-",DB244,FIND("|",DB244))-FIND("|",DB244)-1))),ABS($Q$244-(VALUE(MID(DB244,FIND("|",DB244)+1,FIND("-",DB244,FIND("|",DB244))-FIND("|",DB244)-1))-VALUE(MID(DB244,FIND("-",DB244,FIND("|",DB244))+1,10)))))*$D$50)))))*$I$244,0),0),0)</f>
        <v>0</v>
      </c>
      <c r="DD244" s="110"/>
      <c r="DE244" s="66" t="s">
        <v>2636</v>
      </c>
      <c r="DF244" s="85">
        <f t="shared" ref="DF244" si="1969">IFERROR(IF(LEFT(DE244,FIND("·",DE244)-1)=$K$244,IF($L$244=IFERROR(VALUE(MID(DE244,FIND("·",DE244)+1,1)),0),($D$33+($M$244=MID(DE244,FIND("|",DE244)+1,10))*$D$35+MAX(0,IF($D$50=1,$D$34*(1-(ABS($P$244-(VALUE(MID(DE244,FIND("|",DE244)+1,FIND("-",DE244,FIND("|",DE244))-FIND("|",DE244)-1))-VALUE(MID(DE244,FIND("-",DE244,FIND("|",DE244))+1,10)))))*$D$50),$D$34*(1-(IF($L$244=0,ABS($N$244-VALUE(MID(DE244,FIND("|",DE244)+1,FIND("-",DE244,FIND("|",DE244))-FIND("|",DE244)-1))),ABS($P$244-(VALUE(MID(DE244,FIND("|",DE244)+1,FIND("-",DE244,FIND("|",DE244))-FIND("|",DE244)-1))-VALUE(MID(DE244,FIND("-",DE244,FIND("|",DE244))+1,10)))))*$D$50)))))*$I$244,0),0),0)
+IFERROR(IF(LEFT(DE244,FIND("·",DE244)-1)=$C$244,IF($D$244=IFERROR(VALUE(MID(DE244,FIND("·",DE244)+1,1)),0),($D$33+($E$244=MID(DE244,FIND("|",DE244)+1,10))*$D$35+MAX(0,IF($D$50=1,$D$34*(1-(ABS($Q$244-(VALUE(MID(DE244,FIND("|",DE244)+1,FIND("-",DE244,FIND("|",DE244))-FIND("|",DE244)-1))-VALUE(MID(DE244,FIND("-",DE244,FIND("|",DE244))+1,10)))))*$D$50),$D$34*(1-(IF($D$244=0,ABS($A$244-VALUE(MID(DE244,FIND("|",DE244)+1,FIND("-",DE244,FIND("|",DE244))-FIND("|",DE244)-1))),ABS($Q$244-(VALUE(MID(DE244,FIND("|",DE244)+1,FIND("-",DE244,FIND("|",DE244))-FIND("|",DE244)-1))-VALUE(MID(DE244,FIND("-",DE244,FIND("|",DE244))+1,10)))))*$D$50)))))*$I$244,0),0),0)</f>
        <v>0</v>
      </c>
      <c r="DG244" s="110"/>
      <c r="DH244" s="66" t="s">
        <v>2285</v>
      </c>
      <c r="DI244" s="85">
        <f t="shared" ref="DI244" si="1970">IFERROR(IF(LEFT(DH244,FIND("·",DH244)-1)=$K$244,IF($L$244=IFERROR(VALUE(MID(DH244,FIND("·",DH244)+1,1)),0),($D$33+($M$244=MID(DH244,FIND("|",DH244)+1,10))*$D$35+MAX(0,IF($D$50=1,$D$34*(1-(ABS($P$244-(VALUE(MID(DH244,FIND("|",DH244)+1,FIND("-",DH244,FIND("|",DH244))-FIND("|",DH244)-1))-VALUE(MID(DH244,FIND("-",DH244,FIND("|",DH244))+1,10)))))*$D$50),$D$34*(1-(IF($L$244=0,ABS($N$244-VALUE(MID(DH244,FIND("|",DH244)+1,FIND("-",DH244,FIND("|",DH244))-FIND("|",DH244)-1))),ABS($P$244-(VALUE(MID(DH244,FIND("|",DH244)+1,FIND("-",DH244,FIND("|",DH244))-FIND("|",DH244)-1))-VALUE(MID(DH244,FIND("-",DH244,FIND("|",DH244))+1,10)))))*$D$50)))))*$I$244,0),0),0)
+IFERROR(IF(LEFT(DH244,FIND("·",DH244)-1)=$C$244,IF($D$244=IFERROR(VALUE(MID(DH244,FIND("·",DH244)+1,1)),0),($D$33+($E$244=MID(DH244,FIND("|",DH244)+1,10))*$D$35+MAX(0,IF($D$50=1,$D$34*(1-(ABS($Q$244-(VALUE(MID(DH244,FIND("|",DH244)+1,FIND("-",DH244,FIND("|",DH244))-FIND("|",DH244)-1))-VALUE(MID(DH244,FIND("-",DH244,FIND("|",DH244))+1,10)))))*$D$50),$D$34*(1-(IF($D$244=0,ABS($A$244-VALUE(MID(DH244,FIND("|",DH244)+1,FIND("-",DH244,FIND("|",DH244))-FIND("|",DH244)-1))),ABS($Q$244-(VALUE(MID(DH244,FIND("|",DH244)+1,FIND("-",DH244,FIND("|",DH244))-FIND("|",DH244)-1))-VALUE(MID(DH244,FIND("-",DH244,FIND("|",DH244))+1,10)))))*$D$50)))))*$I$244,0),0),0)</f>
        <v>0</v>
      </c>
      <c r="DJ244" s="110"/>
      <c r="DK244" s="66" t="s">
        <v>2666</v>
      </c>
      <c r="DL244" s="85">
        <f t="shared" ref="DL244" si="1971">IFERROR(IF(LEFT(DK244,FIND("·",DK244)-1)=$K$244,IF($L$244=IFERROR(VALUE(MID(DK244,FIND("·",DK244)+1,1)),0),($D$33+($M$244=MID(DK244,FIND("|",DK244)+1,10))*$D$35+MAX(0,IF($D$50=1,$D$34*(1-(ABS($P$244-(VALUE(MID(DK244,FIND("|",DK244)+1,FIND("-",DK244,FIND("|",DK244))-FIND("|",DK244)-1))-VALUE(MID(DK244,FIND("-",DK244,FIND("|",DK244))+1,10)))))*$D$50),$D$34*(1-(IF($L$244=0,ABS($N$244-VALUE(MID(DK244,FIND("|",DK244)+1,FIND("-",DK244,FIND("|",DK244))-FIND("|",DK244)-1))),ABS($P$244-(VALUE(MID(DK244,FIND("|",DK244)+1,FIND("-",DK244,FIND("|",DK244))-FIND("|",DK244)-1))-VALUE(MID(DK244,FIND("-",DK244,FIND("|",DK244))+1,10)))))*$D$50)))))*$I$244,0),0),0)
+IFERROR(IF(LEFT(DK244,FIND("·",DK244)-1)=$C$244,IF($D$244=IFERROR(VALUE(MID(DK244,FIND("·",DK244)+1,1)),0),($D$33+($E$244=MID(DK244,FIND("|",DK244)+1,10))*$D$35+MAX(0,IF($D$50=1,$D$34*(1-(ABS($Q$244-(VALUE(MID(DK244,FIND("|",DK244)+1,FIND("-",DK244,FIND("|",DK244))-FIND("|",DK244)-1))-VALUE(MID(DK244,FIND("-",DK244,FIND("|",DK244))+1,10)))))*$D$50),$D$34*(1-(IF($D$244=0,ABS($A$244-VALUE(MID(DK244,FIND("|",DK244)+1,FIND("-",DK244,FIND("|",DK244))-FIND("|",DK244)-1))),ABS($Q$244-(VALUE(MID(DK244,FIND("|",DK244)+1,FIND("-",DK244,FIND("|",DK244))-FIND("|",DK244)-1))-VALUE(MID(DK244,FIND("-",DK244,FIND("|",DK244))+1,10)))))*$D$50)))))*$I$244,0),0),0)</f>
        <v>0</v>
      </c>
      <c r="DM244" s="110"/>
      <c r="DN244" s="795" t="s">
        <v>2678</v>
      </c>
      <c r="DO244" s="85">
        <f t="shared" ref="DO244" si="1972">IFERROR(IF(LEFT(DN244,FIND("·",DN244)-1)=$K$244,IF($L$244=IFERROR(VALUE(MID(DN244,FIND("·",DN244)+1,1)),0),($D$33+($M$244=MID(DN244,FIND("|",DN244)+1,10))*$D$35+MAX(0,IF($D$50=1,$D$34*(1-(ABS($P$244-(VALUE(MID(DN244,FIND("|",DN244)+1,FIND("-",DN244,FIND("|",DN244))-FIND("|",DN244)-1))-VALUE(MID(DN244,FIND("-",DN244,FIND("|",DN244))+1,10)))))*$D$50),$D$34*(1-(IF($L$244=0,ABS($N$244-VALUE(MID(DN244,FIND("|",DN244)+1,FIND("-",DN244,FIND("|",DN244))-FIND("|",DN244)-1))),ABS($P$244-(VALUE(MID(DN244,FIND("|",DN244)+1,FIND("-",DN244,FIND("|",DN244))-FIND("|",DN244)-1))-VALUE(MID(DN244,FIND("-",DN244,FIND("|",DN244))+1,10)))))*$D$50)))))*$I$244,0),0),0)
+IFERROR(IF(LEFT(DN244,FIND("·",DN244)-1)=$C$244,IF($D$244=IFERROR(VALUE(MID(DN244,FIND("·",DN244)+1,1)),0),($D$33+($E$244=MID(DN244,FIND("|",DN244)+1,10))*$D$35+MAX(0,IF($D$50=1,$D$34*(1-(ABS($Q$244-(VALUE(MID(DN244,FIND("|",DN244)+1,FIND("-",DN244,FIND("|",DN244))-FIND("|",DN244)-1))-VALUE(MID(DN244,FIND("-",DN244,FIND("|",DN244))+1,10)))))*$D$50),$D$34*(1-(IF($D$244=0,ABS($A$244-VALUE(MID(DN244,FIND("|",DN244)+1,FIND("-",DN244,FIND("|",DN244))-FIND("|",DN244)-1))),ABS($Q$244-(VALUE(MID(DN244,FIND("|",DN244)+1,FIND("-",DN244,FIND("|",DN244))-FIND("|",DN244)-1))-VALUE(MID(DN244,FIND("-",DN244,FIND("|",DN244))+1,10)))))*$D$50)))))*$I$244,0),0),0)</f>
        <v>0</v>
      </c>
      <c r="DP244" s="110"/>
      <c r="DQ244" s="795" t="s">
        <v>2706</v>
      </c>
      <c r="DR244" s="85">
        <f t="shared" ref="DR244" si="1973">IFERROR(IF(LEFT(DQ244,FIND("·",DQ244)-1)=$K$244,IF($L$244=IFERROR(VALUE(MID(DQ244,FIND("·",DQ244)+1,1)),0),($D$33+($M$244=MID(DQ244,FIND("|",DQ244)+1,10))*$D$35+MAX(0,IF($D$50=1,$D$34*(1-(ABS($P$244-(VALUE(MID(DQ244,FIND("|",DQ244)+1,FIND("-",DQ244,FIND("|",DQ244))-FIND("|",DQ244)-1))-VALUE(MID(DQ244,FIND("-",DQ244,FIND("|",DQ244))+1,10)))))*$D$50),$D$34*(1-(IF($L$244=0,ABS($N$244-VALUE(MID(DQ244,FIND("|",DQ244)+1,FIND("-",DQ244,FIND("|",DQ244))-FIND("|",DQ244)-1))),ABS($P$244-(VALUE(MID(DQ244,FIND("|",DQ244)+1,FIND("-",DQ244,FIND("|",DQ244))-FIND("|",DQ244)-1))-VALUE(MID(DQ244,FIND("-",DQ244,FIND("|",DQ244))+1,10)))))*$D$50)))))*$I$244,0),0),0)
+IFERROR(IF(LEFT(DQ244,FIND("·",DQ244)-1)=$C$244,IF($D$244=IFERROR(VALUE(MID(DQ244,FIND("·",DQ244)+1,1)),0),($D$33+($E$244=MID(DQ244,FIND("|",DQ244)+1,10))*$D$35+MAX(0,IF($D$50=1,$D$34*(1-(ABS($Q$244-(VALUE(MID(DQ244,FIND("|",DQ244)+1,FIND("-",DQ244,FIND("|",DQ244))-FIND("|",DQ244)-1))-VALUE(MID(DQ244,FIND("-",DQ244,FIND("|",DQ244))+1,10)))))*$D$50),$D$34*(1-(IF($D$244=0,ABS($A$244-VALUE(MID(DQ244,FIND("|",DQ244)+1,FIND("-",DQ244,FIND("|",DQ244))-FIND("|",DQ244)-1))),ABS($Q$244-(VALUE(MID(DQ244,FIND("|",DQ244)+1,FIND("-",DQ244,FIND("|",DQ244))-FIND("|",DQ244)-1))-VALUE(MID(DQ244,FIND("-",DQ244,FIND("|",DQ244))+1,10)))))*$D$50)))))*$I$244,0),0),0)</f>
        <v>0</v>
      </c>
      <c r="DS244" s="110"/>
      <c r="DT244" s="66" t="s">
        <v>2731</v>
      </c>
      <c r="DU244" s="85">
        <f t="shared" ref="DU244" si="1974">IFERROR(IF(LEFT(DT244,FIND("·",DT244)-1)=$K$244,IF($L$244=IFERROR(VALUE(MID(DT244,FIND("·",DT244)+1,1)),0),($D$33+($M$244=MID(DT244,FIND("|",DT244)+1,10))*$D$35+MAX(0,IF($D$50=1,$D$34*(1-(ABS($P$244-(VALUE(MID(DT244,FIND("|",DT244)+1,FIND("-",DT244,FIND("|",DT244))-FIND("|",DT244)-1))-VALUE(MID(DT244,FIND("-",DT244,FIND("|",DT244))+1,10)))))*$D$50),$D$34*(1-(IF($L$244=0,ABS($N$244-VALUE(MID(DT244,FIND("|",DT244)+1,FIND("-",DT244,FIND("|",DT244))-FIND("|",DT244)-1))),ABS($P$244-(VALUE(MID(DT244,FIND("|",DT244)+1,FIND("-",DT244,FIND("|",DT244))-FIND("|",DT244)-1))-VALUE(MID(DT244,FIND("-",DT244,FIND("|",DT244))+1,10)))))*$D$50)))))*$I$244,0),0),0)
+IFERROR(IF(LEFT(DT244,FIND("·",DT244)-1)=$C$244,IF($D$244=IFERROR(VALUE(MID(DT244,FIND("·",DT244)+1,1)),0),($D$33+($E$244=MID(DT244,FIND("|",DT244)+1,10))*$D$35+MAX(0,IF($D$50=1,$D$34*(1-(ABS($Q$244-(VALUE(MID(DT244,FIND("|",DT244)+1,FIND("-",DT244,FIND("|",DT244))-FIND("|",DT244)-1))-VALUE(MID(DT244,FIND("-",DT244,FIND("|",DT244))+1,10)))))*$D$50),$D$34*(1-(IF($D$244=0,ABS($A$244-VALUE(MID(DT244,FIND("|",DT244)+1,FIND("-",DT244,FIND("|",DT244))-FIND("|",DT244)-1))),ABS($Q$244-(VALUE(MID(DT244,FIND("|",DT244)+1,FIND("-",DT244,FIND("|",DT244))-FIND("|",DT244)-1))-VALUE(MID(DT244,FIND("-",DT244,FIND("|",DT244))+1,10)))))*$D$50)))))*$I$244,0),0),0)</f>
        <v>0</v>
      </c>
      <c r="DV244" s="110"/>
      <c r="DW244" s="66" t="s">
        <v>2747</v>
      </c>
      <c r="DX244" s="85">
        <f t="shared" ref="DX244" si="1975">IFERROR(IF(LEFT(DW244,FIND("·",DW244)-1)=$K$244,IF($L$244=IFERROR(VALUE(MID(DW244,FIND("·",DW244)+1,1)),0),($D$33+($M$244=MID(DW244,FIND("|",DW244)+1,10))*$D$35+MAX(0,IF($D$50=1,$D$34*(1-(ABS($P$244-(VALUE(MID(DW244,FIND("|",DW244)+1,FIND("-",DW244,FIND("|",DW244))-FIND("|",DW244)-1))-VALUE(MID(DW244,FIND("-",DW244,FIND("|",DW244))+1,10)))))*$D$50),$D$34*(1-(IF($L$244=0,ABS($N$244-VALUE(MID(DW244,FIND("|",DW244)+1,FIND("-",DW244,FIND("|",DW244))-FIND("|",DW244)-1))),ABS($P$244-(VALUE(MID(DW244,FIND("|",DW244)+1,FIND("-",DW244,FIND("|",DW244))-FIND("|",DW244)-1))-VALUE(MID(DW244,FIND("-",DW244,FIND("|",DW244))+1,10)))))*$D$50)))))*$I$244,0),0),0)
+IFERROR(IF(LEFT(DW244,FIND("·",DW244)-1)=$C$244,IF($D$244=IFERROR(VALUE(MID(DW244,FIND("·",DW244)+1,1)),0),($D$33+($E$244=MID(DW244,FIND("|",DW244)+1,10))*$D$35+MAX(0,IF($D$50=1,$D$34*(1-(ABS($Q$244-(VALUE(MID(DW244,FIND("|",DW244)+1,FIND("-",DW244,FIND("|",DW244))-FIND("|",DW244)-1))-VALUE(MID(DW244,FIND("-",DW244,FIND("|",DW244))+1,10)))))*$D$50),$D$34*(1-(IF($D$244=0,ABS($A$244-VALUE(MID(DW244,FIND("|",DW244)+1,FIND("-",DW244,FIND("|",DW244))-FIND("|",DW244)-1))),ABS($Q$244-(VALUE(MID(DW244,FIND("|",DW244)+1,FIND("-",DW244,FIND("|",DW244))-FIND("|",DW244)-1))-VALUE(MID(DW244,FIND("-",DW244,FIND("|",DW244))+1,10)))))*$D$50)))))*$I$244,0),0),0)</f>
        <v>0</v>
      </c>
      <c r="DY244" s="110"/>
      <c r="DZ244" s="66" t="s">
        <v>2763</v>
      </c>
      <c r="EA244" s="85">
        <f t="shared" ref="EA244" si="1976">IFERROR(IF(LEFT(DZ244,FIND("·",DZ244)-1)=$K$244,IF($L$244=IFERROR(VALUE(MID(DZ244,FIND("·",DZ244)+1,1)),0),($D$33+($M$244=MID(DZ244,FIND("|",DZ244)+1,10))*$D$35+MAX(0,IF($D$50=1,$D$34*(1-(ABS($P$244-(VALUE(MID(DZ244,FIND("|",DZ244)+1,FIND("-",DZ244,FIND("|",DZ244))-FIND("|",DZ244)-1))-VALUE(MID(DZ244,FIND("-",DZ244,FIND("|",DZ244))+1,10)))))*$D$50),$D$34*(1-(IF($L$244=0,ABS($N$244-VALUE(MID(DZ244,FIND("|",DZ244)+1,FIND("-",DZ244,FIND("|",DZ244))-FIND("|",DZ244)-1))),ABS($P$244-(VALUE(MID(DZ244,FIND("|",DZ244)+1,FIND("-",DZ244,FIND("|",DZ244))-FIND("|",DZ244)-1))-VALUE(MID(DZ244,FIND("-",DZ244,FIND("|",DZ244))+1,10)))))*$D$50)))))*$I$244,0),0),0)
+IFERROR(IF(LEFT(DZ244,FIND("·",DZ244)-1)=$C$244,IF($D$244=IFERROR(VALUE(MID(DZ244,FIND("·",DZ244)+1,1)),0),($D$33+($E$244=MID(DZ244,FIND("|",DZ244)+1,10))*$D$35+MAX(0,IF($D$50=1,$D$34*(1-(ABS($Q$244-(VALUE(MID(DZ244,FIND("|",DZ244)+1,FIND("-",DZ244,FIND("|",DZ244))-FIND("|",DZ244)-1))-VALUE(MID(DZ244,FIND("-",DZ244,FIND("|",DZ244))+1,10)))))*$D$50),$D$34*(1-(IF($D$244=0,ABS($A$244-VALUE(MID(DZ244,FIND("|",DZ244)+1,FIND("-",DZ244,FIND("|",DZ244))-FIND("|",DZ244)-1))),ABS($Q$244-(VALUE(MID(DZ244,FIND("|",DZ244)+1,FIND("-",DZ244,FIND("|",DZ244))-FIND("|",DZ244)-1))-VALUE(MID(DZ244,FIND("-",DZ244,FIND("|",DZ244))+1,10)))))*$D$50)))))*$I$244,0),0),0)</f>
        <v>0</v>
      </c>
      <c r="EB244" s="110"/>
      <c r="EC244" s="66" t="s">
        <v>2701</v>
      </c>
      <c r="ED244" s="85">
        <f t="shared" ref="ED244" si="1977">IFERROR(IF(LEFT(EC244,FIND("·",EC244)-1)=$K$244,IF($L$244=IFERROR(VALUE(MID(EC244,FIND("·",EC244)+1,1)),0),($D$33+($M$244=MID(EC244,FIND("|",EC244)+1,10))*$D$35+MAX(0,IF($D$50=1,$D$34*(1-(ABS($P$244-(VALUE(MID(EC244,FIND("|",EC244)+1,FIND("-",EC244,FIND("|",EC244))-FIND("|",EC244)-1))-VALUE(MID(EC244,FIND("-",EC244,FIND("|",EC244))+1,10)))))*$D$50),$D$34*(1-(IF($L$244=0,ABS($N$244-VALUE(MID(EC244,FIND("|",EC244)+1,FIND("-",EC244,FIND("|",EC244))-FIND("|",EC244)-1))),ABS($P$244-(VALUE(MID(EC244,FIND("|",EC244)+1,FIND("-",EC244,FIND("|",EC244))-FIND("|",EC244)-1))-VALUE(MID(EC244,FIND("-",EC244,FIND("|",EC244))+1,10)))))*$D$50)))))*$I$244,0),0),0)
+IFERROR(IF(LEFT(EC244,FIND("·",EC244)-1)=$C$244,IF($D$244=IFERROR(VALUE(MID(EC244,FIND("·",EC244)+1,1)),0),($D$33+($E$244=MID(EC244,FIND("|",EC244)+1,10))*$D$35+MAX(0,IF($D$50=1,$D$34*(1-(ABS($Q$244-(VALUE(MID(EC244,FIND("|",EC244)+1,FIND("-",EC244,FIND("|",EC244))-FIND("|",EC244)-1))-VALUE(MID(EC244,FIND("-",EC244,FIND("|",EC244))+1,10)))))*$D$50),$D$34*(1-(IF($D$244=0,ABS($A$244-VALUE(MID(EC244,FIND("|",EC244)+1,FIND("-",EC244,FIND("|",EC244))-FIND("|",EC244)-1))),ABS($Q$244-(VALUE(MID(EC244,FIND("|",EC244)+1,FIND("-",EC244,FIND("|",EC244))-FIND("|",EC244)-1))-VALUE(MID(EC244,FIND("-",EC244,FIND("|",EC244))+1,10)))))*$D$50)))))*$I$244,0),0),0)</f>
        <v>0</v>
      </c>
      <c r="EE244" s="110"/>
      <c r="EF244" s="66" t="s">
        <v>2791</v>
      </c>
      <c r="EG244" s="85">
        <f t="shared" ref="EG244" si="1978">IFERROR(IF(LEFT(EF244,FIND("·",EF244)-1)=$K$244,IF($L$244=IFERROR(VALUE(MID(EF244,FIND("·",EF244)+1,1)),0),($D$33+($M$244=MID(EF244,FIND("|",EF244)+1,10))*$D$35+MAX(0,IF($D$50=1,$D$34*(1-(ABS($P$244-(VALUE(MID(EF244,FIND("|",EF244)+1,FIND("-",EF244,FIND("|",EF244))-FIND("|",EF244)-1))-VALUE(MID(EF244,FIND("-",EF244,FIND("|",EF244))+1,10)))))*$D$50),$D$34*(1-(IF($L$244=0,ABS($N$244-VALUE(MID(EF244,FIND("|",EF244)+1,FIND("-",EF244,FIND("|",EF244))-FIND("|",EF244)-1))),ABS($P$244-(VALUE(MID(EF244,FIND("|",EF244)+1,FIND("-",EF244,FIND("|",EF244))-FIND("|",EF244)-1))-VALUE(MID(EF244,FIND("-",EF244,FIND("|",EF244))+1,10)))))*$D$50)))))*$I$244,0),0),0)
+IFERROR(IF(LEFT(EF244,FIND("·",EF244)-1)=$C$244,IF($D$244=IFERROR(VALUE(MID(EF244,FIND("·",EF244)+1,1)),0),($D$33+($E$244=MID(EF244,FIND("|",EF244)+1,10))*$D$35+MAX(0,IF($D$50=1,$D$34*(1-(ABS($Q$244-(VALUE(MID(EF244,FIND("|",EF244)+1,FIND("-",EF244,FIND("|",EF244))-FIND("|",EF244)-1))-VALUE(MID(EF244,FIND("-",EF244,FIND("|",EF244))+1,10)))))*$D$50),$D$34*(1-(IF($D$244=0,ABS($A$244-VALUE(MID(EF244,FIND("|",EF244)+1,FIND("-",EF244,FIND("|",EF244))-FIND("|",EF244)-1))),ABS($Q$244-(VALUE(MID(EF244,FIND("|",EF244)+1,FIND("-",EF244,FIND("|",EF244))-FIND("|",EF244)-1))-VALUE(MID(EF244,FIND("-",EF244,FIND("|",EF244))+1,10)))))*$D$50)))))*$I$244,0),0),0)</f>
        <v>0</v>
      </c>
      <c r="EH244" s="110"/>
      <c r="EI244" s="66" t="s">
        <v>2799</v>
      </c>
      <c r="EJ244" s="85">
        <f t="shared" ref="EJ244" si="1979">IFERROR(IF(LEFT(EI244,FIND("·",EI244)-1)=$K$244,IF($L$244=IFERROR(VALUE(MID(EI244,FIND("·",EI244)+1,1)),0),($D$33+($M$244=MID(EI244,FIND("|",EI244)+1,10))*$D$35+MAX(0,IF($D$50=1,$D$34*(1-(ABS($P$244-(VALUE(MID(EI244,FIND("|",EI244)+1,FIND("-",EI244,FIND("|",EI244))-FIND("|",EI244)-1))-VALUE(MID(EI244,FIND("-",EI244,FIND("|",EI244))+1,10)))))*$D$50),$D$34*(1-(IF($L$244=0,ABS($N$244-VALUE(MID(EI244,FIND("|",EI244)+1,FIND("-",EI244,FIND("|",EI244))-FIND("|",EI244)-1))),ABS($P$244-(VALUE(MID(EI244,FIND("|",EI244)+1,FIND("-",EI244,FIND("|",EI244))-FIND("|",EI244)-1))-VALUE(MID(EI244,FIND("-",EI244,FIND("|",EI244))+1,10)))))*$D$50)))))*$I$244,0),0),0)
+IFERROR(IF(LEFT(EI244,FIND("·",EI244)-1)=$C$244,IF($D$244=IFERROR(VALUE(MID(EI244,FIND("·",EI244)+1,1)),0),($D$33+($E$244=MID(EI244,FIND("|",EI244)+1,10))*$D$35+MAX(0,IF($D$50=1,$D$34*(1-(ABS($Q$244-(VALUE(MID(EI244,FIND("|",EI244)+1,FIND("-",EI244,FIND("|",EI244))-FIND("|",EI244)-1))-VALUE(MID(EI244,FIND("-",EI244,FIND("|",EI244))+1,10)))))*$D$50),$D$34*(1-(IF($D$244=0,ABS($A$244-VALUE(MID(EI244,FIND("|",EI244)+1,FIND("-",EI244,FIND("|",EI244))-FIND("|",EI244)-1))),ABS($Q$244-(VALUE(MID(EI244,FIND("|",EI244)+1,FIND("-",EI244,FIND("|",EI244))-FIND("|",EI244)-1))-VALUE(MID(EI244,FIND("-",EI244,FIND("|",EI244))+1,10)))))*$D$50)))))*$I$244,0),0),0)</f>
        <v>0</v>
      </c>
      <c r="EK244" s="110"/>
      <c r="EL244" s="66" t="str">
        <f>Idiomas!$D$371</f>
        <v>Pegar valores 3º-4º puesto y Final</v>
      </c>
      <c r="EM244" s="85">
        <f t="shared" ref="EM244" si="1980">IFERROR(IF(LEFT(EL244,FIND("·",EL244)-1)=$K$244,IF($L$244=IFERROR(VALUE(MID(EL244,FIND("·",EL244)+1,1)),0),($D$33+($M$244=MID(EL244,FIND("|",EL244)+1,10))*$D$35+MAX(0,IF($D$50=1,$D$34*(1-(ABS($P$244-(VALUE(MID(EL244,FIND("|",EL244)+1,FIND("-",EL244,FIND("|",EL244))-FIND("|",EL244)-1))-VALUE(MID(EL244,FIND("-",EL244,FIND("|",EL244))+1,10)))))*$D$50),$D$34*(1-(IF($L$244=0,ABS($N$244-VALUE(MID(EL244,FIND("|",EL244)+1,FIND("-",EL244,FIND("|",EL244))-FIND("|",EL244)-1))),ABS($P$244-(VALUE(MID(EL244,FIND("|",EL244)+1,FIND("-",EL244,FIND("|",EL244))-FIND("|",EL244)-1))-VALUE(MID(EL244,FIND("-",EL244,FIND("|",EL244))+1,10)))))*$D$50)))))*$I$244,0),0),0)
+IFERROR(IF(LEFT(EL244,FIND("·",EL244)-1)=$C$244,IF($D$244=IFERROR(VALUE(MID(EL244,FIND("·",EL244)+1,1)),0),($D$33+($E$244=MID(EL244,FIND("|",EL244)+1,10))*$D$35+MAX(0,IF($D$50=1,$D$34*(1-(ABS($Q$244-(VALUE(MID(EL244,FIND("|",EL244)+1,FIND("-",EL244,FIND("|",EL244))-FIND("|",EL244)-1))-VALUE(MID(EL244,FIND("-",EL244,FIND("|",EL244))+1,10)))))*$D$50),$D$34*(1-(IF($D$244=0,ABS($A$244-VALUE(MID(EL244,FIND("|",EL244)+1,FIND("-",EL244,FIND("|",EL244))-FIND("|",EL244)-1))),ABS($Q$244-(VALUE(MID(EL244,FIND("|",EL244)+1,FIND("-",EL244,FIND("|",EL244))-FIND("|",EL244)-1))-VALUE(MID(EL244,FIND("-",EL244,FIND("|",EL244))+1,10)))))*$D$50)))))*$I$244,0),0),0)</f>
        <v>0</v>
      </c>
      <c r="EN244" s="110"/>
      <c r="EO244" s="66" t="str">
        <f>Idiomas!$D$371</f>
        <v>Pegar valores 3º-4º puesto y Final</v>
      </c>
      <c r="EP244" s="85">
        <f t="shared" ref="EP244" si="1981">IFERROR(IF(LEFT(EO244,FIND("·",EO244)-1)=$K$244,IF($L$244=IFERROR(VALUE(MID(EO244,FIND("·",EO244)+1,1)),0),($D$33+($M$244=MID(EO244,FIND("|",EO244)+1,10))*$D$35+MAX(0,IF($D$50=1,$D$34*(1-(ABS($P$244-(VALUE(MID(EO244,FIND("|",EO244)+1,FIND("-",EO244,FIND("|",EO244))-FIND("|",EO244)-1))-VALUE(MID(EO244,FIND("-",EO244,FIND("|",EO244))+1,10)))))*$D$50),$D$34*(1-(IF($L$244=0,ABS($N$244-VALUE(MID(EO244,FIND("|",EO244)+1,FIND("-",EO244,FIND("|",EO244))-FIND("|",EO244)-1))),ABS($P$244-(VALUE(MID(EO244,FIND("|",EO244)+1,FIND("-",EO244,FIND("|",EO244))-FIND("|",EO244)-1))-VALUE(MID(EO244,FIND("-",EO244,FIND("|",EO244))+1,10)))))*$D$50)))))*$I$244,0),0),0)
+IFERROR(IF(LEFT(EO244,FIND("·",EO244)-1)=$C$244,IF($D$244=IFERROR(VALUE(MID(EO244,FIND("·",EO244)+1,1)),0),($D$33+($E$244=MID(EO244,FIND("|",EO244)+1,10))*$D$35+MAX(0,IF($D$50=1,$D$34*(1-(ABS($Q$244-(VALUE(MID(EO244,FIND("|",EO244)+1,FIND("-",EO244,FIND("|",EO244))-FIND("|",EO244)-1))-VALUE(MID(EO244,FIND("-",EO244,FIND("|",EO244))+1,10)))))*$D$50),$D$34*(1-(IF($D$244=0,ABS($A$244-VALUE(MID(EO244,FIND("|",EO244)+1,FIND("-",EO244,FIND("|",EO244))-FIND("|",EO244)-1))),ABS($Q$244-(VALUE(MID(EO244,FIND("|",EO244)+1,FIND("-",EO244,FIND("|",EO244))-FIND("|",EO244)-1))-VALUE(MID(EO244,FIND("-",EO244,FIND("|",EO244))+1,10)))))*$D$50)))))*$I$244,0),0),0)</f>
        <v>0</v>
      </c>
      <c r="EQ244" s="110"/>
      <c r="ER244" s="66" t="str">
        <f>Idiomas!$D$371</f>
        <v>Pegar valores 3º-4º puesto y Final</v>
      </c>
      <c r="ES244" s="85">
        <f t="shared" ref="ES244" si="1982">IFERROR(IF(LEFT(ER244,FIND("·",ER244)-1)=$K$244,IF($L$244=IFERROR(VALUE(MID(ER244,FIND("·",ER244)+1,1)),0),($D$33+($M$244=MID(ER244,FIND("|",ER244)+1,10))*$D$35+MAX(0,IF($D$50=1,$D$34*(1-(ABS($P$244-(VALUE(MID(ER244,FIND("|",ER244)+1,FIND("-",ER244,FIND("|",ER244))-FIND("|",ER244)-1))-VALUE(MID(ER244,FIND("-",ER244,FIND("|",ER244))+1,10)))))*$D$50),$D$34*(1-(IF($L$244=0,ABS($N$244-VALUE(MID(ER244,FIND("|",ER244)+1,FIND("-",ER244,FIND("|",ER244))-FIND("|",ER244)-1))),ABS($P$244-(VALUE(MID(ER244,FIND("|",ER244)+1,FIND("-",ER244,FIND("|",ER244))-FIND("|",ER244)-1))-VALUE(MID(ER244,FIND("-",ER244,FIND("|",ER244))+1,10)))))*$D$50)))))*$I$244,0),0),0)
+IFERROR(IF(LEFT(ER244,FIND("·",ER244)-1)=$C$244,IF($D$244=IFERROR(VALUE(MID(ER244,FIND("·",ER244)+1,1)),0),($D$33+($E$244=MID(ER244,FIND("|",ER244)+1,10))*$D$35+MAX(0,IF($D$50=1,$D$34*(1-(ABS($Q$244-(VALUE(MID(ER244,FIND("|",ER244)+1,FIND("-",ER244,FIND("|",ER244))-FIND("|",ER244)-1))-VALUE(MID(ER244,FIND("-",ER244,FIND("|",ER244))+1,10)))))*$D$50),$D$34*(1-(IF($D$244=0,ABS($A$244-VALUE(MID(ER244,FIND("|",ER244)+1,FIND("-",ER244,FIND("|",ER244))-FIND("|",ER244)-1))),ABS($Q$244-(VALUE(MID(ER244,FIND("|",ER244)+1,FIND("-",ER244,FIND("|",ER244))-FIND("|",ER244)-1))-VALUE(MID(ER244,FIND("-",ER244,FIND("|",ER244))+1,10)))))*$D$50)))))*$I$244,0),0),0)</f>
        <v>0</v>
      </c>
      <c r="ET244" s="110"/>
      <c r="EU244" s="66" t="str">
        <f>Idiomas!$D$371</f>
        <v>Pegar valores 3º-4º puesto y Final</v>
      </c>
      <c r="EV244" s="85">
        <f t="shared" ref="EV244" si="1983">IFERROR(IF(LEFT(EU244,FIND("·",EU244)-1)=$K$244,IF($L$244=IFERROR(VALUE(MID(EU244,FIND("·",EU244)+1,1)),0),($D$33+($M$244=MID(EU244,FIND("|",EU244)+1,10))*$D$35+MAX(0,IF($D$50=1,$D$34*(1-(ABS($P$244-(VALUE(MID(EU244,FIND("|",EU244)+1,FIND("-",EU244,FIND("|",EU244))-FIND("|",EU244)-1))-VALUE(MID(EU244,FIND("-",EU244,FIND("|",EU244))+1,10)))))*$D$50),$D$34*(1-(IF($L$244=0,ABS($N$244-VALUE(MID(EU244,FIND("|",EU244)+1,FIND("-",EU244,FIND("|",EU244))-FIND("|",EU244)-1))),ABS($P$244-(VALUE(MID(EU244,FIND("|",EU244)+1,FIND("-",EU244,FIND("|",EU244))-FIND("|",EU244)-1))-VALUE(MID(EU244,FIND("-",EU244,FIND("|",EU244))+1,10)))))*$D$50)))))*$I$244,0),0),0)
+IFERROR(IF(LEFT(EU244,FIND("·",EU244)-1)=$C$244,IF($D$244=IFERROR(VALUE(MID(EU244,FIND("·",EU244)+1,1)),0),($D$33+($E$244=MID(EU244,FIND("|",EU244)+1,10))*$D$35+MAX(0,IF($D$50=1,$D$34*(1-(ABS($Q$244-(VALUE(MID(EU244,FIND("|",EU244)+1,FIND("-",EU244,FIND("|",EU244))-FIND("|",EU244)-1))-VALUE(MID(EU244,FIND("-",EU244,FIND("|",EU244))+1,10)))))*$D$50),$D$34*(1-(IF($D$244=0,ABS($A$244-VALUE(MID(EU244,FIND("|",EU244)+1,FIND("-",EU244,FIND("|",EU244))-FIND("|",EU244)-1))),ABS($Q$244-(VALUE(MID(EU244,FIND("|",EU244)+1,FIND("-",EU244,FIND("|",EU244))-FIND("|",EU244)-1))-VALUE(MID(EU244,FIND("-",EU244,FIND("|",EU244))+1,10)))))*$D$50)))))*$I$244,0),0),0)</f>
        <v>0</v>
      </c>
      <c r="EW244" s="110"/>
      <c r="EX244" s="66" t="str">
        <f>Idiomas!$D$371</f>
        <v>Pegar valores 3º-4º puesto y Final</v>
      </c>
      <c r="EY244" s="85">
        <f t="shared" ref="EY244" si="1984">IFERROR(IF(LEFT(EX244,FIND("·",EX244)-1)=$K$244,IF($L$244=IFERROR(VALUE(MID(EX244,FIND("·",EX244)+1,1)),0),($D$33+($M$244=MID(EX244,FIND("|",EX244)+1,10))*$D$35+MAX(0,IF($D$50=1,$D$34*(1-(ABS($P$244-(VALUE(MID(EX244,FIND("|",EX244)+1,FIND("-",EX244,FIND("|",EX244))-FIND("|",EX244)-1))-VALUE(MID(EX244,FIND("-",EX244,FIND("|",EX244))+1,10)))))*$D$50),$D$34*(1-(IF($L$244=0,ABS($N$244-VALUE(MID(EX244,FIND("|",EX244)+1,FIND("-",EX244,FIND("|",EX244))-FIND("|",EX244)-1))),ABS($P$244-(VALUE(MID(EX244,FIND("|",EX244)+1,FIND("-",EX244,FIND("|",EX244))-FIND("|",EX244)-1))-VALUE(MID(EX244,FIND("-",EX244,FIND("|",EX244))+1,10)))))*$D$50)))))*$I$244,0),0),0)
+IFERROR(IF(LEFT(EX244,FIND("·",EX244)-1)=$C$244,IF($D$244=IFERROR(VALUE(MID(EX244,FIND("·",EX244)+1,1)),0),($D$33+($E$244=MID(EX244,FIND("|",EX244)+1,10))*$D$35+MAX(0,IF($D$50=1,$D$34*(1-(ABS($Q$244-(VALUE(MID(EX244,FIND("|",EX244)+1,FIND("-",EX244,FIND("|",EX244))-FIND("|",EX244)-1))-VALUE(MID(EX244,FIND("-",EX244,FIND("|",EX244))+1,10)))))*$D$50),$D$34*(1-(IF($D$244=0,ABS($A$244-VALUE(MID(EX244,FIND("|",EX244)+1,FIND("-",EX244,FIND("|",EX244))-FIND("|",EX244)-1))),ABS($Q$244-(VALUE(MID(EX244,FIND("|",EX244)+1,FIND("-",EX244,FIND("|",EX244))-FIND("|",EX244)-1))-VALUE(MID(EX244,FIND("-",EX244,FIND("|",EX244))+1,10)))))*$D$50)))))*$I$244,0),0),0)</f>
        <v>0</v>
      </c>
      <c r="EZ244" s="110"/>
      <c r="FA244" s="66" t="str">
        <f>Idiomas!$D$371</f>
        <v>Pegar valores 3º-4º puesto y Final</v>
      </c>
      <c r="FB244" s="85">
        <f t="shared" ref="FB244" si="1985">IFERROR(IF(LEFT(FA244,FIND("·",FA244)-1)=$K$244,IF($L$244=IFERROR(VALUE(MID(FA244,FIND("·",FA244)+1,1)),0),($D$33+($M$244=MID(FA244,FIND("|",FA244)+1,10))*$D$35+MAX(0,IF($D$50=1,$D$34*(1-(ABS($P$244-(VALUE(MID(FA244,FIND("|",FA244)+1,FIND("-",FA244,FIND("|",FA244))-FIND("|",FA244)-1))-VALUE(MID(FA244,FIND("-",FA244,FIND("|",FA244))+1,10)))))*$D$50),$D$34*(1-(IF($L$244=0,ABS($N$244-VALUE(MID(FA244,FIND("|",FA244)+1,FIND("-",FA244,FIND("|",FA244))-FIND("|",FA244)-1))),ABS($P$244-(VALUE(MID(FA244,FIND("|",FA244)+1,FIND("-",FA244,FIND("|",FA244))-FIND("|",FA244)-1))-VALUE(MID(FA244,FIND("-",FA244,FIND("|",FA244))+1,10)))))*$D$50)))))*$I$244,0),0),0)
+IFERROR(IF(LEFT(FA244,FIND("·",FA244)-1)=$C$244,IF($D$244=IFERROR(VALUE(MID(FA244,FIND("·",FA244)+1,1)),0),($D$33+($E$244=MID(FA244,FIND("|",FA244)+1,10))*$D$35+MAX(0,IF($D$50=1,$D$34*(1-(ABS($Q$244-(VALUE(MID(FA244,FIND("|",FA244)+1,FIND("-",FA244,FIND("|",FA244))-FIND("|",FA244)-1))-VALUE(MID(FA244,FIND("-",FA244,FIND("|",FA244))+1,10)))))*$D$50),$D$34*(1-(IF($D$244=0,ABS($A$244-VALUE(MID(FA244,FIND("|",FA244)+1,FIND("-",FA244,FIND("|",FA244))-FIND("|",FA244)-1))),ABS($Q$244-(VALUE(MID(FA244,FIND("|",FA244)+1,FIND("-",FA244,FIND("|",FA244))-FIND("|",FA244)-1))-VALUE(MID(FA244,FIND("-",FA244,FIND("|",FA244))+1,10)))))*$D$50)))))*$I$244,0),0),0)</f>
        <v>0</v>
      </c>
      <c r="FC244" s="110"/>
      <c r="FD244" s="66" t="str">
        <f>Idiomas!$D$371</f>
        <v>Pegar valores 3º-4º puesto y Final</v>
      </c>
      <c r="FE244" s="85">
        <f t="shared" ref="FE244" si="1986">IFERROR(IF(LEFT(FD244,FIND("·",FD244)-1)=$K$244,IF($L$244=IFERROR(VALUE(MID(FD244,FIND("·",FD244)+1,1)),0),($D$33+($M$244=MID(FD244,FIND("|",FD244)+1,10))*$D$35+MAX(0,IF($D$50=1,$D$34*(1-(ABS($P$244-(VALUE(MID(FD244,FIND("|",FD244)+1,FIND("-",FD244,FIND("|",FD244))-FIND("|",FD244)-1))-VALUE(MID(FD244,FIND("-",FD244,FIND("|",FD244))+1,10)))))*$D$50),$D$34*(1-(IF($L$244=0,ABS($N$244-VALUE(MID(FD244,FIND("|",FD244)+1,FIND("-",FD244,FIND("|",FD244))-FIND("|",FD244)-1))),ABS($P$244-(VALUE(MID(FD244,FIND("|",FD244)+1,FIND("-",FD244,FIND("|",FD244))-FIND("|",FD244)-1))-VALUE(MID(FD244,FIND("-",FD244,FIND("|",FD244))+1,10)))))*$D$50)))))*$I$244,0),0),0)
+IFERROR(IF(LEFT(FD244,FIND("·",FD244)-1)=$C$244,IF($D$244=IFERROR(VALUE(MID(FD244,FIND("·",FD244)+1,1)),0),($D$33+($E$244=MID(FD244,FIND("|",FD244)+1,10))*$D$35+MAX(0,IF($D$50=1,$D$34*(1-(ABS($Q$244-(VALUE(MID(FD244,FIND("|",FD244)+1,FIND("-",FD244,FIND("|",FD244))-FIND("|",FD244)-1))-VALUE(MID(FD244,FIND("-",FD244,FIND("|",FD244))+1,10)))))*$D$50),$D$34*(1-(IF($D$244=0,ABS($A$244-VALUE(MID(FD244,FIND("|",FD244)+1,FIND("-",FD244,FIND("|",FD244))-FIND("|",FD244)-1))),ABS($Q$244-(VALUE(MID(FD244,FIND("|",FD244)+1,FIND("-",FD244,FIND("|",FD244))-FIND("|",FD244)-1))-VALUE(MID(FD244,FIND("-",FD244,FIND("|",FD244))+1,10)))))*$D$50)))))*$I$244,0),0),0)</f>
        <v>0</v>
      </c>
      <c r="FF244" s="110"/>
      <c r="FG244" s="66" t="str">
        <f>Idiomas!$D$371</f>
        <v>Pegar valores 3º-4º puesto y Final</v>
      </c>
      <c r="FH244" s="85">
        <f t="shared" ref="FH244" si="1987">IFERROR(IF(LEFT(FG244,FIND("·",FG244)-1)=$K$244,IF($L$244=IFERROR(VALUE(MID(FG244,FIND("·",FG244)+1,1)),0),($D$33+($M$244=MID(FG244,FIND("|",FG244)+1,10))*$D$35+MAX(0,IF($D$50=1,$D$34*(1-(ABS($P$244-(VALUE(MID(FG244,FIND("|",FG244)+1,FIND("-",FG244,FIND("|",FG244))-FIND("|",FG244)-1))-VALUE(MID(FG244,FIND("-",FG244,FIND("|",FG244))+1,10)))))*$D$50),$D$34*(1-(IF($L$244=0,ABS($N$244-VALUE(MID(FG244,FIND("|",FG244)+1,FIND("-",FG244,FIND("|",FG244))-FIND("|",FG244)-1))),ABS($P$244-(VALUE(MID(FG244,FIND("|",FG244)+1,FIND("-",FG244,FIND("|",FG244))-FIND("|",FG244)-1))-VALUE(MID(FG244,FIND("-",FG244,FIND("|",FG244))+1,10)))))*$D$50)))))*$I$244,0),0),0)
+IFERROR(IF(LEFT(FG244,FIND("·",FG244)-1)=$C$244,IF($D$244=IFERROR(VALUE(MID(FG244,FIND("·",FG244)+1,1)),0),($D$33+($E$244=MID(FG244,FIND("|",FG244)+1,10))*$D$35+MAX(0,IF($D$50=1,$D$34*(1-(ABS($Q$244-(VALUE(MID(FG244,FIND("|",FG244)+1,FIND("-",FG244,FIND("|",FG244))-FIND("|",FG244)-1))-VALUE(MID(FG244,FIND("-",FG244,FIND("|",FG244))+1,10)))))*$D$50),$D$34*(1-(IF($D$244=0,ABS($A$244-VALUE(MID(FG244,FIND("|",FG244)+1,FIND("-",FG244,FIND("|",FG244))-FIND("|",FG244)-1))),ABS($Q$244-(VALUE(MID(FG244,FIND("|",FG244)+1,FIND("-",FG244,FIND("|",FG244))-FIND("|",FG244)-1))-VALUE(MID(FG244,FIND("-",FG244,FIND("|",FG244))+1,10)))))*$D$50)))))*$I$244,0),0),0)</f>
        <v>0</v>
      </c>
      <c r="FI244" s="110"/>
      <c r="FJ244" s="66" t="str">
        <f>Idiomas!$D$371</f>
        <v>Pegar valores 3º-4º puesto y Final</v>
      </c>
      <c r="FK244" s="85">
        <f t="shared" ref="FK244" si="1988">IFERROR(IF(LEFT(FJ244,FIND("·",FJ244)-1)=$K$244,IF($L$244=IFERROR(VALUE(MID(FJ244,FIND("·",FJ244)+1,1)),0),($D$33+($M$244=MID(FJ244,FIND("|",FJ244)+1,10))*$D$35+MAX(0,IF($D$50=1,$D$34*(1-(ABS($P$244-(VALUE(MID(FJ244,FIND("|",FJ244)+1,FIND("-",FJ244,FIND("|",FJ244))-FIND("|",FJ244)-1))-VALUE(MID(FJ244,FIND("-",FJ244,FIND("|",FJ244))+1,10)))))*$D$50),$D$34*(1-(IF($L$244=0,ABS($N$244-VALUE(MID(FJ244,FIND("|",FJ244)+1,FIND("-",FJ244,FIND("|",FJ244))-FIND("|",FJ244)-1))),ABS($P$244-(VALUE(MID(FJ244,FIND("|",FJ244)+1,FIND("-",FJ244,FIND("|",FJ244))-FIND("|",FJ244)-1))-VALUE(MID(FJ244,FIND("-",FJ244,FIND("|",FJ244))+1,10)))))*$D$50)))))*$I$244,0),0),0)
+IFERROR(IF(LEFT(FJ244,FIND("·",FJ244)-1)=$C$244,IF($D$244=IFERROR(VALUE(MID(FJ244,FIND("·",FJ244)+1,1)),0),($D$33+($E$244=MID(FJ244,FIND("|",FJ244)+1,10))*$D$35+MAX(0,IF($D$50=1,$D$34*(1-(ABS($Q$244-(VALUE(MID(FJ244,FIND("|",FJ244)+1,FIND("-",FJ244,FIND("|",FJ244))-FIND("|",FJ244)-1))-VALUE(MID(FJ244,FIND("-",FJ244,FIND("|",FJ244))+1,10)))))*$D$50),$D$34*(1-(IF($D$244=0,ABS($A$244-VALUE(MID(FJ244,FIND("|",FJ244)+1,FIND("-",FJ244,FIND("|",FJ244))-FIND("|",FJ244)-1))),ABS($Q$244-(VALUE(MID(FJ244,FIND("|",FJ244)+1,FIND("-",FJ244,FIND("|",FJ244))-FIND("|",FJ244)-1))-VALUE(MID(FJ244,FIND("-",FJ244,FIND("|",FJ244))+1,10)))))*$D$50)))))*$I$244,0),0),0)</f>
        <v>0</v>
      </c>
      <c r="FL244" s="110"/>
      <c r="FM244" s="110"/>
    </row>
    <row r="245" spans="1:169">
      <c r="A245" s="25"/>
      <c r="B245" s="25"/>
      <c r="C245" s="25"/>
      <c r="D245" s="25"/>
      <c r="E245" s="25"/>
      <c r="F245" s="407"/>
      <c r="G245" s="407"/>
      <c r="H245" s="65"/>
      <c r="I245" s="50"/>
      <c r="J245" s="99"/>
      <c r="K245" s="434" t="str">
        <f>Idiomas!D467</f>
        <v>Partido 3-4</v>
      </c>
      <c r="L245" s="435"/>
      <c r="M245" s="434" t="str">
        <f>"Max: "&amp;SUM($D$33:$D$35)*$I$244</f>
        <v>Max: 4</v>
      </c>
      <c r="N245" s="25"/>
      <c r="O245" s="25"/>
      <c r="P245" s="25"/>
      <c r="Q245" s="25"/>
      <c r="R245" s="17"/>
      <c r="S245" s="84"/>
      <c r="T245" s="83">
        <f>T244</f>
        <v>0</v>
      </c>
      <c r="U245" s="110"/>
      <c r="V245" s="84"/>
      <c r="W245" s="83">
        <f t="shared" ref="W245" si="1989">W244</f>
        <v>0</v>
      </c>
      <c r="X245" s="110"/>
      <c r="Y245" s="84"/>
      <c r="Z245" s="83">
        <f t="shared" ref="Z245" si="1990">Z244</f>
        <v>0</v>
      </c>
      <c r="AA245" s="110"/>
      <c r="AB245" s="82"/>
      <c r="AC245" s="83">
        <f t="shared" ref="AC245" si="1991">AC244</f>
        <v>0</v>
      </c>
      <c r="AD245" s="110"/>
      <c r="AE245" s="84"/>
      <c r="AF245" s="83">
        <f t="shared" ref="AF245" si="1992">AF244</f>
        <v>0</v>
      </c>
      <c r="AG245" s="110"/>
      <c r="AH245" s="84"/>
      <c r="AI245" s="83">
        <f t="shared" ref="AI245" si="1993">AI244</f>
        <v>0</v>
      </c>
      <c r="AJ245" s="110"/>
      <c r="AK245" s="84"/>
      <c r="AL245" s="83">
        <f t="shared" ref="AL245" si="1994">AL244</f>
        <v>0</v>
      </c>
      <c r="AM245" s="110"/>
      <c r="AN245" s="84"/>
      <c r="AO245" s="83">
        <f t="shared" ref="AO245" si="1995">AO244</f>
        <v>0</v>
      </c>
      <c r="AP245" s="110"/>
      <c r="AQ245" s="84"/>
      <c r="AR245" s="83">
        <f t="shared" ref="AR245" si="1996">AR244</f>
        <v>0</v>
      </c>
      <c r="AS245" s="110"/>
      <c r="AT245" s="84"/>
      <c r="AU245" s="83">
        <f t="shared" ref="AU245" si="1997">AU244</f>
        <v>0</v>
      </c>
      <c r="AV245" s="110"/>
      <c r="AW245" s="84"/>
      <c r="AX245" s="83">
        <f t="shared" ref="AX245" si="1998">AX244</f>
        <v>0</v>
      </c>
      <c r="AY245" s="110"/>
      <c r="AZ245" s="84"/>
      <c r="BA245" s="83">
        <f t="shared" ref="BA245" si="1999">BA244</f>
        <v>0</v>
      </c>
      <c r="BB245" s="110"/>
      <c r="BC245" s="84"/>
      <c r="BD245" s="83">
        <f t="shared" ref="BD245" si="2000">BD244</f>
        <v>0</v>
      </c>
      <c r="BE245" s="110"/>
      <c r="BF245" s="84"/>
      <c r="BG245" s="83">
        <f t="shared" ref="BG245" si="2001">BG244</f>
        <v>0</v>
      </c>
      <c r="BH245" s="110"/>
      <c r="BI245" s="84"/>
      <c r="BJ245" s="83">
        <f t="shared" ref="BJ245" si="2002">BJ244</f>
        <v>0</v>
      </c>
      <c r="BK245" s="110"/>
      <c r="BL245" s="84"/>
      <c r="BM245" s="83">
        <f t="shared" ref="BM245" si="2003">BM244</f>
        <v>0</v>
      </c>
      <c r="BN245" s="110"/>
      <c r="BO245" s="84"/>
      <c r="BP245" s="83">
        <f t="shared" ref="BP245" si="2004">BP244</f>
        <v>0</v>
      </c>
      <c r="BQ245" s="110"/>
      <c r="BR245" s="84"/>
      <c r="BS245" s="83">
        <f t="shared" ref="BS245" si="2005">BS244</f>
        <v>0</v>
      </c>
      <c r="BT245" s="110"/>
      <c r="BU245" s="84"/>
      <c r="BV245" s="83">
        <f t="shared" ref="BV245" si="2006">BV244</f>
        <v>0</v>
      </c>
      <c r="BW245" s="110"/>
      <c r="BX245" s="84"/>
      <c r="BY245" s="83">
        <f t="shared" ref="BY245" si="2007">BY244</f>
        <v>0</v>
      </c>
      <c r="BZ245" s="110"/>
      <c r="CA245" s="84"/>
      <c r="CB245" s="83">
        <f t="shared" ref="CB245" si="2008">CB244</f>
        <v>0</v>
      </c>
      <c r="CC245" s="110"/>
      <c r="CD245" s="84"/>
      <c r="CE245" s="83">
        <f t="shared" ref="CE245" si="2009">CE244</f>
        <v>0</v>
      </c>
      <c r="CF245" s="110"/>
      <c r="CG245" s="84"/>
      <c r="CH245" s="83">
        <f t="shared" ref="CH245" si="2010">CH244</f>
        <v>0</v>
      </c>
      <c r="CI245" s="110"/>
      <c r="CJ245" s="84"/>
      <c r="CK245" s="83">
        <f t="shared" ref="CK245" si="2011">CK244</f>
        <v>0</v>
      </c>
      <c r="CL245" s="110"/>
      <c r="CM245" s="84"/>
      <c r="CN245" s="83">
        <f t="shared" ref="CN245" si="2012">CN244</f>
        <v>0</v>
      </c>
      <c r="CO245" s="110"/>
      <c r="CP245" s="84"/>
      <c r="CQ245" s="83">
        <f t="shared" ref="CQ245" si="2013">CQ244</f>
        <v>0</v>
      </c>
      <c r="CR245" s="110"/>
      <c r="CS245" s="84"/>
      <c r="CT245" s="83">
        <f t="shared" ref="CT245" si="2014">CT244</f>
        <v>0</v>
      </c>
      <c r="CU245" s="110"/>
      <c r="CV245" s="84"/>
      <c r="CW245" s="83">
        <f t="shared" ref="CW245" si="2015">CW244</f>
        <v>0</v>
      </c>
      <c r="CX245" s="110"/>
      <c r="CY245" s="84"/>
      <c r="CZ245" s="83">
        <f t="shared" ref="CZ245" si="2016">CZ244</f>
        <v>0</v>
      </c>
      <c r="DA245" s="110"/>
      <c r="DB245" s="84"/>
      <c r="DC245" s="83">
        <f t="shared" ref="DC245" si="2017">DC244</f>
        <v>0</v>
      </c>
      <c r="DD245" s="110"/>
      <c r="DE245" s="84"/>
      <c r="DF245" s="83">
        <f t="shared" ref="DF245" si="2018">DF244</f>
        <v>0</v>
      </c>
      <c r="DG245" s="110"/>
      <c r="DH245" s="84"/>
      <c r="DI245" s="83">
        <f t="shared" ref="DI245" si="2019">DI244</f>
        <v>0</v>
      </c>
      <c r="DJ245" s="110"/>
      <c r="DK245" s="84"/>
      <c r="DL245" s="83">
        <f t="shared" ref="DL245" si="2020">DL244</f>
        <v>0</v>
      </c>
      <c r="DM245" s="110"/>
      <c r="DN245" s="796"/>
      <c r="DO245" s="83">
        <f t="shared" ref="DO245" si="2021">DO244</f>
        <v>0</v>
      </c>
      <c r="DP245" s="110"/>
      <c r="DQ245" s="796"/>
      <c r="DR245" s="83">
        <f t="shared" ref="DR245" si="2022">DR244</f>
        <v>0</v>
      </c>
      <c r="DS245" s="110"/>
      <c r="DT245" s="84"/>
      <c r="DU245" s="83">
        <f t="shared" ref="DU245" si="2023">DU244</f>
        <v>0</v>
      </c>
      <c r="DV245" s="110"/>
      <c r="DW245" s="84"/>
      <c r="DX245" s="83">
        <f t="shared" ref="DX245" si="2024">DX244</f>
        <v>0</v>
      </c>
      <c r="DY245" s="110"/>
      <c r="DZ245" s="84"/>
      <c r="EA245" s="83">
        <f t="shared" ref="EA245" si="2025">EA244</f>
        <v>0</v>
      </c>
      <c r="EB245" s="110"/>
      <c r="EC245" s="84"/>
      <c r="ED245" s="83">
        <f t="shared" ref="ED245" si="2026">ED244</f>
        <v>0</v>
      </c>
      <c r="EE245" s="110"/>
      <c r="EF245" s="84"/>
      <c r="EG245" s="83">
        <f t="shared" ref="EG245" si="2027">EG244</f>
        <v>0</v>
      </c>
      <c r="EH245" s="110"/>
      <c r="EI245" s="84"/>
      <c r="EJ245" s="83">
        <f t="shared" ref="EJ245" si="2028">EJ244</f>
        <v>0</v>
      </c>
      <c r="EK245" s="110"/>
      <c r="EL245" s="84"/>
      <c r="EM245" s="83">
        <f t="shared" ref="EM245" si="2029">EM244</f>
        <v>0</v>
      </c>
      <c r="EN245" s="110"/>
      <c r="EO245" s="84"/>
      <c r="EP245" s="83">
        <f t="shared" ref="EP245" si="2030">EP244</f>
        <v>0</v>
      </c>
      <c r="EQ245" s="110"/>
      <c r="ER245" s="84"/>
      <c r="ES245" s="83">
        <f t="shared" ref="ES245" si="2031">ES244</f>
        <v>0</v>
      </c>
      <c r="ET245" s="110"/>
      <c r="EU245" s="84"/>
      <c r="EV245" s="83">
        <f t="shared" ref="EV245" si="2032">EV244</f>
        <v>0</v>
      </c>
      <c r="EW245" s="110"/>
      <c r="EX245" s="84"/>
      <c r="EY245" s="83">
        <f t="shared" ref="EY245" si="2033">EY244</f>
        <v>0</v>
      </c>
      <c r="EZ245" s="110"/>
      <c r="FA245" s="84"/>
      <c r="FB245" s="83">
        <f t="shared" ref="FB245" si="2034">FB244</f>
        <v>0</v>
      </c>
      <c r="FC245" s="110"/>
      <c r="FD245" s="84"/>
      <c r="FE245" s="83">
        <f t="shared" ref="FE245" si="2035">FE244</f>
        <v>0</v>
      </c>
      <c r="FF245" s="110"/>
      <c r="FG245" s="84"/>
      <c r="FH245" s="83">
        <f t="shared" ref="FH245" si="2036">FH244</f>
        <v>0</v>
      </c>
      <c r="FI245" s="110"/>
      <c r="FJ245" s="84"/>
      <c r="FK245" s="83">
        <f t="shared" ref="FK245" si="2037">FK244</f>
        <v>0</v>
      </c>
      <c r="FL245" s="110"/>
      <c r="FM245" s="110"/>
    </row>
    <row r="246" spans="1:169">
      <c r="A246" s="25"/>
      <c r="B246" s="25"/>
      <c r="C246" s="25"/>
      <c r="D246" s="25"/>
      <c r="E246" s="25"/>
      <c r="F246" s="407"/>
      <c r="G246" s="407"/>
      <c r="H246" s="65"/>
      <c r="I246" s="52" t="s">
        <v>1578</v>
      </c>
      <c r="J246" s="99"/>
      <c r="K246" s="113" t="str">
        <f>Idiomas!D148</f>
        <v>ENFRENTAMIENTO FINAL</v>
      </c>
      <c r="L246" s="50"/>
      <c r="M246" s="71"/>
      <c r="N246" s="25"/>
      <c r="O246" s="25"/>
      <c r="P246" s="25"/>
      <c r="Q246" s="25"/>
      <c r="R246" s="17"/>
      <c r="S246" s="84"/>
      <c r="T246" s="83"/>
      <c r="U246" s="110"/>
      <c r="V246" s="84"/>
      <c r="W246" s="83"/>
      <c r="X246" s="110"/>
      <c r="Y246" s="84"/>
      <c r="Z246" s="83"/>
      <c r="AA246" s="110"/>
      <c r="AB246" s="84"/>
      <c r="AC246" s="83"/>
      <c r="AD246" s="110"/>
      <c r="AE246" s="84"/>
      <c r="AF246" s="83"/>
      <c r="AG246" s="110"/>
      <c r="AH246" s="84"/>
      <c r="AI246" s="83"/>
      <c r="AJ246" s="110"/>
      <c r="AK246" s="84"/>
      <c r="AL246" s="83"/>
      <c r="AM246" s="110"/>
      <c r="AN246" s="84"/>
      <c r="AO246" s="83"/>
      <c r="AP246" s="110"/>
      <c r="AQ246" s="84"/>
      <c r="AR246" s="83"/>
      <c r="AS246" s="110"/>
      <c r="AT246" s="84"/>
      <c r="AU246" s="83"/>
      <c r="AV246" s="110"/>
      <c r="AW246" s="84"/>
      <c r="AX246" s="83"/>
      <c r="AY246" s="110"/>
      <c r="AZ246" s="84"/>
      <c r="BA246" s="83"/>
      <c r="BB246" s="110"/>
      <c r="BC246" s="84"/>
      <c r="BD246" s="83"/>
      <c r="BE246" s="110"/>
      <c r="BF246" s="84"/>
      <c r="BG246" s="83"/>
      <c r="BH246" s="110"/>
      <c r="BI246" s="84"/>
      <c r="BJ246" s="83"/>
      <c r="BK246" s="110"/>
      <c r="BL246" s="84"/>
      <c r="BM246" s="83"/>
      <c r="BN246" s="110"/>
      <c r="BO246" s="84"/>
      <c r="BP246" s="83"/>
      <c r="BQ246" s="110"/>
      <c r="BR246" s="84"/>
      <c r="BS246" s="83"/>
      <c r="BT246" s="110"/>
      <c r="BU246" s="84"/>
      <c r="BV246" s="83"/>
      <c r="BW246" s="110"/>
      <c r="BX246" s="84"/>
      <c r="BY246" s="83"/>
      <c r="BZ246" s="110"/>
      <c r="CA246" s="84"/>
      <c r="CB246" s="83"/>
      <c r="CC246" s="110"/>
      <c r="CD246" s="84"/>
      <c r="CE246" s="83"/>
      <c r="CF246" s="110"/>
      <c r="CG246" s="84"/>
      <c r="CH246" s="83"/>
      <c r="CI246" s="110"/>
      <c r="CJ246" s="84"/>
      <c r="CK246" s="83"/>
      <c r="CL246" s="110"/>
      <c r="CM246" s="84"/>
      <c r="CN246" s="83"/>
      <c r="CO246" s="110"/>
      <c r="CP246" s="84"/>
      <c r="CQ246" s="83"/>
      <c r="CR246" s="110"/>
      <c r="CS246" s="84"/>
      <c r="CT246" s="83"/>
      <c r="CU246" s="110"/>
      <c r="CV246" s="84"/>
      <c r="CW246" s="83"/>
      <c r="CX246" s="110"/>
      <c r="CY246" s="84"/>
      <c r="CZ246" s="83"/>
      <c r="DA246" s="110"/>
      <c r="DB246" s="84"/>
      <c r="DC246" s="83"/>
      <c r="DD246" s="110"/>
      <c r="DE246" s="84"/>
      <c r="DF246" s="83"/>
      <c r="DG246" s="110"/>
      <c r="DH246" s="84"/>
      <c r="DI246" s="83"/>
      <c r="DJ246" s="110"/>
      <c r="DK246" s="84"/>
      <c r="DL246" s="83"/>
      <c r="DM246" s="110"/>
      <c r="DN246" s="796"/>
      <c r="DO246" s="83"/>
      <c r="DP246" s="110"/>
      <c r="DQ246" s="796"/>
      <c r="DR246" s="83"/>
      <c r="DS246" s="110"/>
      <c r="DT246" s="84"/>
      <c r="DU246" s="83"/>
      <c r="DV246" s="110"/>
      <c r="DW246" s="84"/>
      <c r="DX246" s="83"/>
      <c r="DY246" s="110"/>
      <c r="DZ246" s="84"/>
      <c r="EA246" s="83"/>
      <c r="EB246" s="110"/>
      <c r="EC246" s="84"/>
      <c r="ED246" s="83"/>
      <c r="EE246" s="110"/>
      <c r="EF246" s="84"/>
      <c r="EG246" s="83"/>
      <c r="EH246" s="110"/>
      <c r="EI246" s="84"/>
      <c r="EJ246" s="83"/>
      <c r="EK246" s="110"/>
      <c r="EL246" s="84"/>
      <c r="EM246" s="83"/>
      <c r="EN246" s="110"/>
      <c r="EO246" s="84"/>
      <c r="EP246" s="83"/>
      <c r="EQ246" s="110"/>
      <c r="ER246" s="84"/>
      <c r="ES246" s="83"/>
      <c r="ET246" s="110"/>
      <c r="EU246" s="84"/>
      <c r="EV246" s="83"/>
      <c r="EW246" s="110"/>
      <c r="EX246" s="84"/>
      <c r="EY246" s="83"/>
      <c r="EZ246" s="110"/>
      <c r="FA246" s="84"/>
      <c r="FB246" s="83"/>
      <c r="FC246" s="110"/>
      <c r="FD246" s="84"/>
      <c r="FE246" s="83"/>
      <c r="FF246" s="110"/>
      <c r="FG246" s="84"/>
      <c r="FH246" s="83"/>
      <c r="FI246" s="110"/>
      <c r="FJ246" s="84"/>
      <c r="FK246" s="83"/>
      <c r="FL246" s="110"/>
      <c r="FM246" s="110"/>
    </row>
    <row r="247" spans="1:169" ht="20.399999999999999">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07">
        <f>SUM($D$36:$D$38)*$I$247</f>
        <v>4</v>
      </c>
      <c r="G247" s="407">
        <f ca="1">VLOOKUP(H247,Equipos!$Q$1:$R$25,2,0)</f>
        <v>24</v>
      </c>
      <c r="H247" s="65" t="str">
        <f>Idiomas!$D$264</f>
        <v>3-4 &amp; Final</v>
      </c>
      <c r="I247" s="43">
        <v>1</v>
      </c>
      <c r="J247" s="98" t="s">
        <v>4</v>
      </c>
      <c r="K247" s="114" t="str">
        <f>CONCATENATE(WORLDCUP!AA147,"-",WORLDCUP!AF147)</f>
        <v>W101-W102</v>
      </c>
      <c r="L247" s="114" t="str">
        <f>IF(OR(WORLDCUP!AC147="",WORLDCUP!AD147=""),"PD",IF(WORLDCUP!AC147&gt;WORLDCUP!AD147,1,IF(WORLDCUP!AC147&lt;WORLDCUP!AD147,2,0)))</f>
        <v>PD</v>
      </c>
      <c r="M247" s="117" t="str">
        <f>IF(L247="PD","-",N247&amp;"-"&amp;O247)</f>
        <v>-</v>
      </c>
      <c r="N247" s="25">
        <f>WORLDCUP!AC147</f>
        <v>0</v>
      </c>
      <c r="O247" s="25">
        <f>WORLDCUP!AD147</f>
        <v>0</v>
      </c>
      <c r="P247" s="25">
        <f>+N247-O247</f>
        <v>0</v>
      </c>
      <c r="Q247" s="25">
        <f>+A247-B247</f>
        <v>0</v>
      </c>
      <c r="R247" s="17"/>
      <c r="S247" s="66" t="s">
        <v>1995</v>
      </c>
      <c r="T247" s="85">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0"/>
      <c r="V247" s="66" t="s">
        <v>2034</v>
      </c>
      <c r="W247" s="85">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0"/>
      <c r="Y247" s="66" t="s">
        <v>2068</v>
      </c>
      <c r="Z247" s="85">
        <f t="shared" ref="Z247" si="2038">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0"/>
      <c r="AB247" s="66" t="s">
        <v>2093</v>
      </c>
      <c r="AC247" s="85">
        <f t="shared" ref="AC247" si="2039">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0"/>
      <c r="AE247" s="66" t="s">
        <v>2123</v>
      </c>
      <c r="AF247" s="85">
        <f t="shared" ref="AF247" si="2040">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0"/>
      <c r="AH247" s="66" t="s">
        <v>2122</v>
      </c>
      <c r="AI247" s="85">
        <f t="shared" ref="AI247" si="2041">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v>0</v>
      </c>
      <c r="AJ247" s="110"/>
      <c r="AK247" s="66" t="s">
        <v>2180</v>
      </c>
      <c r="AL247" s="85">
        <f t="shared" ref="AL247" si="2042">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v>0</v>
      </c>
      <c r="AM247" s="110"/>
      <c r="AN247" s="66" t="s">
        <v>2212</v>
      </c>
      <c r="AO247" s="85">
        <f t="shared" ref="AO247" si="2043">IFERROR(IF(LEFT(AN247,FIND("·",AN247)-1)=$K$247,IF($L$247=IFERROR(VALUE(MID(AN247,FIND("·",AN247)+1,1)),0),($D$36+($M$247=MID(AN247,FIND("|",AN247)+1,10))*$D$38+MAX(0,IF($D$50=1,$D$37*(1-(ABS($P$247-(VALUE(MID(AN247,FIND("|",AN247)+1,FIND("-",AN247,FIND("|",AN247))-FIND("|",AN247)-1))-VALUE(MID(AN247,FIND("-",AN247,FIND("|",AN247))+1,10)))))*$D$50),$D$37*(1-(IF($L$247=0,ABS($N$247-VALUE(MID(AN247,FIND("|",AN247)+1,FIND("-",AN247,FIND("|",AN247))-FIND("|",AN247)-1))),ABS($P$247-(VALUE(MID(AN247,FIND("|",AN247)+1,FIND("-",AN247,FIND("|",AN247))-FIND("|",AN247)-1))-VALUE(MID(AN247,FIND("-",AN247,FIND("|",AN247))+1,10)))))*$D$50)))))*$I$247,0),0),0)
+IFERROR(IF(LEFT(AN247,FIND("·",AN247)-1)=$C$247,IF($D$247=IFERROR(VALUE(MID(AN247,FIND("·",AN247)+1,1)),0),($D$36+($E$247=MID(AN247,FIND("|",AN247)+1,10))*$D$38+MAX(0,IF($D$50=1,$D$37*(1-(ABS($Q$247-(VALUE(MID(AN247,FIND("|",AN247)+1,FIND("-",AN247,FIND("|",AN247))-FIND("|",AN247)-1))-VALUE(MID(AN247,FIND("-",AN247,FIND("|",AN247))+1,10)))))*$D$50),$D$37*(1-(IF($D$247=0,ABS($A$247-VALUE(MID(AN247,FIND("|",AN247)+1,FIND("-",AN247,FIND("|",AN247))-FIND("|",AN247)-1))),ABS($Q$247-(VALUE(MID(AN247,FIND("|",AN247)+1,FIND("-",AN247,FIND("|",AN247))-FIND("|",AN247)-1))-VALUE(MID(AN247,FIND("-",AN247,FIND("|",AN247))+1,10)))))*$D$50)))))*$I$247,0),0),0)</f>
        <v>0</v>
      </c>
      <c r="AP247" s="110"/>
      <c r="AQ247" s="66" t="s">
        <v>2122</v>
      </c>
      <c r="AR247" s="85">
        <f t="shared" ref="AR247" si="2044">IFERROR(IF(LEFT(AQ247,FIND("·",AQ247)-1)=$K$247,IF($L$247=IFERROR(VALUE(MID(AQ247,FIND("·",AQ247)+1,1)),0),($D$36+($M$247=MID(AQ247,FIND("|",AQ247)+1,10))*$D$38+MAX(0,IF($D$50=1,$D$37*(1-(ABS($P$247-(VALUE(MID(AQ247,FIND("|",AQ247)+1,FIND("-",AQ247,FIND("|",AQ247))-FIND("|",AQ247)-1))-VALUE(MID(AQ247,FIND("-",AQ247,FIND("|",AQ247))+1,10)))))*$D$50),$D$37*(1-(IF($L$247=0,ABS($N$247-VALUE(MID(AQ247,FIND("|",AQ247)+1,FIND("-",AQ247,FIND("|",AQ247))-FIND("|",AQ247)-1))),ABS($P$247-(VALUE(MID(AQ247,FIND("|",AQ247)+1,FIND("-",AQ247,FIND("|",AQ247))-FIND("|",AQ247)-1))-VALUE(MID(AQ247,FIND("-",AQ247,FIND("|",AQ247))+1,10)))))*$D$50)))))*$I$247,0),0),0)
+IFERROR(IF(LEFT(AQ247,FIND("·",AQ247)-1)=$C$247,IF($D$247=IFERROR(VALUE(MID(AQ247,FIND("·",AQ247)+1,1)),0),($D$36+($E$247=MID(AQ247,FIND("|",AQ247)+1,10))*$D$38+MAX(0,IF($D$50=1,$D$37*(1-(ABS($Q$247-(VALUE(MID(AQ247,FIND("|",AQ247)+1,FIND("-",AQ247,FIND("|",AQ247))-FIND("|",AQ247)-1))-VALUE(MID(AQ247,FIND("-",AQ247,FIND("|",AQ247))+1,10)))))*$D$50),$D$37*(1-(IF($D$247=0,ABS($A$247-VALUE(MID(AQ247,FIND("|",AQ247)+1,FIND("-",AQ247,FIND("|",AQ247))-FIND("|",AQ247)-1))),ABS($Q$247-(VALUE(MID(AQ247,FIND("|",AQ247)+1,FIND("-",AQ247,FIND("|",AQ247))-FIND("|",AQ247)-1))-VALUE(MID(AQ247,FIND("-",AQ247,FIND("|",AQ247))+1,10)))))*$D$50)))))*$I$247,0),0),0)</f>
        <v>0</v>
      </c>
      <c r="AS247" s="110"/>
      <c r="AT247" s="66" t="s">
        <v>2259</v>
      </c>
      <c r="AU247" s="85">
        <f t="shared" ref="AU247" si="2045">IFERROR(IF(LEFT(AT247,FIND("·",AT247)-1)=$K$247,IF($L$247=IFERROR(VALUE(MID(AT247,FIND("·",AT247)+1,1)),0),($D$36+($M$247=MID(AT247,FIND("|",AT247)+1,10))*$D$38+MAX(0,IF($D$50=1,$D$37*(1-(ABS($P$247-(VALUE(MID(AT247,FIND("|",AT247)+1,FIND("-",AT247,FIND("|",AT247))-FIND("|",AT247)-1))-VALUE(MID(AT247,FIND("-",AT247,FIND("|",AT247))+1,10)))))*$D$50),$D$37*(1-(IF($L$247=0,ABS($N$247-VALUE(MID(AT247,FIND("|",AT247)+1,FIND("-",AT247,FIND("|",AT247))-FIND("|",AT247)-1))),ABS($P$247-(VALUE(MID(AT247,FIND("|",AT247)+1,FIND("-",AT247,FIND("|",AT247))-FIND("|",AT247)-1))-VALUE(MID(AT247,FIND("-",AT247,FIND("|",AT247))+1,10)))))*$D$50)))))*$I$247,0),0),0)
+IFERROR(IF(LEFT(AT247,FIND("·",AT247)-1)=$C$247,IF($D$247=IFERROR(VALUE(MID(AT247,FIND("·",AT247)+1,1)),0),($D$36+($E$247=MID(AT247,FIND("|",AT247)+1,10))*$D$38+MAX(0,IF($D$50=1,$D$37*(1-(ABS($Q$247-(VALUE(MID(AT247,FIND("|",AT247)+1,FIND("-",AT247,FIND("|",AT247))-FIND("|",AT247)-1))-VALUE(MID(AT247,FIND("-",AT247,FIND("|",AT247))+1,10)))))*$D$50),$D$37*(1-(IF($D$247=0,ABS($A$247-VALUE(MID(AT247,FIND("|",AT247)+1,FIND("-",AT247,FIND("|",AT247))-FIND("|",AT247)-1))),ABS($Q$247-(VALUE(MID(AT247,FIND("|",AT247)+1,FIND("-",AT247,FIND("|",AT247))-FIND("|",AT247)-1))-VALUE(MID(AT247,FIND("-",AT247,FIND("|",AT247))+1,10)))))*$D$50)))))*$I$247,0),0),0)</f>
        <v>0</v>
      </c>
      <c r="AV247" s="110"/>
      <c r="AW247" s="66" t="s">
        <v>2286</v>
      </c>
      <c r="AX247" s="85">
        <f t="shared" ref="AX247" si="2046">IFERROR(IF(LEFT(AW247,FIND("·",AW247)-1)=$K$247,IF($L$247=IFERROR(VALUE(MID(AW247,FIND("·",AW247)+1,1)),0),($D$36+($M$247=MID(AW247,FIND("|",AW247)+1,10))*$D$38+MAX(0,IF($D$50=1,$D$37*(1-(ABS($P$247-(VALUE(MID(AW247,FIND("|",AW247)+1,FIND("-",AW247,FIND("|",AW247))-FIND("|",AW247)-1))-VALUE(MID(AW247,FIND("-",AW247,FIND("|",AW247))+1,10)))))*$D$50),$D$37*(1-(IF($L$247=0,ABS($N$247-VALUE(MID(AW247,FIND("|",AW247)+1,FIND("-",AW247,FIND("|",AW247))-FIND("|",AW247)-1))),ABS($P$247-(VALUE(MID(AW247,FIND("|",AW247)+1,FIND("-",AW247,FIND("|",AW247))-FIND("|",AW247)-1))-VALUE(MID(AW247,FIND("-",AW247,FIND("|",AW247))+1,10)))))*$D$50)))))*$I$247,0),0),0)
+IFERROR(IF(LEFT(AW247,FIND("·",AW247)-1)=$C$247,IF($D$247=IFERROR(VALUE(MID(AW247,FIND("·",AW247)+1,1)),0),($D$36+($E$247=MID(AW247,FIND("|",AW247)+1,10))*$D$38+MAX(0,IF($D$50=1,$D$37*(1-(ABS($Q$247-(VALUE(MID(AW247,FIND("|",AW247)+1,FIND("-",AW247,FIND("|",AW247))-FIND("|",AW247)-1))-VALUE(MID(AW247,FIND("-",AW247,FIND("|",AW247))+1,10)))))*$D$50),$D$37*(1-(IF($D$247=0,ABS($A$247-VALUE(MID(AW247,FIND("|",AW247)+1,FIND("-",AW247,FIND("|",AW247))-FIND("|",AW247)-1))),ABS($Q$247-(VALUE(MID(AW247,FIND("|",AW247)+1,FIND("-",AW247,FIND("|",AW247))-FIND("|",AW247)-1))-VALUE(MID(AW247,FIND("-",AW247,FIND("|",AW247))+1,10)))))*$D$50)))))*$I$247,0),0),0)</f>
        <v>0</v>
      </c>
      <c r="AY247" s="110"/>
      <c r="AZ247" s="66" t="s">
        <v>2034</v>
      </c>
      <c r="BA247" s="85">
        <f t="shared" ref="BA247" si="2047">IFERROR(IF(LEFT(AZ247,FIND("·",AZ247)-1)=$K$247,IF($L$247=IFERROR(VALUE(MID(AZ247,FIND("·",AZ247)+1,1)),0),($D$36+($M$247=MID(AZ247,FIND("|",AZ247)+1,10))*$D$38+MAX(0,IF($D$50=1,$D$37*(1-(ABS($P$247-(VALUE(MID(AZ247,FIND("|",AZ247)+1,FIND("-",AZ247,FIND("|",AZ247))-FIND("|",AZ247)-1))-VALUE(MID(AZ247,FIND("-",AZ247,FIND("|",AZ247))+1,10)))))*$D$50),$D$37*(1-(IF($L$247=0,ABS($N$247-VALUE(MID(AZ247,FIND("|",AZ247)+1,FIND("-",AZ247,FIND("|",AZ247))-FIND("|",AZ247)-1))),ABS($P$247-(VALUE(MID(AZ247,FIND("|",AZ247)+1,FIND("-",AZ247,FIND("|",AZ247))-FIND("|",AZ247)-1))-VALUE(MID(AZ247,FIND("-",AZ247,FIND("|",AZ247))+1,10)))))*$D$50)))))*$I$247,0),0),0)
+IFERROR(IF(LEFT(AZ247,FIND("·",AZ247)-1)=$C$247,IF($D$247=IFERROR(VALUE(MID(AZ247,FIND("·",AZ247)+1,1)),0),($D$36+($E$247=MID(AZ247,FIND("|",AZ247)+1,10))*$D$38+MAX(0,IF($D$50=1,$D$37*(1-(ABS($Q$247-(VALUE(MID(AZ247,FIND("|",AZ247)+1,FIND("-",AZ247,FIND("|",AZ247))-FIND("|",AZ247)-1))-VALUE(MID(AZ247,FIND("-",AZ247,FIND("|",AZ247))+1,10)))))*$D$50),$D$37*(1-(IF($D$247=0,ABS($A$247-VALUE(MID(AZ247,FIND("|",AZ247)+1,FIND("-",AZ247,FIND("|",AZ247))-FIND("|",AZ247)-1))),ABS($Q$247-(VALUE(MID(AZ247,FIND("|",AZ247)+1,FIND("-",AZ247,FIND("|",AZ247))-FIND("|",AZ247)-1))-VALUE(MID(AZ247,FIND("-",AZ247,FIND("|",AZ247))+1,10)))))*$D$50)))))*$I$247,0),0),0)</f>
        <v>0</v>
      </c>
      <c r="BB247" s="110"/>
      <c r="BC247" s="66" t="s">
        <v>2337</v>
      </c>
      <c r="BD247" s="85">
        <f t="shared" ref="BD247" si="2048">IFERROR(IF(LEFT(BC247,FIND("·",BC247)-1)=$K$247,IF($L$247=IFERROR(VALUE(MID(BC247,FIND("·",BC247)+1,1)),0),($D$36+($M$247=MID(BC247,FIND("|",BC247)+1,10))*$D$38+MAX(0,IF($D$50=1,$D$37*(1-(ABS($P$247-(VALUE(MID(BC247,FIND("|",BC247)+1,FIND("-",BC247,FIND("|",BC247))-FIND("|",BC247)-1))-VALUE(MID(BC247,FIND("-",BC247,FIND("|",BC247))+1,10)))))*$D$50),$D$37*(1-(IF($L$247=0,ABS($N$247-VALUE(MID(BC247,FIND("|",BC247)+1,FIND("-",BC247,FIND("|",BC247))-FIND("|",BC247)-1))),ABS($P$247-(VALUE(MID(BC247,FIND("|",BC247)+1,FIND("-",BC247,FIND("|",BC247))-FIND("|",BC247)-1))-VALUE(MID(BC247,FIND("-",BC247,FIND("|",BC247))+1,10)))))*$D$50)))))*$I$247,0),0),0)
+IFERROR(IF(LEFT(BC247,FIND("·",BC247)-1)=$C$247,IF($D$247=IFERROR(VALUE(MID(BC247,FIND("·",BC247)+1,1)),0),($D$36+($E$247=MID(BC247,FIND("|",BC247)+1,10))*$D$38+MAX(0,IF($D$50=1,$D$37*(1-(ABS($Q$247-(VALUE(MID(BC247,FIND("|",BC247)+1,FIND("-",BC247,FIND("|",BC247))-FIND("|",BC247)-1))-VALUE(MID(BC247,FIND("-",BC247,FIND("|",BC247))+1,10)))))*$D$50),$D$37*(1-(IF($D$247=0,ABS($A$247-VALUE(MID(BC247,FIND("|",BC247)+1,FIND("-",BC247,FIND("|",BC247))-FIND("|",BC247)-1))),ABS($Q$247-(VALUE(MID(BC247,FIND("|",BC247)+1,FIND("-",BC247,FIND("|",BC247))-FIND("|",BC247)-1))-VALUE(MID(BC247,FIND("-",BC247,FIND("|",BC247))+1,10)))))*$D$50)))))*$I$247,0),0),0)</f>
        <v>0</v>
      </c>
      <c r="BE247" s="110"/>
      <c r="BF247" s="66" t="s">
        <v>2357</v>
      </c>
      <c r="BG247" s="85">
        <f t="shared" ref="BG247" si="2049">IFERROR(IF(LEFT(BF247,FIND("·",BF247)-1)=$K$247,IF($L$247=IFERROR(VALUE(MID(BF247,FIND("·",BF247)+1,1)),0),($D$36+($M$247=MID(BF247,FIND("|",BF247)+1,10))*$D$38+MAX(0,IF($D$50=1,$D$37*(1-(ABS($P$247-(VALUE(MID(BF247,FIND("|",BF247)+1,FIND("-",BF247,FIND("|",BF247))-FIND("|",BF247)-1))-VALUE(MID(BF247,FIND("-",BF247,FIND("|",BF247))+1,10)))))*$D$50),$D$37*(1-(IF($L$247=0,ABS($N$247-VALUE(MID(BF247,FIND("|",BF247)+1,FIND("-",BF247,FIND("|",BF247))-FIND("|",BF247)-1))),ABS($P$247-(VALUE(MID(BF247,FIND("|",BF247)+1,FIND("-",BF247,FIND("|",BF247))-FIND("|",BF247)-1))-VALUE(MID(BF247,FIND("-",BF247,FIND("|",BF247))+1,10)))))*$D$50)))))*$I$247,0),0),0)
+IFERROR(IF(LEFT(BF247,FIND("·",BF247)-1)=$C$247,IF($D$247=IFERROR(VALUE(MID(BF247,FIND("·",BF247)+1,1)),0),($D$36+($E$247=MID(BF247,FIND("|",BF247)+1,10))*$D$38+MAX(0,IF($D$50=1,$D$37*(1-(ABS($Q$247-(VALUE(MID(BF247,FIND("|",BF247)+1,FIND("-",BF247,FIND("|",BF247))-FIND("|",BF247)-1))-VALUE(MID(BF247,FIND("-",BF247,FIND("|",BF247))+1,10)))))*$D$50),$D$37*(1-(IF($D$247=0,ABS($A$247-VALUE(MID(BF247,FIND("|",BF247)+1,FIND("-",BF247,FIND("|",BF247))-FIND("|",BF247)-1))),ABS($Q$247-(VALUE(MID(BF247,FIND("|",BF247)+1,FIND("-",BF247,FIND("|",BF247))-FIND("|",BF247)-1))-VALUE(MID(BF247,FIND("-",BF247,FIND("|",BF247))+1,10)))))*$D$50)))))*$I$247,0),0),0)</f>
        <v>0</v>
      </c>
      <c r="BH247" s="110"/>
      <c r="BI247" s="66" t="s">
        <v>2377</v>
      </c>
      <c r="BJ247" s="85">
        <f t="shared" ref="BJ247" si="2050">IFERROR(IF(LEFT(BI247,FIND("·",BI247)-1)=$K$247,IF($L$247=IFERROR(VALUE(MID(BI247,FIND("·",BI247)+1,1)),0),($D$36+($M$247=MID(BI247,FIND("|",BI247)+1,10))*$D$38+MAX(0,IF($D$50=1,$D$37*(1-(ABS($P$247-(VALUE(MID(BI247,FIND("|",BI247)+1,FIND("-",BI247,FIND("|",BI247))-FIND("|",BI247)-1))-VALUE(MID(BI247,FIND("-",BI247,FIND("|",BI247))+1,10)))))*$D$50),$D$37*(1-(IF($L$247=0,ABS($N$247-VALUE(MID(BI247,FIND("|",BI247)+1,FIND("-",BI247,FIND("|",BI247))-FIND("|",BI247)-1))),ABS($P$247-(VALUE(MID(BI247,FIND("|",BI247)+1,FIND("-",BI247,FIND("|",BI247))-FIND("|",BI247)-1))-VALUE(MID(BI247,FIND("-",BI247,FIND("|",BI247))+1,10)))))*$D$50)))))*$I$247,0),0),0)
+IFERROR(IF(LEFT(BI247,FIND("·",BI247)-1)=$C$247,IF($D$247=IFERROR(VALUE(MID(BI247,FIND("·",BI247)+1,1)),0),($D$36+($E$247=MID(BI247,FIND("|",BI247)+1,10))*$D$38+MAX(0,IF($D$50=1,$D$37*(1-(ABS($Q$247-(VALUE(MID(BI247,FIND("|",BI247)+1,FIND("-",BI247,FIND("|",BI247))-FIND("|",BI247)-1))-VALUE(MID(BI247,FIND("-",BI247,FIND("|",BI247))+1,10)))))*$D$50),$D$37*(1-(IF($D$247=0,ABS($A$247-VALUE(MID(BI247,FIND("|",BI247)+1,FIND("-",BI247,FIND("|",BI247))-FIND("|",BI247)-1))),ABS($Q$247-(VALUE(MID(BI247,FIND("|",BI247)+1,FIND("-",BI247,FIND("|",BI247))-FIND("|",BI247)-1))-VALUE(MID(BI247,FIND("-",BI247,FIND("|",BI247))+1,10)))))*$D$50)))))*$I$247,0),0),0)</f>
        <v>0</v>
      </c>
      <c r="BK247" s="110"/>
      <c r="BL247" s="66" t="s">
        <v>2357</v>
      </c>
      <c r="BM247" s="85">
        <f t="shared" ref="BM247" si="2051">IFERROR(IF(LEFT(BL247,FIND("·",BL247)-1)=$K$247,IF($L$247=IFERROR(VALUE(MID(BL247,FIND("·",BL247)+1,1)),0),($D$36+($M$247=MID(BL247,FIND("|",BL247)+1,10))*$D$38+MAX(0,IF($D$50=1,$D$37*(1-(ABS($P$247-(VALUE(MID(BL247,FIND("|",BL247)+1,FIND("-",BL247,FIND("|",BL247))-FIND("|",BL247)-1))-VALUE(MID(BL247,FIND("-",BL247,FIND("|",BL247))+1,10)))))*$D$50),$D$37*(1-(IF($L$247=0,ABS($N$247-VALUE(MID(BL247,FIND("|",BL247)+1,FIND("-",BL247,FIND("|",BL247))-FIND("|",BL247)-1))),ABS($P$247-(VALUE(MID(BL247,FIND("|",BL247)+1,FIND("-",BL247,FIND("|",BL247))-FIND("|",BL247)-1))-VALUE(MID(BL247,FIND("-",BL247,FIND("|",BL247))+1,10)))))*$D$50)))))*$I$247,0),0),0)
+IFERROR(IF(LEFT(BL247,FIND("·",BL247)-1)=$C$247,IF($D$247=IFERROR(VALUE(MID(BL247,FIND("·",BL247)+1,1)),0),($D$36+($E$247=MID(BL247,FIND("|",BL247)+1,10))*$D$38+MAX(0,IF($D$50=1,$D$37*(1-(ABS($Q$247-(VALUE(MID(BL247,FIND("|",BL247)+1,FIND("-",BL247,FIND("|",BL247))-FIND("|",BL247)-1))-VALUE(MID(BL247,FIND("-",BL247,FIND("|",BL247))+1,10)))))*$D$50),$D$37*(1-(IF($D$247=0,ABS($A$247-VALUE(MID(BL247,FIND("|",BL247)+1,FIND("-",BL247,FIND("|",BL247))-FIND("|",BL247)-1))),ABS($Q$247-(VALUE(MID(BL247,FIND("|",BL247)+1,FIND("-",BL247,FIND("|",BL247))-FIND("|",BL247)-1))-VALUE(MID(BL247,FIND("-",BL247,FIND("|",BL247))+1,10)))))*$D$50)))))*$I$247,0),0),0)</f>
        <v>0</v>
      </c>
      <c r="BN247" s="110"/>
      <c r="BO247" s="66" t="s">
        <v>2405</v>
      </c>
      <c r="BP247" s="85">
        <f t="shared" ref="BP247" si="2052">IFERROR(IF(LEFT(BO247,FIND("·",BO247)-1)=$K$247,IF($L$247=IFERROR(VALUE(MID(BO247,FIND("·",BO247)+1,1)),0),($D$36+($M$247=MID(BO247,FIND("|",BO247)+1,10))*$D$38+MAX(0,IF($D$50=1,$D$37*(1-(ABS($P$247-(VALUE(MID(BO247,FIND("|",BO247)+1,FIND("-",BO247,FIND("|",BO247))-FIND("|",BO247)-1))-VALUE(MID(BO247,FIND("-",BO247,FIND("|",BO247))+1,10)))))*$D$50),$D$37*(1-(IF($L$247=0,ABS($N$247-VALUE(MID(BO247,FIND("|",BO247)+1,FIND("-",BO247,FIND("|",BO247))-FIND("|",BO247)-1))),ABS($P$247-(VALUE(MID(BO247,FIND("|",BO247)+1,FIND("-",BO247,FIND("|",BO247))-FIND("|",BO247)-1))-VALUE(MID(BO247,FIND("-",BO247,FIND("|",BO247))+1,10)))))*$D$50)))))*$I$247,0),0),0)
+IFERROR(IF(LEFT(BO247,FIND("·",BO247)-1)=$C$247,IF($D$247=IFERROR(VALUE(MID(BO247,FIND("·",BO247)+1,1)),0),($D$36+($E$247=MID(BO247,FIND("|",BO247)+1,10))*$D$38+MAX(0,IF($D$50=1,$D$37*(1-(ABS($Q$247-(VALUE(MID(BO247,FIND("|",BO247)+1,FIND("-",BO247,FIND("|",BO247))-FIND("|",BO247)-1))-VALUE(MID(BO247,FIND("-",BO247,FIND("|",BO247))+1,10)))))*$D$50),$D$37*(1-(IF($D$247=0,ABS($A$247-VALUE(MID(BO247,FIND("|",BO247)+1,FIND("-",BO247,FIND("|",BO247))-FIND("|",BO247)-1))),ABS($Q$247-(VALUE(MID(BO247,FIND("|",BO247)+1,FIND("-",BO247,FIND("|",BO247))-FIND("|",BO247)-1))-VALUE(MID(BO247,FIND("-",BO247,FIND("|",BO247))+1,10)))))*$D$50)))))*$I$247,0),0),0)</f>
        <v>0</v>
      </c>
      <c r="BQ247" s="110"/>
      <c r="BR247" s="66" t="s">
        <v>2180</v>
      </c>
      <c r="BS247" s="85">
        <f t="shared" ref="BS247" si="2053">IFERROR(IF(LEFT(BR247,FIND("·",BR247)-1)=$K$247,IF($L$247=IFERROR(VALUE(MID(BR247,FIND("·",BR247)+1,1)),0),($D$36+($M$247=MID(BR247,FIND("|",BR247)+1,10))*$D$38+MAX(0,IF($D$50=1,$D$37*(1-(ABS($P$247-(VALUE(MID(BR247,FIND("|",BR247)+1,FIND("-",BR247,FIND("|",BR247))-FIND("|",BR247)-1))-VALUE(MID(BR247,FIND("-",BR247,FIND("|",BR247))+1,10)))))*$D$50),$D$37*(1-(IF($L$247=0,ABS($N$247-VALUE(MID(BR247,FIND("|",BR247)+1,FIND("-",BR247,FIND("|",BR247))-FIND("|",BR247)-1))),ABS($P$247-(VALUE(MID(BR247,FIND("|",BR247)+1,FIND("-",BR247,FIND("|",BR247))-FIND("|",BR247)-1))-VALUE(MID(BR247,FIND("-",BR247,FIND("|",BR247))+1,10)))))*$D$50)))))*$I$247,0),0),0)
+IFERROR(IF(LEFT(BR247,FIND("·",BR247)-1)=$C$247,IF($D$247=IFERROR(VALUE(MID(BR247,FIND("·",BR247)+1,1)),0),($D$36+($E$247=MID(BR247,FIND("|",BR247)+1,10))*$D$38+MAX(0,IF($D$50=1,$D$37*(1-(ABS($Q$247-(VALUE(MID(BR247,FIND("|",BR247)+1,FIND("-",BR247,FIND("|",BR247))-FIND("|",BR247)-1))-VALUE(MID(BR247,FIND("-",BR247,FIND("|",BR247))+1,10)))))*$D$50),$D$37*(1-(IF($D$247=0,ABS($A$247-VALUE(MID(BR247,FIND("|",BR247)+1,FIND("-",BR247,FIND("|",BR247))-FIND("|",BR247)-1))),ABS($Q$247-(VALUE(MID(BR247,FIND("|",BR247)+1,FIND("-",BR247,FIND("|",BR247))-FIND("|",BR247)-1))-VALUE(MID(BR247,FIND("-",BR247,FIND("|",BR247))+1,10)))))*$D$50)))))*$I$247,0),0),0)</f>
        <v>0</v>
      </c>
      <c r="BT247" s="110"/>
      <c r="BU247" s="66" t="s">
        <v>2405</v>
      </c>
      <c r="BV247" s="85">
        <f t="shared" ref="BV247" si="2054">IFERROR(IF(LEFT(BU247,FIND("·",BU247)-1)=$K$247,IF($L$247=IFERROR(VALUE(MID(BU247,FIND("·",BU247)+1,1)),0),($D$36+($M$247=MID(BU247,FIND("|",BU247)+1,10))*$D$38+MAX(0,IF($D$50=1,$D$37*(1-(ABS($P$247-(VALUE(MID(BU247,FIND("|",BU247)+1,FIND("-",BU247,FIND("|",BU247))-FIND("|",BU247)-1))-VALUE(MID(BU247,FIND("-",BU247,FIND("|",BU247))+1,10)))))*$D$50),$D$37*(1-(IF($L$247=0,ABS($N$247-VALUE(MID(BU247,FIND("|",BU247)+1,FIND("-",BU247,FIND("|",BU247))-FIND("|",BU247)-1))),ABS($P$247-(VALUE(MID(BU247,FIND("|",BU247)+1,FIND("-",BU247,FIND("|",BU247))-FIND("|",BU247)-1))-VALUE(MID(BU247,FIND("-",BU247,FIND("|",BU247))+1,10)))))*$D$50)))))*$I$247,0),0),0)
+IFERROR(IF(LEFT(BU247,FIND("·",BU247)-1)=$C$247,IF($D$247=IFERROR(VALUE(MID(BU247,FIND("·",BU247)+1,1)),0),($D$36+($E$247=MID(BU247,FIND("|",BU247)+1,10))*$D$38+MAX(0,IF($D$50=1,$D$37*(1-(ABS($Q$247-(VALUE(MID(BU247,FIND("|",BU247)+1,FIND("-",BU247,FIND("|",BU247))-FIND("|",BU247)-1))-VALUE(MID(BU247,FIND("-",BU247,FIND("|",BU247))+1,10)))))*$D$50),$D$37*(1-(IF($D$247=0,ABS($A$247-VALUE(MID(BU247,FIND("|",BU247)+1,FIND("-",BU247,FIND("|",BU247))-FIND("|",BU247)-1))),ABS($Q$247-(VALUE(MID(BU247,FIND("|",BU247)+1,FIND("-",BU247,FIND("|",BU247))-FIND("|",BU247)-1))-VALUE(MID(BU247,FIND("-",BU247,FIND("|",BU247))+1,10)))))*$D$50)))))*$I$247,0),0),0)</f>
        <v>0</v>
      </c>
      <c r="BW247" s="110"/>
      <c r="BX247" s="66" t="s">
        <v>2093</v>
      </c>
      <c r="BY247" s="85">
        <f t="shared" ref="BY247" si="2055">IFERROR(IF(LEFT(BX247,FIND("·",BX247)-1)=$K$247,IF($L$247=IFERROR(VALUE(MID(BX247,FIND("·",BX247)+1,1)),0),($D$36+($M$247=MID(BX247,FIND("|",BX247)+1,10))*$D$38+MAX(0,IF($D$50=1,$D$37*(1-(ABS($P$247-(VALUE(MID(BX247,FIND("|",BX247)+1,FIND("-",BX247,FIND("|",BX247))-FIND("|",BX247)-1))-VALUE(MID(BX247,FIND("-",BX247,FIND("|",BX247))+1,10)))))*$D$50),$D$37*(1-(IF($L$247=0,ABS($N$247-VALUE(MID(BX247,FIND("|",BX247)+1,FIND("-",BX247,FIND("|",BX247))-FIND("|",BX247)-1))),ABS($P$247-(VALUE(MID(BX247,FIND("|",BX247)+1,FIND("-",BX247,FIND("|",BX247))-FIND("|",BX247)-1))-VALUE(MID(BX247,FIND("-",BX247,FIND("|",BX247))+1,10)))))*$D$50)))))*$I$247,0),0),0)
+IFERROR(IF(LEFT(BX247,FIND("·",BX247)-1)=$C$247,IF($D$247=IFERROR(VALUE(MID(BX247,FIND("·",BX247)+1,1)),0),($D$36+($E$247=MID(BX247,FIND("|",BX247)+1,10))*$D$38+MAX(0,IF($D$50=1,$D$37*(1-(ABS($Q$247-(VALUE(MID(BX247,FIND("|",BX247)+1,FIND("-",BX247,FIND("|",BX247))-FIND("|",BX247)-1))-VALUE(MID(BX247,FIND("-",BX247,FIND("|",BX247))+1,10)))))*$D$50),$D$37*(1-(IF($D$247=0,ABS($A$247-VALUE(MID(BX247,FIND("|",BX247)+1,FIND("-",BX247,FIND("|",BX247))-FIND("|",BX247)-1))),ABS($Q$247-(VALUE(MID(BX247,FIND("|",BX247)+1,FIND("-",BX247,FIND("|",BX247))-FIND("|",BX247)-1))-VALUE(MID(BX247,FIND("-",BX247,FIND("|",BX247))+1,10)))))*$D$50)))))*$I$247,0),0),0)</f>
        <v>0</v>
      </c>
      <c r="BZ247" s="110"/>
      <c r="CA247" s="66" t="s">
        <v>2122</v>
      </c>
      <c r="CB247" s="85">
        <f t="shared" ref="CB247" si="2056">IFERROR(IF(LEFT(CA247,FIND("·",CA247)-1)=$K$247,IF($L$247=IFERROR(VALUE(MID(CA247,FIND("·",CA247)+1,1)),0),($D$36+($M$247=MID(CA247,FIND("|",CA247)+1,10))*$D$38+MAX(0,IF($D$50=1,$D$37*(1-(ABS($P$247-(VALUE(MID(CA247,FIND("|",CA247)+1,FIND("-",CA247,FIND("|",CA247))-FIND("|",CA247)-1))-VALUE(MID(CA247,FIND("-",CA247,FIND("|",CA247))+1,10)))))*$D$50),$D$37*(1-(IF($L$247=0,ABS($N$247-VALUE(MID(CA247,FIND("|",CA247)+1,FIND("-",CA247,FIND("|",CA247))-FIND("|",CA247)-1))),ABS($P$247-(VALUE(MID(CA247,FIND("|",CA247)+1,FIND("-",CA247,FIND("|",CA247))-FIND("|",CA247)-1))-VALUE(MID(CA247,FIND("-",CA247,FIND("|",CA247))+1,10)))))*$D$50)))))*$I$247,0),0),0)
+IFERROR(IF(LEFT(CA247,FIND("·",CA247)-1)=$C$247,IF($D$247=IFERROR(VALUE(MID(CA247,FIND("·",CA247)+1,1)),0),($D$36+($E$247=MID(CA247,FIND("|",CA247)+1,10))*$D$38+MAX(0,IF($D$50=1,$D$37*(1-(ABS($Q$247-(VALUE(MID(CA247,FIND("|",CA247)+1,FIND("-",CA247,FIND("|",CA247))-FIND("|",CA247)-1))-VALUE(MID(CA247,FIND("-",CA247,FIND("|",CA247))+1,10)))))*$D$50),$D$37*(1-(IF($D$247=0,ABS($A$247-VALUE(MID(CA247,FIND("|",CA247)+1,FIND("-",CA247,FIND("|",CA247))-FIND("|",CA247)-1))),ABS($Q$247-(VALUE(MID(CA247,FIND("|",CA247)+1,FIND("-",CA247,FIND("|",CA247))-FIND("|",CA247)-1))-VALUE(MID(CA247,FIND("-",CA247,FIND("|",CA247))+1,10)))))*$D$50)))))*$I$247,0),0),0)</f>
        <v>0</v>
      </c>
      <c r="CC247" s="110"/>
      <c r="CD247" s="66" t="s">
        <v>2336</v>
      </c>
      <c r="CE247" s="85">
        <f t="shared" ref="CE247" si="2057">IFERROR(IF(LEFT(CD247,FIND("·",CD247)-1)=$K$247,IF($L$247=IFERROR(VALUE(MID(CD247,FIND("·",CD247)+1,1)),0),($D$36+($M$247=MID(CD247,FIND("|",CD247)+1,10))*$D$38+MAX(0,IF($D$50=1,$D$37*(1-(ABS($P$247-(VALUE(MID(CD247,FIND("|",CD247)+1,FIND("-",CD247,FIND("|",CD247))-FIND("|",CD247)-1))-VALUE(MID(CD247,FIND("-",CD247,FIND("|",CD247))+1,10)))))*$D$50),$D$37*(1-(IF($L$247=0,ABS($N$247-VALUE(MID(CD247,FIND("|",CD247)+1,FIND("-",CD247,FIND("|",CD247))-FIND("|",CD247)-1))),ABS($P$247-(VALUE(MID(CD247,FIND("|",CD247)+1,FIND("-",CD247,FIND("|",CD247))-FIND("|",CD247)-1))-VALUE(MID(CD247,FIND("-",CD247,FIND("|",CD247))+1,10)))))*$D$50)))))*$I$247,0),0),0)
+IFERROR(IF(LEFT(CD247,FIND("·",CD247)-1)=$C$247,IF($D$247=IFERROR(VALUE(MID(CD247,FIND("·",CD247)+1,1)),0),($D$36+($E$247=MID(CD247,FIND("|",CD247)+1,10))*$D$38+MAX(0,IF($D$50=1,$D$37*(1-(ABS($Q$247-(VALUE(MID(CD247,FIND("|",CD247)+1,FIND("-",CD247,FIND("|",CD247))-FIND("|",CD247)-1))-VALUE(MID(CD247,FIND("-",CD247,FIND("|",CD247))+1,10)))))*$D$50),$D$37*(1-(IF($D$247=0,ABS($A$247-VALUE(MID(CD247,FIND("|",CD247)+1,FIND("-",CD247,FIND("|",CD247))-FIND("|",CD247)-1))),ABS($Q$247-(VALUE(MID(CD247,FIND("|",CD247)+1,FIND("-",CD247,FIND("|",CD247))-FIND("|",CD247)-1))-VALUE(MID(CD247,FIND("-",CD247,FIND("|",CD247))+1,10)))))*$D$50)))))*$I$247,0),0),0)</f>
        <v>0</v>
      </c>
      <c r="CF247" s="110"/>
      <c r="CG247" s="66" t="s">
        <v>2377</v>
      </c>
      <c r="CH247" s="85">
        <f t="shared" ref="CH247" si="2058">IFERROR(IF(LEFT(CG247,FIND("·",CG247)-1)=$K$247,IF($L$247=IFERROR(VALUE(MID(CG247,FIND("·",CG247)+1,1)),0),($D$36+($M$247=MID(CG247,FIND("|",CG247)+1,10))*$D$38+MAX(0,IF($D$50=1,$D$37*(1-(ABS($P$247-(VALUE(MID(CG247,FIND("|",CG247)+1,FIND("-",CG247,FIND("|",CG247))-FIND("|",CG247)-1))-VALUE(MID(CG247,FIND("-",CG247,FIND("|",CG247))+1,10)))))*$D$50),$D$37*(1-(IF($L$247=0,ABS($N$247-VALUE(MID(CG247,FIND("|",CG247)+1,FIND("-",CG247,FIND("|",CG247))-FIND("|",CG247)-1))),ABS($P$247-(VALUE(MID(CG247,FIND("|",CG247)+1,FIND("-",CG247,FIND("|",CG247))-FIND("|",CG247)-1))-VALUE(MID(CG247,FIND("-",CG247,FIND("|",CG247))+1,10)))))*$D$50)))))*$I$247,0),0),0)
+IFERROR(IF(LEFT(CG247,FIND("·",CG247)-1)=$C$247,IF($D$247=IFERROR(VALUE(MID(CG247,FIND("·",CG247)+1,1)),0),($D$36+($E$247=MID(CG247,FIND("|",CG247)+1,10))*$D$38+MAX(0,IF($D$50=1,$D$37*(1-(ABS($Q$247-(VALUE(MID(CG247,FIND("|",CG247)+1,FIND("-",CG247,FIND("|",CG247))-FIND("|",CG247)-1))-VALUE(MID(CG247,FIND("-",CG247,FIND("|",CG247))+1,10)))))*$D$50),$D$37*(1-(IF($D$247=0,ABS($A$247-VALUE(MID(CG247,FIND("|",CG247)+1,FIND("-",CG247,FIND("|",CG247))-FIND("|",CG247)-1))),ABS($Q$247-(VALUE(MID(CG247,FIND("|",CG247)+1,FIND("-",CG247,FIND("|",CG247))-FIND("|",CG247)-1))-VALUE(MID(CG247,FIND("-",CG247,FIND("|",CG247))+1,10)))))*$D$50)))))*$I$247,0),0),0)</f>
        <v>0</v>
      </c>
      <c r="CI247" s="110"/>
      <c r="CJ247" s="66" t="s">
        <v>2405</v>
      </c>
      <c r="CK247" s="85">
        <f t="shared" ref="CK247" si="2059">IFERROR(IF(LEFT(CJ247,FIND("·",CJ247)-1)=$K$247,IF($L$247=IFERROR(VALUE(MID(CJ247,FIND("·",CJ247)+1,1)),0),($D$36+($M$247=MID(CJ247,FIND("|",CJ247)+1,10))*$D$38+MAX(0,IF($D$50=1,$D$37*(1-(ABS($P$247-(VALUE(MID(CJ247,FIND("|",CJ247)+1,FIND("-",CJ247,FIND("|",CJ247))-FIND("|",CJ247)-1))-VALUE(MID(CJ247,FIND("-",CJ247,FIND("|",CJ247))+1,10)))))*$D$50),$D$37*(1-(IF($L$247=0,ABS($N$247-VALUE(MID(CJ247,FIND("|",CJ247)+1,FIND("-",CJ247,FIND("|",CJ247))-FIND("|",CJ247)-1))),ABS($P$247-(VALUE(MID(CJ247,FIND("|",CJ247)+1,FIND("-",CJ247,FIND("|",CJ247))-FIND("|",CJ247)-1))-VALUE(MID(CJ247,FIND("-",CJ247,FIND("|",CJ247))+1,10)))))*$D$50)))))*$I$247,0),0),0)
+IFERROR(IF(LEFT(CJ247,FIND("·",CJ247)-1)=$C$247,IF($D$247=IFERROR(VALUE(MID(CJ247,FIND("·",CJ247)+1,1)),0),($D$36+($E$247=MID(CJ247,FIND("|",CJ247)+1,10))*$D$38+MAX(0,IF($D$50=1,$D$37*(1-(ABS($Q$247-(VALUE(MID(CJ247,FIND("|",CJ247)+1,FIND("-",CJ247,FIND("|",CJ247))-FIND("|",CJ247)-1))-VALUE(MID(CJ247,FIND("-",CJ247,FIND("|",CJ247))+1,10)))))*$D$50),$D$37*(1-(IF($D$247=0,ABS($A$247-VALUE(MID(CJ247,FIND("|",CJ247)+1,FIND("-",CJ247,FIND("|",CJ247))-FIND("|",CJ247)-1))),ABS($Q$247-(VALUE(MID(CJ247,FIND("|",CJ247)+1,FIND("-",CJ247,FIND("|",CJ247))-FIND("|",CJ247)-1))-VALUE(MID(CJ247,FIND("-",CJ247,FIND("|",CJ247))+1,10)))))*$D$50)))))*$I$247,0),0),0)</f>
        <v>0</v>
      </c>
      <c r="CL247" s="110"/>
      <c r="CM247" s="66" t="s">
        <v>2548</v>
      </c>
      <c r="CN247" s="85">
        <f t="shared" ref="CN247" si="2060">IFERROR(IF(LEFT(CM247,FIND("·",CM247)-1)=$K$247,IF($L$247=IFERROR(VALUE(MID(CM247,FIND("·",CM247)+1,1)),0),($D$36+($M$247=MID(CM247,FIND("|",CM247)+1,10))*$D$38+MAX(0,IF($D$50=1,$D$37*(1-(ABS($P$247-(VALUE(MID(CM247,FIND("|",CM247)+1,FIND("-",CM247,FIND("|",CM247))-FIND("|",CM247)-1))-VALUE(MID(CM247,FIND("-",CM247,FIND("|",CM247))+1,10)))))*$D$50),$D$37*(1-(IF($L$247=0,ABS($N$247-VALUE(MID(CM247,FIND("|",CM247)+1,FIND("-",CM247,FIND("|",CM247))-FIND("|",CM247)-1))),ABS($P$247-(VALUE(MID(CM247,FIND("|",CM247)+1,FIND("-",CM247,FIND("|",CM247))-FIND("|",CM247)-1))-VALUE(MID(CM247,FIND("-",CM247,FIND("|",CM247))+1,10)))))*$D$50)))))*$I$247,0),0),0)
+IFERROR(IF(LEFT(CM247,FIND("·",CM247)-1)=$C$247,IF($D$247=IFERROR(VALUE(MID(CM247,FIND("·",CM247)+1,1)),0),($D$36+($E$247=MID(CM247,FIND("|",CM247)+1,10))*$D$38+MAX(0,IF($D$50=1,$D$37*(1-(ABS($Q$247-(VALUE(MID(CM247,FIND("|",CM247)+1,FIND("-",CM247,FIND("|",CM247))-FIND("|",CM247)-1))-VALUE(MID(CM247,FIND("-",CM247,FIND("|",CM247))+1,10)))))*$D$50),$D$37*(1-(IF($D$247=0,ABS($A$247-VALUE(MID(CM247,FIND("|",CM247)+1,FIND("-",CM247,FIND("|",CM247))-FIND("|",CM247)-1))),ABS($Q$247-(VALUE(MID(CM247,FIND("|",CM247)+1,FIND("-",CM247,FIND("|",CM247))-FIND("|",CM247)-1))-VALUE(MID(CM247,FIND("-",CM247,FIND("|",CM247))+1,10)))))*$D$50)))))*$I$247,0),0),0)</f>
        <v>0</v>
      </c>
      <c r="CO247" s="110"/>
      <c r="CP247" s="66" t="s">
        <v>2068</v>
      </c>
      <c r="CQ247" s="85">
        <f t="shared" ref="CQ247" si="2061">IFERROR(IF(LEFT(CP247,FIND("·",CP247)-1)=$K$247,IF($L$247=IFERROR(VALUE(MID(CP247,FIND("·",CP247)+1,1)),0),($D$36+($M$247=MID(CP247,FIND("|",CP247)+1,10))*$D$38+MAX(0,IF($D$50=1,$D$37*(1-(ABS($P$247-(VALUE(MID(CP247,FIND("|",CP247)+1,FIND("-",CP247,FIND("|",CP247))-FIND("|",CP247)-1))-VALUE(MID(CP247,FIND("-",CP247,FIND("|",CP247))+1,10)))))*$D$50),$D$37*(1-(IF($L$247=0,ABS($N$247-VALUE(MID(CP247,FIND("|",CP247)+1,FIND("-",CP247,FIND("|",CP247))-FIND("|",CP247)-1))),ABS($P$247-(VALUE(MID(CP247,FIND("|",CP247)+1,FIND("-",CP247,FIND("|",CP247))-FIND("|",CP247)-1))-VALUE(MID(CP247,FIND("-",CP247,FIND("|",CP247))+1,10)))))*$D$50)))))*$I$247,0),0),0)
+IFERROR(IF(LEFT(CP247,FIND("·",CP247)-1)=$C$247,IF($D$247=IFERROR(VALUE(MID(CP247,FIND("·",CP247)+1,1)),0),($D$36+($E$247=MID(CP247,FIND("|",CP247)+1,10))*$D$38+MAX(0,IF($D$50=1,$D$37*(1-(ABS($Q$247-(VALUE(MID(CP247,FIND("|",CP247)+1,FIND("-",CP247,FIND("|",CP247))-FIND("|",CP247)-1))-VALUE(MID(CP247,FIND("-",CP247,FIND("|",CP247))+1,10)))))*$D$50),$D$37*(1-(IF($D$247=0,ABS($A$247-VALUE(MID(CP247,FIND("|",CP247)+1,FIND("-",CP247,FIND("|",CP247))-FIND("|",CP247)-1))),ABS($Q$247-(VALUE(MID(CP247,FIND("|",CP247)+1,FIND("-",CP247,FIND("|",CP247))-FIND("|",CP247)-1))-VALUE(MID(CP247,FIND("-",CP247,FIND("|",CP247))+1,10)))))*$D$50)))))*$I$247,0),0),0)</f>
        <v>0</v>
      </c>
      <c r="CR247" s="110"/>
      <c r="CS247" s="66" t="s">
        <v>2122</v>
      </c>
      <c r="CT247" s="85">
        <f t="shared" ref="CT247" si="2062">IFERROR(IF(LEFT(CS247,FIND("·",CS247)-1)=$K$247,IF($L$247=IFERROR(VALUE(MID(CS247,FIND("·",CS247)+1,1)),0),($D$36+($M$247=MID(CS247,FIND("|",CS247)+1,10))*$D$38+MAX(0,IF($D$50=1,$D$37*(1-(ABS($P$247-(VALUE(MID(CS247,FIND("|",CS247)+1,FIND("-",CS247,FIND("|",CS247))-FIND("|",CS247)-1))-VALUE(MID(CS247,FIND("-",CS247,FIND("|",CS247))+1,10)))))*$D$50),$D$37*(1-(IF($L$247=0,ABS($N$247-VALUE(MID(CS247,FIND("|",CS247)+1,FIND("-",CS247,FIND("|",CS247))-FIND("|",CS247)-1))),ABS($P$247-(VALUE(MID(CS247,FIND("|",CS247)+1,FIND("-",CS247,FIND("|",CS247))-FIND("|",CS247)-1))-VALUE(MID(CS247,FIND("-",CS247,FIND("|",CS247))+1,10)))))*$D$50)))))*$I$247,0),0),0)
+IFERROR(IF(LEFT(CS247,FIND("·",CS247)-1)=$C$247,IF($D$247=IFERROR(VALUE(MID(CS247,FIND("·",CS247)+1,1)),0),($D$36+($E$247=MID(CS247,FIND("|",CS247)+1,10))*$D$38+MAX(0,IF($D$50=1,$D$37*(1-(ABS($Q$247-(VALUE(MID(CS247,FIND("|",CS247)+1,FIND("-",CS247,FIND("|",CS247))-FIND("|",CS247)-1))-VALUE(MID(CS247,FIND("-",CS247,FIND("|",CS247))+1,10)))))*$D$50),$D$37*(1-(IF($D$247=0,ABS($A$247-VALUE(MID(CS247,FIND("|",CS247)+1,FIND("-",CS247,FIND("|",CS247))-FIND("|",CS247)-1))),ABS($Q$247-(VALUE(MID(CS247,FIND("|",CS247)+1,FIND("-",CS247,FIND("|",CS247))-FIND("|",CS247)-1))-VALUE(MID(CS247,FIND("-",CS247,FIND("|",CS247))+1,10)))))*$D$50)))))*$I$247,0),0),0)</f>
        <v>0</v>
      </c>
      <c r="CU247" s="110"/>
      <c r="CV247" s="66" t="s">
        <v>2579</v>
      </c>
      <c r="CW247" s="85">
        <f t="shared" ref="CW247" si="2063">IFERROR(IF(LEFT(CV247,FIND("·",CV247)-1)=$K$247,IF($L$247=IFERROR(VALUE(MID(CV247,FIND("·",CV247)+1,1)),0),($D$36+($M$247=MID(CV247,FIND("|",CV247)+1,10))*$D$38+MAX(0,IF($D$50=1,$D$37*(1-(ABS($P$247-(VALUE(MID(CV247,FIND("|",CV247)+1,FIND("-",CV247,FIND("|",CV247))-FIND("|",CV247)-1))-VALUE(MID(CV247,FIND("-",CV247,FIND("|",CV247))+1,10)))))*$D$50),$D$37*(1-(IF($L$247=0,ABS($N$247-VALUE(MID(CV247,FIND("|",CV247)+1,FIND("-",CV247,FIND("|",CV247))-FIND("|",CV247)-1))),ABS($P$247-(VALUE(MID(CV247,FIND("|",CV247)+1,FIND("-",CV247,FIND("|",CV247))-FIND("|",CV247)-1))-VALUE(MID(CV247,FIND("-",CV247,FIND("|",CV247))+1,10)))))*$D$50)))))*$I$247,0),0),0)
+IFERROR(IF(LEFT(CV247,FIND("·",CV247)-1)=$C$247,IF($D$247=IFERROR(VALUE(MID(CV247,FIND("·",CV247)+1,1)),0),($D$36+($E$247=MID(CV247,FIND("|",CV247)+1,10))*$D$38+MAX(0,IF($D$50=1,$D$37*(1-(ABS($Q$247-(VALUE(MID(CV247,FIND("|",CV247)+1,FIND("-",CV247,FIND("|",CV247))-FIND("|",CV247)-1))-VALUE(MID(CV247,FIND("-",CV247,FIND("|",CV247))+1,10)))))*$D$50),$D$37*(1-(IF($D$247=0,ABS($A$247-VALUE(MID(CV247,FIND("|",CV247)+1,FIND("-",CV247,FIND("|",CV247))-FIND("|",CV247)-1))),ABS($Q$247-(VALUE(MID(CV247,FIND("|",CV247)+1,FIND("-",CV247,FIND("|",CV247))-FIND("|",CV247)-1))-VALUE(MID(CV247,FIND("-",CV247,FIND("|",CV247))+1,10)))))*$D$50)))))*$I$247,0),0),0)</f>
        <v>0</v>
      </c>
      <c r="CX247" s="110"/>
      <c r="CY247" s="66" t="s">
        <v>2607</v>
      </c>
      <c r="CZ247" s="85">
        <f t="shared" ref="CZ247" si="2064">IFERROR(IF(LEFT(CY247,FIND("·",CY247)-1)=$K$247,IF($L$247=IFERROR(VALUE(MID(CY247,FIND("·",CY247)+1,1)),0),($D$36+($M$247=MID(CY247,FIND("|",CY247)+1,10))*$D$38+MAX(0,IF($D$50=1,$D$37*(1-(ABS($P$247-(VALUE(MID(CY247,FIND("|",CY247)+1,FIND("-",CY247,FIND("|",CY247))-FIND("|",CY247)-1))-VALUE(MID(CY247,FIND("-",CY247,FIND("|",CY247))+1,10)))))*$D$50),$D$37*(1-(IF($L$247=0,ABS($N$247-VALUE(MID(CY247,FIND("|",CY247)+1,FIND("-",CY247,FIND("|",CY247))-FIND("|",CY247)-1))),ABS($P$247-(VALUE(MID(CY247,FIND("|",CY247)+1,FIND("-",CY247,FIND("|",CY247))-FIND("|",CY247)-1))-VALUE(MID(CY247,FIND("-",CY247,FIND("|",CY247))+1,10)))))*$D$50)))))*$I$247,0),0),0)
+IFERROR(IF(LEFT(CY247,FIND("·",CY247)-1)=$C$247,IF($D$247=IFERROR(VALUE(MID(CY247,FIND("·",CY247)+1,1)),0),($D$36+($E$247=MID(CY247,FIND("|",CY247)+1,10))*$D$38+MAX(0,IF($D$50=1,$D$37*(1-(ABS($Q$247-(VALUE(MID(CY247,FIND("|",CY247)+1,FIND("-",CY247,FIND("|",CY247))-FIND("|",CY247)-1))-VALUE(MID(CY247,FIND("-",CY247,FIND("|",CY247))+1,10)))))*$D$50),$D$37*(1-(IF($D$247=0,ABS($A$247-VALUE(MID(CY247,FIND("|",CY247)+1,FIND("-",CY247,FIND("|",CY247))-FIND("|",CY247)-1))),ABS($Q$247-(VALUE(MID(CY247,FIND("|",CY247)+1,FIND("-",CY247,FIND("|",CY247))-FIND("|",CY247)-1))-VALUE(MID(CY247,FIND("-",CY247,FIND("|",CY247))+1,10)))))*$D$50)))))*$I$247,0),0),0)</f>
        <v>0</v>
      </c>
      <c r="DA247" s="110"/>
      <c r="DB247" s="66" t="s">
        <v>1994</v>
      </c>
      <c r="DC247" s="85">
        <f t="shared" ref="DC247" si="2065">IFERROR(IF(LEFT(DB247,FIND("·",DB247)-1)=$K$247,IF($L$247=IFERROR(VALUE(MID(DB247,FIND("·",DB247)+1,1)),0),($D$36+($M$247=MID(DB247,FIND("|",DB247)+1,10))*$D$38+MAX(0,IF($D$50=1,$D$37*(1-(ABS($P$247-(VALUE(MID(DB247,FIND("|",DB247)+1,FIND("-",DB247,FIND("|",DB247))-FIND("|",DB247)-1))-VALUE(MID(DB247,FIND("-",DB247,FIND("|",DB247))+1,10)))))*$D$50),$D$37*(1-(IF($L$247=0,ABS($N$247-VALUE(MID(DB247,FIND("|",DB247)+1,FIND("-",DB247,FIND("|",DB247))-FIND("|",DB247)-1))),ABS($P$247-(VALUE(MID(DB247,FIND("|",DB247)+1,FIND("-",DB247,FIND("|",DB247))-FIND("|",DB247)-1))-VALUE(MID(DB247,FIND("-",DB247,FIND("|",DB247))+1,10)))))*$D$50)))))*$I$247,0),0),0)
+IFERROR(IF(LEFT(DB247,FIND("·",DB247)-1)=$C$247,IF($D$247=IFERROR(VALUE(MID(DB247,FIND("·",DB247)+1,1)),0),($D$36+($E$247=MID(DB247,FIND("|",DB247)+1,10))*$D$38+MAX(0,IF($D$50=1,$D$37*(1-(ABS($Q$247-(VALUE(MID(DB247,FIND("|",DB247)+1,FIND("-",DB247,FIND("|",DB247))-FIND("|",DB247)-1))-VALUE(MID(DB247,FIND("-",DB247,FIND("|",DB247))+1,10)))))*$D$50),$D$37*(1-(IF($D$247=0,ABS($A$247-VALUE(MID(DB247,FIND("|",DB247)+1,FIND("-",DB247,FIND("|",DB247))-FIND("|",DB247)-1))),ABS($Q$247-(VALUE(MID(DB247,FIND("|",DB247)+1,FIND("-",DB247,FIND("|",DB247))-FIND("|",DB247)-1))-VALUE(MID(DB247,FIND("-",DB247,FIND("|",DB247))+1,10)))))*$D$50)))))*$I$247,0),0),0)</f>
        <v>0</v>
      </c>
      <c r="DD247" s="110"/>
      <c r="DE247" s="66" t="s">
        <v>2637</v>
      </c>
      <c r="DF247" s="85">
        <f t="shared" ref="DF247" si="2066">IFERROR(IF(LEFT(DE247,FIND("·",DE247)-1)=$K$247,IF($L$247=IFERROR(VALUE(MID(DE247,FIND("·",DE247)+1,1)),0),($D$36+($M$247=MID(DE247,FIND("|",DE247)+1,10))*$D$38+MAX(0,IF($D$50=1,$D$37*(1-(ABS($P$247-(VALUE(MID(DE247,FIND("|",DE247)+1,FIND("-",DE247,FIND("|",DE247))-FIND("|",DE247)-1))-VALUE(MID(DE247,FIND("-",DE247,FIND("|",DE247))+1,10)))))*$D$50),$D$37*(1-(IF($L$247=0,ABS($N$247-VALUE(MID(DE247,FIND("|",DE247)+1,FIND("-",DE247,FIND("|",DE247))-FIND("|",DE247)-1))),ABS($P$247-(VALUE(MID(DE247,FIND("|",DE247)+1,FIND("-",DE247,FIND("|",DE247))-FIND("|",DE247)-1))-VALUE(MID(DE247,FIND("-",DE247,FIND("|",DE247))+1,10)))))*$D$50)))))*$I$247,0),0),0)
+IFERROR(IF(LEFT(DE247,FIND("·",DE247)-1)=$C$247,IF($D$247=IFERROR(VALUE(MID(DE247,FIND("·",DE247)+1,1)),0),($D$36+($E$247=MID(DE247,FIND("|",DE247)+1,10))*$D$38+MAX(0,IF($D$50=1,$D$37*(1-(ABS($Q$247-(VALUE(MID(DE247,FIND("|",DE247)+1,FIND("-",DE247,FIND("|",DE247))-FIND("|",DE247)-1))-VALUE(MID(DE247,FIND("-",DE247,FIND("|",DE247))+1,10)))))*$D$50),$D$37*(1-(IF($D$247=0,ABS($A$247-VALUE(MID(DE247,FIND("|",DE247)+1,FIND("-",DE247,FIND("|",DE247))-FIND("|",DE247)-1))),ABS($Q$247-(VALUE(MID(DE247,FIND("|",DE247)+1,FIND("-",DE247,FIND("|",DE247))-FIND("|",DE247)-1))-VALUE(MID(DE247,FIND("-",DE247,FIND("|",DE247))+1,10)))))*$D$50)))))*$I$247,0),0),0)</f>
        <v>0</v>
      </c>
      <c r="DG247" s="110"/>
      <c r="DH247" s="66" t="s">
        <v>2259</v>
      </c>
      <c r="DI247" s="85">
        <f t="shared" ref="DI247" si="2067">IFERROR(IF(LEFT(DH247,FIND("·",DH247)-1)=$K$247,IF($L$247=IFERROR(VALUE(MID(DH247,FIND("·",DH247)+1,1)),0),($D$36+($M$247=MID(DH247,FIND("|",DH247)+1,10))*$D$38+MAX(0,IF($D$50=1,$D$37*(1-(ABS($P$247-(VALUE(MID(DH247,FIND("|",DH247)+1,FIND("-",DH247,FIND("|",DH247))-FIND("|",DH247)-1))-VALUE(MID(DH247,FIND("-",DH247,FIND("|",DH247))+1,10)))))*$D$50),$D$37*(1-(IF($L$247=0,ABS($N$247-VALUE(MID(DH247,FIND("|",DH247)+1,FIND("-",DH247,FIND("|",DH247))-FIND("|",DH247)-1))),ABS($P$247-(VALUE(MID(DH247,FIND("|",DH247)+1,FIND("-",DH247,FIND("|",DH247))-FIND("|",DH247)-1))-VALUE(MID(DH247,FIND("-",DH247,FIND("|",DH247))+1,10)))))*$D$50)))))*$I$247,0),0),0)
+IFERROR(IF(LEFT(DH247,FIND("·",DH247)-1)=$C$247,IF($D$247=IFERROR(VALUE(MID(DH247,FIND("·",DH247)+1,1)),0),($D$36+($E$247=MID(DH247,FIND("|",DH247)+1,10))*$D$38+MAX(0,IF($D$50=1,$D$37*(1-(ABS($Q$247-(VALUE(MID(DH247,FIND("|",DH247)+1,FIND("-",DH247,FIND("|",DH247))-FIND("|",DH247)-1))-VALUE(MID(DH247,FIND("-",DH247,FIND("|",DH247))+1,10)))))*$D$50),$D$37*(1-(IF($D$247=0,ABS($A$247-VALUE(MID(DH247,FIND("|",DH247)+1,FIND("-",DH247,FIND("|",DH247))-FIND("|",DH247)-1))),ABS($Q$247-(VALUE(MID(DH247,FIND("|",DH247)+1,FIND("-",DH247,FIND("|",DH247))-FIND("|",DH247)-1))-VALUE(MID(DH247,FIND("-",DH247,FIND("|",DH247))+1,10)))))*$D$50)))))*$I$247,0),0),0)</f>
        <v>0</v>
      </c>
      <c r="DJ247" s="110"/>
      <c r="DK247" s="66" t="s">
        <v>2667</v>
      </c>
      <c r="DL247" s="85">
        <f t="shared" ref="DL247" si="2068">IFERROR(IF(LEFT(DK247,FIND("·",DK247)-1)=$K$247,IF($L$247=IFERROR(VALUE(MID(DK247,FIND("·",DK247)+1,1)),0),($D$36+($M$247=MID(DK247,FIND("|",DK247)+1,10))*$D$38+MAX(0,IF($D$50=1,$D$37*(1-(ABS($P$247-(VALUE(MID(DK247,FIND("|",DK247)+1,FIND("-",DK247,FIND("|",DK247))-FIND("|",DK247)-1))-VALUE(MID(DK247,FIND("-",DK247,FIND("|",DK247))+1,10)))))*$D$50),$D$37*(1-(IF($L$247=0,ABS($N$247-VALUE(MID(DK247,FIND("|",DK247)+1,FIND("-",DK247,FIND("|",DK247))-FIND("|",DK247)-1))),ABS($P$247-(VALUE(MID(DK247,FIND("|",DK247)+1,FIND("-",DK247,FIND("|",DK247))-FIND("|",DK247)-1))-VALUE(MID(DK247,FIND("-",DK247,FIND("|",DK247))+1,10)))))*$D$50)))))*$I$247,0),0),0)
+IFERROR(IF(LEFT(DK247,FIND("·",DK247)-1)=$C$247,IF($D$247=IFERROR(VALUE(MID(DK247,FIND("·",DK247)+1,1)),0),($D$36+($E$247=MID(DK247,FIND("|",DK247)+1,10))*$D$38+MAX(0,IF($D$50=1,$D$37*(1-(ABS($Q$247-(VALUE(MID(DK247,FIND("|",DK247)+1,FIND("-",DK247,FIND("|",DK247))-FIND("|",DK247)-1))-VALUE(MID(DK247,FIND("-",DK247,FIND("|",DK247))+1,10)))))*$D$50),$D$37*(1-(IF($D$247=0,ABS($A$247-VALUE(MID(DK247,FIND("|",DK247)+1,FIND("-",DK247,FIND("|",DK247))-FIND("|",DK247)-1))),ABS($Q$247-(VALUE(MID(DK247,FIND("|",DK247)+1,FIND("-",DK247,FIND("|",DK247))-FIND("|",DK247)-1))-VALUE(MID(DK247,FIND("-",DK247,FIND("|",DK247))+1,10)))))*$D$50)))))*$I$247,0),0),0)</f>
        <v>0</v>
      </c>
      <c r="DM247" s="110"/>
      <c r="DN247" s="797" t="s">
        <v>2579</v>
      </c>
      <c r="DO247" s="85">
        <f t="shared" ref="DO247" si="2069">IFERROR(IF(LEFT(DN247,FIND("·",DN247)-1)=$K$247,IF($L$247=IFERROR(VALUE(MID(DN247,FIND("·",DN247)+1,1)),0),($D$36+($M$247=MID(DN247,FIND("|",DN247)+1,10))*$D$38+MAX(0,IF($D$50=1,$D$37*(1-(ABS($P$247-(VALUE(MID(DN247,FIND("|",DN247)+1,FIND("-",DN247,FIND("|",DN247))-FIND("|",DN247)-1))-VALUE(MID(DN247,FIND("-",DN247,FIND("|",DN247))+1,10)))))*$D$50),$D$37*(1-(IF($L$247=0,ABS($N$247-VALUE(MID(DN247,FIND("|",DN247)+1,FIND("-",DN247,FIND("|",DN247))-FIND("|",DN247)-1))),ABS($P$247-(VALUE(MID(DN247,FIND("|",DN247)+1,FIND("-",DN247,FIND("|",DN247))-FIND("|",DN247)-1))-VALUE(MID(DN247,FIND("-",DN247,FIND("|",DN247))+1,10)))))*$D$50)))))*$I$247,0),0),0)
+IFERROR(IF(LEFT(DN247,FIND("·",DN247)-1)=$C$247,IF($D$247=IFERROR(VALUE(MID(DN247,FIND("·",DN247)+1,1)),0),($D$36+($E$247=MID(DN247,FIND("|",DN247)+1,10))*$D$38+MAX(0,IF($D$50=1,$D$37*(1-(ABS($Q$247-(VALUE(MID(DN247,FIND("|",DN247)+1,FIND("-",DN247,FIND("|",DN247))-FIND("|",DN247)-1))-VALUE(MID(DN247,FIND("-",DN247,FIND("|",DN247))+1,10)))))*$D$50),$D$37*(1-(IF($D$247=0,ABS($A$247-VALUE(MID(DN247,FIND("|",DN247)+1,FIND("-",DN247,FIND("|",DN247))-FIND("|",DN247)-1))),ABS($Q$247-(VALUE(MID(DN247,FIND("|",DN247)+1,FIND("-",DN247,FIND("|",DN247))-FIND("|",DN247)-1))-VALUE(MID(DN247,FIND("-",DN247,FIND("|",DN247))+1,10)))))*$D$50)))))*$I$247,0),0),0)</f>
        <v>0</v>
      </c>
      <c r="DP247" s="110"/>
      <c r="DQ247" s="797" t="s">
        <v>2707</v>
      </c>
      <c r="DR247" s="85">
        <f t="shared" ref="DR247" si="2070">IFERROR(IF(LEFT(DQ247,FIND("·",DQ247)-1)=$K$247,IF($L$247=IFERROR(VALUE(MID(DQ247,FIND("·",DQ247)+1,1)),0),($D$36+($M$247=MID(DQ247,FIND("|",DQ247)+1,10))*$D$38+MAX(0,IF($D$50=1,$D$37*(1-(ABS($P$247-(VALUE(MID(DQ247,FIND("|",DQ247)+1,FIND("-",DQ247,FIND("|",DQ247))-FIND("|",DQ247)-1))-VALUE(MID(DQ247,FIND("-",DQ247,FIND("|",DQ247))+1,10)))))*$D$50),$D$37*(1-(IF($L$247=0,ABS($N$247-VALUE(MID(DQ247,FIND("|",DQ247)+1,FIND("-",DQ247,FIND("|",DQ247))-FIND("|",DQ247)-1))),ABS($P$247-(VALUE(MID(DQ247,FIND("|",DQ247)+1,FIND("-",DQ247,FIND("|",DQ247))-FIND("|",DQ247)-1))-VALUE(MID(DQ247,FIND("-",DQ247,FIND("|",DQ247))+1,10)))))*$D$50)))))*$I$247,0),0),0)
+IFERROR(IF(LEFT(DQ247,FIND("·",DQ247)-1)=$C$247,IF($D$247=IFERROR(VALUE(MID(DQ247,FIND("·",DQ247)+1,1)),0),($D$36+($E$247=MID(DQ247,FIND("|",DQ247)+1,10))*$D$38+MAX(0,IF($D$50=1,$D$37*(1-(ABS($Q$247-(VALUE(MID(DQ247,FIND("|",DQ247)+1,FIND("-",DQ247,FIND("|",DQ247))-FIND("|",DQ247)-1))-VALUE(MID(DQ247,FIND("-",DQ247,FIND("|",DQ247))+1,10)))))*$D$50),$D$37*(1-(IF($D$247=0,ABS($A$247-VALUE(MID(DQ247,FIND("|",DQ247)+1,FIND("-",DQ247,FIND("|",DQ247))-FIND("|",DQ247)-1))),ABS($Q$247-(VALUE(MID(DQ247,FIND("|",DQ247)+1,FIND("-",DQ247,FIND("|",DQ247))-FIND("|",DQ247)-1))-VALUE(MID(DQ247,FIND("-",DQ247,FIND("|",DQ247))+1,10)))))*$D$50)))))*$I$247,0),0),0)</f>
        <v>0</v>
      </c>
      <c r="DS247" s="110"/>
      <c r="DT247" s="66" t="s">
        <v>2732</v>
      </c>
      <c r="DU247" s="85">
        <f t="shared" ref="DU247" si="2071">IFERROR(IF(LEFT(DT247,FIND("·",DT247)-1)=$K$247,IF($L$247=IFERROR(VALUE(MID(DT247,FIND("·",DT247)+1,1)),0),($D$36+($M$247=MID(DT247,FIND("|",DT247)+1,10))*$D$38+MAX(0,IF($D$50=1,$D$37*(1-(ABS($P$247-(VALUE(MID(DT247,FIND("|",DT247)+1,FIND("-",DT247,FIND("|",DT247))-FIND("|",DT247)-1))-VALUE(MID(DT247,FIND("-",DT247,FIND("|",DT247))+1,10)))))*$D$50),$D$37*(1-(IF($L$247=0,ABS($N$247-VALUE(MID(DT247,FIND("|",DT247)+1,FIND("-",DT247,FIND("|",DT247))-FIND("|",DT247)-1))),ABS($P$247-(VALUE(MID(DT247,FIND("|",DT247)+1,FIND("-",DT247,FIND("|",DT247))-FIND("|",DT247)-1))-VALUE(MID(DT247,FIND("-",DT247,FIND("|",DT247))+1,10)))))*$D$50)))))*$I$247,0),0),0)
+IFERROR(IF(LEFT(DT247,FIND("·",DT247)-1)=$C$247,IF($D$247=IFERROR(VALUE(MID(DT247,FIND("·",DT247)+1,1)),0),($D$36+($E$247=MID(DT247,FIND("|",DT247)+1,10))*$D$38+MAX(0,IF($D$50=1,$D$37*(1-(ABS($Q$247-(VALUE(MID(DT247,FIND("|",DT247)+1,FIND("-",DT247,FIND("|",DT247))-FIND("|",DT247)-1))-VALUE(MID(DT247,FIND("-",DT247,FIND("|",DT247))+1,10)))))*$D$50),$D$37*(1-(IF($D$247=0,ABS($A$247-VALUE(MID(DT247,FIND("|",DT247)+1,FIND("-",DT247,FIND("|",DT247))-FIND("|",DT247)-1))),ABS($Q$247-(VALUE(MID(DT247,FIND("|",DT247)+1,FIND("-",DT247,FIND("|",DT247))-FIND("|",DT247)-1))-VALUE(MID(DT247,FIND("-",DT247,FIND("|",DT247))+1,10)))))*$D$50)))))*$I$247,0),0),0)</f>
        <v>0</v>
      </c>
      <c r="DV247" s="110"/>
      <c r="DW247" s="66" t="s">
        <v>2180</v>
      </c>
      <c r="DX247" s="85">
        <f t="shared" ref="DX247" si="2072">IFERROR(IF(LEFT(DW247,FIND("·",DW247)-1)=$K$247,IF($L$247=IFERROR(VALUE(MID(DW247,FIND("·",DW247)+1,1)),0),($D$36+($M$247=MID(DW247,FIND("|",DW247)+1,10))*$D$38+MAX(0,IF($D$50=1,$D$37*(1-(ABS($P$247-(VALUE(MID(DW247,FIND("|",DW247)+1,FIND("-",DW247,FIND("|",DW247))-FIND("|",DW247)-1))-VALUE(MID(DW247,FIND("-",DW247,FIND("|",DW247))+1,10)))))*$D$50),$D$37*(1-(IF($L$247=0,ABS($N$247-VALUE(MID(DW247,FIND("|",DW247)+1,FIND("-",DW247,FIND("|",DW247))-FIND("|",DW247)-1))),ABS($P$247-(VALUE(MID(DW247,FIND("|",DW247)+1,FIND("-",DW247,FIND("|",DW247))-FIND("|",DW247)-1))-VALUE(MID(DW247,FIND("-",DW247,FIND("|",DW247))+1,10)))))*$D$50)))))*$I$247,0),0),0)
+IFERROR(IF(LEFT(DW247,FIND("·",DW247)-1)=$C$247,IF($D$247=IFERROR(VALUE(MID(DW247,FIND("·",DW247)+1,1)),0),($D$36+($E$247=MID(DW247,FIND("|",DW247)+1,10))*$D$38+MAX(0,IF($D$50=1,$D$37*(1-(ABS($Q$247-(VALUE(MID(DW247,FIND("|",DW247)+1,FIND("-",DW247,FIND("|",DW247))-FIND("|",DW247)-1))-VALUE(MID(DW247,FIND("-",DW247,FIND("|",DW247))+1,10)))))*$D$50),$D$37*(1-(IF($D$247=0,ABS($A$247-VALUE(MID(DW247,FIND("|",DW247)+1,FIND("-",DW247,FIND("|",DW247))-FIND("|",DW247)-1))),ABS($Q$247-(VALUE(MID(DW247,FIND("|",DW247)+1,FIND("-",DW247,FIND("|",DW247))-FIND("|",DW247)-1))-VALUE(MID(DW247,FIND("-",DW247,FIND("|",DW247))+1,10)))))*$D$50)))))*$I$247,0),0),0)</f>
        <v>0</v>
      </c>
      <c r="DY247" s="110"/>
      <c r="DZ247" s="66" t="s">
        <v>1994</v>
      </c>
      <c r="EA247" s="85">
        <f t="shared" ref="EA247" si="2073">IFERROR(IF(LEFT(DZ247,FIND("·",DZ247)-1)=$K$247,IF($L$247=IFERROR(VALUE(MID(DZ247,FIND("·",DZ247)+1,1)),0),($D$36+($M$247=MID(DZ247,FIND("|",DZ247)+1,10))*$D$38+MAX(0,IF($D$50=1,$D$37*(1-(ABS($P$247-(VALUE(MID(DZ247,FIND("|",DZ247)+1,FIND("-",DZ247,FIND("|",DZ247))-FIND("|",DZ247)-1))-VALUE(MID(DZ247,FIND("-",DZ247,FIND("|",DZ247))+1,10)))))*$D$50),$D$37*(1-(IF($L$247=0,ABS($N$247-VALUE(MID(DZ247,FIND("|",DZ247)+1,FIND("-",DZ247,FIND("|",DZ247))-FIND("|",DZ247)-1))),ABS($P$247-(VALUE(MID(DZ247,FIND("|",DZ247)+1,FIND("-",DZ247,FIND("|",DZ247))-FIND("|",DZ247)-1))-VALUE(MID(DZ247,FIND("-",DZ247,FIND("|",DZ247))+1,10)))))*$D$50)))))*$I$247,0),0),0)
+IFERROR(IF(LEFT(DZ247,FIND("·",DZ247)-1)=$C$247,IF($D$247=IFERROR(VALUE(MID(DZ247,FIND("·",DZ247)+1,1)),0),($D$36+($E$247=MID(DZ247,FIND("|",DZ247)+1,10))*$D$38+MAX(0,IF($D$50=1,$D$37*(1-(ABS($Q$247-(VALUE(MID(DZ247,FIND("|",DZ247)+1,FIND("-",DZ247,FIND("|",DZ247))-FIND("|",DZ247)-1))-VALUE(MID(DZ247,FIND("-",DZ247,FIND("|",DZ247))+1,10)))))*$D$50),$D$37*(1-(IF($D$247=0,ABS($A$247-VALUE(MID(DZ247,FIND("|",DZ247)+1,FIND("-",DZ247,FIND("|",DZ247))-FIND("|",DZ247)-1))),ABS($Q$247-(VALUE(MID(DZ247,FIND("|",DZ247)+1,FIND("-",DZ247,FIND("|",DZ247))-FIND("|",DZ247)-1))-VALUE(MID(DZ247,FIND("-",DZ247,FIND("|",DZ247))+1,10)))))*$D$50)))))*$I$247,0),0),0)</f>
        <v>0</v>
      </c>
      <c r="EB247" s="110"/>
      <c r="EC247" s="66" t="s">
        <v>2405</v>
      </c>
      <c r="ED247" s="85">
        <f t="shared" ref="ED247" si="2074">IFERROR(IF(LEFT(EC247,FIND("·",EC247)-1)=$K$247,IF($L$247=IFERROR(VALUE(MID(EC247,FIND("·",EC247)+1,1)),0),($D$36+($M$247=MID(EC247,FIND("|",EC247)+1,10))*$D$38+MAX(0,IF($D$50=1,$D$37*(1-(ABS($P$247-(VALUE(MID(EC247,FIND("|",EC247)+1,FIND("-",EC247,FIND("|",EC247))-FIND("|",EC247)-1))-VALUE(MID(EC247,FIND("-",EC247,FIND("|",EC247))+1,10)))))*$D$50),$D$37*(1-(IF($L$247=0,ABS($N$247-VALUE(MID(EC247,FIND("|",EC247)+1,FIND("-",EC247,FIND("|",EC247))-FIND("|",EC247)-1))),ABS($P$247-(VALUE(MID(EC247,FIND("|",EC247)+1,FIND("-",EC247,FIND("|",EC247))-FIND("|",EC247)-1))-VALUE(MID(EC247,FIND("-",EC247,FIND("|",EC247))+1,10)))))*$D$50)))))*$I$247,0),0),0)
+IFERROR(IF(LEFT(EC247,FIND("·",EC247)-1)=$C$247,IF($D$247=IFERROR(VALUE(MID(EC247,FIND("·",EC247)+1,1)),0),($D$36+($E$247=MID(EC247,FIND("|",EC247)+1,10))*$D$38+MAX(0,IF($D$50=1,$D$37*(1-(ABS($Q$247-(VALUE(MID(EC247,FIND("|",EC247)+1,FIND("-",EC247,FIND("|",EC247))-FIND("|",EC247)-1))-VALUE(MID(EC247,FIND("-",EC247,FIND("|",EC247))+1,10)))))*$D$50),$D$37*(1-(IF($D$247=0,ABS($A$247-VALUE(MID(EC247,FIND("|",EC247)+1,FIND("-",EC247,FIND("|",EC247))-FIND("|",EC247)-1))),ABS($Q$247-(VALUE(MID(EC247,FIND("|",EC247)+1,FIND("-",EC247,FIND("|",EC247))-FIND("|",EC247)-1))-VALUE(MID(EC247,FIND("-",EC247,FIND("|",EC247))+1,10)))))*$D$50)))))*$I$247,0),0),0)</f>
        <v>0</v>
      </c>
      <c r="EE247" s="110"/>
      <c r="EF247" s="66" t="s">
        <v>2792</v>
      </c>
      <c r="EG247" s="85">
        <f t="shared" ref="EG247" si="2075">IFERROR(IF(LEFT(EF247,FIND("·",EF247)-1)=$K$247,IF($L$247=IFERROR(VALUE(MID(EF247,FIND("·",EF247)+1,1)),0),($D$36+($M$247=MID(EF247,FIND("|",EF247)+1,10))*$D$38+MAX(0,IF($D$50=1,$D$37*(1-(ABS($P$247-(VALUE(MID(EF247,FIND("|",EF247)+1,FIND("-",EF247,FIND("|",EF247))-FIND("|",EF247)-1))-VALUE(MID(EF247,FIND("-",EF247,FIND("|",EF247))+1,10)))))*$D$50),$D$37*(1-(IF($L$247=0,ABS($N$247-VALUE(MID(EF247,FIND("|",EF247)+1,FIND("-",EF247,FIND("|",EF247))-FIND("|",EF247)-1))),ABS($P$247-(VALUE(MID(EF247,FIND("|",EF247)+1,FIND("-",EF247,FIND("|",EF247))-FIND("|",EF247)-1))-VALUE(MID(EF247,FIND("-",EF247,FIND("|",EF247))+1,10)))))*$D$50)))))*$I$247,0),0),0)
+IFERROR(IF(LEFT(EF247,FIND("·",EF247)-1)=$C$247,IF($D$247=IFERROR(VALUE(MID(EF247,FIND("·",EF247)+1,1)),0),($D$36+($E$247=MID(EF247,FIND("|",EF247)+1,10))*$D$38+MAX(0,IF($D$50=1,$D$37*(1-(ABS($Q$247-(VALUE(MID(EF247,FIND("|",EF247)+1,FIND("-",EF247,FIND("|",EF247))-FIND("|",EF247)-1))-VALUE(MID(EF247,FIND("-",EF247,FIND("|",EF247))+1,10)))))*$D$50),$D$37*(1-(IF($D$247=0,ABS($A$247-VALUE(MID(EF247,FIND("|",EF247)+1,FIND("-",EF247,FIND("|",EF247))-FIND("|",EF247)-1))),ABS($Q$247-(VALUE(MID(EF247,FIND("|",EF247)+1,FIND("-",EF247,FIND("|",EF247))-FIND("|",EF247)-1))-VALUE(MID(EF247,FIND("-",EF247,FIND("|",EF247))+1,10)))))*$D$50)))))*$I$247,0),0),0)</f>
        <v>0</v>
      </c>
      <c r="EH247" s="110"/>
      <c r="EI247" s="66" t="s">
        <v>2405</v>
      </c>
      <c r="EJ247" s="85">
        <f t="shared" ref="EJ247" si="2076">IFERROR(IF(LEFT(EI247,FIND("·",EI247)-1)=$K$247,IF($L$247=IFERROR(VALUE(MID(EI247,FIND("·",EI247)+1,1)),0),($D$36+($M$247=MID(EI247,FIND("|",EI247)+1,10))*$D$38+MAX(0,IF($D$50=1,$D$37*(1-(ABS($P$247-(VALUE(MID(EI247,FIND("|",EI247)+1,FIND("-",EI247,FIND("|",EI247))-FIND("|",EI247)-1))-VALUE(MID(EI247,FIND("-",EI247,FIND("|",EI247))+1,10)))))*$D$50),$D$37*(1-(IF($L$247=0,ABS($N$247-VALUE(MID(EI247,FIND("|",EI247)+1,FIND("-",EI247,FIND("|",EI247))-FIND("|",EI247)-1))),ABS($P$247-(VALUE(MID(EI247,FIND("|",EI247)+1,FIND("-",EI247,FIND("|",EI247))-FIND("|",EI247)-1))-VALUE(MID(EI247,FIND("-",EI247,FIND("|",EI247))+1,10)))))*$D$50)))))*$I$247,0),0),0)
+IFERROR(IF(LEFT(EI247,FIND("·",EI247)-1)=$C$247,IF($D$247=IFERROR(VALUE(MID(EI247,FIND("·",EI247)+1,1)),0),($D$36+($E$247=MID(EI247,FIND("|",EI247)+1,10))*$D$38+MAX(0,IF($D$50=1,$D$37*(1-(ABS($Q$247-(VALUE(MID(EI247,FIND("|",EI247)+1,FIND("-",EI247,FIND("|",EI247))-FIND("|",EI247)-1))-VALUE(MID(EI247,FIND("-",EI247,FIND("|",EI247))+1,10)))))*$D$50),$D$37*(1-(IF($D$247=0,ABS($A$247-VALUE(MID(EI247,FIND("|",EI247)+1,FIND("-",EI247,FIND("|",EI247))-FIND("|",EI247)-1))),ABS($Q$247-(VALUE(MID(EI247,FIND("|",EI247)+1,FIND("-",EI247,FIND("|",EI247))-FIND("|",EI247)-1))-VALUE(MID(EI247,FIND("-",EI247,FIND("|",EI247))+1,10)))))*$D$50)))))*$I$247,0),0),0)</f>
        <v>0</v>
      </c>
      <c r="EK247" s="110"/>
      <c r="EL247" s="66"/>
      <c r="EM247" s="85">
        <f t="shared" ref="EM247" si="2077">IFERROR(IF(LEFT(EL247,FIND("·",EL247)-1)=$K$247,IF($L$247=IFERROR(VALUE(MID(EL247,FIND("·",EL247)+1,1)),0),($D$36+($M$247=MID(EL247,FIND("|",EL247)+1,10))*$D$38+MAX(0,IF($D$50=1,$D$37*(1-(ABS($P$247-(VALUE(MID(EL247,FIND("|",EL247)+1,FIND("-",EL247,FIND("|",EL247))-FIND("|",EL247)-1))-VALUE(MID(EL247,FIND("-",EL247,FIND("|",EL247))+1,10)))))*$D$50),$D$37*(1-(IF($L$247=0,ABS($N$247-VALUE(MID(EL247,FIND("|",EL247)+1,FIND("-",EL247,FIND("|",EL247))-FIND("|",EL247)-1))),ABS($P$247-(VALUE(MID(EL247,FIND("|",EL247)+1,FIND("-",EL247,FIND("|",EL247))-FIND("|",EL247)-1))-VALUE(MID(EL247,FIND("-",EL247,FIND("|",EL247))+1,10)))))*$D$50)))))*$I$247,0),0),0)
+IFERROR(IF(LEFT(EL247,FIND("·",EL247)-1)=$C$247,IF($D$247=IFERROR(VALUE(MID(EL247,FIND("·",EL247)+1,1)),0),($D$36+($E$247=MID(EL247,FIND("|",EL247)+1,10))*$D$38+MAX(0,IF($D$50=1,$D$37*(1-(ABS($Q$247-(VALUE(MID(EL247,FIND("|",EL247)+1,FIND("-",EL247,FIND("|",EL247))-FIND("|",EL247)-1))-VALUE(MID(EL247,FIND("-",EL247,FIND("|",EL247))+1,10)))))*$D$50),$D$37*(1-(IF($D$247=0,ABS($A$247-VALUE(MID(EL247,FIND("|",EL247)+1,FIND("-",EL247,FIND("|",EL247))-FIND("|",EL247)-1))),ABS($Q$247-(VALUE(MID(EL247,FIND("|",EL247)+1,FIND("-",EL247,FIND("|",EL247))-FIND("|",EL247)-1))-VALUE(MID(EL247,FIND("-",EL247,FIND("|",EL247))+1,10)))))*$D$50)))))*$I$247,0),0),0)</f>
        <v>0</v>
      </c>
      <c r="EN247" s="110"/>
      <c r="EO247" s="66"/>
      <c r="EP247" s="85">
        <f t="shared" ref="EP247" si="2078">IFERROR(IF(LEFT(EO247,FIND("·",EO247)-1)=$K$247,IF($L$247=IFERROR(VALUE(MID(EO247,FIND("·",EO247)+1,1)),0),($D$36+($M$247=MID(EO247,FIND("|",EO247)+1,10))*$D$38+MAX(0,IF($D$50=1,$D$37*(1-(ABS($P$247-(VALUE(MID(EO247,FIND("|",EO247)+1,FIND("-",EO247,FIND("|",EO247))-FIND("|",EO247)-1))-VALUE(MID(EO247,FIND("-",EO247,FIND("|",EO247))+1,10)))))*$D$50),$D$37*(1-(IF($L$247=0,ABS($N$247-VALUE(MID(EO247,FIND("|",EO247)+1,FIND("-",EO247,FIND("|",EO247))-FIND("|",EO247)-1))),ABS($P$247-(VALUE(MID(EO247,FIND("|",EO247)+1,FIND("-",EO247,FIND("|",EO247))-FIND("|",EO247)-1))-VALUE(MID(EO247,FIND("-",EO247,FIND("|",EO247))+1,10)))))*$D$50)))))*$I$247,0),0),0)
+IFERROR(IF(LEFT(EO247,FIND("·",EO247)-1)=$C$247,IF($D$247=IFERROR(VALUE(MID(EO247,FIND("·",EO247)+1,1)),0),($D$36+($E$247=MID(EO247,FIND("|",EO247)+1,10))*$D$38+MAX(0,IF($D$50=1,$D$37*(1-(ABS($Q$247-(VALUE(MID(EO247,FIND("|",EO247)+1,FIND("-",EO247,FIND("|",EO247))-FIND("|",EO247)-1))-VALUE(MID(EO247,FIND("-",EO247,FIND("|",EO247))+1,10)))))*$D$50),$D$37*(1-(IF($D$247=0,ABS($A$247-VALUE(MID(EO247,FIND("|",EO247)+1,FIND("-",EO247,FIND("|",EO247))-FIND("|",EO247)-1))),ABS($Q$247-(VALUE(MID(EO247,FIND("|",EO247)+1,FIND("-",EO247,FIND("|",EO247))-FIND("|",EO247)-1))-VALUE(MID(EO247,FIND("-",EO247,FIND("|",EO247))+1,10)))))*$D$50)))))*$I$247,0),0),0)</f>
        <v>0</v>
      </c>
      <c r="EQ247" s="110"/>
      <c r="ER247" s="66"/>
      <c r="ES247" s="85">
        <f t="shared" ref="ES247" si="2079">IFERROR(IF(LEFT(ER247,FIND("·",ER247)-1)=$K$247,IF($L$247=IFERROR(VALUE(MID(ER247,FIND("·",ER247)+1,1)),0),($D$36+($M$247=MID(ER247,FIND("|",ER247)+1,10))*$D$38+MAX(0,IF($D$50=1,$D$37*(1-(ABS($P$247-(VALUE(MID(ER247,FIND("|",ER247)+1,FIND("-",ER247,FIND("|",ER247))-FIND("|",ER247)-1))-VALUE(MID(ER247,FIND("-",ER247,FIND("|",ER247))+1,10)))))*$D$50),$D$37*(1-(IF($L$247=0,ABS($N$247-VALUE(MID(ER247,FIND("|",ER247)+1,FIND("-",ER247,FIND("|",ER247))-FIND("|",ER247)-1))),ABS($P$247-(VALUE(MID(ER247,FIND("|",ER247)+1,FIND("-",ER247,FIND("|",ER247))-FIND("|",ER247)-1))-VALUE(MID(ER247,FIND("-",ER247,FIND("|",ER247))+1,10)))))*$D$50)))))*$I$247,0),0),0)
+IFERROR(IF(LEFT(ER247,FIND("·",ER247)-1)=$C$247,IF($D$247=IFERROR(VALUE(MID(ER247,FIND("·",ER247)+1,1)),0),($D$36+($E$247=MID(ER247,FIND("|",ER247)+1,10))*$D$38+MAX(0,IF($D$50=1,$D$37*(1-(ABS($Q$247-(VALUE(MID(ER247,FIND("|",ER247)+1,FIND("-",ER247,FIND("|",ER247))-FIND("|",ER247)-1))-VALUE(MID(ER247,FIND("-",ER247,FIND("|",ER247))+1,10)))))*$D$50),$D$37*(1-(IF($D$247=0,ABS($A$247-VALUE(MID(ER247,FIND("|",ER247)+1,FIND("-",ER247,FIND("|",ER247))-FIND("|",ER247)-1))),ABS($Q$247-(VALUE(MID(ER247,FIND("|",ER247)+1,FIND("-",ER247,FIND("|",ER247))-FIND("|",ER247)-1))-VALUE(MID(ER247,FIND("-",ER247,FIND("|",ER247))+1,10)))))*$D$50)))))*$I$247,0),0),0)</f>
        <v>0</v>
      </c>
      <c r="ET247" s="110"/>
      <c r="EU247" s="66"/>
      <c r="EV247" s="85">
        <f t="shared" ref="EV247" si="2080">IFERROR(IF(LEFT(EU247,FIND("·",EU247)-1)=$K$247,IF($L$247=IFERROR(VALUE(MID(EU247,FIND("·",EU247)+1,1)),0),($D$36+($M$247=MID(EU247,FIND("|",EU247)+1,10))*$D$38+MAX(0,IF($D$50=1,$D$37*(1-(ABS($P$247-(VALUE(MID(EU247,FIND("|",EU247)+1,FIND("-",EU247,FIND("|",EU247))-FIND("|",EU247)-1))-VALUE(MID(EU247,FIND("-",EU247,FIND("|",EU247))+1,10)))))*$D$50),$D$37*(1-(IF($L$247=0,ABS($N$247-VALUE(MID(EU247,FIND("|",EU247)+1,FIND("-",EU247,FIND("|",EU247))-FIND("|",EU247)-1))),ABS($P$247-(VALUE(MID(EU247,FIND("|",EU247)+1,FIND("-",EU247,FIND("|",EU247))-FIND("|",EU247)-1))-VALUE(MID(EU247,FIND("-",EU247,FIND("|",EU247))+1,10)))))*$D$50)))))*$I$247,0),0),0)
+IFERROR(IF(LEFT(EU247,FIND("·",EU247)-1)=$C$247,IF($D$247=IFERROR(VALUE(MID(EU247,FIND("·",EU247)+1,1)),0),($D$36+($E$247=MID(EU247,FIND("|",EU247)+1,10))*$D$38+MAX(0,IF($D$50=1,$D$37*(1-(ABS($Q$247-(VALUE(MID(EU247,FIND("|",EU247)+1,FIND("-",EU247,FIND("|",EU247))-FIND("|",EU247)-1))-VALUE(MID(EU247,FIND("-",EU247,FIND("|",EU247))+1,10)))))*$D$50),$D$37*(1-(IF($D$247=0,ABS($A$247-VALUE(MID(EU247,FIND("|",EU247)+1,FIND("-",EU247,FIND("|",EU247))-FIND("|",EU247)-1))),ABS($Q$247-(VALUE(MID(EU247,FIND("|",EU247)+1,FIND("-",EU247,FIND("|",EU247))-FIND("|",EU247)-1))-VALUE(MID(EU247,FIND("-",EU247,FIND("|",EU247))+1,10)))))*$D$50)))))*$I$247,0),0),0)</f>
        <v>0</v>
      </c>
      <c r="EW247" s="110"/>
      <c r="EX247" s="66"/>
      <c r="EY247" s="85">
        <f t="shared" ref="EY247" si="2081">IFERROR(IF(LEFT(EX247,FIND("·",EX247)-1)=$K$247,IF($L$247=IFERROR(VALUE(MID(EX247,FIND("·",EX247)+1,1)),0),($D$36+($M$247=MID(EX247,FIND("|",EX247)+1,10))*$D$38+MAX(0,IF($D$50=1,$D$37*(1-(ABS($P$247-(VALUE(MID(EX247,FIND("|",EX247)+1,FIND("-",EX247,FIND("|",EX247))-FIND("|",EX247)-1))-VALUE(MID(EX247,FIND("-",EX247,FIND("|",EX247))+1,10)))))*$D$50),$D$37*(1-(IF($L$247=0,ABS($N$247-VALUE(MID(EX247,FIND("|",EX247)+1,FIND("-",EX247,FIND("|",EX247))-FIND("|",EX247)-1))),ABS($P$247-(VALUE(MID(EX247,FIND("|",EX247)+1,FIND("-",EX247,FIND("|",EX247))-FIND("|",EX247)-1))-VALUE(MID(EX247,FIND("-",EX247,FIND("|",EX247))+1,10)))))*$D$50)))))*$I$247,0),0),0)
+IFERROR(IF(LEFT(EX247,FIND("·",EX247)-1)=$C$247,IF($D$247=IFERROR(VALUE(MID(EX247,FIND("·",EX247)+1,1)),0),($D$36+($E$247=MID(EX247,FIND("|",EX247)+1,10))*$D$38+MAX(0,IF($D$50=1,$D$37*(1-(ABS($Q$247-(VALUE(MID(EX247,FIND("|",EX247)+1,FIND("-",EX247,FIND("|",EX247))-FIND("|",EX247)-1))-VALUE(MID(EX247,FIND("-",EX247,FIND("|",EX247))+1,10)))))*$D$50),$D$37*(1-(IF($D$247=0,ABS($A$247-VALUE(MID(EX247,FIND("|",EX247)+1,FIND("-",EX247,FIND("|",EX247))-FIND("|",EX247)-1))),ABS($Q$247-(VALUE(MID(EX247,FIND("|",EX247)+1,FIND("-",EX247,FIND("|",EX247))-FIND("|",EX247)-1))-VALUE(MID(EX247,FIND("-",EX247,FIND("|",EX247))+1,10)))))*$D$50)))))*$I$247,0),0),0)</f>
        <v>0</v>
      </c>
      <c r="EZ247" s="110"/>
      <c r="FA247" s="66"/>
      <c r="FB247" s="85">
        <f t="shared" ref="FB247" si="2082">IFERROR(IF(LEFT(FA247,FIND("·",FA247)-1)=$K$247,IF($L$247=IFERROR(VALUE(MID(FA247,FIND("·",FA247)+1,1)),0),($D$36+($M$247=MID(FA247,FIND("|",FA247)+1,10))*$D$38+MAX(0,IF($D$50=1,$D$37*(1-(ABS($P$247-(VALUE(MID(FA247,FIND("|",FA247)+1,FIND("-",FA247,FIND("|",FA247))-FIND("|",FA247)-1))-VALUE(MID(FA247,FIND("-",FA247,FIND("|",FA247))+1,10)))))*$D$50),$D$37*(1-(IF($L$247=0,ABS($N$247-VALUE(MID(FA247,FIND("|",FA247)+1,FIND("-",FA247,FIND("|",FA247))-FIND("|",FA247)-1))),ABS($P$247-(VALUE(MID(FA247,FIND("|",FA247)+1,FIND("-",FA247,FIND("|",FA247))-FIND("|",FA247)-1))-VALUE(MID(FA247,FIND("-",FA247,FIND("|",FA247))+1,10)))))*$D$50)))))*$I$247,0),0),0)
+IFERROR(IF(LEFT(FA247,FIND("·",FA247)-1)=$C$247,IF($D$247=IFERROR(VALUE(MID(FA247,FIND("·",FA247)+1,1)),0),($D$36+($E$247=MID(FA247,FIND("|",FA247)+1,10))*$D$38+MAX(0,IF($D$50=1,$D$37*(1-(ABS($Q$247-(VALUE(MID(FA247,FIND("|",FA247)+1,FIND("-",FA247,FIND("|",FA247))-FIND("|",FA247)-1))-VALUE(MID(FA247,FIND("-",FA247,FIND("|",FA247))+1,10)))))*$D$50),$D$37*(1-(IF($D$247=0,ABS($A$247-VALUE(MID(FA247,FIND("|",FA247)+1,FIND("-",FA247,FIND("|",FA247))-FIND("|",FA247)-1))),ABS($Q$247-(VALUE(MID(FA247,FIND("|",FA247)+1,FIND("-",FA247,FIND("|",FA247))-FIND("|",FA247)-1))-VALUE(MID(FA247,FIND("-",FA247,FIND("|",FA247))+1,10)))))*$D$50)))))*$I$247,0),0),0)</f>
        <v>0</v>
      </c>
      <c r="FC247" s="110"/>
      <c r="FD247" s="66"/>
      <c r="FE247" s="85">
        <f t="shared" ref="FE247" si="2083">IFERROR(IF(LEFT(FD247,FIND("·",FD247)-1)=$K$247,IF($L$247=IFERROR(VALUE(MID(FD247,FIND("·",FD247)+1,1)),0),($D$36+($M$247=MID(FD247,FIND("|",FD247)+1,10))*$D$38+MAX(0,IF($D$50=1,$D$37*(1-(ABS($P$247-(VALUE(MID(FD247,FIND("|",FD247)+1,FIND("-",FD247,FIND("|",FD247))-FIND("|",FD247)-1))-VALUE(MID(FD247,FIND("-",FD247,FIND("|",FD247))+1,10)))))*$D$50),$D$37*(1-(IF($L$247=0,ABS($N$247-VALUE(MID(FD247,FIND("|",FD247)+1,FIND("-",FD247,FIND("|",FD247))-FIND("|",FD247)-1))),ABS($P$247-(VALUE(MID(FD247,FIND("|",FD247)+1,FIND("-",FD247,FIND("|",FD247))-FIND("|",FD247)-1))-VALUE(MID(FD247,FIND("-",FD247,FIND("|",FD247))+1,10)))))*$D$50)))))*$I$247,0),0),0)
+IFERROR(IF(LEFT(FD247,FIND("·",FD247)-1)=$C$247,IF($D$247=IFERROR(VALUE(MID(FD247,FIND("·",FD247)+1,1)),0),($D$36+($E$247=MID(FD247,FIND("|",FD247)+1,10))*$D$38+MAX(0,IF($D$50=1,$D$37*(1-(ABS($Q$247-(VALUE(MID(FD247,FIND("|",FD247)+1,FIND("-",FD247,FIND("|",FD247))-FIND("|",FD247)-1))-VALUE(MID(FD247,FIND("-",FD247,FIND("|",FD247))+1,10)))))*$D$50),$D$37*(1-(IF($D$247=0,ABS($A$247-VALUE(MID(FD247,FIND("|",FD247)+1,FIND("-",FD247,FIND("|",FD247))-FIND("|",FD247)-1))),ABS($Q$247-(VALUE(MID(FD247,FIND("|",FD247)+1,FIND("-",FD247,FIND("|",FD247))-FIND("|",FD247)-1))-VALUE(MID(FD247,FIND("-",FD247,FIND("|",FD247))+1,10)))))*$D$50)))))*$I$247,0),0),0)</f>
        <v>0</v>
      </c>
      <c r="FF247" s="110"/>
      <c r="FG247" s="66"/>
      <c r="FH247" s="85">
        <f t="shared" ref="FH247" si="2084">IFERROR(IF(LEFT(FG247,FIND("·",FG247)-1)=$K$247,IF($L$247=IFERROR(VALUE(MID(FG247,FIND("·",FG247)+1,1)),0),($D$36+($M$247=MID(FG247,FIND("|",FG247)+1,10))*$D$38+MAX(0,IF($D$50=1,$D$37*(1-(ABS($P$247-(VALUE(MID(FG247,FIND("|",FG247)+1,FIND("-",FG247,FIND("|",FG247))-FIND("|",FG247)-1))-VALUE(MID(FG247,FIND("-",FG247,FIND("|",FG247))+1,10)))))*$D$50),$D$37*(1-(IF($L$247=0,ABS($N$247-VALUE(MID(FG247,FIND("|",FG247)+1,FIND("-",FG247,FIND("|",FG247))-FIND("|",FG247)-1))),ABS($P$247-(VALUE(MID(FG247,FIND("|",FG247)+1,FIND("-",FG247,FIND("|",FG247))-FIND("|",FG247)-1))-VALUE(MID(FG247,FIND("-",FG247,FIND("|",FG247))+1,10)))))*$D$50)))))*$I$247,0),0),0)
+IFERROR(IF(LEFT(FG247,FIND("·",FG247)-1)=$C$247,IF($D$247=IFERROR(VALUE(MID(FG247,FIND("·",FG247)+1,1)),0),($D$36+($E$247=MID(FG247,FIND("|",FG247)+1,10))*$D$38+MAX(0,IF($D$50=1,$D$37*(1-(ABS($Q$247-(VALUE(MID(FG247,FIND("|",FG247)+1,FIND("-",FG247,FIND("|",FG247))-FIND("|",FG247)-1))-VALUE(MID(FG247,FIND("-",FG247,FIND("|",FG247))+1,10)))))*$D$50),$D$37*(1-(IF($D$247=0,ABS($A$247-VALUE(MID(FG247,FIND("|",FG247)+1,FIND("-",FG247,FIND("|",FG247))-FIND("|",FG247)-1))),ABS($Q$247-(VALUE(MID(FG247,FIND("|",FG247)+1,FIND("-",FG247,FIND("|",FG247))-FIND("|",FG247)-1))-VALUE(MID(FG247,FIND("-",FG247,FIND("|",FG247))+1,10)))))*$D$50)))))*$I$247,0),0),0)</f>
        <v>0</v>
      </c>
      <c r="FI247" s="110"/>
      <c r="FJ247" s="66"/>
      <c r="FK247" s="85">
        <f t="shared" ref="FK247" si="2085">IFERROR(IF(LEFT(FJ247,FIND("·",FJ247)-1)=$K$247,IF($L$247=IFERROR(VALUE(MID(FJ247,FIND("·",FJ247)+1,1)),0),($D$36+($M$247=MID(FJ247,FIND("|",FJ247)+1,10))*$D$38+MAX(0,IF($D$50=1,$D$37*(1-(ABS($P$247-(VALUE(MID(FJ247,FIND("|",FJ247)+1,FIND("-",FJ247,FIND("|",FJ247))-FIND("|",FJ247)-1))-VALUE(MID(FJ247,FIND("-",FJ247,FIND("|",FJ247))+1,10)))))*$D$50),$D$37*(1-(IF($L$247=0,ABS($N$247-VALUE(MID(FJ247,FIND("|",FJ247)+1,FIND("-",FJ247,FIND("|",FJ247))-FIND("|",FJ247)-1))),ABS($P$247-(VALUE(MID(FJ247,FIND("|",FJ247)+1,FIND("-",FJ247,FIND("|",FJ247))-FIND("|",FJ247)-1))-VALUE(MID(FJ247,FIND("-",FJ247,FIND("|",FJ247))+1,10)))))*$D$50)))))*$I$247,0),0),0)
+IFERROR(IF(LEFT(FJ247,FIND("·",FJ247)-1)=$C$247,IF($D$247=IFERROR(VALUE(MID(FJ247,FIND("·",FJ247)+1,1)),0),($D$36+($E$247=MID(FJ247,FIND("|",FJ247)+1,10))*$D$38+MAX(0,IF($D$50=1,$D$37*(1-(ABS($Q$247-(VALUE(MID(FJ247,FIND("|",FJ247)+1,FIND("-",FJ247,FIND("|",FJ247))-FIND("|",FJ247)-1))-VALUE(MID(FJ247,FIND("-",FJ247,FIND("|",FJ247))+1,10)))))*$D$50),$D$37*(1-(IF($D$247=0,ABS($A$247-VALUE(MID(FJ247,FIND("|",FJ247)+1,FIND("-",FJ247,FIND("|",FJ247))-FIND("|",FJ247)-1))),ABS($Q$247-(VALUE(MID(FJ247,FIND("|",FJ247)+1,FIND("-",FJ247,FIND("|",FJ247))-FIND("|",FJ247)-1))-VALUE(MID(FJ247,FIND("-",FJ247,FIND("|",FJ247))+1,10)))))*$D$50)))))*$I$247,0),0),0)</f>
        <v>0</v>
      </c>
      <c r="FL247" s="110"/>
      <c r="FM247" s="110"/>
    </row>
    <row r="248" spans="1:169">
      <c r="A248" s="25"/>
      <c r="B248" s="25"/>
      <c r="C248" s="25"/>
      <c r="D248" s="25"/>
      <c r="E248" s="25"/>
      <c r="F248" s="407"/>
      <c r="G248" s="407"/>
      <c r="H248" s="65"/>
      <c r="I248" s="50"/>
      <c r="J248" s="94"/>
      <c r="K248" s="434" t="str">
        <f>Idiomas!D468</f>
        <v>Partido Final</v>
      </c>
      <c r="L248" s="435"/>
      <c r="M248" s="434" t="str">
        <f>"Max: "&amp;SUM($D$36:$D$38)*$I$247</f>
        <v>Max: 4</v>
      </c>
      <c r="N248" s="25"/>
      <c r="O248" s="25"/>
      <c r="P248" s="25"/>
      <c r="Q248" s="25"/>
      <c r="R248" s="17"/>
      <c r="S248" s="84"/>
      <c r="T248" s="71">
        <f>T247</f>
        <v>0</v>
      </c>
      <c r="U248" s="65"/>
      <c r="V248" s="84"/>
      <c r="W248" s="71">
        <f t="shared" ref="W248" si="2086">W247</f>
        <v>0</v>
      </c>
      <c r="X248" s="65"/>
      <c r="Y248" s="84"/>
      <c r="Z248" s="71">
        <f t="shared" ref="Z248" si="2087">Z247</f>
        <v>0</v>
      </c>
      <c r="AA248" s="65"/>
      <c r="AB248" s="84"/>
      <c r="AC248" s="71">
        <f t="shared" ref="AC248" si="2088">AC247</f>
        <v>0</v>
      </c>
      <c r="AD248" s="65"/>
      <c r="AE248" s="84"/>
      <c r="AF248" s="71">
        <f t="shared" ref="AF248" si="2089">AF247</f>
        <v>0</v>
      </c>
      <c r="AG248" s="65"/>
      <c r="AH248" s="84"/>
      <c r="AI248" s="71">
        <f t="shared" ref="AI248" si="2090">AI247</f>
        <v>0</v>
      </c>
      <c r="AJ248" s="65"/>
      <c r="AK248" s="84"/>
      <c r="AL248" s="71">
        <f t="shared" ref="AL248" si="2091">AL247</f>
        <v>0</v>
      </c>
      <c r="AM248" s="65"/>
      <c r="AN248" s="84"/>
      <c r="AO248" s="71">
        <f t="shared" ref="AO248" si="2092">AO247</f>
        <v>0</v>
      </c>
      <c r="AP248" s="65"/>
      <c r="AQ248" s="84"/>
      <c r="AR248" s="71">
        <f t="shared" ref="AR248" si="2093">AR247</f>
        <v>0</v>
      </c>
      <c r="AS248" s="65"/>
      <c r="AT248" s="84"/>
      <c r="AU248" s="71">
        <f t="shared" ref="AU248" si="2094">AU247</f>
        <v>0</v>
      </c>
      <c r="AV248" s="65"/>
      <c r="AW248" s="84"/>
      <c r="AX248" s="71">
        <f t="shared" ref="AX248" si="2095">AX247</f>
        <v>0</v>
      </c>
      <c r="AY248" s="65"/>
      <c r="AZ248" s="84"/>
      <c r="BA248" s="71">
        <f t="shared" ref="BA248" si="2096">BA247</f>
        <v>0</v>
      </c>
      <c r="BB248" s="65"/>
      <c r="BC248" s="84"/>
      <c r="BD248" s="71">
        <f t="shared" ref="BD248" si="2097">BD247</f>
        <v>0</v>
      </c>
      <c r="BE248" s="65"/>
      <c r="BF248" s="84"/>
      <c r="BG248" s="71">
        <f t="shared" ref="BG248" si="2098">BG247</f>
        <v>0</v>
      </c>
      <c r="BH248" s="65"/>
      <c r="BI248" s="84"/>
      <c r="BJ248" s="71">
        <f t="shared" ref="BJ248" si="2099">BJ247</f>
        <v>0</v>
      </c>
      <c r="BK248" s="65"/>
      <c r="BL248" s="84"/>
      <c r="BM248" s="71">
        <f t="shared" ref="BM248" si="2100">BM247</f>
        <v>0</v>
      </c>
      <c r="BN248" s="65"/>
      <c r="BO248" s="84"/>
      <c r="BP248" s="71">
        <f t="shared" ref="BP248" si="2101">BP247</f>
        <v>0</v>
      </c>
      <c r="BQ248" s="65"/>
      <c r="BR248" s="84"/>
      <c r="BS248" s="71">
        <f t="shared" ref="BS248" si="2102">BS247</f>
        <v>0</v>
      </c>
      <c r="BT248" s="65"/>
      <c r="BU248" s="84"/>
      <c r="BV248" s="71">
        <f t="shared" ref="BV248" si="2103">BV247</f>
        <v>0</v>
      </c>
      <c r="BW248" s="65"/>
      <c r="BX248" s="84"/>
      <c r="BY248" s="71">
        <f t="shared" ref="BY248" si="2104">BY247</f>
        <v>0</v>
      </c>
      <c r="BZ248" s="65"/>
      <c r="CA248" s="84"/>
      <c r="CB248" s="71">
        <f t="shared" ref="CB248" si="2105">CB247</f>
        <v>0</v>
      </c>
      <c r="CC248" s="65"/>
      <c r="CD248" s="84"/>
      <c r="CE248" s="71">
        <f t="shared" ref="CE248" si="2106">CE247</f>
        <v>0</v>
      </c>
      <c r="CF248" s="65"/>
      <c r="CG248" s="84"/>
      <c r="CH248" s="71">
        <f t="shared" ref="CH248" si="2107">CH247</f>
        <v>0</v>
      </c>
      <c r="CI248" s="65"/>
      <c r="CJ248" s="84"/>
      <c r="CK248" s="71">
        <f t="shared" ref="CK248" si="2108">CK247</f>
        <v>0</v>
      </c>
      <c r="CL248" s="65"/>
      <c r="CM248" s="84"/>
      <c r="CN248" s="71">
        <f t="shared" ref="CN248" si="2109">CN247</f>
        <v>0</v>
      </c>
      <c r="CO248" s="65"/>
      <c r="CP248" s="84"/>
      <c r="CQ248" s="71">
        <f t="shared" ref="CQ248" si="2110">CQ247</f>
        <v>0</v>
      </c>
      <c r="CR248" s="65"/>
      <c r="CS248" s="84"/>
      <c r="CT248" s="71">
        <f t="shared" ref="CT248" si="2111">CT247</f>
        <v>0</v>
      </c>
      <c r="CU248" s="65"/>
      <c r="CV248" s="84"/>
      <c r="CW248" s="71">
        <f t="shared" ref="CW248" si="2112">CW247</f>
        <v>0</v>
      </c>
      <c r="CX248" s="65"/>
      <c r="CY248" s="84"/>
      <c r="CZ248" s="71">
        <f t="shared" ref="CZ248" si="2113">CZ247</f>
        <v>0</v>
      </c>
      <c r="DA248" s="65"/>
      <c r="DB248" s="84"/>
      <c r="DC248" s="71">
        <f t="shared" ref="DC248" si="2114">DC247</f>
        <v>0</v>
      </c>
      <c r="DD248" s="65"/>
      <c r="DE248" s="84"/>
      <c r="DF248" s="71">
        <f t="shared" ref="DF248" si="2115">DF247</f>
        <v>0</v>
      </c>
      <c r="DG248" s="65"/>
      <c r="DH248" s="84"/>
      <c r="DI248" s="71">
        <f t="shared" ref="DI248" si="2116">DI247</f>
        <v>0</v>
      </c>
      <c r="DJ248" s="65"/>
      <c r="DK248" s="84"/>
      <c r="DL248" s="71">
        <f t="shared" ref="DL248" si="2117">DL247</f>
        <v>0</v>
      </c>
      <c r="DM248" s="65"/>
      <c r="DN248" s="796"/>
      <c r="DO248" s="71">
        <f t="shared" ref="DO248" si="2118">DO247</f>
        <v>0</v>
      </c>
      <c r="DP248" s="65"/>
      <c r="DQ248" s="796"/>
      <c r="DR248" s="71">
        <f t="shared" ref="DR248" si="2119">DR247</f>
        <v>0</v>
      </c>
      <c r="DS248" s="65"/>
      <c r="DT248" s="84"/>
      <c r="DU248" s="71">
        <f t="shared" ref="DU248" si="2120">DU247</f>
        <v>0</v>
      </c>
      <c r="DV248" s="65"/>
      <c r="DW248" s="84"/>
      <c r="DX248" s="71">
        <f t="shared" ref="DX248" si="2121">DX247</f>
        <v>0</v>
      </c>
      <c r="DY248" s="65"/>
      <c r="DZ248" s="84"/>
      <c r="EA248" s="71">
        <f t="shared" ref="EA248" si="2122">EA247</f>
        <v>0</v>
      </c>
      <c r="EB248" s="65"/>
      <c r="EC248" s="84"/>
      <c r="ED248" s="71">
        <f t="shared" ref="ED248" si="2123">ED247</f>
        <v>0</v>
      </c>
      <c r="EE248" s="65"/>
      <c r="EF248" s="84"/>
      <c r="EG248" s="71">
        <f t="shared" ref="EG248" si="2124">EG247</f>
        <v>0</v>
      </c>
      <c r="EH248" s="65"/>
      <c r="EI248" s="84"/>
      <c r="EJ248" s="71">
        <f t="shared" ref="EJ248" si="2125">EJ247</f>
        <v>0</v>
      </c>
      <c r="EK248" s="65"/>
      <c r="EL248" s="84"/>
      <c r="EM248" s="71">
        <f t="shared" ref="EM248" si="2126">EM247</f>
        <v>0</v>
      </c>
      <c r="EN248" s="65"/>
      <c r="EO248" s="84"/>
      <c r="EP248" s="71">
        <f t="shared" ref="EP248" si="2127">EP247</f>
        <v>0</v>
      </c>
      <c r="EQ248" s="65"/>
      <c r="ER248" s="84"/>
      <c r="ES248" s="71">
        <f t="shared" ref="ES248" si="2128">ES247</f>
        <v>0</v>
      </c>
      <c r="ET248" s="65"/>
      <c r="EU248" s="84"/>
      <c r="EV248" s="71">
        <f t="shared" ref="EV248" si="2129">EV247</f>
        <v>0</v>
      </c>
      <c r="EW248" s="65"/>
      <c r="EX248" s="84"/>
      <c r="EY248" s="71">
        <f t="shared" ref="EY248" si="2130">EY247</f>
        <v>0</v>
      </c>
      <c r="EZ248" s="65"/>
      <c r="FA248" s="84"/>
      <c r="FB248" s="71">
        <f t="shared" ref="FB248" si="2131">FB247</f>
        <v>0</v>
      </c>
      <c r="FC248" s="65"/>
      <c r="FD248" s="84"/>
      <c r="FE248" s="71">
        <f t="shared" ref="FE248" si="2132">FE247</f>
        <v>0</v>
      </c>
      <c r="FF248" s="65"/>
      <c r="FG248" s="84"/>
      <c r="FH248" s="71">
        <f t="shared" ref="FH248" si="2133">FH247</f>
        <v>0</v>
      </c>
      <c r="FI248" s="65"/>
      <c r="FJ248" s="84"/>
      <c r="FK248" s="71">
        <f t="shared" ref="FK248" si="2134">FK247</f>
        <v>0</v>
      </c>
      <c r="FL248" s="65"/>
      <c r="FM248" s="65"/>
    </row>
    <row r="249" spans="1:169">
      <c r="A249" s="17"/>
      <c r="B249" s="17"/>
      <c r="C249" s="17"/>
      <c r="D249" s="17"/>
      <c r="E249" s="89"/>
      <c r="F249" s="407"/>
      <c r="G249" s="407"/>
      <c r="H249" s="65"/>
      <c r="I249" s="50"/>
      <c r="J249" s="94"/>
      <c r="K249" s="113" t="str">
        <f>Idiomas!D149</f>
        <v>CUADRO DE HONOR</v>
      </c>
      <c r="L249" s="50"/>
      <c r="M249" s="71"/>
      <c r="N249" s="25"/>
      <c r="O249" s="25"/>
      <c r="P249" s="25"/>
      <c r="Q249" s="25"/>
      <c r="R249" s="17"/>
      <c r="S249" s="84"/>
      <c r="T249" s="71"/>
      <c r="U249" s="65"/>
      <c r="V249" s="84"/>
      <c r="W249" s="71"/>
      <c r="X249" s="65"/>
      <c r="Y249" s="84"/>
      <c r="Z249" s="71"/>
      <c r="AA249" s="65"/>
      <c r="AB249" s="84"/>
      <c r="AC249" s="71"/>
      <c r="AD249" s="65"/>
      <c r="AE249" s="84"/>
      <c r="AF249" s="71"/>
      <c r="AG249" s="65"/>
      <c r="AH249" s="84"/>
      <c r="AI249" s="71"/>
      <c r="AJ249" s="65"/>
      <c r="AK249" s="84"/>
      <c r="AL249" s="71"/>
      <c r="AM249" s="65"/>
      <c r="AN249" s="84"/>
      <c r="AO249" s="71"/>
      <c r="AP249" s="65"/>
      <c r="AQ249" s="84"/>
      <c r="AR249" s="71"/>
      <c r="AS249" s="65"/>
      <c r="AT249" s="84"/>
      <c r="AU249" s="71"/>
      <c r="AV249" s="65"/>
      <c r="AW249" s="84"/>
      <c r="AX249" s="71"/>
      <c r="AY249" s="65"/>
      <c r="AZ249" s="84"/>
      <c r="BA249" s="71"/>
      <c r="BB249" s="65"/>
      <c r="BC249" s="84"/>
      <c r="BD249" s="71"/>
      <c r="BE249" s="65"/>
      <c r="BF249" s="84"/>
      <c r="BG249" s="71"/>
      <c r="BH249" s="65"/>
      <c r="BI249" s="84"/>
      <c r="BJ249" s="71"/>
      <c r="BK249" s="65"/>
      <c r="BL249" s="84"/>
      <c r="BM249" s="71"/>
      <c r="BN249" s="65"/>
      <c r="BO249" s="84"/>
      <c r="BP249" s="71"/>
      <c r="BQ249" s="65"/>
      <c r="BR249" s="84"/>
      <c r="BS249" s="71"/>
      <c r="BT249" s="65"/>
      <c r="BU249" s="84"/>
      <c r="BV249" s="71"/>
      <c r="BW249" s="65"/>
      <c r="BX249" s="84"/>
      <c r="BY249" s="71"/>
      <c r="BZ249" s="65"/>
      <c r="CA249" s="84"/>
      <c r="CB249" s="71"/>
      <c r="CC249" s="65"/>
      <c r="CD249" s="84"/>
      <c r="CE249" s="71"/>
      <c r="CF249" s="65"/>
      <c r="CG249" s="84"/>
      <c r="CH249" s="71"/>
      <c r="CI249" s="65"/>
      <c r="CJ249" s="84"/>
      <c r="CK249" s="71"/>
      <c r="CL249" s="65"/>
      <c r="CM249" s="84"/>
      <c r="CN249" s="71"/>
      <c r="CO249" s="65"/>
      <c r="CP249" s="84"/>
      <c r="CQ249" s="71"/>
      <c r="CR249" s="65"/>
      <c r="CS249" s="84"/>
      <c r="CT249" s="71"/>
      <c r="CU249" s="65"/>
      <c r="CV249" s="84"/>
      <c r="CW249" s="71"/>
      <c r="CX249" s="65"/>
      <c r="CY249" s="84"/>
      <c r="CZ249" s="71"/>
      <c r="DA249" s="65"/>
      <c r="DB249" s="84"/>
      <c r="DC249" s="71"/>
      <c r="DD249" s="65"/>
      <c r="DE249" s="84"/>
      <c r="DF249" s="71"/>
      <c r="DG249" s="65"/>
      <c r="DH249" s="84"/>
      <c r="DI249" s="71"/>
      <c r="DJ249" s="65"/>
      <c r="DK249" s="84"/>
      <c r="DL249" s="71"/>
      <c r="DM249" s="65"/>
      <c r="DN249" s="796"/>
      <c r="DO249" s="71"/>
      <c r="DP249" s="65"/>
      <c r="DQ249" s="796"/>
      <c r="DR249" s="71"/>
      <c r="DS249" s="65"/>
      <c r="DT249" s="84"/>
      <c r="DU249" s="71"/>
      <c r="DV249" s="65"/>
      <c r="DW249" s="84"/>
      <c r="DX249" s="71"/>
      <c r="DY249" s="65"/>
      <c r="DZ249" s="84"/>
      <c r="EA249" s="71"/>
      <c r="EB249" s="65"/>
      <c r="EC249" s="84"/>
      <c r="ED249" s="71"/>
      <c r="EE249" s="65"/>
      <c r="EF249" s="84"/>
      <c r="EG249" s="71"/>
      <c r="EH249" s="65"/>
      <c r="EI249" s="84"/>
      <c r="EJ249" s="71"/>
      <c r="EK249" s="65"/>
      <c r="EL249" s="84"/>
      <c r="EM249" s="71"/>
      <c r="EN249" s="65"/>
      <c r="EO249" s="84"/>
      <c r="EP249" s="71"/>
      <c r="EQ249" s="65"/>
      <c r="ER249" s="84"/>
      <c r="ES249" s="71"/>
      <c r="ET249" s="65"/>
      <c r="EU249" s="84"/>
      <c r="EV249" s="71"/>
      <c r="EW249" s="65"/>
      <c r="EX249" s="84"/>
      <c r="EY249" s="71"/>
      <c r="EZ249" s="65"/>
      <c r="FA249" s="84"/>
      <c r="FB249" s="71"/>
      <c r="FC249" s="65"/>
      <c r="FD249" s="84"/>
      <c r="FE249" s="71"/>
      <c r="FF249" s="65"/>
      <c r="FG249" s="84"/>
      <c r="FH249" s="71"/>
      <c r="FI249" s="65"/>
      <c r="FJ249" s="84"/>
      <c r="FK249" s="71"/>
      <c r="FL249" s="65"/>
      <c r="FM249" s="65"/>
    </row>
    <row r="250" spans="1:169" ht="16.05" customHeight="1">
      <c r="A250" s="17"/>
      <c r="B250" s="17"/>
      <c r="C250" s="17"/>
      <c r="D250" s="17"/>
      <c r="E250" s="89"/>
      <c r="F250" s="407">
        <f t="shared" ref="F250:F258" si="2135">D39</f>
        <v>20</v>
      </c>
      <c r="G250" s="407">
        <f ca="1">VLOOKUP(H250,Equipos!$Q$1:$R$25,2,0)</f>
        <v>24</v>
      </c>
      <c r="H250" s="65" t="str">
        <f>Idiomas!$D$264</f>
        <v>3-4 &amp; Final</v>
      </c>
      <c r="I250" s="50"/>
      <c r="J250" s="100"/>
      <c r="K250" s="53" t="str">
        <f>WORLDCUP!W150</f>
        <v>🥇Campeón</v>
      </c>
      <c r="L250" s="53"/>
      <c r="M250" s="55" t="str">
        <f>WORLDCUP!AA150</f>
        <v>WF</v>
      </c>
      <c r="N250" s="25"/>
      <c r="O250" s="25"/>
      <c r="P250" s="25"/>
      <c r="Q250" s="25"/>
      <c r="R250" s="17"/>
      <c r="S250" s="76" t="s">
        <v>77</v>
      </c>
      <c r="T250" s="77">
        <f>COUNTIF($M$250,S250)*$D$39</f>
        <v>0</v>
      </c>
      <c r="U250" s="64"/>
      <c r="V250" s="76" t="s">
        <v>38</v>
      </c>
      <c r="W250" s="77">
        <f t="shared" ref="W250" si="2136">COUNTIF($M$250,V250)*$D$39</f>
        <v>0</v>
      </c>
      <c r="X250" s="64"/>
      <c r="Y250" s="76" t="s">
        <v>38</v>
      </c>
      <c r="Z250" s="77">
        <f t="shared" ref="Z250" si="2137">COUNTIF($M$250,Y250)*$D$39</f>
        <v>0</v>
      </c>
      <c r="AA250" s="64"/>
      <c r="AB250" s="76" t="s">
        <v>74</v>
      </c>
      <c r="AC250" s="77">
        <f t="shared" ref="AC250" si="2138">COUNTIF($M$250,AB250)*$D$39</f>
        <v>0</v>
      </c>
      <c r="AD250" s="64"/>
      <c r="AE250" s="76" t="s">
        <v>74</v>
      </c>
      <c r="AF250" s="77">
        <f t="shared" ref="AF250" si="2139">COUNTIF($M$250,AE250)*$D$39</f>
        <v>0</v>
      </c>
      <c r="AG250" s="64"/>
      <c r="AH250" s="76" t="s">
        <v>38</v>
      </c>
      <c r="AI250" s="77">
        <f t="shared" ref="AI250" si="2140">COUNTIF($M$250,AH250)*$D$39</f>
        <v>0</v>
      </c>
      <c r="AJ250" s="64"/>
      <c r="AK250" s="76" t="s">
        <v>79</v>
      </c>
      <c r="AL250" s="77">
        <f t="shared" ref="AL250" si="2141">COUNTIF($M$250,AK250)*$D$39</f>
        <v>0</v>
      </c>
      <c r="AM250" s="64"/>
      <c r="AN250" s="76" t="s">
        <v>79</v>
      </c>
      <c r="AO250" s="77">
        <f t="shared" ref="AO250" si="2142">COUNTIF($M$250,AN250)*$D$39</f>
        <v>0</v>
      </c>
      <c r="AP250" s="64"/>
      <c r="AQ250" s="76" t="s">
        <v>38</v>
      </c>
      <c r="AR250" s="77">
        <f t="shared" ref="AR250" si="2143">COUNTIF($M$250,AQ250)*$D$39</f>
        <v>0</v>
      </c>
      <c r="AS250" s="64"/>
      <c r="AT250" s="76" t="s">
        <v>79</v>
      </c>
      <c r="AU250" s="77">
        <f t="shared" ref="AU250" si="2144">COUNTIF($M$250,AT250)*$D$39</f>
        <v>0</v>
      </c>
      <c r="AV250" s="64"/>
      <c r="AW250" s="76" t="s">
        <v>79</v>
      </c>
      <c r="AX250" s="77">
        <f t="shared" ref="AX250" si="2145">COUNTIF($M$250,AW250)*$D$39</f>
        <v>0</v>
      </c>
      <c r="AY250" s="64"/>
      <c r="AZ250" s="76" t="s">
        <v>38</v>
      </c>
      <c r="BA250" s="77">
        <f t="shared" ref="BA250" si="2146">COUNTIF($M$250,AZ250)*$D$39</f>
        <v>0</v>
      </c>
      <c r="BB250" s="64"/>
      <c r="BC250" s="76" t="s">
        <v>1258</v>
      </c>
      <c r="BD250" s="77">
        <f t="shared" ref="BD250" si="2147">COUNTIF($M$250,BC250)*$D$39</f>
        <v>0</v>
      </c>
      <c r="BE250" s="64"/>
      <c r="BF250" s="76" t="s">
        <v>38</v>
      </c>
      <c r="BG250" s="77">
        <f t="shared" ref="BG250" si="2148">COUNTIF($M$250,BF250)*$D$39</f>
        <v>0</v>
      </c>
      <c r="BH250" s="64"/>
      <c r="BI250" s="76" t="s">
        <v>38</v>
      </c>
      <c r="BJ250" s="77">
        <f t="shared" ref="BJ250" si="2149">COUNTIF($M$250,BI250)*$D$39</f>
        <v>0</v>
      </c>
      <c r="BK250" s="64"/>
      <c r="BL250" s="76" t="s">
        <v>38</v>
      </c>
      <c r="BM250" s="77">
        <f t="shared" ref="BM250" si="2150">COUNTIF($M$250,BL250)*$D$39</f>
        <v>0</v>
      </c>
      <c r="BN250" s="64"/>
      <c r="BO250" s="76" t="s">
        <v>38</v>
      </c>
      <c r="BP250" s="77">
        <f t="shared" ref="BP250" si="2151">COUNTIF($M$250,BO250)*$D$39</f>
        <v>0</v>
      </c>
      <c r="BQ250" s="64"/>
      <c r="BR250" s="76" t="s">
        <v>79</v>
      </c>
      <c r="BS250" s="77">
        <f t="shared" ref="BS250" si="2152">COUNTIF($M$250,BR250)*$D$39</f>
        <v>0</v>
      </c>
      <c r="BT250" s="64"/>
      <c r="BU250" s="76" t="s">
        <v>38</v>
      </c>
      <c r="BV250" s="77">
        <f t="shared" ref="BV250" si="2153">COUNTIF($M$250,BU250)*$D$39</f>
        <v>0</v>
      </c>
      <c r="BW250" s="64"/>
      <c r="BX250" s="76" t="s">
        <v>74</v>
      </c>
      <c r="BY250" s="77">
        <f t="shared" ref="BY250" si="2154">COUNTIF($M$250,BX250)*$D$39</f>
        <v>0</v>
      </c>
      <c r="BZ250" s="64"/>
      <c r="CA250" s="76" t="s">
        <v>38</v>
      </c>
      <c r="CB250" s="77">
        <f t="shared" ref="CB250" si="2155">COUNTIF($M$250,CA250)*$D$39</f>
        <v>0</v>
      </c>
      <c r="CC250" s="64"/>
      <c r="CD250" s="76" t="s">
        <v>79</v>
      </c>
      <c r="CE250" s="77">
        <f t="shared" ref="CE250" si="2156">COUNTIF($M$250,CD250)*$D$39</f>
        <v>0</v>
      </c>
      <c r="CF250" s="64"/>
      <c r="CG250" s="76" t="s">
        <v>38</v>
      </c>
      <c r="CH250" s="77">
        <f t="shared" ref="CH250" si="2157">COUNTIF($M$250,CG250)*$D$39</f>
        <v>0</v>
      </c>
      <c r="CI250" s="64"/>
      <c r="CJ250" s="76" t="s">
        <v>38</v>
      </c>
      <c r="CK250" s="77">
        <f t="shared" ref="CK250" si="2158">COUNTIF($M$250,CJ250)*$D$39</f>
        <v>0</v>
      </c>
      <c r="CL250" s="64"/>
      <c r="CM250" s="76" t="s">
        <v>38</v>
      </c>
      <c r="CN250" s="77">
        <f t="shared" ref="CN250" si="2159">COUNTIF($M$250,CM250)*$D$39</f>
        <v>0</v>
      </c>
      <c r="CO250" s="64"/>
      <c r="CP250" s="76" t="s">
        <v>38</v>
      </c>
      <c r="CQ250" s="77">
        <f t="shared" ref="CQ250" si="2160">COUNTIF($M$250,CP250)*$D$39</f>
        <v>0</v>
      </c>
      <c r="CR250" s="64"/>
      <c r="CS250" s="76" t="s">
        <v>38</v>
      </c>
      <c r="CT250" s="77">
        <f t="shared" ref="CT250" si="2161">COUNTIF($M$250,CS250)*$D$39</f>
        <v>0</v>
      </c>
      <c r="CU250" s="64"/>
      <c r="CV250" s="76" t="s">
        <v>79</v>
      </c>
      <c r="CW250" s="77">
        <f t="shared" ref="CW250" si="2162">COUNTIF($M$250,CV250)*$D$39</f>
        <v>0</v>
      </c>
      <c r="CX250" s="64"/>
      <c r="CY250" s="76" t="s">
        <v>76</v>
      </c>
      <c r="CZ250" s="77">
        <f t="shared" ref="CZ250" si="2163">COUNTIF($M$250,CY250)*$D$39</f>
        <v>0</v>
      </c>
      <c r="DA250" s="64"/>
      <c r="DB250" s="76" t="s">
        <v>38</v>
      </c>
      <c r="DC250" s="77">
        <f t="shared" ref="DC250" si="2164">COUNTIF($M$250,DB250)*$D$39</f>
        <v>0</v>
      </c>
      <c r="DD250" s="64"/>
      <c r="DE250" s="76" t="s">
        <v>1258</v>
      </c>
      <c r="DF250" s="77">
        <f t="shared" ref="DF250" si="2165">COUNTIF($M$250,DE250)*$D$39</f>
        <v>0</v>
      </c>
      <c r="DG250" s="64"/>
      <c r="DH250" s="76" t="s">
        <v>79</v>
      </c>
      <c r="DI250" s="77">
        <f t="shared" ref="DI250" si="2166">COUNTIF($M$250,DH250)*$D$39</f>
        <v>0</v>
      </c>
      <c r="DJ250" s="64"/>
      <c r="DK250" s="76" t="s">
        <v>74</v>
      </c>
      <c r="DL250" s="77">
        <f t="shared" ref="DL250" si="2167">COUNTIF($M$250,DK250)*$D$39</f>
        <v>0</v>
      </c>
      <c r="DM250" s="64"/>
      <c r="DN250" s="795" t="s">
        <v>38</v>
      </c>
      <c r="DO250" s="77">
        <f t="shared" ref="DO250" si="2168">COUNTIF($M$250,DN250)*$D$39</f>
        <v>0</v>
      </c>
      <c r="DP250" s="64"/>
      <c r="DQ250" s="795" t="s">
        <v>1258</v>
      </c>
      <c r="DR250" s="77">
        <f t="shared" ref="DR250" si="2169">COUNTIF($M$250,DQ250)*$D$39</f>
        <v>0</v>
      </c>
      <c r="DS250" s="64"/>
      <c r="DT250" s="76" t="s">
        <v>38</v>
      </c>
      <c r="DU250" s="77">
        <f t="shared" ref="DU250" si="2170">COUNTIF($M$250,DT250)*$D$39</f>
        <v>0</v>
      </c>
      <c r="DV250" s="64"/>
      <c r="DW250" s="76" t="s">
        <v>79</v>
      </c>
      <c r="DX250" s="77">
        <f t="shared" ref="DX250" si="2171">COUNTIF($M$250,DW250)*$D$39</f>
        <v>0</v>
      </c>
      <c r="DY250" s="64"/>
      <c r="DZ250" s="76" t="s">
        <v>38</v>
      </c>
      <c r="EA250" s="77">
        <f t="shared" ref="EA250" si="2172">COUNTIF($M$250,DZ250)*$D$39</f>
        <v>0</v>
      </c>
      <c r="EB250" s="64"/>
      <c r="EC250" s="76" t="s">
        <v>38</v>
      </c>
      <c r="ED250" s="77">
        <f t="shared" ref="ED250" si="2173">COUNTIF($M$250,EC250)*$D$39</f>
        <v>0</v>
      </c>
      <c r="EE250" s="64"/>
      <c r="EF250" s="76" t="s">
        <v>38</v>
      </c>
      <c r="EG250" s="77">
        <f t="shared" ref="EG250" si="2174">COUNTIF($M$250,EF250)*$D$39</f>
        <v>0</v>
      </c>
      <c r="EH250" s="64"/>
      <c r="EI250" s="76" t="s">
        <v>38</v>
      </c>
      <c r="EJ250" s="77">
        <f t="shared" ref="EJ250" si="2175">COUNTIF($M$250,EI250)*$D$39</f>
        <v>0</v>
      </c>
      <c r="EK250" s="64"/>
      <c r="EL250" s="76"/>
      <c r="EM250" s="77">
        <f t="shared" ref="EM250" si="2176">COUNTIF($M$250,EL250)*$D$39</f>
        <v>0</v>
      </c>
      <c r="EN250" s="64"/>
      <c r="EO250" s="76"/>
      <c r="EP250" s="77">
        <f t="shared" ref="EP250" si="2177">COUNTIF($M$250,EO250)*$D$39</f>
        <v>0</v>
      </c>
      <c r="EQ250" s="64"/>
      <c r="ER250" s="76"/>
      <c r="ES250" s="77">
        <f t="shared" ref="ES250" si="2178">COUNTIF($M$250,ER250)*$D$39</f>
        <v>0</v>
      </c>
      <c r="ET250" s="64"/>
      <c r="EU250" s="76"/>
      <c r="EV250" s="77">
        <f t="shared" ref="EV250" si="2179">COUNTIF($M$250,EU250)*$D$39</f>
        <v>0</v>
      </c>
      <c r="EW250" s="64"/>
      <c r="EX250" s="76"/>
      <c r="EY250" s="77">
        <f t="shared" ref="EY250" si="2180">COUNTIF($M$250,EX250)*$D$39</f>
        <v>0</v>
      </c>
      <c r="EZ250" s="64"/>
      <c r="FA250" s="76"/>
      <c r="FB250" s="77">
        <f t="shared" ref="FB250" si="2181">COUNTIF($M$250,FA250)*$D$39</f>
        <v>0</v>
      </c>
      <c r="FC250" s="64"/>
      <c r="FD250" s="76"/>
      <c r="FE250" s="77">
        <f t="shared" ref="FE250" si="2182">COUNTIF($M$250,FD250)*$D$39</f>
        <v>0</v>
      </c>
      <c r="FF250" s="64"/>
      <c r="FG250" s="76"/>
      <c r="FH250" s="77">
        <f t="shared" ref="FH250" si="2183">COUNTIF($M$250,FG250)*$D$39</f>
        <v>0</v>
      </c>
      <c r="FI250" s="64"/>
      <c r="FJ250" s="76"/>
      <c r="FK250" s="77">
        <f t="shared" ref="FK250" si="2184">COUNTIF($M$250,FJ250)*$D$39</f>
        <v>0</v>
      </c>
      <c r="FL250" s="64"/>
      <c r="FM250" s="64"/>
    </row>
    <row r="251" spans="1:169" ht="16.05" customHeight="1">
      <c r="A251" s="17"/>
      <c r="B251" s="17"/>
      <c r="C251" s="17"/>
      <c r="D251" s="17"/>
      <c r="E251" s="89"/>
      <c r="F251" s="407">
        <f t="shared" si="2135"/>
        <v>15</v>
      </c>
      <c r="G251" s="407">
        <f ca="1">VLOOKUP(H251,Equipos!$Q$1:$R$25,2,0)</f>
        <v>24</v>
      </c>
      <c r="H251" s="65" t="str">
        <f>Idiomas!$D$264</f>
        <v>3-4 &amp; Final</v>
      </c>
      <c r="I251" s="50"/>
      <c r="J251" s="101"/>
      <c r="K251" s="56" t="str">
        <f>WORLDCUP!W151</f>
        <v>🥈Subcampeón</v>
      </c>
      <c r="L251" s="53"/>
      <c r="M251" s="55" t="str">
        <f>WORLDCUP!AA151</f>
        <v>LF</v>
      </c>
      <c r="N251" s="25"/>
      <c r="O251" s="25"/>
      <c r="P251" s="25"/>
      <c r="Q251" s="25"/>
      <c r="R251" s="17"/>
      <c r="S251" s="74" t="s">
        <v>76</v>
      </c>
      <c r="T251" s="73">
        <f>COUNTIF($M$251,S251)*$D$40</f>
        <v>0</v>
      </c>
      <c r="U251" s="64"/>
      <c r="V251" s="74" t="s">
        <v>79</v>
      </c>
      <c r="W251" s="73">
        <f t="shared" ref="W251" si="2185">COUNTIF($M$251,V251)*$D$40</f>
        <v>0</v>
      </c>
      <c r="X251" s="64"/>
      <c r="Y251" s="74" t="s">
        <v>79</v>
      </c>
      <c r="Z251" s="73">
        <f t="shared" ref="Z251" si="2186">COUNTIF($M$251,Y251)*$D$40</f>
        <v>0</v>
      </c>
      <c r="AA251" s="64"/>
      <c r="AB251" s="74" t="s">
        <v>76</v>
      </c>
      <c r="AC251" s="73">
        <f t="shared" ref="AC251" si="2187">COUNTIF($M$251,AB251)*$D$40</f>
        <v>0</v>
      </c>
      <c r="AD251" s="64"/>
      <c r="AE251" s="74" t="s">
        <v>1258</v>
      </c>
      <c r="AF251" s="73">
        <f t="shared" ref="AF251" si="2188">COUNTIF($M$251,AE251)*$D$40</f>
        <v>0</v>
      </c>
      <c r="AG251" s="64"/>
      <c r="AH251" s="74" t="s">
        <v>1256</v>
      </c>
      <c r="AI251" s="73">
        <f t="shared" ref="AI251" si="2189">COUNTIF($M$251,AH251)*$D$40</f>
        <v>0</v>
      </c>
      <c r="AJ251" s="64"/>
      <c r="AK251" s="74" t="s">
        <v>38</v>
      </c>
      <c r="AL251" s="73">
        <f t="shared" ref="AL251" si="2190">COUNTIF($M$251,AK251)*$D$40</f>
        <v>0</v>
      </c>
      <c r="AM251" s="64"/>
      <c r="AN251" s="74" t="s">
        <v>111</v>
      </c>
      <c r="AO251" s="73">
        <f t="shared" ref="AO251" si="2191">COUNTIF($M$251,AN251)*$D$40</f>
        <v>0</v>
      </c>
      <c r="AP251" s="64"/>
      <c r="AQ251" s="74" t="s">
        <v>1256</v>
      </c>
      <c r="AR251" s="73">
        <f t="shared" ref="AR251" si="2192">COUNTIF($M$251,AQ251)*$D$40</f>
        <v>0</v>
      </c>
      <c r="AS251" s="64"/>
      <c r="AT251" s="74" t="s">
        <v>74</v>
      </c>
      <c r="AU251" s="73">
        <f t="shared" ref="AU251" si="2193">COUNTIF($M$251,AT251)*$D$40</f>
        <v>0</v>
      </c>
      <c r="AV251" s="64"/>
      <c r="AW251" s="74" t="s">
        <v>74</v>
      </c>
      <c r="AX251" s="73">
        <f t="shared" ref="AX251" si="2194">COUNTIF($M$251,AW251)*$D$40</f>
        <v>0</v>
      </c>
      <c r="AY251" s="64"/>
      <c r="AZ251" s="74" t="s">
        <v>79</v>
      </c>
      <c r="BA251" s="73">
        <f t="shared" ref="BA251" si="2195">COUNTIF($M$251,AZ251)*$D$40</f>
        <v>0</v>
      </c>
      <c r="BB251" s="64"/>
      <c r="BC251" s="74" t="s">
        <v>38</v>
      </c>
      <c r="BD251" s="73">
        <f t="shared" ref="BD251" si="2196">COUNTIF($M$251,BC251)*$D$40</f>
        <v>0</v>
      </c>
      <c r="BE251" s="64"/>
      <c r="BF251" s="74" t="s">
        <v>1256</v>
      </c>
      <c r="BG251" s="73">
        <f t="shared" ref="BG251" si="2197">COUNTIF($M$251,BF251)*$D$40</f>
        <v>0</v>
      </c>
      <c r="BH251" s="64"/>
      <c r="BI251" s="74" t="s">
        <v>1258</v>
      </c>
      <c r="BJ251" s="73">
        <f t="shared" ref="BJ251" si="2198">COUNTIF($M$251,BI251)*$D$40</f>
        <v>0</v>
      </c>
      <c r="BK251" s="64"/>
      <c r="BL251" s="74" t="s">
        <v>1256</v>
      </c>
      <c r="BM251" s="73">
        <f t="shared" ref="BM251" si="2199">COUNTIF($M$251,BL251)*$D$40</f>
        <v>0</v>
      </c>
      <c r="BN251" s="64"/>
      <c r="BO251" s="74" t="s">
        <v>79</v>
      </c>
      <c r="BP251" s="73">
        <f t="shared" ref="BP251" si="2200">COUNTIF($M$251,BO251)*$D$40</f>
        <v>0</v>
      </c>
      <c r="BQ251" s="64"/>
      <c r="BR251" s="74" t="s">
        <v>38</v>
      </c>
      <c r="BS251" s="73">
        <f t="shared" ref="BS251" si="2201">COUNTIF($M$251,BR251)*$D$40</f>
        <v>0</v>
      </c>
      <c r="BT251" s="64"/>
      <c r="BU251" s="74" t="s">
        <v>79</v>
      </c>
      <c r="BV251" s="73">
        <f t="shared" ref="BV251" si="2202">COUNTIF($M$251,BU251)*$D$40</f>
        <v>0</v>
      </c>
      <c r="BW251" s="64"/>
      <c r="BX251" s="74" t="s">
        <v>76</v>
      </c>
      <c r="BY251" s="73">
        <f t="shared" ref="BY251" si="2203">COUNTIF($M$251,BX251)*$D$40</f>
        <v>0</v>
      </c>
      <c r="BZ251" s="64"/>
      <c r="CA251" s="74" t="s">
        <v>1256</v>
      </c>
      <c r="CB251" s="73">
        <f t="shared" ref="CB251" si="2204">COUNTIF($M$251,CA251)*$D$40</f>
        <v>0</v>
      </c>
      <c r="CC251" s="64"/>
      <c r="CD251" s="74" t="s">
        <v>74</v>
      </c>
      <c r="CE251" s="73">
        <f t="shared" ref="CE251" si="2205">COUNTIF($M$251,CD251)*$D$40</f>
        <v>0</v>
      </c>
      <c r="CF251" s="64"/>
      <c r="CG251" s="74" t="s">
        <v>1258</v>
      </c>
      <c r="CH251" s="73">
        <f t="shared" ref="CH251" si="2206">COUNTIF($M$251,CG251)*$D$40</f>
        <v>0</v>
      </c>
      <c r="CI251" s="64"/>
      <c r="CJ251" s="74" t="s">
        <v>79</v>
      </c>
      <c r="CK251" s="73">
        <f t="shared" ref="CK251" si="2207">COUNTIF($M$251,CJ251)*$D$40</f>
        <v>0</v>
      </c>
      <c r="CL251" s="64"/>
      <c r="CM251" s="74" t="s">
        <v>79</v>
      </c>
      <c r="CN251" s="73">
        <f t="shared" ref="CN251" si="2208">COUNTIF($M$251,CM251)*$D$40</f>
        <v>0</v>
      </c>
      <c r="CO251" s="64"/>
      <c r="CP251" s="74" t="s">
        <v>79</v>
      </c>
      <c r="CQ251" s="73">
        <f t="shared" ref="CQ251" si="2209">COUNTIF($M$251,CP251)*$D$40</f>
        <v>0</v>
      </c>
      <c r="CR251" s="64"/>
      <c r="CS251" s="74" t="s">
        <v>1256</v>
      </c>
      <c r="CT251" s="73">
        <f t="shared" ref="CT251" si="2210">COUNTIF($M$251,CS251)*$D$40</f>
        <v>0</v>
      </c>
      <c r="CU251" s="64"/>
      <c r="CV251" s="74" t="s">
        <v>38</v>
      </c>
      <c r="CW251" s="73">
        <f t="shared" ref="CW251" si="2211">COUNTIF($M$251,CV251)*$D$40</f>
        <v>0</v>
      </c>
      <c r="CX251" s="64"/>
      <c r="CY251" s="74" t="s">
        <v>74</v>
      </c>
      <c r="CZ251" s="73">
        <f t="shared" ref="CZ251" si="2212">COUNTIF($M$251,CY251)*$D$40</f>
        <v>0</v>
      </c>
      <c r="DA251" s="64"/>
      <c r="DB251" s="74" t="s">
        <v>1256</v>
      </c>
      <c r="DC251" s="73">
        <f t="shared" ref="DC251" si="2213">COUNTIF($M$251,DB251)*$D$40</f>
        <v>0</v>
      </c>
      <c r="DD251" s="64"/>
      <c r="DE251" s="74" t="s">
        <v>77</v>
      </c>
      <c r="DF251" s="73">
        <f t="shared" ref="DF251" si="2214">COUNTIF($M$251,DE251)*$D$40</f>
        <v>0</v>
      </c>
      <c r="DG251" s="64"/>
      <c r="DH251" s="74" t="s">
        <v>74</v>
      </c>
      <c r="DI251" s="73">
        <f t="shared" ref="DI251" si="2215">COUNTIF($M$251,DH251)*$D$40</f>
        <v>0</v>
      </c>
      <c r="DJ251" s="64"/>
      <c r="DK251" s="74" t="s">
        <v>79</v>
      </c>
      <c r="DL251" s="73">
        <f t="shared" ref="DL251" si="2216">COUNTIF($M$251,DK251)*$D$40</f>
        <v>0</v>
      </c>
      <c r="DM251" s="64"/>
      <c r="DN251" s="795" t="s">
        <v>79</v>
      </c>
      <c r="DO251" s="73">
        <f t="shared" ref="DO251" si="2217">COUNTIF($M$251,DN251)*$D$40</f>
        <v>0</v>
      </c>
      <c r="DP251" s="64"/>
      <c r="DQ251" s="795" t="s">
        <v>79</v>
      </c>
      <c r="DR251" s="73">
        <f t="shared" ref="DR251" si="2218">COUNTIF($M$251,DQ251)*$D$40</f>
        <v>0</v>
      </c>
      <c r="DS251" s="64"/>
      <c r="DT251" s="74" t="s">
        <v>1258</v>
      </c>
      <c r="DU251" s="73">
        <f t="shared" ref="DU251" si="2219">COUNTIF($M$251,DT251)*$D$40</f>
        <v>0</v>
      </c>
      <c r="DV251" s="64"/>
      <c r="DW251" s="74" t="s">
        <v>38</v>
      </c>
      <c r="DX251" s="73">
        <f t="shared" ref="DX251" si="2220">COUNTIF($M$251,DW251)*$D$40</f>
        <v>0</v>
      </c>
      <c r="DY251" s="64"/>
      <c r="DZ251" s="74" t="s">
        <v>1256</v>
      </c>
      <c r="EA251" s="73">
        <f t="shared" ref="EA251" si="2221">COUNTIF($M$251,DZ251)*$D$40</f>
        <v>0</v>
      </c>
      <c r="EB251" s="64"/>
      <c r="EC251" s="74" t="s">
        <v>79</v>
      </c>
      <c r="ED251" s="73">
        <f t="shared" ref="ED251" si="2222">COUNTIF($M$251,EC251)*$D$40</f>
        <v>0</v>
      </c>
      <c r="EE251" s="64"/>
      <c r="EF251" s="74" t="s">
        <v>76</v>
      </c>
      <c r="EG251" s="73">
        <f t="shared" ref="EG251" si="2223">COUNTIF($M$251,EF251)*$D$40</f>
        <v>0</v>
      </c>
      <c r="EH251" s="64"/>
      <c r="EI251" s="74" t="s">
        <v>79</v>
      </c>
      <c r="EJ251" s="73">
        <f t="shared" ref="EJ251" si="2224">COUNTIF($M$251,EI251)*$D$40</f>
        <v>0</v>
      </c>
      <c r="EK251" s="64"/>
      <c r="EL251" s="74"/>
      <c r="EM251" s="73">
        <f t="shared" ref="EM251" si="2225">COUNTIF($M$251,EL251)*$D$40</f>
        <v>0</v>
      </c>
      <c r="EN251" s="64"/>
      <c r="EO251" s="74"/>
      <c r="EP251" s="73">
        <f t="shared" ref="EP251" si="2226">COUNTIF($M$251,EO251)*$D$40</f>
        <v>0</v>
      </c>
      <c r="EQ251" s="64"/>
      <c r="ER251" s="74"/>
      <c r="ES251" s="73">
        <f t="shared" ref="ES251" si="2227">COUNTIF($M$251,ER251)*$D$40</f>
        <v>0</v>
      </c>
      <c r="ET251" s="64"/>
      <c r="EU251" s="74"/>
      <c r="EV251" s="73">
        <f t="shared" ref="EV251" si="2228">COUNTIF($M$251,EU251)*$D$40</f>
        <v>0</v>
      </c>
      <c r="EW251" s="64"/>
      <c r="EX251" s="74"/>
      <c r="EY251" s="73">
        <f t="shared" ref="EY251" si="2229">COUNTIF($M$251,EX251)*$D$40</f>
        <v>0</v>
      </c>
      <c r="EZ251" s="64"/>
      <c r="FA251" s="74"/>
      <c r="FB251" s="73">
        <f t="shared" ref="FB251" si="2230">COUNTIF($M$251,FA251)*$D$40</f>
        <v>0</v>
      </c>
      <c r="FC251" s="64"/>
      <c r="FD251" s="74"/>
      <c r="FE251" s="73">
        <f t="shared" ref="FE251" si="2231">COUNTIF($M$251,FD251)*$D$40</f>
        <v>0</v>
      </c>
      <c r="FF251" s="64"/>
      <c r="FG251" s="74"/>
      <c r="FH251" s="73">
        <f t="shared" ref="FH251" si="2232">COUNTIF($M$251,FG251)*$D$40</f>
        <v>0</v>
      </c>
      <c r="FI251" s="64"/>
      <c r="FJ251" s="74"/>
      <c r="FK251" s="73">
        <f t="shared" ref="FK251" si="2233">COUNTIF($M$251,FJ251)*$D$40</f>
        <v>0</v>
      </c>
      <c r="FL251" s="64"/>
      <c r="FM251" s="64"/>
    </row>
    <row r="252" spans="1:169" ht="16.05" customHeight="1">
      <c r="A252" s="17"/>
      <c r="B252" s="17"/>
      <c r="C252" s="17"/>
      <c r="D252" s="17"/>
      <c r="E252" s="89"/>
      <c r="F252" s="407">
        <f t="shared" si="2135"/>
        <v>10</v>
      </c>
      <c r="G252" s="407">
        <f ca="1">VLOOKUP(H252,Equipos!$Q$1:$R$25,2,0)</f>
        <v>24</v>
      </c>
      <c r="H252" s="65" t="str">
        <f>Idiomas!$D$264</f>
        <v>3-4 &amp; Final</v>
      </c>
      <c r="I252" s="50"/>
      <c r="J252" s="101"/>
      <c r="K252" s="56" t="str">
        <f>WORLDCUP!W152</f>
        <v>🥉3º puesto</v>
      </c>
      <c r="L252" s="53"/>
      <c r="M252" s="55" t="str">
        <f>WORLDCUP!AA152</f>
        <v>W34</v>
      </c>
      <c r="N252" s="25"/>
      <c r="O252" s="25"/>
      <c r="P252" s="25"/>
      <c r="Q252" s="25"/>
      <c r="R252" s="17"/>
      <c r="S252" s="74" t="s">
        <v>38</v>
      </c>
      <c r="T252" s="73">
        <f>COUNTIF($M$252,S252)*$D$41</f>
        <v>0</v>
      </c>
      <c r="U252" s="64"/>
      <c r="V252" s="74" t="s">
        <v>74</v>
      </c>
      <c r="W252" s="73">
        <f t="shared" ref="W252" si="2234">COUNTIF($M$252,V252)*$D$41</f>
        <v>0</v>
      </c>
      <c r="X252" s="64"/>
      <c r="Y252" s="74" t="s">
        <v>1258</v>
      </c>
      <c r="Z252" s="73">
        <f t="shared" ref="Z252" si="2235">COUNTIF($M$252,Y252)*$D$41</f>
        <v>0</v>
      </c>
      <c r="AA252" s="64"/>
      <c r="AB252" s="74" t="s">
        <v>38</v>
      </c>
      <c r="AC252" s="73">
        <f t="shared" ref="AC252" si="2236">COUNTIF($M$252,AB252)*$D$41</f>
        <v>0</v>
      </c>
      <c r="AD252" s="64"/>
      <c r="AE252" s="74" t="s">
        <v>38</v>
      </c>
      <c r="AF252" s="73">
        <f t="shared" ref="AF252" si="2237">COUNTIF($M$252,AE252)*$D$41</f>
        <v>0</v>
      </c>
      <c r="AG252" s="64"/>
      <c r="AH252" s="74" t="s">
        <v>74</v>
      </c>
      <c r="AI252" s="73">
        <f t="shared" ref="AI252" si="2238">COUNTIF($M$252,AH252)*$D$41</f>
        <v>0</v>
      </c>
      <c r="AJ252" s="64"/>
      <c r="AK252" s="74" t="s">
        <v>111</v>
      </c>
      <c r="AL252" s="73">
        <f t="shared" ref="AL252" si="2239">COUNTIF($M$252,AK252)*$D$41</f>
        <v>0</v>
      </c>
      <c r="AM252" s="64"/>
      <c r="AN252" s="74" t="s">
        <v>76</v>
      </c>
      <c r="AO252" s="73">
        <f t="shared" ref="AO252" si="2240">COUNTIF($M$252,AN252)*$D$41</f>
        <v>0</v>
      </c>
      <c r="AP252" s="64"/>
      <c r="AQ252" s="74" t="s">
        <v>74</v>
      </c>
      <c r="AR252" s="73">
        <f t="shared" ref="AR252" si="2241">COUNTIF($M$252,AQ252)*$D$41</f>
        <v>0</v>
      </c>
      <c r="AS252" s="64"/>
      <c r="AT252" s="74" t="s">
        <v>38</v>
      </c>
      <c r="AU252" s="73">
        <f t="shared" ref="AU252" si="2242">COUNTIF($M$252,AT252)*$D$41</f>
        <v>0</v>
      </c>
      <c r="AV252" s="64"/>
      <c r="AW252" s="74" t="s">
        <v>38</v>
      </c>
      <c r="AX252" s="73">
        <f t="shared" ref="AX252" si="2243">COUNTIF($M$252,AW252)*$D$41</f>
        <v>0</v>
      </c>
      <c r="AY252" s="64"/>
      <c r="AZ252" s="74" t="s">
        <v>1258</v>
      </c>
      <c r="BA252" s="73">
        <f t="shared" ref="BA252" si="2244">COUNTIF($M$252,AZ252)*$D$41</f>
        <v>0</v>
      </c>
      <c r="BB252" s="64"/>
      <c r="BC252" s="74" t="s">
        <v>79</v>
      </c>
      <c r="BD252" s="73">
        <f t="shared" ref="BD252" si="2245">COUNTIF($M$252,BC252)*$D$41</f>
        <v>0</v>
      </c>
      <c r="BE252" s="64"/>
      <c r="BF252" s="74" t="s">
        <v>74</v>
      </c>
      <c r="BG252" s="73">
        <f t="shared" ref="BG252" si="2246">COUNTIF($M$252,BF252)*$D$41</f>
        <v>0</v>
      </c>
      <c r="BH252" s="64"/>
      <c r="BI252" s="74" t="s">
        <v>79</v>
      </c>
      <c r="BJ252" s="73">
        <f t="shared" ref="BJ252" si="2247">COUNTIF($M$252,BI252)*$D$41</f>
        <v>0</v>
      </c>
      <c r="BK252" s="64"/>
      <c r="BL252" s="74" t="s">
        <v>74</v>
      </c>
      <c r="BM252" s="73">
        <f t="shared" ref="BM252" si="2248">COUNTIF($M$252,BL252)*$D$41</f>
        <v>0</v>
      </c>
      <c r="BN252" s="64"/>
      <c r="BO252" s="74" t="s">
        <v>74</v>
      </c>
      <c r="BP252" s="73">
        <f t="shared" ref="BP252" si="2249">COUNTIF($M$252,BO252)*$D$41</f>
        <v>0</v>
      </c>
      <c r="BQ252" s="64"/>
      <c r="BR252" s="74" t="s">
        <v>1258</v>
      </c>
      <c r="BS252" s="73">
        <f t="shared" ref="BS252" si="2250">COUNTIF($M$252,BR252)*$D$41</f>
        <v>0</v>
      </c>
      <c r="BT252" s="64"/>
      <c r="BU252" s="74" t="s">
        <v>74</v>
      </c>
      <c r="BV252" s="73">
        <f t="shared" ref="BV252" si="2251">COUNTIF($M$252,BU252)*$D$41</f>
        <v>0</v>
      </c>
      <c r="BW252" s="64"/>
      <c r="BX252" s="74" t="s">
        <v>38</v>
      </c>
      <c r="BY252" s="73">
        <f t="shared" ref="BY252" si="2252">COUNTIF($M$252,BX252)*$D$41</f>
        <v>0</v>
      </c>
      <c r="BZ252" s="64"/>
      <c r="CA252" s="74" t="s">
        <v>76</v>
      </c>
      <c r="CB252" s="73">
        <f t="shared" ref="CB252" si="2253">COUNTIF($M$252,CA252)*$D$41</f>
        <v>0</v>
      </c>
      <c r="CC252" s="64"/>
      <c r="CD252" s="74" t="s">
        <v>38</v>
      </c>
      <c r="CE252" s="73">
        <f t="shared" ref="CE252" si="2254">COUNTIF($M$252,CD252)*$D$41</f>
        <v>0</v>
      </c>
      <c r="CF252" s="64"/>
      <c r="CG252" s="74" t="s">
        <v>74</v>
      </c>
      <c r="CH252" s="73">
        <f t="shared" ref="CH252" si="2255">COUNTIF($M$252,CG252)*$D$41</f>
        <v>0</v>
      </c>
      <c r="CI252" s="64"/>
      <c r="CJ252" s="74" t="s">
        <v>74</v>
      </c>
      <c r="CK252" s="73">
        <f t="shared" ref="CK252" si="2256">COUNTIF($M$252,CJ252)*$D$41</f>
        <v>0</v>
      </c>
      <c r="CL252" s="64"/>
      <c r="CM252" s="74" t="s">
        <v>74</v>
      </c>
      <c r="CN252" s="73">
        <f t="shared" ref="CN252" si="2257">COUNTIF($M$252,CM252)*$D$41</f>
        <v>0</v>
      </c>
      <c r="CO252" s="64"/>
      <c r="CP252" s="74" t="s">
        <v>74</v>
      </c>
      <c r="CQ252" s="73">
        <f t="shared" ref="CQ252" si="2258">COUNTIF($M$252,CP252)*$D$41</f>
        <v>0</v>
      </c>
      <c r="CR252" s="64"/>
      <c r="CS252" s="74" t="s">
        <v>74</v>
      </c>
      <c r="CT252" s="73">
        <f t="shared" ref="CT252" si="2259">COUNTIF($M$252,CS252)*$D$41</f>
        <v>0</v>
      </c>
      <c r="CU252" s="64"/>
      <c r="CV252" s="74" t="s">
        <v>74</v>
      </c>
      <c r="CW252" s="73">
        <f t="shared" ref="CW252" si="2260">COUNTIF($M$252,CV252)*$D$41</f>
        <v>0</v>
      </c>
      <c r="CX252" s="64"/>
      <c r="CY252" s="74" t="s">
        <v>38</v>
      </c>
      <c r="CZ252" s="73">
        <f t="shared" ref="CZ252" si="2261">COUNTIF($M$252,CY252)*$D$41</f>
        <v>0</v>
      </c>
      <c r="DA252" s="64"/>
      <c r="DB252" s="74" t="s">
        <v>74</v>
      </c>
      <c r="DC252" s="73">
        <f t="shared" ref="DC252" si="2262">COUNTIF($M$252,DB252)*$D$41</f>
        <v>0</v>
      </c>
      <c r="DD252" s="64"/>
      <c r="DE252" s="74" t="s">
        <v>1256</v>
      </c>
      <c r="DF252" s="73">
        <f t="shared" ref="DF252" si="2263">COUNTIF($M$252,DE252)*$D$41</f>
        <v>0</v>
      </c>
      <c r="DG252" s="64"/>
      <c r="DH252" s="74" t="s">
        <v>38</v>
      </c>
      <c r="DI252" s="73">
        <f t="shared" ref="DI252" si="2264">COUNTIF($M$252,DH252)*$D$41</f>
        <v>0</v>
      </c>
      <c r="DJ252" s="64"/>
      <c r="DK252" s="74" t="s">
        <v>1261</v>
      </c>
      <c r="DL252" s="73">
        <f t="shared" ref="DL252" si="2265">COUNTIF($M$252,DK252)*$D$41</f>
        <v>0</v>
      </c>
      <c r="DM252" s="64"/>
      <c r="DN252" s="795" t="s">
        <v>1258</v>
      </c>
      <c r="DO252" s="73">
        <f t="shared" ref="DO252" si="2266">COUNTIF($M$252,DN252)*$D$41</f>
        <v>0</v>
      </c>
      <c r="DP252" s="64"/>
      <c r="DQ252" s="795" t="s">
        <v>76</v>
      </c>
      <c r="DR252" s="73">
        <f t="shared" ref="DR252" si="2267">COUNTIF($M$252,DQ252)*$D$41</f>
        <v>0</v>
      </c>
      <c r="DS252" s="64"/>
      <c r="DT252" s="74" t="s">
        <v>77</v>
      </c>
      <c r="DU252" s="73">
        <f t="shared" ref="DU252" si="2268">COUNTIF($M$252,DT252)*$D$41</f>
        <v>0</v>
      </c>
      <c r="DV252" s="64"/>
      <c r="DW252" s="74" t="s">
        <v>74</v>
      </c>
      <c r="DX252" s="73">
        <f t="shared" ref="DX252" si="2269">COUNTIF($M$252,DW252)*$D$41</f>
        <v>0</v>
      </c>
      <c r="DY252" s="64"/>
      <c r="DZ252" s="74" t="s">
        <v>77</v>
      </c>
      <c r="EA252" s="73">
        <f t="shared" ref="EA252" si="2270">COUNTIF($M$252,DZ252)*$D$41</f>
        <v>0</v>
      </c>
      <c r="EB252" s="64"/>
      <c r="EC252" s="74" t="s">
        <v>1258</v>
      </c>
      <c r="ED252" s="73">
        <f t="shared" ref="ED252" si="2271">COUNTIF($M$252,EC252)*$D$41</f>
        <v>0</v>
      </c>
      <c r="EE252" s="64"/>
      <c r="EF252" s="74" t="s">
        <v>1318</v>
      </c>
      <c r="EG252" s="73">
        <f t="shared" ref="EG252" si="2272">COUNTIF($M$252,EF252)*$D$41</f>
        <v>0</v>
      </c>
      <c r="EH252" s="64"/>
      <c r="EI252" s="74" t="s">
        <v>74</v>
      </c>
      <c r="EJ252" s="73">
        <f t="shared" ref="EJ252" si="2273">COUNTIF($M$252,EI252)*$D$41</f>
        <v>0</v>
      </c>
      <c r="EK252" s="64"/>
      <c r="EL252" s="74"/>
      <c r="EM252" s="73">
        <f t="shared" ref="EM252" si="2274">COUNTIF($M$252,EL252)*$D$41</f>
        <v>0</v>
      </c>
      <c r="EN252" s="64"/>
      <c r="EO252" s="74"/>
      <c r="EP252" s="73">
        <f t="shared" ref="EP252" si="2275">COUNTIF($M$252,EO252)*$D$41</f>
        <v>0</v>
      </c>
      <c r="EQ252" s="64"/>
      <c r="ER252" s="74"/>
      <c r="ES252" s="73">
        <f t="shared" ref="ES252" si="2276">COUNTIF($M$252,ER252)*$D$41</f>
        <v>0</v>
      </c>
      <c r="ET252" s="64"/>
      <c r="EU252" s="74"/>
      <c r="EV252" s="73">
        <f t="shared" ref="EV252" si="2277">COUNTIF($M$252,EU252)*$D$41</f>
        <v>0</v>
      </c>
      <c r="EW252" s="64"/>
      <c r="EX252" s="74"/>
      <c r="EY252" s="73">
        <f t="shared" ref="EY252" si="2278">COUNTIF($M$252,EX252)*$D$41</f>
        <v>0</v>
      </c>
      <c r="EZ252" s="64"/>
      <c r="FA252" s="74"/>
      <c r="FB252" s="73">
        <f t="shared" ref="FB252" si="2279">COUNTIF($M$252,FA252)*$D$41</f>
        <v>0</v>
      </c>
      <c r="FC252" s="64"/>
      <c r="FD252" s="74"/>
      <c r="FE252" s="73">
        <f t="shared" ref="FE252" si="2280">COUNTIF($M$252,FD252)*$D$41</f>
        <v>0</v>
      </c>
      <c r="FF252" s="64"/>
      <c r="FG252" s="74"/>
      <c r="FH252" s="73">
        <f t="shared" ref="FH252" si="2281">COUNTIF($M$252,FG252)*$D$41</f>
        <v>0</v>
      </c>
      <c r="FI252" s="64"/>
      <c r="FJ252" s="74"/>
      <c r="FK252" s="73">
        <f t="shared" ref="FK252" si="2282">COUNTIF($M$252,FJ252)*$D$41</f>
        <v>0</v>
      </c>
      <c r="FL252" s="64"/>
      <c r="FM252" s="64"/>
    </row>
    <row r="253" spans="1:169" ht="16.05" customHeight="1">
      <c r="A253" s="17"/>
      <c r="B253" s="17"/>
      <c r="C253" s="17"/>
      <c r="D253" s="17"/>
      <c r="E253" s="89"/>
      <c r="F253" s="407">
        <f t="shared" si="2135"/>
        <v>20</v>
      </c>
      <c r="G253" s="407">
        <f ca="1">VLOOKUP(H253,Equipos!$Q$1:$R$25,2,0)</f>
        <v>24</v>
      </c>
      <c r="H253" s="65" t="str">
        <f>Idiomas!$D$264</f>
        <v>3-4 &amp; Final</v>
      </c>
      <c r="I253" s="50"/>
      <c r="J253" s="102"/>
      <c r="K253" s="56" t="str">
        <f>WORLDCUP!W154</f>
        <v>Bota de Oro  (máximo goleador)</v>
      </c>
      <c r="L253" s="53"/>
      <c r="M253" s="55" t="str">
        <f>WORLDCUP!AA154</f>
        <v>Escribe el jugador Bota de Oro</v>
      </c>
      <c r="N253" s="25"/>
      <c r="O253" s="25"/>
      <c r="P253" s="25"/>
      <c r="Q253" s="25"/>
      <c r="R253" s="17"/>
      <c r="S253" s="74" t="s">
        <v>1996</v>
      </c>
      <c r="T253" s="73">
        <f>COUNTIF($M$253,S253)*$D$42</f>
        <v>0</v>
      </c>
      <c r="U253" s="64"/>
      <c r="V253" s="74" t="s">
        <v>2035</v>
      </c>
      <c r="W253" s="73">
        <f t="shared" ref="W253" si="2283">COUNTIF($M$253,V253)*$D$42</f>
        <v>0</v>
      </c>
      <c r="X253" s="64"/>
      <c r="Y253" s="74" t="s">
        <v>2069</v>
      </c>
      <c r="Z253" s="73">
        <f t="shared" ref="Z253" si="2284">COUNTIF($M$253,Y253)*$D$42</f>
        <v>0</v>
      </c>
      <c r="AA253" s="64"/>
      <c r="AB253" s="74" t="s">
        <v>2035</v>
      </c>
      <c r="AC253" s="73">
        <f t="shared" ref="AC253" si="2285">COUNTIF($M$253,AB253)*$D$42</f>
        <v>0</v>
      </c>
      <c r="AD253" s="64"/>
      <c r="AE253" s="74" t="s">
        <v>2124</v>
      </c>
      <c r="AF253" s="73">
        <f t="shared" ref="AF253" si="2286">COUNTIF($M$253,AE253)*$D$42</f>
        <v>0</v>
      </c>
      <c r="AG253" s="64"/>
      <c r="AH253" s="74" t="s">
        <v>2124</v>
      </c>
      <c r="AI253" s="73">
        <f t="shared" ref="AI253" si="2287">COUNTIF($M$253,AH253)*$D$42</f>
        <v>0</v>
      </c>
      <c r="AJ253" s="64"/>
      <c r="AK253" s="74" t="s">
        <v>1996</v>
      </c>
      <c r="AL253" s="73">
        <f t="shared" ref="AL253" si="2288">COUNTIF($M$253,AK253)*$D$42</f>
        <v>0</v>
      </c>
      <c r="AM253" s="64"/>
      <c r="AN253" s="74" t="s">
        <v>1996</v>
      </c>
      <c r="AO253" s="73">
        <f t="shared" ref="AO253" si="2289">COUNTIF($M$253,AN253)*$D$42</f>
        <v>0</v>
      </c>
      <c r="AP253" s="64"/>
      <c r="AQ253" s="74" t="s">
        <v>2237</v>
      </c>
      <c r="AR253" s="73">
        <f t="shared" ref="AR253" si="2290">COUNTIF($M$253,AQ253)*$D$42</f>
        <v>0</v>
      </c>
      <c r="AS253" s="64"/>
      <c r="AT253" s="74" t="s">
        <v>2124</v>
      </c>
      <c r="AU253" s="73">
        <f t="shared" ref="AU253" si="2291">COUNTIF($M$253,AT253)*$D$42</f>
        <v>0</v>
      </c>
      <c r="AV253" s="64"/>
      <c r="AW253" s="74" t="s">
        <v>2287</v>
      </c>
      <c r="AX253" s="73">
        <f t="shared" ref="AX253" si="2292">COUNTIF($M$253,AW253)*$D$42</f>
        <v>0</v>
      </c>
      <c r="AY253" s="64"/>
      <c r="AZ253" s="74" t="s">
        <v>2069</v>
      </c>
      <c r="BA253" s="73">
        <f t="shared" ref="BA253" si="2293">COUNTIF($M$253,AZ253)*$D$42</f>
        <v>0</v>
      </c>
      <c r="BB253" s="64"/>
      <c r="BC253" s="74" t="s">
        <v>2338</v>
      </c>
      <c r="BD253" s="73">
        <f t="shared" ref="BD253" si="2294">COUNTIF($M$253,BC253)*$D$42</f>
        <v>0</v>
      </c>
      <c r="BE253" s="64"/>
      <c r="BF253" s="74" t="s">
        <v>2124</v>
      </c>
      <c r="BG253" s="73">
        <f t="shared" ref="BG253" si="2295">COUNTIF($M$253,BF253)*$D$42</f>
        <v>0</v>
      </c>
      <c r="BH253" s="64"/>
      <c r="BI253" s="74" t="s">
        <v>1996</v>
      </c>
      <c r="BJ253" s="73">
        <f t="shared" ref="BJ253" si="2296">COUNTIF($M$253,BI253)*$D$42</f>
        <v>0</v>
      </c>
      <c r="BK253" s="64"/>
      <c r="BL253" s="74" t="s">
        <v>2395</v>
      </c>
      <c r="BM253" s="73">
        <f t="shared" ref="BM253" si="2297">COUNTIF($M$253,BL253)*$D$42</f>
        <v>0</v>
      </c>
      <c r="BN253" s="64"/>
      <c r="BO253" s="74" t="s">
        <v>2035</v>
      </c>
      <c r="BP253" s="73">
        <f t="shared" ref="BP253" si="2298">COUNTIF($M$253,BO253)*$D$42</f>
        <v>0</v>
      </c>
      <c r="BQ253" s="64"/>
      <c r="BR253" s="74" t="s">
        <v>2124</v>
      </c>
      <c r="BS253" s="73">
        <f t="shared" ref="BS253" si="2299">COUNTIF($M$253,BR253)*$D$42</f>
        <v>0</v>
      </c>
      <c r="BT253" s="64"/>
      <c r="BU253" s="74" t="s">
        <v>2071</v>
      </c>
      <c r="BV253" s="73">
        <f t="shared" ref="BV253" si="2300">COUNTIF($M$253,BU253)*$D$42</f>
        <v>0</v>
      </c>
      <c r="BW253" s="64"/>
      <c r="BX253" s="74" t="s">
        <v>1996</v>
      </c>
      <c r="BY253" s="73">
        <f t="shared" ref="BY253" si="2301">COUNTIF($M$253,BX253)*$D$42</f>
        <v>0</v>
      </c>
      <c r="BZ253" s="64"/>
      <c r="CA253" s="74" t="s">
        <v>1996</v>
      </c>
      <c r="CB253" s="73">
        <f t="shared" ref="CB253" si="2302">COUNTIF($M$253,CA253)*$D$42</f>
        <v>0</v>
      </c>
      <c r="CC253" s="64"/>
      <c r="CD253" s="74" t="s">
        <v>2499</v>
      </c>
      <c r="CE253" s="73">
        <f t="shared" ref="CE253" si="2303">COUNTIF($M$253,CD253)*$D$42</f>
        <v>0</v>
      </c>
      <c r="CF253" s="64"/>
      <c r="CG253" s="74" t="s">
        <v>2126</v>
      </c>
      <c r="CH253" s="73">
        <f t="shared" ref="CH253" si="2304">COUNTIF($M$253,CG253)*$D$42</f>
        <v>0</v>
      </c>
      <c r="CI253" s="64"/>
      <c r="CJ253" s="74" t="s">
        <v>2035</v>
      </c>
      <c r="CK253" s="73">
        <f t="shared" ref="CK253" si="2305">COUNTIF($M$253,CJ253)*$D$42</f>
        <v>0</v>
      </c>
      <c r="CL253" s="64"/>
      <c r="CM253" s="74" t="s">
        <v>2125</v>
      </c>
      <c r="CN253" s="73">
        <f t="shared" ref="CN253" si="2306">COUNTIF($M$253,CM253)*$D$42</f>
        <v>0</v>
      </c>
      <c r="CO253" s="64"/>
      <c r="CP253" s="74" t="s">
        <v>2071</v>
      </c>
      <c r="CQ253" s="73">
        <f t="shared" ref="CQ253" si="2307">COUNTIF($M$253,CP253)*$D$42</f>
        <v>0</v>
      </c>
      <c r="CR253" s="64"/>
      <c r="CS253" s="74" t="s">
        <v>2095</v>
      </c>
      <c r="CT253" s="73">
        <f t="shared" ref="CT253" si="2308">COUNTIF($M$253,CS253)*$D$42</f>
        <v>0</v>
      </c>
      <c r="CU253" s="64"/>
      <c r="CV253" s="74" t="s">
        <v>2580</v>
      </c>
      <c r="CW253" s="73">
        <f t="shared" ref="CW253" si="2309">COUNTIF($M$253,CV253)*$D$42</f>
        <v>0</v>
      </c>
      <c r="CX253" s="64"/>
      <c r="CY253" s="74" t="s">
        <v>2125</v>
      </c>
      <c r="CZ253" s="73">
        <f t="shared" ref="CZ253" si="2310">COUNTIF($M$253,CY253)*$D$42</f>
        <v>0</v>
      </c>
      <c r="DA253" s="64"/>
      <c r="DB253" s="74" t="s">
        <v>2071</v>
      </c>
      <c r="DC253" s="73">
        <f t="shared" ref="DC253" si="2311">COUNTIF($M$253,DB253)*$D$42</f>
        <v>0</v>
      </c>
      <c r="DD253" s="64"/>
      <c r="DE253" s="74" t="s">
        <v>2339</v>
      </c>
      <c r="DF253" s="73">
        <f t="shared" ref="DF253" si="2312">COUNTIF($M$253,DE253)*$D$42</f>
        <v>0</v>
      </c>
      <c r="DG253" s="64"/>
      <c r="DH253" s="74" t="s">
        <v>2651</v>
      </c>
      <c r="DI253" s="73">
        <f t="shared" ref="DI253" si="2313">COUNTIF($M$253,DH253)*$D$42</f>
        <v>0</v>
      </c>
      <c r="DJ253" s="64"/>
      <c r="DK253" s="74" t="s">
        <v>2071</v>
      </c>
      <c r="DL253" s="73">
        <f t="shared" ref="DL253" si="2314">COUNTIF($M$253,DK253)*$D$42</f>
        <v>0</v>
      </c>
      <c r="DM253" s="64"/>
      <c r="DN253" s="795" t="s">
        <v>2035</v>
      </c>
      <c r="DO253" s="73">
        <f t="shared" ref="DO253" si="2315">COUNTIF($M$253,DN253)*$D$42</f>
        <v>0</v>
      </c>
      <c r="DP253" s="64"/>
      <c r="DQ253" s="795" t="s">
        <v>2580</v>
      </c>
      <c r="DR253" s="73">
        <f t="shared" ref="DR253" si="2316">COUNTIF($M$253,DQ253)*$D$42</f>
        <v>0</v>
      </c>
      <c r="DS253" s="64"/>
      <c r="DT253" s="74" t="s">
        <v>2071</v>
      </c>
      <c r="DU253" s="73">
        <f t="shared" ref="DU253" si="2317">COUNTIF($M$253,DT253)*$D$42</f>
        <v>0</v>
      </c>
      <c r="DV253" s="64"/>
      <c r="DW253" s="74" t="s">
        <v>2748</v>
      </c>
      <c r="DX253" s="73">
        <f t="shared" ref="DX253" si="2318">COUNTIF($M$253,DW253)*$D$42</f>
        <v>0</v>
      </c>
      <c r="DY253" s="64"/>
      <c r="DZ253" s="74" t="s">
        <v>2289</v>
      </c>
      <c r="EA253" s="73">
        <f t="shared" ref="EA253" si="2319">COUNTIF($M$253,DZ253)*$D$42</f>
        <v>0</v>
      </c>
      <c r="EB253" s="64"/>
      <c r="EC253" s="74" t="s">
        <v>2069</v>
      </c>
      <c r="ED253" s="73">
        <f t="shared" ref="ED253" si="2320">COUNTIF($M$253,EC253)*$D$42</f>
        <v>0</v>
      </c>
      <c r="EE253" s="64"/>
      <c r="EF253" s="74" t="s">
        <v>1996</v>
      </c>
      <c r="EG253" s="73">
        <f t="shared" ref="EG253" si="2321">COUNTIF($M$253,EF253)*$D$42</f>
        <v>0</v>
      </c>
      <c r="EH253" s="64"/>
      <c r="EI253" s="74" t="s">
        <v>2035</v>
      </c>
      <c r="EJ253" s="73">
        <f t="shared" ref="EJ253" si="2322">COUNTIF($M$253,EI253)*$D$42</f>
        <v>0</v>
      </c>
      <c r="EK253" s="64"/>
      <c r="EL253" s="74" t="str">
        <f>Idiomas!$D$373</f>
        <v>Pegar Valores Cuadro de Honor</v>
      </c>
      <c r="EM253" s="73">
        <f t="shared" ref="EM253" si="2323">COUNTIF($M$253,EL253)*$D$42</f>
        <v>0</v>
      </c>
      <c r="EN253" s="64"/>
      <c r="EO253" s="74" t="str">
        <f>Idiomas!$D$373</f>
        <v>Pegar Valores Cuadro de Honor</v>
      </c>
      <c r="EP253" s="73">
        <f t="shared" ref="EP253" si="2324">COUNTIF($M$253,EO253)*$D$42</f>
        <v>0</v>
      </c>
      <c r="EQ253" s="64"/>
      <c r="ER253" s="74" t="str">
        <f>Idiomas!$D$373</f>
        <v>Pegar Valores Cuadro de Honor</v>
      </c>
      <c r="ES253" s="73">
        <f t="shared" ref="ES253" si="2325">COUNTIF($M$253,ER253)*$D$42</f>
        <v>0</v>
      </c>
      <c r="ET253" s="64"/>
      <c r="EU253" s="74" t="str">
        <f>Idiomas!$D$373</f>
        <v>Pegar Valores Cuadro de Honor</v>
      </c>
      <c r="EV253" s="73">
        <f t="shared" ref="EV253" si="2326">COUNTIF($M$253,EU253)*$D$42</f>
        <v>0</v>
      </c>
      <c r="EW253" s="64"/>
      <c r="EX253" s="74" t="str">
        <f>Idiomas!$D$373</f>
        <v>Pegar Valores Cuadro de Honor</v>
      </c>
      <c r="EY253" s="73">
        <f t="shared" ref="EY253" si="2327">COUNTIF($M$253,EX253)*$D$42</f>
        <v>0</v>
      </c>
      <c r="EZ253" s="64"/>
      <c r="FA253" s="74" t="str">
        <f>Idiomas!$D$373</f>
        <v>Pegar Valores Cuadro de Honor</v>
      </c>
      <c r="FB253" s="73">
        <f t="shared" ref="FB253" si="2328">COUNTIF($M$253,FA253)*$D$42</f>
        <v>0</v>
      </c>
      <c r="FC253" s="64"/>
      <c r="FD253" s="74" t="str">
        <f>Idiomas!$D$373</f>
        <v>Pegar Valores Cuadro de Honor</v>
      </c>
      <c r="FE253" s="73">
        <f t="shared" ref="FE253" si="2329">COUNTIF($M$253,FD253)*$D$42</f>
        <v>0</v>
      </c>
      <c r="FF253" s="64"/>
      <c r="FG253" s="74" t="str">
        <f>Idiomas!$D$373</f>
        <v>Pegar Valores Cuadro de Honor</v>
      </c>
      <c r="FH253" s="73">
        <f t="shared" ref="FH253" si="2330">COUNTIF($M$253,FG253)*$D$42</f>
        <v>0</v>
      </c>
      <c r="FI253" s="64"/>
      <c r="FJ253" s="74" t="str">
        <f>Idiomas!$D$373</f>
        <v>Pegar Valores Cuadro de Honor</v>
      </c>
      <c r="FK253" s="73">
        <f t="shared" ref="FK253" si="2331">COUNTIF($M$253,FJ253)*$D$42</f>
        <v>0</v>
      </c>
      <c r="FL253" s="64"/>
      <c r="FM253" s="64"/>
    </row>
    <row r="254" spans="1:169" ht="16.05" customHeight="1">
      <c r="A254" s="17"/>
      <c r="B254" s="17"/>
      <c r="C254" s="17"/>
      <c r="D254" s="17"/>
      <c r="E254" s="89"/>
      <c r="F254" s="407">
        <f t="shared" si="2135"/>
        <v>10</v>
      </c>
      <c r="G254" s="407">
        <f ca="1">VLOOKUP(H254,Equipos!$Q$1:$R$25,2,0)</f>
        <v>24</v>
      </c>
      <c r="H254" s="65" t="str">
        <f>Idiomas!$D$264</f>
        <v>3-4 &amp; Final</v>
      </c>
      <c r="I254" s="50"/>
      <c r="J254" s="103"/>
      <c r="K254" s="56" t="str">
        <f>WORLDCUP!W155</f>
        <v>Bota de Plata (2º máximo goleador)</v>
      </c>
      <c r="L254" s="53"/>
      <c r="M254" s="55" t="str">
        <f>WORLDCUP!AA155</f>
        <v>Escribe el jugador Bota de Plata</v>
      </c>
      <c r="N254" s="25"/>
      <c r="O254" s="25"/>
      <c r="P254" s="25"/>
      <c r="Q254" s="25"/>
      <c r="R254" s="17"/>
      <c r="S254" s="74" t="s">
        <v>1997</v>
      </c>
      <c r="T254" s="73">
        <f>COUNTIF($M$254,S254)*$D$43</f>
        <v>0</v>
      </c>
      <c r="U254" s="64"/>
      <c r="V254" s="74" t="s">
        <v>2036</v>
      </c>
      <c r="W254" s="73">
        <f t="shared" ref="W254" si="2332">COUNTIF($M$254,V254)*$D$43</f>
        <v>0</v>
      </c>
      <c r="X254" s="64"/>
      <c r="Y254" s="74" t="s">
        <v>2070</v>
      </c>
      <c r="Z254" s="73">
        <f t="shared" ref="Z254" si="2333">COUNTIF($M$254,Y254)*$D$43</f>
        <v>0</v>
      </c>
      <c r="AA254" s="64"/>
      <c r="AB254" s="74" t="s">
        <v>2036</v>
      </c>
      <c r="AC254" s="73">
        <f t="shared" ref="AC254" si="2334">COUNTIF($M$254,AB254)*$D$43</f>
        <v>0</v>
      </c>
      <c r="AD254" s="64"/>
      <c r="AE254" s="74" t="s">
        <v>1996</v>
      </c>
      <c r="AF254" s="73">
        <f t="shared" ref="AF254" si="2335">COUNTIF($M$254,AE254)*$D$43</f>
        <v>0</v>
      </c>
      <c r="AG254" s="64"/>
      <c r="AH254" s="74" t="s">
        <v>2153</v>
      </c>
      <c r="AI254" s="73">
        <f t="shared" ref="AI254" si="2336">COUNTIF($M$254,AH254)*$D$43</f>
        <v>0</v>
      </c>
      <c r="AJ254" s="64"/>
      <c r="AK254" s="74" t="s">
        <v>2181</v>
      </c>
      <c r="AL254" s="73">
        <f t="shared" ref="AL254" si="2337">COUNTIF($M$254,AK254)*$D$43</f>
        <v>0</v>
      </c>
      <c r="AM254" s="64"/>
      <c r="AN254" s="74" t="s">
        <v>2125</v>
      </c>
      <c r="AO254" s="73">
        <f t="shared" ref="AO254" si="2338">COUNTIF($M$254,AN254)*$D$43</f>
        <v>0</v>
      </c>
      <c r="AP254" s="64"/>
      <c r="AQ254" s="74" t="s">
        <v>2238</v>
      </c>
      <c r="AR254" s="73">
        <f t="shared" ref="AR254" si="2339">COUNTIF($M$254,AQ254)*$D$43</f>
        <v>0</v>
      </c>
      <c r="AS254" s="64"/>
      <c r="AT254" s="74" t="s">
        <v>1996</v>
      </c>
      <c r="AU254" s="73">
        <f t="shared" ref="AU254" si="2340">COUNTIF($M$254,AT254)*$D$43</f>
        <v>0</v>
      </c>
      <c r="AV254" s="64"/>
      <c r="AW254" s="74" t="s">
        <v>2288</v>
      </c>
      <c r="AX254" s="73">
        <f t="shared" ref="AX254" si="2341">COUNTIF($M$254,AW254)*$D$43</f>
        <v>0</v>
      </c>
      <c r="AY254" s="64"/>
      <c r="AZ254" s="74" t="s">
        <v>2070</v>
      </c>
      <c r="BA254" s="73">
        <f t="shared" ref="BA254" si="2342">COUNTIF($M$254,AZ254)*$D$43</f>
        <v>0</v>
      </c>
      <c r="BB254" s="64"/>
      <c r="BC254" s="74" t="s">
        <v>2069</v>
      </c>
      <c r="BD254" s="73">
        <f t="shared" ref="BD254" si="2343">COUNTIF($M$254,BC254)*$D$43</f>
        <v>0</v>
      </c>
      <c r="BE254" s="64"/>
      <c r="BF254" s="74" t="s">
        <v>1996</v>
      </c>
      <c r="BG254" s="73">
        <f t="shared" ref="BG254" si="2344">COUNTIF($M$254,BF254)*$D$43</f>
        <v>0</v>
      </c>
      <c r="BH254" s="64"/>
      <c r="BI254" s="74" t="s">
        <v>2125</v>
      </c>
      <c r="BJ254" s="73">
        <f t="shared" ref="BJ254" si="2345">COUNTIF($M$254,BI254)*$D$43</f>
        <v>0</v>
      </c>
      <c r="BK254" s="64"/>
      <c r="BL254" s="74" t="s">
        <v>2237</v>
      </c>
      <c r="BM254" s="73">
        <f t="shared" ref="BM254" si="2346">COUNTIF($M$254,BL254)*$D$43</f>
        <v>0</v>
      </c>
      <c r="BN254" s="64"/>
      <c r="BO254" s="74" t="s">
        <v>2036</v>
      </c>
      <c r="BP254" s="73">
        <f t="shared" ref="BP254" si="2347">COUNTIF($M$254,BO254)*$D$43</f>
        <v>0</v>
      </c>
      <c r="BQ254" s="64"/>
      <c r="BR254" s="74" t="s">
        <v>2260</v>
      </c>
      <c r="BS254" s="73">
        <f t="shared" ref="BS254" si="2348">COUNTIF($M$254,BR254)*$D$43</f>
        <v>0</v>
      </c>
      <c r="BT254" s="64"/>
      <c r="BU254" s="74" t="s">
        <v>2441</v>
      </c>
      <c r="BV254" s="73">
        <f t="shared" ref="BV254" si="2349">COUNTIF($M$254,BU254)*$D$43</f>
        <v>0</v>
      </c>
      <c r="BW254" s="64"/>
      <c r="BX254" s="74" t="s">
        <v>2395</v>
      </c>
      <c r="BY254" s="73">
        <f t="shared" ref="BY254" si="2350">COUNTIF($M$254,BX254)*$D$43</f>
        <v>0</v>
      </c>
      <c r="BZ254" s="64"/>
      <c r="CA254" s="74" t="s">
        <v>2037</v>
      </c>
      <c r="CB254" s="73">
        <f t="shared" ref="CB254" si="2351">COUNTIF($M$254,CA254)*$D$43</f>
        <v>0</v>
      </c>
      <c r="CC254" s="64"/>
      <c r="CD254" s="74" t="s">
        <v>2037</v>
      </c>
      <c r="CE254" s="73">
        <f t="shared" ref="CE254" si="2352">COUNTIF($M$254,CD254)*$D$43</f>
        <v>0</v>
      </c>
      <c r="CF254" s="64"/>
      <c r="CG254" s="74" t="s">
        <v>2095</v>
      </c>
      <c r="CH254" s="73">
        <f t="shared" ref="CH254" si="2353">COUNTIF($M$254,CG254)*$D$43</f>
        <v>0</v>
      </c>
      <c r="CI254" s="64"/>
      <c r="CJ254" s="74" t="s">
        <v>2036</v>
      </c>
      <c r="CK254" s="73">
        <f t="shared" ref="CK254" si="2354">COUNTIF($M$254,CJ254)*$D$43</f>
        <v>0</v>
      </c>
      <c r="CL254" s="64"/>
      <c r="CM254" s="74" t="s">
        <v>2035</v>
      </c>
      <c r="CN254" s="73">
        <f t="shared" ref="CN254" si="2355">COUNTIF($M$254,CM254)*$D$43</f>
        <v>0</v>
      </c>
      <c r="CO254" s="64"/>
      <c r="CP254" s="74" t="s">
        <v>2238</v>
      </c>
      <c r="CQ254" s="73">
        <f t="shared" ref="CQ254" si="2356">COUNTIF($M$254,CP254)*$D$43</f>
        <v>0</v>
      </c>
      <c r="CR254" s="64"/>
      <c r="CS254" s="74" t="s">
        <v>2237</v>
      </c>
      <c r="CT254" s="73">
        <f t="shared" ref="CT254" si="2357">COUNTIF($M$254,CS254)*$D$43</f>
        <v>0</v>
      </c>
      <c r="CU254" s="64"/>
      <c r="CV254" s="74" t="s">
        <v>2581</v>
      </c>
      <c r="CW254" s="73">
        <f t="shared" ref="CW254" si="2358">COUNTIF($M$254,CV254)*$D$43</f>
        <v>0</v>
      </c>
      <c r="CX254" s="64"/>
      <c r="CY254" s="74" t="s">
        <v>2153</v>
      </c>
      <c r="CZ254" s="73">
        <f t="shared" ref="CZ254" si="2359">COUNTIF($M$254,CY254)*$D$43</f>
        <v>0</v>
      </c>
      <c r="DA254" s="64"/>
      <c r="DB254" s="74" t="s">
        <v>2036</v>
      </c>
      <c r="DC254" s="73">
        <f t="shared" ref="DC254" si="2360">COUNTIF($M$254,DB254)*$D$43</f>
        <v>0</v>
      </c>
      <c r="DD254" s="64"/>
      <c r="DE254" s="74" t="s">
        <v>2638</v>
      </c>
      <c r="DF254" s="73">
        <f t="shared" ref="DF254" si="2361">COUNTIF($M$254,DE254)*$D$43</f>
        <v>0</v>
      </c>
      <c r="DG254" s="64"/>
      <c r="DH254" s="74" t="s">
        <v>2652</v>
      </c>
      <c r="DI254" s="73">
        <f t="shared" ref="DI254" si="2362">COUNTIF($M$254,DH254)*$D$43</f>
        <v>0</v>
      </c>
      <c r="DJ254" s="64"/>
      <c r="DK254" s="74" t="s">
        <v>2035</v>
      </c>
      <c r="DL254" s="73">
        <f t="shared" ref="DL254" si="2363">COUNTIF($M$254,DK254)*$D$43</f>
        <v>0</v>
      </c>
      <c r="DM254" s="64"/>
      <c r="DN254" s="795" t="s">
        <v>2038</v>
      </c>
      <c r="DO254" s="73">
        <f t="shared" ref="DO254" si="2364">COUNTIF($M$254,DN254)*$D$43</f>
        <v>0</v>
      </c>
      <c r="DP254" s="64"/>
      <c r="DQ254" s="795" t="s">
        <v>2581</v>
      </c>
      <c r="DR254" s="73">
        <f t="shared" ref="DR254" si="2365">COUNTIF($M$254,DQ254)*$D$43</f>
        <v>0</v>
      </c>
      <c r="DS254" s="64"/>
      <c r="DT254" s="74" t="s">
        <v>2338</v>
      </c>
      <c r="DU254" s="73">
        <f t="shared" ref="DU254" si="2366">COUNTIF($M$254,DT254)*$D$43</f>
        <v>0</v>
      </c>
      <c r="DV254" s="64"/>
      <c r="DW254" s="74" t="s">
        <v>2749</v>
      </c>
      <c r="DX254" s="73">
        <f t="shared" ref="DX254" si="2367">COUNTIF($M$254,DW254)*$D$43</f>
        <v>0</v>
      </c>
      <c r="DY254" s="64"/>
      <c r="DZ254" s="74" t="s">
        <v>2764</v>
      </c>
      <c r="EA254" s="73">
        <f t="shared" ref="EA254" si="2368">COUNTIF($M$254,DZ254)*$D$43</f>
        <v>0</v>
      </c>
      <c r="EB254" s="64"/>
      <c r="EC254" s="74" t="s">
        <v>2775</v>
      </c>
      <c r="ED254" s="73">
        <f t="shared" ref="ED254" si="2369">COUNTIF($M$254,EC254)*$D$43</f>
        <v>0</v>
      </c>
      <c r="EE254" s="64"/>
      <c r="EF254" s="74" t="s">
        <v>1997</v>
      </c>
      <c r="EG254" s="73">
        <f t="shared" ref="EG254" si="2370">COUNTIF($M$254,EF254)*$D$43</f>
        <v>0</v>
      </c>
      <c r="EH254" s="64"/>
      <c r="EI254" s="74" t="s">
        <v>2036</v>
      </c>
      <c r="EJ254" s="73">
        <f t="shared" ref="EJ254" si="2371">COUNTIF($M$254,EI254)*$D$43</f>
        <v>0</v>
      </c>
      <c r="EK254" s="64"/>
      <c r="EL254" s="74"/>
      <c r="EM254" s="73">
        <f t="shared" ref="EM254" si="2372">COUNTIF($M$254,EL254)*$D$43</f>
        <v>0</v>
      </c>
      <c r="EN254" s="64"/>
      <c r="EO254" s="74"/>
      <c r="EP254" s="73">
        <f t="shared" ref="EP254" si="2373">COUNTIF($M$254,EO254)*$D$43</f>
        <v>0</v>
      </c>
      <c r="EQ254" s="64"/>
      <c r="ER254" s="74"/>
      <c r="ES254" s="73">
        <f t="shared" ref="ES254" si="2374">COUNTIF($M$254,ER254)*$D$43</f>
        <v>0</v>
      </c>
      <c r="ET254" s="64"/>
      <c r="EU254" s="74"/>
      <c r="EV254" s="73">
        <f t="shared" ref="EV254" si="2375">COUNTIF($M$254,EU254)*$D$43</f>
        <v>0</v>
      </c>
      <c r="EW254" s="64"/>
      <c r="EX254" s="74"/>
      <c r="EY254" s="73">
        <f t="shared" ref="EY254" si="2376">COUNTIF($M$254,EX254)*$D$43</f>
        <v>0</v>
      </c>
      <c r="EZ254" s="64"/>
      <c r="FA254" s="74"/>
      <c r="FB254" s="73">
        <f t="shared" ref="FB254" si="2377">COUNTIF($M$254,FA254)*$D$43</f>
        <v>0</v>
      </c>
      <c r="FC254" s="64"/>
      <c r="FD254" s="74"/>
      <c r="FE254" s="73">
        <f t="shared" ref="FE254" si="2378">COUNTIF($M$254,FD254)*$D$43</f>
        <v>0</v>
      </c>
      <c r="FF254" s="64"/>
      <c r="FG254" s="74"/>
      <c r="FH254" s="73">
        <f t="shared" ref="FH254" si="2379">COUNTIF($M$254,FG254)*$D$43</f>
        <v>0</v>
      </c>
      <c r="FI254" s="64"/>
      <c r="FJ254" s="74"/>
      <c r="FK254" s="73">
        <f t="shared" ref="FK254" si="2380">COUNTIF($M$254,FJ254)*$D$43</f>
        <v>0</v>
      </c>
      <c r="FL254" s="64"/>
      <c r="FM254" s="64"/>
    </row>
    <row r="255" spans="1:169" ht="16.05" customHeight="1">
      <c r="A255" s="17"/>
      <c r="B255" s="17"/>
      <c r="C255" s="17"/>
      <c r="D255" s="17"/>
      <c r="E255" s="89"/>
      <c r="F255" s="407">
        <f t="shared" si="2135"/>
        <v>5</v>
      </c>
      <c r="G255" s="407">
        <f ca="1">VLOOKUP(H255,Equipos!$Q$1:$R$25,2,0)</f>
        <v>24</v>
      </c>
      <c r="H255" s="65" t="str">
        <f>Idiomas!$D$264</f>
        <v>3-4 &amp; Final</v>
      </c>
      <c r="I255" s="50"/>
      <c r="J255" s="103"/>
      <c r="K255" s="56" t="str">
        <f>WORLDCUP!W156</f>
        <v>Bota de Bronce (3º máximo goleador)</v>
      </c>
      <c r="L255" s="53"/>
      <c r="M255" s="55" t="str">
        <f>WORLDCUP!AA156</f>
        <v>Escribe el jugador Bota de Bronce</v>
      </c>
      <c r="N255" s="25"/>
      <c r="O255" s="25"/>
      <c r="P255" s="25"/>
      <c r="Q255" s="25"/>
      <c r="R255" s="17"/>
      <c r="S255" s="74" t="s">
        <v>1998</v>
      </c>
      <c r="T255" s="73">
        <f>COUNTIF($M$255,S255)*$D$44</f>
        <v>0</v>
      </c>
      <c r="U255" s="64"/>
      <c r="V255" s="74" t="s">
        <v>2037</v>
      </c>
      <c r="W255" s="73">
        <f t="shared" ref="W255" si="2381">COUNTIF($M$255,V255)*$D$44</f>
        <v>0</v>
      </c>
      <c r="X255" s="64"/>
      <c r="Y255" s="74" t="s">
        <v>2071</v>
      </c>
      <c r="Z255" s="73">
        <f t="shared" ref="Z255" si="2382">COUNTIF($M$255,Y255)*$D$44</f>
        <v>0</v>
      </c>
      <c r="AA255" s="64"/>
      <c r="AB255" s="74" t="s">
        <v>2094</v>
      </c>
      <c r="AC255" s="73">
        <f t="shared" ref="AC255" si="2383">COUNTIF($M$255,AB255)*$D$44</f>
        <v>0</v>
      </c>
      <c r="AD255" s="64"/>
      <c r="AE255" s="74" t="s">
        <v>2125</v>
      </c>
      <c r="AF255" s="73">
        <f t="shared" ref="AF255" si="2384">COUNTIF($M$255,AE255)*$D$44</f>
        <v>0</v>
      </c>
      <c r="AG255" s="64"/>
      <c r="AH255" s="74" t="s">
        <v>1996</v>
      </c>
      <c r="AI255" s="73">
        <f t="shared" ref="AI255" si="2385">COUNTIF($M$255,AH255)*$D$44</f>
        <v>0</v>
      </c>
      <c r="AJ255" s="64"/>
      <c r="AK255" s="74" t="s">
        <v>2069</v>
      </c>
      <c r="AL255" s="73">
        <f t="shared" ref="AL255" si="2386">COUNTIF($M$255,AK255)*$D$44</f>
        <v>0</v>
      </c>
      <c r="AM255" s="64"/>
      <c r="AN255" s="74" t="s">
        <v>2126</v>
      </c>
      <c r="AO255" s="73">
        <f t="shared" ref="AO255" si="2387">COUNTIF($M$255,AN255)*$D$44</f>
        <v>0</v>
      </c>
      <c r="AP255" s="64"/>
      <c r="AQ255" s="74" t="s">
        <v>2071</v>
      </c>
      <c r="AR255" s="73">
        <f t="shared" ref="AR255" si="2388">COUNTIF($M$255,AQ255)*$D$44</f>
        <v>0</v>
      </c>
      <c r="AS255" s="64"/>
      <c r="AT255" s="74" t="s">
        <v>2260</v>
      </c>
      <c r="AU255" s="73">
        <f t="shared" ref="AU255" si="2389">COUNTIF($M$255,AT255)*$D$44</f>
        <v>0</v>
      </c>
      <c r="AV255" s="64"/>
      <c r="AW255" s="74" t="s">
        <v>2289</v>
      </c>
      <c r="AX255" s="73">
        <f t="shared" ref="AX255" si="2390">COUNTIF($M$255,AW255)*$D$44</f>
        <v>0</v>
      </c>
      <c r="AY255" s="64"/>
      <c r="AZ255" s="74" t="s">
        <v>2310</v>
      </c>
      <c r="BA255" s="73">
        <f t="shared" ref="BA255" si="2391">COUNTIF($M$255,AZ255)*$D$44</f>
        <v>0</v>
      </c>
      <c r="BB255" s="64"/>
      <c r="BC255" s="74" t="s">
        <v>2070</v>
      </c>
      <c r="BD255" s="73">
        <f t="shared" ref="BD255" si="2392">COUNTIF($M$255,BC255)*$D$44</f>
        <v>0</v>
      </c>
      <c r="BE255" s="64"/>
      <c r="BF255" s="74" t="s">
        <v>2095</v>
      </c>
      <c r="BG255" s="73">
        <f t="shared" ref="BG255" si="2393">COUNTIF($M$255,BF255)*$D$44</f>
        <v>0</v>
      </c>
      <c r="BH255" s="64"/>
      <c r="BI255" s="74" t="s">
        <v>2181</v>
      </c>
      <c r="BJ255" s="73">
        <f t="shared" ref="BJ255" si="2394">COUNTIF($M$255,BI255)*$D$44</f>
        <v>0</v>
      </c>
      <c r="BK255" s="64"/>
      <c r="BL255" s="74" t="s">
        <v>2095</v>
      </c>
      <c r="BM255" s="73">
        <f t="shared" ref="BM255" si="2395">COUNTIF($M$255,BL255)*$D$44</f>
        <v>0</v>
      </c>
      <c r="BN255" s="64"/>
      <c r="BO255" s="74" t="s">
        <v>2071</v>
      </c>
      <c r="BP255" s="73">
        <f t="shared" ref="BP255" si="2396">COUNTIF($M$255,BO255)*$D$44</f>
        <v>0</v>
      </c>
      <c r="BQ255" s="64"/>
      <c r="BR255" s="74" t="s">
        <v>2419</v>
      </c>
      <c r="BS255" s="73">
        <f t="shared" ref="BS255" si="2397">COUNTIF($M$255,BR255)*$D$44</f>
        <v>0</v>
      </c>
      <c r="BT255" s="64"/>
      <c r="BU255" s="74" t="s">
        <v>2095</v>
      </c>
      <c r="BV255" s="73">
        <f t="shared" ref="BV255" si="2398">COUNTIF($M$255,BU255)*$D$44</f>
        <v>0</v>
      </c>
      <c r="BW255" s="64"/>
      <c r="BX255" s="74" t="s">
        <v>2460</v>
      </c>
      <c r="BY255" s="73">
        <f t="shared" ref="BY255" si="2399">COUNTIF($M$255,BX255)*$D$44</f>
        <v>0</v>
      </c>
      <c r="BZ255" s="64"/>
      <c r="CA255" s="74" t="s">
        <v>2481</v>
      </c>
      <c r="CB255" s="73">
        <f t="shared" ref="CB255" si="2400">COUNTIF($M$255,CA255)*$D$44</f>
        <v>0</v>
      </c>
      <c r="CC255" s="64"/>
      <c r="CD255" s="74" t="s">
        <v>2482</v>
      </c>
      <c r="CE255" s="73">
        <f t="shared" ref="CE255" si="2401">COUNTIF($M$255,CD255)*$D$44</f>
        <v>0</v>
      </c>
      <c r="CF255" s="64"/>
      <c r="CG255" s="74" t="s">
        <v>2519</v>
      </c>
      <c r="CH255" s="73">
        <f t="shared" ref="CH255" si="2402">COUNTIF($M$255,CG255)*$D$44</f>
        <v>0</v>
      </c>
      <c r="CI255" s="64"/>
      <c r="CJ255" s="74" t="s">
        <v>2533</v>
      </c>
      <c r="CK255" s="73">
        <f t="shared" ref="CK255" si="2403">COUNTIF($M$255,CJ255)*$D$44</f>
        <v>0</v>
      </c>
      <c r="CL255" s="64"/>
      <c r="CM255" s="74" t="s">
        <v>2549</v>
      </c>
      <c r="CN255" s="73">
        <f t="shared" ref="CN255" si="2404">COUNTIF($M$255,CM255)*$D$44</f>
        <v>0</v>
      </c>
      <c r="CO255" s="64"/>
      <c r="CP255" s="74" t="s">
        <v>1996</v>
      </c>
      <c r="CQ255" s="73">
        <f t="shared" ref="CQ255" si="2405">COUNTIF($M$255,CP255)*$D$44</f>
        <v>0</v>
      </c>
      <c r="CR255" s="64"/>
      <c r="CS255" s="74" t="s">
        <v>2395</v>
      </c>
      <c r="CT255" s="73">
        <f t="shared" ref="CT255" si="2406">COUNTIF($M$255,CS255)*$D$44</f>
        <v>0</v>
      </c>
      <c r="CU255" s="64"/>
      <c r="CV255" s="74" t="s">
        <v>2582</v>
      </c>
      <c r="CW255" s="73">
        <f t="shared" ref="CW255" si="2407">COUNTIF($M$255,CV255)*$D$44</f>
        <v>0</v>
      </c>
      <c r="CX255" s="64"/>
      <c r="CY255" s="74" t="s">
        <v>1996</v>
      </c>
      <c r="CZ255" s="73">
        <f t="shared" ref="CZ255" si="2408">COUNTIF($M$255,CY255)*$D$44</f>
        <v>0</v>
      </c>
      <c r="DA255" s="64"/>
      <c r="DB255" s="74" t="s">
        <v>2619</v>
      </c>
      <c r="DC255" s="73">
        <f t="shared" ref="DC255" si="2409">COUNTIF($M$255,DB255)*$D$44</f>
        <v>0</v>
      </c>
      <c r="DD255" s="64"/>
      <c r="DE255" s="74" t="s">
        <v>2482</v>
      </c>
      <c r="DF255" s="73">
        <f t="shared" ref="DF255" si="2410">COUNTIF($M$255,DE255)*$D$44</f>
        <v>0</v>
      </c>
      <c r="DG255" s="64"/>
      <c r="DH255" s="74" t="s">
        <v>2653</v>
      </c>
      <c r="DI255" s="73">
        <f t="shared" ref="DI255" si="2411">COUNTIF($M$255,DH255)*$D$44</f>
        <v>0</v>
      </c>
      <c r="DJ255" s="64"/>
      <c r="DK255" s="74" t="s">
        <v>2069</v>
      </c>
      <c r="DL255" s="73">
        <f t="shared" ref="DL255" si="2412">COUNTIF($M$255,DK255)*$D$44</f>
        <v>0</v>
      </c>
      <c r="DM255" s="64"/>
      <c r="DN255" s="795" t="s">
        <v>2679</v>
      </c>
      <c r="DO255" s="73">
        <f t="shared" ref="DO255" si="2413">COUNTIF($M$255,DN255)*$D$44</f>
        <v>0</v>
      </c>
      <c r="DP255" s="64"/>
      <c r="DQ255" s="795" t="s">
        <v>2708</v>
      </c>
      <c r="DR255" s="73">
        <f t="shared" ref="DR255" si="2414">COUNTIF($M$255,DQ255)*$D$44</f>
        <v>0</v>
      </c>
      <c r="DS255" s="64"/>
      <c r="DT255" s="74" t="s">
        <v>2733</v>
      </c>
      <c r="DU255" s="73">
        <f t="shared" ref="DU255" si="2415">COUNTIF($M$255,DT255)*$D$44</f>
        <v>0</v>
      </c>
      <c r="DV255" s="64"/>
      <c r="DW255" s="74" t="s">
        <v>2581</v>
      </c>
      <c r="DX255" s="73">
        <f t="shared" ref="DX255" si="2416">COUNTIF($M$255,DW255)*$D$44</f>
        <v>0</v>
      </c>
      <c r="DY255" s="64"/>
      <c r="DZ255" s="74" t="s">
        <v>2765</v>
      </c>
      <c r="EA255" s="73">
        <f t="shared" ref="EA255" si="2417">COUNTIF($M$255,DZ255)*$D$44</f>
        <v>0</v>
      </c>
      <c r="EB255" s="64"/>
      <c r="EC255" s="74" t="s">
        <v>2035</v>
      </c>
      <c r="ED255" s="73">
        <f t="shared" ref="ED255" si="2418">COUNTIF($M$255,EC255)*$D$44</f>
        <v>0</v>
      </c>
      <c r="EE255" s="64"/>
      <c r="EF255" s="74" t="s">
        <v>2069</v>
      </c>
      <c r="EG255" s="73">
        <f t="shared" ref="EG255" si="2419">COUNTIF($M$255,EF255)*$D$44</f>
        <v>0</v>
      </c>
      <c r="EH255" s="64"/>
      <c r="EI255" s="74" t="s">
        <v>2071</v>
      </c>
      <c r="EJ255" s="73">
        <f t="shared" ref="EJ255" si="2420">COUNTIF($M$255,EI255)*$D$44</f>
        <v>0</v>
      </c>
      <c r="EK255" s="64"/>
      <c r="EL255" s="74"/>
      <c r="EM255" s="73">
        <f t="shared" ref="EM255" si="2421">COUNTIF($M$255,EL255)*$D$44</f>
        <v>0</v>
      </c>
      <c r="EN255" s="64"/>
      <c r="EO255" s="74"/>
      <c r="EP255" s="73">
        <f t="shared" ref="EP255" si="2422">COUNTIF($M$255,EO255)*$D$44</f>
        <v>0</v>
      </c>
      <c r="EQ255" s="64"/>
      <c r="ER255" s="74"/>
      <c r="ES255" s="73">
        <f t="shared" ref="ES255" si="2423">COUNTIF($M$255,ER255)*$D$44</f>
        <v>0</v>
      </c>
      <c r="ET255" s="64"/>
      <c r="EU255" s="74"/>
      <c r="EV255" s="73">
        <f t="shared" ref="EV255" si="2424">COUNTIF($M$255,EU255)*$D$44</f>
        <v>0</v>
      </c>
      <c r="EW255" s="64"/>
      <c r="EX255" s="74"/>
      <c r="EY255" s="73">
        <f t="shared" ref="EY255" si="2425">COUNTIF($M$255,EX255)*$D$44</f>
        <v>0</v>
      </c>
      <c r="EZ255" s="64"/>
      <c r="FA255" s="74"/>
      <c r="FB255" s="73">
        <f t="shared" ref="FB255" si="2426">COUNTIF($M$255,FA255)*$D$44</f>
        <v>0</v>
      </c>
      <c r="FC255" s="64"/>
      <c r="FD255" s="74"/>
      <c r="FE255" s="73">
        <f t="shared" ref="FE255" si="2427">COUNTIF($M$255,FD255)*$D$44</f>
        <v>0</v>
      </c>
      <c r="FF255" s="64"/>
      <c r="FG255" s="74"/>
      <c r="FH255" s="73">
        <f t="shared" ref="FH255" si="2428">COUNTIF($M$255,FG255)*$D$44</f>
        <v>0</v>
      </c>
      <c r="FI255" s="64"/>
      <c r="FJ255" s="74"/>
      <c r="FK255" s="73">
        <f t="shared" ref="FK255" si="2429">COUNTIF($M$255,FJ255)*$D$44</f>
        <v>0</v>
      </c>
      <c r="FL255" s="64"/>
      <c r="FM255" s="64"/>
    </row>
    <row r="256" spans="1:169" ht="16.05" customHeight="1">
      <c r="A256" s="17"/>
      <c r="B256" s="17"/>
      <c r="C256" s="17"/>
      <c r="D256" s="17"/>
      <c r="E256" s="89"/>
      <c r="F256" s="407">
        <f t="shared" si="2135"/>
        <v>20</v>
      </c>
      <c r="G256" s="407">
        <f ca="1">VLOOKUP(H256,Equipos!$Q$1:$R$25,2,0)</f>
        <v>24</v>
      </c>
      <c r="H256" s="65" t="str">
        <f>Idiomas!$D$264</f>
        <v>3-4 &amp; Final</v>
      </c>
      <c r="I256" s="50"/>
      <c r="J256" s="100"/>
      <c r="K256" s="56" t="str">
        <f>WORLDCUP!W158</f>
        <v>Balón de Oro  (mejor jugador)</v>
      </c>
      <c r="L256" s="53"/>
      <c r="M256" s="55" t="str">
        <f>WORLDCUP!AA158</f>
        <v>Escribe el jugador Balón de Oro</v>
      </c>
      <c r="N256" s="25"/>
      <c r="O256" s="25"/>
      <c r="P256" s="25"/>
      <c r="Q256" s="25"/>
      <c r="R256" s="17"/>
      <c r="S256" s="74" t="s">
        <v>1996</v>
      </c>
      <c r="T256" s="73">
        <f>COUNTIF($M$256,S256)*$D$45</f>
        <v>0</v>
      </c>
      <c r="U256" s="64"/>
      <c r="V256" s="74" t="s">
        <v>2037</v>
      </c>
      <c r="W256" s="73">
        <f t="shared" ref="W256" si="2430">COUNTIF($M$256,V256)*$D$45</f>
        <v>0</v>
      </c>
      <c r="X256" s="64"/>
      <c r="Y256" s="74" t="s">
        <v>2069</v>
      </c>
      <c r="Z256" s="73">
        <f t="shared" ref="Z256" si="2431">COUNTIF($M$256,Y256)*$D$45</f>
        <v>0</v>
      </c>
      <c r="AA256" s="64"/>
      <c r="AB256" s="74" t="s">
        <v>2035</v>
      </c>
      <c r="AC256" s="73">
        <f t="shared" ref="AC256" si="2432">COUNTIF($M$256,AB256)*$D$45</f>
        <v>0</v>
      </c>
      <c r="AD256" s="64"/>
      <c r="AE256" s="74" t="s">
        <v>2124</v>
      </c>
      <c r="AF256" s="73">
        <f t="shared" ref="AF256" si="2433">COUNTIF($M$256,AE256)*$D$45</f>
        <v>0</v>
      </c>
      <c r="AG256" s="64"/>
      <c r="AH256" s="74" t="s">
        <v>2039</v>
      </c>
      <c r="AI256" s="73">
        <f t="shared" ref="AI256" si="2434">COUNTIF($M$256,AH256)*$D$45</f>
        <v>0</v>
      </c>
      <c r="AJ256" s="64"/>
      <c r="AK256" s="74" t="s">
        <v>2182</v>
      </c>
      <c r="AL256" s="73">
        <f t="shared" ref="AL256" si="2435">COUNTIF($M$256,AK256)*$D$45</f>
        <v>0</v>
      </c>
      <c r="AM256" s="64"/>
      <c r="AN256" s="74" t="s">
        <v>2038</v>
      </c>
      <c r="AO256" s="73">
        <f t="shared" ref="AO256" si="2436">COUNTIF($M$256,AN256)*$D$45</f>
        <v>0</v>
      </c>
      <c r="AP256" s="64"/>
      <c r="AQ256" s="74" t="s">
        <v>2095</v>
      </c>
      <c r="AR256" s="73">
        <f t="shared" ref="AR256" si="2437">COUNTIF($M$256,AQ256)*$D$45</f>
        <v>0</v>
      </c>
      <c r="AS256" s="64"/>
      <c r="AT256" s="74" t="s">
        <v>2069</v>
      </c>
      <c r="AU256" s="73">
        <f t="shared" ref="AU256" si="2438">COUNTIF($M$256,AT256)*$D$45</f>
        <v>0</v>
      </c>
      <c r="AV256" s="64"/>
      <c r="AW256" s="74" t="s">
        <v>2288</v>
      </c>
      <c r="AX256" s="73">
        <f t="shared" ref="AX256" si="2439">COUNTIF($M$256,AW256)*$D$45</f>
        <v>0</v>
      </c>
      <c r="AY256" s="64"/>
      <c r="AZ256" s="74" t="s">
        <v>2039</v>
      </c>
      <c r="BA256" s="73">
        <f t="shared" ref="BA256" si="2440">COUNTIF($M$256,AZ256)*$D$45</f>
        <v>0</v>
      </c>
      <c r="BB256" s="64"/>
      <c r="BC256" s="74" t="s">
        <v>2095</v>
      </c>
      <c r="BD256" s="73">
        <f t="shared" ref="BD256" si="2441">COUNTIF($M$256,BC256)*$D$45</f>
        <v>0</v>
      </c>
      <c r="BE256" s="64"/>
      <c r="BF256" s="74" t="s">
        <v>2095</v>
      </c>
      <c r="BG256" s="73">
        <f t="shared" ref="BG256" si="2442">COUNTIF($M$256,BF256)*$D$45</f>
        <v>0</v>
      </c>
      <c r="BH256" s="64"/>
      <c r="BI256" s="74" t="s">
        <v>2095</v>
      </c>
      <c r="BJ256" s="73">
        <f t="shared" ref="BJ256" si="2443">COUNTIF($M$256,BI256)*$D$45</f>
        <v>0</v>
      </c>
      <c r="BK256" s="64"/>
      <c r="BL256" s="74" t="s">
        <v>2095</v>
      </c>
      <c r="BM256" s="73">
        <f t="shared" ref="BM256" si="2444">COUNTIF($M$256,BL256)*$D$45</f>
        <v>0</v>
      </c>
      <c r="BN256" s="64"/>
      <c r="BO256" s="74" t="s">
        <v>2095</v>
      </c>
      <c r="BP256" s="73">
        <f t="shared" ref="BP256" si="2445">COUNTIF($M$256,BO256)*$D$45</f>
        <v>0</v>
      </c>
      <c r="BQ256" s="64"/>
      <c r="BR256" s="74" t="s">
        <v>2095</v>
      </c>
      <c r="BS256" s="73">
        <f t="shared" ref="BS256" si="2446">COUNTIF($M$256,BR256)*$D$45</f>
        <v>0</v>
      </c>
      <c r="BT256" s="64"/>
      <c r="BU256" s="74" t="s">
        <v>2095</v>
      </c>
      <c r="BV256" s="73">
        <f t="shared" ref="BV256" si="2447">COUNTIF($M$256,BU256)*$D$45</f>
        <v>0</v>
      </c>
      <c r="BW256" s="64"/>
      <c r="BX256" s="74" t="s">
        <v>2095</v>
      </c>
      <c r="BY256" s="73">
        <f t="shared" ref="BY256" si="2448">COUNTIF($M$256,BX256)*$D$45</f>
        <v>0</v>
      </c>
      <c r="BZ256" s="64"/>
      <c r="CA256" s="74" t="s">
        <v>2482</v>
      </c>
      <c r="CB256" s="73">
        <f t="shared" ref="CB256" si="2449">COUNTIF($M$256,CA256)*$D$45</f>
        <v>0</v>
      </c>
      <c r="CC256" s="64"/>
      <c r="CD256" s="74" t="s">
        <v>2499</v>
      </c>
      <c r="CE256" s="73">
        <f t="shared" ref="CE256" si="2450">COUNTIF($M$256,CD256)*$D$45</f>
        <v>0</v>
      </c>
      <c r="CF256" s="64"/>
      <c r="CG256" s="74" t="s">
        <v>2095</v>
      </c>
      <c r="CH256" s="73">
        <f t="shared" ref="CH256" si="2451">COUNTIF($M$256,CG256)*$D$45</f>
        <v>0</v>
      </c>
      <c r="CI256" s="64"/>
      <c r="CJ256" s="74" t="s">
        <v>2037</v>
      </c>
      <c r="CK256" s="73">
        <f t="shared" ref="CK256" si="2452">COUNTIF($M$256,CJ256)*$D$45</f>
        <v>0</v>
      </c>
      <c r="CL256" s="64"/>
      <c r="CM256" s="74" t="s">
        <v>2095</v>
      </c>
      <c r="CN256" s="73">
        <f t="shared" ref="CN256" si="2453">COUNTIF($M$256,CM256)*$D$45</f>
        <v>0</v>
      </c>
      <c r="CO256" s="64"/>
      <c r="CP256" s="74" t="s">
        <v>2039</v>
      </c>
      <c r="CQ256" s="73">
        <f t="shared" ref="CQ256" si="2454">COUNTIF($M$256,CP256)*$D$45</f>
        <v>0</v>
      </c>
      <c r="CR256" s="64"/>
      <c r="CS256" s="74" t="s">
        <v>2095</v>
      </c>
      <c r="CT256" s="73">
        <f t="shared" ref="CT256" si="2455">COUNTIF($M$256,CS256)*$D$45</f>
        <v>0</v>
      </c>
      <c r="CU256" s="64"/>
      <c r="CV256" s="74" t="s">
        <v>2583</v>
      </c>
      <c r="CW256" s="73">
        <f t="shared" ref="CW256" si="2456">COUNTIF($M$256,CV256)*$D$45</f>
        <v>0</v>
      </c>
      <c r="CX256" s="64"/>
      <c r="CY256" s="74" t="s">
        <v>1996</v>
      </c>
      <c r="CZ256" s="73">
        <f t="shared" ref="CZ256" si="2457">COUNTIF($M$256,CY256)*$D$45</f>
        <v>0</v>
      </c>
      <c r="DA256" s="64"/>
      <c r="DB256" s="74" t="s">
        <v>2037</v>
      </c>
      <c r="DC256" s="73">
        <f t="shared" ref="DC256" si="2458">COUNTIF($M$256,DB256)*$D$45</f>
        <v>0</v>
      </c>
      <c r="DD256" s="64"/>
      <c r="DE256" s="74" t="s">
        <v>2619</v>
      </c>
      <c r="DF256" s="73">
        <f t="shared" ref="DF256" si="2459">COUNTIF($M$256,DE256)*$D$45</f>
        <v>0</v>
      </c>
      <c r="DG256" s="64"/>
      <c r="DH256" s="74" t="s">
        <v>2069</v>
      </c>
      <c r="DI256" s="73">
        <f t="shared" ref="DI256" si="2460">COUNTIF($M$256,DH256)*$D$45</f>
        <v>0</v>
      </c>
      <c r="DJ256" s="64"/>
      <c r="DK256" s="74" t="s">
        <v>2238</v>
      </c>
      <c r="DL256" s="73">
        <f t="shared" ref="DL256" si="2461">COUNTIF($M$256,DK256)*$D$45</f>
        <v>0</v>
      </c>
      <c r="DM256" s="64"/>
      <c r="DN256" s="795" t="s">
        <v>2039</v>
      </c>
      <c r="DO256" s="73">
        <f t="shared" ref="DO256" si="2462">COUNTIF($M$256,DN256)*$D$45</f>
        <v>0</v>
      </c>
      <c r="DP256" s="64"/>
      <c r="DQ256" s="795" t="s">
        <v>2709</v>
      </c>
      <c r="DR256" s="73">
        <f t="shared" ref="DR256" si="2463">COUNTIF($M$256,DQ256)*$D$45</f>
        <v>0</v>
      </c>
      <c r="DS256" s="64"/>
      <c r="DT256" s="74" t="s">
        <v>2095</v>
      </c>
      <c r="DU256" s="73">
        <f t="shared" ref="DU256" si="2464">COUNTIF($M$256,DT256)*$D$45</f>
        <v>0</v>
      </c>
      <c r="DV256" s="64"/>
      <c r="DW256" s="74" t="s">
        <v>2583</v>
      </c>
      <c r="DX256" s="73">
        <f t="shared" ref="DX256" si="2465">COUNTIF($M$256,DW256)*$D$45</f>
        <v>0</v>
      </c>
      <c r="DY256" s="64"/>
      <c r="DZ256" s="74" t="s">
        <v>2766</v>
      </c>
      <c r="EA256" s="73">
        <f t="shared" ref="EA256" si="2466">COUNTIF($M$256,DZ256)*$D$45</f>
        <v>0</v>
      </c>
      <c r="EB256" s="64"/>
      <c r="EC256" s="74" t="s">
        <v>2095</v>
      </c>
      <c r="ED256" s="73">
        <f t="shared" ref="ED256" si="2467">COUNTIF($M$256,EC256)*$D$45</f>
        <v>0</v>
      </c>
      <c r="EE256" s="64"/>
      <c r="EF256" s="74" t="s">
        <v>2039</v>
      </c>
      <c r="EG256" s="73">
        <f t="shared" ref="EG256" si="2468">COUNTIF($M$256,EF256)*$D$45</f>
        <v>0</v>
      </c>
      <c r="EH256" s="64"/>
      <c r="EI256" s="74" t="s">
        <v>2095</v>
      </c>
      <c r="EJ256" s="73">
        <f t="shared" ref="EJ256" si="2469">COUNTIF($M$256,EI256)*$D$45</f>
        <v>0</v>
      </c>
      <c r="EK256" s="64"/>
      <c r="EL256" s="74"/>
      <c r="EM256" s="73">
        <f t="shared" ref="EM256" si="2470">COUNTIF($M$256,EL256)*$D$45</f>
        <v>0</v>
      </c>
      <c r="EN256" s="64"/>
      <c r="EO256" s="74"/>
      <c r="EP256" s="73">
        <f t="shared" ref="EP256" si="2471">COUNTIF($M$256,EO256)*$D$45</f>
        <v>0</v>
      </c>
      <c r="EQ256" s="64"/>
      <c r="ER256" s="74"/>
      <c r="ES256" s="73">
        <f t="shared" ref="ES256" si="2472">COUNTIF($M$256,ER256)*$D$45</f>
        <v>0</v>
      </c>
      <c r="ET256" s="64"/>
      <c r="EU256" s="74"/>
      <c r="EV256" s="73">
        <f t="shared" ref="EV256" si="2473">COUNTIF($M$256,EU256)*$D$45</f>
        <v>0</v>
      </c>
      <c r="EW256" s="64"/>
      <c r="EX256" s="74"/>
      <c r="EY256" s="73">
        <f t="shared" ref="EY256" si="2474">COUNTIF($M$256,EX256)*$D$45</f>
        <v>0</v>
      </c>
      <c r="EZ256" s="64"/>
      <c r="FA256" s="74"/>
      <c r="FB256" s="73">
        <f t="shared" ref="FB256" si="2475">COUNTIF($M$256,FA256)*$D$45</f>
        <v>0</v>
      </c>
      <c r="FC256" s="64"/>
      <c r="FD256" s="74"/>
      <c r="FE256" s="73">
        <f t="shared" ref="FE256" si="2476">COUNTIF($M$256,FD256)*$D$45</f>
        <v>0</v>
      </c>
      <c r="FF256" s="64"/>
      <c r="FG256" s="74"/>
      <c r="FH256" s="73">
        <f t="shared" ref="FH256" si="2477">COUNTIF($M$256,FG256)*$D$45</f>
        <v>0</v>
      </c>
      <c r="FI256" s="64"/>
      <c r="FJ256" s="74"/>
      <c r="FK256" s="73">
        <f t="shared" ref="FK256" si="2478">COUNTIF($M$256,FJ256)*$D$45</f>
        <v>0</v>
      </c>
      <c r="FL256" s="64"/>
      <c r="FM256" s="64"/>
    </row>
    <row r="257" spans="1:169" ht="16.05" customHeight="1">
      <c r="A257" s="17"/>
      <c r="B257" s="17"/>
      <c r="C257" s="17"/>
      <c r="D257" s="17"/>
      <c r="E257" s="89"/>
      <c r="F257" s="407">
        <f t="shared" si="2135"/>
        <v>10</v>
      </c>
      <c r="G257" s="407">
        <f ca="1">VLOOKUP(H257,Equipos!$Q$1:$R$25,2,0)</f>
        <v>24</v>
      </c>
      <c r="H257" s="65" t="str">
        <f>Idiomas!$D$264</f>
        <v>3-4 &amp; Final</v>
      </c>
      <c r="I257" s="50"/>
      <c r="J257" s="101"/>
      <c r="K257" s="56" t="str">
        <f>WORLDCUP!W159</f>
        <v>Balón de Plata (2º mejor jugador)</v>
      </c>
      <c r="L257" s="53"/>
      <c r="M257" s="55" t="str">
        <f>WORLDCUP!AA159</f>
        <v>Escribe el jugador Balón de Plata</v>
      </c>
      <c r="N257" s="25"/>
      <c r="O257" s="25"/>
      <c r="P257" s="25"/>
      <c r="Q257" s="25"/>
      <c r="R257" s="17"/>
      <c r="S257" s="74" t="s">
        <v>1998</v>
      </c>
      <c r="T257" s="73">
        <f>COUNTIF($M$257,S257)*$D$46</f>
        <v>0</v>
      </c>
      <c r="U257" s="64"/>
      <c r="V257" s="74" t="s">
        <v>2038</v>
      </c>
      <c r="W257" s="73">
        <f t="shared" ref="W257" si="2479">COUNTIF($M$257,V257)*$D$46</f>
        <v>0</v>
      </c>
      <c r="X257" s="64"/>
      <c r="Y257" s="74" t="s">
        <v>2072</v>
      </c>
      <c r="Z257" s="73">
        <f t="shared" ref="Z257" si="2480">COUNTIF($M$257,Y257)*$D$46</f>
        <v>0</v>
      </c>
      <c r="AA257" s="64"/>
      <c r="AB257" s="74" t="s">
        <v>2036</v>
      </c>
      <c r="AC257" s="73">
        <f t="shared" ref="AC257" si="2481">COUNTIF($M$257,AB257)*$D$46</f>
        <v>0</v>
      </c>
      <c r="AD257" s="64"/>
      <c r="AE257" s="74" t="s">
        <v>2095</v>
      </c>
      <c r="AF257" s="73">
        <f t="shared" ref="AF257" si="2482">COUNTIF($M$257,AE257)*$D$46</f>
        <v>0</v>
      </c>
      <c r="AG257" s="64"/>
      <c r="AH257" s="74" t="s">
        <v>2153</v>
      </c>
      <c r="AI257" s="73">
        <f t="shared" ref="AI257" si="2483">COUNTIF($M$257,AH257)*$D$46</f>
        <v>0</v>
      </c>
      <c r="AJ257" s="64"/>
      <c r="AK257" s="74" t="s">
        <v>2039</v>
      </c>
      <c r="AL257" s="73">
        <f t="shared" ref="AL257" si="2484">COUNTIF($M$257,AK257)*$D$46</f>
        <v>0</v>
      </c>
      <c r="AM257" s="64"/>
      <c r="AN257" s="74" t="s">
        <v>1996</v>
      </c>
      <c r="AO257" s="73">
        <f t="shared" ref="AO257" si="2485">COUNTIF($M$257,AN257)*$D$46</f>
        <v>0</v>
      </c>
      <c r="AP257" s="64"/>
      <c r="AQ257" s="74" t="s">
        <v>2237</v>
      </c>
      <c r="AR257" s="73">
        <f t="shared" ref="AR257" si="2486">COUNTIF($M$257,AQ257)*$D$46</f>
        <v>0</v>
      </c>
      <c r="AS257" s="64"/>
      <c r="AT257" s="74" t="s">
        <v>2124</v>
      </c>
      <c r="AU257" s="73">
        <f t="shared" ref="AU257" si="2487">COUNTIF($M$257,AT257)*$D$46</f>
        <v>0</v>
      </c>
      <c r="AV257" s="64"/>
      <c r="AW257" s="74" t="s">
        <v>2287</v>
      </c>
      <c r="AX257" s="73">
        <f t="shared" ref="AX257" si="2488">COUNTIF($M$257,AW257)*$D$46</f>
        <v>0</v>
      </c>
      <c r="AY257" s="64"/>
      <c r="AZ257" s="74" t="s">
        <v>2182</v>
      </c>
      <c r="BA257" s="73">
        <f t="shared" ref="BA257" si="2489">COUNTIF($M$257,AZ257)*$D$46</f>
        <v>0</v>
      </c>
      <c r="BB257" s="64"/>
      <c r="BC257" s="74" t="s">
        <v>2338</v>
      </c>
      <c r="BD257" s="73">
        <f t="shared" ref="BD257" si="2490">COUNTIF($M$257,BC257)*$D$46</f>
        <v>0</v>
      </c>
      <c r="BE257" s="64"/>
      <c r="BF257" s="74" t="s">
        <v>2358</v>
      </c>
      <c r="BG257" s="73">
        <f t="shared" ref="BG257" si="2491">COUNTIF($M$257,BF257)*$D$46</f>
        <v>0</v>
      </c>
      <c r="BH257" s="64"/>
      <c r="BI257" s="74" t="s">
        <v>2378</v>
      </c>
      <c r="BJ257" s="73">
        <f t="shared" ref="BJ257" si="2492">COUNTIF($M$257,BI257)*$D$46</f>
        <v>0</v>
      </c>
      <c r="BK257" s="64"/>
      <c r="BL257" s="74" t="s">
        <v>2237</v>
      </c>
      <c r="BM257" s="73">
        <f t="shared" ref="BM257" si="2493">COUNTIF($M$257,BL257)*$D$46</f>
        <v>0</v>
      </c>
      <c r="BN257" s="64"/>
      <c r="BO257" s="74" t="s">
        <v>2406</v>
      </c>
      <c r="BP257" s="73">
        <f t="shared" ref="BP257" si="2494">COUNTIF($M$257,BO257)*$D$46</f>
        <v>0</v>
      </c>
      <c r="BQ257" s="64"/>
      <c r="BR257" s="74" t="s">
        <v>2182</v>
      </c>
      <c r="BS257" s="73">
        <f t="shared" ref="BS257" si="2495">COUNTIF($M$257,BR257)*$D$46</f>
        <v>0</v>
      </c>
      <c r="BT257" s="64"/>
      <c r="BU257" s="74" t="s">
        <v>2039</v>
      </c>
      <c r="BV257" s="73">
        <f t="shared" ref="BV257" si="2496">COUNTIF($M$257,BU257)*$D$46</f>
        <v>0</v>
      </c>
      <c r="BW257" s="64"/>
      <c r="BX257" s="74" t="s">
        <v>2395</v>
      </c>
      <c r="BY257" s="73">
        <f t="shared" ref="BY257" si="2497">COUNTIF($M$257,BX257)*$D$46</f>
        <v>0</v>
      </c>
      <c r="BZ257" s="64"/>
      <c r="CA257" s="74" t="s">
        <v>2037</v>
      </c>
      <c r="CB257" s="73">
        <f t="shared" ref="CB257" si="2498">COUNTIF($M$257,CA257)*$D$46</f>
        <v>0</v>
      </c>
      <c r="CC257" s="64"/>
      <c r="CD257" s="74" t="s">
        <v>2500</v>
      </c>
      <c r="CE257" s="73">
        <f t="shared" ref="CE257" si="2499">COUNTIF($M$257,CD257)*$D$46</f>
        <v>0</v>
      </c>
      <c r="CF257" s="64"/>
      <c r="CG257" s="74" t="s">
        <v>2126</v>
      </c>
      <c r="CH257" s="73">
        <f t="shared" ref="CH257" si="2500">COUNTIF($M$257,CG257)*$D$46</f>
        <v>0</v>
      </c>
      <c r="CI257" s="64"/>
      <c r="CJ257" s="74" t="s">
        <v>2038</v>
      </c>
      <c r="CK257" s="73">
        <f t="shared" ref="CK257" si="2501">COUNTIF($M$257,CJ257)*$D$46</f>
        <v>0</v>
      </c>
      <c r="CL257" s="64"/>
      <c r="CM257" s="74" t="s">
        <v>2550</v>
      </c>
      <c r="CN257" s="73">
        <f t="shared" ref="CN257" si="2502">COUNTIF($M$257,CM257)*$D$46</f>
        <v>0</v>
      </c>
      <c r="CO257" s="64"/>
      <c r="CP257" s="74" t="s">
        <v>2038</v>
      </c>
      <c r="CQ257" s="73">
        <f t="shared" ref="CQ257" si="2503">COUNTIF($M$257,CP257)*$D$46</f>
        <v>0</v>
      </c>
      <c r="CR257" s="64"/>
      <c r="CS257" s="74" t="s">
        <v>2237</v>
      </c>
      <c r="CT257" s="73">
        <f t="shared" ref="CT257" si="2504">COUNTIF($M$257,CS257)*$D$46</f>
        <v>0</v>
      </c>
      <c r="CU257" s="64"/>
      <c r="CV257" s="74" t="s">
        <v>2290</v>
      </c>
      <c r="CW257" s="73">
        <f t="shared" ref="CW257" si="2505">COUNTIF($M$257,CV257)*$D$46</f>
        <v>0</v>
      </c>
      <c r="CX257" s="64"/>
      <c r="CY257" s="74" t="s">
        <v>2153</v>
      </c>
      <c r="CZ257" s="73">
        <f t="shared" ref="CZ257" si="2506">COUNTIF($M$257,CY257)*$D$46</f>
        <v>0</v>
      </c>
      <c r="DA257" s="64"/>
      <c r="DB257" s="74" t="s">
        <v>2482</v>
      </c>
      <c r="DC257" s="73">
        <f t="shared" ref="DC257" si="2507">COUNTIF($M$257,DB257)*$D$46</f>
        <v>0</v>
      </c>
      <c r="DD257" s="64"/>
      <c r="DE257" s="74" t="s">
        <v>2639</v>
      </c>
      <c r="DF257" s="73">
        <f t="shared" ref="DF257" si="2508">COUNTIF($M$257,DE257)*$D$46</f>
        <v>0</v>
      </c>
      <c r="DG257" s="64"/>
      <c r="DH257" s="74" t="s">
        <v>2651</v>
      </c>
      <c r="DI257" s="73">
        <f t="shared" ref="DI257" si="2509">COUNTIF($M$257,DH257)*$D$46</f>
        <v>0</v>
      </c>
      <c r="DJ257" s="64"/>
      <c r="DK257" s="74" t="s">
        <v>2182</v>
      </c>
      <c r="DL257" s="73">
        <f t="shared" ref="DL257" si="2510">COUNTIF($M$257,DK257)*$D$46</f>
        <v>0</v>
      </c>
      <c r="DM257" s="64"/>
      <c r="DN257" s="795" t="s">
        <v>2038</v>
      </c>
      <c r="DO257" s="73">
        <f t="shared" ref="DO257" si="2511">COUNTIF($M$257,DN257)*$D$46</f>
        <v>0</v>
      </c>
      <c r="DP257" s="64"/>
      <c r="DQ257" s="795" t="s">
        <v>2708</v>
      </c>
      <c r="DR257" s="73">
        <f t="shared" ref="DR257" si="2512">COUNTIF($M$257,DQ257)*$D$46</f>
        <v>0</v>
      </c>
      <c r="DS257" s="64"/>
      <c r="DT257" s="74" t="s">
        <v>2733</v>
      </c>
      <c r="DU257" s="73">
        <f t="shared" ref="DU257" si="2513">COUNTIF($M$257,DT257)*$D$46</f>
        <v>0</v>
      </c>
      <c r="DV257" s="64"/>
      <c r="DW257" s="74" t="s">
        <v>2580</v>
      </c>
      <c r="DX257" s="73">
        <f t="shared" ref="DX257" si="2514">COUNTIF($M$257,DW257)*$D$46</f>
        <v>0</v>
      </c>
      <c r="DY257" s="64"/>
      <c r="DZ257" s="74" t="s">
        <v>2767</v>
      </c>
      <c r="EA257" s="73">
        <f t="shared" ref="EA257" si="2515">COUNTIF($M$257,DZ257)*$D$46</f>
        <v>0</v>
      </c>
      <c r="EB257" s="64"/>
      <c r="EC257" s="74" t="s">
        <v>2182</v>
      </c>
      <c r="ED257" s="73">
        <f t="shared" ref="ED257" si="2516">COUNTIF($M$257,EC257)*$D$46</f>
        <v>0</v>
      </c>
      <c r="EE257" s="64"/>
      <c r="EF257" s="74" t="s">
        <v>1996</v>
      </c>
      <c r="EG257" s="73">
        <f t="shared" ref="EG257" si="2517">COUNTIF($M$257,EF257)*$D$46</f>
        <v>0</v>
      </c>
      <c r="EH257" s="64"/>
      <c r="EI257" s="74" t="s">
        <v>2035</v>
      </c>
      <c r="EJ257" s="73">
        <f t="shared" ref="EJ257" si="2518">COUNTIF($M$257,EI257)*$D$46</f>
        <v>0</v>
      </c>
      <c r="EK257" s="64"/>
      <c r="EL257" s="74"/>
      <c r="EM257" s="73">
        <f t="shared" ref="EM257" si="2519">COUNTIF($M$257,EL257)*$D$46</f>
        <v>0</v>
      </c>
      <c r="EN257" s="64"/>
      <c r="EO257" s="74"/>
      <c r="EP257" s="73">
        <f t="shared" ref="EP257" si="2520">COUNTIF($M$257,EO257)*$D$46</f>
        <v>0</v>
      </c>
      <c r="EQ257" s="64"/>
      <c r="ER257" s="74"/>
      <c r="ES257" s="73">
        <f t="shared" ref="ES257" si="2521">COUNTIF($M$257,ER257)*$D$46</f>
        <v>0</v>
      </c>
      <c r="ET257" s="64"/>
      <c r="EU257" s="74"/>
      <c r="EV257" s="73">
        <f t="shared" ref="EV257" si="2522">COUNTIF($M$257,EU257)*$D$46</f>
        <v>0</v>
      </c>
      <c r="EW257" s="64"/>
      <c r="EX257" s="74"/>
      <c r="EY257" s="73">
        <f t="shared" ref="EY257" si="2523">COUNTIF($M$257,EX257)*$D$46</f>
        <v>0</v>
      </c>
      <c r="EZ257" s="64"/>
      <c r="FA257" s="74"/>
      <c r="FB257" s="73">
        <f t="shared" ref="FB257" si="2524">COUNTIF($M$257,FA257)*$D$46</f>
        <v>0</v>
      </c>
      <c r="FC257" s="64"/>
      <c r="FD257" s="74"/>
      <c r="FE257" s="73">
        <f t="shared" ref="FE257" si="2525">COUNTIF($M$257,FD257)*$D$46</f>
        <v>0</v>
      </c>
      <c r="FF257" s="64"/>
      <c r="FG257" s="74"/>
      <c r="FH257" s="73">
        <f t="shared" ref="FH257" si="2526">COUNTIF($M$257,FG257)*$D$46</f>
        <v>0</v>
      </c>
      <c r="FI257" s="64"/>
      <c r="FJ257" s="74"/>
      <c r="FK257" s="73">
        <f t="shared" ref="FK257" si="2527">COUNTIF($M$257,FJ257)*$D$46</f>
        <v>0</v>
      </c>
      <c r="FL257" s="64"/>
      <c r="FM257" s="64"/>
    </row>
    <row r="258" spans="1:169" ht="16.05" customHeight="1">
      <c r="A258" s="17"/>
      <c r="B258" s="17"/>
      <c r="C258" s="17"/>
      <c r="D258" s="17"/>
      <c r="E258" s="89"/>
      <c r="F258" s="407">
        <f t="shared" si="2135"/>
        <v>5</v>
      </c>
      <c r="G258" s="407">
        <f ca="1">VLOOKUP(H258,Equipos!$Q$1:$R$25,2,0)</f>
        <v>24</v>
      </c>
      <c r="H258" s="65" t="str">
        <f>Idiomas!$D$264</f>
        <v>3-4 &amp; Final</v>
      </c>
      <c r="I258" s="50"/>
      <c r="J258" s="101"/>
      <c r="K258" s="115" t="str">
        <f>WORLDCUP!W160</f>
        <v>Balón de Bronce (3º mejor jugador)</v>
      </c>
      <c r="L258" s="115"/>
      <c r="M258" s="116" t="str">
        <f>WORLDCUP!AA160</f>
        <v>Escribe el jugador Balón de Bronce</v>
      </c>
      <c r="N258" s="25"/>
      <c r="O258" s="25"/>
      <c r="P258" s="25"/>
      <c r="Q258" s="25"/>
      <c r="R258" s="17"/>
      <c r="S258" s="80" t="s">
        <v>1999</v>
      </c>
      <c r="T258" s="81">
        <f>COUNTIF($M$258,S258)*$D$47</f>
        <v>0</v>
      </c>
      <c r="U258" s="64"/>
      <c r="V258" s="80" t="s">
        <v>2039</v>
      </c>
      <c r="W258" s="81">
        <f t="shared" ref="W258" si="2528">COUNTIF($M$258,V258)*$D$47</f>
        <v>0</v>
      </c>
      <c r="X258" s="64"/>
      <c r="Y258" s="80" t="s">
        <v>2039</v>
      </c>
      <c r="Z258" s="81">
        <f t="shared" ref="Z258" si="2529">COUNTIF($M$258,Y258)*$D$47</f>
        <v>0</v>
      </c>
      <c r="AA258" s="64"/>
      <c r="AB258" s="80" t="s">
        <v>2095</v>
      </c>
      <c r="AC258" s="81">
        <f t="shared" ref="AC258" si="2530">COUNTIF($M$258,AB258)*$D$47</f>
        <v>0</v>
      </c>
      <c r="AD258" s="64"/>
      <c r="AE258" s="80" t="s">
        <v>2126</v>
      </c>
      <c r="AF258" s="81">
        <f t="shared" ref="AF258" si="2531">COUNTIF($M$258,AE258)*$D$47</f>
        <v>0</v>
      </c>
      <c r="AG258" s="64"/>
      <c r="AH258" s="80" t="s">
        <v>2095</v>
      </c>
      <c r="AI258" s="81">
        <f t="shared" ref="AI258" si="2532">COUNTIF($M$258,AH258)*$D$47</f>
        <v>0</v>
      </c>
      <c r="AJ258" s="64"/>
      <c r="AK258" s="80" t="s">
        <v>2095</v>
      </c>
      <c r="AL258" s="81">
        <f t="shared" ref="AL258" si="2533">COUNTIF($M$258,AK258)*$D$47</f>
        <v>0</v>
      </c>
      <c r="AM258" s="64"/>
      <c r="AN258" s="80" t="s">
        <v>2213</v>
      </c>
      <c r="AO258" s="81">
        <f t="shared" ref="AO258" si="2534">COUNTIF($M$258,AN258)*$D$47</f>
        <v>0</v>
      </c>
      <c r="AP258" s="64"/>
      <c r="AQ258" s="80" t="s">
        <v>2039</v>
      </c>
      <c r="AR258" s="81">
        <f t="shared" ref="AR258" si="2535">COUNTIF($M$258,AQ258)*$D$47</f>
        <v>0</v>
      </c>
      <c r="AS258" s="64"/>
      <c r="AT258" s="80" t="s">
        <v>2261</v>
      </c>
      <c r="AU258" s="81">
        <f t="shared" ref="AU258" si="2536">COUNTIF($M$258,AT258)*$D$47</f>
        <v>0</v>
      </c>
      <c r="AV258" s="64"/>
      <c r="AW258" s="80" t="s">
        <v>2290</v>
      </c>
      <c r="AX258" s="81">
        <f t="shared" ref="AX258" si="2537">COUNTIF($M$258,AW258)*$D$47</f>
        <v>0</v>
      </c>
      <c r="AY258" s="64"/>
      <c r="AZ258" s="80" t="s">
        <v>2095</v>
      </c>
      <c r="BA258" s="81">
        <f t="shared" ref="BA258" si="2538">COUNTIF($M$258,AZ258)*$D$47</f>
        <v>0</v>
      </c>
      <c r="BB258" s="64"/>
      <c r="BC258" s="80" t="s">
        <v>2339</v>
      </c>
      <c r="BD258" s="81">
        <f t="shared" ref="BD258" si="2539">COUNTIF($M$258,BC258)*$D$47</f>
        <v>0</v>
      </c>
      <c r="BE258" s="64"/>
      <c r="BF258" s="80" t="s">
        <v>2039</v>
      </c>
      <c r="BG258" s="81">
        <f t="shared" ref="BG258" si="2540">COUNTIF($M$258,BF258)*$D$47</f>
        <v>0</v>
      </c>
      <c r="BH258" s="64"/>
      <c r="BI258" s="80" t="s">
        <v>2039</v>
      </c>
      <c r="BJ258" s="81">
        <f t="shared" ref="BJ258" si="2541">COUNTIF($M$258,BI258)*$D$47</f>
        <v>0</v>
      </c>
      <c r="BK258" s="64"/>
      <c r="BL258" s="80" t="s">
        <v>2395</v>
      </c>
      <c r="BM258" s="81">
        <f t="shared" ref="BM258" si="2542">COUNTIF($M$258,BL258)*$D$47</f>
        <v>0</v>
      </c>
      <c r="BN258" s="64"/>
      <c r="BO258" s="80" t="s">
        <v>2035</v>
      </c>
      <c r="BP258" s="81">
        <f t="shared" ref="BP258" si="2543">COUNTIF($M$258,BO258)*$D$47</f>
        <v>0</v>
      </c>
      <c r="BQ258" s="64"/>
      <c r="BR258" s="80" t="s">
        <v>2124</v>
      </c>
      <c r="BS258" s="81">
        <f t="shared" ref="BS258" si="2544">COUNTIF($M$258,BR258)*$D$47</f>
        <v>0</v>
      </c>
      <c r="BT258" s="64"/>
      <c r="BU258" s="80" t="s">
        <v>2182</v>
      </c>
      <c r="BV258" s="81">
        <f t="shared" ref="BV258" si="2545">COUNTIF($M$258,BU258)*$D$47</f>
        <v>0</v>
      </c>
      <c r="BW258" s="64"/>
      <c r="BX258" s="80" t="s">
        <v>1996</v>
      </c>
      <c r="BY258" s="81">
        <f t="shared" ref="BY258" si="2546">COUNTIF($M$258,BX258)*$D$47</f>
        <v>0</v>
      </c>
      <c r="BZ258" s="64"/>
      <c r="CA258" s="80" t="s">
        <v>2483</v>
      </c>
      <c r="CB258" s="81">
        <f t="shared" ref="CB258" si="2547">COUNTIF($M$258,CA258)*$D$47</f>
        <v>0</v>
      </c>
      <c r="CC258" s="64"/>
      <c r="CD258" s="80" t="s">
        <v>2483</v>
      </c>
      <c r="CE258" s="81">
        <f t="shared" ref="CE258" si="2548">COUNTIF($M$258,CD258)*$D$47</f>
        <v>0</v>
      </c>
      <c r="CF258" s="64"/>
      <c r="CG258" s="80" t="s">
        <v>2035</v>
      </c>
      <c r="CH258" s="81">
        <f t="shared" ref="CH258" si="2549">COUNTIF($M$258,CG258)*$D$47</f>
        <v>0</v>
      </c>
      <c r="CI258" s="64"/>
      <c r="CJ258" s="80" t="s">
        <v>2483</v>
      </c>
      <c r="CK258" s="81">
        <f t="shared" ref="CK258" si="2550">COUNTIF($M$258,CJ258)*$D$47</f>
        <v>0</v>
      </c>
      <c r="CL258" s="64"/>
      <c r="CM258" s="80" t="s">
        <v>2182</v>
      </c>
      <c r="CN258" s="81">
        <f t="shared" ref="CN258" si="2551">COUNTIF($M$258,CM258)*$D$47</f>
        <v>0</v>
      </c>
      <c r="CO258" s="64"/>
      <c r="CP258" s="80" t="s">
        <v>2095</v>
      </c>
      <c r="CQ258" s="81">
        <f t="shared" ref="CQ258" si="2552">COUNTIF($M$258,CP258)*$D$47</f>
        <v>0</v>
      </c>
      <c r="CR258" s="64"/>
      <c r="CS258" s="80" t="s">
        <v>2395</v>
      </c>
      <c r="CT258" s="81">
        <f t="shared" ref="CT258" si="2553">COUNTIF($M$258,CS258)*$D$47</f>
        <v>0</v>
      </c>
      <c r="CU258" s="64"/>
      <c r="CV258" s="80" t="s">
        <v>2584</v>
      </c>
      <c r="CW258" s="81">
        <f t="shared" ref="CW258" si="2554">COUNTIF($M$258,CV258)*$D$47</f>
        <v>0</v>
      </c>
      <c r="CX258" s="64"/>
      <c r="CY258" s="80" t="s">
        <v>2095</v>
      </c>
      <c r="CZ258" s="81">
        <f t="shared" ref="CZ258" si="2555">COUNTIF($M$258,CY258)*$D$47</f>
        <v>0</v>
      </c>
      <c r="DA258" s="64"/>
      <c r="DB258" s="80" t="s">
        <v>2620</v>
      </c>
      <c r="DC258" s="81">
        <f t="shared" ref="DC258" si="2556">COUNTIF($M$258,DB258)*$D$47</f>
        <v>0</v>
      </c>
      <c r="DD258" s="64"/>
      <c r="DE258" s="80" t="s">
        <v>2482</v>
      </c>
      <c r="DF258" s="81">
        <f t="shared" ref="DF258" si="2557">COUNTIF($M$258,DE258)*$D$47</f>
        <v>0</v>
      </c>
      <c r="DG258" s="64"/>
      <c r="DH258" s="80" t="s">
        <v>2095</v>
      </c>
      <c r="DI258" s="81">
        <f t="shared" ref="DI258" si="2558">COUNTIF($M$258,DH258)*$D$47</f>
        <v>0</v>
      </c>
      <c r="DJ258" s="64"/>
      <c r="DK258" s="80" t="s">
        <v>2126</v>
      </c>
      <c r="DL258" s="81">
        <f t="shared" ref="DL258" si="2559">COUNTIF($M$258,DK258)*$D$47</f>
        <v>0</v>
      </c>
      <c r="DM258" s="64"/>
      <c r="DN258" s="795" t="s">
        <v>2095</v>
      </c>
      <c r="DO258" s="81">
        <f t="shared" ref="DO258" si="2560">COUNTIF($M$258,DN258)*$D$47</f>
        <v>0</v>
      </c>
      <c r="DP258" s="64"/>
      <c r="DQ258" s="795" t="s">
        <v>2581</v>
      </c>
      <c r="DR258" s="81">
        <f t="shared" ref="DR258" si="2561">COUNTIF($M$258,DQ258)*$D$47</f>
        <v>0</v>
      </c>
      <c r="DS258" s="64"/>
      <c r="DT258" s="80" t="s">
        <v>1999</v>
      </c>
      <c r="DU258" s="81">
        <f t="shared" ref="DU258" si="2562">COUNTIF($M$258,DT258)*$D$47</f>
        <v>0</v>
      </c>
      <c r="DV258" s="64"/>
      <c r="DW258" s="80" t="s">
        <v>2749</v>
      </c>
      <c r="DX258" s="81">
        <f t="shared" ref="DX258" si="2563">COUNTIF($M$258,DW258)*$D$47</f>
        <v>0</v>
      </c>
      <c r="DY258" s="64"/>
      <c r="DZ258" s="80" t="s">
        <v>2709</v>
      </c>
      <c r="EA258" s="81">
        <f t="shared" ref="EA258" si="2564">COUNTIF($M$258,DZ258)*$D$47</f>
        <v>0</v>
      </c>
      <c r="EB258" s="64"/>
      <c r="EC258" s="80" t="s">
        <v>2338</v>
      </c>
      <c r="ED258" s="81">
        <f t="shared" ref="ED258" si="2565">COUNTIF($M$258,EC258)*$D$47</f>
        <v>0</v>
      </c>
      <c r="EE258" s="64"/>
      <c r="EF258" s="80" t="s">
        <v>2793</v>
      </c>
      <c r="EG258" s="81">
        <f t="shared" ref="EG258" si="2566">COUNTIF($M$258,EF258)*$D$47</f>
        <v>0</v>
      </c>
      <c r="EH258" s="64"/>
      <c r="EI258" s="80" t="s">
        <v>2182</v>
      </c>
      <c r="EJ258" s="81">
        <f t="shared" ref="EJ258" si="2567">COUNTIF($M$258,EI258)*$D$47</f>
        <v>0</v>
      </c>
      <c r="EK258" s="64"/>
      <c r="EL258" s="80"/>
      <c r="EM258" s="81">
        <f t="shared" ref="EM258" si="2568">COUNTIF($M$258,EL258)*$D$47</f>
        <v>0</v>
      </c>
      <c r="EN258" s="64"/>
      <c r="EO258" s="80"/>
      <c r="EP258" s="81">
        <f t="shared" ref="EP258" si="2569">COUNTIF($M$258,EO258)*$D$47</f>
        <v>0</v>
      </c>
      <c r="EQ258" s="64"/>
      <c r="ER258" s="80"/>
      <c r="ES258" s="81">
        <f t="shared" ref="ES258" si="2570">COUNTIF($M$258,ER258)*$D$47</f>
        <v>0</v>
      </c>
      <c r="ET258" s="64"/>
      <c r="EU258" s="80"/>
      <c r="EV258" s="81">
        <f t="shared" ref="EV258" si="2571">COUNTIF($M$258,EU258)*$D$47</f>
        <v>0</v>
      </c>
      <c r="EW258" s="64"/>
      <c r="EX258" s="80"/>
      <c r="EY258" s="81">
        <f t="shared" ref="EY258" si="2572">COUNTIF($M$258,EX258)*$D$47</f>
        <v>0</v>
      </c>
      <c r="EZ258" s="64"/>
      <c r="FA258" s="80"/>
      <c r="FB258" s="81">
        <f t="shared" ref="FB258" si="2573">COUNTIF($M$258,FA258)*$D$47</f>
        <v>0</v>
      </c>
      <c r="FC258" s="64"/>
      <c r="FD258" s="80"/>
      <c r="FE258" s="81">
        <f t="shared" ref="FE258" si="2574">COUNTIF($M$258,FD258)*$D$47</f>
        <v>0</v>
      </c>
      <c r="FF258" s="64"/>
      <c r="FG258" s="80"/>
      <c r="FH258" s="81">
        <f t="shared" ref="FH258" si="2575">COUNTIF($M$258,FG258)*$D$47</f>
        <v>0</v>
      </c>
      <c r="FI258" s="64"/>
      <c r="FJ258" s="80"/>
      <c r="FK258" s="81">
        <f t="shared" ref="FK258" si="2576">COUNTIF($M$258,FJ258)*$D$47</f>
        <v>0</v>
      </c>
      <c r="FL258" s="64"/>
      <c r="FM258" s="64"/>
    </row>
    <row r="259" spans="1:169">
      <c r="A259" s="49"/>
      <c r="B259" s="49"/>
      <c r="C259" s="49"/>
      <c r="D259" s="49"/>
      <c r="E259" s="111"/>
      <c r="F259" s="730"/>
      <c r="G259" s="731"/>
      <c r="H259" s="49"/>
      <c r="I259" s="50"/>
      <c r="J259" s="94"/>
      <c r="K259" s="434" t="str">
        <f>Idiomas!D469</f>
        <v xml:space="preserve">Cuadro de Honor </v>
      </c>
      <c r="L259" s="435"/>
      <c r="M259" s="434" t="str">
        <f>"Max: "&amp;SUM($D$39:$D$47)</f>
        <v>Max: 115</v>
      </c>
      <c r="N259" s="19"/>
      <c r="O259" s="19"/>
      <c r="P259" s="19"/>
      <c r="Q259" s="19"/>
      <c r="R259" s="297"/>
      <c r="S259" s="71"/>
      <c r="T259" s="71">
        <f>SUM(T250:T258)</f>
        <v>0</v>
      </c>
      <c r="U259" s="65"/>
      <c r="V259" s="71"/>
      <c r="W259" s="71">
        <f t="shared" ref="W259" si="2577">SUM(W250:W258)</f>
        <v>0</v>
      </c>
      <c r="X259" s="65"/>
      <c r="Y259" s="71"/>
      <c r="Z259" s="71">
        <f t="shared" ref="Z259" si="2578">SUM(Z250:Z258)</f>
        <v>0</v>
      </c>
      <c r="AA259" s="65"/>
      <c r="AB259" s="71"/>
      <c r="AC259" s="71">
        <f t="shared" ref="AC259" si="2579">SUM(AC250:AC258)</f>
        <v>0</v>
      </c>
      <c r="AD259" s="65"/>
      <c r="AE259" s="71"/>
      <c r="AF259" s="71">
        <f t="shared" ref="AF259" si="2580">SUM(AF250:AF258)</f>
        <v>0</v>
      </c>
      <c r="AG259" s="65"/>
      <c r="AH259" s="71"/>
      <c r="AI259" s="71">
        <f t="shared" ref="AI259" si="2581">SUM(AI250:AI258)</f>
        <v>0</v>
      </c>
      <c r="AJ259" s="65"/>
      <c r="AK259" s="71"/>
      <c r="AL259" s="71">
        <f t="shared" ref="AL259" si="2582">SUM(AL250:AL258)</f>
        <v>0</v>
      </c>
      <c r="AM259" s="65"/>
      <c r="AN259" s="71"/>
      <c r="AO259" s="71">
        <f t="shared" ref="AO259" si="2583">SUM(AO250:AO258)</f>
        <v>0</v>
      </c>
      <c r="AP259" s="65"/>
      <c r="AQ259" s="71"/>
      <c r="AR259" s="71">
        <f t="shared" ref="AR259" si="2584">SUM(AR250:AR258)</f>
        <v>0</v>
      </c>
      <c r="AS259" s="65"/>
      <c r="AT259" s="71"/>
      <c r="AU259" s="71">
        <f t="shared" ref="AU259" si="2585">SUM(AU250:AU258)</f>
        <v>0</v>
      </c>
      <c r="AV259" s="65"/>
      <c r="AW259" s="71"/>
      <c r="AX259" s="71">
        <f t="shared" ref="AX259" si="2586">SUM(AX250:AX258)</f>
        <v>0</v>
      </c>
      <c r="AY259" s="65"/>
      <c r="AZ259" s="71"/>
      <c r="BA259" s="71">
        <f t="shared" ref="BA259" si="2587">SUM(BA250:BA258)</f>
        <v>0</v>
      </c>
      <c r="BB259" s="65"/>
      <c r="BC259" s="71"/>
      <c r="BD259" s="71">
        <f t="shared" ref="BD259" si="2588">SUM(BD250:BD258)</f>
        <v>0</v>
      </c>
      <c r="BE259" s="65"/>
      <c r="BF259" s="71"/>
      <c r="BG259" s="71">
        <f t="shared" ref="BG259" si="2589">SUM(BG250:BG258)</f>
        <v>0</v>
      </c>
      <c r="BH259" s="65"/>
      <c r="BI259" s="71"/>
      <c r="BJ259" s="71">
        <f t="shared" ref="BJ259" si="2590">SUM(BJ250:BJ258)</f>
        <v>0</v>
      </c>
      <c r="BK259" s="65"/>
      <c r="BL259" s="71"/>
      <c r="BM259" s="71">
        <f t="shared" ref="BM259" si="2591">SUM(BM250:BM258)</f>
        <v>0</v>
      </c>
      <c r="BN259" s="65"/>
      <c r="BO259" s="71"/>
      <c r="BP259" s="71">
        <f t="shared" ref="BP259" si="2592">SUM(BP250:BP258)</f>
        <v>0</v>
      </c>
      <c r="BQ259" s="65"/>
      <c r="BR259" s="71"/>
      <c r="BS259" s="71">
        <f t="shared" ref="BS259" si="2593">SUM(BS250:BS258)</f>
        <v>0</v>
      </c>
      <c r="BT259" s="65"/>
      <c r="BU259" s="71"/>
      <c r="BV259" s="71">
        <f t="shared" ref="BV259" si="2594">SUM(BV250:BV258)</f>
        <v>0</v>
      </c>
      <c r="BW259" s="65"/>
      <c r="BX259" s="71"/>
      <c r="BY259" s="71">
        <f t="shared" ref="BY259" si="2595">SUM(BY250:BY258)</f>
        <v>0</v>
      </c>
      <c r="BZ259" s="65"/>
      <c r="CA259" s="71"/>
      <c r="CB259" s="71">
        <f t="shared" ref="CB259" si="2596">SUM(CB250:CB258)</f>
        <v>0</v>
      </c>
      <c r="CC259" s="65"/>
      <c r="CD259" s="71"/>
      <c r="CE259" s="71">
        <f t="shared" ref="CE259" si="2597">SUM(CE250:CE258)</f>
        <v>0</v>
      </c>
      <c r="CF259" s="65"/>
      <c r="CG259" s="71"/>
      <c r="CH259" s="71">
        <f t="shared" ref="CH259" si="2598">SUM(CH250:CH258)</f>
        <v>0</v>
      </c>
      <c r="CI259" s="65"/>
      <c r="CJ259" s="71"/>
      <c r="CK259" s="71">
        <f t="shared" ref="CK259" si="2599">SUM(CK250:CK258)</f>
        <v>0</v>
      </c>
      <c r="CL259" s="65"/>
      <c r="CM259" s="71"/>
      <c r="CN259" s="71">
        <f t="shared" ref="CN259" si="2600">SUM(CN250:CN258)</f>
        <v>0</v>
      </c>
      <c r="CO259" s="65"/>
      <c r="CP259" s="71"/>
      <c r="CQ259" s="71">
        <f t="shared" ref="CQ259" si="2601">SUM(CQ250:CQ258)</f>
        <v>0</v>
      </c>
      <c r="CR259" s="65"/>
      <c r="CS259" s="71"/>
      <c r="CT259" s="71">
        <f t="shared" ref="CT259" si="2602">SUM(CT250:CT258)</f>
        <v>0</v>
      </c>
      <c r="CU259" s="65"/>
      <c r="CV259" s="71"/>
      <c r="CW259" s="71">
        <f t="shared" ref="CW259" si="2603">SUM(CW250:CW258)</f>
        <v>0</v>
      </c>
      <c r="CX259" s="65"/>
      <c r="CY259" s="71"/>
      <c r="CZ259" s="71">
        <f t="shared" ref="CZ259" si="2604">SUM(CZ250:CZ258)</f>
        <v>0</v>
      </c>
      <c r="DA259" s="65"/>
      <c r="DB259" s="71"/>
      <c r="DC259" s="71">
        <f t="shared" ref="DC259" si="2605">SUM(DC250:DC258)</f>
        <v>0</v>
      </c>
      <c r="DD259" s="65"/>
      <c r="DE259" s="71"/>
      <c r="DF259" s="71">
        <f t="shared" ref="DF259" si="2606">SUM(DF250:DF258)</f>
        <v>0</v>
      </c>
      <c r="DG259" s="65"/>
      <c r="DH259" s="71"/>
      <c r="DI259" s="71">
        <f t="shared" ref="DI259" si="2607">SUM(DI250:DI258)</f>
        <v>0</v>
      </c>
      <c r="DJ259" s="65"/>
      <c r="DK259" s="71"/>
      <c r="DL259" s="71">
        <f t="shared" ref="DL259" si="2608">SUM(DL250:DL258)</f>
        <v>0</v>
      </c>
      <c r="DM259" s="65"/>
      <c r="DN259" s="71"/>
      <c r="DO259" s="71">
        <f t="shared" ref="DO259" si="2609">SUM(DO250:DO258)</f>
        <v>0</v>
      </c>
      <c r="DP259" s="65"/>
      <c r="DQ259" s="71"/>
      <c r="DR259" s="71">
        <f t="shared" ref="DR259" si="2610">SUM(DR250:DR258)</f>
        <v>0</v>
      </c>
      <c r="DS259" s="65"/>
      <c r="DT259" s="71"/>
      <c r="DU259" s="71">
        <f t="shared" ref="DU259" si="2611">SUM(DU250:DU258)</f>
        <v>0</v>
      </c>
      <c r="DV259" s="65"/>
      <c r="DW259" s="71"/>
      <c r="DX259" s="71">
        <f t="shared" ref="DX259" si="2612">SUM(DX250:DX258)</f>
        <v>0</v>
      </c>
      <c r="DY259" s="65"/>
      <c r="DZ259" s="71"/>
      <c r="EA259" s="71">
        <f t="shared" ref="EA259" si="2613">SUM(EA250:EA258)</f>
        <v>0</v>
      </c>
      <c r="EB259" s="65"/>
      <c r="EC259" s="71"/>
      <c r="ED259" s="71">
        <f t="shared" ref="ED259" si="2614">SUM(ED250:ED258)</f>
        <v>0</v>
      </c>
      <c r="EE259" s="65"/>
      <c r="EF259" s="71"/>
      <c r="EG259" s="71">
        <f t="shared" ref="EG259" si="2615">SUM(EG250:EG258)</f>
        <v>0</v>
      </c>
      <c r="EH259" s="65"/>
      <c r="EI259" s="71"/>
      <c r="EJ259" s="71">
        <f t="shared" ref="EJ259" si="2616">SUM(EJ250:EJ258)</f>
        <v>0</v>
      </c>
      <c r="EK259" s="65"/>
      <c r="EL259" s="71"/>
      <c r="EM259" s="71">
        <f t="shared" ref="EM259" si="2617">SUM(EM250:EM258)</f>
        <v>0</v>
      </c>
      <c r="EN259" s="65"/>
      <c r="EO259" s="71"/>
      <c r="EP259" s="71">
        <f t="shared" ref="EP259" si="2618">SUM(EP250:EP258)</f>
        <v>0</v>
      </c>
      <c r="EQ259" s="65"/>
      <c r="ER259" s="71"/>
      <c r="ES259" s="71">
        <f t="shared" ref="ES259" si="2619">SUM(ES250:ES258)</f>
        <v>0</v>
      </c>
      <c r="ET259" s="65"/>
      <c r="EU259" s="71"/>
      <c r="EV259" s="71">
        <f t="shared" ref="EV259" si="2620">SUM(EV250:EV258)</f>
        <v>0</v>
      </c>
      <c r="EW259" s="65"/>
      <c r="EX259" s="71"/>
      <c r="EY259" s="71">
        <f t="shared" ref="EY259" si="2621">SUM(EY250:EY258)</f>
        <v>0</v>
      </c>
      <c r="EZ259" s="65"/>
      <c r="FA259" s="71"/>
      <c r="FB259" s="71">
        <f t="shared" ref="FB259" si="2622">SUM(FB250:FB258)</f>
        <v>0</v>
      </c>
      <c r="FC259" s="65"/>
      <c r="FD259" s="71"/>
      <c r="FE259" s="71">
        <f t="shared" ref="FE259" si="2623">SUM(FE250:FE258)</f>
        <v>0</v>
      </c>
      <c r="FF259" s="65"/>
      <c r="FG259" s="71"/>
      <c r="FH259" s="71">
        <f t="shared" ref="FH259" si="2624">SUM(FH250:FH258)</f>
        <v>0</v>
      </c>
      <c r="FI259" s="65"/>
      <c r="FJ259" s="71"/>
      <c r="FK259" s="71">
        <f t="shared" ref="FK259" si="2625">SUM(FK250:FK258)</f>
        <v>0</v>
      </c>
      <c r="FL259" s="65"/>
      <c r="FM259" s="65"/>
    </row>
    <row r="260" spans="1:169">
      <c r="A260" s="49"/>
      <c r="B260" s="49"/>
      <c r="C260" s="49"/>
      <c r="D260" s="49"/>
      <c r="E260" s="111"/>
      <c r="F260" s="730"/>
      <c r="G260" s="49"/>
      <c r="H260" s="49"/>
      <c r="I260" s="50"/>
      <c r="J260" s="94"/>
      <c r="K260" s="71"/>
      <c r="L260" s="50"/>
      <c r="M260" s="71"/>
      <c r="N260" s="25"/>
      <c r="O260" s="25"/>
      <c r="P260" s="25"/>
      <c r="Q260" s="25"/>
      <c r="R260" s="17"/>
      <c r="S260" s="71"/>
      <c r="T260" s="71"/>
      <c r="U260" s="65"/>
      <c r="V260" s="71"/>
      <c r="W260" s="71"/>
      <c r="X260" s="65"/>
      <c r="Y260" s="71"/>
      <c r="Z260" s="71"/>
      <c r="AA260" s="65"/>
      <c r="AB260" s="71"/>
      <c r="AC260" s="71"/>
      <c r="AD260" s="65"/>
      <c r="AE260" s="71"/>
      <c r="AF260" s="71"/>
      <c r="AG260" s="65"/>
      <c r="AH260" s="71"/>
      <c r="AI260" s="71"/>
      <c r="AJ260" s="65"/>
      <c r="AK260" s="71"/>
      <c r="AL260" s="71"/>
      <c r="AM260" s="65"/>
      <c r="AN260" s="71"/>
      <c r="AO260" s="71"/>
      <c r="AP260" s="65"/>
      <c r="AQ260" s="71"/>
      <c r="AR260" s="71"/>
      <c r="AS260" s="65"/>
      <c r="AT260" s="71"/>
      <c r="AU260" s="71"/>
      <c r="AV260" s="65"/>
      <c r="AW260" s="71"/>
      <c r="AX260" s="71"/>
      <c r="AY260" s="65"/>
      <c r="AZ260" s="71"/>
      <c r="BA260" s="71"/>
      <c r="BB260" s="65"/>
      <c r="BC260" s="71"/>
      <c r="BD260" s="71"/>
      <c r="BE260" s="65"/>
      <c r="BF260" s="71"/>
      <c r="BG260" s="71"/>
      <c r="BH260" s="65"/>
      <c r="BI260" s="71"/>
      <c r="BJ260" s="71"/>
      <c r="BK260" s="65"/>
      <c r="BL260" s="71"/>
      <c r="BM260" s="71"/>
      <c r="BN260" s="65"/>
      <c r="BO260" s="71"/>
      <c r="BP260" s="71"/>
      <c r="BQ260" s="65"/>
      <c r="BR260" s="71"/>
      <c r="BS260" s="71"/>
      <c r="BT260" s="65"/>
      <c r="BU260" s="71"/>
      <c r="BV260" s="71"/>
      <c r="BW260" s="65"/>
      <c r="BX260" s="71"/>
      <c r="BY260" s="71"/>
      <c r="BZ260" s="65"/>
      <c r="CA260" s="71"/>
      <c r="CB260" s="71"/>
      <c r="CC260" s="65"/>
      <c r="CD260" s="71"/>
      <c r="CE260" s="71"/>
      <c r="CF260" s="65"/>
      <c r="CG260" s="71"/>
      <c r="CH260" s="71"/>
      <c r="CI260" s="65"/>
      <c r="CJ260" s="71"/>
      <c r="CK260" s="71"/>
      <c r="CL260" s="65"/>
      <c r="CM260" s="71"/>
      <c r="CN260" s="71"/>
      <c r="CO260" s="65"/>
      <c r="CP260" s="71"/>
      <c r="CQ260" s="71"/>
      <c r="CR260" s="65"/>
      <c r="CS260" s="71"/>
      <c r="CT260" s="71"/>
      <c r="CU260" s="65"/>
      <c r="CV260" s="71"/>
      <c r="CW260" s="71"/>
      <c r="CX260" s="65"/>
      <c r="CY260" s="71"/>
      <c r="CZ260" s="71"/>
      <c r="DA260" s="65"/>
      <c r="DB260" s="71"/>
      <c r="DC260" s="71"/>
      <c r="DD260" s="65"/>
      <c r="DE260" s="71"/>
      <c r="DF260" s="71"/>
      <c r="DG260" s="65"/>
      <c r="DH260" s="71"/>
      <c r="DI260" s="71"/>
      <c r="DJ260" s="65"/>
      <c r="DK260" s="71"/>
      <c r="DL260" s="71"/>
      <c r="DM260" s="65"/>
      <c r="DN260" s="71"/>
      <c r="DO260" s="71"/>
      <c r="DP260" s="65"/>
      <c r="DQ260" s="71"/>
      <c r="DR260" s="71"/>
      <c r="DS260" s="65"/>
      <c r="DT260" s="71"/>
      <c r="DU260" s="71"/>
      <c r="DV260" s="65"/>
      <c r="DW260" s="71"/>
      <c r="DX260" s="71"/>
      <c r="DY260" s="65"/>
      <c r="DZ260" s="71"/>
      <c r="EA260" s="71"/>
      <c r="EB260" s="65"/>
      <c r="EC260" s="71"/>
      <c r="ED260" s="71"/>
      <c r="EE260" s="65"/>
      <c r="EF260" s="71"/>
      <c r="EG260" s="71"/>
      <c r="EH260" s="65"/>
      <c r="EI260" s="71"/>
      <c r="EJ260" s="71"/>
      <c r="EK260" s="65"/>
      <c r="EL260" s="71"/>
      <c r="EM260" s="71"/>
      <c r="EN260" s="65"/>
      <c r="EO260" s="71"/>
      <c r="EP260" s="71"/>
      <c r="EQ260" s="65"/>
      <c r="ER260" s="71"/>
      <c r="ES260" s="71"/>
      <c r="ET260" s="65"/>
      <c r="EU260" s="71"/>
      <c r="EV260" s="71"/>
      <c r="EW260" s="65"/>
      <c r="EX260" s="71"/>
      <c r="EY260" s="71"/>
      <c r="EZ260" s="65"/>
      <c r="FA260" s="71"/>
      <c r="FB260" s="71"/>
      <c r="FC260" s="65"/>
      <c r="FD260" s="71"/>
      <c r="FE260" s="71"/>
      <c r="FF260" s="65"/>
      <c r="FG260" s="71"/>
      <c r="FH260" s="71"/>
      <c r="FI260" s="65"/>
      <c r="FJ260" s="71"/>
      <c r="FK260" s="71"/>
      <c r="FL260" s="65"/>
      <c r="FM260" s="65"/>
    </row>
    <row r="261" spans="1:169" customFormat="1">
      <c r="A261" s="17"/>
      <c r="B261" s="17"/>
      <c r="C261" s="17"/>
      <c r="D261" s="17"/>
      <c r="E261" s="89"/>
      <c r="F261" s="729"/>
      <c r="G261" s="729"/>
      <c r="H261" s="729"/>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c r="DO261" s="17"/>
      <c r="DP261" s="17"/>
      <c r="DQ261" s="17"/>
      <c r="DR261" s="17"/>
      <c r="DS261" s="17"/>
      <c r="DT261" s="17"/>
      <c r="DU261" s="17"/>
      <c r="DV261" s="17"/>
      <c r="DW261" s="17"/>
      <c r="DX261" s="17"/>
      <c r="DY261" s="17"/>
      <c r="DZ261" s="17"/>
      <c r="EA261" s="17"/>
      <c r="EB261" s="17"/>
      <c r="EC261" s="17"/>
      <c r="ED261" s="17"/>
      <c r="EE261" s="17"/>
      <c r="EF261" s="17"/>
      <c r="EG261" s="17"/>
      <c r="EH261" s="17"/>
      <c r="EI261" s="17"/>
      <c r="EJ261" s="17"/>
      <c r="EK261" s="17"/>
      <c r="EL261" s="17"/>
      <c r="EM261" s="17"/>
      <c r="EN261" s="17"/>
      <c r="EO261" s="17"/>
      <c r="EP261" s="17"/>
      <c r="EQ261" s="17"/>
      <c r="ER261" s="17"/>
      <c r="ES261" s="17"/>
      <c r="ET261" s="17"/>
      <c r="EU261" s="17"/>
      <c r="EV261" s="17"/>
      <c r="EW261" s="17"/>
      <c r="EX261" s="17"/>
      <c r="EY261" s="17"/>
      <c r="EZ261" s="17"/>
      <c r="FA261" s="17"/>
      <c r="FB261" s="17"/>
      <c r="FC261" s="17"/>
      <c r="FD261" s="17"/>
      <c r="FE261" s="17"/>
      <c r="FF261" s="17"/>
      <c r="FG261" s="17"/>
      <c r="FH261" s="17"/>
      <c r="FI261" s="17"/>
      <c r="FJ261" s="17"/>
      <c r="FK261" s="17"/>
      <c r="FL261" s="17"/>
      <c r="FM261" s="17"/>
    </row>
    <row r="262" spans="1:169" customFormat="1">
      <c r="A262" s="17"/>
      <c r="B262" s="17"/>
      <c r="C262" s="17"/>
      <c r="D262" s="17"/>
      <c r="E262" s="89"/>
      <c r="F262" s="729"/>
      <c r="G262" s="729"/>
      <c r="H262" s="729"/>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25"/>
      <c r="CQ262" s="25"/>
      <c r="CR262" s="25"/>
      <c r="CS262" s="25"/>
      <c r="CT262" s="25"/>
      <c r="CU262" s="25"/>
      <c r="CV262" s="25"/>
      <c r="CW262" s="25"/>
      <c r="CX262" s="25"/>
      <c r="CY262" s="25"/>
      <c r="CZ262" s="25"/>
      <c r="DA262" s="25"/>
      <c r="DB262" s="25"/>
      <c r="DC262" s="25"/>
      <c r="DD262" s="25"/>
      <c r="DE262" s="25"/>
      <c r="DF262" s="25"/>
      <c r="DG262" s="25"/>
      <c r="DH262" s="25"/>
      <c r="DI262" s="25"/>
      <c r="DJ262" s="25"/>
      <c r="DK262" s="25"/>
      <c r="DL262" s="25"/>
      <c r="DM262" s="25"/>
      <c r="DN262" s="25"/>
      <c r="DO262" s="25"/>
      <c r="DP262" s="25"/>
      <c r="DQ262" s="25"/>
      <c r="DR262" s="25"/>
      <c r="DS262" s="25"/>
      <c r="DT262" s="25"/>
      <c r="DU262" s="25"/>
      <c r="DV262" s="25"/>
      <c r="DW262" s="25"/>
      <c r="DX262" s="25"/>
      <c r="DY262" s="25"/>
      <c r="DZ262" s="25"/>
      <c r="EA262" s="25"/>
      <c r="EB262" s="25"/>
      <c r="EC262" s="25"/>
      <c r="ED262" s="25"/>
      <c r="EE262" s="25"/>
      <c r="EF262" s="25"/>
      <c r="EG262" s="25"/>
      <c r="EH262" s="25"/>
      <c r="EI262" s="25"/>
      <c r="EJ262" s="25"/>
      <c r="EK262" s="25"/>
      <c r="EL262" s="25"/>
      <c r="EM262" s="25"/>
      <c r="EN262" s="25"/>
      <c r="EO262" s="25"/>
      <c r="EP262" s="25"/>
      <c r="EQ262" s="25"/>
      <c r="ER262" s="25"/>
      <c r="ES262" s="25"/>
      <c r="ET262" s="25"/>
      <c r="EU262" s="25"/>
      <c r="EV262" s="25"/>
      <c r="EW262" s="25"/>
      <c r="EX262" s="25"/>
      <c r="EY262" s="25"/>
      <c r="EZ262" s="25"/>
      <c r="FA262" s="25"/>
      <c r="FB262" s="25"/>
      <c r="FC262" s="25"/>
      <c r="FD262" s="25"/>
      <c r="FE262" s="25"/>
      <c r="FF262" s="25"/>
      <c r="FG262" s="25"/>
      <c r="FH262" s="25"/>
      <c r="FI262" s="25"/>
      <c r="FJ262" s="25"/>
      <c r="FK262" s="25"/>
      <c r="FL262" s="25"/>
      <c r="FM262" s="17"/>
    </row>
    <row r="263" spans="1:169" customFormat="1">
      <c r="A263" s="17"/>
      <c r="B263" s="17"/>
      <c r="C263" s="17"/>
      <c r="D263" s="17"/>
      <c r="E263" s="89"/>
      <c r="F263" s="729"/>
      <c r="G263" s="729"/>
      <c r="H263" s="729"/>
      <c r="I263" s="17"/>
      <c r="J263" s="25"/>
      <c r="K263" s="25"/>
      <c r="L263" s="25"/>
      <c r="M263" s="25" t="s">
        <v>1707</v>
      </c>
      <c r="N263" s="25"/>
      <c r="O263" s="25"/>
      <c r="P263" s="25"/>
      <c r="Q263" s="25"/>
      <c r="R263" s="25"/>
      <c r="S263" s="25">
        <f ca="1">RANK(S264,OFFSET($S$264,0,0,1,$D$5*3),0)</f>
        <v>24</v>
      </c>
      <c r="T263" s="25"/>
      <c r="U263" s="25"/>
      <c r="V263" s="25">
        <f ca="1">RANK(V264,OFFSET($S$264,0,0,1,$D$5*3),0)</f>
        <v>25</v>
      </c>
      <c r="W263" s="25"/>
      <c r="X263" s="25"/>
      <c r="Y263" s="25">
        <f ca="1">RANK(Y264,OFFSET($S$264,0,0,1,$D$5*3),0)</f>
        <v>1</v>
      </c>
      <c r="Z263" s="25"/>
      <c r="AA263" s="25"/>
      <c r="AB263" s="25">
        <f ca="1">RANK(AB264,OFFSET($S$264,0,0,1,$D$5*3),0)</f>
        <v>2</v>
      </c>
      <c r="AC263" s="25"/>
      <c r="AD263" s="25"/>
      <c r="AE263" s="25">
        <f ca="1">RANK(AE264,OFFSET($S$264,0,0,1,$D$5*3),0)</f>
        <v>3</v>
      </c>
      <c r="AF263" s="25"/>
      <c r="AG263" s="25"/>
      <c r="AH263" s="25">
        <f ca="1">RANK(AH264,OFFSET($S$264,0,0,1,$D$5*3),0)</f>
        <v>4</v>
      </c>
      <c r="AI263" s="25"/>
      <c r="AJ263" s="25"/>
      <c r="AK263" s="25">
        <f ca="1">RANK(AK264,OFFSET($S$264,0,0,1,$D$5*3),0)</f>
        <v>26</v>
      </c>
      <c r="AL263" s="25"/>
      <c r="AM263" s="25"/>
      <c r="AN263" s="25">
        <f ca="1">RANK(AN264,OFFSET($S$264,0,0,1,$D$5*3),0)</f>
        <v>5</v>
      </c>
      <c r="AO263" s="25"/>
      <c r="AP263" s="25"/>
      <c r="AQ263" s="25">
        <f ca="1">RANK(AQ264,OFFSET($S$264,0,0,1,$D$5*3),0)</f>
        <v>6</v>
      </c>
      <c r="AR263" s="25"/>
      <c r="AS263" s="25"/>
      <c r="AT263" s="25">
        <f ca="1">RANK(AT264,OFFSET($S$264,0,0,1,$D$5*3),0)</f>
        <v>27</v>
      </c>
      <c r="AU263" s="25"/>
      <c r="AV263" s="25"/>
      <c r="AW263" s="25">
        <f ca="1">RANK(AW264,OFFSET($S$264,0,0,1,$D$5*3),0)</f>
        <v>7</v>
      </c>
      <c r="AX263" s="25"/>
      <c r="AY263" s="25"/>
      <c r="AZ263" s="25">
        <f ca="1">RANK(AZ264,OFFSET($S$264,0,0,1,$D$5*3),0)</f>
        <v>28</v>
      </c>
      <c r="BA263" s="25"/>
      <c r="BB263" s="25"/>
      <c r="BC263" s="25">
        <f ca="1">RANK(BC264,OFFSET($S$264,0,0,1,$D$5*3),0)</f>
        <v>29</v>
      </c>
      <c r="BD263" s="25"/>
      <c r="BE263" s="25"/>
      <c r="BF263" s="25">
        <f ca="1">RANK(BF264,OFFSET($S$264,0,0,1,$D$5*3),0)</f>
        <v>8</v>
      </c>
      <c r="BG263" s="25"/>
      <c r="BH263" s="25"/>
      <c r="BI263" s="25">
        <f ca="1">RANK(BI264,OFFSET($S$264,0,0,1,$D$5*3),0)</f>
        <v>9</v>
      </c>
      <c r="BJ263" s="25"/>
      <c r="BK263" s="25"/>
      <c r="BL263" s="25">
        <f ca="1">RANK(BL264,OFFSET($S$264,0,0,1,$D$5*3),0)</f>
        <v>40</v>
      </c>
      <c r="BM263" s="25"/>
      <c r="BN263" s="25"/>
      <c r="BO263" s="25">
        <f ca="1">RANK(BO264,OFFSET($S$264,0,0,1,$D$5*3),0)</f>
        <v>10</v>
      </c>
      <c r="BP263" s="25"/>
      <c r="BQ263" s="25"/>
      <c r="BR263" s="25">
        <f ca="1">RANK(BR264,OFFSET($S$264,0,0,1,$D$5*3),0)</f>
        <v>11</v>
      </c>
      <c r="BS263" s="25"/>
      <c r="BT263" s="25"/>
      <c r="BU263" s="25">
        <f ca="1">RANK(BU264,OFFSET($S$264,0,0,1,$D$5*3),0)</f>
        <v>30</v>
      </c>
      <c r="BV263" s="25"/>
      <c r="BW263" s="25"/>
      <c r="BX263" s="25">
        <f ca="1">RANK(BX264,OFFSET($S$264,0,0,1,$D$5*3),0)</f>
        <v>12</v>
      </c>
      <c r="BY263" s="25"/>
      <c r="BZ263" s="25"/>
      <c r="CA263" s="25">
        <f ca="1">RANK(CA264,OFFSET($S$264,0,0,1,$D$5*3),0)</f>
        <v>41</v>
      </c>
      <c r="CB263" s="25"/>
      <c r="CC263" s="25"/>
      <c r="CD263" s="25">
        <f ca="1">RANK(CD264,OFFSET($S$264,0,0,1,$D$5*3),0)</f>
        <v>31</v>
      </c>
      <c r="CE263" s="25"/>
      <c r="CF263" s="25"/>
      <c r="CG263" s="25">
        <f ca="1">RANK(CG264,OFFSET($S$264,0,0,1,$D$5*3),0)</f>
        <v>13</v>
      </c>
      <c r="CH263" s="25"/>
      <c r="CI263" s="25"/>
      <c r="CJ263" s="25">
        <f ca="1">RANK(CJ264,OFFSET($S$264,0,0,1,$D$5*3),0)</f>
        <v>14</v>
      </c>
      <c r="CK263" s="25"/>
      <c r="CL263" s="25"/>
      <c r="CM263" s="25">
        <f ca="1">RANK(CM264,OFFSET($S$264,0,0,1,$D$5*3),0)</f>
        <v>15</v>
      </c>
      <c r="CN263" s="25"/>
      <c r="CO263" s="25"/>
      <c r="CP263" s="25">
        <f ca="1">RANK(CP264,OFFSET($S$264,0,0,1,$D$5*3),0)</f>
        <v>32</v>
      </c>
      <c r="CQ263" s="25"/>
      <c r="CR263" s="25"/>
      <c r="CS263" s="25">
        <f ca="1">RANK(CS264,OFFSET($S$264,0,0,1,$D$5*3),0)</f>
        <v>21</v>
      </c>
      <c r="CT263" s="25"/>
      <c r="CU263" s="25"/>
      <c r="CV263" s="25">
        <f ca="1">RANK(CV264,OFFSET($S$264,0,0,1,$D$5*3),0)</f>
        <v>33</v>
      </c>
      <c r="CW263" s="25"/>
      <c r="CX263" s="25"/>
      <c r="CY263" s="25">
        <f ca="1">RANK(CY264,OFFSET($S$264,0,0,1,$D$5*3),0)</f>
        <v>34</v>
      </c>
      <c r="CZ263" s="25"/>
      <c r="DA263" s="25"/>
      <c r="DB263" s="25">
        <f ca="1">RANK(DB264,OFFSET($S$264,0,0,1,$D$5*3),0)</f>
        <v>16</v>
      </c>
      <c r="DC263" s="25"/>
      <c r="DD263" s="25"/>
      <c r="DE263" s="25">
        <f ca="1">RANK(DE264,OFFSET($S$264,0,0,1,$D$5*3),0)</f>
        <v>35</v>
      </c>
      <c r="DF263" s="25"/>
      <c r="DG263" s="25"/>
      <c r="DH263" s="25">
        <f ca="1">RANK(DH264,OFFSET($S$264,0,0,1,$D$5*3),0)</f>
        <v>36</v>
      </c>
      <c r="DI263" s="25"/>
      <c r="DJ263" s="25"/>
      <c r="DK263" s="25">
        <f ca="1">RANK(DK264,OFFSET($S$264,0,0,1,$D$5*3),0)</f>
        <v>17</v>
      </c>
      <c r="DL263" s="25"/>
      <c r="DM263" s="25"/>
      <c r="DN263" s="25">
        <f ca="1">RANK(DN264,OFFSET($S$264,0,0,1,$D$5*3),0)</f>
        <v>22</v>
      </c>
      <c r="DO263" s="25"/>
      <c r="DP263" s="25"/>
      <c r="DQ263" s="25">
        <f ca="1">RANK(DQ264,OFFSET($S$264,0,0,1,$D$5*3),0)</f>
        <v>37</v>
      </c>
      <c r="DR263" s="25"/>
      <c r="DS263" s="25"/>
      <c r="DT263" s="25">
        <f ca="1">RANK(DT264,OFFSET($S$264,0,0,1,$D$5*3),0)</f>
        <v>23</v>
      </c>
      <c r="DU263" s="25"/>
      <c r="DV263" s="25"/>
      <c r="DW263" s="25">
        <f ca="1">RANK(DW264,OFFSET($S$264,0,0,1,$D$5*3),0)</f>
        <v>18</v>
      </c>
      <c r="DX263" s="25"/>
      <c r="DY263" s="25"/>
      <c r="DZ263" s="25">
        <f ca="1">RANK(DZ264,OFFSET($S$264,0,0,1,$D$5*3),0)</f>
        <v>19</v>
      </c>
      <c r="EA263" s="25"/>
      <c r="EB263" s="25"/>
      <c r="EC263" s="25">
        <f ca="1">RANK(EC264,OFFSET($S$264,0,0,1,$D$5*3),0)</f>
        <v>20</v>
      </c>
      <c r="ED263" s="25"/>
      <c r="EE263" s="25"/>
      <c r="EF263" s="25">
        <f ca="1">RANK(EF264,OFFSET($S$264,0,0,1,$D$5*3),0)</f>
        <v>38</v>
      </c>
      <c r="EG263" s="25"/>
      <c r="EH263" s="25"/>
      <c r="EI263" s="25">
        <f ca="1">RANK(EI264,OFFSET($S$264,0,0,1,$D$5*3),0)</f>
        <v>39</v>
      </c>
      <c r="EJ263" s="25"/>
      <c r="EK263" s="25"/>
      <c r="EL263" s="25">
        <f ca="1">RANK(EL264,OFFSET($S$264,0,0,1,$D$5*3),0)</f>
        <v>42</v>
      </c>
      <c r="EM263" s="25"/>
      <c r="EN263" s="25"/>
      <c r="EO263" s="25">
        <f ca="1">RANK(EO264,OFFSET($S$264,0,0,1,$D$5*3),0)</f>
        <v>43</v>
      </c>
      <c r="EP263" s="25"/>
      <c r="EQ263" s="25"/>
      <c r="ER263" s="25">
        <f ca="1">RANK(ER264,OFFSET($S$264,0,0,1,$D$5*3),0)</f>
        <v>44</v>
      </c>
      <c r="ES263" s="25"/>
      <c r="ET263" s="25"/>
      <c r="EU263" s="25">
        <f ca="1">RANK(EU264,OFFSET($S$264,0,0,1,$D$5*3),0)</f>
        <v>45</v>
      </c>
      <c r="EV263" s="25"/>
      <c r="EW263" s="25"/>
      <c r="EX263" s="25">
        <f ca="1">RANK(EX264,OFFSET($S$264,0,0,1,$D$5*3),0)</f>
        <v>46</v>
      </c>
      <c r="EY263" s="25"/>
      <c r="EZ263" s="25"/>
      <c r="FA263" s="25">
        <f ca="1">RANK(FA264,OFFSET($S$264,0,0,1,$D$5*3),0)</f>
        <v>47</v>
      </c>
      <c r="FB263" s="25"/>
      <c r="FC263" s="25"/>
      <c r="FD263" s="25">
        <f ca="1">RANK(FD264,OFFSET($S$264,0,0,1,$D$5*3),0)</f>
        <v>48</v>
      </c>
      <c r="FE263" s="25"/>
      <c r="FF263" s="25"/>
      <c r="FG263" s="25">
        <f ca="1">RANK(FG264,OFFSET($S$264,0,0,1,$D$5*3),0)</f>
        <v>49</v>
      </c>
      <c r="FH263" s="25"/>
      <c r="FI263" s="25"/>
      <c r="FJ263" s="25">
        <f ca="1">RANK(FJ264,OFFSET($S$264,0,0,1,$D$5*3),0)</f>
        <v>50</v>
      </c>
      <c r="FK263" s="25"/>
      <c r="FL263" s="25"/>
      <c r="FM263" s="17"/>
    </row>
    <row r="264" spans="1:169" customFormat="1">
      <c r="A264" s="17"/>
      <c r="B264" s="17"/>
      <c r="C264" s="17"/>
      <c r="D264" s="17"/>
      <c r="E264" s="89"/>
      <c r="F264" s="729"/>
      <c r="G264" s="729"/>
      <c r="H264" s="729"/>
      <c r="I264" s="17"/>
      <c r="J264" s="25"/>
      <c r="K264" s="25"/>
      <c r="L264" s="25"/>
      <c r="M264" s="25" t="s">
        <v>1709</v>
      </c>
      <c r="N264" s="25"/>
      <c r="O264" s="25"/>
      <c r="P264" s="25"/>
      <c r="Q264" s="25"/>
      <c r="R264" s="25"/>
      <c r="S264" s="25">
        <f ca="1">S266-(COLUMN()/10000)</f>
        <v>0.99809999999999999</v>
      </c>
      <c r="T264" s="25"/>
      <c r="U264" s="25"/>
      <c r="V264" s="25">
        <f t="shared" ref="V264" ca="1" si="2626">V266-(COLUMN()/10000)</f>
        <v>0.99780000000000002</v>
      </c>
      <c r="W264" s="25"/>
      <c r="X264" s="25"/>
      <c r="Y264" s="25">
        <f t="shared" ref="Y264" ca="1" si="2627">Y266-(COLUMN()/10000)</f>
        <v>3.9975000000000001</v>
      </c>
      <c r="Z264" s="25"/>
      <c r="AA264" s="25"/>
      <c r="AB264" s="25">
        <f t="shared" ref="AB264" ca="1" si="2628">AB266-(COLUMN()/10000)</f>
        <v>3.9971999999999999</v>
      </c>
      <c r="AC264" s="25"/>
      <c r="AD264" s="25"/>
      <c r="AE264" s="25">
        <f t="shared" ref="AE264" ca="1" si="2629">AE266-(COLUMN()/10000)</f>
        <v>3.9969000000000001</v>
      </c>
      <c r="AF264" s="25"/>
      <c r="AG264" s="25"/>
      <c r="AH264" s="25">
        <f t="shared" ref="AH264" ca="1" si="2630">AH266-(COLUMN()/10000)</f>
        <v>3.9965999999999999</v>
      </c>
      <c r="AI264" s="25"/>
      <c r="AJ264" s="25"/>
      <c r="AK264" s="25">
        <f t="shared" ref="AK264" ca="1" si="2631">AK266-(COLUMN()/10000)</f>
        <v>0.99629999999999996</v>
      </c>
      <c r="AL264" s="25"/>
      <c r="AM264" s="25"/>
      <c r="AN264" s="25">
        <f t="shared" ref="AN264" ca="1" si="2632">AN266-(COLUMN()/10000)</f>
        <v>3.996</v>
      </c>
      <c r="AO264" s="25"/>
      <c r="AP264" s="25"/>
      <c r="AQ264" s="25">
        <f t="shared" ref="AQ264" ca="1" si="2633">AQ266-(COLUMN()/10000)</f>
        <v>3.9956999999999998</v>
      </c>
      <c r="AR264" s="25"/>
      <c r="AS264" s="25"/>
      <c r="AT264" s="25">
        <f t="shared" ref="AT264" ca="1" si="2634">AT266-(COLUMN()/10000)</f>
        <v>0.99539999999999995</v>
      </c>
      <c r="AU264" s="25"/>
      <c r="AV264" s="25"/>
      <c r="AW264" s="25">
        <f t="shared" ref="AW264" ca="1" si="2635">AW266-(COLUMN()/10000)</f>
        <v>3.9950999999999999</v>
      </c>
      <c r="AX264" s="25"/>
      <c r="AY264" s="25"/>
      <c r="AZ264" s="25">
        <f t="shared" ref="AZ264" ca="1" si="2636">AZ266-(COLUMN()/10000)</f>
        <v>0.99480000000000002</v>
      </c>
      <c r="BA264" s="25"/>
      <c r="BB264" s="25"/>
      <c r="BC264" s="25">
        <f t="shared" ref="BC264" ca="1" si="2637">BC266-(COLUMN()/10000)</f>
        <v>0.99450000000000005</v>
      </c>
      <c r="BD264" s="25"/>
      <c r="BE264" s="25"/>
      <c r="BF264" s="25">
        <f t="shared" ref="BF264" ca="1" si="2638">BF266-(COLUMN()/10000)</f>
        <v>3.9942000000000002</v>
      </c>
      <c r="BG264" s="25"/>
      <c r="BH264" s="25"/>
      <c r="BI264" s="25">
        <f t="shared" ref="BI264" ca="1" si="2639">BI266-(COLUMN()/10000)</f>
        <v>3.9939</v>
      </c>
      <c r="BJ264" s="25"/>
      <c r="BK264" s="25"/>
      <c r="BL264" s="25">
        <f t="shared" ref="BL264" ca="1" si="2640">BL266-(COLUMN()/10000)</f>
        <v>-6.4000000000000003E-3</v>
      </c>
      <c r="BM264" s="25"/>
      <c r="BN264" s="25"/>
      <c r="BO264" s="25">
        <f t="shared" ref="BO264" ca="1" si="2641">BO266-(COLUMN()/10000)</f>
        <v>3.9933000000000001</v>
      </c>
      <c r="BP264" s="25"/>
      <c r="BQ264" s="25"/>
      <c r="BR264" s="25">
        <f t="shared" ref="BR264" ca="1" si="2642">BR266-(COLUMN()/10000)</f>
        <v>3.9929999999999999</v>
      </c>
      <c r="BS264" s="25"/>
      <c r="BT264" s="25"/>
      <c r="BU264" s="25">
        <f t="shared" ref="BU264" ca="1" si="2643">BU266-(COLUMN()/10000)</f>
        <v>0.99270000000000003</v>
      </c>
      <c r="BV264" s="25"/>
      <c r="BW264" s="25"/>
      <c r="BX264" s="25">
        <f t="shared" ref="BX264" ca="1" si="2644">BX266-(COLUMN()/10000)</f>
        <v>3.9923999999999999</v>
      </c>
      <c r="BY264" s="25"/>
      <c r="BZ264" s="25"/>
      <c r="CA264" s="25">
        <f t="shared" ref="CA264" ca="1" si="2645">CA266-(COLUMN()/10000)</f>
        <v>-7.9000000000000008E-3</v>
      </c>
      <c r="CB264" s="25"/>
      <c r="CC264" s="25"/>
      <c r="CD264" s="25">
        <f t="shared" ref="CD264" ca="1" si="2646">CD266-(COLUMN()/10000)</f>
        <v>0.99180000000000001</v>
      </c>
      <c r="CE264" s="25"/>
      <c r="CF264" s="25"/>
      <c r="CG264" s="25">
        <f t="shared" ref="CG264" ca="1" si="2647">CG266-(COLUMN()/10000)</f>
        <v>3.9914999999999998</v>
      </c>
      <c r="CH264" s="25"/>
      <c r="CI264" s="25"/>
      <c r="CJ264" s="25">
        <f t="shared" ref="CJ264" ca="1" si="2648">CJ266-(COLUMN()/10000)</f>
        <v>3.9912000000000001</v>
      </c>
      <c r="CK264" s="25"/>
      <c r="CL264" s="25"/>
      <c r="CM264" s="25">
        <f t="shared" ref="CM264" ca="1" si="2649">CM266-(COLUMN()/10000)</f>
        <v>3.9908999999999999</v>
      </c>
      <c r="CN264" s="25"/>
      <c r="CO264" s="25"/>
      <c r="CP264" s="25">
        <f t="shared" ref="CP264" ca="1" si="2650">CP266-(COLUMN()/10000)</f>
        <v>0.99060000000000004</v>
      </c>
      <c r="CQ264" s="25"/>
      <c r="CR264" s="25"/>
      <c r="CS264" s="25">
        <f t="shared" ref="CS264" ca="1" si="2651">CS266-(COLUMN()/10000)</f>
        <v>1.9903</v>
      </c>
      <c r="CT264" s="25"/>
      <c r="CU264" s="25"/>
      <c r="CV264" s="25">
        <f t="shared" ref="CV264" ca="1" si="2652">CV266-(COLUMN()/10000)</f>
        <v>0.99</v>
      </c>
      <c r="CW264" s="25"/>
      <c r="CX264" s="25"/>
      <c r="CY264" s="25">
        <f t="shared" ref="CY264" ca="1" si="2653">CY266-(COLUMN()/10000)</f>
        <v>0.98970000000000002</v>
      </c>
      <c r="CZ264" s="25"/>
      <c r="DA264" s="25"/>
      <c r="DB264" s="25">
        <f t="shared" ref="DB264" ca="1" si="2654">DB266-(COLUMN()/10000)</f>
        <v>3.9893999999999998</v>
      </c>
      <c r="DC264" s="25"/>
      <c r="DD264" s="25"/>
      <c r="DE264" s="25">
        <f t="shared" ref="DE264" ca="1" si="2655">DE266-(COLUMN()/10000)</f>
        <v>0.98909999999999998</v>
      </c>
      <c r="DF264" s="25"/>
      <c r="DG264" s="25"/>
      <c r="DH264" s="25">
        <f t="shared" ref="DH264" ca="1" si="2656">DH266-(COLUMN()/10000)</f>
        <v>0.98880000000000001</v>
      </c>
      <c r="DI264" s="25"/>
      <c r="DJ264" s="25"/>
      <c r="DK264" s="25">
        <f t="shared" ref="DK264" ca="1" si="2657">DK266-(COLUMN()/10000)</f>
        <v>3.9885000000000002</v>
      </c>
      <c r="DL264" s="25"/>
      <c r="DM264" s="25"/>
      <c r="DN264" s="25">
        <f t="shared" ref="DN264" ca="1" si="2658">DN266-(COLUMN()/10000)</f>
        <v>1.9882</v>
      </c>
      <c r="DO264" s="25"/>
      <c r="DP264" s="25"/>
      <c r="DQ264" s="25">
        <f t="shared" ref="DQ264" ca="1" si="2659">DQ266-(COLUMN()/10000)</f>
        <v>0.9879</v>
      </c>
      <c r="DR264" s="25"/>
      <c r="DS264" s="25"/>
      <c r="DT264" s="25">
        <f t="shared" ref="DT264" ca="1" si="2660">DT266-(COLUMN()/10000)</f>
        <v>1.9876</v>
      </c>
      <c r="DU264" s="25"/>
      <c r="DV264" s="25"/>
      <c r="DW264" s="25">
        <f t="shared" ref="DW264" ca="1" si="2661">DW266-(COLUMN()/10000)</f>
        <v>3.9872999999999998</v>
      </c>
      <c r="DX264" s="25"/>
      <c r="DY264" s="25"/>
      <c r="DZ264" s="25">
        <f t="shared" ref="DZ264" ca="1" si="2662">DZ266-(COLUMN()/10000)</f>
        <v>3.9870000000000001</v>
      </c>
      <c r="EA264" s="25"/>
      <c r="EB264" s="25"/>
      <c r="EC264" s="25">
        <f t="shared" ref="EC264" ca="1" si="2663">EC266-(COLUMN()/10000)</f>
        <v>3.9866999999999999</v>
      </c>
      <c r="ED264" s="25"/>
      <c r="EE264" s="25"/>
      <c r="EF264" s="25">
        <f t="shared" ref="EF264" ca="1" si="2664">EF266-(COLUMN()/10000)</f>
        <v>0.98640000000000005</v>
      </c>
      <c r="EG264" s="25"/>
      <c r="EH264" s="25"/>
      <c r="EI264" s="25">
        <f t="shared" ref="EI264" ca="1" si="2665">EI266-(COLUMN()/10000)</f>
        <v>0.98609999999999998</v>
      </c>
      <c r="EJ264" s="25"/>
      <c r="EK264" s="25"/>
      <c r="EL264" s="25">
        <f t="shared" ref="EL264" ca="1" si="2666">EL266-(COLUMN()/10000)</f>
        <v>-1.4200000000000001E-2</v>
      </c>
      <c r="EM264" s="25"/>
      <c r="EN264" s="25"/>
      <c r="EO264" s="25">
        <f t="shared" ref="EO264" ca="1" si="2667">EO266-(COLUMN()/10000)</f>
        <v>-1.4500000000000001E-2</v>
      </c>
      <c r="EP264" s="25"/>
      <c r="EQ264" s="25"/>
      <c r="ER264" s="25">
        <f t="shared" ref="ER264" ca="1" si="2668">ER266-(COLUMN()/10000)</f>
        <v>-1.4800000000000001E-2</v>
      </c>
      <c r="ES264" s="25"/>
      <c r="ET264" s="25"/>
      <c r="EU264" s="25">
        <f t="shared" ref="EU264" ca="1" si="2669">EU266-(COLUMN()/10000)</f>
        <v>-1.5100000000000001E-2</v>
      </c>
      <c r="EV264" s="25"/>
      <c r="EW264" s="25"/>
      <c r="EX264" s="25">
        <f t="shared" ref="EX264" ca="1" si="2670">EX266-(COLUMN()/10000)</f>
        <v>-1.54E-2</v>
      </c>
      <c r="EY264" s="25"/>
      <c r="EZ264" s="25"/>
      <c r="FA264" s="25">
        <f t="shared" ref="FA264" ca="1" si="2671">FA266-(COLUMN()/10000)</f>
        <v>-1.5699999999999999E-2</v>
      </c>
      <c r="FB264" s="25"/>
      <c r="FC264" s="25"/>
      <c r="FD264" s="25">
        <f t="shared" ref="FD264" ca="1" si="2672">FD266-(COLUMN()/10000)</f>
        <v>-1.6E-2</v>
      </c>
      <c r="FE264" s="25"/>
      <c r="FF264" s="25"/>
      <c r="FG264" s="25">
        <f t="shared" ref="FG264" ca="1" si="2673">FG266-(COLUMN()/10000)</f>
        <v>-1.6299999999999999E-2</v>
      </c>
      <c r="FH264" s="25"/>
      <c r="FI264" s="25"/>
      <c r="FJ264" s="25">
        <f t="shared" ref="FJ264" ca="1" si="2674">FJ266-(COLUMN()/10000)</f>
        <v>-1.66E-2</v>
      </c>
      <c r="FK264" s="25"/>
      <c r="FL264" s="25"/>
      <c r="FM264" s="17"/>
    </row>
    <row r="265" spans="1:169" customFormat="1">
      <c r="A265" s="17"/>
      <c r="B265" s="17"/>
      <c r="C265" s="17"/>
      <c r="D265" s="17"/>
      <c r="E265" s="89"/>
      <c r="F265" s="729"/>
      <c r="G265" s="729"/>
      <c r="H265" s="729"/>
      <c r="I265" s="17"/>
      <c r="J265" s="25"/>
      <c r="K265" s="25"/>
      <c r="L265" s="25"/>
      <c r="M265" s="25" t="s">
        <v>1708</v>
      </c>
      <c r="N265" s="25"/>
      <c r="O265" s="25"/>
      <c r="P265" s="25"/>
      <c r="Q265" s="25"/>
      <c r="R265" s="25"/>
      <c r="S265" s="25">
        <f ca="1">RANK(S266,OFFSET($S$266,0,0,1,$D$5*3),0)</f>
        <v>24</v>
      </c>
      <c r="T265" s="25"/>
      <c r="U265" s="25"/>
      <c r="V265" s="25">
        <f ca="1">RANK(V266,OFFSET($S$266,0,0,1,$D$5*3),0)</f>
        <v>24</v>
      </c>
      <c r="W265" s="25"/>
      <c r="X265" s="25"/>
      <c r="Y265" s="25">
        <f ca="1">RANK(Y266,OFFSET($S$266,0,0,1,$D$5*3),0)</f>
        <v>1</v>
      </c>
      <c r="Z265" s="25"/>
      <c r="AA265" s="25"/>
      <c r="AB265" s="25">
        <f ca="1">RANK(AB266,OFFSET($S$266,0,0,1,$D$5*3),0)</f>
        <v>1</v>
      </c>
      <c r="AC265" s="25"/>
      <c r="AD265" s="25"/>
      <c r="AE265" s="25">
        <f ca="1">RANK(AE266,OFFSET($S$266,0,0,1,$D$5*3),0)</f>
        <v>1</v>
      </c>
      <c r="AF265" s="25"/>
      <c r="AG265" s="25"/>
      <c r="AH265" s="25">
        <f ca="1">RANK(AH266,OFFSET($S$266,0,0,1,$D$5*3),0)</f>
        <v>1</v>
      </c>
      <c r="AI265" s="25"/>
      <c r="AJ265" s="25"/>
      <c r="AK265" s="25">
        <f ca="1">RANK(AK266,OFFSET($S$266,0,0,1,$D$5*3),0)</f>
        <v>24</v>
      </c>
      <c r="AL265" s="25"/>
      <c r="AM265" s="25"/>
      <c r="AN265" s="25">
        <f ca="1">RANK(AN266,OFFSET($S$266,0,0,1,$D$5*3),0)</f>
        <v>1</v>
      </c>
      <c r="AO265" s="25"/>
      <c r="AP265" s="25"/>
      <c r="AQ265" s="25">
        <f ca="1">RANK(AQ266,OFFSET($S$266,0,0,1,$D$5*3),0)</f>
        <v>1</v>
      </c>
      <c r="AR265" s="25"/>
      <c r="AS265" s="25"/>
      <c r="AT265" s="25">
        <f ca="1">RANK(AT266,OFFSET($S$266,0,0,1,$D$5*3),0)</f>
        <v>24</v>
      </c>
      <c r="AU265" s="25"/>
      <c r="AV265" s="25"/>
      <c r="AW265" s="25">
        <f ca="1">RANK(AW266,OFFSET($S$266,0,0,1,$D$5*3),0)</f>
        <v>1</v>
      </c>
      <c r="AX265" s="25"/>
      <c r="AY265" s="25"/>
      <c r="AZ265" s="25">
        <f ca="1">RANK(AZ266,OFFSET($S$266,0,0,1,$D$5*3),0)</f>
        <v>24</v>
      </c>
      <c r="BA265" s="25"/>
      <c r="BB265" s="25"/>
      <c r="BC265" s="25">
        <f ca="1">RANK(BC266,OFFSET($S$266,0,0,1,$D$5*3),0)</f>
        <v>24</v>
      </c>
      <c r="BD265" s="25"/>
      <c r="BE265" s="25"/>
      <c r="BF265" s="25">
        <f ca="1">RANK(BF266,OFFSET($S$266,0,0,1,$D$5*3),0)</f>
        <v>1</v>
      </c>
      <c r="BG265" s="25"/>
      <c r="BH265" s="25"/>
      <c r="BI265" s="25">
        <f ca="1">RANK(BI266,OFFSET($S$266,0,0,1,$D$5*3),0)</f>
        <v>1</v>
      </c>
      <c r="BJ265" s="25"/>
      <c r="BK265" s="25"/>
      <c r="BL265" s="25">
        <f ca="1">RANK(BL266,OFFSET($S$266,0,0,1,$D$5*3),0)</f>
        <v>40</v>
      </c>
      <c r="BM265" s="25"/>
      <c r="BN265" s="25"/>
      <c r="BO265" s="25">
        <f ca="1">RANK(BO266,OFFSET($S$266,0,0,1,$D$5*3),0)</f>
        <v>1</v>
      </c>
      <c r="BP265" s="25"/>
      <c r="BQ265" s="25"/>
      <c r="BR265" s="25">
        <f ca="1">RANK(BR266,OFFSET($S$266,0,0,1,$D$5*3),0)</f>
        <v>1</v>
      </c>
      <c r="BS265" s="25"/>
      <c r="BT265" s="25"/>
      <c r="BU265" s="25">
        <f ca="1">RANK(BU266,OFFSET($S$266,0,0,1,$D$5*3),0)</f>
        <v>24</v>
      </c>
      <c r="BV265" s="25"/>
      <c r="BW265" s="25"/>
      <c r="BX265" s="25">
        <f ca="1">RANK(BX266,OFFSET($S$266,0,0,1,$D$5*3),0)</f>
        <v>1</v>
      </c>
      <c r="BY265" s="25"/>
      <c r="BZ265" s="25"/>
      <c r="CA265" s="25">
        <f ca="1">RANK(CA266,OFFSET($S$266,0,0,1,$D$5*3),0)</f>
        <v>40</v>
      </c>
      <c r="CB265" s="25"/>
      <c r="CC265" s="25"/>
      <c r="CD265" s="25">
        <f ca="1">RANK(CD266,OFFSET($S$266,0,0,1,$D$5*3),0)</f>
        <v>24</v>
      </c>
      <c r="CE265" s="25"/>
      <c r="CF265" s="25"/>
      <c r="CG265" s="25">
        <f ca="1">RANK(CG266,OFFSET($S$266,0,0,1,$D$5*3),0)</f>
        <v>1</v>
      </c>
      <c r="CH265" s="25"/>
      <c r="CI265" s="25"/>
      <c r="CJ265" s="25">
        <f ca="1">RANK(CJ266,OFFSET($S$266,0,0,1,$D$5*3),0)</f>
        <v>1</v>
      </c>
      <c r="CK265" s="25"/>
      <c r="CL265" s="25"/>
      <c r="CM265" s="25">
        <f ca="1">RANK(CM266,OFFSET($S$266,0,0,1,$D$5*3),0)</f>
        <v>1</v>
      </c>
      <c r="CN265" s="25"/>
      <c r="CO265" s="25"/>
      <c r="CP265" s="25">
        <f ca="1">RANK(CP266,OFFSET($S$266,0,0,1,$D$5*3),0)</f>
        <v>24</v>
      </c>
      <c r="CQ265" s="25"/>
      <c r="CR265" s="25"/>
      <c r="CS265" s="25">
        <f ca="1">RANK(CS266,OFFSET($S$266,0,0,1,$D$5*3),0)</f>
        <v>21</v>
      </c>
      <c r="CT265" s="25"/>
      <c r="CU265" s="25"/>
      <c r="CV265" s="25">
        <f ca="1">RANK(CV266,OFFSET($S$266,0,0,1,$D$5*3),0)</f>
        <v>24</v>
      </c>
      <c r="CW265" s="25"/>
      <c r="CX265" s="25"/>
      <c r="CY265" s="25">
        <f ca="1">RANK(CY266,OFFSET($S$266,0,0,1,$D$5*3),0)</f>
        <v>24</v>
      </c>
      <c r="CZ265" s="25"/>
      <c r="DA265" s="25"/>
      <c r="DB265" s="25">
        <f ca="1">RANK(DB266,OFFSET($S$266,0,0,1,$D$5*3),0)</f>
        <v>1</v>
      </c>
      <c r="DC265" s="25"/>
      <c r="DD265" s="25"/>
      <c r="DE265" s="25">
        <f ca="1">RANK(DE266,OFFSET($S$266,0,0,1,$D$5*3),0)</f>
        <v>24</v>
      </c>
      <c r="DF265" s="25"/>
      <c r="DG265" s="25"/>
      <c r="DH265" s="25">
        <f ca="1">RANK(DH266,OFFSET($S$266,0,0,1,$D$5*3),0)</f>
        <v>24</v>
      </c>
      <c r="DI265" s="25"/>
      <c r="DJ265" s="25"/>
      <c r="DK265" s="25">
        <f ca="1">RANK(DK266,OFFSET($S$266,0,0,1,$D$5*3),0)</f>
        <v>1</v>
      </c>
      <c r="DL265" s="25"/>
      <c r="DM265" s="25"/>
      <c r="DN265" s="25">
        <f ca="1">RANK(DN266,OFFSET($S$266,0,0,1,$D$5*3),0)</f>
        <v>21</v>
      </c>
      <c r="DO265" s="25"/>
      <c r="DP265" s="25"/>
      <c r="DQ265" s="25">
        <f ca="1">RANK(DQ266,OFFSET($S$266,0,0,1,$D$5*3),0)</f>
        <v>24</v>
      </c>
      <c r="DR265" s="25"/>
      <c r="DS265" s="25"/>
      <c r="DT265" s="25">
        <f ca="1">RANK(DT266,OFFSET($S$266,0,0,1,$D$5*3),0)</f>
        <v>21</v>
      </c>
      <c r="DU265" s="25"/>
      <c r="DV265" s="25"/>
      <c r="DW265" s="25">
        <f ca="1">RANK(DW266,OFFSET($S$266,0,0,1,$D$5*3),0)</f>
        <v>1</v>
      </c>
      <c r="DX265" s="25"/>
      <c r="DY265" s="25"/>
      <c r="DZ265" s="25">
        <f ca="1">RANK(DZ266,OFFSET($S$266,0,0,1,$D$5*3),0)</f>
        <v>1</v>
      </c>
      <c r="EA265" s="25"/>
      <c r="EB265" s="25"/>
      <c r="EC265" s="25">
        <f ca="1">RANK(EC266,OFFSET($S$266,0,0,1,$D$5*3),0)</f>
        <v>1</v>
      </c>
      <c r="ED265" s="25"/>
      <c r="EE265" s="25"/>
      <c r="EF265" s="25">
        <f ca="1">RANK(EF266,OFFSET($S$266,0,0,1,$D$5*3),0)</f>
        <v>24</v>
      </c>
      <c r="EG265" s="25"/>
      <c r="EH265" s="25"/>
      <c r="EI265" s="25">
        <f ca="1">RANK(EI266,OFFSET($S$266,0,0,1,$D$5*3),0)</f>
        <v>24</v>
      </c>
      <c r="EJ265" s="25"/>
      <c r="EK265" s="25"/>
      <c r="EL265" s="25">
        <f ca="1">RANK(EL266,OFFSET($S$266,0,0,1,$D$5*3),0)</f>
        <v>40</v>
      </c>
      <c r="EM265" s="25"/>
      <c r="EN265" s="25"/>
      <c r="EO265" s="25">
        <f ca="1">RANK(EO266,OFFSET($S$266,0,0,1,$D$5*3),0)</f>
        <v>40</v>
      </c>
      <c r="EP265" s="25"/>
      <c r="EQ265" s="25"/>
      <c r="ER265" s="25">
        <f ca="1">RANK(ER266,OFFSET($S$266,0,0,1,$D$5*3),0)</f>
        <v>40</v>
      </c>
      <c r="ES265" s="25"/>
      <c r="ET265" s="25"/>
      <c r="EU265" s="25">
        <f ca="1">RANK(EU266,OFFSET($S$266,0,0,1,$D$5*3),0)</f>
        <v>40</v>
      </c>
      <c r="EV265" s="25"/>
      <c r="EW265" s="25"/>
      <c r="EX265" s="25">
        <f ca="1">RANK(EX266,OFFSET($S$266,0,0,1,$D$5*3),0)</f>
        <v>40</v>
      </c>
      <c r="EY265" s="25"/>
      <c r="EZ265" s="25"/>
      <c r="FA265" s="25">
        <f ca="1">RANK(FA266,OFFSET($S$266,0,0,1,$D$5*3),0)</f>
        <v>40</v>
      </c>
      <c r="FB265" s="25"/>
      <c r="FC265" s="25"/>
      <c r="FD265" s="25">
        <f ca="1">RANK(FD266,OFFSET($S$266,0,0,1,$D$5*3),0)</f>
        <v>40</v>
      </c>
      <c r="FE265" s="25"/>
      <c r="FF265" s="25"/>
      <c r="FG265" s="25">
        <f ca="1">RANK(FG266,OFFSET($S$266,0,0,1,$D$5*3),0)</f>
        <v>40</v>
      </c>
      <c r="FH265" s="25"/>
      <c r="FI265" s="25"/>
      <c r="FJ265" s="25">
        <f ca="1">RANK(FJ266,OFFSET($S$266,0,0,1,$D$5*3),0)</f>
        <v>40</v>
      </c>
      <c r="FK265" s="25"/>
      <c r="FL265" s="25"/>
      <c r="FM265" s="17"/>
    </row>
    <row r="266" spans="1:169" customFormat="1">
      <c r="A266" s="17"/>
      <c r="B266" s="17"/>
      <c r="C266" s="17"/>
      <c r="D266" s="17"/>
      <c r="E266" s="89"/>
      <c r="F266" s="729"/>
      <c r="G266" s="729"/>
      <c r="H266" s="729"/>
      <c r="I266" s="17"/>
      <c r="J266" s="25"/>
      <c r="K266" s="25"/>
      <c r="L266" s="25"/>
      <c r="M266" s="25" t="s">
        <v>614</v>
      </c>
      <c r="N266" s="25"/>
      <c r="O266" s="25"/>
      <c r="P266" s="25"/>
      <c r="Q266" s="25"/>
      <c r="R266" s="25"/>
      <c r="S266" s="25">
        <f ca="1">SUMIFS((T6:T259),$H$6:$H$259,$M$262)</f>
        <v>1</v>
      </c>
      <c r="T266" s="25"/>
      <c r="U266" s="25"/>
      <c r="V266" s="25">
        <f ca="1">SUMIFS((W6:W259),$H$6:$H$259,$M$262)</f>
        <v>1</v>
      </c>
      <c r="W266" s="25"/>
      <c r="X266" s="25"/>
      <c r="Y266" s="25">
        <f ca="1">SUMIFS((Z6:Z259),$H$6:$H$259,$M$262)</f>
        <v>4</v>
      </c>
      <c r="Z266" s="25"/>
      <c r="AA266" s="25"/>
      <c r="AB266" s="25">
        <f ca="1">SUMIFS((AC6:AC259),$H$6:$H$259,$M$262)</f>
        <v>4</v>
      </c>
      <c r="AC266" s="25"/>
      <c r="AD266" s="25"/>
      <c r="AE266" s="25">
        <f ca="1">SUMIFS((AF6:AF259),$H$6:$H$259,$M$262)</f>
        <v>4</v>
      </c>
      <c r="AF266" s="25"/>
      <c r="AG266" s="25"/>
      <c r="AH266" s="25">
        <f ca="1">SUMIFS((AI6:AI259),$H$6:$H$259,$M$262)</f>
        <v>4</v>
      </c>
      <c r="AI266" s="25"/>
      <c r="AJ266" s="25"/>
      <c r="AK266" s="25">
        <f ca="1">SUMIFS((AL6:AL259),$H$6:$H$259,$M$262)</f>
        <v>1</v>
      </c>
      <c r="AL266" s="25"/>
      <c r="AM266" s="25"/>
      <c r="AN266" s="25">
        <f ca="1">SUMIFS((AO6:AO259),$H$6:$H$259,$M$262)</f>
        <v>4</v>
      </c>
      <c r="AO266" s="25"/>
      <c r="AP266" s="25"/>
      <c r="AQ266" s="25">
        <f ca="1">SUMIFS((AR6:AR259),$H$6:$H$259,$M$262)</f>
        <v>4</v>
      </c>
      <c r="AR266" s="25"/>
      <c r="AS266" s="25"/>
      <c r="AT266" s="25">
        <f ca="1">SUMIFS((AU6:AU259),$H$6:$H$259,$M$262)</f>
        <v>1</v>
      </c>
      <c r="AU266" s="25"/>
      <c r="AV266" s="25"/>
      <c r="AW266" s="25">
        <f ca="1">SUMIFS((AX6:AX259),$H$6:$H$259,$M$262)</f>
        <v>4</v>
      </c>
      <c r="AX266" s="25"/>
      <c r="AY266" s="25"/>
      <c r="AZ266" s="25">
        <f ca="1">SUMIFS((BA6:BA259),$H$6:$H$259,$M$262)</f>
        <v>1</v>
      </c>
      <c r="BA266" s="25"/>
      <c r="BB266" s="25"/>
      <c r="BC266" s="25">
        <f ca="1">SUMIFS((BD6:BD259),$H$6:$H$259,$M$262)</f>
        <v>1</v>
      </c>
      <c r="BD266" s="25"/>
      <c r="BE266" s="25"/>
      <c r="BF266" s="25">
        <f ca="1">SUMIFS((BG6:BG259),$H$6:$H$259,$M$262)</f>
        <v>4</v>
      </c>
      <c r="BG266" s="25"/>
      <c r="BH266" s="25"/>
      <c r="BI266" s="25">
        <f ca="1">SUMIFS((BJ6:BJ259),$H$6:$H$259,$M$262)</f>
        <v>4</v>
      </c>
      <c r="BJ266" s="25"/>
      <c r="BK266" s="25"/>
      <c r="BL266" s="25">
        <f ca="1">SUMIFS((BM6:BM259),$H$6:$H$259,$M$262)</f>
        <v>0</v>
      </c>
      <c r="BM266" s="25"/>
      <c r="BN266" s="25"/>
      <c r="BO266" s="25">
        <f ca="1">SUMIFS((BP6:BP259),$H$6:$H$259,$M$262)</f>
        <v>4</v>
      </c>
      <c r="BP266" s="25"/>
      <c r="BQ266" s="25"/>
      <c r="BR266" s="25">
        <f ca="1">SUMIFS((BS6:BS259),$H$6:$H$259,$M$262)</f>
        <v>4</v>
      </c>
      <c r="BS266" s="25"/>
      <c r="BT266" s="25"/>
      <c r="BU266" s="25">
        <f ca="1">SUMIFS((BV6:BV259),$H$6:$H$259,$M$262)</f>
        <v>1</v>
      </c>
      <c r="BV266" s="25"/>
      <c r="BW266" s="25"/>
      <c r="BX266" s="25">
        <f ca="1">SUMIFS((BY6:BY259),$H$6:$H$259,$M$262)</f>
        <v>4</v>
      </c>
      <c r="BY266" s="25"/>
      <c r="BZ266" s="25"/>
      <c r="CA266" s="25">
        <f ca="1">SUMIFS((CB6:CB259),$H$6:$H$259,$M$262)</f>
        <v>0</v>
      </c>
      <c r="CB266" s="25"/>
      <c r="CC266" s="25"/>
      <c r="CD266" s="25">
        <f ca="1">SUMIFS((CE6:CE259),$H$6:$H$259,$M$262)</f>
        <v>1</v>
      </c>
      <c r="CE266" s="25"/>
      <c r="CF266" s="25"/>
      <c r="CG266" s="25">
        <f ca="1">SUMIFS((CH6:CH259),$H$6:$H$259,$M$262)</f>
        <v>4</v>
      </c>
      <c r="CH266" s="25"/>
      <c r="CI266" s="25"/>
      <c r="CJ266" s="25">
        <f ca="1">SUMIFS((CK6:CK259),$H$6:$H$259,$M$262)</f>
        <v>4</v>
      </c>
      <c r="CK266" s="25"/>
      <c r="CL266" s="25"/>
      <c r="CM266" s="25">
        <f ca="1">SUMIFS((CN6:CN259),$H$6:$H$259,$M$262)</f>
        <v>4</v>
      </c>
      <c r="CN266" s="25"/>
      <c r="CO266" s="25"/>
      <c r="CP266" s="25">
        <f ca="1">SUMIFS((CQ6:CQ259),$H$6:$H$259,$M$262)</f>
        <v>1</v>
      </c>
      <c r="CQ266" s="25"/>
      <c r="CR266" s="25"/>
      <c r="CS266" s="25">
        <f ca="1">SUMIFS((CT6:CT259),$H$6:$H$259,$M$262)</f>
        <v>2</v>
      </c>
      <c r="CT266" s="25"/>
      <c r="CU266" s="25"/>
      <c r="CV266" s="25">
        <f ca="1">SUMIFS((CW6:CW259),$H$6:$H$259,$M$262)</f>
        <v>1</v>
      </c>
      <c r="CW266" s="25"/>
      <c r="CX266" s="25"/>
      <c r="CY266" s="25">
        <f ca="1">SUMIFS((CZ6:CZ259),$H$6:$H$259,$M$262)</f>
        <v>1</v>
      </c>
      <c r="CZ266" s="25"/>
      <c r="DA266" s="25"/>
      <c r="DB266" s="25">
        <f ca="1">SUMIFS((DC6:DC259),$H$6:$H$259,$M$262)</f>
        <v>4</v>
      </c>
      <c r="DC266" s="25"/>
      <c r="DD266" s="25"/>
      <c r="DE266" s="25">
        <f ca="1">SUMIFS((DF6:DF259),$H$6:$H$259,$M$262)</f>
        <v>1</v>
      </c>
      <c r="DF266" s="25"/>
      <c r="DG266" s="25"/>
      <c r="DH266" s="25">
        <f ca="1">SUMIFS((DI6:DI259),$H$6:$H$259,$M$262)</f>
        <v>1</v>
      </c>
      <c r="DI266" s="25"/>
      <c r="DJ266" s="25"/>
      <c r="DK266" s="25">
        <f ca="1">SUMIFS((DL6:DL259),$H$6:$H$259,$M$262)</f>
        <v>4</v>
      </c>
      <c r="DL266" s="25"/>
      <c r="DM266" s="25"/>
      <c r="DN266" s="25">
        <f ca="1">SUMIFS((DO6:DO259),$H$6:$H$259,$M$262)</f>
        <v>2</v>
      </c>
      <c r="DO266" s="25"/>
      <c r="DP266" s="25"/>
      <c r="DQ266" s="25">
        <f ca="1">SUMIFS((DR6:DR259),$H$6:$H$259,$M$262)</f>
        <v>1</v>
      </c>
      <c r="DR266" s="25"/>
      <c r="DS266" s="25"/>
      <c r="DT266" s="25">
        <f ca="1">SUMIFS((DU6:DU259),$H$6:$H$259,$M$262)</f>
        <v>2</v>
      </c>
      <c r="DU266" s="25"/>
      <c r="DV266" s="25"/>
      <c r="DW266" s="25">
        <f ca="1">SUMIFS((DX6:DX259),$H$6:$H$259,$M$262)</f>
        <v>4</v>
      </c>
      <c r="DX266" s="25"/>
      <c r="DY266" s="25"/>
      <c r="DZ266" s="25">
        <f ca="1">SUMIFS((EA6:EA259),$H$6:$H$259,$M$262)</f>
        <v>4</v>
      </c>
      <c r="EA266" s="25"/>
      <c r="EB266" s="25"/>
      <c r="EC266" s="25">
        <f ca="1">SUMIFS((ED6:ED259),$H$6:$H$259,$M$262)</f>
        <v>4</v>
      </c>
      <c r="ED266" s="25"/>
      <c r="EE266" s="25"/>
      <c r="EF266" s="25">
        <f ca="1">SUMIFS((EG6:EG259),$H$6:$H$259,$M$262)</f>
        <v>1</v>
      </c>
      <c r="EG266" s="25"/>
      <c r="EH266" s="25"/>
      <c r="EI266" s="25">
        <f ca="1">SUMIFS((EJ6:EJ259),$H$6:$H$259,$M$262)</f>
        <v>1</v>
      </c>
      <c r="EJ266" s="25"/>
      <c r="EK266" s="25"/>
      <c r="EL266" s="25">
        <f ca="1">SUMIFS((EM6:EM259),$H$6:$H$259,$M$262)</f>
        <v>0</v>
      </c>
      <c r="EM266" s="25"/>
      <c r="EN266" s="25"/>
      <c r="EO266" s="25">
        <f ca="1">SUMIFS((EP6:EP259),$H$6:$H$259,$M$262)</f>
        <v>0</v>
      </c>
      <c r="EP266" s="25"/>
      <c r="EQ266" s="25"/>
      <c r="ER266" s="25">
        <f ca="1">SUMIFS((ES6:ES259),$H$6:$H$259,$M$262)</f>
        <v>0</v>
      </c>
      <c r="ES266" s="25"/>
      <c r="ET266" s="25"/>
      <c r="EU266" s="25">
        <f ca="1">SUMIFS((EV6:EV259),$H$6:$H$259,$M$262)</f>
        <v>0</v>
      </c>
      <c r="EV266" s="25"/>
      <c r="EW266" s="25"/>
      <c r="EX266" s="25">
        <f ca="1">SUMIFS((EY6:EY259),$H$6:$H$259,$M$262)</f>
        <v>0</v>
      </c>
      <c r="EY266" s="25"/>
      <c r="EZ266" s="25"/>
      <c r="FA266" s="25">
        <f ca="1">SUMIFS((FB6:FB259),$H$6:$H$259,$M$262)</f>
        <v>0</v>
      </c>
      <c r="FB266" s="25"/>
      <c r="FC266" s="25"/>
      <c r="FD266" s="25">
        <f ca="1">SUMIFS((FE6:FE259),$H$6:$H$259,$M$262)</f>
        <v>0</v>
      </c>
      <c r="FE266" s="25"/>
      <c r="FF266" s="25"/>
      <c r="FG266" s="25">
        <f ca="1">SUMIFS((FH6:FH259),$H$6:$H$259,$M$262)</f>
        <v>0</v>
      </c>
      <c r="FH266" s="25"/>
      <c r="FI266" s="25"/>
      <c r="FJ266" s="25">
        <f ca="1">SUMIFS((FK6:FK259),$H$6:$H$259,$M$262)</f>
        <v>0</v>
      </c>
      <c r="FK266" s="25"/>
      <c r="FL266" s="25"/>
      <c r="FM266" s="17"/>
    </row>
    <row r="267" spans="1:169" customFormat="1">
      <c r="A267" s="17"/>
      <c r="B267" s="17"/>
      <c r="C267" s="17"/>
      <c r="D267" s="17"/>
      <c r="E267" s="89"/>
      <c r="F267" s="729"/>
      <c r="G267" s="729"/>
      <c r="H267" s="729"/>
      <c r="I267" s="17"/>
      <c r="J267" s="25"/>
      <c r="K267" s="25"/>
      <c r="L267" s="25"/>
      <c r="M267" s="25" t="s">
        <v>268</v>
      </c>
      <c r="N267" s="25"/>
      <c r="O267" s="25"/>
      <c r="P267" s="25"/>
      <c r="Q267" s="25"/>
      <c r="R267" s="25"/>
      <c r="S267" s="25" t="str">
        <f>S5</f>
        <v>Admin</v>
      </c>
      <c r="T267" s="25"/>
      <c r="U267" s="25"/>
      <c r="V267" s="25" t="str">
        <f t="shared" ref="V267" si="2675">V5</f>
        <v>Luis B</v>
      </c>
      <c r="W267" s="25"/>
      <c r="X267" s="25"/>
      <c r="Y267" s="25" t="str">
        <f t="shared" ref="Y267" si="2676">Y5</f>
        <v>Alejandro Lafuente</v>
      </c>
      <c r="Z267" s="25"/>
      <c r="AA267" s="25"/>
      <c r="AB267" s="25" t="str">
        <f t="shared" ref="AB267" si="2677">AB5</f>
        <v>Jaime Lafuente</v>
      </c>
      <c r="AC267" s="25"/>
      <c r="AD267" s="25"/>
      <c r="AE267" s="25" t="str">
        <f t="shared" ref="AE267" si="2678">AE5</f>
        <v>Pastor</v>
      </c>
      <c r="AF267" s="25"/>
      <c r="AG267" s="25"/>
      <c r="AH267" s="25" t="str">
        <f t="shared" ref="AH267" si="2679">AH5</f>
        <v>Jaime García de la Riva</v>
      </c>
      <c r="AI267" s="25"/>
      <c r="AJ267" s="25"/>
      <c r="AK267" s="25" t="str">
        <f t="shared" ref="AK267" si="2680">AK5</f>
        <v>Nacho Novo</v>
      </c>
      <c r="AL267" s="25"/>
      <c r="AM267" s="25"/>
      <c r="AN267" s="25" t="str">
        <f t="shared" ref="AN267" si="2681">AN5</f>
        <v>Antonio Zulueta Ramos</v>
      </c>
      <c r="AO267" s="25"/>
      <c r="AP267" s="25"/>
      <c r="AQ267" s="25" t="str">
        <f t="shared" ref="AQ267" si="2682">AQ5</f>
        <v>Carlos Murciano</v>
      </c>
      <c r="AR267" s="25"/>
      <c r="AS267" s="25"/>
      <c r="AT267" s="25" t="str">
        <f t="shared" ref="AT267" si="2683">AT5</f>
        <v>Chente Muñoz</v>
      </c>
      <c r="AU267" s="25"/>
      <c r="AV267" s="25"/>
      <c r="AW267" s="25" t="str">
        <f t="shared" ref="AW267" si="2684">AW5</f>
        <v>Fercho Muro Matosex</v>
      </c>
      <c r="AX267" s="25"/>
      <c r="AY267" s="25"/>
      <c r="AZ267" s="25" t="str">
        <f t="shared" ref="AZ267" si="2685">AZ5</f>
        <v>Guillermo Murciano</v>
      </c>
      <c r="BA267" s="25"/>
      <c r="BB267" s="25"/>
      <c r="BC267" s="25" t="str">
        <f t="shared" ref="BC267" si="2686">BC5</f>
        <v>Ignacio de Lecea</v>
      </c>
      <c r="BD267" s="25"/>
      <c r="BE267" s="25"/>
      <c r="BF267" s="25" t="str">
        <f t="shared" ref="BF267" si="2687">BF5</f>
        <v>JCU</v>
      </c>
      <c r="BG267" s="25"/>
      <c r="BH267" s="25"/>
      <c r="BI267" s="25" t="str">
        <f t="shared" ref="BI267" si="2688">BI5</f>
        <v>Joserra</v>
      </c>
      <c r="BJ267" s="25"/>
      <c r="BK267" s="25"/>
      <c r="BL267" s="25" t="str">
        <f t="shared" ref="BL267" si="2689">BL5</f>
        <v>Migay Marcos</v>
      </c>
      <c r="BM267" s="25"/>
      <c r="BN267" s="25"/>
      <c r="BO267" s="25" t="str">
        <f t="shared" ref="BO267" si="2690">BO5</f>
        <v>Antonio del Ojo</v>
      </c>
      <c r="BP267" s="25"/>
      <c r="BQ267" s="25"/>
      <c r="BR267" s="25" t="str">
        <f t="shared" ref="BR267" si="2691">BR5</f>
        <v>MURO 204</v>
      </c>
      <c r="BS267" s="25"/>
      <c r="BT267" s="25"/>
      <c r="BU267" s="25" t="str">
        <f t="shared" ref="BU267" si="2692">BU5</f>
        <v>Hulk Rexach</v>
      </c>
      <c r="BV267" s="25"/>
      <c r="BW267" s="25"/>
      <c r="BX267" s="25" t="str">
        <f t="shared" ref="BX267" si="2693">BX5</f>
        <v>Miguel San Martín</v>
      </c>
      <c r="BY267" s="25"/>
      <c r="BZ267" s="25"/>
      <c r="CA267" s="25" t="str">
        <f t="shared" ref="CA267" si="2694">CA5</f>
        <v>Pablo C</v>
      </c>
      <c r="CB267" s="25"/>
      <c r="CC267" s="25"/>
      <c r="CD267" s="25" t="str">
        <f t="shared" ref="CD267" si="2695">CD5</f>
        <v>bau</v>
      </c>
      <c r="CE267" s="25"/>
      <c r="CF267" s="25"/>
      <c r="CG267" s="25" t="str">
        <f t="shared" ref="CG267" si="2696">CG5</f>
        <v>Florentino Netanyahu</v>
      </c>
      <c r="CH267" s="25"/>
      <c r="CI267" s="25"/>
      <c r="CJ267" s="25" t="str">
        <f t="shared" ref="CJ267" si="2697">CJ5</f>
        <v>Lucas Oriol</v>
      </c>
      <c r="CK267" s="25"/>
      <c r="CL267" s="25"/>
      <c r="CM267" s="25" t="str">
        <f t="shared" ref="CM267" si="2698">CM5</f>
        <v>YTD</v>
      </c>
      <c r="CN267" s="25"/>
      <c r="CO267" s="25"/>
      <c r="CP267" s="25" t="str">
        <f t="shared" ref="CP267" si="2699">CP5</f>
        <v>William Hartley</v>
      </c>
      <c r="CQ267" s="25"/>
      <c r="CR267" s="25"/>
      <c r="CS267" s="25" t="str">
        <f t="shared" ref="CS267" si="2700">CS5</f>
        <v>Kurtischamp</v>
      </c>
      <c r="CT267" s="25"/>
      <c r="CU267" s="25"/>
      <c r="CV267" s="25" t="str">
        <f t="shared" ref="CV267" si="2701">CV5</f>
        <v>KIRICOCHO</v>
      </c>
      <c r="CW267" s="25"/>
      <c r="CX267" s="25"/>
      <c r="CY267" s="25" t="str">
        <f t="shared" ref="CY267" si="2702">CY5</f>
        <v>BeliBeltrán</v>
      </c>
      <c r="CZ267" s="25"/>
      <c r="DA267" s="25"/>
      <c r="DB267" s="25" t="str">
        <f t="shared" ref="DB267" si="2703">DB5</f>
        <v>Fernando Carlos García-Ramos Redondo</v>
      </c>
      <c r="DC267" s="25"/>
      <c r="DD267" s="25"/>
      <c r="DE267" s="25" t="str">
        <f t="shared" ref="DE267" si="2704">DE5</f>
        <v>Vicuinho</v>
      </c>
      <c r="DF267" s="25"/>
      <c r="DG267" s="25"/>
      <c r="DH267" s="25" t="str">
        <f t="shared" ref="DH267" si="2705">DH5</f>
        <v>Miguel Suárez-Zuloaga</v>
      </c>
      <c r="DI267" s="25"/>
      <c r="DJ267" s="25"/>
      <c r="DK267" s="25" t="str">
        <f t="shared" ref="DK267" si="2706">DK5</f>
        <v>Gratacós</v>
      </c>
      <c r="DL267" s="25"/>
      <c r="DM267" s="25"/>
      <c r="DN267" s="25" t="str">
        <f t="shared" ref="DN267" si="2707">DN5</f>
        <v>AD Monchus</v>
      </c>
      <c r="DO267" s="25"/>
      <c r="DP267" s="25"/>
      <c r="DQ267" s="25" t="str">
        <f t="shared" ref="DQ267" si="2708">DQ5</f>
        <v>JUAN SOLAS</v>
      </c>
      <c r="DR267" s="25"/>
      <c r="DS267" s="25"/>
      <c r="DT267" s="25" t="str">
        <f t="shared" ref="DT267" si="2709">DT5</f>
        <v xml:space="preserve">Martín Matoses </v>
      </c>
      <c r="DU267" s="25"/>
      <c r="DV267" s="25"/>
      <c r="DW267" s="25" t="str">
        <f t="shared" ref="DW267" si="2710">DW5</f>
        <v>IGNACIO LAFUENTE</v>
      </c>
      <c r="DX267" s="25"/>
      <c r="DY267" s="25"/>
      <c r="DZ267" s="25" t="str">
        <f t="shared" ref="DZ267" si="2711">DZ5</f>
        <v>DIDI</v>
      </c>
      <c r="EA267" s="25"/>
      <c r="EB267" s="25"/>
      <c r="EC267" s="25" t="str">
        <f t="shared" ref="EC267" si="2712">EC5</f>
        <v xml:space="preserve">Ignacio Núñez </v>
      </c>
      <c r="ED267" s="25"/>
      <c r="EE267" s="25"/>
      <c r="EF267" s="25" t="str">
        <f t="shared" ref="EF267" si="2713">EF5</f>
        <v>Ricardo Soto</v>
      </c>
      <c r="EG267" s="25"/>
      <c r="EH267" s="25"/>
      <c r="EI267" s="25" t="str">
        <f t="shared" ref="EI267" si="2714">EI5</f>
        <v>Alexander Schulte</v>
      </c>
      <c r="EJ267" s="25"/>
      <c r="EK267" s="25"/>
      <c r="EL267" s="25" t="str">
        <f t="shared" ref="EL267" si="2715">EL5</f>
        <v>Pegar Valores Nombre J42</v>
      </c>
      <c r="EM267" s="25"/>
      <c r="EN267" s="25"/>
      <c r="EO267" s="25" t="str">
        <f t="shared" ref="EO267" si="2716">EO5</f>
        <v>Pegar Valores Nombre J43</v>
      </c>
      <c r="EP267" s="25"/>
      <c r="EQ267" s="25"/>
      <c r="ER267" s="25" t="str">
        <f t="shared" ref="ER267" si="2717">ER5</f>
        <v>Pegar Valores Nombre J44</v>
      </c>
      <c r="ES267" s="25"/>
      <c r="ET267" s="25"/>
      <c r="EU267" s="25" t="str">
        <f t="shared" ref="EU267" si="2718">EU5</f>
        <v>Pegar Valores Nombre J45</v>
      </c>
      <c r="EV267" s="25"/>
      <c r="EW267" s="25"/>
      <c r="EX267" s="25" t="str">
        <f t="shared" ref="EX267" si="2719">EX5</f>
        <v>Pegar Valores Nombre J46</v>
      </c>
      <c r="EY267" s="25"/>
      <c r="EZ267" s="25"/>
      <c r="FA267" s="25" t="str">
        <f t="shared" ref="FA267" si="2720">FA5</f>
        <v>Pegar Valores Nombre J47</v>
      </c>
      <c r="FB267" s="25"/>
      <c r="FC267" s="25"/>
      <c r="FD267" s="25" t="str">
        <f t="shared" ref="FD267" si="2721">FD5</f>
        <v>Pegar Valores Nombre J48</v>
      </c>
      <c r="FE267" s="25"/>
      <c r="FF267" s="25"/>
      <c r="FG267" s="25" t="str">
        <f t="shared" ref="FG267" si="2722">FG5</f>
        <v>Pegar Valores Nombre J49</v>
      </c>
      <c r="FH267" s="25"/>
      <c r="FI267" s="25"/>
      <c r="FJ267" s="25" t="str">
        <f t="shared" ref="FJ267" si="2723">FJ5</f>
        <v>Pegar Valores Nombre J50</v>
      </c>
      <c r="FK267" s="25"/>
      <c r="FL267" s="25"/>
      <c r="FM267" s="17"/>
    </row>
    <row r="268" spans="1:169" customFormat="1">
      <c r="A268" s="17"/>
      <c r="B268" s="17"/>
      <c r="C268" s="17"/>
      <c r="D268" s="17"/>
      <c r="E268" s="89"/>
      <c r="F268" s="729"/>
      <c r="G268" s="729"/>
      <c r="H268" s="729"/>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c r="DO268" s="17"/>
      <c r="DP268" s="17"/>
      <c r="DQ268" s="17"/>
      <c r="DR268" s="17"/>
      <c r="DS268" s="17"/>
      <c r="DT268" s="17"/>
      <c r="DU268" s="17"/>
      <c r="DV268" s="17"/>
      <c r="DW268" s="17"/>
      <c r="DX268" s="17"/>
      <c r="DY268" s="17"/>
      <c r="DZ268" s="17"/>
      <c r="EA268" s="17"/>
      <c r="EB268" s="17"/>
      <c r="EC268" s="17"/>
      <c r="ED268" s="17"/>
      <c r="EE268" s="17"/>
      <c r="EF268" s="17"/>
      <c r="EG268" s="17"/>
      <c r="EH268" s="17"/>
      <c r="EI268" s="17"/>
      <c r="EJ268" s="17"/>
      <c r="EK268" s="17"/>
      <c r="EL268" s="17"/>
      <c r="EM268" s="17"/>
      <c r="EN268" s="17"/>
      <c r="EO268" s="17"/>
      <c r="EP268" s="17"/>
      <c r="EQ268" s="17"/>
      <c r="ER268" s="17"/>
      <c r="ES268" s="17"/>
      <c r="ET268" s="17"/>
      <c r="EU268" s="17"/>
      <c r="EV268" s="17"/>
      <c r="EW268" s="17"/>
      <c r="EX268" s="17"/>
      <c r="EY268" s="17"/>
      <c r="EZ268" s="17"/>
      <c r="FA268" s="17"/>
      <c r="FB268" s="17"/>
      <c r="FC268" s="17"/>
      <c r="FD268" s="17"/>
      <c r="FE268" s="17"/>
      <c r="FF268" s="17"/>
      <c r="FG268" s="17"/>
      <c r="FH268" s="17"/>
      <c r="FI268" s="17"/>
      <c r="FJ268" s="17"/>
      <c r="FK268" s="17"/>
      <c r="FL268" s="17"/>
      <c r="FM268" s="17"/>
    </row>
    <row r="269" spans="1:169" customFormat="1">
      <c r="A269" s="17"/>
      <c r="B269" s="17"/>
      <c r="C269" s="17"/>
      <c r="D269" s="17"/>
      <c r="E269" s="89"/>
      <c r="F269" s="729"/>
      <c r="G269" s="729"/>
      <c r="H269" s="729"/>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c r="DO269" s="17"/>
      <c r="DP269" s="17"/>
      <c r="DQ269" s="17"/>
      <c r="DR269" s="17"/>
      <c r="DS269" s="17"/>
      <c r="DT269" s="17"/>
      <c r="DU269" s="17"/>
      <c r="DV269" s="17"/>
      <c r="DW269" s="17"/>
      <c r="DX269" s="17"/>
      <c r="DY269" s="17"/>
      <c r="DZ269" s="17"/>
      <c r="EA269" s="17"/>
      <c r="EB269" s="17"/>
      <c r="EC269" s="17"/>
      <c r="ED269" s="17"/>
      <c r="EE269" s="17"/>
      <c r="EF269" s="17"/>
      <c r="EG269" s="17"/>
      <c r="EH269" s="17"/>
      <c r="EI269" s="17"/>
      <c r="EJ269" s="17"/>
      <c r="EK269" s="17"/>
      <c r="EL269" s="17"/>
      <c r="EM269" s="17"/>
      <c r="EN269" s="17"/>
      <c r="EO269" s="17"/>
      <c r="EP269" s="17"/>
      <c r="EQ269" s="17"/>
      <c r="ER269" s="17"/>
      <c r="ES269" s="17"/>
      <c r="ET269" s="17"/>
      <c r="EU269" s="17"/>
      <c r="EV269" s="17"/>
      <c r="EW269" s="17"/>
      <c r="EX269" s="17"/>
      <c r="EY269" s="17"/>
      <c r="EZ269" s="17"/>
      <c r="FA269" s="17"/>
      <c r="FB269" s="17"/>
      <c r="FC269" s="17"/>
      <c r="FD269" s="17"/>
      <c r="FE269" s="17"/>
      <c r="FF269" s="17"/>
      <c r="FG269" s="17"/>
      <c r="FH269" s="17"/>
      <c r="FI269" s="17"/>
      <c r="FJ269" s="17"/>
      <c r="FK269" s="17"/>
      <c r="FL269" s="17"/>
      <c r="FM269" s="17"/>
    </row>
  </sheetData>
  <sheetProtection algorithmName="SHA-512" hashValue="W7f5nQ4W2dD4hAtYjzr+FTRdDqKh6zDyhT3qrFrTrFLuazYElNkCyDcn5qGWSHhyWFfW2Aap/JfRoOwaVsQMvg==" saltValue="yrUs8WumDy0+NcpT8QBfEg=="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headerFooter>
    <oddFooter>&amp;L_x000D_&amp;1#&amp;"Aptos"&amp;8&amp;K000000 Clasificación: Interna</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Equipos!$O$2:$O$51</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56"/>
  <sheetViews>
    <sheetView showGridLines="0" showRowColHeaders="0" topLeftCell="A21" zoomScale="85" zoomScaleNormal="85" workbookViewId="0">
      <selection activeCell="E26" sqref="E26"/>
    </sheetView>
  </sheetViews>
  <sheetFormatPr defaultColWidth="0" defaultRowHeight="14.4"/>
  <cols>
    <col min="1" max="1" width="4.6640625" style="7" customWidth="1"/>
    <col min="2" max="2" width="4.6640625" style="1" bestFit="1" customWidth="1"/>
    <col min="3" max="3" width="22.6640625" style="1" customWidth="1"/>
    <col min="4" max="21" width="10.77734375" style="1" customWidth="1"/>
    <col min="22" max="16384" width="10.77734375" style="1" hidden="1"/>
  </cols>
  <sheetData>
    <row r="1" spans="1:21" ht="45" thickBot="1">
      <c r="A1" s="90"/>
      <c r="B1" s="853" t="str">
        <f>Idiomas!D451&amp;" "&amp;Home!C10</f>
        <v>CLASIFICACIÓN MUNDIAL 2026 Metaporra</v>
      </c>
      <c r="C1" s="854"/>
      <c r="D1" s="854"/>
      <c r="E1" s="854"/>
      <c r="F1" s="854"/>
      <c r="G1" s="854"/>
      <c r="H1" s="854"/>
      <c r="I1" s="854"/>
      <c r="J1" s="854"/>
      <c r="K1" s="854"/>
      <c r="L1" s="854"/>
      <c r="M1" s="854"/>
      <c r="N1" s="854"/>
      <c r="O1" s="854"/>
      <c r="P1" s="854"/>
      <c r="Q1" s="854"/>
      <c r="R1" s="854"/>
      <c r="S1" s="854"/>
      <c r="T1" s="297"/>
      <c r="U1" s="297"/>
    </row>
    <row r="2" spans="1:21" ht="9" customHeight="1">
      <c r="A2" s="90"/>
      <c r="B2" s="107"/>
      <c r="C2" s="107"/>
      <c r="D2" s="107"/>
      <c r="E2" s="108">
        <f ca="1">MATCH(E$4,ADMIN!$K:$K,0)</f>
        <v>78</v>
      </c>
      <c r="F2" s="108">
        <f ca="1">MATCH(F$4,ADMIN!$K:$K,0)</f>
        <v>128</v>
      </c>
      <c r="G2" s="108">
        <f ca="1">MATCH(G$4,ADMIN!$K:$K,0)</f>
        <v>162</v>
      </c>
      <c r="H2" s="108">
        <f ca="1">MATCH(H$4,ADMIN!$K:$K,0)</f>
        <v>180</v>
      </c>
      <c r="I2" s="108">
        <f ca="1">MATCH(I$4,ADMIN!$K:$K,0)</f>
        <v>198</v>
      </c>
      <c r="J2" s="108">
        <f ca="1">MATCH(J$4,ADMIN!$K:$K,0)</f>
        <v>208</v>
      </c>
      <c r="K2" s="108">
        <f ca="1">MATCH(K$4,ADMIN!$K:$K,0)</f>
        <v>218</v>
      </c>
      <c r="L2" s="108">
        <f ca="1">MATCH(L$4,ADMIN!$K:$K,0)</f>
        <v>224</v>
      </c>
      <c r="M2" s="108">
        <f ca="1">MATCH(M$4,ADMIN!$K:$K,0)</f>
        <v>230</v>
      </c>
      <c r="N2" s="108">
        <f ca="1">MATCH(N$4,ADMIN!$K:$K,0)</f>
        <v>234</v>
      </c>
      <c r="O2" s="108">
        <f ca="1">MATCH(O$4,ADMIN!$K:$K,0)</f>
        <v>238</v>
      </c>
      <c r="P2" s="108">
        <f ca="1">MATCH(P$4,ADMIN!$K:$K,0)</f>
        <v>242</v>
      </c>
      <c r="Q2" s="108">
        <f ca="1">MATCH(Q$4,ADMIN!$K:$K,0)</f>
        <v>245</v>
      </c>
      <c r="R2" s="108">
        <f ca="1">MATCH(R$4,ADMIN!$K:$K,0)</f>
        <v>248</v>
      </c>
      <c r="S2" s="108">
        <f ca="1">MATCH(S$4,ADMIN!$K:$K,0)</f>
        <v>259</v>
      </c>
      <c r="T2" s="297"/>
      <c r="U2" s="297"/>
    </row>
    <row r="3" spans="1:21" ht="15" customHeight="1" thickBot="1">
      <c r="A3" s="90"/>
      <c r="B3" s="105"/>
      <c r="C3" s="105"/>
      <c r="D3" s="105"/>
      <c r="E3" s="106" t="str">
        <f ca="1">+INDEX(ADMIN!$M$5:$M$259,MATCH(CLAS!E4,ADMIN!$K$5:$K$259,0))</f>
        <v>Max: 288</v>
      </c>
      <c r="F3" s="106" t="str">
        <f ca="1">+INDEX(ADMIN!$M$5:$M$259,MATCH(CLAS!F4,ADMIN!$K$5:$K$259,0))</f>
        <v>Max: 96</v>
      </c>
      <c r="G3" s="106" t="str">
        <f ca="1">+INDEX(ADMIN!$M$5:$M$259,MATCH(CLAS!G4,ADMIN!$K$5:$K$259,0))</f>
        <v>Max: 96</v>
      </c>
      <c r="H3" s="106" t="str">
        <f ca="1">+INDEX(ADMIN!$M$5:$M$259,MATCH(CLAS!H4,ADMIN!$K$5:$K$259,0))</f>
        <v>Max: 64</v>
      </c>
      <c r="I3" s="106" t="str">
        <f ca="1">+INDEX(ADMIN!$M$5:$M$259,MATCH(CLAS!I4,ADMIN!$K$5:$K$259,0))</f>
        <v>Max: 64</v>
      </c>
      <c r="J3" s="106" t="str">
        <f ca="1">+INDEX(ADMIN!$M$5:$M$259,MATCH(CLAS!J4,ADMIN!$K$5:$K$259,0))</f>
        <v>Max: 32</v>
      </c>
      <c r="K3" s="106" t="str">
        <f ca="1">+INDEX(ADMIN!$M$5:$M$259,MATCH(CLAS!K4,ADMIN!$K$5:$K$259,0))</f>
        <v>Max: 40</v>
      </c>
      <c r="L3" s="106" t="str">
        <f ca="1">+INDEX(ADMIN!$M$5:$M$259,MATCH(CLAS!L4,ADMIN!$K$5:$K$259,0))</f>
        <v>Max: 16</v>
      </c>
      <c r="M3" s="106" t="str">
        <f ca="1">+INDEX(ADMIN!$M$5:$M$259,MATCH(CLAS!M4,ADMIN!$K$5:$K$259,0))</f>
        <v>Max: 20</v>
      </c>
      <c r="N3" s="106" t="str">
        <f ca="1">+INDEX(ADMIN!$M$5:$M$259,MATCH(CLAS!N4,ADMIN!$K$5:$K$259,0))</f>
        <v>Max: 8</v>
      </c>
      <c r="O3" s="106" t="str">
        <f ca="1">+INDEX(ADMIN!$M$5:$M$259,MATCH(CLAS!O4,ADMIN!$K$5:$K$259,0))</f>
        <v>Max: 12</v>
      </c>
      <c r="P3" s="106" t="str">
        <f ca="1">+INDEX(ADMIN!$M$5:$M$259,MATCH(CLAS!P4,ADMIN!$K$5:$K$259,0))</f>
        <v>Max: 14</v>
      </c>
      <c r="Q3" s="106" t="str">
        <f ca="1">+INDEX(ADMIN!$M$5:$M$259,MATCH(CLAS!Q4,ADMIN!$K$5:$K$259,0))</f>
        <v>Max: 4</v>
      </c>
      <c r="R3" s="106" t="str">
        <f ca="1">+INDEX(ADMIN!$M$5:$M$259,MATCH(CLAS!R4,ADMIN!$K$5:$K$259,0))</f>
        <v>Max: 4</v>
      </c>
      <c r="S3" s="106" t="str">
        <f ca="1">+INDEX(ADMIN!$M$5:$M$259,MATCH(CLAS!S4,ADMIN!$K$5:$K$259,0))</f>
        <v>Max: 115</v>
      </c>
      <c r="T3" s="297"/>
      <c r="U3" s="297"/>
    </row>
    <row r="4" spans="1:21" ht="28.8" thickTop="1" thickBot="1">
      <c r="A4" s="90"/>
      <c r="B4" s="88" t="str">
        <f>Idiomas!$D$452</f>
        <v>Pos</v>
      </c>
      <c r="C4" s="109" t="str">
        <f>Idiomas!$D$453</f>
        <v>Jugador</v>
      </c>
      <c r="D4" s="88" t="str">
        <f>Idiomas!$D$454</f>
        <v>Puntos Totales</v>
      </c>
      <c r="E4" s="88" t="str">
        <f>Idiomas!$D$455</f>
        <v>F. Grupos</v>
      </c>
      <c r="F4" s="88" t="str">
        <f>Idiomas!$D$456</f>
        <v>Pos. Grupos</v>
      </c>
      <c r="G4" s="88" t="str">
        <f>Idiomas!$D$457</f>
        <v>Equipos 1/16</v>
      </c>
      <c r="H4" s="88" t="str">
        <f>Idiomas!$D$458</f>
        <v>Partidos 1/16</v>
      </c>
      <c r="I4" s="88" t="str">
        <f>Idiomas!$D$459</f>
        <v>Equipos 1/8</v>
      </c>
      <c r="J4" s="88" t="str">
        <f>Idiomas!$D$460</f>
        <v>Partidos 1/8</v>
      </c>
      <c r="K4" s="88" t="str">
        <f>Idiomas!$D$461</f>
        <v>Equipos 1/4</v>
      </c>
      <c r="L4" s="88" t="str">
        <f>Idiomas!$D$462</f>
        <v>Partidos 1/4</v>
      </c>
      <c r="M4" s="88" t="str">
        <f>Idiomas!$D$463</f>
        <v>Equipos 1/2</v>
      </c>
      <c r="N4" s="88" t="str">
        <f>Idiomas!$D$464</f>
        <v>Partidos 1/2</v>
      </c>
      <c r="O4" s="88" t="str">
        <f>Idiomas!$D$465</f>
        <v>Equipos 3-4</v>
      </c>
      <c r="P4" s="88" t="str">
        <f>Idiomas!$D$466</f>
        <v>Equipos Final</v>
      </c>
      <c r="Q4" s="88" t="str">
        <f>Idiomas!$D$467</f>
        <v>Partido 3-4</v>
      </c>
      <c r="R4" s="88" t="str">
        <f>Idiomas!$D$468</f>
        <v>Partido Final</v>
      </c>
      <c r="S4" s="88" t="str">
        <f>Idiomas!$D$469</f>
        <v xml:space="preserve">Cuadro de Honor </v>
      </c>
      <c r="T4" s="297"/>
      <c r="U4" s="297"/>
    </row>
    <row r="5" spans="1:21" ht="15" thickTop="1">
      <c r="A5" s="19">
        <f>ROW()-4</f>
        <v>1</v>
      </c>
      <c r="B5" s="22">
        <f ca="1">IFERROR(HLOOKUP(A5,Rango_Admin_Clas,3,FALSE),"-")</f>
        <v>1</v>
      </c>
      <c r="C5" s="18" t="str">
        <f ca="1">IFERROR(HLOOKUP(A5,Rango_Admin_Clas,5,FALSE),"-")</f>
        <v>Carlos Murciano</v>
      </c>
      <c r="D5" s="91">
        <f ca="1">IFERROR(HLOOKUP(A5,Rango_Admin_Clas,4,FALSE),"-")</f>
        <v>47</v>
      </c>
      <c r="E5" s="92" cm="1">
        <f t="array" aca="1" ref="E5" ca="1">IFERROR(INDEX(Rango_Admin_Clas_Total,E$2,MATCH($A5,Rango_Admin_Clas_Primera,0)+1),"-")</f>
        <v>47</v>
      </c>
      <c r="F5" s="92" cm="1">
        <f t="array" aca="1" ref="F5" ca="1">IFERROR(INDEX(Rango_Admin_Clas_Total,F$2,MATCH($A5,Rango_Admin_Clas_Primera,0)+1),"-")</f>
        <v>0</v>
      </c>
      <c r="G5" s="92" cm="1">
        <f t="array" aca="1" ref="G5" ca="1">IFERROR(INDEX(Rango_Admin_Clas_Total,G$2,MATCH($A5,Rango_Admin_Clas_Primera,0)+1),"-")</f>
        <v>0</v>
      </c>
      <c r="H5" s="92" cm="1">
        <f t="array" aca="1" ref="H5" ca="1">IFERROR(INDEX(Rango_Admin_Clas_Total,H$2,MATCH($A5,Rango_Admin_Clas_Primera,0)+1),"-")</f>
        <v>0</v>
      </c>
      <c r="I5" s="92" cm="1">
        <f t="array" aca="1" ref="I5" ca="1">IFERROR(INDEX(Rango_Admin_Clas_Total,I$2,MATCH($A5,Rango_Admin_Clas_Primera,0)+1),"-")</f>
        <v>0</v>
      </c>
      <c r="J5" s="92" cm="1">
        <f t="array" aca="1" ref="J5" ca="1">IFERROR(INDEX(Rango_Admin_Clas_Total,J$2,MATCH($A5,Rango_Admin_Clas_Primera,0)+1),"-")</f>
        <v>0</v>
      </c>
      <c r="K5" s="92" cm="1">
        <f t="array" aca="1" ref="K5" ca="1">IFERROR(INDEX(Rango_Admin_Clas_Total,K$2,MATCH($A5,Rango_Admin_Clas_Primera,0)+1),"-")</f>
        <v>0</v>
      </c>
      <c r="L5" s="92" cm="1">
        <f t="array" aca="1" ref="L5" ca="1">IFERROR(INDEX(Rango_Admin_Clas_Total,L$2,MATCH($A5,Rango_Admin_Clas_Primera,0)+1),"-")</f>
        <v>0</v>
      </c>
      <c r="M5" s="92" cm="1">
        <f t="array" aca="1" ref="M5" ca="1">IFERROR(INDEX(Rango_Admin_Clas_Total,M$2,MATCH($A5,Rango_Admin_Clas_Primera,0)+1),"-")</f>
        <v>0</v>
      </c>
      <c r="N5" s="92" cm="1">
        <f t="array" aca="1" ref="N5" ca="1">IFERROR(INDEX(Rango_Admin_Clas_Total,N$2,MATCH($A5,Rango_Admin_Clas_Primera,0)+1),"-")</f>
        <v>0</v>
      </c>
      <c r="O5" s="92" cm="1">
        <f t="array" aca="1" ref="O5" ca="1">IFERROR(INDEX(Rango_Admin_Clas_Total,O$2,MATCH($A5,Rango_Admin_Clas_Primera,0)+1),"-")</f>
        <v>0</v>
      </c>
      <c r="P5" s="92" cm="1">
        <f t="array" aca="1" ref="P5" ca="1">IFERROR(INDEX(Rango_Admin_Clas_Total,P$2,MATCH($A5,Rango_Admin_Clas_Primera,0)+1),"-")</f>
        <v>0</v>
      </c>
      <c r="Q5" s="92" cm="1">
        <f t="array" aca="1" ref="Q5" ca="1">IFERROR(INDEX(Rango_Admin_Clas_Total,Q$2,MATCH($A5,Rango_Admin_Clas_Primera,0)+1),"-")</f>
        <v>0</v>
      </c>
      <c r="R5" s="92" cm="1">
        <f t="array" aca="1" ref="R5" ca="1">IFERROR(INDEX(Rango_Admin_Clas_Total,R$2,MATCH($A5,Rango_Admin_Clas_Primera,0)+1),"-")</f>
        <v>0</v>
      </c>
      <c r="S5" s="92" cm="1">
        <f t="array" aca="1" ref="S5" ca="1">IFERROR(INDEX(Rango_Admin_Clas_Total,S$2,MATCH($A5,Rango_Admin_Clas_Primera,0)+1),"-")</f>
        <v>0</v>
      </c>
      <c r="T5" s="297"/>
      <c r="U5" s="297"/>
    </row>
    <row r="6" spans="1:21">
      <c r="A6" s="19">
        <f t="shared" ref="A6:A54" si="0">ROW()-4</f>
        <v>2</v>
      </c>
      <c r="B6" s="22">
        <f ca="1">IFERROR(HLOOKUP(A6,Rango_Admin_Clas,3,FALSE),"-")</f>
        <v>2</v>
      </c>
      <c r="C6" s="18" t="str">
        <f ca="1">IFERROR(HLOOKUP(A6,Rango_Admin_Clas,5,FALSE),"-")</f>
        <v>IGNACIO LAFUENTE</v>
      </c>
      <c r="D6" s="91">
        <f ca="1">IFERROR(HLOOKUP(A6,Rango_Admin_Clas,4,FALSE),"-")</f>
        <v>43</v>
      </c>
      <c r="E6" s="92" cm="1">
        <f t="array" aca="1" ref="E6" ca="1">IFERROR(INDEX(Rango_Admin_Clas_Total,E$2,MATCH($A6,Rango_Admin_Clas_Primera,0)+1),"-")</f>
        <v>43</v>
      </c>
      <c r="F6" s="92" cm="1">
        <f t="array" aca="1" ref="F6" ca="1">IFERROR(INDEX(Rango_Admin_Clas_Total,F$2,MATCH($A6,Rango_Admin_Clas_Primera,0)+1),"-")</f>
        <v>0</v>
      </c>
      <c r="G6" s="92" cm="1">
        <f t="array" aca="1" ref="G6" ca="1">IFERROR(INDEX(Rango_Admin_Clas_Total,G$2,MATCH($A6,Rango_Admin_Clas_Primera,0)+1),"-")</f>
        <v>0</v>
      </c>
      <c r="H6" s="92" cm="1">
        <f t="array" aca="1" ref="H6" ca="1">IFERROR(INDEX(Rango_Admin_Clas_Total,H$2,MATCH($A6,Rango_Admin_Clas_Primera,0)+1),"-")</f>
        <v>0</v>
      </c>
      <c r="I6" s="92" cm="1">
        <f t="array" aca="1" ref="I6" ca="1">IFERROR(INDEX(Rango_Admin_Clas_Total,I$2,MATCH($A6,Rango_Admin_Clas_Primera,0)+1),"-")</f>
        <v>0</v>
      </c>
      <c r="J6" s="92" cm="1">
        <f t="array" aca="1" ref="J6" ca="1">IFERROR(INDEX(Rango_Admin_Clas_Total,J$2,MATCH($A6,Rango_Admin_Clas_Primera,0)+1),"-")</f>
        <v>0</v>
      </c>
      <c r="K6" s="92" cm="1">
        <f t="array" aca="1" ref="K6" ca="1">IFERROR(INDEX(Rango_Admin_Clas_Total,K$2,MATCH($A6,Rango_Admin_Clas_Primera,0)+1),"-")</f>
        <v>0</v>
      </c>
      <c r="L6" s="92" cm="1">
        <f t="array" aca="1" ref="L6" ca="1">IFERROR(INDEX(Rango_Admin_Clas_Total,L$2,MATCH($A6,Rango_Admin_Clas_Primera,0)+1),"-")</f>
        <v>0</v>
      </c>
      <c r="M6" s="92" cm="1">
        <f t="array" aca="1" ref="M6" ca="1">IFERROR(INDEX(Rango_Admin_Clas_Total,M$2,MATCH($A6,Rango_Admin_Clas_Primera,0)+1),"-")</f>
        <v>0</v>
      </c>
      <c r="N6" s="92" cm="1">
        <f t="array" aca="1" ref="N6" ca="1">IFERROR(INDEX(Rango_Admin_Clas_Total,N$2,MATCH($A6,Rango_Admin_Clas_Primera,0)+1),"-")</f>
        <v>0</v>
      </c>
      <c r="O6" s="92" cm="1">
        <f t="array" aca="1" ref="O6" ca="1">IFERROR(INDEX(Rango_Admin_Clas_Total,O$2,MATCH($A6,Rango_Admin_Clas_Primera,0)+1),"-")</f>
        <v>0</v>
      </c>
      <c r="P6" s="92" cm="1">
        <f t="array" aca="1" ref="P6" ca="1">IFERROR(INDEX(Rango_Admin_Clas_Total,P$2,MATCH($A6,Rango_Admin_Clas_Primera,0)+1),"-")</f>
        <v>0</v>
      </c>
      <c r="Q6" s="92" cm="1">
        <f t="array" aca="1" ref="Q6" ca="1">IFERROR(INDEX(Rango_Admin_Clas_Total,Q$2,MATCH($A6,Rango_Admin_Clas_Primera,0)+1),"-")</f>
        <v>0</v>
      </c>
      <c r="R6" s="92" cm="1">
        <f t="array" aca="1" ref="R6" ca="1">IFERROR(INDEX(Rango_Admin_Clas_Total,R$2,MATCH($A6,Rango_Admin_Clas_Primera,0)+1),"-")</f>
        <v>0</v>
      </c>
      <c r="S6" s="92" cm="1">
        <f t="array" aca="1" ref="S6" ca="1">IFERROR(INDEX(Rango_Admin_Clas_Total,S$2,MATCH($A6,Rango_Admin_Clas_Primera,0)+1),"-")</f>
        <v>0</v>
      </c>
      <c r="T6" s="297"/>
      <c r="U6" s="297"/>
    </row>
    <row r="7" spans="1:21">
      <c r="A7" s="19">
        <f t="shared" si="0"/>
        <v>3</v>
      </c>
      <c r="B7" s="22">
        <f ca="1">IFERROR(HLOOKUP(A7,Rango_Admin_Clas,3,FALSE),"-")</f>
        <v>3</v>
      </c>
      <c r="C7" s="18" t="str">
        <f ca="1">IFERROR(HLOOKUP(A7,Rango_Admin_Clas,5,FALSE),"-")</f>
        <v>bau</v>
      </c>
      <c r="D7" s="91">
        <f ca="1">IFERROR(HLOOKUP(A7,Rango_Admin_Clas,4,FALSE),"-")</f>
        <v>41</v>
      </c>
      <c r="E7" s="92" cm="1">
        <f t="array" aca="1" ref="E7" ca="1">IFERROR(INDEX(Rango_Admin_Clas_Total,E$2,MATCH($A7,Rango_Admin_Clas_Primera,0)+1),"-")</f>
        <v>41</v>
      </c>
      <c r="F7" s="92" cm="1">
        <f t="array" aca="1" ref="F7" ca="1">IFERROR(INDEX(Rango_Admin_Clas_Total,F$2,MATCH($A7,Rango_Admin_Clas_Primera,0)+1),"-")</f>
        <v>0</v>
      </c>
      <c r="G7" s="92" cm="1">
        <f t="array" aca="1" ref="G7" ca="1">IFERROR(INDEX(Rango_Admin_Clas_Total,G$2,MATCH($A7,Rango_Admin_Clas_Primera,0)+1),"-")</f>
        <v>0</v>
      </c>
      <c r="H7" s="92" cm="1">
        <f t="array" aca="1" ref="H7" ca="1">IFERROR(INDEX(Rango_Admin_Clas_Total,H$2,MATCH($A7,Rango_Admin_Clas_Primera,0)+1),"-")</f>
        <v>0</v>
      </c>
      <c r="I7" s="92" cm="1">
        <f t="array" aca="1" ref="I7" ca="1">IFERROR(INDEX(Rango_Admin_Clas_Total,I$2,MATCH($A7,Rango_Admin_Clas_Primera,0)+1),"-")</f>
        <v>0</v>
      </c>
      <c r="J7" s="92" cm="1">
        <f t="array" aca="1" ref="J7" ca="1">IFERROR(INDEX(Rango_Admin_Clas_Total,J$2,MATCH($A7,Rango_Admin_Clas_Primera,0)+1),"-")</f>
        <v>0</v>
      </c>
      <c r="K7" s="92" cm="1">
        <f t="array" aca="1" ref="K7" ca="1">IFERROR(INDEX(Rango_Admin_Clas_Total,K$2,MATCH($A7,Rango_Admin_Clas_Primera,0)+1),"-")</f>
        <v>0</v>
      </c>
      <c r="L7" s="92" cm="1">
        <f t="array" aca="1" ref="L7" ca="1">IFERROR(INDEX(Rango_Admin_Clas_Total,L$2,MATCH($A7,Rango_Admin_Clas_Primera,0)+1),"-")</f>
        <v>0</v>
      </c>
      <c r="M7" s="92" cm="1">
        <f t="array" aca="1" ref="M7" ca="1">IFERROR(INDEX(Rango_Admin_Clas_Total,M$2,MATCH($A7,Rango_Admin_Clas_Primera,0)+1),"-")</f>
        <v>0</v>
      </c>
      <c r="N7" s="92" cm="1">
        <f t="array" aca="1" ref="N7" ca="1">IFERROR(INDEX(Rango_Admin_Clas_Total,N$2,MATCH($A7,Rango_Admin_Clas_Primera,0)+1),"-")</f>
        <v>0</v>
      </c>
      <c r="O7" s="92" cm="1">
        <f t="array" aca="1" ref="O7" ca="1">IFERROR(INDEX(Rango_Admin_Clas_Total,O$2,MATCH($A7,Rango_Admin_Clas_Primera,0)+1),"-")</f>
        <v>0</v>
      </c>
      <c r="P7" s="92" cm="1">
        <f t="array" aca="1" ref="P7" ca="1">IFERROR(INDEX(Rango_Admin_Clas_Total,P$2,MATCH($A7,Rango_Admin_Clas_Primera,0)+1),"-")</f>
        <v>0</v>
      </c>
      <c r="Q7" s="92" cm="1">
        <f t="array" aca="1" ref="Q7" ca="1">IFERROR(INDEX(Rango_Admin_Clas_Total,Q$2,MATCH($A7,Rango_Admin_Clas_Primera,0)+1),"-")</f>
        <v>0</v>
      </c>
      <c r="R7" s="92" cm="1">
        <f t="array" aca="1" ref="R7" ca="1">IFERROR(INDEX(Rango_Admin_Clas_Total,R$2,MATCH($A7,Rango_Admin_Clas_Primera,0)+1),"-")</f>
        <v>0</v>
      </c>
      <c r="S7" s="92" cm="1">
        <f t="array" aca="1" ref="S7" ca="1">IFERROR(INDEX(Rango_Admin_Clas_Total,S$2,MATCH($A7,Rango_Admin_Clas_Primera,0)+1),"-")</f>
        <v>0</v>
      </c>
      <c r="T7" s="297"/>
      <c r="U7" s="297"/>
    </row>
    <row r="8" spans="1:21">
      <c r="A8" s="19">
        <f t="shared" si="0"/>
        <v>4</v>
      </c>
      <c r="B8" s="22">
        <f ca="1">IFERROR(HLOOKUP(A8,Rango_Admin_Clas,3,FALSE),"-")</f>
        <v>4</v>
      </c>
      <c r="C8" s="18" t="str">
        <f ca="1">IFERROR(HLOOKUP(A8,Rango_Admin_Clas,5,FALSE),"-")</f>
        <v>Jaime Lafuente</v>
      </c>
      <c r="D8" s="91">
        <f ca="1">IFERROR(HLOOKUP(A8,Rango_Admin_Clas,4,FALSE),"-")</f>
        <v>40</v>
      </c>
      <c r="E8" s="92" cm="1">
        <f t="array" aca="1" ref="E8" ca="1">IFERROR(INDEX(Rango_Admin_Clas_Total,E$2,MATCH($A8,Rango_Admin_Clas_Primera,0)+1),"-")</f>
        <v>40</v>
      </c>
      <c r="F8" s="92" cm="1">
        <f t="array" aca="1" ref="F8" ca="1">IFERROR(INDEX(Rango_Admin_Clas_Total,F$2,MATCH($A8,Rango_Admin_Clas_Primera,0)+1),"-")</f>
        <v>0</v>
      </c>
      <c r="G8" s="92" cm="1">
        <f t="array" aca="1" ref="G8" ca="1">IFERROR(INDEX(Rango_Admin_Clas_Total,G$2,MATCH($A8,Rango_Admin_Clas_Primera,0)+1),"-")</f>
        <v>0</v>
      </c>
      <c r="H8" s="92" cm="1">
        <f t="array" aca="1" ref="H8" ca="1">IFERROR(INDEX(Rango_Admin_Clas_Total,H$2,MATCH($A8,Rango_Admin_Clas_Primera,0)+1),"-")</f>
        <v>0</v>
      </c>
      <c r="I8" s="92" cm="1">
        <f t="array" aca="1" ref="I8" ca="1">IFERROR(INDEX(Rango_Admin_Clas_Total,I$2,MATCH($A8,Rango_Admin_Clas_Primera,0)+1),"-")</f>
        <v>0</v>
      </c>
      <c r="J8" s="92" cm="1">
        <f t="array" aca="1" ref="J8" ca="1">IFERROR(INDEX(Rango_Admin_Clas_Total,J$2,MATCH($A8,Rango_Admin_Clas_Primera,0)+1),"-")</f>
        <v>0</v>
      </c>
      <c r="K8" s="92" cm="1">
        <f t="array" aca="1" ref="K8" ca="1">IFERROR(INDEX(Rango_Admin_Clas_Total,K$2,MATCH($A8,Rango_Admin_Clas_Primera,0)+1),"-")</f>
        <v>0</v>
      </c>
      <c r="L8" s="92" cm="1">
        <f t="array" aca="1" ref="L8" ca="1">IFERROR(INDEX(Rango_Admin_Clas_Total,L$2,MATCH($A8,Rango_Admin_Clas_Primera,0)+1),"-")</f>
        <v>0</v>
      </c>
      <c r="M8" s="92" cm="1">
        <f t="array" aca="1" ref="M8" ca="1">IFERROR(INDEX(Rango_Admin_Clas_Total,M$2,MATCH($A8,Rango_Admin_Clas_Primera,0)+1),"-")</f>
        <v>0</v>
      </c>
      <c r="N8" s="92" cm="1">
        <f t="array" aca="1" ref="N8" ca="1">IFERROR(INDEX(Rango_Admin_Clas_Total,N$2,MATCH($A8,Rango_Admin_Clas_Primera,0)+1),"-")</f>
        <v>0</v>
      </c>
      <c r="O8" s="92" cm="1">
        <f t="array" aca="1" ref="O8" ca="1">IFERROR(INDEX(Rango_Admin_Clas_Total,O$2,MATCH($A8,Rango_Admin_Clas_Primera,0)+1),"-")</f>
        <v>0</v>
      </c>
      <c r="P8" s="92" cm="1">
        <f t="array" aca="1" ref="P8" ca="1">IFERROR(INDEX(Rango_Admin_Clas_Total,P$2,MATCH($A8,Rango_Admin_Clas_Primera,0)+1),"-")</f>
        <v>0</v>
      </c>
      <c r="Q8" s="92" cm="1">
        <f t="array" aca="1" ref="Q8" ca="1">IFERROR(INDEX(Rango_Admin_Clas_Total,Q$2,MATCH($A8,Rango_Admin_Clas_Primera,0)+1),"-")</f>
        <v>0</v>
      </c>
      <c r="R8" s="92" cm="1">
        <f t="array" aca="1" ref="R8" ca="1">IFERROR(INDEX(Rango_Admin_Clas_Total,R$2,MATCH($A8,Rango_Admin_Clas_Primera,0)+1),"-")</f>
        <v>0</v>
      </c>
      <c r="S8" s="92" cm="1">
        <f t="array" aca="1" ref="S8" ca="1">IFERROR(INDEX(Rango_Admin_Clas_Total,S$2,MATCH($A8,Rango_Admin_Clas_Primera,0)+1),"-")</f>
        <v>0</v>
      </c>
      <c r="T8" s="297"/>
      <c r="U8" s="297"/>
    </row>
    <row r="9" spans="1:21">
      <c r="A9" s="19">
        <f t="shared" si="0"/>
        <v>5</v>
      </c>
      <c r="B9" s="22">
        <f ca="1">IFERROR(HLOOKUP(A9,Rango_Admin_Clas,3,FALSE),"-")</f>
        <v>5</v>
      </c>
      <c r="C9" s="18" t="str">
        <f ca="1">IFERROR(HLOOKUP(A9,Rango_Admin_Clas,5,FALSE),"-")</f>
        <v>MURO 204</v>
      </c>
      <c r="D9" s="91">
        <f ca="1">IFERROR(HLOOKUP(A9,Rango_Admin_Clas,4,FALSE),"-")</f>
        <v>39</v>
      </c>
      <c r="E9" s="92" cm="1">
        <f t="array" aca="1" ref="E9" ca="1">IFERROR(INDEX(Rango_Admin_Clas_Total,E$2,MATCH($A9,Rango_Admin_Clas_Primera,0)+1),"-")</f>
        <v>39</v>
      </c>
      <c r="F9" s="92" cm="1">
        <f t="array" aca="1" ref="F9" ca="1">IFERROR(INDEX(Rango_Admin_Clas_Total,F$2,MATCH($A9,Rango_Admin_Clas_Primera,0)+1),"-")</f>
        <v>0</v>
      </c>
      <c r="G9" s="92" cm="1">
        <f t="array" aca="1" ref="G9" ca="1">IFERROR(INDEX(Rango_Admin_Clas_Total,G$2,MATCH($A9,Rango_Admin_Clas_Primera,0)+1),"-")</f>
        <v>0</v>
      </c>
      <c r="H9" s="92" cm="1">
        <f t="array" aca="1" ref="H9" ca="1">IFERROR(INDEX(Rango_Admin_Clas_Total,H$2,MATCH($A9,Rango_Admin_Clas_Primera,0)+1),"-")</f>
        <v>0</v>
      </c>
      <c r="I9" s="92" cm="1">
        <f t="array" aca="1" ref="I9" ca="1">IFERROR(INDEX(Rango_Admin_Clas_Total,I$2,MATCH($A9,Rango_Admin_Clas_Primera,0)+1),"-")</f>
        <v>0</v>
      </c>
      <c r="J9" s="92" cm="1">
        <f t="array" aca="1" ref="J9" ca="1">IFERROR(INDEX(Rango_Admin_Clas_Total,J$2,MATCH($A9,Rango_Admin_Clas_Primera,0)+1),"-")</f>
        <v>0</v>
      </c>
      <c r="K9" s="92" cm="1">
        <f t="array" aca="1" ref="K9" ca="1">IFERROR(INDEX(Rango_Admin_Clas_Total,K$2,MATCH($A9,Rango_Admin_Clas_Primera,0)+1),"-")</f>
        <v>0</v>
      </c>
      <c r="L9" s="92" cm="1">
        <f t="array" aca="1" ref="L9" ca="1">IFERROR(INDEX(Rango_Admin_Clas_Total,L$2,MATCH($A9,Rango_Admin_Clas_Primera,0)+1),"-")</f>
        <v>0</v>
      </c>
      <c r="M9" s="92" cm="1">
        <f t="array" aca="1" ref="M9" ca="1">IFERROR(INDEX(Rango_Admin_Clas_Total,M$2,MATCH($A9,Rango_Admin_Clas_Primera,0)+1),"-")</f>
        <v>0</v>
      </c>
      <c r="N9" s="92" cm="1">
        <f t="array" aca="1" ref="N9" ca="1">IFERROR(INDEX(Rango_Admin_Clas_Total,N$2,MATCH($A9,Rango_Admin_Clas_Primera,0)+1),"-")</f>
        <v>0</v>
      </c>
      <c r="O9" s="92" cm="1">
        <f t="array" aca="1" ref="O9" ca="1">IFERROR(INDEX(Rango_Admin_Clas_Total,O$2,MATCH($A9,Rango_Admin_Clas_Primera,0)+1),"-")</f>
        <v>0</v>
      </c>
      <c r="P9" s="92" cm="1">
        <f t="array" aca="1" ref="P9" ca="1">IFERROR(INDEX(Rango_Admin_Clas_Total,P$2,MATCH($A9,Rango_Admin_Clas_Primera,0)+1),"-")</f>
        <v>0</v>
      </c>
      <c r="Q9" s="92" cm="1">
        <f t="array" aca="1" ref="Q9" ca="1">IFERROR(INDEX(Rango_Admin_Clas_Total,Q$2,MATCH($A9,Rango_Admin_Clas_Primera,0)+1),"-")</f>
        <v>0</v>
      </c>
      <c r="R9" s="92" cm="1">
        <f t="array" aca="1" ref="R9" ca="1">IFERROR(INDEX(Rango_Admin_Clas_Total,R$2,MATCH($A9,Rango_Admin_Clas_Primera,0)+1),"-")</f>
        <v>0</v>
      </c>
      <c r="S9" s="92" cm="1">
        <f t="array" aca="1" ref="S9" ca="1">IFERROR(INDEX(Rango_Admin_Clas_Total,S$2,MATCH($A9,Rango_Admin_Clas_Primera,0)+1),"-")</f>
        <v>0</v>
      </c>
      <c r="T9" s="297"/>
      <c r="U9" s="297"/>
    </row>
    <row r="10" spans="1:21">
      <c r="A10" s="19">
        <f t="shared" si="0"/>
        <v>6</v>
      </c>
      <c r="B10" s="22">
        <f ca="1">IFERROR(HLOOKUP(A10,Rango_Admin_Clas,3,FALSE),"-")</f>
        <v>5</v>
      </c>
      <c r="C10" s="18" t="str">
        <f ca="1">IFERROR(HLOOKUP(A10,Rango_Admin_Clas,5,FALSE),"-")</f>
        <v>KIRICOCHO</v>
      </c>
      <c r="D10" s="91">
        <f ca="1">IFERROR(HLOOKUP(A10,Rango_Admin_Clas,4,FALSE),"-")</f>
        <v>39</v>
      </c>
      <c r="E10" s="92" cm="1">
        <f t="array" aca="1" ref="E10" ca="1">IFERROR(INDEX(Rango_Admin_Clas_Total,E$2,MATCH($A10,Rango_Admin_Clas_Primera,0)+1),"-")</f>
        <v>39</v>
      </c>
      <c r="F10" s="92" cm="1">
        <f t="array" aca="1" ref="F10" ca="1">IFERROR(INDEX(Rango_Admin_Clas_Total,F$2,MATCH($A10,Rango_Admin_Clas_Primera,0)+1),"-")</f>
        <v>0</v>
      </c>
      <c r="G10" s="92" cm="1">
        <f t="array" aca="1" ref="G10" ca="1">IFERROR(INDEX(Rango_Admin_Clas_Total,G$2,MATCH($A10,Rango_Admin_Clas_Primera,0)+1),"-")</f>
        <v>0</v>
      </c>
      <c r="H10" s="92" cm="1">
        <f t="array" aca="1" ref="H10" ca="1">IFERROR(INDEX(Rango_Admin_Clas_Total,H$2,MATCH($A10,Rango_Admin_Clas_Primera,0)+1),"-")</f>
        <v>0</v>
      </c>
      <c r="I10" s="92" cm="1">
        <f t="array" aca="1" ref="I10" ca="1">IFERROR(INDEX(Rango_Admin_Clas_Total,I$2,MATCH($A10,Rango_Admin_Clas_Primera,0)+1),"-")</f>
        <v>0</v>
      </c>
      <c r="J10" s="92" cm="1">
        <f t="array" aca="1" ref="J10" ca="1">IFERROR(INDEX(Rango_Admin_Clas_Total,J$2,MATCH($A10,Rango_Admin_Clas_Primera,0)+1),"-")</f>
        <v>0</v>
      </c>
      <c r="K10" s="92" cm="1">
        <f t="array" aca="1" ref="K10" ca="1">IFERROR(INDEX(Rango_Admin_Clas_Total,K$2,MATCH($A10,Rango_Admin_Clas_Primera,0)+1),"-")</f>
        <v>0</v>
      </c>
      <c r="L10" s="92" cm="1">
        <f t="array" aca="1" ref="L10" ca="1">IFERROR(INDEX(Rango_Admin_Clas_Total,L$2,MATCH($A10,Rango_Admin_Clas_Primera,0)+1),"-")</f>
        <v>0</v>
      </c>
      <c r="M10" s="92" cm="1">
        <f t="array" aca="1" ref="M10" ca="1">IFERROR(INDEX(Rango_Admin_Clas_Total,M$2,MATCH($A10,Rango_Admin_Clas_Primera,0)+1),"-")</f>
        <v>0</v>
      </c>
      <c r="N10" s="92" cm="1">
        <f t="array" aca="1" ref="N10" ca="1">IFERROR(INDEX(Rango_Admin_Clas_Total,N$2,MATCH($A10,Rango_Admin_Clas_Primera,0)+1),"-")</f>
        <v>0</v>
      </c>
      <c r="O10" s="92" cm="1">
        <f t="array" aca="1" ref="O10" ca="1">IFERROR(INDEX(Rango_Admin_Clas_Total,O$2,MATCH($A10,Rango_Admin_Clas_Primera,0)+1),"-")</f>
        <v>0</v>
      </c>
      <c r="P10" s="92" cm="1">
        <f t="array" aca="1" ref="P10" ca="1">IFERROR(INDEX(Rango_Admin_Clas_Total,P$2,MATCH($A10,Rango_Admin_Clas_Primera,0)+1),"-")</f>
        <v>0</v>
      </c>
      <c r="Q10" s="92" cm="1">
        <f t="array" aca="1" ref="Q10" ca="1">IFERROR(INDEX(Rango_Admin_Clas_Total,Q$2,MATCH($A10,Rango_Admin_Clas_Primera,0)+1),"-")</f>
        <v>0</v>
      </c>
      <c r="R10" s="92" cm="1">
        <f t="array" aca="1" ref="R10" ca="1">IFERROR(INDEX(Rango_Admin_Clas_Total,R$2,MATCH($A10,Rango_Admin_Clas_Primera,0)+1),"-")</f>
        <v>0</v>
      </c>
      <c r="S10" s="92" cm="1">
        <f t="array" aca="1" ref="S10" ca="1">IFERROR(INDEX(Rango_Admin_Clas_Total,S$2,MATCH($A10,Rango_Admin_Clas_Primera,0)+1),"-")</f>
        <v>0</v>
      </c>
      <c r="T10" s="297"/>
      <c r="U10" s="297"/>
    </row>
    <row r="11" spans="1:21">
      <c r="A11" s="19">
        <f t="shared" si="0"/>
        <v>7</v>
      </c>
      <c r="B11" s="22">
        <f ca="1">IFERROR(HLOOKUP(A11,Rango_Admin_Clas,3,FALSE),"-")</f>
        <v>7</v>
      </c>
      <c r="C11" s="18" t="str">
        <f ca="1">IFERROR(HLOOKUP(A11,Rango_Admin_Clas,5,FALSE),"-")</f>
        <v>Alejandro Lafuente</v>
      </c>
      <c r="D11" s="91">
        <f ca="1">IFERROR(HLOOKUP(A11,Rango_Admin_Clas,4,FALSE),"-")</f>
        <v>37</v>
      </c>
      <c r="E11" s="92" cm="1">
        <f t="array" aca="1" ref="E11" ca="1">IFERROR(INDEX(Rango_Admin_Clas_Total,E$2,MATCH($A11,Rango_Admin_Clas_Primera,0)+1),"-")</f>
        <v>37</v>
      </c>
      <c r="F11" s="92" cm="1">
        <f t="array" aca="1" ref="F11" ca="1">IFERROR(INDEX(Rango_Admin_Clas_Total,F$2,MATCH($A11,Rango_Admin_Clas_Primera,0)+1),"-")</f>
        <v>0</v>
      </c>
      <c r="G11" s="92" cm="1">
        <f t="array" aca="1" ref="G11" ca="1">IFERROR(INDEX(Rango_Admin_Clas_Total,G$2,MATCH($A11,Rango_Admin_Clas_Primera,0)+1),"-")</f>
        <v>0</v>
      </c>
      <c r="H11" s="92" cm="1">
        <f t="array" aca="1" ref="H11" ca="1">IFERROR(INDEX(Rango_Admin_Clas_Total,H$2,MATCH($A11,Rango_Admin_Clas_Primera,0)+1),"-")</f>
        <v>0</v>
      </c>
      <c r="I11" s="92" cm="1">
        <f t="array" aca="1" ref="I11" ca="1">IFERROR(INDEX(Rango_Admin_Clas_Total,I$2,MATCH($A11,Rango_Admin_Clas_Primera,0)+1),"-")</f>
        <v>0</v>
      </c>
      <c r="J11" s="92" cm="1">
        <f t="array" aca="1" ref="J11" ca="1">IFERROR(INDEX(Rango_Admin_Clas_Total,J$2,MATCH($A11,Rango_Admin_Clas_Primera,0)+1),"-")</f>
        <v>0</v>
      </c>
      <c r="K11" s="92" cm="1">
        <f t="array" aca="1" ref="K11" ca="1">IFERROR(INDEX(Rango_Admin_Clas_Total,K$2,MATCH($A11,Rango_Admin_Clas_Primera,0)+1),"-")</f>
        <v>0</v>
      </c>
      <c r="L11" s="92" cm="1">
        <f t="array" aca="1" ref="L11" ca="1">IFERROR(INDEX(Rango_Admin_Clas_Total,L$2,MATCH($A11,Rango_Admin_Clas_Primera,0)+1),"-")</f>
        <v>0</v>
      </c>
      <c r="M11" s="92" cm="1">
        <f t="array" aca="1" ref="M11" ca="1">IFERROR(INDEX(Rango_Admin_Clas_Total,M$2,MATCH($A11,Rango_Admin_Clas_Primera,0)+1),"-")</f>
        <v>0</v>
      </c>
      <c r="N11" s="92" cm="1">
        <f t="array" aca="1" ref="N11" ca="1">IFERROR(INDEX(Rango_Admin_Clas_Total,N$2,MATCH($A11,Rango_Admin_Clas_Primera,0)+1),"-")</f>
        <v>0</v>
      </c>
      <c r="O11" s="92" cm="1">
        <f t="array" aca="1" ref="O11" ca="1">IFERROR(INDEX(Rango_Admin_Clas_Total,O$2,MATCH($A11,Rango_Admin_Clas_Primera,0)+1),"-")</f>
        <v>0</v>
      </c>
      <c r="P11" s="92" cm="1">
        <f t="array" aca="1" ref="P11" ca="1">IFERROR(INDEX(Rango_Admin_Clas_Total,P$2,MATCH($A11,Rango_Admin_Clas_Primera,0)+1),"-")</f>
        <v>0</v>
      </c>
      <c r="Q11" s="92" cm="1">
        <f t="array" aca="1" ref="Q11" ca="1">IFERROR(INDEX(Rango_Admin_Clas_Total,Q$2,MATCH($A11,Rango_Admin_Clas_Primera,0)+1),"-")</f>
        <v>0</v>
      </c>
      <c r="R11" s="92" cm="1">
        <f t="array" aca="1" ref="R11" ca="1">IFERROR(INDEX(Rango_Admin_Clas_Total,R$2,MATCH($A11,Rango_Admin_Clas_Primera,0)+1),"-")</f>
        <v>0</v>
      </c>
      <c r="S11" s="92" cm="1">
        <f t="array" aca="1" ref="S11" ca="1">IFERROR(INDEX(Rango_Admin_Clas_Total,S$2,MATCH($A11,Rango_Admin_Clas_Primera,0)+1),"-")</f>
        <v>0</v>
      </c>
      <c r="T11" s="297"/>
      <c r="U11" s="297"/>
    </row>
    <row r="12" spans="1:21">
      <c r="A12" s="19">
        <f t="shared" si="0"/>
        <v>8</v>
      </c>
      <c r="B12" s="22">
        <f ca="1">IFERROR(HLOOKUP(A12,Rango_Admin_Clas,3,FALSE),"-")</f>
        <v>7</v>
      </c>
      <c r="C12" s="18" t="str">
        <f ca="1">IFERROR(HLOOKUP(A12,Rango_Admin_Clas,5,FALSE),"-")</f>
        <v>Joserra</v>
      </c>
      <c r="D12" s="91">
        <f ca="1">IFERROR(HLOOKUP(A12,Rango_Admin_Clas,4,FALSE),"-")</f>
        <v>37</v>
      </c>
      <c r="E12" s="92" cm="1">
        <f t="array" aca="1" ref="E12" ca="1">IFERROR(INDEX(Rango_Admin_Clas_Total,E$2,MATCH($A12,Rango_Admin_Clas_Primera,0)+1),"-")</f>
        <v>37</v>
      </c>
      <c r="F12" s="92" cm="1">
        <f t="array" aca="1" ref="F12" ca="1">IFERROR(INDEX(Rango_Admin_Clas_Total,F$2,MATCH($A12,Rango_Admin_Clas_Primera,0)+1),"-")</f>
        <v>0</v>
      </c>
      <c r="G12" s="92" cm="1">
        <f t="array" aca="1" ref="G12" ca="1">IFERROR(INDEX(Rango_Admin_Clas_Total,G$2,MATCH($A12,Rango_Admin_Clas_Primera,0)+1),"-")</f>
        <v>0</v>
      </c>
      <c r="H12" s="92" cm="1">
        <f t="array" aca="1" ref="H12" ca="1">IFERROR(INDEX(Rango_Admin_Clas_Total,H$2,MATCH($A12,Rango_Admin_Clas_Primera,0)+1),"-")</f>
        <v>0</v>
      </c>
      <c r="I12" s="92" cm="1">
        <f t="array" aca="1" ref="I12" ca="1">IFERROR(INDEX(Rango_Admin_Clas_Total,I$2,MATCH($A12,Rango_Admin_Clas_Primera,0)+1),"-")</f>
        <v>0</v>
      </c>
      <c r="J12" s="92" cm="1">
        <f t="array" aca="1" ref="J12" ca="1">IFERROR(INDEX(Rango_Admin_Clas_Total,J$2,MATCH($A12,Rango_Admin_Clas_Primera,0)+1),"-")</f>
        <v>0</v>
      </c>
      <c r="K12" s="92" cm="1">
        <f t="array" aca="1" ref="K12" ca="1">IFERROR(INDEX(Rango_Admin_Clas_Total,K$2,MATCH($A12,Rango_Admin_Clas_Primera,0)+1),"-")</f>
        <v>0</v>
      </c>
      <c r="L12" s="92" cm="1">
        <f t="array" aca="1" ref="L12" ca="1">IFERROR(INDEX(Rango_Admin_Clas_Total,L$2,MATCH($A12,Rango_Admin_Clas_Primera,0)+1),"-")</f>
        <v>0</v>
      </c>
      <c r="M12" s="92" cm="1">
        <f t="array" aca="1" ref="M12" ca="1">IFERROR(INDEX(Rango_Admin_Clas_Total,M$2,MATCH($A12,Rango_Admin_Clas_Primera,0)+1),"-")</f>
        <v>0</v>
      </c>
      <c r="N12" s="92" cm="1">
        <f t="array" aca="1" ref="N12" ca="1">IFERROR(INDEX(Rango_Admin_Clas_Total,N$2,MATCH($A12,Rango_Admin_Clas_Primera,0)+1),"-")</f>
        <v>0</v>
      </c>
      <c r="O12" s="92" cm="1">
        <f t="array" aca="1" ref="O12" ca="1">IFERROR(INDEX(Rango_Admin_Clas_Total,O$2,MATCH($A12,Rango_Admin_Clas_Primera,0)+1),"-")</f>
        <v>0</v>
      </c>
      <c r="P12" s="92" cm="1">
        <f t="array" aca="1" ref="P12" ca="1">IFERROR(INDEX(Rango_Admin_Clas_Total,P$2,MATCH($A12,Rango_Admin_Clas_Primera,0)+1),"-")</f>
        <v>0</v>
      </c>
      <c r="Q12" s="92" cm="1">
        <f t="array" aca="1" ref="Q12" ca="1">IFERROR(INDEX(Rango_Admin_Clas_Total,Q$2,MATCH($A12,Rango_Admin_Clas_Primera,0)+1),"-")</f>
        <v>0</v>
      </c>
      <c r="R12" s="92" cm="1">
        <f t="array" aca="1" ref="R12" ca="1">IFERROR(INDEX(Rango_Admin_Clas_Total,R$2,MATCH($A12,Rango_Admin_Clas_Primera,0)+1),"-")</f>
        <v>0</v>
      </c>
      <c r="S12" s="92" cm="1">
        <f t="array" aca="1" ref="S12" ca="1">IFERROR(INDEX(Rango_Admin_Clas_Total,S$2,MATCH($A12,Rango_Admin_Clas_Primera,0)+1),"-")</f>
        <v>0</v>
      </c>
      <c r="T12" s="297"/>
      <c r="U12" s="297"/>
    </row>
    <row r="13" spans="1:21">
      <c r="A13" s="19">
        <f t="shared" si="0"/>
        <v>9</v>
      </c>
      <c r="B13" s="22">
        <f ca="1">IFERROR(HLOOKUP(A13,Rango_Admin_Clas,3,FALSE),"-")</f>
        <v>7</v>
      </c>
      <c r="C13" s="18" t="str">
        <f ca="1">IFERROR(HLOOKUP(A13,Rango_Admin_Clas,5,FALSE),"-")</f>
        <v>Lucas Oriol</v>
      </c>
      <c r="D13" s="91">
        <f ca="1">IFERROR(HLOOKUP(A13,Rango_Admin_Clas,4,FALSE),"-")</f>
        <v>37</v>
      </c>
      <c r="E13" s="92" cm="1">
        <f t="array" aca="1" ref="E13" ca="1">IFERROR(INDEX(Rango_Admin_Clas_Total,E$2,MATCH($A13,Rango_Admin_Clas_Primera,0)+1),"-")</f>
        <v>37</v>
      </c>
      <c r="F13" s="92" cm="1">
        <f t="array" aca="1" ref="F13" ca="1">IFERROR(INDEX(Rango_Admin_Clas_Total,F$2,MATCH($A13,Rango_Admin_Clas_Primera,0)+1),"-")</f>
        <v>0</v>
      </c>
      <c r="G13" s="92" cm="1">
        <f t="array" aca="1" ref="G13" ca="1">IFERROR(INDEX(Rango_Admin_Clas_Total,G$2,MATCH($A13,Rango_Admin_Clas_Primera,0)+1),"-")</f>
        <v>0</v>
      </c>
      <c r="H13" s="92" cm="1">
        <f t="array" aca="1" ref="H13" ca="1">IFERROR(INDEX(Rango_Admin_Clas_Total,H$2,MATCH($A13,Rango_Admin_Clas_Primera,0)+1),"-")</f>
        <v>0</v>
      </c>
      <c r="I13" s="92" cm="1">
        <f t="array" aca="1" ref="I13" ca="1">IFERROR(INDEX(Rango_Admin_Clas_Total,I$2,MATCH($A13,Rango_Admin_Clas_Primera,0)+1),"-")</f>
        <v>0</v>
      </c>
      <c r="J13" s="92" cm="1">
        <f t="array" aca="1" ref="J13" ca="1">IFERROR(INDEX(Rango_Admin_Clas_Total,J$2,MATCH($A13,Rango_Admin_Clas_Primera,0)+1),"-")</f>
        <v>0</v>
      </c>
      <c r="K13" s="92" cm="1">
        <f t="array" aca="1" ref="K13" ca="1">IFERROR(INDEX(Rango_Admin_Clas_Total,K$2,MATCH($A13,Rango_Admin_Clas_Primera,0)+1),"-")</f>
        <v>0</v>
      </c>
      <c r="L13" s="92" cm="1">
        <f t="array" aca="1" ref="L13" ca="1">IFERROR(INDEX(Rango_Admin_Clas_Total,L$2,MATCH($A13,Rango_Admin_Clas_Primera,0)+1),"-")</f>
        <v>0</v>
      </c>
      <c r="M13" s="92" cm="1">
        <f t="array" aca="1" ref="M13" ca="1">IFERROR(INDEX(Rango_Admin_Clas_Total,M$2,MATCH($A13,Rango_Admin_Clas_Primera,0)+1),"-")</f>
        <v>0</v>
      </c>
      <c r="N13" s="92" cm="1">
        <f t="array" aca="1" ref="N13" ca="1">IFERROR(INDEX(Rango_Admin_Clas_Total,N$2,MATCH($A13,Rango_Admin_Clas_Primera,0)+1),"-")</f>
        <v>0</v>
      </c>
      <c r="O13" s="92" cm="1">
        <f t="array" aca="1" ref="O13" ca="1">IFERROR(INDEX(Rango_Admin_Clas_Total,O$2,MATCH($A13,Rango_Admin_Clas_Primera,0)+1),"-")</f>
        <v>0</v>
      </c>
      <c r="P13" s="92" cm="1">
        <f t="array" aca="1" ref="P13" ca="1">IFERROR(INDEX(Rango_Admin_Clas_Total,P$2,MATCH($A13,Rango_Admin_Clas_Primera,0)+1),"-")</f>
        <v>0</v>
      </c>
      <c r="Q13" s="92" cm="1">
        <f t="array" aca="1" ref="Q13" ca="1">IFERROR(INDEX(Rango_Admin_Clas_Total,Q$2,MATCH($A13,Rango_Admin_Clas_Primera,0)+1),"-")</f>
        <v>0</v>
      </c>
      <c r="R13" s="92" cm="1">
        <f t="array" aca="1" ref="R13" ca="1">IFERROR(INDEX(Rango_Admin_Clas_Total,R$2,MATCH($A13,Rango_Admin_Clas_Primera,0)+1),"-")</f>
        <v>0</v>
      </c>
      <c r="S13" s="92" cm="1">
        <f t="array" aca="1" ref="S13" ca="1">IFERROR(INDEX(Rango_Admin_Clas_Total,S$2,MATCH($A13,Rango_Admin_Clas_Primera,0)+1),"-")</f>
        <v>0</v>
      </c>
      <c r="T13" s="297"/>
      <c r="U13" s="297"/>
    </row>
    <row r="14" spans="1:21">
      <c r="A14" s="19">
        <f t="shared" si="0"/>
        <v>10</v>
      </c>
      <c r="B14" s="22">
        <f ca="1">IFERROR(HLOOKUP(A14,Rango_Admin_Clas,3,FALSE),"-")</f>
        <v>7</v>
      </c>
      <c r="C14" s="18" t="str">
        <f ca="1">IFERROR(HLOOKUP(A14,Rango_Admin_Clas,5,FALSE),"-")</f>
        <v>Alexander Schulte</v>
      </c>
      <c r="D14" s="91">
        <f ca="1">IFERROR(HLOOKUP(A14,Rango_Admin_Clas,4,FALSE),"-")</f>
        <v>37</v>
      </c>
      <c r="E14" s="92" cm="1">
        <f t="array" aca="1" ref="E14" ca="1">IFERROR(INDEX(Rango_Admin_Clas_Total,E$2,MATCH($A14,Rango_Admin_Clas_Primera,0)+1),"-")</f>
        <v>37</v>
      </c>
      <c r="F14" s="92" cm="1">
        <f t="array" aca="1" ref="F14" ca="1">IFERROR(INDEX(Rango_Admin_Clas_Total,F$2,MATCH($A14,Rango_Admin_Clas_Primera,0)+1),"-")</f>
        <v>0</v>
      </c>
      <c r="G14" s="92" cm="1">
        <f t="array" aca="1" ref="G14" ca="1">IFERROR(INDEX(Rango_Admin_Clas_Total,G$2,MATCH($A14,Rango_Admin_Clas_Primera,0)+1),"-")</f>
        <v>0</v>
      </c>
      <c r="H14" s="92" cm="1">
        <f t="array" aca="1" ref="H14" ca="1">IFERROR(INDEX(Rango_Admin_Clas_Total,H$2,MATCH($A14,Rango_Admin_Clas_Primera,0)+1),"-")</f>
        <v>0</v>
      </c>
      <c r="I14" s="92" cm="1">
        <f t="array" aca="1" ref="I14" ca="1">IFERROR(INDEX(Rango_Admin_Clas_Total,I$2,MATCH($A14,Rango_Admin_Clas_Primera,0)+1),"-")</f>
        <v>0</v>
      </c>
      <c r="J14" s="92" cm="1">
        <f t="array" aca="1" ref="J14" ca="1">IFERROR(INDEX(Rango_Admin_Clas_Total,J$2,MATCH($A14,Rango_Admin_Clas_Primera,0)+1),"-")</f>
        <v>0</v>
      </c>
      <c r="K14" s="92" cm="1">
        <f t="array" aca="1" ref="K14" ca="1">IFERROR(INDEX(Rango_Admin_Clas_Total,K$2,MATCH($A14,Rango_Admin_Clas_Primera,0)+1),"-")</f>
        <v>0</v>
      </c>
      <c r="L14" s="92" cm="1">
        <f t="array" aca="1" ref="L14" ca="1">IFERROR(INDEX(Rango_Admin_Clas_Total,L$2,MATCH($A14,Rango_Admin_Clas_Primera,0)+1),"-")</f>
        <v>0</v>
      </c>
      <c r="M14" s="92" cm="1">
        <f t="array" aca="1" ref="M14" ca="1">IFERROR(INDEX(Rango_Admin_Clas_Total,M$2,MATCH($A14,Rango_Admin_Clas_Primera,0)+1),"-")</f>
        <v>0</v>
      </c>
      <c r="N14" s="92" cm="1">
        <f t="array" aca="1" ref="N14" ca="1">IFERROR(INDEX(Rango_Admin_Clas_Total,N$2,MATCH($A14,Rango_Admin_Clas_Primera,0)+1),"-")</f>
        <v>0</v>
      </c>
      <c r="O14" s="92" cm="1">
        <f t="array" aca="1" ref="O14" ca="1">IFERROR(INDEX(Rango_Admin_Clas_Total,O$2,MATCH($A14,Rango_Admin_Clas_Primera,0)+1),"-")</f>
        <v>0</v>
      </c>
      <c r="P14" s="92" cm="1">
        <f t="array" aca="1" ref="P14" ca="1">IFERROR(INDEX(Rango_Admin_Clas_Total,P$2,MATCH($A14,Rango_Admin_Clas_Primera,0)+1),"-")</f>
        <v>0</v>
      </c>
      <c r="Q14" s="92" cm="1">
        <f t="array" aca="1" ref="Q14" ca="1">IFERROR(INDEX(Rango_Admin_Clas_Total,Q$2,MATCH($A14,Rango_Admin_Clas_Primera,0)+1),"-")</f>
        <v>0</v>
      </c>
      <c r="R14" s="92" cm="1">
        <f t="array" aca="1" ref="R14" ca="1">IFERROR(INDEX(Rango_Admin_Clas_Total,R$2,MATCH($A14,Rango_Admin_Clas_Primera,0)+1),"-")</f>
        <v>0</v>
      </c>
      <c r="S14" s="92" cm="1">
        <f t="array" aca="1" ref="S14" ca="1">IFERROR(INDEX(Rango_Admin_Clas_Total,S$2,MATCH($A14,Rango_Admin_Clas_Primera,0)+1),"-")</f>
        <v>0</v>
      </c>
      <c r="T14" s="297"/>
      <c r="U14" s="297"/>
    </row>
    <row r="15" spans="1:21">
      <c r="A15" s="19">
        <f t="shared" si="0"/>
        <v>11</v>
      </c>
      <c r="B15" s="22">
        <f ca="1">IFERROR(HLOOKUP(A15,Rango_Admin_Clas,3,FALSE),"-")</f>
        <v>11</v>
      </c>
      <c r="C15" s="18" t="str">
        <f ca="1">IFERROR(HLOOKUP(A15,Rango_Admin_Clas,5,FALSE),"-")</f>
        <v>Jaime García de la Riva</v>
      </c>
      <c r="D15" s="91">
        <f ca="1">IFERROR(HLOOKUP(A15,Rango_Admin_Clas,4,FALSE),"-")</f>
        <v>36</v>
      </c>
      <c r="E15" s="92" cm="1">
        <f t="array" aca="1" ref="E15" ca="1">IFERROR(INDEX(Rango_Admin_Clas_Total,E$2,MATCH($A15,Rango_Admin_Clas_Primera,0)+1),"-")</f>
        <v>36</v>
      </c>
      <c r="F15" s="92" cm="1">
        <f t="array" aca="1" ref="F15" ca="1">IFERROR(INDEX(Rango_Admin_Clas_Total,F$2,MATCH($A15,Rango_Admin_Clas_Primera,0)+1),"-")</f>
        <v>0</v>
      </c>
      <c r="G15" s="92" cm="1">
        <f t="array" aca="1" ref="G15" ca="1">IFERROR(INDEX(Rango_Admin_Clas_Total,G$2,MATCH($A15,Rango_Admin_Clas_Primera,0)+1),"-")</f>
        <v>0</v>
      </c>
      <c r="H15" s="92" cm="1">
        <f t="array" aca="1" ref="H15" ca="1">IFERROR(INDEX(Rango_Admin_Clas_Total,H$2,MATCH($A15,Rango_Admin_Clas_Primera,0)+1),"-")</f>
        <v>0</v>
      </c>
      <c r="I15" s="92" cm="1">
        <f t="array" aca="1" ref="I15" ca="1">IFERROR(INDEX(Rango_Admin_Clas_Total,I$2,MATCH($A15,Rango_Admin_Clas_Primera,0)+1),"-")</f>
        <v>0</v>
      </c>
      <c r="J15" s="92" cm="1">
        <f t="array" aca="1" ref="J15" ca="1">IFERROR(INDEX(Rango_Admin_Clas_Total,J$2,MATCH($A15,Rango_Admin_Clas_Primera,0)+1),"-")</f>
        <v>0</v>
      </c>
      <c r="K15" s="92" cm="1">
        <f t="array" aca="1" ref="K15" ca="1">IFERROR(INDEX(Rango_Admin_Clas_Total,K$2,MATCH($A15,Rango_Admin_Clas_Primera,0)+1),"-")</f>
        <v>0</v>
      </c>
      <c r="L15" s="92" cm="1">
        <f t="array" aca="1" ref="L15" ca="1">IFERROR(INDEX(Rango_Admin_Clas_Total,L$2,MATCH($A15,Rango_Admin_Clas_Primera,0)+1),"-")</f>
        <v>0</v>
      </c>
      <c r="M15" s="92" cm="1">
        <f t="array" aca="1" ref="M15" ca="1">IFERROR(INDEX(Rango_Admin_Clas_Total,M$2,MATCH($A15,Rango_Admin_Clas_Primera,0)+1),"-")</f>
        <v>0</v>
      </c>
      <c r="N15" s="92" cm="1">
        <f t="array" aca="1" ref="N15" ca="1">IFERROR(INDEX(Rango_Admin_Clas_Total,N$2,MATCH($A15,Rango_Admin_Clas_Primera,0)+1),"-")</f>
        <v>0</v>
      </c>
      <c r="O15" s="92" cm="1">
        <f t="array" aca="1" ref="O15" ca="1">IFERROR(INDEX(Rango_Admin_Clas_Total,O$2,MATCH($A15,Rango_Admin_Clas_Primera,0)+1),"-")</f>
        <v>0</v>
      </c>
      <c r="P15" s="92" cm="1">
        <f t="array" aca="1" ref="P15" ca="1">IFERROR(INDEX(Rango_Admin_Clas_Total,P$2,MATCH($A15,Rango_Admin_Clas_Primera,0)+1),"-")</f>
        <v>0</v>
      </c>
      <c r="Q15" s="92" cm="1">
        <f t="array" aca="1" ref="Q15" ca="1">IFERROR(INDEX(Rango_Admin_Clas_Total,Q$2,MATCH($A15,Rango_Admin_Clas_Primera,0)+1),"-")</f>
        <v>0</v>
      </c>
      <c r="R15" s="92" cm="1">
        <f t="array" aca="1" ref="R15" ca="1">IFERROR(INDEX(Rango_Admin_Clas_Total,R$2,MATCH($A15,Rango_Admin_Clas_Primera,0)+1),"-")</f>
        <v>0</v>
      </c>
      <c r="S15" s="92" cm="1">
        <f t="array" aca="1" ref="S15" ca="1">IFERROR(INDEX(Rango_Admin_Clas_Total,S$2,MATCH($A15,Rango_Admin_Clas_Primera,0)+1),"-")</f>
        <v>0</v>
      </c>
      <c r="T15" s="297"/>
      <c r="U15" s="297"/>
    </row>
    <row r="16" spans="1:21">
      <c r="A16" s="19">
        <f t="shared" si="0"/>
        <v>12</v>
      </c>
      <c r="B16" s="22">
        <f ca="1">IFERROR(HLOOKUP(A16,Rango_Admin_Clas,3,FALSE),"-")</f>
        <v>11</v>
      </c>
      <c r="C16" s="18" t="str">
        <f ca="1">IFERROR(HLOOKUP(A16,Rango_Admin_Clas,5,FALSE),"-")</f>
        <v>Gratacós</v>
      </c>
      <c r="D16" s="91">
        <f ca="1">IFERROR(HLOOKUP(A16,Rango_Admin_Clas,4,FALSE),"-")</f>
        <v>36</v>
      </c>
      <c r="E16" s="92" cm="1">
        <f t="array" aca="1" ref="E16" ca="1">IFERROR(INDEX(Rango_Admin_Clas_Total,E$2,MATCH($A16,Rango_Admin_Clas_Primera,0)+1),"-")</f>
        <v>36</v>
      </c>
      <c r="F16" s="92" cm="1">
        <f t="array" aca="1" ref="F16" ca="1">IFERROR(INDEX(Rango_Admin_Clas_Total,F$2,MATCH($A16,Rango_Admin_Clas_Primera,0)+1),"-")</f>
        <v>0</v>
      </c>
      <c r="G16" s="92" cm="1">
        <f t="array" aca="1" ref="G16" ca="1">IFERROR(INDEX(Rango_Admin_Clas_Total,G$2,MATCH($A16,Rango_Admin_Clas_Primera,0)+1),"-")</f>
        <v>0</v>
      </c>
      <c r="H16" s="92" cm="1">
        <f t="array" aca="1" ref="H16" ca="1">IFERROR(INDEX(Rango_Admin_Clas_Total,H$2,MATCH($A16,Rango_Admin_Clas_Primera,0)+1),"-")</f>
        <v>0</v>
      </c>
      <c r="I16" s="92" cm="1">
        <f t="array" aca="1" ref="I16" ca="1">IFERROR(INDEX(Rango_Admin_Clas_Total,I$2,MATCH($A16,Rango_Admin_Clas_Primera,0)+1),"-")</f>
        <v>0</v>
      </c>
      <c r="J16" s="92" cm="1">
        <f t="array" aca="1" ref="J16" ca="1">IFERROR(INDEX(Rango_Admin_Clas_Total,J$2,MATCH($A16,Rango_Admin_Clas_Primera,0)+1),"-")</f>
        <v>0</v>
      </c>
      <c r="K16" s="92" cm="1">
        <f t="array" aca="1" ref="K16" ca="1">IFERROR(INDEX(Rango_Admin_Clas_Total,K$2,MATCH($A16,Rango_Admin_Clas_Primera,0)+1),"-")</f>
        <v>0</v>
      </c>
      <c r="L16" s="92" cm="1">
        <f t="array" aca="1" ref="L16" ca="1">IFERROR(INDEX(Rango_Admin_Clas_Total,L$2,MATCH($A16,Rango_Admin_Clas_Primera,0)+1),"-")</f>
        <v>0</v>
      </c>
      <c r="M16" s="92" cm="1">
        <f t="array" aca="1" ref="M16" ca="1">IFERROR(INDEX(Rango_Admin_Clas_Total,M$2,MATCH($A16,Rango_Admin_Clas_Primera,0)+1),"-")</f>
        <v>0</v>
      </c>
      <c r="N16" s="92" cm="1">
        <f t="array" aca="1" ref="N16" ca="1">IFERROR(INDEX(Rango_Admin_Clas_Total,N$2,MATCH($A16,Rango_Admin_Clas_Primera,0)+1),"-")</f>
        <v>0</v>
      </c>
      <c r="O16" s="92" cm="1">
        <f t="array" aca="1" ref="O16" ca="1">IFERROR(INDEX(Rango_Admin_Clas_Total,O$2,MATCH($A16,Rango_Admin_Clas_Primera,0)+1),"-")</f>
        <v>0</v>
      </c>
      <c r="P16" s="92" cm="1">
        <f t="array" aca="1" ref="P16" ca="1">IFERROR(INDEX(Rango_Admin_Clas_Total,P$2,MATCH($A16,Rango_Admin_Clas_Primera,0)+1),"-")</f>
        <v>0</v>
      </c>
      <c r="Q16" s="92" cm="1">
        <f t="array" aca="1" ref="Q16" ca="1">IFERROR(INDEX(Rango_Admin_Clas_Total,Q$2,MATCH($A16,Rango_Admin_Clas_Primera,0)+1),"-")</f>
        <v>0</v>
      </c>
      <c r="R16" s="92" cm="1">
        <f t="array" aca="1" ref="R16" ca="1">IFERROR(INDEX(Rango_Admin_Clas_Total,R$2,MATCH($A16,Rango_Admin_Clas_Primera,0)+1),"-")</f>
        <v>0</v>
      </c>
      <c r="S16" s="92" cm="1">
        <f t="array" aca="1" ref="S16" ca="1">IFERROR(INDEX(Rango_Admin_Clas_Total,S$2,MATCH($A16,Rango_Admin_Clas_Primera,0)+1),"-")</f>
        <v>0</v>
      </c>
      <c r="T16" s="297"/>
      <c r="U16" s="297"/>
    </row>
    <row r="17" spans="1:21">
      <c r="A17" s="19">
        <f t="shared" si="0"/>
        <v>13</v>
      </c>
      <c r="B17" s="22">
        <f ca="1">IFERROR(HLOOKUP(A17,Rango_Admin_Clas,3,FALSE),"-")</f>
        <v>13</v>
      </c>
      <c r="C17" s="18" t="str">
        <f ca="1">IFERROR(HLOOKUP(A17,Rango_Admin_Clas,5,FALSE),"-")</f>
        <v>JCU</v>
      </c>
      <c r="D17" s="91">
        <f ca="1">IFERROR(HLOOKUP(A17,Rango_Admin_Clas,4,FALSE),"-")</f>
        <v>35</v>
      </c>
      <c r="E17" s="92" cm="1">
        <f t="array" aca="1" ref="E17" ca="1">IFERROR(INDEX(Rango_Admin_Clas_Total,E$2,MATCH($A17,Rango_Admin_Clas_Primera,0)+1),"-")</f>
        <v>35</v>
      </c>
      <c r="F17" s="92" cm="1">
        <f t="array" aca="1" ref="F17" ca="1">IFERROR(INDEX(Rango_Admin_Clas_Total,F$2,MATCH($A17,Rango_Admin_Clas_Primera,0)+1),"-")</f>
        <v>0</v>
      </c>
      <c r="G17" s="92" cm="1">
        <f t="array" aca="1" ref="G17" ca="1">IFERROR(INDEX(Rango_Admin_Clas_Total,G$2,MATCH($A17,Rango_Admin_Clas_Primera,0)+1),"-")</f>
        <v>0</v>
      </c>
      <c r="H17" s="92" cm="1">
        <f t="array" aca="1" ref="H17" ca="1">IFERROR(INDEX(Rango_Admin_Clas_Total,H$2,MATCH($A17,Rango_Admin_Clas_Primera,0)+1),"-")</f>
        <v>0</v>
      </c>
      <c r="I17" s="92" cm="1">
        <f t="array" aca="1" ref="I17" ca="1">IFERROR(INDEX(Rango_Admin_Clas_Total,I$2,MATCH($A17,Rango_Admin_Clas_Primera,0)+1),"-")</f>
        <v>0</v>
      </c>
      <c r="J17" s="92" cm="1">
        <f t="array" aca="1" ref="J17" ca="1">IFERROR(INDEX(Rango_Admin_Clas_Total,J$2,MATCH($A17,Rango_Admin_Clas_Primera,0)+1),"-")</f>
        <v>0</v>
      </c>
      <c r="K17" s="92" cm="1">
        <f t="array" aca="1" ref="K17" ca="1">IFERROR(INDEX(Rango_Admin_Clas_Total,K$2,MATCH($A17,Rango_Admin_Clas_Primera,0)+1),"-")</f>
        <v>0</v>
      </c>
      <c r="L17" s="92" cm="1">
        <f t="array" aca="1" ref="L17" ca="1">IFERROR(INDEX(Rango_Admin_Clas_Total,L$2,MATCH($A17,Rango_Admin_Clas_Primera,0)+1),"-")</f>
        <v>0</v>
      </c>
      <c r="M17" s="92" cm="1">
        <f t="array" aca="1" ref="M17" ca="1">IFERROR(INDEX(Rango_Admin_Clas_Total,M$2,MATCH($A17,Rango_Admin_Clas_Primera,0)+1),"-")</f>
        <v>0</v>
      </c>
      <c r="N17" s="92" cm="1">
        <f t="array" aca="1" ref="N17" ca="1">IFERROR(INDEX(Rango_Admin_Clas_Total,N$2,MATCH($A17,Rango_Admin_Clas_Primera,0)+1),"-")</f>
        <v>0</v>
      </c>
      <c r="O17" s="92" cm="1">
        <f t="array" aca="1" ref="O17" ca="1">IFERROR(INDEX(Rango_Admin_Clas_Total,O$2,MATCH($A17,Rango_Admin_Clas_Primera,0)+1),"-")</f>
        <v>0</v>
      </c>
      <c r="P17" s="92" cm="1">
        <f t="array" aca="1" ref="P17" ca="1">IFERROR(INDEX(Rango_Admin_Clas_Total,P$2,MATCH($A17,Rango_Admin_Clas_Primera,0)+1),"-")</f>
        <v>0</v>
      </c>
      <c r="Q17" s="92" cm="1">
        <f t="array" aca="1" ref="Q17" ca="1">IFERROR(INDEX(Rango_Admin_Clas_Total,Q$2,MATCH($A17,Rango_Admin_Clas_Primera,0)+1),"-")</f>
        <v>0</v>
      </c>
      <c r="R17" s="92" cm="1">
        <f t="array" aca="1" ref="R17" ca="1">IFERROR(INDEX(Rango_Admin_Clas_Total,R$2,MATCH($A17,Rango_Admin_Clas_Primera,0)+1),"-")</f>
        <v>0</v>
      </c>
      <c r="S17" s="92" cm="1">
        <f t="array" aca="1" ref="S17" ca="1">IFERROR(INDEX(Rango_Admin_Clas_Total,S$2,MATCH($A17,Rango_Admin_Clas_Primera,0)+1),"-")</f>
        <v>0</v>
      </c>
      <c r="T17" s="297"/>
      <c r="U17" s="297"/>
    </row>
    <row r="18" spans="1:21">
      <c r="A18" s="19">
        <f t="shared" si="0"/>
        <v>14</v>
      </c>
      <c r="B18" s="22">
        <f ca="1">IFERROR(HLOOKUP(A18,Rango_Admin_Clas,3,FALSE),"-")</f>
        <v>13</v>
      </c>
      <c r="C18" s="18" t="str">
        <f ca="1">IFERROR(HLOOKUP(A18,Rango_Admin_Clas,5,FALSE),"-")</f>
        <v>Antonio del Ojo</v>
      </c>
      <c r="D18" s="91">
        <f ca="1">IFERROR(HLOOKUP(A18,Rango_Admin_Clas,4,FALSE),"-")</f>
        <v>35</v>
      </c>
      <c r="E18" s="92" cm="1">
        <f t="array" aca="1" ref="E18" ca="1">IFERROR(INDEX(Rango_Admin_Clas_Total,E$2,MATCH($A18,Rango_Admin_Clas_Primera,0)+1),"-")</f>
        <v>35</v>
      </c>
      <c r="F18" s="92" cm="1">
        <f t="array" aca="1" ref="F18" ca="1">IFERROR(INDEX(Rango_Admin_Clas_Total,F$2,MATCH($A18,Rango_Admin_Clas_Primera,0)+1),"-")</f>
        <v>0</v>
      </c>
      <c r="G18" s="92" cm="1">
        <f t="array" aca="1" ref="G18" ca="1">IFERROR(INDEX(Rango_Admin_Clas_Total,G$2,MATCH($A18,Rango_Admin_Clas_Primera,0)+1),"-")</f>
        <v>0</v>
      </c>
      <c r="H18" s="92" cm="1">
        <f t="array" aca="1" ref="H18" ca="1">IFERROR(INDEX(Rango_Admin_Clas_Total,H$2,MATCH($A18,Rango_Admin_Clas_Primera,0)+1),"-")</f>
        <v>0</v>
      </c>
      <c r="I18" s="92" cm="1">
        <f t="array" aca="1" ref="I18" ca="1">IFERROR(INDEX(Rango_Admin_Clas_Total,I$2,MATCH($A18,Rango_Admin_Clas_Primera,0)+1),"-")</f>
        <v>0</v>
      </c>
      <c r="J18" s="92" cm="1">
        <f t="array" aca="1" ref="J18" ca="1">IFERROR(INDEX(Rango_Admin_Clas_Total,J$2,MATCH($A18,Rango_Admin_Clas_Primera,0)+1),"-")</f>
        <v>0</v>
      </c>
      <c r="K18" s="92" cm="1">
        <f t="array" aca="1" ref="K18" ca="1">IFERROR(INDEX(Rango_Admin_Clas_Total,K$2,MATCH($A18,Rango_Admin_Clas_Primera,0)+1),"-")</f>
        <v>0</v>
      </c>
      <c r="L18" s="92" cm="1">
        <f t="array" aca="1" ref="L18" ca="1">IFERROR(INDEX(Rango_Admin_Clas_Total,L$2,MATCH($A18,Rango_Admin_Clas_Primera,0)+1),"-")</f>
        <v>0</v>
      </c>
      <c r="M18" s="92" cm="1">
        <f t="array" aca="1" ref="M18" ca="1">IFERROR(INDEX(Rango_Admin_Clas_Total,M$2,MATCH($A18,Rango_Admin_Clas_Primera,0)+1),"-")</f>
        <v>0</v>
      </c>
      <c r="N18" s="92" cm="1">
        <f t="array" aca="1" ref="N18" ca="1">IFERROR(INDEX(Rango_Admin_Clas_Total,N$2,MATCH($A18,Rango_Admin_Clas_Primera,0)+1),"-")</f>
        <v>0</v>
      </c>
      <c r="O18" s="92" cm="1">
        <f t="array" aca="1" ref="O18" ca="1">IFERROR(INDEX(Rango_Admin_Clas_Total,O$2,MATCH($A18,Rango_Admin_Clas_Primera,0)+1),"-")</f>
        <v>0</v>
      </c>
      <c r="P18" s="92" cm="1">
        <f t="array" aca="1" ref="P18" ca="1">IFERROR(INDEX(Rango_Admin_Clas_Total,P$2,MATCH($A18,Rango_Admin_Clas_Primera,0)+1),"-")</f>
        <v>0</v>
      </c>
      <c r="Q18" s="92" cm="1">
        <f t="array" aca="1" ref="Q18" ca="1">IFERROR(INDEX(Rango_Admin_Clas_Total,Q$2,MATCH($A18,Rango_Admin_Clas_Primera,0)+1),"-")</f>
        <v>0</v>
      </c>
      <c r="R18" s="92" cm="1">
        <f t="array" aca="1" ref="R18" ca="1">IFERROR(INDEX(Rango_Admin_Clas_Total,R$2,MATCH($A18,Rango_Admin_Clas_Primera,0)+1),"-")</f>
        <v>0</v>
      </c>
      <c r="S18" s="92" cm="1">
        <f t="array" aca="1" ref="S18" ca="1">IFERROR(INDEX(Rango_Admin_Clas_Total,S$2,MATCH($A18,Rango_Admin_Clas_Primera,0)+1),"-")</f>
        <v>0</v>
      </c>
      <c r="T18" s="297"/>
      <c r="U18" s="297"/>
    </row>
    <row r="19" spans="1:21">
      <c r="A19" s="19">
        <f t="shared" si="0"/>
        <v>15</v>
      </c>
      <c r="B19" s="22">
        <f ca="1">IFERROR(HLOOKUP(A19,Rango_Admin_Clas,3,FALSE),"-")</f>
        <v>15</v>
      </c>
      <c r="C19" s="18" t="str">
        <f ca="1">IFERROR(HLOOKUP(A19,Rango_Admin_Clas,5,FALSE),"-")</f>
        <v xml:space="preserve">Martín Matoses </v>
      </c>
      <c r="D19" s="91">
        <f ca="1">IFERROR(HLOOKUP(A19,Rango_Admin_Clas,4,FALSE),"-")</f>
        <v>33</v>
      </c>
      <c r="E19" s="92" cm="1">
        <f t="array" aca="1" ref="E19" ca="1">IFERROR(INDEX(Rango_Admin_Clas_Total,E$2,MATCH($A19,Rango_Admin_Clas_Primera,0)+1),"-")</f>
        <v>33</v>
      </c>
      <c r="F19" s="92" cm="1">
        <f t="array" aca="1" ref="F19" ca="1">IFERROR(INDEX(Rango_Admin_Clas_Total,F$2,MATCH($A19,Rango_Admin_Clas_Primera,0)+1),"-")</f>
        <v>0</v>
      </c>
      <c r="G19" s="92" cm="1">
        <f t="array" aca="1" ref="G19" ca="1">IFERROR(INDEX(Rango_Admin_Clas_Total,G$2,MATCH($A19,Rango_Admin_Clas_Primera,0)+1),"-")</f>
        <v>0</v>
      </c>
      <c r="H19" s="92" cm="1">
        <f t="array" aca="1" ref="H19" ca="1">IFERROR(INDEX(Rango_Admin_Clas_Total,H$2,MATCH($A19,Rango_Admin_Clas_Primera,0)+1),"-")</f>
        <v>0</v>
      </c>
      <c r="I19" s="92" cm="1">
        <f t="array" aca="1" ref="I19" ca="1">IFERROR(INDEX(Rango_Admin_Clas_Total,I$2,MATCH($A19,Rango_Admin_Clas_Primera,0)+1),"-")</f>
        <v>0</v>
      </c>
      <c r="J19" s="92" cm="1">
        <f t="array" aca="1" ref="J19" ca="1">IFERROR(INDEX(Rango_Admin_Clas_Total,J$2,MATCH($A19,Rango_Admin_Clas_Primera,0)+1),"-")</f>
        <v>0</v>
      </c>
      <c r="K19" s="92" cm="1">
        <f t="array" aca="1" ref="K19" ca="1">IFERROR(INDEX(Rango_Admin_Clas_Total,K$2,MATCH($A19,Rango_Admin_Clas_Primera,0)+1),"-")</f>
        <v>0</v>
      </c>
      <c r="L19" s="92" cm="1">
        <f t="array" aca="1" ref="L19" ca="1">IFERROR(INDEX(Rango_Admin_Clas_Total,L$2,MATCH($A19,Rango_Admin_Clas_Primera,0)+1),"-")</f>
        <v>0</v>
      </c>
      <c r="M19" s="92" cm="1">
        <f t="array" aca="1" ref="M19" ca="1">IFERROR(INDEX(Rango_Admin_Clas_Total,M$2,MATCH($A19,Rango_Admin_Clas_Primera,0)+1),"-")</f>
        <v>0</v>
      </c>
      <c r="N19" s="92" cm="1">
        <f t="array" aca="1" ref="N19" ca="1">IFERROR(INDEX(Rango_Admin_Clas_Total,N$2,MATCH($A19,Rango_Admin_Clas_Primera,0)+1),"-")</f>
        <v>0</v>
      </c>
      <c r="O19" s="92" cm="1">
        <f t="array" aca="1" ref="O19" ca="1">IFERROR(INDEX(Rango_Admin_Clas_Total,O$2,MATCH($A19,Rango_Admin_Clas_Primera,0)+1),"-")</f>
        <v>0</v>
      </c>
      <c r="P19" s="92" cm="1">
        <f t="array" aca="1" ref="P19" ca="1">IFERROR(INDEX(Rango_Admin_Clas_Total,P$2,MATCH($A19,Rango_Admin_Clas_Primera,0)+1),"-")</f>
        <v>0</v>
      </c>
      <c r="Q19" s="92" cm="1">
        <f t="array" aca="1" ref="Q19" ca="1">IFERROR(INDEX(Rango_Admin_Clas_Total,Q$2,MATCH($A19,Rango_Admin_Clas_Primera,0)+1),"-")</f>
        <v>0</v>
      </c>
      <c r="R19" s="92" cm="1">
        <f t="array" aca="1" ref="R19" ca="1">IFERROR(INDEX(Rango_Admin_Clas_Total,R$2,MATCH($A19,Rango_Admin_Clas_Primera,0)+1),"-")</f>
        <v>0</v>
      </c>
      <c r="S19" s="92" cm="1">
        <f t="array" aca="1" ref="S19" ca="1">IFERROR(INDEX(Rango_Admin_Clas_Total,S$2,MATCH($A19,Rango_Admin_Clas_Primera,0)+1),"-")</f>
        <v>0</v>
      </c>
      <c r="T19" s="297"/>
      <c r="U19" s="297"/>
    </row>
    <row r="20" spans="1:21">
      <c r="A20" s="19">
        <f t="shared" si="0"/>
        <v>16</v>
      </c>
      <c r="B20" s="22">
        <f ca="1">IFERROR(HLOOKUP(A20,Rango_Admin_Clas,3,FALSE),"-")</f>
        <v>15</v>
      </c>
      <c r="C20" s="18" t="str">
        <f ca="1">IFERROR(HLOOKUP(A20,Rango_Admin_Clas,5,FALSE),"-")</f>
        <v xml:space="preserve">Ignacio Núñez </v>
      </c>
      <c r="D20" s="91">
        <f ca="1">IFERROR(HLOOKUP(A20,Rango_Admin_Clas,4,FALSE),"-")</f>
        <v>33</v>
      </c>
      <c r="E20" s="92" cm="1">
        <f t="array" aca="1" ref="E20" ca="1">IFERROR(INDEX(Rango_Admin_Clas_Total,E$2,MATCH($A20,Rango_Admin_Clas_Primera,0)+1),"-")</f>
        <v>33</v>
      </c>
      <c r="F20" s="92" cm="1">
        <f t="array" aca="1" ref="F20" ca="1">IFERROR(INDEX(Rango_Admin_Clas_Total,F$2,MATCH($A20,Rango_Admin_Clas_Primera,0)+1),"-")</f>
        <v>0</v>
      </c>
      <c r="G20" s="92" cm="1">
        <f t="array" aca="1" ref="G20" ca="1">IFERROR(INDEX(Rango_Admin_Clas_Total,G$2,MATCH($A20,Rango_Admin_Clas_Primera,0)+1),"-")</f>
        <v>0</v>
      </c>
      <c r="H20" s="92" cm="1">
        <f t="array" aca="1" ref="H20" ca="1">IFERROR(INDEX(Rango_Admin_Clas_Total,H$2,MATCH($A20,Rango_Admin_Clas_Primera,0)+1),"-")</f>
        <v>0</v>
      </c>
      <c r="I20" s="92" cm="1">
        <f t="array" aca="1" ref="I20" ca="1">IFERROR(INDEX(Rango_Admin_Clas_Total,I$2,MATCH($A20,Rango_Admin_Clas_Primera,0)+1),"-")</f>
        <v>0</v>
      </c>
      <c r="J20" s="92" cm="1">
        <f t="array" aca="1" ref="J20" ca="1">IFERROR(INDEX(Rango_Admin_Clas_Total,J$2,MATCH($A20,Rango_Admin_Clas_Primera,0)+1),"-")</f>
        <v>0</v>
      </c>
      <c r="K20" s="92" cm="1">
        <f t="array" aca="1" ref="K20" ca="1">IFERROR(INDEX(Rango_Admin_Clas_Total,K$2,MATCH($A20,Rango_Admin_Clas_Primera,0)+1),"-")</f>
        <v>0</v>
      </c>
      <c r="L20" s="92" cm="1">
        <f t="array" aca="1" ref="L20" ca="1">IFERROR(INDEX(Rango_Admin_Clas_Total,L$2,MATCH($A20,Rango_Admin_Clas_Primera,0)+1),"-")</f>
        <v>0</v>
      </c>
      <c r="M20" s="92" cm="1">
        <f t="array" aca="1" ref="M20" ca="1">IFERROR(INDEX(Rango_Admin_Clas_Total,M$2,MATCH($A20,Rango_Admin_Clas_Primera,0)+1),"-")</f>
        <v>0</v>
      </c>
      <c r="N20" s="92" cm="1">
        <f t="array" aca="1" ref="N20" ca="1">IFERROR(INDEX(Rango_Admin_Clas_Total,N$2,MATCH($A20,Rango_Admin_Clas_Primera,0)+1),"-")</f>
        <v>0</v>
      </c>
      <c r="O20" s="92" cm="1">
        <f t="array" aca="1" ref="O20" ca="1">IFERROR(INDEX(Rango_Admin_Clas_Total,O$2,MATCH($A20,Rango_Admin_Clas_Primera,0)+1),"-")</f>
        <v>0</v>
      </c>
      <c r="P20" s="92" cm="1">
        <f t="array" aca="1" ref="P20" ca="1">IFERROR(INDEX(Rango_Admin_Clas_Total,P$2,MATCH($A20,Rango_Admin_Clas_Primera,0)+1),"-")</f>
        <v>0</v>
      </c>
      <c r="Q20" s="92" cm="1">
        <f t="array" aca="1" ref="Q20" ca="1">IFERROR(INDEX(Rango_Admin_Clas_Total,Q$2,MATCH($A20,Rango_Admin_Clas_Primera,0)+1),"-")</f>
        <v>0</v>
      </c>
      <c r="R20" s="92" cm="1">
        <f t="array" aca="1" ref="R20" ca="1">IFERROR(INDEX(Rango_Admin_Clas_Total,R$2,MATCH($A20,Rango_Admin_Clas_Primera,0)+1),"-")</f>
        <v>0</v>
      </c>
      <c r="S20" s="92" cm="1">
        <f t="array" aca="1" ref="S20" ca="1">IFERROR(INDEX(Rango_Admin_Clas_Total,S$2,MATCH($A20,Rango_Admin_Clas_Primera,0)+1),"-")</f>
        <v>0</v>
      </c>
      <c r="T20" s="297"/>
      <c r="U20" s="297"/>
    </row>
    <row r="21" spans="1:21">
      <c r="A21" s="19">
        <f t="shared" si="0"/>
        <v>17</v>
      </c>
      <c r="B21" s="22">
        <f ca="1">IFERROR(HLOOKUP(A21,Rango_Admin_Clas,3,FALSE),"-")</f>
        <v>17</v>
      </c>
      <c r="C21" s="18" t="str">
        <f ca="1">IFERROR(HLOOKUP(A21,Rango_Admin_Clas,5,FALSE),"-")</f>
        <v>Fernando Carlos García-Ramos Redondo</v>
      </c>
      <c r="D21" s="91">
        <f ca="1">IFERROR(HLOOKUP(A21,Rango_Admin_Clas,4,FALSE),"-")</f>
        <v>32</v>
      </c>
      <c r="E21" s="92" cm="1">
        <f t="array" aca="1" ref="E21" ca="1">IFERROR(INDEX(Rango_Admin_Clas_Total,E$2,MATCH($A21,Rango_Admin_Clas_Primera,0)+1),"-")</f>
        <v>32</v>
      </c>
      <c r="F21" s="92" cm="1">
        <f t="array" aca="1" ref="F21" ca="1">IFERROR(INDEX(Rango_Admin_Clas_Total,F$2,MATCH($A21,Rango_Admin_Clas_Primera,0)+1),"-")</f>
        <v>0</v>
      </c>
      <c r="G21" s="92" cm="1">
        <f t="array" aca="1" ref="G21" ca="1">IFERROR(INDEX(Rango_Admin_Clas_Total,G$2,MATCH($A21,Rango_Admin_Clas_Primera,0)+1),"-")</f>
        <v>0</v>
      </c>
      <c r="H21" s="92" cm="1">
        <f t="array" aca="1" ref="H21" ca="1">IFERROR(INDEX(Rango_Admin_Clas_Total,H$2,MATCH($A21,Rango_Admin_Clas_Primera,0)+1),"-")</f>
        <v>0</v>
      </c>
      <c r="I21" s="92" cm="1">
        <f t="array" aca="1" ref="I21" ca="1">IFERROR(INDEX(Rango_Admin_Clas_Total,I$2,MATCH($A21,Rango_Admin_Clas_Primera,0)+1),"-")</f>
        <v>0</v>
      </c>
      <c r="J21" s="92" cm="1">
        <f t="array" aca="1" ref="J21" ca="1">IFERROR(INDEX(Rango_Admin_Clas_Total,J$2,MATCH($A21,Rango_Admin_Clas_Primera,0)+1),"-")</f>
        <v>0</v>
      </c>
      <c r="K21" s="92" cm="1">
        <f t="array" aca="1" ref="K21" ca="1">IFERROR(INDEX(Rango_Admin_Clas_Total,K$2,MATCH($A21,Rango_Admin_Clas_Primera,0)+1),"-")</f>
        <v>0</v>
      </c>
      <c r="L21" s="92" cm="1">
        <f t="array" aca="1" ref="L21" ca="1">IFERROR(INDEX(Rango_Admin_Clas_Total,L$2,MATCH($A21,Rango_Admin_Clas_Primera,0)+1),"-")</f>
        <v>0</v>
      </c>
      <c r="M21" s="92" cm="1">
        <f t="array" aca="1" ref="M21" ca="1">IFERROR(INDEX(Rango_Admin_Clas_Total,M$2,MATCH($A21,Rango_Admin_Clas_Primera,0)+1),"-")</f>
        <v>0</v>
      </c>
      <c r="N21" s="92" cm="1">
        <f t="array" aca="1" ref="N21" ca="1">IFERROR(INDEX(Rango_Admin_Clas_Total,N$2,MATCH($A21,Rango_Admin_Clas_Primera,0)+1),"-")</f>
        <v>0</v>
      </c>
      <c r="O21" s="92" cm="1">
        <f t="array" aca="1" ref="O21" ca="1">IFERROR(INDEX(Rango_Admin_Clas_Total,O$2,MATCH($A21,Rango_Admin_Clas_Primera,0)+1),"-")</f>
        <v>0</v>
      </c>
      <c r="P21" s="92" cm="1">
        <f t="array" aca="1" ref="P21" ca="1">IFERROR(INDEX(Rango_Admin_Clas_Total,P$2,MATCH($A21,Rango_Admin_Clas_Primera,0)+1),"-")</f>
        <v>0</v>
      </c>
      <c r="Q21" s="92" cm="1">
        <f t="array" aca="1" ref="Q21" ca="1">IFERROR(INDEX(Rango_Admin_Clas_Total,Q$2,MATCH($A21,Rango_Admin_Clas_Primera,0)+1),"-")</f>
        <v>0</v>
      </c>
      <c r="R21" s="92" cm="1">
        <f t="array" aca="1" ref="R21" ca="1">IFERROR(INDEX(Rango_Admin_Clas_Total,R$2,MATCH($A21,Rango_Admin_Clas_Primera,0)+1),"-")</f>
        <v>0</v>
      </c>
      <c r="S21" s="92" cm="1">
        <f t="array" aca="1" ref="S21" ca="1">IFERROR(INDEX(Rango_Admin_Clas_Total,S$2,MATCH($A21,Rango_Admin_Clas_Primera,0)+1),"-")</f>
        <v>0</v>
      </c>
      <c r="T21" s="297"/>
      <c r="U21" s="297"/>
    </row>
    <row r="22" spans="1:21">
      <c r="A22" s="19">
        <f t="shared" si="0"/>
        <v>18</v>
      </c>
      <c r="B22" s="22">
        <f ca="1">IFERROR(HLOOKUP(A22,Rango_Admin_Clas,3,FALSE),"-")</f>
        <v>18</v>
      </c>
      <c r="C22" s="18" t="str">
        <f ca="1">IFERROR(HLOOKUP(A22,Rango_Admin_Clas,5,FALSE),"-")</f>
        <v>Admin</v>
      </c>
      <c r="D22" s="91">
        <f ca="1">IFERROR(HLOOKUP(A22,Rango_Admin_Clas,4,FALSE),"-")</f>
        <v>31</v>
      </c>
      <c r="E22" s="92" cm="1">
        <f t="array" aca="1" ref="E22" ca="1">IFERROR(INDEX(Rango_Admin_Clas_Total,E$2,MATCH($A22,Rango_Admin_Clas_Primera,0)+1),"-")</f>
        <v>31</v>
      </c>
      <c r="F22" s="92" cm="1">
        <f t="array" aca="1" ref="F22" ca="1">IFERROR(INDEX(Rango_Admin_Clas_Total,F$2,MATCH($A22,Rango_Admin_Clas_Primera,0)+1),"-")</f>
        <v>0</v>
      </c>
      <c r="G22" s="92" cm="1">
        <f t="array" aca="1" ref="G22" ca="1">IFERROR(INDEX(Rango_Admin_Clas_Total,G$2,MATCH($A22,Rango_Admin_Clas_Primera,0)+1),"-")</f>
        <v>0</v>
      </c>
      <c r="H22" s="92" cm="1">
        <f t="array" aca="1" ref="H22" ca="1">IFERROR(INDEX(Rango_Admin_Clas_Total,H$2,MATCH($A22,Rango_Admin_Clas_Primera,0)+1),"-")</f>
        <v>0</v>
      </c>
      <c r="I22" s="92" cm="1">
        <f t="array" aca="1" ref="I22" ca="1">IFERROR(INDEX(Rango_Admin_Clas_Total,I$2,MATCH($A22,Rango_Admin_Clas_Primera,0)+1),"-")</f>
        <v>0</v>
      </c>
      <c r="J22" s="92" cm="1">
        <f t="array" aca="1" ref="J22" ca="1">IFERROR(INDEX(Rango_Admin_Clas_Total,J$2,MATCH($A22,Rango_Admin_Clas_Primera,0)+1),"-")</f>
        <v>0</v>
      </c>
      <c r="K22" s="92" cm="1">
        <f t="array" aca="1" ref="K22" ca="1">IFERROR(INDEX(Rango_Admin_Clas_Total,K$2,MATCH($A22,Rango_Admin_Clas_Primera,0)+1),"-")</f>
        <v>0</v>
      </c>
      <c r="L22" s="92" cm="1">
        <f t="array" aca="1" ref="L22" ca="1">IFERROR(INDEX(Rango_Admin_Clas_Total,L$2,MATCH($A22,Rango_Admin_Clas_Primera,0)+1),"-")</f>
        <v>0</v>
      </c>
      <c r="M22" s="92" cm="1">
        <f t="array" aca="1" ref="M22" ca="1">IFERROR(INDEX(Rango_Admin_Clas_Total,M$2,MATCH($A22,Rango_Admin_Clas_Primera,0)+1),"-")</f>
        <v>0</v>
      </c>
      <c r="N22" s="92" cm="1">
        <f t="array" aca="1" ref="N22" ca="1">IFERROR(INDEX(Rango_Admin_Clas_Total,N$2,MATCH($A22,Rango_Admin_Clas_Primera,0)+1),"-")</f>
        <v>0</v>
      </c>
      <c r="O22" s="92" cm="1">
        <f t="array" aca="1" ref="O22" ca="1">IFERROR(INDEX(Rango_Admin_Clas_Total,O$2,MATCH($A22,Rango_Admin_Clas_Primera,0)+1),"-")</f>
        <v>0</v>
      </c>
      <c r="P22" s="92" cm="1">
        <f t="array" aca="1" ref="P22" ca="1">IFERROR(INDEX(Rango_Admin_Clas_Total,P$2,MATCH($A22,Rango_Admin_Clas_Primera,0)+1),"-")</f>
        <v>0</v>
      </c>
      <c r="Q22" s="92" cm="1">
        <f t="array" aca="1" ref="Q22" ca="1">IFERROR(INDEX(Rango_Admin_Clas_Total,Q$2,MATCH($A22,Rango_Admin_Clas_Primera,0)+1),"-")</f>
        <v>0</v>
      </c>
      <c r="R22" s="92" cm="1">
        <f t="array" aca="1" ref="R22" ca="1">IFERROR(INDEX(Rango_Admin_Clas_Total,R$2,MATCH($A22,Rango_Admin_Clas_Primera,0)+1),"-")</f>
        <v>0</v>
      </c>
      <c r="S22" s="92" cm="1">
        <f t="array" aca="1" ref="S22" ca="1">IFERROR(INDEX(Rango_Admin_Clas_Total,S$2,MATCH($A22,Rango_Admin_Clas_Primera,0)+1),"-")</f>
        <v>0</v>
      </c>
      <c r="T22" s="297"/>
      <c r="U22" s="297"/>
    </row>
    <row r="23" spans="1:21">
      <c r="A23" s="19">
        <f t="shared" si="0"/>
        <v>19</v>
      </c>
      <c r="B23" s="22">
        <f ca="1">IFERROR(HLOOKUP(A23,Rango_Admin_Clas,3,FALSE),"-")</f>
        <v>18</v>
      </c>
      <c r="C23" s="18" t="str">
        <f ca="1">IFERROR(HLOOKUP(A23,Rango_Admin_Clas,5,FALSE),"-")</f>
        <v>Antonio Zulueta Ramos</v>
      </c>
      <c r="D23" s="91">
        <f ca="1">IFERROR(HLOOKUP(A23,Rango_Admin_Clas,4,FALSE),"-")</f>
        <v>31</v>
      </c>
      <c r="E23" s="92" cm="1">
        <f t="array" aca="1" ref="E23" ca="1">IFERROR(INDEX(Rango_Admin_Clas_Total,E$2,MATCH($A23,Rango_Admin_Clas_Primera,0)+1),"-")</f>
        <v>31</v>
      </c>
      <c r="F23" s="92" cm="1">
        <f t="array" aca="1" ref="F23" ca="1">IFERROR(INDEX(Rango_Admin_Clas_Total,F$2,MATCH($A23,Rango_Admin_Clas_Primera,0)+1),"-")</f>
        <v>0</v>
      </c>
      <c r="G23" s="92" cm="1">
        <f t="array" aca="1" ref="G23" ca="1">IFERROR(INDEX(Rango_Admin_Clas_Total,G$2,MATCH($A23,Rango_Admin_Clas_Primera,0)+1),"-")</f>
        <v>0</v>
      </c>
      <c r="H23" s="92" cm="1">
        <f t="array" aca="1" ref="H23" ca="1">IFERROR(INDEX(Rango_Admin_Clas_Total,H$2,MATCH($A23,Rango_Admin_Clas_Primera,0)+1),"-")</f>
        <v>0</v>
      </c>
      <c r="I23" s="92" cm="1">
        <f t="array" aca="1" ref="I23" ca="1">IFERROR(INDEX(Rango_Admin_Clas_Total,I$2,MATCH($A23,Rango_Admin_Clas_Primera,0)+1),"-")</f>
        <v>0</v>
      </c>
      <c r="J23" s="92" cm="1">
        <f t="array" aca="1" ref="J23" ca="1">IFERROR(INDEX(Rango_Admin_Clas_Total,J$2,MATCH($A23,Rango_Admin_Clas_Primera,0)+1),"-")</f>
        <v>0</v>
      </c>
      <c r="K23" s="92" cm="1">
        <f t="array" aca="1" ref="K23" ca="1">IFERROR(INDEX(Rango_Admin_Clas_Total,K$2,MATCH($A23,Rango_Admin_Clas_Primera,0)+1),"-")</f>
        <v>0</v>
      </c>
      <c r="L23" s="92" cm="1">
        <f t="array" aca="1" ref="L23" ca="1">IFERROR(INDEX(Rango_Admin_Clas_Total,L$2,MATCH($A23,Rango_Admin_Clas_Primera,0)+1),"-")</f>
        <v>0</v>
      </c>
      <c r="M23" s="92" cm="1">
        <f t="array" aca="1" ref="M23" ca="1">IFERROR(INDEX(Rango_Admin_Clas_Total,M$2,MATCH($A23,Rango_Admin_Clas_Primera,0)+1),"-")</f>
        <v>0</v>
      </c>
      <c r="N23" s="92" cm="1">
        <f t="array" aca="1" ref="N23" ca="1">IFERROR(INDEX(Rango_Admin_Clas_Total,N$2,MATCH($A23,Rango_Admin_Clas_Primera,0)+1),"-")</f>
        <v>0</v>
      </c>
      <c r="O23" s="92" cm="1">
        <f t="array" aca="1" ref="O23" ca="1">IFERROR(INDEX(Rango_Admin_Clas_Total,O$2,MATCH($A23,Rango_Admin_Clas_Primera,0)+1),"-")</f>
        <v>0</v>
      </c>
      <c r="P23" s="92" cm="1">
        <f t="array" aca="1" ref="P23" ca="1">IFERROR(INDEX(Rango_Admin_Clas_Total,P$2,MATCH($A23,Rango_Admin_Clas_Primera,0)+1),"-")</f>
        <v>0</v>
      </c>
      <c r="Q23" s="92" cm="1">
        <f t="array" aca="1" ref="Q23" ca="1">IFERROR(INDEX(Rango_Admin_Clas_Total,Q$2,MATCH($A23,Rango_Admin_Clas_Primera,0)+1),"-")</f>
        <v>0</v>
      </c>
      <c r="R23" s="92" cm="1">
        <f t="array" aca="1" ref="R23" ca="1">IFERROR(INDEX(Rango_Admin_Clas_Total,R$2,MATCH($A23,Rango_Admin_Clas_Primera,0)+1),"-")</f>
        <v>0</v>
      </c>
      <c r="S23" s="92" cm="1">
        <f t="array" aca="1" ref="S23" ca="1">IFERROR(INDEX(Rango_Admin_Clas_Total,S$2,MATCH($A23,Rango_Admin_Clas_Primera,0)+1),"-")</f>
        <v>0</v>
      </c>
      <c r="T23" s="297"/>
      <c r="U23" s="297"/>
    </row>
    <row r="24" spans="1:21">
      <c r="A24" s="19">
        <f t="shared" si="0"/>
        <v>20</v>
      </c>
      <c r="B24" s="22">
        <f ca="1">IFERROR(HLOOKUP(A24,Rango_Admin_Clas,3,FALSE),"-")</f>
        <v>18</v>
      </c>
      <c r="C24" s="18" t="str">
        <f ca="1">IFERROR(HLOOKUP(A24,Rango_Admin_Clas,5,FALSE),"-")</f>
        <v>William Hartley</v>
      </c>
      <c r="D24" s="91">
        <f ca="1">IFERROR(HLOOKUP(A24,Rango_Admin_Clas,4,FALSE),"-")</f>
        <v>31</v>
      </c>
      <c r="E24" s="92" cm="1">
        <f t="array" aca="1" ref="E24" ca="1">IFERROR(INDEX(Rango_Admin_Clas_Total,E$2,MATCH($A24,Rango_Admin_Clas_Primera,0)+1),"-")</f>
        <v>31</v>
      </c>
      <c r="F24" s="92" cm="1">
        <f t="array" aca="1" ref="F24" ca="1">IFERROR(INDEX(Rango_Admin_Clas_Total,F$2,MATCH($A24,Rango_Admin_Clas_Primera,0)+1),"-")</f>
        <v>0</v>
      </c>
      <c r="G24" s="92" cm="1">
        <f t="array" aca="1" ref="G24" ca="1">IFERROR(INDEX(Rango_Admin_Clas_Total,G$2,MATCH($A24,Rango_Admin_Clas_Primera,0)+1),"-")</f>
        <v>0</v>
      </c>
      <c r="H24" s="92" cm="1">
        <f t="array" aca="1" ref="H24" ca="1">IFERROR(INDEX(Rango_Admin_Clas_Total,H$2,MATCH($A24,Rango_Admin_Clas_Primera,0)+1),"-")</f>
        <v>0</v>
      </c>
      <c r="I24" s="92" cm="1">
        <f t="array" aca="1" ref="I24" ca="1">IFERROR(INDEX(Rango_Admin_Clas_Total,I$2,MATCH($A24,Rango_Admin_Clas_Primera,0)+1),"-")</f>
        <v>0</v>
      </c>
      <c r="J24" s="92" cm="1">
        <f t="array" aca="1" ref="J24" ca="1">IFERROR(INDEX(Rango_Admin_Clas_Total,J$2,MATCH($A24,Rango_Admin_Clas_Primera,0)+1),"-")</f>
        <v>0</v>
      </c>
      <c r="K24" s="92" cm="1">
        <f t="array" aca="1" ref="K24" ca="1">IFERROR(INDEX(Rango_Admin_Clas_Total,K$2,MATCH($A24,Rango_Admin_Clas_Primera,0)+1),"-")</f>
        <v>0</v>
      </c>
      <c r="L24" s="92" cm="1">
        <f t="array" aca="1" ref="L24" ca="1">IFERROR(INDEX(Rango_Admin_Clas_Total,L$2,MATCH($A24,Rango_Admin_Clas_Primera,0)+1),"-")</f>
        <v>0</v>
      </c>
      <c r="M24" s="92" cm="1">
        <f t="array" aca="1" ref="M24" ca="1">IFERROR(INDEX(Rango_Admin_Clas_Total,M$2,MATCH($A24,Rango_Admin_Clas_Primera,0)+1),"-")</f>
        <v>0</v>
      </c>
      <c r="N24" s="92" cm="1">
        <f t="array" aca="1" ref="N24" ca="1">IFERROR(INDEX(Rango_Admin_Clas_Total,N$2,MATCH($A24,Rango_Admin_Clas_Primera,0)+1),"-")</f>
        <v>0</v>
      </c>
      <c r="O24" s="92" cm="1">
        <f t="array" aca="1" ref="O24" ca="1">IFERROR(INDEX(Rango_Admin_Clas_Total,O$2,MATCH($A24,Rango_Admin_Clas_Primera,0)+1),"-")</f>
        <v>0</v>
      </c>
      <c r="P24" s="92" cm="1">
        <f t="array" aca="1" ref="P24" ca="1">IFERROR(INDEX(Rango_Admin_Clas_Total,P$2,MATCH($A24,Rango_Admin_Clas_Primera,0)+1),"-")</f>
        <v>0</v>
      </c>
      <c r="Q24" s="92" cm="1">
        <f t="array" aca="1" ref="Q24" ca="1">IFERROR(INDEX(Rango_Admin_Clas_Total,Q$2,MATCH($A24,Rango_Admin_Clas_Primera,0)+1),"-")</f>
        <v>0</v>
      </c>
      <c r="R24" s="92" cm="1">
        <f t="array" aca="1" ref="R24" ca="1">IFERROR(INDEX(Rango_Admin_Clas_Total,R$2,MATCH($A24,Rango_Admin_Clas_Primera,0)+1),"-")</f>
        <v>0</v>
      </c>
      <c r="S24" s="92" cm="1">
        <f t="array" aca="1" ref="S24" ca="1">IFERROR(INDEX(Rango_Admin_Clas_Total,S$2,MATCH($A24,Rango_Admin_Clas_Primera,0)+1),"-")</f>
        <v>0</v>
      </c>
      <c r="T24" s="297"/>
      <c r="U24" s="297"/>
    </row>
    <row r="25" spans="1:21">
      <c r="A25" s="19">
        <f t="shared" si="0"/>
        <v>21</v>
      </c>
      <c r="B25" s="22">
        <f ca="1">IFERROR(HLOOKUP(A25,Rango_Admin_Clas,3,FALSE),"-")</f>
        <v>21</v>
      </c>
      <c r="C25" s="18" t="str">
        <f ca="1">IFERROR(HLOOKUP(A25,Rango_Admin_Clas,5,FALSE),"-")</f>
        <v>Migay Marcos</v>
      </c>
      <c r="D25" s="91">
        <f ca="1">IFERROR(HLOOKUP(A25,Rango_Admin_Clas,4,FALSE),"-")</f>
        <v>30</v>
      </c>
      <c r="E25" s="92" cm="1">
        <f t="array" aca="1" ref="E25" ca="1">IFERROR(INDEX(Rango_Admin_Clas_Total,E$2,MATCH($A25,Rango_Admin_Clas_Primera,0)+1),"-")</f>
        <v>30</v>
      </c>
      <c r="F25" s="92" cm="1">
        <f t="array" aca="1" ref="F25" ca="1">IFERROR(INDEX(Rango_Admin_Clas_Total,F$2,MATCH($A25,Rango_Admin_Clas_Primera,0)+1),"-")</f>
        <v>0</v>
      </c>
      <c r="G25" s="92" cm="1">
        <f t="array" aca="1" ref="G25" ca="1">IFERROR(INDEX(Rango_Admin_Clas_Total,G$2,MATCH($A25,Rango_Admin_Clas_Primera,0)+1),"-")</f>
        <v>0</v>
      </c>
      <c r="H25" s="92" cm="1">
        <f t="array" aca="1" ref="H25" ca="1">IFERROR(INDEX(Rango_Admin_Clas_Total,H$2,MATCH($A25,Rango_Admin_Clas_Primera,0)+1),"-")</f>
        <v>0</v>
      </c>
      <c r="I25" s="92" cm="1">
        <f t="array" aca="1" ref="I25" ca="1">IFERROR(INDEX(Rango_Admin_Clas_Total,I$2,MATCH($A25,Rango_Admin_Clas_Primera,0)+1),"-")</f>
        <v>0</v>
      </c>
      <c r="J25" s="92" cm="1">
        <f t="array" aca="1" ref="J25" ca="1">IFERROR(INDEX(Rango_Admin_Clas_Total,J$2,MATCH($A25,Rango_Admin_Clas_Primera,0)+1),"-")</f>
        <v>0</v>
      </c>
      <c r="K25" s="92" cm="1">
        <f t="array" aca="1" ref="K25" ca="1">IFERROR(INDEX(Rango_Admin_Clas_Total,K$2,MATCH($A25,Rango_Admin_Clas_Primera,0)+1),"-")</f>
        <v>0</v>
      </c>
      <c r="L25" s="92" cm="1">
        <f t="array" aca="1" ref="L25" ca="1">IFERROR(INDEX(Rango_Admin_Clas_Total,L$2,MATCH($A25,Rango_Admin_Clas_Primera,0)+1),"-")</f>
        <v>0</v>
      </c>
      <c r="M25" s="92" cm="1">
        <f t="array" aca="1" ref="M25" ca="1">IFERROR(INDEX(Rango_Admin_Clas_Total,M$2,MATCH($A25,Rango_Admin_Clas_Primera,0)+1),"-")</f>
        <v>0</v>
      </c>
      <c r="N25" s="92" cm="1">
        <f t="array" aca="1" ref="N25" ca="1">IFERROR(INDEX(Rango_Admin_Clas_Total,N$2,MATCH($A25,Rango_Admin_Clas_Primera,0)+1),"-")</f>
        <v>0</v>
      </c>
      <c r="O25" s="92" cm="1">
        <f t="array" aca="1" ref="O25" ca="1">IFERROR(INDEX(Rango_Admin_Clas_Total,O$2,MATCH($A25,Rango_Admin_Clas_Primera,0)+1),"-")</f>
        <v>0</v>
      </c>
      <c r="P25" s="92" cm="1">
        <f t="array" aca="1" ref="P25" ca="1">IFERROR(INDEX(Rango_Admin_Clas_Total,P$2,MATCH($A25,Rango_Admin_Clas_Primera,0)+1),"-")</f>
        <v>0</v>
      </c>
      <c r="Q25" s="92" cm="1">
        <f t="array" aca="1" ref="Q25" ca="1">IFERROR(INDEX(Rango_Admin_Clas_Total,Q$2,MATCH($A25,Rango_Admin_Clas_Primera,0)+1),"-")</f>
        <v>0</v>
      </c>
      <c r="R25" s="92" cm="1">
        <f t="array" aca="1" ref="R25" ca="1">IFERROR(INDEX(Rango_Admin_Clas_Total,R$2,MATCH($A25,Rango_Admin_Clas_Primera,0)+1),"-")</f>
        <v>0</v>
      </c>
      <c r="S25" s="92" cm="1">
        <f t="array" aca="1" ref="S25" ca="1">IFERROR(INDEX(Rango_Admin_Clas_Total,S$2,MATCH($A25,Rango_Admin_Clas_Primera,0)+1),"-")</f>
        <v>0</v>
      </c>
      <c r="T25" s="297"/>
      <c r="U25" s="297"/>
    </row>
    <row r="26" spans="1:21">
      <c r="A26" s="19">
        <f t="shared" si="0"/>
        <v>22</v>
      </c>
      <c r="B26" s="22">
        <f ca="1">IFERROR(HLOOKUP(A26,Rango_Admin_Clas,3,FALSE),"-")</f>
        <v>22</v>
      </c>
      <c r="C26" s="18" t="str">
        <f ca="1">IFERROR(HLOOKUP(A26,Rango_Admin_Clas,5,FALSE),"-")</f>
        <v>Miguel San Martín</v>
      </c>
      <c r="D26" s="91">
        <f ca="1">IFERROR(HLOOKUP(A26,Rango_Admin_Clas,4,FALSE),"-")</f>
        <v>29</v>
      </c>
      <c r="E26" s="92" cm="1">
        <f t="array" aca="1" ref="E26" ca="1">IFERROR(INDEX(Rango_Admin_Clas_Total,E$2,MATCH($A26,Rango_Admin_Clas_Primera,0)+1),"-")</f>
        <v>29</v>
      </c>
      <c r="F26" s="92" cm="1">
        <f t="array" aca="1" ref="F26" ca="1">IFERROR(INDEX(Rango_Admin_Clas_Total,F$2,MATCH($A26,Rango_Admin_Clas_Primera,0)+1),"-")</f>
        <v>0</v>
      </c>
      <c r="G26" s="92" cm="1">
        <f t="array" aca="1" ref="G26" ca="1">IFERROR(INDEX(Rango_Admin_Clas_Total,G$2,MATCH($A26,Rango_Admin_Clas_Primera,0)+1),"-")</f>
        <v>0</v>
      </c>
      <c r="H26" s="92" cm="1">
        <f t="array" aca="1" ref="H26" ca="1">IFERROR(INDEX(Rango_Admin_Clas_Total,H$2,MATCH($A26,Rango_Admin_Clas_Primera,0)+1),"-")</f>
        <v>0</v>
      </c>
      <c r="I26" s="92" cm="1">
        <f t="array" aca="1" ref="I26" ca="1">IFERROR(INDEX(Rango_Admin_Clas_Total,I$2,MATCH($A26,Rango_Admin_Clas_Primera,0)+1),"-")</f>
        <v>0</v>
      </c>
      <c r="J26" s="92" cm="1">
        <f t="array" aca="1" ref="J26" ca="1">IFERROR(INDEX(Rango_Admin_Clas_Total,J$2,MATCH($A26,Rango_Admin_Clas_Primera,0)+1),"-")</f>
        <v>0</v>
      </c>
      <c r="K26" s="92" cm="1">
        <f t="array" aca="1" ref="K26" ca="1">IFERROR(INDEX(Rango_Admin_Clas_Total,K$2,MATCH($A26,Rango_Admin_Clas_Primera,0)+1),"-")</f>
        <v>0</v>
      </c>
      <c r="L26" s="92" cm="1">
        <f t="array" aca="1" ref="L26" ca="1">IFERROR(INDEX(Rango_Admin_Clas_Total,L$2,MATCH($A26,Rango_Admin_Clas_Primera,0)+1),"-")</f>
        <v>0</v>
      </c>
      <c r="M26" s="92" cm="1">
        <f t="array" aca="1" ref="M26" ca="1">IFERROR(INDEX(Rango_Admin_Clas_Total,M$2,MATCH($A26,Rango_Admin_Clas_Primera,0)+1),"-")</f>
        <v>0</v>
      </c>
      <c r="N26" s="92" cm="1">
        <f t="array" aca="1" ref="N26" ca="1">IFERROR(INDEX(Rango_Admin_Clas_Total,N$2,MATCH($A26,Rango_Admin_Clas_Primera,0)+1),"-")</f>
        <v>0</v>
      </c>
      <c r="O26" s="92" cm="1">
        <f t="array" aca="1" ref="O26" ca="1">IFERROR(INDEX(Rango_Admin_Clas_Total,O$2,MATCH($A26,Rango_Admin_Clas_Primera,0)+1),"-")</f>
        <v>0</v>
      </c>
      <c r="P26" s="92" cm="1">
        <f t="array" aca="1" ref="P26" ca="1">IFERROR(INDEX(Rango_Admin_Clas_Total,P$2,MATCH($A26,Rango_Admin_Clas_Primera,0)+1),"-")</f>
        <v>0</v>
      </c>
      <c r="Q26" s="92" cm="1">
        <f t="array" aca="1" ref="Q26" ca="1">IFERROR(INDEX(Rango_Admin_Clas_Total,Q$2,MATCH($A26,Rango_Admin_Clas_Primera,0)+1),"-")</f>
        <v>0</v>
      </c>
      <c r="R26" s="92" cm="1">
        <f t="array" aca="1" ref="R26" ca="1">IFERROR(INDEX(Rango_Admin_Clas_Total,R$2,MATCH($A26,Rango_Admin_Clas_Primera,0)+1),"-")</f>
        <v>0</v>
      </c>
      <c r="S26" s="92" cm="1">
        <f t="array" aca="1" ref="S26" ca="1">IFERROR(INDEX(Rango_Admin_Clas_Total,S$2,MATCH($A26,Rango_Admin_Clas_Primera,0)+1),"-")</f>
        <v>0</v>
      </c>
      <c r="T26" s="297"/>
      <c r="U26" s="297"/>
    </row>
    <row r="27" spans="1:21">
      <c r="A27" s="19">
        <f t="shared" si="0"/>
        <v>23</v>
      </c>
      <c r="B27" s="22">
        <f ca="1">IFERROR(HLOOKUP(A27,Rango_Admin_Clas,3,FALSE),"-")</f>
        <v>22</v>
      </c>
      <c r="C27" s="18" t="str">
        <f ca="1">IFERROR(HLOOKUP(A27,Rango_Admin_Clas,5,FALSE),"-")</f>
        <v>BeliBeltrán</v>
      </c>
      <c r="D27" s="91">
        <f ca="1">IFERROR(HLOOKUP(A27,Rango_Admin_Clas,4,FALSE),"-")</f>
        <v>29</v>
      </c>
      <c r="E27" s="92" cm="1">
        <f t="array" aca="1" ref="E27" ca="1">IFERROR(INDEX(Rango_Admin_Clas_Total,E$2,MATCH($A27,Rango_Admin_Clas_Primera,0)+1),"-")</f>
        <v>29</v>
      </c>
      <c r="F27" s="92" cm="1">
        <f t="array" aca="1" ref="F27" ca="1">IFERROR(INDEX(Rango_Admin_Clas_Total,F$2,MATCH($A27,Rango_Admin_Clas_Primera,0)+1),"-")</f>
        <v>0</v>
      </c>
      <c r="G27" s="92" cm="1">
        <f t="array" aca="1" ref="G27" ca="1">IFERROR(INDEX(Rango_Admin_Clas_Total,G$2,MATCH($A27,Rango_Admin_Clas_Primera,0)+1),"-")</f>
        <v>0</v>
      </c>
      <c r="H27" s="92" cm="1">
        <f t="array" aca="1" ref="H27" ca="1">IFERROR(INDEX(Rango_Admin_Clas_Total,H$2,MATCH($A27,Rango_Admin_Clas_Primera,0)+1),"-")</f>
        <v>0</v>
      </c>
      <c r="I27" s="92" cm="1">
        <f t="array" aca="1" ref="I27" ca="1">IFERROR(INDEX(Rango_Admin_Clas_Total,I$2,MATCH($A27,Rango_Admin_Clas_Primera,0)+1),"-")</f>
        <v>0</v>
      </c>
      <c r="J27" s="92" cm="1">
        <f t="array" aca="1" ref="J27" ca="1">IFERROR(INDEX(Rango_Admin_Clas_Total,J$2,MATCH($A27,Rango_Admin_Clas_Primera,0)+1),"-")</f>
        <v>0</v>
      </c>
      <c r="K27" s="92" cm="1">
        <f t="array" aca="1" ref="K27" ca="1">IFERROR(INDEX(Rango_Admin_Clas_Total,K$2,MATCH($A27,Rango_Admin_Clas_Primera,0)+1),"-")</f>
        <v>0</v>
      </c>
      <c r="L27" s="92" cm="1">
        <f t="array" aca="1" ref="L27" ca="1">IFERROR(INDEX(Rango_Admin_Clas_Total,L$2,MATCH($A27,Rango_Admin_Clas_Primera,0)+1),"-")</f>
        <v>0</v>
      </c>
      <c r="M27" s="92" cm="1">
        <f t="array" aca="1" ref="M27" ca="1">IFERROR(INDEX(Rango_Admin_Clas_Total,M$2,MATCH($A27,Rango_Admin_Clas_Primera,0)+1),"-")</f>
        <v>0</v>
      </c>
      <c r="N27" s="92" cm="1">
        <f t="array" aca="1" ref="N27" ca="1">IFERROR(INDEX(Rango_Admin_Clas_Total,N$2,MATCH($A27,Rango_Admin_Clas_Primera,0)+1),"-")</f>
        <v>0</v>
      </c>
      <c r="O27" s="92" cm="1">
        <f t="array" aca="1" ref="O27" ca="1">IFERROR(INDEX(Rango_Admin_Clas_Total,O$2,MATCH($A27,Rango_Admin_Clas_Primera,0)+1),"-")</f>
        <v>0</v>
      </c>
      <c r="P27" s="92" cm="1">
        <f t="array" aca="1" ref="P27" ca="1">IFERROR(INDEX(Rango_Admin_Clas_Total,P$2,MATCH($A27,Rango_Admin_Clas_Primera,0)+1),"-")</f>
        <v>0</v>
      </c>
      <c r="Q27" s="92" cm="1">
        <f t="array" aca="1" ref="Q27" ca="1">IFERROR(INDEX(Rango_Admin_Clas_Total,Q$2,MATCH($A27,Rango_Admin_Clas_Primera,0)+1),"-")</f>
        <v>0</v>
      </c>
      <c r="R27" s="92" cm="1">
        <f t="array" aca="1" ref="R27" ca="1">IFERROR(INDEX(Rango_Admin_Clas_Total,R$2,MATCH($A27,Rango_Admin_Clas_Primera,0)+1),"-")</f>
        <v>0</v>
      </c>
      <c r="S27" s="92" cm="1">
        <f t="array" aca="1" ref="S27" ca="1">IFERROR(INDEX(Rango_Admin_Clas_Total,S$2,MATCH($A27,Rango_Admin_Clas_Primera,0)+1),"-")</f>
        <v>0</v>
      </c>
      <c r="T27" s="297"/>
      <c r="U27" s="297"/>
    </row>
    <row r="28" spans="1:21">
      <c r="A28" s="19">
        <f t="shared" si="0"/>
        <v>24</v>
      </c>
      <c r="B28" s="22">
        <f ca="1">IFERROR(HLOOKUP(A28,Rango_Admin_Clas,3,FALSE),"-")</f>
        <v>24</v>
      </c>
      <c r="C28" s="18" t="str">
        <f ca="1">IFERROR(HLOOKUP(A28,Rango_Admin_Clas,5,FALSE),"-")</f>
        <v>Guillermo Murciano</v>
      </c>
      <c r="D28" s="91">
        <f ca="1">IFERROR(HLOOKUP(A28,Rango_Admin_Clas,4,FALSE),"-")</f>
        <v>28</v>
      </c>
      <c r="E28" s="92" cm="1">
        <f t="array" aca="1" ref="E28" ca="1">IFERROR(INDEX(Rango_Admin_Clas_Total,E$2,MATCH($A28,Rango_Admin_Clas_Primera,0)+1),"-")</f>
        <v>28</v>
      </c>
      <c r="F28" s="92" cm="1">
        <f t="array" aca="1" ref="F28" ca="1">IFERROR(INDEX(Rango_Admin_Clas_Total,F$2,MATCH($A28,Rango_Admin_Clas_Primera,0)+1),"-")</f>
        <v>0</v>
      </c>
      <c r="G28" s="92" cm="1">
        <f t="array" aca="1" ref="G28" ca="1">IFERROR(INDEX(Rango_Admin_Clas_Total,G$2,MATCH($A28,Rango_Admin_Clas_Primera,0)+1),"-")</f>
        <v>0</v>
      </c>
      <c r="H28" s="92" cm="1">
        <f t="array" aca="1" ref="H28" ca="1">IFERROR(INDEX(Rango_Admin_Clas_Total,H$2,MATCH($A28,Rango_Admin_Clas_Primera,0)+1),"-")</f>
        <v>0</v>
      </c>
      <c r="I28" s="92" cm="1">
        <f t="array" aca="1" ref="I28" ca="1">IFERROR(INDEX(Rango_Admin_Clas_Total,I$2,MATCH($A28,Rango_Admin_Clas_Primera,0)+1),"-")</f>
        <v>0</v>
      </c>
      <c r="J28" s="92" cm="1">
        <f t="array" aca="1" ref="J28" ca="1">IFERROR(INDEX(Rango_Admin_Clas_Total,J$2,MATCH($A28,Rango_Admin_Clas_Primera,0)+1),"-")</f>
        <v>0</v>
      </c>
      <c r="K28" s="92" cm="1">
        <f t="array" aca="1" ref="K28" ca="1">IFERROR(INDEX(Rango_Admin_Clas_Total,K$2,MATCH($A28,Rango_Admin_Clas_Primera,0)+1),"-")</f>
        <v>0</v>
      </c>
      <c r="L28" s="92" cm="1">
        <f t="array" aca="1" ref="L28" ca="1">IFERROR(INDEX(Rango_Admin_Clas_Total,L$2,MATCH($A28,Rango_Admin_Clas_Primera,0)+1),"-")</f>
        <v>0</v>
      </c>
      <c r="M28" s="92" cm="1">
        <f t="array" aca="1" ref="M28" ca="1">IFERROR(INDEX(Rango_Admin_Clas_Total,M$2,MATCH($A28,Rango_Admin_Clas_Primera,0)+1),"-")</f>
        <v>0</v>
      </c>
      <c r="N28" s="92" cm="1">
        <f t="array" aca="1" ref="N28" ca="1">IFERROR(INDEX(Rango_Admin_Clas_Total,N$2,MATCH($A28,Rango_Admin_Clas_Primera,0)+1),"-")</f>
        <v>0</v>
      </c>
      <c r="O28" s="92" cm="1">
        <f t="array" aca="1" ref="O28" ca="1">IFERROR(INDEX(Rango_Admin_Clas_Total,O$2,MATCH($A28,Rango_Admin_Clas_Primera,0)+1),"-")</f>
        <v>0</v>
      </c>
      <c r="P28" s="92" cm="1">
        <f t="array" aca="1" ref="P28" ca="1">IFERROR(INDEX(Rango_Admin_Clas_Total,P$2,MATCH($A28,Rango_Admin_Clas_Primera,0)+1),"-")</f>
        <v>0</v>
      </c>
      <c r="Q28" s="92" cm="1">
        <f t="array" aca="1" ref="Q28" ca="1">IFERROR(INDEX(Rango_Admin_Clas_Total,Q$2,MATCH($A28,Rango_Admin_Clas_Primera,0)+1),"-")</f>
        <v>0</v>
      </c>
      <c r="R28" s="92" cm="1">
        <f t="array" aca="1" ref="R28" ca="1">IFERROR(INDEX(Rango_Admin_Clas_Total,R$2,MATCH($A28,Rango_Admin_Clas_Primera,0)+1),"-")</f>
        <v>0</v>
      </c>
      <c r="S28" s="92" cm="1">
        <f t="array" aca="1" ref="S28" ca="1">IFERROR(INDEX(Rango_Admin_Clas_Total,S$2,MATCH($A28,Rango_Admin_Clas_Primera,0)+1),"-")</f>
        <v>0</v>
      </c>
      <c r="T28" s="297"/>
      <c r="U28" s="297"/>
    </row>
    <row r="29" spans="1:21">
      <c r="A29" s="19">
        <f t="shared" si="0"/>
        <v>25</v>
      </c>
      <c r="B29" s="22">
        <f ca="1">IFERROR(HLOOKUP(A29,Rango_Admin_Clas,3,FALSE),"-")</f>
        <v>25</v>
      </c>
      <c r="C29" s="18" t="str">
        <f ca="1">IFERROR(HLOOKUP(A29,Rango_Admin_Clas,5,FALSE),"-")</f>
        <v>Miguel Suárez-Zuloaga</v>
      </c>
      <c r="D29" s="91">
        <f ca="1">IFERROR(HLOOKUP(A29,Rango_Admin_Clas,4,FALSE),"-")</f>
        <v>27</v>
      </c>
      <c r="E29" s="92" cm="1">
        <f t="array" aca="1" ref="E29" ca="1">IFERROR(INDEX(Rango_Admin_Clas_Total,E$2,MATCH($A29,Rango_Admin_Clas_Primera,0)+1),"-")</f>
        <v>27</v>
      </c>
      <c r="F29" s="92" cm="1">
        <f t="array" aca="1" ref="F29" ca="1">IFERROR(INDEX(Rango_Admin_Clas_Total,F$2,MATCH($A29,Rango_Admin_Clas_Primera,0)+1),"-")</f>
        <v>0</v>
      </c>
      <c r="G29" s="92" cm="1">
        <f t="array" aca="1" ref="G29" ca="1">IFERROR(INDEX(Rango_Admin_Clas_Total,G$2,MATCH($A29,Rango_Admin_Clas_Primera,0)+1),"-")</f>
        <v>0</v>
      </c>
      <c r="H29" s="92" cm="1">
        <f t="array" aca="1" ref="H29" ca="1">IFERROR(INDEX(Rango_Admin_Clas_Total,H$2,MATCH($A29,Rango_Admin_Clas_Primera,0)+1),"-")</f>
        <v>0</v>
      </c>
      <c r="I29" s="92" cm="1">
        <f t="array" aca="1" ref="I29" ca="1">IFERROR(INDEX(Rango_Admin_Clas_Total,I$2,MATCH($A29,Rango_Admin_Clas_Primera,0)+1),"-")</f>
        <v>0</v>
      </c>
      <c r="J29" s="92" cm="1">
        <f t="array" aca="1" ref="J29" ca="1">IFERROR(INDEX(Rango_Admin_Clas_Total,J$2,MATCH($A29,Rango_Admin_Clas_Primera,0)+1),"-")</f>
        <v>0</v>
      </c>
      <c r="K29" s="92" cm="1">
        <f t="array" aca="1" ref="K29" ca="1">IFERROR(INDEX(Rango_Admin_Clas_Total,K$2,MATCH($A29,Rango_Admin_Clas_Primera,0)+1),"-")</f>
        <v>0</v>
      </c>
      <c r="L29" s="92" cm="1">
        <f t="array" aca="1" ref="L29" ca="1">IFERROR(INDEX(Rango_Admin_Clas_Total,L$2,MATCH($A29,Rango_Admin_Clas_Primera,0)+1),"-")</f>
        <v>0</v>
      </c>
      <c r="M29" s="92" cm="1">
        <f t="array" aca="1" ref="M29" ca="1">IFERROR(INDEX(Rango_Admin_Clas_Total,M$2,MATCH($A29,Rango_Admin_Clas_Primera,0)+1),"-")</f>
        <v>0</v>
      </c>
      <c r="N29" s="92" cm="1">
        <f t="array" aca="1" ref="N29" ca="1">IFERROR(INDEX(Rango_Admin_Clas_Total,N$2,MATCH($A29,Rango_Admin_Clas_Primera,0)+1),"-")</f>
        <v>0</v>
      </c>
      <c r="O29" s="92" cm="1">
        <f t="array" aca="1" ref="O29" ca="1">IFERROR(INDEX(Rango_Admin_Clas_Total,O$2,MATCH($A29,Rango_Admin_Clas_Primera,0)+1),"-")</f>
        <v>0</v>
      </c>
      <c r="P29" s="92" cm="1">
        <f t="array" aca="1" ref="P29" ca="1">IFERROR(INDEX(Rango_Admin_Clas_Total,P$2,MATCH($A29,Rango_Admin_Clas_Primera,0)+1),"-")</f>
        <v>0</v>
      </c>
      <c r="Q29" s="92" cm="1">
        <f t="array" aca="1" ref="Q29" ca="1">IFERROR(INDEX(Rango_Admin_Clas_Total,Q$2,MATCH($A29,Rango_Admin_Clas_Primera,0)+1),"-")</f>
        <v>0</v>
      </c>
      <c r="R29" s="92" cm="1">
        <f t="array" aca="1" ref="R29" ca="1">IFERROR(INDEX(Rango_Admin_Clas_Total,R$2,MATCH($A29,Rango_Admin_Clas_Primera,0)+1),"-")</f>
        <v>0</v>
      </c>
      <c r="S29" s="92" cm="1">
        <f t="array" aca="1" ref="S29" ca="1">IFERROR(INDEX(Rango_Admin_Clas_Total,S$2,MATCH($A29,Rango_Admin_Clas_Primera,0)+1),"-")</f>
        <v>0</v>
      </c>
      <c r="T29" s="297"/>
      <c r="U29" s="297"/>
    </row>
    <row r="30" spans="1:21">
      <c r="A30" s="19">
        <f t="shared" si="0"/>
        <v>26</v>
      </c>
      <c r="B30" s="22">
        <f ca="1">IFERROR(HLOOKUP(A30,Rango_Admin_Clas,3,FALSE),"-")</f>
        <v>25</v>
      </c>
      <c r="C30" s="18" t="str">
        <f ca="1">IFERROR(HLOOKUP(A30,Rango_Admin_Clas,5,FALSE),"-")</f>
        <v>AD Monchus</v>
      </c>
      <c r="D30" s="91">
        <f ca="1">IFERROR(HLOOKUP(A30,Rango_Admin_Clas,4,FALSE),"-")</f>
        <v>27</v>
      </c>
      <c r="E30" s="92" cm="1">
        <f t="array" aca="1" ref="E30" ca="1">IFERROR(INDEX(Rango_Admin_Clas_Total,E$2,MATCH($A30,Rango_Admin_Clas_Primera,0)+1),"-")</f>
        <v>27</v>
      </c>
      <c r="F30" s="92" cm="1">
        <f t="array" aca="1" ref="F30" ca="1">IFERROR(INDEX(Rango_Admin_Clas_Total,F$2,MATCH($A30,Rango_Admin_Clas_Primera,0)+1),"-")</f>
        <v>0</v>
      </c>
      <c r="G30" s="92" cm="1">
        <f t="array" aca="1" ref="G30" ca="1">IFERROR(INDEX(Rango_Admin_Clas_Total,G$2,MATCH($A30,Rango_Admin_Clas_Primera,0)+1),"-")</f>
        <v>0</v>
      </c>
      <c r="H30" s="92" cm="1">
        <f t="array" aca="1" ref="H30" ca="1">IFERROR(INDEX(Rango_Admin_Clas_Total,H$2,MATCH($A30,Rango_Admin_Clas_Primera,0)+1),"-")</f>
        <v>0</v>
      </c>
      <c r="I30" s="92" cm="1">
        <f t="array" aca="1" ref="I30" ca="1">IFERROR(INDEX(Rango_Admin_Clas_Total,I$2,MATCH($A30,Rango_Admin_Clas_Primera,0)+1),"-")</f>
        <v>0</v>
      </c>
      <c r="J30" s="92" cm="1">
        <f t="array" aca="1" ref="J30" ca="1">IFERROR(INDEX(Rango_Admin_Clas_Total,J$2,MATCH($A30,Rango_Admin_Clas_Primera,0)+1),"-")</f>
        <v>0</v>
      </c>
      <c r="K30" s="92" cm="1">
        <f t="array" aca="1" ref="K30" ca="1">IFERROR(INDEX(Rango_Admin_Clas_Total,K$2,MATCH($A30,Rango_Admin_Clas_Primera,0)+1),"-")</f>
        <v>0</v>
      </c>
      <c r="L30" s="92" cm="1">
        <f t="array" aca="1" ref="L30" ca="1">IFERROR(INDEX(Rango_Admin_Clas_Total,L$2,MATCH($A30,Rango_Admin_Clas_Primera,0)+1),"-")</f>
        <v>0</v>
      </c>
      <c r="M30" s="92" cm="1">
        <f t="array" aca="1" ref="M30" ca="1">IFERROR(INDEX(Rango_Admin_Clas_Total,M$2,MATCH($A30,Rango_Admin_Clas_Primera,0)+1),"-")</f>
        <v>0</v>
      </c>
      <c r="N30" s="92" cm="1">
        <f t="array" aca="1" ref="N30" ca="1">IFERROR(INDEX(Rango_Admin_Clas_Total,N$2,MATCH($A30,Rango_Admin_Clas_Primera,0)+1),"-")</f>
        <v>0</v>
      </c>
      <c r="O30" s="92" cm="1">
        <f t="array" aca="1" ref="O30" ca="1">IFERROR(INDEX(Rango_Admin_Clas_Total,O$2,MATCH($A30,Rango_Admin_Clas_Primera,0)+1),"-")</f>
        <v>0</v>
      </c>
      <c r="P30" s="92" cm="1">
        <f t="array" aca="1" ref="P30" ca="1">IFERROR(INDEX(Rango_Admin_Clas_Total,P$2,MATCH($A30,Rango_Admin_Clas_Primera,0)+1),"-")</f>
        <v>0</v>
      </c>
      <c r="Q30" s="92" cm="1">
        <f t="array" aca="1" ref="Q30" ca="1">IFERROR(INDEX(Rango_Admin_Clas_Total,Q$2,MATCH($A30,Rango_Admin_Clas_Primera,0)+1),"-")</f>
        <v>0</v>
      </c>
      <c r="R30" s="92" cm="1">
        <f t="array" aca="1" ref="R30" ca="1">IFERROR(INDEX(Rango_Admin_Clas_Total,R$2,MATCH($A30,Rango_Admin_Clas_Primera,0)+1),"-")</f>
        <v>0</v>
      </c>
      <c r="S30" s="92" cm="1">
        <f t="array" aca="1" ref="S30" ca="1">IFERROR(INDEX(Rango_Admin_Clas_Total,S$2,MATCH($A30,Rango_Admin_Clas_Primera,0)+1),"-")</f>
        <v>0</v>
      </c>
      <c r="T30" s="297"/>
      <c r="U30" s="297"/>
    </row>
    <row r="31" spans="1:21">
      <c r="A31" s="19">
        <f t="shared" si="0"/>
        <v>27</v>
      </c>
      <c r="B31" s="22">
        <f ca="1">IFERROR(HLOOKUP(A31,Rango_Admin_Clas,3,FALSE),"-")</f>
        <v>27</v>
      </c>
      <c r="C31" s="18" t="str">
        <f ca="1">IFERROR(HLOOKUP(A31,Rango_Admin_Clas,5,FALSE),"-")</f>
        <v>Pastor</v>
      </c>
      <c r="D31" s="91">
        <f ca="1">IFERROR(HLOOKUP(A31,Rango_Admin_Clas,4,FALSE),"-")</f>
        <v>26</v>
      </c>
      <c r="E31" s="92" cm="1">
        <f t="array" aca="1" ref="E31" ca="1">IFERROR(INDEX(Rango_Admin_Clas_Total,E$2,MATCH($A31,Rango_Admin_Clas_Primera,0)+1),"-")</f>
        <v>26</v>
      </c>
      <c r="F31" s="92" cm="1">
        <f t="array" aca="1" ref="F31" ca="1">IFERROR(INDEX(Rango_Admin_Clas_Total,F$2,MATCH($A31,Rango_Admin_Clas_Primera,0)+1),"-")</f>
        <v>0</v>
      </c>
      <c r="G31" s="92" cm="1">
        <f t="array" aca="1" ref="G31" ca="1">IFERROR(INDEX(Rango_Admin_Clas_Total,G$2,MATCH($A31,Rango_Admin_Clas_Primera,0)+1),"-")</f>
        <v>0</v>
      </c>
      <c r="H31" s="92" cm="1">
        <f t="array" aca="1" ref="H31" ca="1">IFERROR(INDEX(Rango_Admin_Clas_Total,H$2,MATCH($A31,Rango_Admin_Clas_Primera,0)+1),"-")</f>
        <v>0</v>
      </c>
      <c r="I31" s="92" cm="1">
        <f t="array" aca="1" ref="I31" ca="1">IFERROR(INDEX(Rango_Admin_Clas_Total,I$2,MATCH($A31,Rango_Admin_Clas_Primera,0)+1),"-")</f>
        <v>0</v>
      </c>
      <c r="J31" s="92" cm="1">
        <f t="array" aca="1" ref="J31" ca="1">IFERROR(INDEX(Rango_Admin_Clas_Total,J$2,MATCH($A31,Rango_Admin_Clas_Primera,0)+1),"-")</f>
        <v>0</v>
      </c>
      <c r="K31" s="92" cm="1">
        <f t="array" aca="1" ref="K31" ca="1">IFERROR(INDEX(Rango_Admin_Clas_Total,K$2,MATCH($A31,Rango_Admin_Clas_Primera,0)+1),"-")</f>
        <v>0</v>
      </c>
      <c r="L31" s="92" cm="1">
        <f t="array" aca="1" ref="L31" ca="1">IFERROR(INDEX(Rango_Admin_Clas_Total,L$2,MATCH($A31,Rango_Admin_Clas_Primera,0)+1),"-")</f>
        <v>0</v>
      </c>
      <c r="M31" s="92" cm="1">
        <f t="array" aca="1" ref="M31" ca="1">IFERROR(INDEX(Rango_Admin_Clas_Total,M$2,MATCH($A31,Rango_Admin_Clas_Primera,0)+1),"-")</f>
        <v>0</v>
      </c>
      <c r="N31" s="92" cm="1">
        <f t="array" aca="1" ref="N31" ca="1">IFERROR(INDEX(Rango_Admin_Clas_Total,N$2,MATCH($A31,Rango_Admin_Clas_Primera,0)+1),"-")</f>
        <v>0</v>
      </c>
      <c r="O31" s="92" cm="1">
        <f t="array" aca="1" ref="O31" ca="1">IFERROR(INDEX(Rango_Admin_Clas_Total,O$2,MATCH($A31,Rango_Admin_Clas_Primera,0)+1),"-")</f>
        <v>0</v>
      </c>
      <c r="P31" s="92" cm="1">
        <f t="array" aca="1" ref="P31" ca="1">IFERROR(INDEX(Rango_Admin_Clas_Total,P$2,MATCH($A31,Rango_Admin_Clas_Primera,0)+1),"-")</f>
        <v>0</v>
      </c>
      <c r="Q31" s="92" cm="1">
        <f t="array" aca="1" ref="Q31" ca="1">IFERROR(INDEX(Rango_Admin_Clas_Total,Q$2,MATCH($A31,Rango_Admin_Clas_Primera,0)+1),"-")</f>
        <v>0</v>
      </c>
      <c r="R31" s="92" cm="1">
        <f t="array" aca="1" ref="R31" ca="1">IFERROR(INDEX(Rango_Admin_Clas_Total,R$2,MATCH($A31,Rango_Admin_Clas_Primera,0)+1),"-")</f>
        <v>0</v>
      </c>
      <c r="S31" s="92" cm="1">
        <f t="array" aca="1" ref="S31" ca="1">IFERROR(INDEX(Rango_Admin_Clas_Total,S$2,MATCH($A31,Rango_Admin_Clas_Primera,0)+1),"-")</f>
        <v>0</v>
      </c>
      <c r="T31" s="297"/>
      <c r="U31" s="297"/>
    </row>
    <row r="32" spans="1:21">
      <c r="A32" s="19">
        <f t="shared" si="0"/>
        <v>28</v>
      </c>
      <c r="B32" s="22">
        <f ca="1">IFERROR(HLOOKUP(A32,Rango_Admin_Clas,3,FALSE),"-")</f>
        <v>27</v>
      </c>
      <c r="C32" s="18" t="str">
        <f ca="1">IFERROR(HLOOKUP(A32,Rango_Admin_Clas,5,FALSE),"-")</f>
        <v>Chente Muñoz</v>
      </c>
      <c r="D32" s="91">
        <f ca="1">IFERROR(HLOOKUP(A32,Rango_Admin_Clas,4,FALSE),"-")</f>
        <v>26</v>
      </c>
      <c r="E32" s="92" cm="1">
        <f t="array" aca="1" ref="E32" ca="1">IFERROR(INDEX(Rango_Admin_Clas_Total,E$2,MATCH($A32,Rango_Admin_Clas_Primera,0)+1),"-")</f>
        <v>26</v>
      </c>
      <c r="F32" s="92" cm="1">
        <f t="array" aca="1" ref="F32" ca="1">IFERROR(INDEX(Rango_Admin_Clas_Total,F$2,MATCH($A32,Rango_Admin_Clas_Primera,0)+1),"-")</f>
        <v>0</v>
      </c>
      <c r="G32" s="92" cm="1">
        <f t="array" aca="1" ref="G32" ca="1">IFERROR(INDEX(Rango_Admin_Clas_Total,G$2,MATCH($A32,Rango_Admin_Clas_Primera,0)+1),"-")</f>
        <v>0</v>
      </c>
      <c r="H32" s="92" cm="1">
        <f t="array" aca="1" ref="H32" ca="1">IFERROR(INDEX(Rango_Admin_Clas_Total,H$2,MATCH($A32,Rango_Admin_Clas_Primera,0)+1),"-")</f>
        <v>0</v>
      </c>
      <c r="I32" s="92" cm="1">
        <f t="array" aca="1" ref="I32" ca="1">IFERROR(INDEX(Rango_Admin_Clas_Total,I$2,MATCH($A32,Rango_Admin_Clas_Primera,0)+1),"-")</f>
        <v>0</v>
      </c>
      <c r="J32" s="92" cm="1">
        <f t="array" aca="1" ref="J32" ca="1">IFERROR(INDEX(Rango_Admin_Clas_Total,J$2,MATCH($A32,Rango_Admin_Clas_Primera,0)+1),"-")</f>
        <v>0</v>
      </c>
      <c r="K32" s="92" cm="1">
        <f t="array" aca="1" ref="K32" ca="1">IFERROR(INDEX(Rango_Admin_Clas_Total,K$2,MATCH($A32,Rango_Admin_Clas_Primera,0)+1),"-")</f>
        <v>0</v>
      </c>
      <c r="L32" s="92" cm="1">
        <f t="array" aca="1" ref="L32" ca="1">IFERROR(INDEX(Rango_Admin_Clas_Total,L$2,MATCH($A32,Rango_Admin_Clas_Primera,0)+1),"-")</f>
        <v>0</v>
      </c>
      <c r="M32" s="92" cm="1">
        <f t="array" aca="1" ref="M32" ca="1">IFERROR(INDEX(Rango_Admin_Clas_Total,M$2,MATCH($A32,Rango_Admin_Clas_Primera,0)+1),"-")</f>
        <v>0</v>
      </c>
      <c r="N32" s="92" cm="1">
        <f t="array" aca="1" ref="N32" ca="1">IFERROR(INDEX(Rango_Admin_Clas_Total,N$2,MATCH($A32,Rango_Admin_Clas_Primera,0)+1),"-")</f>
        <v>0</v>
      </c>
      <c r="O32" s="92" cm="1">
        <f t="array" aca="1" ref="O32" ca="1">IFERROR(INDEX(Rango_Admin_Clas_Total,O$2,MATCH($A32,Rango_Admin_Clas_Primera,0)+1),"-")</f>
        <v>0</v>
      </c>
      <c r="P32" s="92" cm="1">
        <f t="array" aca="1" ref="P32" ca="1">IFERROR(INDEX(Rango_Admin_Clas_Total,P$2,MATCH($A32,Rango_Admin_Clas_Primera,0)+1),"-")</f>
        <v>0</v>
      </c>
      <c r="Q32" s="92" cm="1">
        <f t="array" aca="1" ref="Q32" ca="1">IFERROR(INDEX(Rango_Admin_Clas_Total,Q$2,MATCH($A32,Rango_Admin_Clas_Primera,0)+1),"-")</f>
        <v>0</v>
      </c>
      <c r="R32" s="92" cm="1">
        <f t="array" aca="1" ref="R32" ca="1">IFERROR(INDEX(Rango_Admin_Clas_Total,R$2,MATCH($A32,Rango_Admin_Clas_Primera,0)+1),"-")</f>
        <v>0</v>
      </c>
      <c r="S32" s="92" cm="1">
        <f t="array" aca="1" ref="S32" ca="1">IFERROR(INDEX(Rango_Admin_Clas_Total,S$2,MATCH($A32,Rango_Admin_Clas_Primera,0)+1),"-")</f>
        <v>0</v>
      </c>
      <c r="T32" s="297"/>
      <c r="U32" s="297"/>
    </row>
    <row r="33" spans="1:21">
      <c r="A33" s="19">
        <f t="shared" si="0"/>
        <v>29</v>
      </c>
      <c r="B33" s="22">
        <f ca="1">IFERROR(HLOOKUP(A33,Rango_Admin_Clas,3,FALSE),"-")</f>
        <v>27</v>
      </c>
      <c r="C33" s="18" t="str">
        <f ca="1">IFERROR(HLOOKUP(A33,Rango_Admin_Clas,5,FALSE),"-")</f>
        <v>Fercho Muro Matosex</v>
      </c>
      <c r="D33" s="91">
        <f ca="1">IFERROR(HLOOKUP(A33,Rango_Admin_Clas,4,FALSE),"-")</f>
        <v>26</v>
      </c>
      <c r="E33" s="92" cm="1">
        <f t="array" aca="1" ref="E33" ca="1">IFERROR(INDEX(Rango_Admin_Clas_Total,E$2,MATCH($A33,Rango_Admin_Clas_Primera,0)+1),"-")</f>
        <v>26</v>
      </c>
      <c r="F33" s="92" cm="1">
        <f t="array" aca="1" ref="F33" ca="1">IFERROR(INDEX(Rango_Admin_Clas_Total,F$2,MATCH($A33,Rango_Admin_Clas_Primera,0)+1),"-")</f>
        <v>0</v>
      </c>
      <c r="G33" s="92" cm="1">
        <f t="array" aca="1" ref="G33" ca="1">IFERROR(INDEX(Rango_Admin_Clas_Total,G$2,MATCH($A33,Rango_Admin_Clas_Primera,0)+1),"-")</f>
        <v>0</v>
      </c>
      <c r="H33" s="92" cm="1">
        <f t="array" aca="1" ref="H33" ca="1">IFERROR(INDEX(Rango_Admin_Clas_Total,H$2,MATCH($A33,Rango_Admin_Clas_Primera,0)+1),"-")</f>
        <v>0</v>
      </c>
      <c r="I33" s="92" cm="1">
        <f t="array" aca="1" ref="I33" ca="1">IFERROR(INDEX(Rango_Admin_Clas_Total,I$2,MATCH($A33,Rango_Admin_Clas_Primera,0)+1),"-")</f>
        <v>0</v>
      </c>
      <c r="J33" s="92" cm="1">
        <f t="array" aca="1" ref="J33" ca="1">IFERROR(INDEX(Rango_Admin_Clas_Total,J$2,MATCH($A33,Rango_Admin_Clas_Primera,0)+1),"-")</f>
        <v>0</v>
      </c>
      <c r="K33" s="92" cm="1">
        <f t="array" aca="1" ref="K33" ca="1">IFERROR(INDEX(Rango_Admin_Clas_Total,K$2,MATCH($A33,Rango_Admin_Clas_Primera,0)+1),"-")</f>
        <v>0</v>
      </c>
      <c r="L33" s="92" cm="1">
        <f t="array" aca="1" ref="L33" ca="1">IFERROR(INDEX(Rango_Admin_Clas_Total,L$2,MATCH($A33,Rango_Admin_Clas_Primera,0)+1),"-")</f>
        <v>0</v>
      </c>
      <c r="M33" s="92" cm="1">
        <f t="array" aca="1" ref="M33" ca="1">IFERROR(INDEX(Rango_Admin_Clas_Total,M$2,MATCH($A33,Rango_Admin_Clas_Primera,0)+1),"-")</f>
        <v>0</v>
      </c>
      <c r="N33" s="92" cm="1">
        <f t="array" aca="1" ref="N33" ca="1">IFERROR(INDEX(Rango_Admin_Clas_Total,N$2,MATCH($A33,Rango_Admin_Clas_Primera,0)+1),"-")</f>
        <v>0</v>
      </c>
      <c r="O33" s="92" cm="1">
        <f t="array" aca="1" ref="O33" ca="1">IFERROR(INDEX(Rango_Admin_Clas_Total,O$2,MATCH($A33,Rango_Admin_Clas_Primera,0)+1),"-")</f>
        <v>0</v>
      </c>
      <c r="P33" s="92" cm="1">
        <f t="array" aca="1" ref="P33" ca="1">IFERROR(INDEX(Rango_Admin_Clas_Total,P$2,MATCH($A33,Rango_Admin_Clas_Primera,0)+1),"-")</f>
        <v>0</v>
      </c>
      <c r="Q33" s="92" cm="1">
        <f t="array" aca="1" ref="Q33" ca="1">IFERROR(INDEX(Rango_Admin_Clas_Total,Q$2,MATCH($A33,Rango_Admin_Clas_Primera,0)+1),"-")</f>
        <v>0</v>
      </c>
      <c r="R33" s="92" cm="1">
        <f t="array" aca="1" ref="R33" ca="1">IFERROR(INDEX(Rango_Admin_Clas_Total,R$2,MATCH($A33,Rango_Admin_Clas_Primera,0)+1),"-")</f>
        <v>0</v>
      </c>
      <c r="S33" s="92" cm="1">
        <f t="array" aca="1" ref="S33" ca="1">IFERROR(INDEX(Rango_Admin_Clas_Total,S$2,MATCH($A33,Rango_Admin_Clas_Primera,0)+1),"-")</f>
        <v>0</v>
      </c>
      <c r="T33" s="297"/>
      <c r="U33" s="297"/>
    </row>
    <row r="34" spans="1:21">
      <c r="A34" s="19">
        <f t="shared" si="0"/>
        <v>30</v>
      </c>
      <c r="B34" s="22">
        <f ca="1">IFERROR(HLOOKUP(A34,Rango_Admin_Clas,3,FALSE),"-")</f>
        <v>27</v>
      </c>
      <c r="C34" s="18" t="str">
        <f ca="1">IFERROR(HLOOKUP(A34,Rango_Admin_Clas,5,FALSE),"-")</f>
        <v>Vicuinho</v>
      </c>
      <c r="D34" s="91">
        <f ca="1">IFERROR(HLOOKUP(A34,Rango_Admin_Clas,4,FALSE),"-")</f>
        <v>26</v>
      </c>
      <c r="E34" s="92" cm="1">
        <f t="array" aca="1" ref="E34" ca="1">IFERROR(INDEX(Rango_Admin_Clas_Total,E$2,MATCH($A34,Rango_Admin_Clas_Primera,0)+1),"-")</f>
        <v>26</v>
      </c>
      <c r="F34" s="92" cm="1">
        <f t="array" aca="1" ref="F34" ca="1">IFERROR(INDEX(Rango_Admin_Clas_Total,F$2,MATCH($A34,Rango_Admin_Clas_Primera,0)+1),"-")</f>
        <v>0</v>
      </c>
      <c r="G34" s="92" cm="1">
        <f t="array" aca="1" ref="G34" ca="1">IFERROR(INDEX(Rango_Admin_Clas_Total,G$2,MATCH($A34,Rango_Admin_Clas_Primera,0)+1),"-")</f>
        <v>0</v>
      </c>
      <c r="H34" s="92" cm="1">
        <f t="array" aca="1" ref="H34" ca="1">IFERROR(INDEX(Rango_Admin_Clas_Total,H$2,MATCH($A34,Rango_Admin_Clas_Primera,0)+1),"-")</f>
        <v>0</v>
      </c>
      <c r="I34" s="92" cm="1">
        <f t="array" aca="1" ref="I34" ca="1">IFERROR(INDEX(Rango_Admin_Clas_Total,I$2,MATCH($A34,Rango_Admin_Clas_Primera,0)+1),"-")</f>
        <v>0</v>
      </c>
      <c r="J34" s="92" cm="1">
        <f t="array" aca="1" ref="J34" ca="1">IFERROR(INDEX(Rango_Admin_Clas_Total,J$2,MATCH($A34,Rango_Admin_Clas_Primera,0)+1),"-")</f>
        <v>0</v>
      </c>
      <c r="K34" s="92" cm="1">
        <f t="array" aca="1" ref="K34" ca="1">IFERROR(INDEX(Rango_Admin_Clas_Total,K$2,MATCH($A34,Rango_Admin_Clas_Primera,0)+1),"-")</f>
        <v>0</v>
      </c>
      <c r="L34" s="92" cm="1">
        <f t="array" aca="1" ref="L34" ca="1">IFERROR(INDEX(Rango_Admin_Clas_Total,L$2,MATCH($A34,Rango_Admin_Clas_Primera,0)+1),"-")</f>
        <v>0</v>
      </c>
      <c r="M34" s="92" cm="1">
        <f t="array" aca="1" ref="M34" ca="1">IFERROR(INDEX(Rango_Admin_Clas_Total,M$2,MATCH($A34,Rango_Admin_Clas_Primera,0)+1),"-")</f>
        <v>0</v>
      </c>
      <c r="N34" s="92" cm="1">
        <f t="array" aca="1" ref="N34" ca="1">IFERROR(INDEX(Rango_Admin_Clas_Total,N$2,MATCH($A34,Rango_Admin_Clas_Primera,0)+1),"-")</f>
        <v>0</v>
      </c>
      <c r="O34" s="92" cm="1">
        <f t="array" aca="1" ref="O34" ca="1">IFERROR(INDEX(Rango_Admin_Clas_Total,O$2,MATCH($A34,Rango_Admin_Clas_Primera,0)+1),"-")</f>
        <v>0</v>
      </c>
      <c r="P34" s="92" cm="1">
        <f t="array" aca="1" ref="P34" ca="1">IFERROR(INDEX(Rango_Admin_Clas_Total,P$2,MATCH($A34,Rango_Admin_Clas_Primera,0)+1),"-")</f>
        <v>0</v>
      </c>
      <c r="Q34" s="92" cm="1">
        <f t="array" aca="1" ref="Q34" ca="1">IFERROR(INDEX(Rango_Admin_Clas_Total,Q$2,MATCH($A34,Rango_Admin_Clas_Primera,0)+1),"-")</f>
        <v>0</v>
      </c>
      <c r="R34" s="92" cm="1">
        <f t="array" aca="1" ref="R34" ca="1">IFERROR(INDEX(Rango_Admin_Clas_Total,R$2,MATCH($A34,Rango_Admin_Clas_Primera,0)+1),"-")</f>
        <v>0</v>
      </c>
      <c r="S34" s="92" cm="1">
        <f t="array" aca="1" ref="S34" ca="1">IFERROR(INDEX(Rango_Admin_Clas_Total,S$2,MATCH($A34,Rango_Admin_Clas_Primera,0)+1),"-")</f>
        <v>0</v>
      </c>
      <c r="T34" s="297"/>
      <c r="U34" s="297"/>
    </row>
    <row r="35" spans="1:21">
      <c r="A35" s="19">
        <f t="shared" si="0"/>
        <v>31</v>
      </c>
      <c r="B35" s="22">
        <f ca="1">IFERROR(HLOOKUP(A35,Rango_Admin_Clas,3,FALSE),"-")</f>
        <v>31</v>
      </c>
      <c r="C35" s="18" t="str">
        <f ca="1">IFERROR(HLOOKUP(A35,Rango_Admin_Clas,5,FALSE),"-")</f>
        <v>Ignacio de Lecea</v>
      </c>
      <c r="D35" s="91">
        <f ca="1">IFERROR(HLOOKUP(A35,Rango_Admin_Clas,4,FALSE),"-")</f>
        <v>25</v>
      </c>
      <c r="E35" s="92" cm="1">
        <f t="array" aca="1" ref="E35" ca="1">IFERROR(INDEX(Rango_Admin_Clas_Total,E$2,MATCH($A35,Rango_Admin_Clas_Primera,0)+1),"-")</f>
        <v>25</v>
      </c>
      <c r="F35" s="92" cm="1">
        <f t="array" aca="1" ref="F35" ca="1">IFERROR(INDEX(Rango_Admin_Clas_Total,F$2,MATCH($A35,Rango_Admin_Clas_Primera,0)+1),"-")</f>
        <v>0</v>
      </c>
      <c r="G35" s="92" cm="1">
        <f t="array" aca="1" ref="G35" ca="1">IFERROR(INDEX(Rango_Admin_Clas_Total,G$2,MATCH($A35,Rango_Admin_Clas_Primera,0)+1),"-")</f>
        <v>0</v>
      </c>
      <c r="H35" s="92" cm="1">
        <f t="array" aca="1" ref="H35" ca="1">IFERROR(INDEX(Rango_Admin_Clas_Total,H$2,MATCH($A35,Rango_Admin_Clas_Primera,0)+1),"-")</f>
        <v>0</v>
      </c>
      <c r="I35" s="92" cm="1">
        <f t="array" aca="1" ref="I35" ca="1">IFERROR(INDEX(Rango_Admin_Clas_Total,I$2,MATCH($A35,Rango_Admin_Clas_Primera,0)+1),"-")</f>
        <v>0</v>
      </c>
      <c r="J35" s="92" cm="1">
        <f t="array" aca="1" ref="J35" ca="1">IFERROR(INDEX(Rango_Admin_Clas_Total,J$2,MATCH($A35,Rango_Admin_Clas_Primera,0)+1),"-")</f>
        <v>0</v>
      </c>
      <c r="K35" s="92" cm="1">
        <f t="array" aca="1" ref="K35" ca="1">IFERROR(INDEX(Rango_Admin_Clas_Total,K$2,MATCH($A35,Rango_Admin_Clas_Primera,0)+1),"-")</f>
        <v>0</v>
      </c>
      <c r="L35" s="92" cm="1">
        <f t="array" aca="1" ref="L35" ca="1">IFERROR(INDEX(Rango_Admin_Clas_Total,L$2,MATCH($A35,Rango_Admin_Clas_Primera,0)+1),"-")</f>
        <v>0</v>
      </c>
      <c r="M35" s="92" cm="1">
        <f t="array" aca="1" ref="M35" ca="1">IFERROR(INDEX(Rango_Admin_Clas_Total,M$2,MATCH($A35,Rango_Admin_Clas_Primera,0)+1),"-")</f>
        <v>0</v>
      </c>
      <c r="N35" s="92" cm="1">
        <f t="array" aca="1" ref="N35" ca="1">IFERROR(INDEX(Rango_Admin_Clas_Total,N$2,MATCH($A35,Rango_Admin_Clas_Primera,0)+1),"-")</f>
        <v>0</v>
      </c>
      <c r="O35" s="92" cm="1">
        <f t="array" aca="1" ref="O35" ca="1">IFERROR(INDEX(Rango_Admin_Clas_Total,O$2,MATCH($A35,Rango_Admin_Clas_Primera,0)+1),"-")</f>
        <v>0</v>
      </c>
      <c r="P35" s="92" cm="1">
        <f t="array" aca="1" ref="P35" ca="1">IFERROR(INDEX(Rango_Admin_Clas_Total,P$2,MATCH($A35,Rango_Admin_Clas_Primera,0)+1),"-")</f>
        <v>0</v>
      </c>
      <c r="Q35" s="92" cm="1">
        <f t="array" aca="1" ref="Q35" ca="1">IFERROR(INDEX(Rango_Admin_Clas_Total,Q$2,MATCH($A35,Rango_Admin_Clas_Primera,0)+1),"-")</f>
        <v>0</v>
      </c>
      <c r="R35" s="92" cm="1">
        <f t="array" aca="1" ref="R35" ca="1">IFERROR(INDEX(Rango_Admin_Clas_Total,R$2,MATCH($A35,Rango_Admin_Clas_Primera,0)+1),"-")</f>
        <v>0</v>
      </c>
      <c r="S35" s="92" cm="1">
        <f t="array" aca="1" ref="S35" ca="1">IFERROR(INDEX(Rango_Admin_Clas_Total,S$2,MATCH($A35,Rango_Admin_Clas_Primera,0)+1),"-")</f>
        <v>0</v>
      </c>
      <c r="T35" s="297"/>
      <c r="U35" s="297"/>
    </row>
    <row r="36" spans="1:21">
      <c r="A36" s="19">
        <f t="shared" si="0"/>
        <v>32</v>
      </c>
      <c r="B36" s="22">
        <f ca="1">IFERROR(HLOOKUP(A36,Rango_Admin_Clas,3,FALSE),"-")</f>
        <v>31</v>
      </c>
      <c r="C36" s="18" t="str">
        <f ca="1">IFERROR(HLOOKUP(A36,Rango_Admin_Clas,5,FALSE),"-")</f>
        <v>YTD</v>
      </c>
      <c r="D36" s="91">
        <f ca="1">IFERROR(HLOOKUP(A36,Rango_Admin_Clas,4,FALSE),"-")</f>
        <v>25</v>
      </c>
      <c r="E36" s="92" cm="1">
        <f t="array" aca="1" ref="E36" ca="1">IFERROR(INDEX(Rango_Admin_Clas_Total,E$2,MATCH($A36,Rango_Admin_Clas_Primera,0)+1),"-")</f>
        <v>25</v>
      </c>
      <c r="F36" s="92" cm="1">
        <f t="array" aca="1" ref="F36" ca="1">IFERROR(INDEX(Rango_Admin_Clas_Total,F$2,MATCH($A36,Rango_Admin_Clas_Primera,0)+1),"-")</f>
        <v>0</v>
      </c>
      <c r="G36" s="92" cm="1">
        <f t="array" aca="1" ref="G36" ca="1">IFERROR(INDEX(Rango_Admin_Clas_Total,G$2,MATCH($A36,Rango_Admin_Clas_Primera,0)+1),"-")</f>
        <v>0</v>
      </c>
      <c r="H36" s="92" cm="1">
        <f t="array" aca="1" ref="H36" ca="1">IFERROR(INDEX(Rango_Admin_Clas_Total,H$2,MATCH($A36,Rango_Admin_Clas_Primera,0)+1),"-")</f>
        <v>0</v>
      </c>
      <c r="I36" s="92" cm="1">
        <f t="array" aca="1" ref="I36" ca="1">IFERROR(INDEX(Rango_Admin_Clas_Total,I$2,MATCH($A36,Rango_Admin_Clas_Primera,0)+1),"-")</f>
        <v>0</v>
      </c>
      <c r="J36" s="92" cm="1">
        <f t="array" aca="1" ref="J36" ca="1">IFERROR(INDEX(Rango_Admin_Clas_Total,J$2,MATCH($A36,Rango_Admin_Clas_Primera,0)+1),"-")</f>
        <v>0</v>
      </c>
      <c r="K36" s="92" cm="1">
        <f t="array" aca="1" ref="K36" ca="1">IFERROR(INDEX(Rango_Admin_Clas_Total,K$2,MATCH($A36,Rango_Admin_Clas_Primera,0)+1),"-")</f>
        <v>0</v>
      </c>
      <c r="L36" s="92" cm="1">
        <f t="array" aca="1" ref="L36" ca="1">IFERROR(INDEX(Rango_Admin_Clas_Total,L$2,MATCH($A36,Rango_Admin_Clas_Primera,0)+1),"-")</f>
        <v>0</v>
      </c>
      <c r="M36" s="92" cm="1">
        <f t="array" aca="1" ref="M36" ca="1">IFERROR(INDEX(Rango_Admin_Clas_Total,M$2,MATCH($A36,Rango_Admin_Clas_Primera,0)+1),"-")</f>
        <v>0</v>
      </c>
      <c r="N36" s="92" cm="1">
        <f t="array" aca="1" ref="N36" ca="1">IFERROR(INDEX(Rango_Admin_Clas_Total,N$2,MATCH($A36,Rango_Admin_Clas_Primera,0)+1),"-")</f>
        <v>0</v>
      </c>
      <c r="O36" s="92" cm="1">
        <f t="array" aca="1" ref="O36" ca="1">IFERROR(INDEX(Rango_Admin_Clas_Total,O$2,MATCH($A36,Rango_Admin_Clas_Primera,0)+1),"-")</f>
        <v>0</v>
      </c>
      <c r="P36" s="92" cm="1">
        <f t="array" aca="1" ref="P36" ca="1">IFERROR(INDEX(Rango_Admin_Clas_Total,P$2,MATCH($A36,Rango_Admin_Clas_Primera,0)+1),"-")</f>
        <v>0</v>
      </c>
      <c r="Q36" s="92" cm="1">
        <f t="array" aca="1" ref="Q36" ca="1">IFERROR(INDEX(Rango_Admin_Clas_Total,Q$2,MATCH($A36,Rango_Admin_Clas_Primera,0)+1),"-")</f>
        <v>0</v>
      </c>
      <c r="R36" s="92" cm="1">
        <f t="array" aca="1" ref="R36" ca="1">IFERROR(INDEX(Rango_Admin_Clas_Total,R$2,MATCH($A36,Rango_Admin_Clas_Primera,0)+1),"-")</f>
        <v>0</v>
      </c>
      <c r="S36" s="92" cm="1">
        <f t="array" aca="1" ref="S36" ca="1">IFERROR(INDEX(Rango_Admin_Clas_Total,S$2,MATCH($A36,Rango_Admin_Clas_Primera,0)+1),"-")</f>
        <v>0</v>
      </c>
      <c r="T36" s="297"/>
      <c r="U36" s="297"/>
    </row>
    <row r="37" spans="1:21">
      <c r="A37" s="19">
        <f t="shared" si="0"/>
        <v>33</v>
      </c>
      <c r="B37" s="22">
        <f ca="1">IFERROR(HLOOKUP(A37,Rango_Admin_Clas,3,FALSE),"-")</f>
        <v>31</v>
      </c>
      <c r="C37" s="18" t="str">
        <f ca="1">IFERROR(HLOOKUP(A37,Rango_Admin_Clas,5,FALSE),"-")</f>
        <v>Kurtischamp</v>
      </c>
      <c r="D37" s="91">
        <f ca="1">IFERROR(HLOOKUP(A37,Rango_Admin_Clas,4,FALSE),"-")</f>
        <v>25</v>
      </c>
      <c r="E37" s="92" cm="1">
        <f t="array" aca="1" ref="E37" ca="1">IFERROR(INDEX(Rango_Admin_Clas_Total,E$2,MATCH($A37,Rango_Admin_Clas_Primera,0)+1),"-")</f>
        <v>25</v>
      </c>
      <c r="F37" s="92" cm="1">
        <f t="array" aca="1" ref="F37" ca="1">IFERROR(INDEX(Rango_Admin_Clas_Total,F$2,MATCH($A37,Rango_Admin_Clas_Primera,0)+1),"-")</f>
        <v>0</v>
      </c>
      <c r="G37" s="92" cm="1">
        <f t="array" aca="1" ref="G37" ca="1">IFERROR(INDEX(Rango_Admin_Clas_Total,G$2,MATCH($A37,Rango_Admin_Clas_Primera,0)+1),"-")</f>
        <v>0</v>
      </c>
      <c r="H37" s="92" cm="1">
        <f t="array" aca="1" ref="H37" ca="1">IFERROR(INDEX(Rango_Admin_Clas_Total,H$2,MATCH($A37,Rango_Admin_Clas_Primera,0)+1),"-")</f>
        <v>0</v>
      </c>
      <c r="I37" s="92" cm="1">
        <f t="array" aca="1" ref="I37" ca="1">IFERROR(INDEX(Rango_Admin_Clas_Total,I$2,MATCH($A37,Rango_Admin_Clas_Primera,0)+1),"-")</f>
        <v>0</v>
      </c>
      <c r="J37" s="92" cm="1">
        <f t="array" aca="1" ref="J37" ca="1">IFERROR(INDEX(Rango_Admin_Clas_Total,J$2,MATCH($A37,Rango_Admin_Clas_Primera,0)+1),"-")</f>
        <v>0</v>
      </c>
      <c r="K37" s="92" cm="1">
        <f t="array" aca="1" ref="K37" ca="1">IFERROR(INDEX(Rango_Admin_Clas_Total,K$2,MATCH($A37,Rango_Admin_Clas_Primera,0)+1),"-")</f>
        <v>0</v>
      </c>
      <c r="L37" s="92" cm="1">
        <f t="array" aca="1" ref="L37" ca="1">IFERROR(INDEX(Rango_Admin_Clas_Total,L$2,MATCH($A37,Rango_Admin_Clas_Primera,0)+1),"-")</f>
        <v>0</v>
      </c>
      <c r="M37" s="92" cm="1">
        <f t="array" aca="1" ref="M37" ca="1">IFERROR(INDEX(Rango_Admin_Clas_Total,M$2,MATCH($A37,Rango_Admin_Clas_Primera,0)+1),"-")</f>
        <v>0</v>
      </c>
      <c r="N37" s="92" cm="1">
        <f t="array" aca="1" ref="N37" ca="1">IFERROR(INDEX(Rango_Admin_Clas_Total,N$2,MATCH($A37,Rango_Admin_Clas_Primera,0)+1),"-")</f>
        <v>0</v>
      </c>
      <c r="O37" s="92" cm="1">
        <f t="array" aca="1" ref="O37" ca="1">IFERROR(INDEX(Rango_Admin_Clas_Total,O$2,MATCH($A37,Rango_Admin_Clas_Primera,0)+1),"-")</f>
        <v>0</v>
      </c>
      <c r="P37" s="92" cm="1">
        <f t="array" aca="1" ref="P37" ca="1">IFERROR(INDEX(Rango_Admin_Clas_Total,P$2,MATCH($A37,Rango_Admin_Clas_Primera,0)+1),"-")</f>
        <v>0</v>
      </c>
      <c r="Q37" s="92" cm="1">
        <f t="array" aca="1" ref="Q37" ca="1">IFERROR(INDEX(Rango_Admin_Clas_Total,Q$2,MATCH($A37,Rango_Admin_Clas_Primera,0)+1),"-")</f>
        <v>0</v>
      </c>
      <c r="R37" s="92" cm="1">
        <f t="array" aca="1" ref="R37" ca="1">IFERROR(INDEX(Rango_Admin_Clas_Total,R$2,MATCH($A37,Rango_Admin_Clas_Primera,0)+1),"-")</f>
        <v>0</v>
      </c>
      <c r="S37" s="92" cm="1">
        <f t="array" aca="1" ref="S37" ca="1">IFERROR(INDEX(Rango_Admin_Clas_Total,S$2,MATCH($A37,Rango_Admin_Clas_Primera,0)+1),"-")</f>
        <v>0</v>
      </c>
      <c r="T37" s="297"/>
      <c r="U37" s="297"/>
    </row>
    <row r="38" spans="1:21">
      <c r="A38" s="19">
        <f t="shared" si="0"/>
        <v>34</v>
      </c>
      <c r="B38" s="22">
        <f ca="1">IFERROR(HLOOKUP(A38,Rango_Admin_Clas,3,FALSE),"-")</f>
        <v>34</v>
      </c>
      <c r="C38" s="18" t="str">
        <f ca="1">IFERROR(HLOOKUP(A38,Rango_Admin_Clas,5,FALSE),"-")</f>
        <v>Hulk Rexach</v>
      </c>
      <c r="D38" s="91">
        <f ca="1">IFERROR(HLOOKUP(A38,Rango_Admin_Clas,4,FALSE),"-")</f>
        <v>24</v>
      </c>
      <c r="E38" s="92" cm="1">
        <f t="array" aca="1" ref="E38" ca="1">IFERROR(INDEX(Rango_Admin_Clas_Total,E$2,MATCH($A38,Rango_Admin_Clas_Primera,0)+1),"-")</f>
        <v>24</v>
      </c>
      <c r="F38" s="92" cm="1">
        <f t="array" aca="1" ref="F38" ca="1">IFERROR(INDEX(Rango_Admin_Clas_Total,F$2,MATCH($A38,Rango_Admin_Clas_Primera,0)+1),"-")</f>
        <v>0</v>
      </c>
      <c r="G38" s="92" cm="1">
        <f t="array" aca="1" ref="G38" ca="1">IFERROR(INDEX(Rango_Admin_Clas_Total,G$2,MATCH($A38,Rango_Admin_Clas_Primera,0)+1),"-")</f>
        <v>0</v>
      </c>
      <c r="H38" s="92" cm="1">
        <f t="array" aca="1" ref="H38" ca="1">IFERROR(INDEX(Rango_Admin_Clas_Total,H$2,MATCH($A38,Rango_Admin_Clas_Primera,0)+1),"-")</f>
        <v>0</v>
      </c>
      <c r="I38" s="92" cm="1">
        <f t="array" aca="1" ref="I38" ca="1">IFERROR(INDEX(Rango_Admin_Clas_Total,I$2,MATCH($A38,Rango_Admin_Clas_Primera,0)+1),"-")</f>
        <v>0</v>
      </c>
      <c r="J38" s="92" cm="1">
        <f t="array" aca="1" ref="J38" ca="1">IFERROR(INDEX(Rango_Admin_Clas_Total,J$2,MATCH($A38,Rango_Admin_Clas_Primera,0)+1),"-")</f>
        <v>0</v>
      </c>
      <c r="K38" s="92" cm="1">
        <f t="array" aca="1" ref="K38" ca="1">IFERROR(INDEX(Rango_Admin_Clas_Total,K$2,MATCH($A38,Rango_Admin_Clas_Primera,0)+1),"-")</f>
        <v>0</v>
      </c>
      <c r="L38" s="92" cm="1">
        <f t="array" aca="1" ref="L38" ca="1">IFERROR(INDEX(Rango_Admin_Clas_Total,L$2,MATCH($A38,Rango_Admin_Clas_Primera,0)+1),"-")</f>
        <v>0</v>
      </c>
      <c r="M38" s="92" cm="1">
        <f t="array" aca="1" ref="M38" ca="1">IFERROR(INDEX(Rango_Admin_Clas_Total,M$2,MATCH($A38,Rango_Admin_Clas_Primera,0)+1),"-")</f>
        <v>0</v>
      </c>
      <c r="N38" s="92" cm="1">
        <f t="array" aca="1" ref="N38" ca="1">IFERROR(INDEX(Rango_Admin_Clas_Total,N$2,MATCH($A38,Rango_Admin_Clas_Primera,0)+1),"-")</f>
        <v>0</v>
      </c>
      <c r="O38" s="92" cm="1">
        <f t="array" aca="1" ref="O38" ca="1">IFERROR(INDEX(Rango_Admin_Clas_Total,O$2,MATCH($A38,Rango_Admin_Clas_Primera,0)+1),"-")</f>
        <v>0</v>
      </c>
      <c r="P38" s="92" cm="1">
        <f t="array" aca="1" ref="P38" ca="1">IFERROR(INDEX(Rango_Admin_Clas_Total,P$2,MATCH($A38,Rango_Admin_Clas_Primera,0)+1),"-")</f>
        <v>0</v>
      </c>
      <c r="Q38" s="92" cm="1">
        <f t="array" aca="1" ref="Q38" ca="1">IFERROR(INDEX(Rango_Admin_Clas_Total,Q$2,MATCH($A38,Rango_Admin_Clas_Primera,0)+1),"-")</f>
        <v>0</v>
      </c>
      <c r="R38" s="92" cm="1">
        <f t="array" aca="1" ref="R38" ca="1">IFERROR(INDEX(Rango_Admin_Clas_Total,R$2,MATCH($A38,Rango_Admin_Clas_Primera,0)+1),"-")</f>
        <v>0</v>
      </c>
      <c r="S38" s="92" cm="1">
        <f t="array" aca="1" ref="S38" ca="1">IFERROR(INDEX(Rango_Admin_Clas_Total,S$2,MATCH($A38,Rango_Admin_Clas_Primera,0)+1),"-")</f>
        <v>0</v>
      </c>
      <c r="T38" s="297"/>
      <c r="U38" s="297"/>
    </row>
    <row r="39" spans="1:21">
      <c r="A39" s="19">
        <f t="shared" si="0"/>
        <v>35</v>
      </c>
      <c r="B39" s="22">
        <f ca="1">IFERROR(HLOOKUP(A39,Rango_Admin_Clas,3,FALSE),"-")</f>
        <v>34</v>
      </c>
      <c r="C39" s="18" t="str">
        <f ca="1">IFERROR(HLOOKUP(A39,Rango_Admin_Clas,5,FALSE),"-")</f>
        <v>Pablo C</v>
      </c>
      <c r="D39" s="91">
        <f ca="1">IFERROR(HLOOKUP(A39,Rango_Admin_Clas,4,FALSE),"-")</f>
        <v>24</v>
      </c>
      <c r="E39" s="92" cm="1">
        <f t="array" aca="1" ref="E39" ca="1">IFERROR(INDEX(Rango_Admin_Clas_Total,E$2,MATCH($A39,Rango_Admin_Clas_Primera,0)+1),"-")</f>
        <v>24</v>
      </c>
      <c r="F39" s="92" cm="1">
        <f t="array" aca="1" ref="F39" ca="1">IFERROR(INDEX(Rango_Admin_Clas_Total,F$2,MATCH($A39,Rango_Admin_Clas_Primera,0)+1),"-")</f>
        <v>0</v>
      </c>
      <c r="G39" s="92" cm="1">
        <f t="array" aca="1" ref="G39" ca="1">IFERROR(INDEX(Rango_Admin_Clas_Total,G$2,MATCH($A39,Rango_Admin_Clas_Primera,0)+1),"-")</f>
        <v>0</v>
      </c>
      <c r="H39" s="92" cm="1">
        <f t="array" aca="1" ref="H39" ca="1">IFERROR(INDEX(Rango_Admin_Clas_Total,H$2,MATCH($A39,Rango_Admin_Clas_Primera,0)+1),"-")</f>
        <v>0</v>
      </c>
      <c r="I39" s="92" cm="1">
        <f t="array" aca="1" ref="I39" ca="1">IFERROR(INDEX(Rango_Admin_Clas_Total,I$2,MATCH($A39,Rango_Admin_Clas_Primera,0)+1),"-")</f>
        <v>0</v>
      </c>
      <c r="J39" s="92" cm="1">
        <f t="array" aca="1" ref="J39" ca="1">IFERROR(INDEX(Rango_Admin_Clas_Total,J$2,MATCH($A39,Rango_Admin_Clas_Primera,0)+1),"-")</f>
        <v>0</v>
      </c>
      <c r="K39" s="92" cm="1">
        <f t="array" aca="1" ref="K39" ca="1">IFERROR(INDEX(Rango_Admin_Clas_Total,K$2,MATCH($A39,Rango_Admin_Clas_Primera,0)+1),"-")</f>
        <v>0</v>
      </c>
      <c r="L39" s="92" cm="1">
        <f t="array" aca="1" ref="L39" ca="1">IFERROR(INDEX(Rango_Admin_Clas_Total,L$2,MATCH($A39,Rango_Admin_Clas_Primera,0)+1),"-")</f>
        <v>0</v>
      </c>
      <c r="M39" s="92" cm="1">
        <f t="array" aca="1" ref="M39" ca="1">IFERROR(INDEX(Rango_Admin_Clas_Total,M$2,MATCH($A39,Rango_Admin_Clas_Primera,0)+1),"-")</f>
        <v>0</v>
      </c>
      <c r="N39" s="92" cm="1">
        <f t="array" aca="1" ref="N39" ca="1">IFERROR(INDEX(Rango_Admin_Clas_Total,N$2,MATCH($A39,Rango_Admin_Clas_Primera,0)+1),"-")</f>
        <v>0</v>
      </c>
      <c r="O39" s="92" cm="1">
        <f t="array" aca="1" ref="O39" ca="1">IFERROR(INDEX(Rango_Admin_Clas_Total,O$2,MATCH($A39,Rango_Admin_Clas_Primera,0)+1),"-")</f>
        <v>0</v>
      </c>
      <c r="P39" s="92" cm="1">
        <f t="array" aca="1" ref="P39" ca="1">IFERROR(INDEX(Rango_Admin_Clas_Total,P$2,MATCH($A39,Rango_Admin_Clas_Primera,0)+1),"-")</f>
        <v>0</v>
      </c>
      <c r="Q39" s="92" cm="1">
        <f t="array" aca="1" ref="Q39" ca="1">IFERROR(INDEX(Rango_Admin_Clas_Total,Q$2,MATCH($A39,Rango_Admin_Clas_Primera,0)+1),"-")</f>
        <v>0</v>
      </c>
      <c r="R39" s="92" cm="1">
        <f t="array" aca="1" ref="R39" ca="1">IFERROR(INDEX(Rango_Admin_Clas_Total,R$2,MATCH($A39,Rango_Admin_Clas_Primera,0)+1),"-")</f>
        <v>0</v>
      </c>
      <c r="S39" s="92" cm="1">
        <f t="array" aca="1" ref="S39" ca="1">IFERROR(INDEX(Rango_Admin_Clas_Total,S$2,MATCH($A39,Rango_Admin_Clas_Primera,0)+1),"-")</f>
        <v>0</v>
      </c>
      <c r="T39" s="297"/>
      <c r="U39" s="297"/>
    </row>
    <row r="40" spans="1:21">
      <c r="A40" s="19">
        <f t="shared" si="0"/>
        <v>36</v>
      </c>
      <c r="B40" s="22">
        <f ca="1">IFERROR(HLOOKUP(A40,Rango_Admin_Clas,3,FALSE),"-")</f>
        <v>34</v>
      </c>
      <c r="C40" s="18" t="str">
        <f ca="1">IFERROR(HLOOKUP(A40,Rango_Admin_Clas,5,FALSE),"-")</f>
        <v>Florentino Netanyahu</v>
      </c>
      <c r="D40" s="91">
        <f ca="1">IFERROR(HLOOKUP(A40,Rango_Admin_Clas,4,FALSE),"-")</f>
        <v>24</v>
      </c>
      <c r="E40" s="92" cm="1">
        <f t="array" aca="1" ref="E40" ca="1">IFERROR(INDEX(Rango_Admin_Clas_Total,E$2,MATCH($A40,Rango_Admin_Clas_Primera,0)+1),"-")</f>
        <v>24</v>
      </c>
      <c r="F40" s="92" cm="1">
        <f t="array" aca="1" ref="F40" ca="1">IFERROR(INDEX(Rango_Admin_Clas_Total,F$2,MATCH($A40,Rango_Admin_Clas_Primera,0)+1),"-")</f>
        <v>0</v>
      </c>
      <c r="G40" s="92" cm="1">
        <f t="array" aca="1" ref="G40" ca="1">IFERROR(INDEX(Rango_Admin_Clas_Total,G$2,MATCH($A40,Rango_Admin_Clas_Primera,0)+1),"-")</f>
        <v>0</v>
      </c>
      <c r="H40" s="92" cm="1">
        <f t="array" aca="1" ref="H40" ca="1">IFERROR(INDEX(Rango_Admin_Clas_Total,H$2,MATCH($A40,Rango_Admin_Clas_Primera,0)+1),"-")</f>
        <v>0</v>
      </c>
      <c r="I40" s="92" cm="1">
        <f t="array" aca="1" ref="I40" ca="1">IFERROR(INDEX(Rango_Admin_Clas_Total,I$2,MATCH($A40,Rango_Admin_Clas_Primera,0)+1),"-")</f>
        <v>0</v>
      </c>
      <c r="J40" s="92" cm="1">
        <f t="array" aca="1" ref="J40" ca="1">IFERROR(INDEX(Rango_Admin_Clas_Total,J$2,MATCH($A40,Rango_Admin_Clas_Primera,0)+1),"-")</f>
        <v>0</v>
      </c>
      <c r="K40" s="92" cm="1">
        <f t="array" aca="1" ref="K40" ca="1">IFERROR(INDEX(Rango_Admin_Clas_Total,K$2,MATCH($A40,Rango_Admin_Clas_Primera,0)+1),"-")</f>
        <v>0</v>
      </c>
      <c r="L40" s="92" cm="1">
        <f t="array" aca="1" ref="L40" ca="1">IFERROR(INDEX(Rango_Admin_Clas_Total,L$2,MATCH($A40,Rango_Admin_Clas_Primera,0)+1),"-")</f>
        <v>0</v>
      </c>
      <c r="M40" s="92" cm="1">
        <f t="array" aca="1" ref="M40" ca="1">IFERROR(INDEX(Rango_Admin_Clas_Total,M$2,MATCH($A40,Rango_Admin_Clas_Primera,0)+1),"-")</f>
        <v>0</v>
      </c>
      <c r="N40" s="92" cm="1">
        <f t="array" aca="1" ref="N40" ca="1">IFERROR(INDEX(Rango_Admin_Clas_Total,N$2,MATCH($A40,Rango_Admin_Clas_Primera,0)+1),"-")</f>
        <v>0</v>
      </c>
      <c r="O40" s="92" cm="1">
        <f t="array" aca="1" ref="O40" ca="1">IFERROR(INDEX(Rango_Admin_Clas_Total,O$2,MATCH($A40,Rango_Admin_Clas_Primera,0)+1),"-")</f>
        <v>0</v>
      </c>
      <c r="P40" s="92" cm="1">
        <f t="array" aca="1" ref="P40" ca="1">IFERROR(INDEX(Rango_Admin_Clas_Total,P$2,MATCH($A40,Rango_Admin_Clas_Primera,0)+1),"-")</f>
        <v>0</v>
      </c>
      <c r="Q40" s="92" cm="1">
        <f t="array" aca="1" ref="Q40" ca="1">IFERROR(INDEX(Rango_Admin_Clas_Total,Q$2,MATCH($A40,Rango_Admin_Clas_Primera,0)+1),"-")</f>
        <v>0</v>
      </c>
      <c r="R40" s="92" cm="1">
        <f t="array" aca="1" ref="R40" ca="1">IFERROR(INDEX(Rango_Admin_Clas_Total,R$2,MATCH($A40,Rango_Admin_Clas_Primera,0)+1),"-")</f>
        <v>0</v>
      </c>
      <c r="S40" s="92" cm="1">
        <f t="array" aca="1" ref="S40" ca="1">IFERROR(INDEX(Rango_Admin_Clas_Total,S$2,MATCH($A40,Rango_Admin_Clas_Primera,0)+1),"-")</f>
        <v>0</v>
      </c>
      <c r="T40" s="297"/>
      <c r="U40" s="297"/>
    </row>
    <row r="41" spans="1:21">
      <c r="A41" s="19">
        <f t="shared" si="0"/>
        <v>37</v>
      </c>
      <c r="B41" s="22">
        <f ca="1">IFERROR(HLOOKUP(A41,Rango_Admin_Clas,3,FALSE),"-")</f>
        <v>34</v>
      </c>
      <c r="C41" s="18" t="str">
        <f ca="1">IFERROR(HLOOKUP(A41,Rango_Admin_Clas,5,FALSE),"-")</f>
        <v>DIDI</v>
      </c>
      <c r="D41" s="91">
        <f ca="1">IFERROR(HLOOKUP(A41,Rango_Admin_Clas,4,FALSE),"-")</f>
        <v>24</v>
      </c>
      <c r="E41" s="92" cm="1">
        <f t="array" aca="1" ref="E41" ca="1">IFERROR(INDEX(Rango_Admin_Clas_Total,E$2,MATCH($A41,Rango_Admin_Clas_Primera,0)+1),"-")</f>
        <v>24</v>
      </c>
      <c r="F41" s="92" cm="1">
        <f t="array" aca="1" ref="F41" ca="1">IFERROR(INDEX(Rango_Admin_Clas_Total,F$2,MATCH($A41,Rango_Admin_Clas_Primera,0)+1),"-")</f>
        <v>0</v>
      </c>
      <c r="G41" s="92" cm="1">
        <f t="array" aca="1" ref="G41" ca="1">IFERROR(INDEX(Rango_Admin_Clas_Total,G$2,MATCH($A41,Rango_Admin_Clas_Primera,0)+1),"-")</f>
        <v>0</v>
      </c>
      <c r="H41" s="92" cm="1">
        <f t="array" aca="1" ref="H41" ca="1">IFERROR(INDEX(Rango_Admin_Clas_Total,H$2,MATCH($A41,Rango_Admin_Clas_Primera,0)+1),"-")</f>
        <v>0</v>
      </c>
      <c r="I41" s="92" cm="1">
        <f t="array" aca="1" ref="I41" ca="1">IFERROR(INDEX(Rango_Admin_Clas_Total,I$2,MATCH($A41,Rango_Admin_Clas_Primera,0)+1),"-")</f>
        <v>0</v>
      </c>
      <c r="J41" s="92" cm="1">
        <f t="array" aca="1" ref="J41" ca="1">IFERROR(INDEX(Rango_Admin_Clas_Total,J$2,MATCH($A41,Rango_Admin_Clas_Primera,0)+1),"-")</f>
        <v>0</v>
      </c>
      <c r="K41" s="92" cm="1">
        <f t="array" aca="1" ref="K41" ca="1">IFERROR(INDEX(Rango_Admin_Clas_Total,K$2,MATCH($A41,Rango_Admin_Clas_Primera,0)+1),"-")</f>
        <v>0</v>
      </c>
      <c r="L41" s="92" cm="1">
        <f t="array" aca="1" ref="L41" ca="1">IFERROR(INDEX(Rango_Admin_Clas_Total,L$2,MATCH($A41,Rango_Admin_Clas_Primera,0)+1),"-")</f>
        <v>0</v>
      </c>
      <c r="M41" s="92" cm="1">
        <f t="array" aca="1" ref="M41" ca="1">IFERROR(INDEX(Rango_Admin_Clas_Total,M$2,MATCH($A41,Rango_Admin_Clas_Primera,0)+1),"-")</f>
        <v>0</v>
      </c>
      <c r="N41" s="92" cm="1">
        <f t="array" aca="1" ref="N41" ca="1">IFERROR(INDEX(Rango_Admin_Clas_Total,N$2,MATCH($A41,Rango_Admin_Clas_Primera,0)+1),"-")</f>
        <v>0</v>
      </c>
      <c r="O41" s="92" cm="1">
        <f t="array" aca="1" ref="O41" ca="1">IFERROR(INDEX(Rango_Admin_Clas_Total,O$2,MATCH($A41,Rango_Admin_Clas_Primera,0)+1),"-")</f>
        <v>0</v>
      </c>
      <c r="P41" s="92" cm="1">
        <f t="array" aca="1" ref="P41" ca="1">IFERROR(INDEX(Rango_Admin_Clas_Total,P$2,MATCH($A41,Rango_Admin_Clas_Primera,0)+1),"-")</f>
        <v>0</v>
      </c>
      <c r="Q41" s="92" cm="1">
        <f t="array" aca="1" ref="Q41" ca="1">IFERROR(INDEX(Rango_Admin_Clas_Total,Q$2,MATCH($A41,Rango_Admin_Clas_Primera,0)+1),"-")</f>
        <v>0</v>
      </c>
      <c r="R41" s="92" cm="1">
        <f t="array" aca="1" ref="R41" ca="1">IFERROR(INDEX(Rango_Admin_Clas_Total,R$2,MATCH($A41,Rango_Admin_Clas_Primera,0)+1),"-")</f>
        <v>0</v>
      </c>
      <c r="S41" s="92" cm="1">
        <f t="array" aca="1" ref="S41" ca="1">IFERROR(INDEX(Rango_Admin_Clas_Total,S$2,MATCH($A41,Rango_Admin_Clas_Primera,0)+1),"-")</f>
        <v>0</v>
      </c>
      <c r="T41" s="297"/>
      <c r="U41" s="297"/>
    </row>
    <row r="42" spans="1:21">
      <c r="A42" s="19">
        <f t="shared" si="0"/>
        <v>38</v>
      </c>
      <c r="B42" s="22">
        <f ca="1">IFERROR(HLOOKUP(A42,Rango_Admin_Clas,3,FALSE),"-")</f>
        <v>34</v>
      </c>
      <c r="C42" s="18" t="str">
        <f ca="1">IFERROR(HLOOKUP(A42,Rango_Admin_Clas,5,FALSE),"-")</f>
        <v>Ricardo Soto</v>
      </c>
      <c r="D42" s="91">
        <f ca="1">IFERROR(HLOOKUP(A42,Rango_Admin_Clas,4,FALSE),"-")</f>
        <v>24</v>
      </c>
      <c r="E42" s="92" cm="1">
        <f t="array" aca="1" ref="E42" ca="1">IFERROR(INDEX(Rango_Admin_Clas_Total,E$2,MATCH($A42,Rango_Admin_Clas_Primera,0)+1),"-")</f>
        <v>24</v>
      </c>
      <c r="F42" s="92" cm="1">
        <f t="array" aca="1" ref="F42" ca="1">IFERROR(INDEX(Rango_Admin_Clas_Total,F$2,MATCH($A42,Rango_Admin_Clas_Primera,0)+1),"-")</f>
        <v>0</v>
      </c>
      <c r="G42" s="92" cm="1">
        <f t="array" aca="1" ref="G42" ca="1">IFERROR(INDEX(Rango_Admin_Clas_Total,G$2,MATCH($A42,Rango_Admin_Clas_Primera,0)+1),"-")</f>
        <v>0</v>
      </c>
      <c r="H42" s="92" cm="1">
        <f t="array" aca="1" ref="H42" ca="1">IFERROR(INDEX(Rango_Admin_Clas_Total,H$2,MATCH($A42,Rango_Admin_Clas_Primera,0)+1),"-")</f>
        <v>0</v>
      </c>
      <c r="I42" s="92" cm="1">
        <f t="array" aca="1" ref="I42" ca="1">IFERROR(INDEX(Rango_Admin_Clas_Total,I$2,MATCH($A42,Rango_Admin_Clas_Primera,0)+1),"-")</f>
        <v>0</v>
      </c>
      <c r="J42" s="92" cm="1">
        <f t="array" aca="1" ref="J42" ca="1">IFERROR(INDEX(Rango_Admin_Clas_Total,J$2,MATCH($A42,Rango_Admin_Clas_Primera,0)+1),"-")</f>
        <v>0</v>
      </c>
      <c r="K42" s="92" cm="1">
        <f t="array" aca="1" ref="K42" ca="1">IFERROR(INDEX(Rango_Admin_Clas_Total,K$2,MATCH($A42,Rango_Admin_Clas_Primera,0)+1),"-")</f>
        <v>0</v>
      </c>
      <c r="L42" s="92" cm="1">
        <f t="array" aca="1" ref="L42" ca="1">IFERROR(INDEX(Rango_Admin_Clas_Total,L$2,MATCH($A42,Rango_Admin_Clas_Primera,0)+1),"-")</f>
        <v>0</v>
      </c>
      <c r="M42" s="92" cm="1">
        <f t="array" aca="1" ref="M42" ca="1">IFERROR(INDEX(Rango_Admin_Clas_Total,M$2,MATCH($A42,Rango_Admin_Clas_Primera,0)+1),"-")</f>
        <v>0</v>
      </c>
      <c r="N42" s="92" cm="1">
        <f t="array" aca="1" ref="N42" ca="1">IFERROR(INDEX(Rango_Admin_Clas_Total,N$2,MATCH($A42,Rango_Admin_Clas_Primera,0)+1),"-")</f>
        <v>0</v>
      </c>
      <c r="O42" s="92" cm="1">
        <f t="array" aca="1" ref="O42" ca="1">IFERROR(INDEX(Rango_Admin_Clas_Total,O$2,MATCH($A42,Rango_Admin_Clas_Primera,0)+1),"-")</f>
        <v>0</v>
      </c>
      <c r="P42" s="92" cm="1">
        <f t="array" aca="1" ref="P42" ca="1">IFERROR(INDEX(Rango_Admin_Clas_Total,P$2,MATCH($A42,Rango_Admin_Clas_Primera,0)+1),"-")</f>
        <v>0</v>
      </c>
      <c r="Q42" s="92" cm="1">
        <f t="array" aca="1" ref="Q42" ca="1">IFERROR(INDEX(Rango_Admin_Clas_Total,Q$2,MATCH($A42,Rango_Admin_Clas_Primera,0)+1),"-")</f>
        <v>0</v>
      </c>
      <c r="R42" s="92" cm="1">
        <f t="array" aca="1" ref="R42" ca="1">IFERROR(INDEX(Rango_Admin_Clas_Total,R$2,MATCH($A42,Rango_Admin_Clas_Primera,0)+1),"-")</f>
        <v>0</v>
      </c>
      <c r="S42" s="92" cm="1">
        <f t="array" aca="1" ref="S42" ca="1">IFERROR(INDEX(Rango_Admin_Clas_Total,S$2,MATCH($A42,Rango_Admin_Clas_Primera,0)+1),"-")</f>
        <v>0</v>
      </c>
      <c r="T42" s="297"/>
      <c r="U42" s="297"/>
    </row>
    <row r="43" spans="1:21">
      <c r="A43" s="19">
        <f t="shared" si="0"/>
        <v>39</v>
      </c>
      <c r="B43" s="22">
        <f ca="1">IFERROR(HLOOKUP(A43,Rango_Admin_Clas,3,FALSE),"-")</f>
        <v>39</v>
      </c>
      <c r="C43" s="18" t="str">
        <f ca="1">IFERROR(HLOOKUP(A43,Rango_Admin_Clas,5,FALSE),"-")</f>
        <v>Luis B</v>
      </c>
      <c r="D43" s="91">
        <f ca="1">IFERROR(HLOOKUP(A43,Rango_Admin_Clas,4,FALSE),"-")</f>
        <v>22</v>
      </c>
      <c r="E43" s="92" cm="1">
        <f t="array" aca="1" ref="E43" ca="1">IFERROR(INDEX(Rango_Admin_Clas_Total,E$2,MATCH($A43,Rango_Admin_Clas_Primera,0)+1),"-")</f>
        <v>22</v>
      </c>
      <c r="F43" s="92" cm="1">
        <f t="array" aca="1" ref="F43" ca="1">IFERROR(INDEX(Rango_Admin_Clas_Total,F$2,MATCH($A43,Rango_Admin_Clas_Primera,0)+1),"-")</f>
        <v>0</v>
      </c>
      <c r="G43" s="92" cm="1">
        <f t="array" aca="1" ref="G43" ca="1">IFERROR(INDEX(Rango_Admin_Clas_Total,G$2,MATCH($A43,Rango_Admin_Clas_Primera,0)+1),"-")</f>
        <v>0</v>
      </c>
      <c r="H43" s="92" cm="1">
        <f t="array" aca="1" ref="H43" ca="1">IFERROR(INDEX(Rango_Admin_Clas_Total,H$2,MATCH($A43,Rango_Admin_Clas_Primera,0)+1),"-")</f>
        <v>0</v>
      </c>
      <c r="I43" s="92" cm="1">
        <f t="array" aca="1" ref="I43" ca="1">IFERROR(INDEX(Rango_Admin_Clas_Total,I$2,MATCH($A43,Rango_Admin_Clas_Primera,0)+1),"-")</f>
        <v>0</v>
      </c>
      <c r="J43" s="92" cm="1">
        <f t="array" aca="1" ref="J43" ca="1">IFERROR(INDEX(Rango_Admin_Clas_Total,J$2,MATCH($A43,Rango_Admin_Clas_Primera,0)+1),"-")</f>
        <v>0</v>
      </c>
      <c r="K43" s="92" cm="1">
        <f t="array" aca="1" ref="K43" ca="1">IFERROR(INDEX(Rango_Admin_Clas_Total,K$2,MATCH($A43,Rango_Admin_Clas_Primera,0)+1),"-")</f>
        <v>0</v>
      </c>
      <c r="L43" s="92" cm="1">
        <f t="array" aca="1" ref="L43" ca="1">IFERROR(INDEX(Rango_Admin_Clas_Total,L$2,MATCH($A43,Rango_Admin_Clas_Primera,0)+1),"-")</f>
        <v>0</v>
      </c>
      <c r="M43" s="92" cm="1">
        <f t="array" aca="1" ref="M43" ca="1">IFERROR(INDEX(Rango_Admin_Clas_Total,M$2,MATCH($A43,Rango_Admin_Clas_Primera,0)+1),"-")</f>
        <v>0</v>
      </c>
      <c r="N43" s="92" cm="1">
        <f t="array" aca="1" ref="N43" ca="1">IFERROR(INDEX(Rango_Admin_Clas_Total,N$2,MATCH($A43,Rango_Admin_Clas_Primera,0)+1),"-")</f>
        <v>0</v>
      </c>
      <c r="O43" s="92" cm="1">
        <f t="array" aca="1" ref="O43" ca="1">IFERROR(INDEX(Rango_Admin_Clas_Total,O$2,MATCH($A43,Rango_Admin_Clas_Primera,0)+1),"-")</f>
        <v>0</v>
      </c>
      <c r="P43" s="92" cm="1">
        <f t="array" aca="1" ref="P43" ca="1">IFERROR(INDEX(Rango_Admin_Clas_Total,P$2,MATCH($A43,Rango_Admin_Clas_Primera,0)+1),"-")</f>
        <v>0</v>
      </c>
      <c r="Q43" s="92" cm="1">
        <f t="array" aca="1" ref="Q43" ca="1">IFERROR(INDEX(Rango_Admin_Clas_Total,Q$2,MATCH($A43,Rango_Admin_Clas_Primera,0)+1),"-")</f>
        <v>0</v>
      </c>
      <c r="R43" s="92" cm="1">
        <f t="array" aca="1" ref="R43" ca="1">IFERROR(INDEX(Rango_Admin_Clas_Total,R$2,MATCH($A43,Rango_Admin_Clas_Primera,0)+1),"-")</f>
        <v>0</v>
      </c>
      <c r="S43" s="92" cm="1">
        <f t="array" aca="1" ref="S43" ca="1">IFERROR(INDEX(Rango_Admin_Clas_Total,S$2,MATCH($A43,Rango_Admin_Clas_Primera,0)+1),"-")</f>
        <v>0</v>
      </c>
      <c r="T43" s="297"/>
      <c r="U43" s="297"/>
    </row>
    <row r="44" spans="1:21">
      <c r="A44" s="19">
        <f t="shared" si="0"/>
        <v>40</v>
      </c>
      <c r="B44" s="22">
        <f ca="1">IFERROR(HLOOKUP(A44,Rango_Admin_Clas,3,FALSE),"-")</f>
        <v>40</v>
      </c>
      <c r="C44" s="18" t="str">
        <f ca="1">IFERROR(HLOOKUP(A44,Rango_Admin_Clas,5,FALSE),"-")</f>
        <v>Nacho Novo</v>
      </c>
      <c r="D44" s="91">
        <f ca="1">IFERROR(HLOOKUP(A44,Rango_Admin_Clas,4,FALSE),"-")</f>
        <v>20</v>
      </c>
      <c r="E44" s="92" cm="1">
        <f t="array" aca="1" ref="E44" ca="1">IFERROR(INDEX(Rango_Admin_Clas_Total,E$2,MATCH($A44,Rango_Admin_Clas_Primera,0)+1),"-")</f>
        <v>20</v>
      </c>
      <c r="F44" s="92" cm="1">
        <f t="array" aca="1" ref="F44" ca="1">IFERROR(INDEX(Rango_Admin_Clas_Total,F$2,MATCH($A44,Rango_Admin_Clas_Primera,0)+1),"-")</f>
        <v>0</v>
      </c>
      <c r="G44" s="92" cm="1">
        <f t="array" aca="1" ref="G44" ca="1">IFERROR(INDEX(Rango_Admin_Clas_Total,G$2,MATCH($A44,Rango_Admin_Clas_Primera,0)+1),"-")</f>
        <v>0</v>
      </c>
      <c r="H44" s="92" cm="1">
        <f t="array" aca="1" ref="H44" ca="1">IFERROR(INDEX(Rango_Admin_Clas_Total,H$2,MATCH($A44,Rango_Admin_Clas_Primera,0)+1),"-")</f>
        <v>0</v>
      </c>
      <c r="I44" s="92" cm="1">
        <f t="array" aca="1" ref="I44" ca="1">IFERROR(INDEX(Rango_Admin_Clas_Total,I$2,MATCH($A44,Rango_Admin_Clas_Primera,0)+1),"-")</f>
        <v>0</v>
      </c>
      <c r="J44" s="92" cm="1">
        <f t="array" aca="1" ref="J44" ca="1">IFERROR(INDEX(Rango_Admin_Clas_Total,J$2,MATCH($A44,Rango_Admin_Clas_Primera,0)+1),"-")</f>
        <v>0</v>
      </c>
      <c r="K44" s="92" cm="1">
        <f t="array" aca="1" ref="K44" ca="1">IFERROR(INDEX(Rango_Admin_Clas_Total,K$2,MATCH($A44,Rango_Admin_Clas_Primera,0)+1),"-")</f>
        <v>0</v>
      </c>
      <c r="L44" s="92" cm="1">
        <f t="array" aca="1" ref="L44" ca="1">IFERROR(INDEX(Rango_Admin_Clas_Total,L$2,MATCH($A44,Rango_Admin_Clas_Primera,0)+1),"-")</f>
        <v>0</v>
      </c>
      <c r="M44" s="92" cm="1">
        <f t="array" aca="1" ref="M44" ca="1">IFERROR(INDEX(Rango_Admin_Clas_Total,M$2,MATCH($A44,Rango_Admin_Clas_Primera,0)+1),"-")</f>
        <v>0</v>
      </c>
      <c r="N44" s="92" cm="1">
        <f t="array" aca="1" ref="N44" ca="1">IFERROR(INDEX(Rango_Admin_Clas_Total,N$2,MATCH($A44,Rango_Admin_Clas_Primera,0)+1),"-")</f>
        <v>0</v>
      </c>
      <c r="O44" s="92" cm="1">
        <f t="array" aca="1" ref="O44" ca="1">IFERROR(INDEX(Rango_Admin_Clas_Total,O$2,MATCH($A44,Rango_Admin_Clas_Primera,0)+1),"-")</f>
        <v>0</v>
      </c>
      <c r="P44" s="92" cm="1">
        <f t="array" aca="1" ref="P44" ca="1">IFERROR(INDEX(Rango_Admin_Clas_Total,P$2,MATCH($A44,Rango_Admin_Clas_Primera,0)+1),"-")</f>
        <v>0</v>
      </c>
      <c r="Q44" s="92" cm="1">
        <f t="array" aca="1" ref="Q44" ca="1">IFERROR(INDEX(Rango_Admin_Clas_Total,Q$2,MATCH($A44,Rango_Admin_Clas_Primera,0)+1),"-")</f>
        <v>0</v>
      </c>
      <c r="R44" s="92" cm="1">
        <f t="array" aca="1" ref="R44" ca="1">IFERROR(INDEX(Rango_Admin_Clas_Total,R$2,MATCH($A44,Rango_Admin_Clas_Primera,0)+1),"-")</f>
        <v>0</v>
      </c>
      <c r="S44" s="92" cm="1">
        <f t="array" aca="1" ref="S44" ca="1">IFERROR(INDEX(Rango_Admin_Clas_Total,S$2,MATCH($A44,Rango_Admin_Clas_Primera,0)+1),"-")</f>
        <v>0</v>
      </c>
      <c r="T44" s="297"/>
      <c r="U44" s="297"/>
    </row>
    <row r="45" spans="1:21">
      <c r="A45" s="19">
        <f t="shared" si="0"/>
        <v>41</v>
      </c>
      <c r="B45" s="22">
        <f ca="1">IFERROR(HLOOKUP(A45,Rango_Admin_Clas,3,FALSE),"-")</f>
        <v>41</v>
      </c>
      <c r="C45" s="18" t="str">
        <f ca="1">IFERROR(HLOOKUP(A45,Rango_Admin_Clas,5,FALSE),"-")</f>
        <v>JUAN SOLAS</v>
      </c>
      <c r="D45" s="91">
        <f ca="1">IFERROR(HLOOKUP(A45,Rango_Admin_Clas,4,FALSE),"-")</f>
        <v>19</v>
      </c>
      <c r="E45" s="92" cm="1">
        <f t="array" aca="1" ref="E45" ca="1">IFERROR(INDEX(Rango_Admin_Clas_Total,E$2,MATCH($A45,Rango_Admin_Clas_Primera,0)+1),"-")</f>
        <v>19</v>
      </c>
      <c r="F45" s="92" cm="1">
        <f t="array" aca="1" ref="F45" ca="1">IFERROR(INDEX(Rango_Admin_Clas_Total,F$2,MATCH($A45,Rango_Admin_Clas_Primera,0)+1),"-")</f>
        <v>0</v>
      </c>
      <c r="G45" s="92" cm="1">
        <f t="array" aca="1" ref="G45" ca="1">IFERROR(INDEX(Rango_Admin_Clas_Total,G$2,MATCH($A45,Rango_Admin_Clas_Primera,0)+1),"-")</f>
        <v>0</v>
      </c>
      <c r="H45" s="92" cm="1">
        <f t="array" aca="1" ref="H45" ca="1">IFERROR(INDEX(Rango_Admin_Clas_Total,H$2,MATCH($A45,Rango_Admin_Clas_Primera,0)+1),"-")</f>
        <v>0</v>
      </c>
      <c r="I45" s="92" cm="1">
        <f t="array" aca="1" ref="I45" ca="1">IFERROR(INDEX(Rango_Admin_Clas_Total,I$2,MATCH($A45,Rango_Admin_Clas_Primera,0)+1),"-")</f>
        <v>0</v>
      </c>
      <c r="J45" s="92" cm="1">
        <f t="array" aca="1" ref="J45" ca="1">IFERROR(INDEX(Rango_Admin_Clas_Total,J$2,MATCH($A45,Rango_Admin_Clas_Primera,0)+1),"-")</f>
        <v>0</v>
      </c>
      <c r="K45" s="92" cm="1">
        <f t="array" aca="1" ref="K45" ca="1">IFERROR(INDEX(Rango_Admin_Clas_Total,K$2,MATCH($A45,Rango_Admin_Clas_Primera,0)+1),"-")</f>
        <v>0</v>
      </c>
      <c r="L45" s="92" cm="1">
        <f t="array" aca="1" ref="L45" ca="1">IFERROR(INDEX(Rango_Admin_Clas_Total,L$2,MATCH($A45,Rango_Admin_Clas_Primera,0)+1),"-")</f>
        <v>0</v>
      </c>
      <c r="M45" s="92" cm="1">
        <f t="array" aca="1" ref="M45" ca="1">IFERROR(INDEX(Rango_Admin_Clas_Total,M$2,MATCH($A45,Rango_Admin_Clas_Primera,0)+1),"-")</f>
        <v>0</v>
      </c>
      <c r="N45" s="92" cm="1">
        <f t="array" aca="1" ref="N45" ca="1">IFERROR(INDEX(Rango_Admin_Clas_Total,N$2,MATCH($A45,Rango_Admin_Clas_Primera,0)+1),"-")</f>
        <v>0</v>
      </c>
      <c r="O45" s="92" cm="1">
        <f t="array" aca="1" ref="O45" ca="1">IFERROR(INDEX(Rango_Admin_Clas_Total,O$2,MATCH($A45,Rango_Admin_Clas_Primera,0)+1),"-")</f>
        <v>0</v>
      </c>
      <c r="P45" s="92" cm="1">
        <f t="array" aca="1" ref="P45" ca="1">IFERROR(INDEX(Rango_Admin_Clas_Total,P$2,MATCH($A45,Rango_Admin_Clas_Primera,0)+1),"-")</f>
        <v>0</v>
      </c>
      <c r="Q45" s="92" cm="1">
        <f t="array" aca="1" ref="Q45" ca="1">IFERROR(INDEX(Rango_Admin_Clas_Total,Q$2,MATCH($A45,Rango_Admin_Clas_Primera,0)+1),"-")</f>
        <v>0</v>
      </c>
      <c r="R45" s="92" cm="1">
        <f t="array" aca="1" ref="R45" ca="1">IFERROR(INDEX(Rango_Admin_Clas_Total,R$2,MATCH($A45,Rango_Admin_Clas_Primera,0)+1),"-")</f>
        <v>0</v>
      </c>
      <c r="S45" s="92" cm="1">
        <f t="array" aca="1" ref="S45" ca="1">IFERROR(INDEX(Rango_Admin_Clas_Total,S$2,MATCH($A45,Rango_Admin_Clas_Primera,0)+1),"-")</f>
        <v>0</v>
      </c>
      <c r="T45" s="297"/>
      <c r="U45" s="297"/>
    </row>
    <row r="46" spans="1:21">
      <c r="A46" s="19">
        <f t="shared" si="0"/>
        <v>42</v>
      </c>
      <c r="B46" s="22">
        <f ca="1">IFERROR(HLOOKUP(A46,Rango_Admin_Clas,3,FALSE),"-")</f>
        <v>42</v>
      </c>
      <c r="C46" s="18" t="str">
        <f ca="1">IFERROR(HLOOKUP(A46,Rango_Admin_Clas,5,FALSE),"-")</f>
        <v>Pegar Valores Nombre J42</v>
      </c>
      <c r="D46" s="91">
        <f ca="1">IFERROR(HLOOKUP(A46,Rango_Admin_Clas,4,FALSE),"-")</f>
        <v>0</v>
      </c>
      <c r="E46" s="92" cm="1">
        <f t="array" aca="1" ref="E46" ca="1">IFERROR(INDEX(Rango_Admin_Clas_Total,E$2,MATCH($A46,Rango_Admin_Clas_Primera,0)+1),"-")</f>
        <v>0</v>
      </c>
      <c r="F46" s="92" cm="1">
        <f t="array" aca="1" ref="F46" ca="1">IFERROR(INDEX(Rango_Admin_Clas_Total,F$2,MATCH($A46,Rango_Admin_Clas_Primera,0)+1),"-")</f>
        <v>0</v>
      </c>
      <c r="G46" s="92" cm="1">
        <f t="array" aca="1" ref="G46" ca="1">IFERROR(INDEX(Rango_Admin_Clas_Total,G$2,MATCH($A46,Rango_Admin_Clas_Primera,0)+1),"-")</f>
        <v>0</v>
      </c>
      <c r="H46" s="92" cm="1">
        <f t="array" aca="1" ref="H46" ca="1">IFERROR(INDEX(Rango_Admin_Clas_Total,H$2,MATCH($A46,Rango_Admin_Clas_Primera,0)+1),"-")</f>
        <v>0</v>
      </c>
      <c r="I46" s="92" cm="1">
        <f t="array" aca="1" ref="I46" ca="1">IFERROR(INDEX(Rango_Admin_Clas_Total,I$2,MATCH($A46,Rango_Admin_Clas_Primera,0)+1),"-")</f>
        <v>0</v>
      </c>
      <c r="J46" s="92" cm="1">
        <f t="array" aca="1" ref="J46" ca="1">IFERROR(INDEX(Rango_Admin_Clas_Total,J$2,MATCH($A46,Rango_Admin_Clas_Primera,0)+1),"-")</f>
        <v>0</v>
      </c>
      <c r="K46" s="92" cm="1">
        <f t="array" aca="1" ref="K46" ca="1">IFERROR(INDEX(Rango_Admin_Clas_Total,K$2,MATCH($A46,Rango_Admin_Clas_Primera,0)+1),"-")</f>
        <v>0</v>
      </c>
      <c r="L46" s="92" cm="1">
        <f t="array" aca="1" ref="L46" ca="1">IFERROR(INDEX(Rango_Admin_Clas_Total,L$2,MATCH($A46,Rango_Admin_Clas_Primera,0)+1),"-")</f>
        <v>0</v>
      </c>
      <c r="M46" s="92" cm="1">
        <f t="array" aca="1" ref="M46" ca="1">IFERROR(INDEX(Rango_Admin_Clas_Total,M$2,MATCH($A46,Rango_Admin_Clas_Primera,0)+1),"-")</f>
        <v>0</v>
      </c>
      <c r="N46" s="92" cm="1">
        <f t="array" aca="1" ref="N46" ca="1">IFERROR(INDEX(Rango_Admin_Clas_Total,N$2,MATCH($A46,Rango_Admin_Clas_Primera,0)+1),"-")</f>
        <v>0</v>
      </c>
      <c r="O46" s="92" cm="1">
        <f t="array" aca="1" ref="O46" ca="1">IFERROR(INDEX(Rango_Admin_Clas_Total,O$2,MATCH($A46,Rango_Admin_Clas_Primera,0)+1),"-")</f>
        <v>0</v>
      </c>
      <c r="P46" s="92" cm="1">
        <f t="array" aca="1" ref="P46" ca="1">IFERROR(INDEX(Rango_Admin_Clas_Total,P$2,MATCH($A46,Rango_Admin_Clas_Primera,0)+1),"-")</f>
        <v>0</v>
      </c>
      <c r="Q46" s="92" cm="1">
        <f t="array" aca="1" ref="Q46" ca="1">IFERROR(INDEX(Rango_Admin_Clas_Total,Q$2,MATCH($A46,Rango_Admin_Clas_Primera,0)+1),"-")</f>
        <v>0</v>
      </c>
      <c r="R46" s="92" cm="1">
        <f t="array" aca="1" ref="R46" ca="1">IFERROR(INDEX(Rango_Admin_Clas_Total,R$2,MATCH($A46,Rango_Admin_Clas_Primera,0)+1),"-")</f>
        <v>0</v>
      </c>
      <c r="S46" s="92" cm="1">
        <f t="array" aca="1" ref="S46" ca="1">IFERROR(INDEX(Rango_Admin_Clas_Total,S$2,MATCH($A46,Rango_Admin_Clas_Primera,0)+1),"-")</f>
        <v>0</v>
      </c>
      <c r="T46" s="297"/>
      <c r="U46" s="297"/>
    </row>
    <row r="47" spans="1:21">
      <c r="A47" s="19">
        <f t="shared" si="0"/>
        <v>43</v>
      </c>
      <c r="B47" s="22">
        <f ca="1">IFERROR(HLOOKUP(A47,Rango_Admin_Clas,3,FALSE),"-")</f>
        <v>42</v>
      </c>
      <c r="C47" s="18" t="str">
        <f ca="1">IFERROR(HLOOKUP(A47,Rango_Admin_Clas,5,FALSE),"-")</f>
        <v>Pegar Valores Nombre J43</v>
      </c>
      <c r="D47" s="91">
        <f ca="1">IFERROR(HLOOKUP(A47,Rango_Admin_Clas,4,FALSE),"-")</f>
        <v>0</v>
      </c>
      <c r="E47" s="92" cm="1">
        <f t="array" aca="1" ref="E47" ca="1">IFERROR(INDEX(Rango_Admin_Clas_Total,E$2,MATCH($A47,Rango_Admin_Clas_Primera,0)+1),"-")</f>
        <v>0</v>
      </c>
      <c r="F47" s="92" cm="1">
        <f t="array" aca="1" ref="F47" ca="1">IFERROR(INDEX(Rango_Admin_Clas_Total,F$2,MATCH($A47,Rango_Admin_Clas_Primera,0)+1),"-")</f>
        <v>0</v>
      </c>
      <c r="G47" s="92" cm="1">
        <f t="array" aca="1" ref="G47" ca="1">IFERROR(INDEX(Rango_Admin_Clas_Total,G$2,MATCH($A47,Rango_Admin_Clas_Primera,0)+1),"-")</f>
        <v>0</v>
      </c>
      <c r="H47" s="92" cm="1">
        <f t="array" aca="1" ref="H47" ca="1">IFERROR(INDEX(Rango_Admin_Clas_Total,H$2,MATCH($A47,Rango_Admin_Clas_Primera,0)+1),"-")</f>
        <v>0</v>
      </c>
      <c r="I47" s="92" cm="1">
        <f t="array" aca="1" ref="I47" ca="1">IFERROR(INDEX(Rango_Admin_Clas_Total,I$2,MATCH($A47,Rango_Admin_Clas_Primera,0)+1),"-")</f>
        <v>0</v>
      </c>
      <c r="J47" s="92" cm="1">
        <f t="array" aca="1" ref="J47" ca="1">IFERROR(INDEX(Rango_Admin_Clas_Total,J$2,MATCH($A47,Rango_Admin_Clas_Primera,0)+1),"-")</f>
        <v>0</v>
      </c>
      <c r="K47" s="92" cm="1">
        <f t="array" aca="1" ref="K47" ca="1">IFERROR(INDEX(Rango_Admin_Clas_Total,K$2,MATCH($A47,Rango_Admin_Clas_Primera,0)+1),"-")</f>
        <v>0</v>
      </c>
      <c r="L47" s="92" cm="1">
        <f t="array" aca="1" ref="L47" ca="1">IFERROR(INDEX(Rango_Admin_Clas_Total,L$2,MATCH($A47,Rango_Admin_Clas_Primera,0)+1),"-")</f>
        <v>0</v>
      </c>
      <c r="M47" s="92" cm="1">
        <f t="array" aca="1" ref="M47" ca="1">IFERROR(INDEX(Rango_Admin_Clas_Total,M$2,MATCH($A47,Rango_Admin_Clas_Primera,0)+1),"-")</f>
        <v>0</v>
      </c>
      <c r="N47" s="92" cm="1">
        <f t="array" aca="1" ref="N47" ca="1">IFERROR(INDEX(Rango_Admin_Clas_Total,N$2,MATCH($A47,Rango_Admin_Clas_Primera,0)+1),"-")</f>
        <v>0</v>
      </c>
      <c r="O47" s="92" cm="1">
        <f t="array" aca="1" ref="O47" ca="1">IFERROR(INDEX(Rango_Admin_Clas_Total,O$2,MATCH($A47,Rango_Admin_Clas_Primera,0)+1),"-")</f>
        <v>0</v>
      </c>
      <c r="P47" s="92" cm="1">
        <f t="array" aca="1" ref="P47" ca="1">IFERROR(INDEX(Rango_Admin_Clas_Total,P$2,MATCH($A47,Rango_Admin_Clas_Primera,0)+1),"-")</f>
        <v>0</v>
      </c>
      <c r="Q47" s="92" cm="1">
        <f t="array" aca="1" ref="Q47" ca="1">IFERROR(INDEX(Rango_Admin_Clas_Total,Q$2,MATCH($A47,Rango_Admin_Clas_Primera,0)+1),"-")</f>
        <v>0</v>
      </c>
      <c r="R47" s="92" cm="1">
        <f t="array" aca="1" ref="R47" ca="1">IFERROR(INDEX(Rango_Admin_Clas_Total,R$2,MATCH($A47,Rango_Admin_Clas_Primera,0)+1),"-")</f>
        <v>0</v>
      </c>
      <c r="S47" s="92" cm="1">
        <f t="array" aca="1" ref="S47" ca="1">IFERROR(INDEX(Rango_Admin_Clas_Total,S$2,MATCH($A47,Rango_Admin_Clas_Primera,0)+1),"-")</f>
        <v>0</v>
      </c>
      <c r="T47" s="297"/>
      <c r="U47" s="297"/>
    </row>
    <row r="48" spans="1:21">
      <c r="A48" s="19">
        <f t="shared" si="0"/>
        <v>44</v>
      </c>
      <c r="B48" s="22">
        <f ca="1">IFERROR(HLOOKUP(A48,Rango_Admin_Clas,3,FALSE),"-")</f>
        <v>42</v>
      </c>
      <c r="C48" s="18" t="str">
        <f ca="1">IFERROR(HLOOKUP(A48,Rango_Admin_Clas,5,FALSE),"-")</f>
        <v>Pegar Valores Nombre J44</v>
      </c>
      <c r="D48" s="91">
        <f ca="1">IFERROR(HLOOKUP(A48,Rango_Admin_Clas,4,FALSE),"-")</f>
        <v>0</v>
      </c>
      <c r="E48" s="92" cm="1">
        <f t="array" aca="1" ref="E48" ca="1">IFERROR(INDEX(Rango_Admin_Clas_Total,E$2,MATCH($A48,Rango_Admin_Clas_Primera,0)+1),"-")</f>
        <v>0</v>
      </c>
      <c r="F48" s="92" cm="1">
        <f t="array" aca="1" ref="F48" ca="1">IFERROR(INDEX(Rango_Admin_Clas_Total,F$2,MATCH($A48,Rango_Admin_Clas_Primera,0)+1),"-")</f>
        <v>0</v>
      </c>
      <c r="G48" s="92" cm="1">
        <f t="array" aca="1" ref="G48" ca="1">IFERROR(INDEX(Rango_Admin_Clas_Total,G$2,MATCH($A48,Rango_Admin_Clas_Primera,0)+1),"-")</f>
        <v>0</v>
      </c>
      <c r="H48" s="92" cm="1">
        <f t="array" aca="1" ref="H48" ca="1">IFERROR(INDEX(Rango_Admin_Clas_Total,H$2,MATCH($A48,Rango_Admin_Clas_Primera,0)+1),"-")</f>
        <v>0</v>
      </c>
      <c r="I48" s="92" cm="1">
        <f t="array" aca="1" ref="I48" ca="1">IFERROR(INDEX(Rango_Admin_Clas_Total,I$2,MATCH($A48,Rango_Admin_Clas_Primera,0)+1),"-")</f>
        <v>0</v>
      </c>
      <c r="J48" s="92" cm="1">
        <f t="array" aca="1" ref="J48" ca="1">IFERROR(INDEX(Rango_Admin_Clas_Total,J$2,MATCH($A48,Rango_Admin_Clas_Primera,0)+1),"-")</f>
        <v>0</v>
      </c>
      <c r="K48" s="92" cm="1">
        <f t="array" aca="1" ref="K48" ca="1">IFERROR(INDEX(Rango_Admin_Clas_Total,K$2,MATCH($A48,Rango_Admin_Clas_Primera,0)+1),"-")</f>
        <v>0</v>
      </c>
      <c r="L48" s="92" cm="1">
        <f t="array" aca="1" ref="L48" ca="1">IFERROR(INDEX(Rango_Admin_Clas_Total,L$2,MATCH($A48,Rango_Admin_Clas_Primera,0)+1),"-")</f>
        <v>0</v>
      </c>
      <c r="M48" s="92" cm="1">
        <f t="array" aca="1" ref="M48" ca="1">IFERROR(INDEX(Rango_Admin_Clas_Total,M$2,MATCH($A48,Rango_Admin_Clas_Primera,0)+1),"-")</f>
        <v>0</v>
      </c>
      <c r="N48" s="92" cm="1">
        <f t="array" aca="1" ref="N48" ca="1">IFERROR(INDEX(Rango_Admin_Clas_Total,N$2,MATCH($A48,Rango_Admin_Clas_Primera,0)+1),"-")</f>
        <v>0</v>
      </c>
      <c r="O48" s="92" cm="1">
        <f t="array" aca="1" ref="O48" ca="1">IFERROR(INDEX(Rango_Admin_Clas_Total,O$2,MATCH($A48,Rango_Admin_Clas_Primera,0)+1),"-")</f>
        <v>0</v>
      </c>
      <c r="P48" s="92" cm="1">
        <f t="array" aca="1" ref="P48" ca="1">IFERROR(INDEX(Rango_Admin_Clas_Total,P$2,MATCH($A48,Rango_Admin_Clas_Primera,0)+1),"-")</f>
        <v>0</v>
      </c>
      <c r="Q48" s="92" cm="1">
        <f t="array" aca="1" ref="Q48" ca="1">IFERROR(INDEX(Rango_Admin_Clas_Total,Q$2,MATCH($A48,Rango_Admin_Clas_Primera,0)+1),"-")</f>
        <v>0</v>
      </c>
      <c r="R48" s="92" cm="1">
        <f t="array" aca="1" ref="R48" ca="1">IFERROR(INDEX(Rango_Admin_Clas_Total,R$2,MATCH($A48,Rango_Admin_Clas_Primera,0)+1),"-")</f>
        <v>0</v>
      </c>
      <c r="S48" s="92" cm="1">
        <f t="array" aca="1" ref="S48" ca="1">IFERROR(INDEX(Rango_Admin_Clas_Total,S$2,MATCH($A48,Rango_Admin_Clas_Primera,0)+1),"-")</f>
        <v>0</v>
      </c>
      <c r="T48" s="297"/>
      <c r="U48" s="297"/>
    </row>
    <row r="49" spans="1:21">
      <c r="A49" s="19">
        <f t="shared" si="0"/>
        <v>45</v>
      </c>
      <c r="B49" s="22">
        <f ca="1">IFERROR(HLOOKUP(A49,Rango_Admin_Clas,3,FALSE),"-")</f>
        <v>42</v>
      </c>
      <c r="C49" s="18" t="str">
        <f ca="1">IFERROR(HLOOKUP(A49,Rango_Admin_Clas,5,FALSE),"-")</f>
        <v>Pegar Valores Nombre J45</v>
      </c>
      <c r="D49" s="91">
        <f ca="1">IFERROR(HLOOKUP(A49,Rango_Admin_Clas,4,FALSE),"-")</f>
        <v>0</v>
      </c>
      <c r="E49" s="92" cm="1">
        <f t="array" aca="1" ref="E49" ca="1">IFERROR(INDEX(Rango_Admin_Clas_Total,E$2,MATCH($A49,Rango_Admin_Clas_Primera,0)+1),"-")</f>
        <v>0</v>
      </c>
      <c r="F49" s="92" cm="1">
        <f t="array" aca="1" ref="F49" ca="1">IFERROR(INDEX(Rango_Admin_Clas_Total,F$2,MATCH($A49,Rango_Admin_Clas_Primera,0)+1),"-")</f>
        <v>0</v>
      </c>
      <c r="G49" s="92" cm="1">
        <f t="array" aca="1" ref="G49" ca="1">IFERROR(INDEX(Rango_Admin_Clas_Total,G$2,MATCH($A49,Rango_Admin_Clas_Primera,0)+1),"-")</f>
        <v>0</v>
      </c>
      <c r="H49" s="92" cm="1">
        <f t="array" aca="1" ref="H49" ca="1">IFERROR(INDEX(Rango_Admin_Clas_Total,H$2,MATCH($A49,Rango_Admin_Clas_Primera,0)+1),"-")</f>
        <v>0</v>
      </c>
      <c r="I49" s="92" cm="1">
        <f t="array" aca="1" ref="I49" ca="1">IFERROR(INDEX(Rango_Admin_Clas_Total,I$2,MATCH($A49,Rango_Admin_Clas_Primera,0)+1),"-")</f>
        <v>0</v>
      </c>
      <c r="J49" s="92" cm="1">
        <f t="array" aca="1" ref="J49" ca="1">IFERROR(INDEX(Rango_Admin_Clas_Total,J$2,MATCH($A49,Rango_Admin_Clas_Primera,0)+1),"-")</f>
        <v>0</v>
      </c>
      <c r="K49" s="92" cm="1">
        <f t="array" aca="1" ref="K49" ca="1">IFERROR(INDEX(Rango_Admin_Clas_Total,K$2,MATCH($A49,Rango_Admin_Clas_Primera,0)+1),"-")</f>
        <v>0</v>
      </c>
      <c r="L49" s="92" cm="1">
        <f t="array" aca="1" ref="L49" ca="1">IFERROR(INDEX(Rango_Admin_Clas_Total,L$2,MATCH($A49,Rango_Admin_Clas_Primera,0)+1),"-")</f>
        <v>0</v>
      </c>
      <c r="M49" s="92" cm="1">
        <f t="array" aca="1" ref="M49" ca="1">IFERROR(INDEX(Rango_Admin_Clas_Total,M$2,MATCH($A49,Rango_Admin_Clas_Primera,0)+1),"-")</f>
        <v>0</v>
      </c>
      <c r="N49" s="92" cm="1">
        <f t="array" aca="1" ref="N49" ca="1">IFERROR(INDEX(Rango_Admin_Clas_Total,N$2,MATCH($A49,Rango_Admin_Clas_Primera,0)+1),"-")</f>
        <v>0</v>
      </c>
      <c r="O49" s="92" cm="1">
        <f t="array" aca="1" ref="O49" ca="1">IFERROR(INDEX(Rango_Admin_Clas_Total,O$2,MATCH($A49,Rango_Admin_Clas_Primera,0)+1),"-")</f>
        <v>0</v>
      </c>
      <c r="P49" s="92" cm="1">
        <f t="array" aca="1" ref="P49" ca="1">IFERROR(INDEX(Rango_Admin_Clas_Total,P$2,MATCH($A49,Rango_Admin_Clas_Primera,0)+1),"-")</f>
        <v>0</v>
      </c>
      <c r="Q49" s="92" cm="1">
        <f t="array" aca="1" ref="Q49" ca="1">IFERROR(INDEX(Rango_Admin_Clas_Total,Q$2,MATCH($A49,Rango_Admin_Clas_Primera,0)+1),"-")</f>
        <v>0</v>
      </c>
      <c r="R49" s="92" cm="1">
        <f t="array" aca="1" ref="R49" ca="1">IFERROR(INDEX(Rango_Admin_Clas_Total,R$2,MATCH($A49,Rango_Admin_Clas_Primera,0)+1),"-")</f>
        <v>0</v>
      </c>
      <c r="S49" s="92" cm="1">
        <f t="array" aca="1" ref="S49" ca="1">IFERROR(INDEX(Rango_Admin_Clas_Total,S$2,MATCH($A49,Rango_Admin_Clas_Primera,0)+1),"-")</f>
        <v>0</v>
      </c>
      <c r="T49" s="297"/>
      <c r="U49" s="297"/>
    </row>
    <row r="50" spans="1:21">
      <c r="A50" s="19">
        <f t="shared" si="0"/>
        <v>46</v>
      </c>
      <c r="B50" s="22">
        <f ca="1">IFERROR(HLOOKUP(A50,Rango_Admin_Clas,3,FALSE),"-")</f>
        <v>42</v>
      </c>
      <c r="C50" s="18" t="str">
        <f ca="1">IFERROR(HLOOKUP(A50,Rango_Admin_Clas,5,FALSE),"-")</f>
        <v>Pegar Valores Nombre J46</v>
      </c>
      <c r="D50" s="91">
        <f ca="1">IFERROR(HLOOKUP(A50,Rango_Admin_Clas,4,FALSE),"-")</f>
        <v>0</v>
      </c>
      <c r="E50" s="92" cm="1">
        <f t="array" aca="1" ref="E50" ca="1">IFERROR(INDEX(Rango_Admin_Clas_Total,E$2,MATCH($A50,Rango_Admin_Clas_Primera,0)+1),"-")</f>
        <v>0</v>
      </c>
      <c r="F50" s="92" cm="1">
        <f t="array" aca="1" ref="F50" ca="1">IFERROR(INDEX(Rango_Admin_Clas_Total,F$2,MATCH($A50,Rango_Admin_Clas_Primera,0)+1),"-")</f>
        <v>0</v>
      </c>
      <c r="G50" s="92" cm="1">
        <f t="array" aca="1" ref="G50" ca="1">IFERROR(INDEX(Rango_Admin_Clas_Total,G$2,MATCH($A50,Rango_Admin_Clas_Primera,0)+1),"-")</f>
        <v>0</v>
      </c>
      <c r="H50" s="92" cm="1">
        <f t="array" aca="1" ref="H50" ca="1">IFERROR(INDEX(Rango_Admin_Clas_Total,H$2,MATCH($A50,Rango_Admin_Clas_Primera,0)+1),"-")</f>
        <v>0</v>
      </c>
      <c r="I50" s="92" cm="1">
        <f t="array" aca="1" ref="I50" ca="1">IFERROR(INDEX(Rango_Admin_Clas_Total,I$2,MATCH($A50,Rango_Admin_Clas_Primera,0)+1),"-")</f>
        <v>0</v>
      </c>
      <c r="J50" s="92" cm="1">
        <f t="array" aca="1" ref="J50" ca="1">IFERROR(INDEX(Rango_Admin_Clas_Total,J$2,MATCH($A50,Rango_Admin_Clas_Primera,0)+1),"-")</f>
        <v>0</v>
      </c>
      <c r="K50" s="92" cm="1">
        <f t="array" aca="1" ref="K50" ca="1">IFERROR(INDEX(Rango_Admin_Clas_Total,K$2,MATCH($A50,Rango_Admin_Clas_Primera,0)+1),"-")</f>
        <v>0</v>
      </c>
      <c r="L50" s="92" cm="1">
        <f t="array" aca="1" ref="L50" ca="1">IFERROR(INDEX(Rango_Admin_Clas_Total,L$2,MATCH($A50,Rango_Admin_Clas_Primera,0)+1),"-")</f>
        <v>0</v>
      </c>
      <c r="M50" s="92" cm="1">
        <f t="array" aca="1" ref="M50" ca="1">IFERROR(INDEX(Rango_Admin_Clas_Total,M$2,MATCH($A50,Rango_Admin_Clas_Primera,0)+1),"-")</f>
        <v>0</v>
      </c>
      <c r="N50" s="92" cm="1">
        <f t="array" aca="1" ref="N50" ca="1">IFERROR(INDEX(Rango_Admin_Clas_Total,N$2,MATCH($A50,Rango_Admin_Clas_Primera,0)+1),"-")</f>
        <v>0</v>
      </c>
      <c r="O50" s="92" cm="1">
        <f t="array" aca="1" ref="O50" ca="1">IFERROR(INDEX(Rango_Admin_Clas_Total,O$2,MATCH($A50,Rango_Admin_Clas_Primera,0)+1),"-")</f>
        <v>0</v>
      </c>
      <c r="P50" s="92" cm="1">
        <f t="array" aca="1" ref="P50" ca="1">IFERROR(INDEX(Rango_Admin_Clas_Total,P$2,MATCH($A50,Rango_Admin_Clas_Primera,0)+1),"-")</f>
        <v>0</v>
      </c>
      <c r="Q50" s="92" cm="1">
        <f t="array" aca="1" ref="Q50" ca="1">IFERROR(INDEX(Rango_Admin_Clas_Total,Q$2,MATCH($A50,Rango_Admin_Clas_Primera,0)+1),"-")</f>
        <v>0</v>
      </c>
      <c r="R50" s="92" cm="1">
        <f t="array" aca="1" ref="R50" ca="1">IFERROR(INDEX(Rango_Admin_Clas_Total,R$2,MATCH($A50,Rango_Admin_Clas_Primera,0)+1),"-")</f>
        <v>0</v>
      </c>
      <c r="S50" s="92" cm="1">
        <f t="array" aca="1" ref="S50" ca="1">IFERROR(INDEX(Rango_Admin_Clas_Total,S$2,MATCH($A50,Rango_Admin_Clas_Primera,0)+1),"-")</f>
        <v>0</v>
      </c>
      <c r="T50" s="297"/>
      <c r="U50" s="297"/>
    </row>
    <row r="51" spans="1:21">
      <c r="A51" s="19">
        <f t="shared" si="0"/>
        <v>47</v>
      </c>
      <c r="B51" s="22">
        <f ca="1">IFERROR(HLOOKUP(A51,Rango_Admin_Clas,3,FALSE),"-")</f>
        <v>42</v>
      </c>
      <c r="C51" s="18" t="str">
        <f ca="1">IFERROR(HLOOKUP(A51,Rango_Admin_Clas,5,FALSE),"-")</f>
        <v>Pegar Valores Nombre J47</v>
      </c>
      <c r="D51" s="91">
        <f ca="1">IFERROR(HLOOKUP(A51,Rango_Admin_Clas,4,FALSE),"-")</f>
        <v>0</v>
      </c>
      <c r="E51" s="92" cm="1">
        <f t="array" aca="1" ref="E51" ca="1">IFERROR(INDEX(Rango_Admin_Clas_Total,E$2,MATCH($A51,Rango_Admin_Clas_Primera,0)+1),"-")</f>
        <v>0</v>
      </c>
      <c r="F51" s="92" cm="1">
        <f t="array" aca="1" ref="F51" ca="1">IFERROR(INDEX(Rango_Admin_Clas_Total,F$2,MATCH($A51,Rango_Admin_Clas_Primera,0)+1),"-")</f>
        <v>0</v>
      </c>
      <c r="G51" s="92" cm="1">
        <f t="array" aca="1" ref="G51" ca="1">IFERROR(INDEX(Rango_Admin_Clas_Total,G$2,MATCH($A51,Rango_Admin_Clas_Primera,0)+1),"-")</f>
        <v>0</v>
      </c>
      <c r="H51" s="92" cm="1">
        <f t="array" aca="1" ref="H51" ca="1">IFERROR(INDEX(Rango_Admin_Clas_Total,H$2,MATCH($A51,Rango_Admin_Clas_Primera,0)+1),"-")</f>
        <v>0</v>
      </c>
      <c r="I51" s="92" cm="1">
        <f t="array" aca="1" ref="I51" ca="1">IFERROR(INDEX(Rango_Admin_Clas_Total,I$2,MATCH($A51,Rango_Admin_Clas_Primera,0)+1),"-")</f>
        <v>0</v>
      </c>
      <c r="J51" s="92" cm="1">
        <f t="array" aca="1" ref="J51" ca="1">IFERROR(INDEX(Rango_Admin_Clas_Total,J$2,MATCH($A51,Rango_Admin_Clas_Primera,0)+1),"-")</f>
        <v>0</v>
      </c>
      <c r="K51" s="92" cm="1">
        <f t="array" aca="1" ref="K51" ca="1">IFERROR(INDEX(Rango_Admin_Clas_Total,K$2,MATCH($A51,Rango_Admin_Clas_Primera,0)+1),"-")</f>
        <v>0</v>
      </c>
      <c r="L51" s="92" cm="1">
        <f t="array" aca="1" ref="L51" ca="1">IFERROR(INDEX(Rango_Admin_Clas_Total,L$2,MATCH($A51,Rango_Admin_Clas_Primera,0)+1),"-")</f>
        <v>0</v>
      </c>
      <c r="M51" s="92" cm="1">
        <f t="array" aca="1" ref="M51" ca="1">IFERROR(INDEX(Rango_Admin_Clas_Total,M$2,MATCH($A51,Rango_Admin_Clas_Primera,0)+1),"-")</f>
        <v>0</v>
      </c>
      <c r="N51" s="92" cm="1">
        <f t="array" aca="1" ref="N51" ca="1">IFERROR(INDEX(Rango_Admin_Clas_Total,N$2,MATCH($A51,Rango_Admin_Clas_Primera,0)+1),"-")</f>
        <v>0</v>
      </c>
      <c r="O51" s="92" cm="1">
        <f t="array" aca="1" ref="O51" ca="1">IFERROR(INDEX(Rango_Admin_Clas_Total,O$2,MATCH($A51,Rango_Admin_Clas_Primera,0)+1),"-")</f>
        <v>0</v>
      </c>
      <c r="P51" s="92" cm="1">
        <f t="array" aca="1" ref="P51" ca="1">IFERROR(INDEX(Rango_Admin_Clas_Total,P$2,MATCH($A51,Rango_Admin_Clas_Primera,0)+1),"-")</f>
        <v>0</v>
      </c>
      <c r="Q51" s="92" cm="1">
        <f t="array" aca="1" ref="Q51" ca="1">IFERROR(INDEX(Rango_Admin_Clas_Total,Q$2,MATCH($A51,Rango_Admin_Clas_Primera,0)+1),"-")</f>
        <v>0</v>
      </c>
      <c r="R51" s="92" cm="1">
        <f t="array" aca="1" ref="R51" ca="1">IFERROR(INDEX(Rango_Admin_Clas_Total,R$2,MATCH($A51,Rango_Admin_Clas_Primera,0)+1),"-")</f>
        <v>0</v>
      </c>
      <c r="S51" s="92" cm="1">
        <f t="array" aca="1" ref="S51" ca="1">IFERROR(INDEX(Rango_Admin_Clas_Total,S$2,MATCH($A51,Rango_Admin_Clas_Primera,0)+1),"-")</f>
        <v>0</v>
      </c>
      <c r="T51" s="297"/>
      <c r="U51" s="297"/>
    </row>
    <row r="52" spans="1:21">
      <c r="A52" s="19">
        <f t="shared" si="0"/>
        <v>48</v>
      </c>
      <c r="B52" s="22">
        <f ca="1">IFERROR(HLOOKUP(A52,Rango_Admin_Clas,3,FALSE),"-")</f>
        <v>42</v>
      </c>
      <c r="C52" s="18" t="str">
        <f ca="1">IFERROR(HLOOKUP(A52,Rango_Admin_Clas,5,FALSE),"-")</f>
        <v>Pegar Valores Nombre J48</v>
      </c>
      <c r="D52" s="91">
        <f ca="1">IFERROR(HLOOKUP(A52,Rango_Admin_Clas,4,FALSE),"-")</f>
        <v>0</v>
      </c>
      <c r="E52" s="92" cm="1">
        <f t="array" aca="1" ref="E52" ca="1">IFERROR(INDEX(Rango_Admin_Clas_Total,E$2,MATCH($A52,Rango_Admin_Clas_Primera,0)+1),"-")</f>
        <v>0</v>
      </c>
      <c r="F52" s="92" cm="1">
        <f t="array" aca="1" ref="F52" ca="1">IFERROR(INDEX(Rango_Admin_Clas_Total,F$2,MATCH($A52,Rango_Admin_Clas_Primera,0)+1),"-")</f>
        <v>0</v>
      </c>
      <c r="G52" s="92" cm="1">
        <f t="array" aca="1" ref="G52" ca="1">IFERROR(INDEX(Rango_Admin_Clas_Total,G$2,MATCH($A52,Rango_Admin_Clas_Primera,0)+1),"-")</f>
        <v>0</v>
      </c>
      <c r="H52" s="92" cm="1">
        <f t="array" aca="1" ref="H52" ca="1">IFERROR(INDEX(Rango_Admin_Clas_Total,H$2,MATCH($A52,Rango_Admin_Clas_Primera,0)+1),"-")</f>
        <v>0</v>
      </c>
      <c r="I52" s="92" cm="1">
        <f t="array" aca="1" ref="I52" ca="1">IFERROR(INDEX(Rango_Admin_Clas_Total,I$2,MATCH($A52,Rango_Admin_Clas_Primera,0)+1),"-")</f>
        <v>0</v>
      </c>
      <c r="J52" s="92" cm="1">
        <f t="array" aca="1" ref="J52" ca="1">IFERROR(INDEX(Rango_Admin_Clas_Total,J$2,MATCH($A52,Rango_Admin_Clas_Primera,0)+1),"-")</f>
        <v>0</v>
      </c>
      <c r="K52" s="92" cm="1">
        <f t="array" aca="1" ref="K52" ca="1">IFERROR(INDEX(Rango_Admin_Clas_Total,K$2,MATCH($A52,Rango_Admin_Clas_Primera,0)+1),"-")</f>
        <v>0</v>
      </c>
      <c r="L52" s="92" cm="1">
        <f t="array" aca="1" ref="L52" ca="1">IFERROR(INDEX(Rango_Admin_Clas_Total,L$2,MATCH($A52,Rango_Admin_Clas_Primera,0)+1),"-")</f>
        <v>0</v>
      </c>
      <c r="M52" s="92" cm="1">
        <f t="array" aca="1" ref="M52" ca="1">IFERROR(INDEX(Rango_Admin_Clas_Total,M$2,MATCH($A52,Rango_Admin_Clas_Primera,0)+1),"-")</f>
        <v>0</v>
      </c>
      <c r="N52" s="92" cm="1">
        <f t="array" aca="1" ref="N52" ca="1">IFERROR(INDEX(Rango_Admin_Clas_Total,N$2,MATCH($A52,Rango_Admin_Clas_Primera,0)+1),"-")</f>
        <v>0</v>
      </c>
      <c r="O52" s="92" cm="1">
        <f t="array" aca="1" ref="O52" ca="1">IFERROR(INDEX(Rango_Admin_Clas_Total,O$2,MATCH($A52,Rango_Admin_Clas_Primera,0)+1),"-")</f>
        <v>0</v>
      </c>
      <c r="P52" s="92" cm="1">
        <f t="array" aca="1" ref="P52" ca="1">IFERROR(INDEX(Rango_Admin_Clas_Total,P$2,MATCH($A52,Rango_Admin_Clas_Primera,0)+1),"-")</f>
        <v>0</v>
      </c>
      <c r="Q52" s="92" cm="1">
        <f t="array" aca="1" ref="Q52" ca="1">IFERROR(INDEX(Rango_Admin_Clas_Total,Q$2,MATCH($A52,Rango_Admin_Clas_Primera,0)+1),"-")</f>
        <v>0</v>
      </c>
      <c r="R52" s="92" cm="1">
        <f t="array" aca="1" ref="R52" ca="1">IFERROR(INDEX(Rango_Admin_Clas_Total,R$2,MATCH($A52,Rango_Admin_Clas_Primera,0)+1),"-")</f>
        <v>0</v>
      </c>
      <c r="S52" s="92" cm="1">
        <f t="array" aca="1" ref="S52" ca="1">IFERROR(INDEX(Rango_Admin_Clas_Total,S$2,MATCH($A52,Rango_Admin_Clas_Primera,0)+1),"-")</f>
        <v>0</v>
      </c>
      <c r="T52" s="297"/>
      <c r="U52" s="297"/>
    </row>
    <row r="53" spans="1:21">
      <c r="A53" s="19">
        <f t="shared" si="0"/>
        <v>49</v>
      </c>
      <c r="B53" s="22">
        <f ca="1">IFERROR(HLOOKUP(A53,Rango_Admin_Clas,3,FALSE),"-")</f>
        <v>42</v>
      </c>
      <c r="C53" s="18" t="str">
        <f ca="1">IFERROR(HLOOKUP(A53,Rango_Admin_Clas,5,FALSE),"-")</f>
        <v>Pegar Valores Nombre J49</v>
      </c>
      <c r="D53" s="91">
        <f ca="1">IFERROR(HLOOKUP(A53,Rango_Admin_Clas,4,FALSE),"-")</f>
        <v>0</v>
      </c>
      <c r="E53" s="92" cm="1">
        <f t="array" aca="1" ref="E53" ca="1">IFERROR(INDEX(Rango_Admin_Clas_Total,E$2,MATCH($A53,Rango_Admin_Clas_Primera,0)+1),"-")</f>
        <v>0</v>
      </c>
      <c r="F53" s="92" cm="1">
        <f t="array" aca="1" ref="F53" ca="1">IFERROR(INDEX(Rango_Admin_Clas_Total,F$2,MATCH($A53,Rango_Admin_Clas_Primera,0)+1),"-")</f>
        <v>0</v>
      </c>
      <c r="G53" s="92" cm="1">
        <f t="array" aca="1" ref="G53" ca="1">IFERROR(INDEX(Rango_Admin_Clas_Total,G$2,MATCH($A53,Rango_Admin_Clas_Primera,0)+1),"-")</f>
        <v>0</v>
      </c>
      <c r="H53" s="92" cm="1">
        <f t="array" aca="1" ref="H53" ca="1">IFERROR(INDEX(Rango_Admin_Clas_Total,H$2,MATCH($A53,Rango_Admin_Clas_Primera,0)+1),"-")</f>
        <v>0</v>
      </c>
      <c r="I53" s="92" cm="1">
        <f t="array" aca="1" ref="I53" ca="1">IFERROR(INDEX(Rango_Admin_Clas_Total,I$2,MATCH($A53,Rango_Admin_Clas_Primera,0)+1),"-")</f>
        <v>0</v>
      </c>
      <c r="J53" s="92" cm="1">
        <f t="array" aca="1" ref="J53" ca="1">IFERROR(INDEX(Rango_Admin_Clas_Total,J$2,MATCH($A53,Rango_Admin_Clas_Primera,0)+1),"-")</f>
        <v>0</v>
      </c>
      <c r="K53" s="92" cm="1">
        <f t="array" aca="1" ref="K53" ca="1">IFERROR(INDEX(Rango_Admin_Clas_Total,K$2,MATCH($A53,Rango_Admin_Clas_Primera,0)+1),"-")</f>
        <v>0</v>
      </c>
      <c r="L53" s="92" cm="1">
        <f t="array" aca="1" ref="L53" ca="1">IFERROR(INDEX(Rango_Admin_Clas_Total,L$2,MATCH($A53,Rango_Admin_Clas_Primera,0)+1),"-")</f>
        <v>0</v>
      </c>
      <c r="M53" s="92" cm="1">
        <f t="array" aca="1" ref="M53" ca="1">IFERROR(INDEX(Rango_Admin_Clas_Total,M$2,MATCH($A53,Rango_Admin_Clas_Primera,0)+1),"-")</f>
        <v>0</v>
      </c>
      <c r="N53" s="92" cm="1">
        <f t="array" aca="1" ref="N53" ca="1">IFERROR(INDEX(Rango_Admin_Clas_Total,N$2,MATCH($A53,Rango_Admin_Clas_Primera,0)+1),"-")</f>
        <v>0</v>
      </c>
      <c r="O53" s="92" cm="1">
        <f t="array" aca="1" ref="O53" ca="1">IFERROR(INDEX(Rango_Admin_Clas_Total,O$2,MATCH($A53,Rango_Admin_Clas_Primera,0)+1),"-")</f>
        <v>0</v>
      </c>
      <c r="P53" s="92" cm="1">
        <f t="array" aca="1" ref="P53" ca="1">IFERROR(INDEX(Rango_Admin_Clas_Total,P$2,MATCH($A53,Rango_Admin_Clas_Primera,0)+1),"-")</f>
        <v>0</v>
      </c>
      <c r="Q53" s="92" cm="1">
        <f t="array" aca="1" ref="Q53" ca="1">IFERROR(INDEX(Rango_Admin_Clas_Total,Q$2,MATCH($A53,Rango_Admin_Clas_Primera,0)+1),"-")</f>
        <v>0</v>
      </c>
      <c r="R53" s="92" cm="1">
        <f t="array" aca="1" ref="R53" ca="1">IFERROR(INDEX(Rango_Admin_Clas_Total,R$2,MATCH($A53,Rango_Admin_Clas_Primera,0)+1),"-")</f>
        <v>0</v>
      </c>
      <c r="S53" s="92" cm="1">
        <f t="array" aca="1" ref="S53" ca="1">IFERROR(INDEX(Rango_Admin_Clas_Total,S$2,MATCH($A53,Rango_Admin_Clas_Primera,0)+1),"-")</f>
        <v>0</v>
      </c>
      <c r="T53" s="297"/>
      <c r="U53" s="297"/>
    </row>
    <row r="54" spans="1:21">
      <c r="A54" s="19">
        <f t="shared" si="0"/>
        <v>50</v>
      </c>
      <c r="B54" s="22">
        <f ca="1">IFERROR(HLOOKUP(A54,Rango_Admin_Clas,3,FALSE),"-")</f>
        <v>42</v>
      </c>
      <c r="C54" s="18" t="str">
        <f ca="1">IFERROR(HLOOKUP(A54,Rango_Admin_Clas,5,FALSE),"-")</f>
        <v>Pegar Valores Nombre J50</v>
      </c>
      <c r="D54" s="91">
        <f ca="1">IFERROR(HLOOKUP(A54,Rango_Admin_Clas,4,FALSE),"-")</f>
        <v>0</v>
      </c>
      <c r="E54" s="92" cm="1">
        <f t="array" aca="1" ref="E54" ca="1">IFERROR(INDEX(Rango_Admin_Clas_Total,E$2,MATCH($A54,Rango_Admin_Clas_Primera,0)+1),"-")</f>
        <v>0</v>
      </c>
      <c r="F54" s="92" cm="1">
        <f t="array" aca="1" ref="F54" ca="1">IFERROR(INDEX(Rango_Admin_Clas_Total,F$2,MATCH($A54,Rango_Admin_Clas_Primera,0)+1),"-")</f>
        <v>0</v>
      </c>
      <c r="G54" s="92" cm="1">
        <f t="array" aca="1" ref="G54" ca="1">IFERROR(INDEX(Rango_Admin_Clas_Total,G$2,MATCH($A54,Rango_Admin_Clas_Primera,0)+1),"-")</f>
        <v>0</v>
      </c>
      <c r="H54" s="92" cm="1">
        <f t="array" aca="1" ref="H54" ca="1">IFERROR(INDEX(Rango_Admin_Clas_Total,H$2,MATCH($A54,Rango_Admin_Clas_Primera,0)+1),"-")</f>
        <v>0</v>
      </c>
      <c r="I54" s="92" cm="1">
        <f t="array" aca="1" ref="I54" ca="1">IFERROR(INDEX(Rango_Admin_Clas_Total,I$2,MATCH($A54,Rango_Admin_Clas_Primera,0)+1),"-")</f>
        <v>0</v>
      </c>
      <c r="J54" s="92" cm="1">
        <f t="array" aca="1" ref="J54" ca="1">IFERROR(INDEX(Rango_Admin_Clas_Total,J$2,MATCH($A54,Rango_Admin_Clas_Primera,0)+1),"-")</f>
        <v>0</v>
      </c>
      <c r="K54" s="92" cm="1">
        <f t="array" aca="1" ref="K54" ca="1">IFERROR(INDEX(Rango_Admin_Clas_Total,K$2,MATCH($A54,Rango_Admin_Clas_Primera,0)+1),"-")</f>
        <v>0</v>
      </c>
      <c r="L54" s="92" cm="1">
        <f t="array" aca="1" ref="L54" ca="1">IFERROR(INDEX(Rango_Admin_Clas_Total,L$2,MATCH($A54,Rango_Admin_Clas_Primera,0)+1),"-")</f>
        <v>0</v>
      </c>
      <c r="M54" s="92" cm="1">
        <f t="array" aca="1" ref="M54" ca="1">IFERROR(INDEX(Rango_Admin_Clas_Total,M$2,MATCH($A54,Rango_Admin_Clas_Primera,0)+1),"-")</f>
        <v>0</v>
      </c>
      <c r="N54" s="92" cm="1">
        <f t="array" aca="1" ref="N54" ca="1">IFERROR(INDEX(Rango_Admin_Clas_Total,N$2,MATCH($A54,Rango_Admin_Clas_Primera,0)+1),"-")</f>
        <v>0</v>
      </c>
      <c r="O54" s="92" cm="1">
        <f t="array" aca="1" ref="O54" ca="1">IFERROR(INDEX(Rango_Admin_Clas_Total,O$2,MATCH($A54,Rango_Admin_Clas_Primera,0)+1),"-")</f>
        <v>0</v>
      </c>
      <c r="P54" s="92" cm="1">
        <f t="array" aca="1" ref="P54" ca="1">IFERROR(INDEX(Rango_Admin_Clas_Total,P$2,MATCH($A54,Rango_Admin_Clas_Primera,0)+1),"-")</f>
        <v>0</v>
      </c>
      <c r="Q54" s="92" cm="1">
        <f t="array" aca="1" ref="Q54" ca="1">IFERROR(INDEX(Rango_Admin_Clas_Total,Q$2,MATCH($A54,Rango_Admin_Clas_Primera,0)+1),"-")</f>
        <v>0</v>
      </c>
      <c r="R54" s="92" cm="1">
        <f t="array" aca="1" ref="R54" ca="1">IFERROR(INDEX(Rango_Admin_Clas_Total,R$2,MATCH($A54,Rango_Admin_Clas_Primera,0)+1),"-")</f>
        <v>0</v>
      </c>
      <c r="S54" s="92" cm="1">
        <f t="array" aca="1" ref="S54" ca="1">IFERROR(INDEX(Rango_Admin_Clas_Total,S$2,MATCH($A54,Rango_Admin_Clas_Primera,0)+1),"-")</f>
        <v>0</v>
      </c>
      <c r="T54" s="297"/>
      <c r="U54" s="297"/>
    </row>
    <row r="55" spans="1:21">
      <c r="A55" s="90"/>
      <c r="B55" s="297"/>
      <c r="C55" s="297"/>
      <c r="D55" s="297"/>
      <c r="E55" s="297"/>
      <c r="F55" s="297"/>
      <c r="G55" s="297"/>
      <c r="H55" s="297"/>
      <c r="I55" s="297"/>
      <c r="J55" s="297"/>
      <c r="K55" s="297"/>
      <c r="L55" s="297"/>
      <c r="M55" s="297"/>
      <c r="N55" s="297"/>
      <c r="O55" s="297"/>
      <c r="P55" s="297"/>
      <c r="Q55" s="297"/>
      <c r="R55" s="297"/>
      <c r="S55" s="297"/>
      <c r="T55" s="297"/>
      <c r="U55" s="297"/>
    </row>
    <row r="56" spans="1:21">
      <c r="A56" s="90"/>
      <c r="B56" s="297"/>
      <c r="C56" s="297"/>
      <c r="D56" s="297"/>
      <c r="E56" s="297"/>
      <c r="F56" s="297"/>
      <c r="G56" s="297"/>
      <c r="H56" s="297"/>
      <c r="I56" s="297"/>
      <c r="J56" s="297"/>
      <c r="K56" s="297"/>
      <c r="L56" s="297"/>
      <c r="M56" s="297"/>
      <c r="N56" s="297"/>
      <c r="O56" s="297"/>
      <c r="P56" s="297"/>
      <c r="Q56" s="297"/>
      <c r="R56" s="297"/>
      <c r="S56" s="297"/>
      <c r="T56" s="297"/>
      <c r="U56" s="297"/>
    </row>
  </sheetData>
  <sheetProtection algorithmName="SHA-512" hashValue="pG6am53VNt28mRuGwxQea3rlgourPXg2noHPrMZBG+hdujns5CqvI2ewFKilh2WmY5+yWMYEo9k8XKAsiWEiXw==" saltValue="KgHoaw5ncVA7zfu05qPeSQ==" spinCount="100000" sheet="1" objects="1" scenarios="1" formatColumns="0"/>
  <mergeCells count="1">
    <mergeCell ref="B1:S1"/>
  </mergeCells>
  <pageMargins left="0.7" right="0.7" top="0.75" bottom="0.75" header="0.3" footer="0.3"/>
  <pageSetup paperSize="9" orientation="portrait" horizontalDpi="0" verticalDpi="0"/>
  <headerFooter>
    <oddFooter>&amp;L_x000D_&amp;1#&amp;"Aptos"&amp;8&amp;K000000 Clasificación: Interna</oddFooter>
  </headerFooter>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B5:S54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77"/>
  <sheetViews>
    <sheetView showGridLines="0" showRowColHeaders="0" topLeftCell="E1" workbookViewId="0">
      <selection activeCell="I1" sqref="I1"/>
    </sheetView>
  </sheetViews>
  <sheetFormatPr defaultColWidth="0" defaultRowHeight="14.4"/>
  <cols>
    <col min="1" max="1" width="27.33203125" style="5" hidden="1" customWidth="1"/>
    <col min="2" max="2" width="38" style="5" hidden="1" customWidth="1"/>
    <col min="3" max="4" width="10.77734375" style="5" hidden="1" customWidth="1"/>
    <col min="5" max="5" width="2.44140625" style="20" customWidth="1"/>
    <col min="6" max="6" width="25.109375" style="1" customWidth="1"/>
    <col min="7" max="38" width="25.77734375" style="1" customWidth="1"/>
    <col min="39" max="41" width="10.77734375" style="1" customWidth="1"/>
    <col min="42" max="16384" width="10.77734375" style="1" hidden="1"/>
  </cols>
  <sheetData>
    <row r="1" spans="1:41" ht="40.049999999999997" customHeight="1" thickBot="1">
      <c r="A1" s="8"/>
      <c r="B1" s="8"/>
      <c r="C1" s="8"/>
      <c r="D1" s="8"/>
      <c r="E1" s="17"/>
      <c r="F1" s="17"/>
      <c r="G1" s="727" t="str">
        <f>Idiomas!D474</f>
        <v>Selecciona día:</v>
      </c>
      <c r="H1" s="711">
        <v>46184</v>
      </c>
      <c r="I1" s="297"/>
      <c r="J1" s="19">
        <f ca="1">VLOOKUP($H$1,Equipos!$Q$2:$R$37,2,0)</f>
        <v>1</v>
      </c>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row>
    <row r="2" spans="1:41" hidden="1">
      <c r="A2" s="8"/>
      <c r="B2" s="8"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C2" s="8"/>
      <c r="D2" s="8"/>
      <c r="E2" s="19"/>
      <c r="F2" s="297"/>
      <c r="G2" s="19" t="str" cm="1">
        <f t="array" aca="1" ref="G2:AL2" ca="1">TRANSPOSE($A$4:$A$35)</f>
        <v>México-Sudáfrica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297"/>
      <c r="AN2" s="297"/>
      <c r="AO2" s="297"/>
    </row>
    <row r="3" spans="1:41" ht="49.95" customHeight="1" thickBot="1">
      <c r="A3" s="8"/>
      <c r="B3" s="8"/>
      <c r="C3" s="8"/>
      <c r="D3" s="8"/>
      <c r="E3" s="19"/>
      <c r="F3" s="449" t="str">
        <f>Idiomas!D475</f>
        <v>Nombre</v>
      </c>
      <c r="G3" s="449" t="str" cm="1">
        <f t="array" aca="1" ref="G3:AL3" ca="1">TRANSPOSE($B$4:$B$35)</f>
        <v>México-Sudáfrica
 (1|2-0)</v>
      </c>
      <c r="H3" s="449" t="str">
        <f ca="1"/>
        <v xml:space="preserve">
</v>
      </c>
      <c r="I3" s="449" t="str">
        <f ca="1"/>
        <v xml:space="preserve">
</v>
      </c>
      <c r="J3" s="449" t="str">
        <f ca="1"/>
        <v xml:space="preserve">
</v>
      </c>
      <c r="K3" s="449" t="str">
        <f ca="1"/>
        <v xml:space="preserve">
</v>
      </c>
      <c r="L3" s="449" t="str">
        <f ca="1"/>
        <v xml:space="preserve">
</v>
      </c>
      <c r="M3" s="449" t="str">
        <f ca="1"/>
        <v xml:space="preserve">
</v>
      </c>
      <c r="N3" s="449" t="str">
        <f ca="1"/>
        <v xml:space="preserve">
</v>
      </c>
      <c r="O3" s="449" t="str">
        <f ca="1"/>
        <v xml:space="preserve">
</v>
      </c>
      <c r="P3" s="449" t="str">
        <f ca="1"/>
        <v xml:space="preserve">
</v>
      </c>
      <c r="Q3" s="449" t="str">
        <f ca="1"/>
        <v xml:space="preserve">
</v>
      </c>
      <c r="R3" s="449" t="str">
        <f ca="1"/>
        <v xml:space="preserve">
</v>
      </c>
      <c r="S3" s="449" t="str">
        <f ca="1"/>
        <v xml:space="preserve">
</v>
      </c>
      <c r="T3" s="449" t="str">
        <f ca="1"/>
        <v xml:space="preserve">
</v>
      </c>
      <c r="U3" s="449" t="str">
        <f ca="1"/>
        <v xml:space="preserve">
</v>
      </c>
      <c r="V3" s="449" t="str">
        <f ca="1"/>
        <v xml:space="preserve">
</v>
      </c>
      <c r="W3" s="449" t="str">
        <f ca="1"/>
        <v xml:space="preserve">
</v>
      </c>
      <c r="X3" s="449" t="str">
        <f ca="1"/>
        <v xml:space="preserve">
</v>
      </c>
      <c r="Y3" s="449" t="str">
        <f ca="1"/>
        <v xml:space="preserve">
</v>
      </c>
      <c r="Z3" s="449" t="str">
        <f ca="1"/>
        <v xml:space="preserve">
</v>
      </c>
      <c r="AA3" s="449" t="str">
        <f ca="1"/>
        <v xml:space="preserve">
</v>
      </c>
      <c r="AB3" s="449" t="str">
        <f ca="1"/>
        <v xml:space="preserve">
</v>
      </c>
      <c r="AC3" s="449" t="str">
        <f ca="1"/>
        <v xml:space="preserve">
</v>
      </c>
      <c r="AD3" s="449" t="str">
        <f ca="1"/>
        <v xml:space="preserve">
</v>
      </c>
      <c r="AE3" s="449" t="str">
        <f ca="1"/>
        <v xml:space="preserve">
</v>
      </c>
      <c r="AF3" s="449" t="str">
        <f ca="1"/>
        <v xml:space="preserve">
</v>
      </c>
      <c r="AG3" s="449" t="str">
        <f ca="1"/>
        <v xml:space="preserve">
</v>
      </c>
      <c r="AH3" s="449" t="str">
        <f ca="1"/>
        <v xml:space="preserve">
</v>
      </c>
      <c r="AI3" s="449" t="str">
        <f ca="1"/>
        <v xml:space="preserve">
</v>
      </c>
      <c r="AJ3" s="449" t="str">
        <f ca="1"/>
        <v xml:space="preserve">
</v>
      </c>
      <c r="AK3" s="449" t="str">
        <f ca="1"/>
        <v xml:space="preserve">
</v>
      </c>
      <c r="AL3" s="449" t="str">
        <f ca="1"/>
        <v xml:space="preserve">
</v>
      </c>
      <c r="AM3" s="297"/>
      <c r="AN3" s="297"/>
      <c r="AO3" s="297"/>
    </row>
    <row r="4" spans="1:41" ht="15" thickTop="1">
      <c r="A4" s="8" t="str" cm="1">
        <f t="array" aca="1" ref="A4" ca="1">IFERROR(INDEX(ADMIN!$K$6:$K$258,SMALL(IF(ADMIN!$G$6:$G$258=$J$1,ROW(ADMIN!$G$6:$G$258)-ROW(ADMIN!$G$6)+1),ROWS($A$1:A1))),"")</f>
        <v>México-Sudáfrica</v>
      </c>
      <c r="B4" s="8" t="str">
        <f ca="1">A4&amp;CHAR(10)&amp;C4</f>
        <v>México-Sudáfrica
 (1|2-0)</v>
      </c>
      <c r="C4" s="8" t="str" cm="1">
        <f t="array" aca="1" ref="C4" ca="1">IFERROR(IF(INDEX(ADMIN!$M$6:$M$258,SMALL(IF(ADMIN!$G$6:$G$258=$J$1,ROW(ADMIN!$G$6:$G$258)-ROW(ADMIN!$G$6)+1),ROWS($A$1:A1)))="-",""," ("&amp;INDEX(ADMIN!$M$6:$M$258,SMALL(IF(ADMIN!$G$6:$G$258=$J$1,ROW(ADMIN!$G$6:$G$258)-ROW(ADMIN!$G$6)+1),ROWS($A$1:A1)))&amp;")"),"")</f>
        <v xml:space="preserve"> (1|2-0)</v>
      </c>
      <c r="D4" s="8" t="str" cm="1">
        <f t="array" aca="1" ref="D4" ca="1">IFERROR(IF($J$1&gt;=20,INDEX(ADMIN!$C$6:$C$258,SMALL(IF(ADMIN!$G$6:$G$258=$J$1,ROW(ADMIN!$G$6:$G$258)-ROW(ADMIN!$G$6)+1),ROWS($D$1:D1))),""),"")</f>
        <v/>
      </c>
      <c r="E4" s="19">
        <v>9</v>
      </c>
      <c r="F4" s="406" t="str" cm="1">
        <f t="array" ref="F4">IFERROR(INDEX(Rango_Admin_DailyPred_Primera,1,E4),"-")</f>
        <v>Admin</v>
      </c>
      <c r="G4" s="429" t="str">
        <f ca="1">IFERROR(VLOOKUP(G$2,Rango_Admin_DailyPred,MATCH($F4,Rango_Admin_DailyPred_Primera,0),0),"-")</f>
        <v>1|1-0</v>
      </c>
      <c r="H4" s="429" t="str">
        <f ca="1">IFERROR(VLOOKUP(H$2,Rango_Admin_DailyPred,MATCH($F4,Rango_Admin_DailyPred_Primera,0),0),"-")</f>
        <v>-</v>
      </c>
      <c r="I4" s="429" t="str">
        <f ca="1">IFERROR(VLOOKUP(I$2,Rango_Admin_DailyPred,MATCH($F4,Rango_Admin_DailyPred_Primera,0),0),"-")</f>
        <v>-</v>
      </c>
      <c r="J4" s="429" t="str">
        <f ca="1">IFERROR(VLOOKUP(J$2,Rango_Admin_DailyPred,MATCH($F4,Rango_Admin_DailyPred_Primera,0),0),"-")</f>
        <v>-</v>
      </c>
      <c r="K4" s="429" t="str">
        <f ca="1">IFERROR(VLOOKUP(K$2,Rango_Admin_DailyPred,MATCH($F4,Rango_Admin_DailyPred_Primera,0),0),"-")</f>
        <v>-</v>
      </c>
      <c r="L4" s="429" t="str">
        <f ca="1">IFERROR(VLOOKUP(L$2,Rango_Admin_DailyPred,MATCH($F4,Rango_Admin_DailyPred_Primera,0),0),"-")</f>
        <v>-</v>
      </c>
      <c r="M4" s="429" t="str">
        <f ca="1">IFERROR(VLOOKUP(M$2,Rango_Admin_DailyPred,MATCH($F4,Rango_Admin_DailyPred_Primera,0),0),"-")</f>
        <v>-</v>
      </c>
      <c r="N4" s="429" t="str">
        <f ca="1">IFERROR(VLOOKUP(N$2,Rango_Admin_DailyPred,MATCH($F4,Rango_Admin_DailyPred_Primera,0),0),"-")</f>
        <v>-</v>
      </c>
      <c r="O4" s="429" t="str">
        <f ca="1">IFERROR(VLOOKUP(O$2,Rango_Admin_DailyPred,MATCH($F4,Rango_Admin_DailyPred_Primera,0),0),"-")</f>
        <v>-</v>
      </c>
      <c r="P4" s="429" t="str">
        <f ca="1">IFERROR(VLOOKUP(P$2,Rango_Admin_DailyPred,MATCH($F4,Rango_Admin_DailyPred_Primera,0),0),"-")</f>
        <v>-</v>
      </c>
      <c r="Q4" s="429" t="str">
        <f ca="1">IFERROR(VLOOKUP(Q$2,Rango_Admin_DailyPred,MATCH($F4,Rango_Admin_DailyPred_Primera,0),0),"-")</f>
        <v>-</v>
      </c>
      <c r="R4" s="429" t="str">
        <f ca="1">IFERROR(VLOOKUP(R$2,Rango_Admin_DailyPred,MATCH($F4,Rango_Admin_DailyPred_Primera,0),0),"-")</f>
        <v>-</v>
      </c>
      <c r="S4" s="429" t="str">
        <f ca="1">IFERROR(VLOOKUP(S$2,Rango_Admin_DailyPred,MATCH($F4,Rango_Admin_DailyPred_Primera,0),0),"-")</f>
        <v>-</v>
      </c>
      <c r="T4" s="429" t="str">
        <f ca="1">IFERROR(VLOOKUP(T$2,Rango_Admin_DailyPred,MATCH($F4,Rango_Admin_DailyPred_Primera,0),0),"-")</f>
        <v>-</v>
      </c>
      <c r="U4" s="429" t="str">
        <f ca="1">IFERROR(VLOOKUP(U$2,Rango_Admin_DailyPred,MATCH($F4,Rango_Admin_DailyPred_Primera,0),0),"-")</f>
        <v>-</v>
      </c>
      <c r="V4" s="429" t="str">
        <f ca="1">IFERROR(VLOOKUP(V$2,Rango_Admin_DailyPred,MATCH($F4,Rango_Admin_DailyPred_Primera,0),0),"-")</f>
        <v>-</v>
      </c>
      <c r="W4" s="429" t="str">
        <f ca="1">IFERROR(VLOOKUP(W$2,Rango_Admin_DailyPred,MATCH($F4,Rango_Admin_DailyPred_Primera,0),0),"-")</f>
        <v>-</v>
      </c>
      <c r="X4" s="429" t="str">
        <f ca="1">IFERROR(VLOOKUP(X$2,Rango_Admin_DailyPred,MATCH($F4,Rango_Admin_DailyPred_Primera,0),0),"-")</f>
        <v>-</v>
      </c>
      <c r="Y4" s="429" t="str">
        <f ca="1">IFERROR(VLOOKUP(Y$2,Rango_Admin_DailyPred,MATCH($F4,Rango_Admin_DailyPred_Primera,0),0),"-")</f>
        <v>-</v>
      </c>
      <c r="Z4" s="429" t="str">
        <f ca="1">IFERROR(VLOOKUP(Z$2,Rango_Admin_DailyPred,MATCH($F4,Rango_Admin_DailyPred_Primera,0),0),"-")</f>
        <v>-</v>
      </c>
      <c r="AA4" s="429" t="str">
        <f ca="1">IFERROR(VLOOKUP(AA$2,Rango_Admin_DailyPred,MATCH($F4,Rango_Admin_DailyPred_Primera,0),0),"-")</f>
        <v>-</v>
      </c>
      <c r="AB4" s="429" t="str">
        <f ca="1">IFERROR(VLOOKUP(AB$2,Rango_Admin_DailyPred,MATCH($F4,Rango_Admin_DailyPred_Primera,0),0),"-")</f>
        <v>-</v>
      </c>
      <c r="AC4" s="429" t="str">
        <f ca="1">IFERROR(VLOOKUP(AC$2,Rango_Admin_DailyPred,MATCH($F4,Rango_Admin_DailyPred_Primera,0),0),"-")</f>
        <v>-</v>
      </c>
      <c r="AD4" s="429" t="str">
        <f ca="1">IFERROR(VLOOKUP(AD$2,Rango_Admin_DailyPred,MATCH($F4,Rango_Admin_DailyPred_Primera,0),0),"-")</f>
        <v>-</v>
      </c>
      <c r="AE4" s="429" t="str">
        <f ca="1">IFERROR(VLOOKUP(AE$2,Rango_Admin_DailyPred,MATCH($F4,Rango_Admin_DailyPred_Primera,0),0),"-")</f>
        <v>-</v>
      </c>
      <c r="AF4" s="429" t="str">
        <f ca="1">IFERROR(VLOOKUP(AF$2,Rango_Admin_DailyPred,MATCH($F4,Rango_Admin_DailyPred_Primera,0),0),"-")</f>
        <v>-</v>
      </c>
      <c r="AG4" s="429" t="str">
        <f ca="1">IFERROR(VLOOKUP(AG$2,Rango_Admin_DailyPred,MATCH($F4,Rango_Admin_DailyPred_Primera,0),0),"-")</f>
        <v>-</v>
      </c>
      <c r="AH4" s="429" t="str">
        <f ca="1">IFERROR(VLOOKUP(AH$2,Rango_Admin_DailyPred,MATCH($F4,Rango_Admin_DailyPred_Primera,0),0),"-")</f>
        <v>-</v>
      </c>
      <c r="AI4" s="429" t="str">
        <f ca="1">IFERROR(VLOOKUP(AI$2,Rango_Admin_DailyPred,MATCH($F4,Rango_Admin_DailyPred_Primera,0),0),"-")</f>
        <v>-</v>
      </c>
      <c r="AJ4" s="429" t="str">
        <f ca="1">IFERROR(VLOOKUP(AJ$2,Rango_Admin_DailyPred,MATCH($F4,Rango_Admin_DailyPred_Primera,0),0),"-")</f>
        <v>-</v>
      </c>
      <c r="AK4" s="429" t="str">
        <f ca="1">IFERROR(VLOOKUP(AK$2,Rango_Admin_DailyPred,MATCH($F4,Rango_Admin_DailyPred_Primera,0),0),"-")</f>
        <v>-</v>
      </c>
      <c r="AL4" s="429" t="str">
        <f ca="1">IFERROR(VLOOKUP(AL$2,Rango_Admin_DailyPred,MATCH($F4,Rango_Admin_DailyPred_Primera,0),0),"-")</f>
        <v>-</v>
      </c>
      <c r="AM4" s="297"/>
      <c r="AN4" s="297"/>
      <c r="AO4" s="297"/>
    </row>
    <row r="5" spans="1:41">
      <c r="A5" s="8" t="str" cm="1">
        <f t="array" aca="1" ref="A5" ca="1">IFERROR(INDEX(ADMIN!$K$6:$K$258,SMALL(IF(ADMIN!$G$6:$G$258=$J$1,ROW(ADMIN!$G$6:$G$258)-ROW(ADMIN!$G$6)+1),ROWS($A$1:A2))),"")</f>
        <v/>
      </c>
      <c r="B5" s="8" t="str">
        <f t="shared" ref="B5:B35" ca="1" si="0">A5&amp;CHAR(10)&amp;C5</f>
        <v xml:space="preserve">
</v>
      </c>
      <c r="C5" s="8" t="str" cm="1">
        <f t="array" aca="1" ref="C5" ca="1">IFERROR(IF(INDEX(ADMIN!$M$6:$M$258,SMALL(IF(ADMIN!$G$6:$G$258=$J$1,ROW(ADMIN!$G$6:$G$258)-ROW(ADMIN!$G$6)+1),ROWS($A$1:A2)))="-", "", " ("&amp;INDEX(ADMIN!$M$6:$M$258,SMALL(IF(ADMIN!$G$6:$G$258=$J$1,ROW(ADMIN!$G$6:$G$258)-ROW(ADMIN!$G$6)+1),ROWS($A$1:A2)))&amp;")"),"")</f>
        <v/>
      </c>
      <c r="D5" s="8" t="str" cm="1">
        <f t="array" aca="1" ref="D5" ca="1">IFERROR(IF($J$1&gt;=20,INDEX(ADMIN!$C$6:$C$258,SMALL(IF(ADMIN!$G$6:$G$258=$J$1,ROW(ADMIN!$G$6:$G$258)-ROW(ADMIN!$G$6)+1),ROWS($D$1:D2))),""),"")</f>
        <v/>
      </c>
      <c r="E5" s="19">
        <f>+E4+3</f>
        <v>12</v>
      </c>
      <c r="F5" s="406" t="str" cm="1">
        <f t="array" ref="F5">IFERROR(INDEX(Rango_Admin_DailyPred_Primera,1,E5),"-")</f>
        <v>Luis B</v>
      </c>
      <c r="G5" s="429" t="str">
        <f ca="1">IFERROR(VLOOKUP(G$2,Rango_Admin_DailyPred,MATCH($F5,Rango_Admin_DailyPred_Primera,0),0),"-")</f>
        <v>1|2-1</v>
      </c>
      <c r="H5" s="429" t="str">
        <f ca="1">IFERROR(VLOOKUP(H$2,Rango_Admin_DailyPred,MATCH($F5,Rango_Admin_DailyPred_Primera,0),0),"-")</f>
        <v>-</v>
      </c>
      <c r="I5" s="429" t="str">
        <f ca="1">IFERROR(VLOOKUP(I$2,Rango_Admin_DailyPred,MATCH($F5,Rango_Admin_DailyPred_Primera,0),0),"-")</f>
        <v>-</v>
      </c>
      <c r="J5" s="429" t="str">
        <f ca="1">IFERROR(VLOOKUP(J$2,Rango_Admin_DailyPred,MATCH($F5,Rango_Admin_DailyPred_Primera,0),0),"-")</f>
        <v>-</v>
      </c>
      <c r="K5" s="429" t="str">
        <f ca="1">IFERROR(VLOOKUP(K$2,Rango_Admin_DailyPred,MATCH($F5,Rango_Admin_DailyPred_Primera,0),0),"-")</f>
        <v>-</v>
      </c>
      <c r="L5" s="429" t="str">
        <f ca="1">IFERROR(VLOOKUP(L$2,Rango_Admin_DailyPred,MATCH($F5,Rango_Admin_DailyPred_Primera,0),0),"-")</f>
        <v>-</v>
      </c>
      <c r="M5" s="429" t="str">
        <f ca="1">IFERROR(VLOOKUP(M$2,Rango_Admin_DailyPred,MATCH($F5,Rango_Admin_DailyPred_Primera,0),0),"-")</f>
        <v>-</v>
      </c>
      <c r="N5" s="429" t="str">
        <f ca="1">IFERROR(VLOOKUP(N$2,Rango_Admin_DailyPred,MATCH($F5,Rango_Admin_DailyPred_Primera,0),0),"-")</f>
        <v>-</v>
      </c>
      <c r="O5" s="429" t="str">
        <f ca="1">IFERROR(VLOOKUP(O$2,Rango_Admin_DailyPred,MATCH($F5,Rango_Admin_DailyPred_Primera,0),0),"-")</f>
        <v>-</v>
      </c>
      <c r="P5" s="429" t="str">
        <f ca="1">IFERROR(VLOOKUP(P$2,Rango_Admin_DailyPred,MATCH($F5,Rango_Admin_DailyPred_Primera,0),0),"-")</f>
        <v>-</v>
      </c>
      <c r="Q5" s="429" t="str">
        <f ca="1">IFERROR(VLOOKUP(Q$2,Rango_Admin_DailyPred,MATCH($F5,Rango_Admin_DailyPred_Primera,0),0),"-")</f>
        <v>-</v>
      </c>
      <c r="R5" s="429" t="str">
        <f ca="1">IFERROR(VLOOKUP(R$2,Rango_Admin_DailyPred,MATCH($F5,Rango_Admin_DailyPred_Primera,0),0),"-")</f>
        <v>-</v>
      </c>
      <c r="S5" s="429" t="str">
        <f ca="1">IFERROR(VLOOKUP(S$2,Rango_Admin_DailyPred,MATCH($F5,Rango_Admin_DailyPred_Primera,0),0),"-")</f>
        <v>-</v>
      </c>
      <c r="T5" s="429" t="str">
        <f ca="1">IFERROR(VLOOKUP(T$2,Rango_Admin_DailyPred,MATCH($F5,Rango_Admin_DailyPred_Primera,0),0),"-")</f>
        <v>-</v>
      </c>
      <c r="U5" s="429" t="str">
        <f ca="1">IFERROR(VLOOKUP(U$2,Rango_Admin_DailyPred,MATCH($F5,Rango_Admin_DailyPred_Primera,0),0),"-")</f>
        <v>-</v>
      </c>
      <c r="V5" s="429" t="str">
        <f ca="1">IFERROR(VLOOKUP(V$2,Rango_Admin_DailyPred,MATCH($F5,Rango_Admin_DailyPred_Primera,0),0),"-")</f>
        <v>-</v>
      </c>
      <c r="W5" s="429" t="str">
        <f ca="1">IFERROR(VLOOKUP(W$2,Rango_Admin_DailyPred,MATCH($F5,Rango_Admin_DailyPred_Primera,0),0),"-")</f>
        <v>-</v>
      </c>
      <c r="X5" s="429" t="str">
        <f ca="1">IFERROR(VLOOKUP(X$2,Rango_Admin_DailyPred,MATCH($F5,Rango_Admin_DailyPred_Primera,0),0),"-")</f>
        <v>-</v>
      </c>
      <c r="Y5" s="429" t="str">
        <f ca="1">IFERROR(VLOOKUP(Y$2,Rango_Admin_DailyPred,MATCH($F5,Rango_Admin_DailyPred_Primera,0),0),"-")</f>
        <v>-</v>
      </c>
      <c r="Z5" s="429" t="str">
        <f ca="1">IFERROR(VLOOKUP(Z$2,Rango_Admin_DailyPred,MATCH($F5,Rango_Admin_DailyPred_Primera,0),0),"-")</f>
        <v>-</v>
      </c>
      <c r="AA5" s="429" t="str">
        <f ca="1">IFERROR(VLOOKUP(AA$2,Rango_Admin_DailyPred,MATCH($F5,Rango_Admin_DailyPred_Primera,0),0),"-")</f>
        <v>-</v>
      </c>
      <c r="AB5" s="429" t="str">
        <f ca="1">IFERROR(VLOOKUP(AB$2,Rango_Admin_DailyPred,MATCH($F5,Rango_Admin_DailyPred_Primera,0),0),"-")</f>
        <v>-</v>
      </c>
      <c r="AC5" s="429" t="str">
        <f ca="1">IFERROR(VLOOKUP(AC$2,Rango_Admin_DailyPred,MATCH($F5,Rango_Admin_DailyPred_Primera,0),0),"-")</f>
        <v>-</v>
      </c>
      <c r="AD5" s="429" t="str">
        <f ca="1">IFERROR(VLOOKUP(AD$2,Rango_Admin_DailyPred,MATCH($F5,Rango_Admin_DailyPred_Primera,0),0),"-")</f>
        <v>-</v>
      </c>
      <c r="AE5" s="429" t="str">
        <f ca="1">IFERROR(VLOOKUP(AE$2,Rango_Admin_DailyPred,MATCH($F5,Rango_Admin_DailyPred_Primera,0),0),"-")</f>
        <v>-</v>
      </c>
      <c r="AF5" s="429" t="str">
        <f ca="1">IFERROR(VLOOKUP(AF$2,Rango_Admin_DailyPred,MATCH($F5,Rango_Admin_DailyPred_Primera,0),0),"-")</f>
        <v>-</v>
      </c>
      <c r="AG5" s="429" t="str">
        <f ca="1">IFERROR(VLOOKUP(AG$2,Rango_Admin_DailyPred,MATCH($F5,Rango_Admin_DailyPred_Primera,0),0),"-")</f>
        <v>-</v>
      </c>
      <c r="AH5" s="429" t="str">
        <f ca="1">IFERROR(VLOOKUP(AH$2,Rango_Admin_DailyPred,MATCH($F5,Rango_Admin_DailyPred_Primera,0),0),"-")</f>
        <v>-</v>
      </c>
      <c r="AI5" s="429" t="str">
        <f ca="1">IFERROR(VLOOKUP(AI$2,Rango_Admin_DailyPred,MATCH($F5,Rango_Admin_DailyPred_Primera,0),0),"-")</f>
        <v>-</v>
      </c>
      <c r="AJ5" s="429" t="str">
        <f ca="1">IFERROR(VLOOKUP(AJ$2,Rango_Admin_DailyPred,MATCH($F5,Rango_Admin_DailyPred_Primera,0),0),"-")</f>
        <v>-</v>
      </c>
      <c r="AK5" s="429" t="str">
        <f ca="1">IFERROR(VLOOKUP(AK$2,Rango_Admin_DailyPred,MATCH($F5,Rango_Admin_DailyPred_Primera,0),0),"-")</f>
        <v>-</v>
      </c>
      <c r="AL5" s="429" t="str">
        <f ca="1">IFERROR(VLOOKUP(AL$2,Rango_Admin_DailyPred,MATCH($F5,Rango_Admin_DailyPred_Primera,0),0),"-")</f>
        <v>-</v>
      </c>
      <c r="AM5" s="297"/>
      <c r="AN5" s="297"/>
      <c r="AO5" s="297"/>
    </row>
    <row r="6" spans="1:41">
      <c r="A6" s="8" t="str" cm="1">
        <f t="array" aca="1" ref="A6" ca="1">IFERROR(INDEX(ADMIN!$K$6:$K$258,SMALL(IF(ADMIN!$G$6:$G$258=$J$1,ROW(ADMIN!$G$6:$G$258)-ROW(ADMIN!$G$6)+1),ROWS($A$1:A3))),"")</f>
        <v/>
      </c>
      <c r="B6" s="8" t="str">
        <f t="shared" ca="1" si="0"/>
        <v xml:space="preserve">
</v>
      </c>
      <c r="C6" s="8" t="str" cm="1">
        <f t="array" aca="1" ref="C6" ca="1">IFERROR(IF(INDEX(ADMIN!$M$6:$M$258,SMALL(IF(ADMIN!$G$6:$G$258=$J$1,ROW(ADMIN!$G$6:$G$258)-ROW(ADMIN!$G$6)+1),ROWS($A$1:A3)))="-", "", " ("&amp;INDEX(ADMIN!$M$6:$M$258,SMALL(IF(ADMIN!$G$6:$G$258=$J$1,ROW(ADMIN!$G$6:$G$258)-ROW(ADMIN!$G$6)+1),ROWS($A$1:A3)))&amp;")"),"")</f>
        <v/>
      </c>
      <c r="D6" s="8" t="str" cm="1">
        <f t="array" aca="1" ref="D6" ca="1">IFERROR(IF($J$1&gt;=20,INDEX(ADMIN!$C$6:$C$258,SMALL(IF(ADMIN!$G$6:$G$258=$J$1,ROW(ADMIN!$G$6:$G$258)-ROW(ADMIN!$G$6)+1),ROWS($D$1:D3))),""),"")</f>
        <v/>
      </c>
      <c r="E6" s="19">
        <f t="shared" ref="E6:E53" si="1">+E5+3</f>
        <v>15</v>
      </c>
      <c r="F6" s="406" t="str" cm="1">
        <f t="array" ref="F6">IFERROR(INDEX(Rango_Admin_DailyPred_Primera,1,E6),"-")</f>
        <v>Alejandro Lafuente</v>
      </c>
      <c r="G6" s="429" t="str">
        <f ca="1">IFERROR(VLOOKUP(G$2,Rango_Admin_DailyPred,MATCH($F6,Rango_Admin_DailyPred_Primera,0),0),"-")</f>
        <v>1|2-0</v>
      </c>
      <c r="H6" s="429" t="str">
        <f ca="1">IFERROR(VLOOKUP(H$2,Rango_Admin_DailyPred,MATCH($F6,Rango_Admin_DailyPred_Primera,0),0),"-")</f>
        <v>-</v>
      </c>
      <c r="I6" s="429" t="str">
        <f ca="1">IFERROR(VLOOKUP(I$2,Rango_Admin_DailyPred,MATCH($F6,Rango_Admin_DailyPred_Primera,0),0),"-")</f>
        <v>-</v>
      </c>
      <c r="J6" s="429" t="str">
        <f ca="1">IFERROR(VLOOKUP(J$2,Rango_Admin_DailyPred,MATCH($F6,Rango_Admin_DailyPred_Primera,0),0),"-")</f>
        <v>-</v>
      </c>
      <c r="K6" s="429" t="str">
        <f ca="1">IFERROR(VLOOKUP(K$2,Rango_Admin_DailyPred,MATCH($F6,Rango_Admin_DailyPred_Primera,0),0),"-")</f>
        <v>-</v>
      </c>
      <c r="L6" s="429" t="str">
        <f ca="1">IFERROR(VLOOKUP(L$2,Rango_Admin_DailyPred,MATCH($F6,Rango_Admin_DailyPred_Primera,0),0),"-")</f>
        <v>-</v>
      </c>
      <c r="M6" s="429" t="str">
        <f ca="1">IFERROR(VLOOKUP(M$2,Rango_Admin_DailyPred,MATCH($F6,Rango_Admin_DailyPred_Primera,0),0),"-")</f>
        <v>-</v>
      </c>
      <c r="N6" s="429" t="str">
        <f ca="1">IFERROR(VLOOKUP(N$2,Rango_Admin_DailyPred,MATCH($F6,Rango_Admin_DailyPred_Primera,0),0),"-")</f>
        <v>-</v>
      </c>
      <c r="O6" s="429" t="str">
        <f ca="1">IFERROR(VLOOKUP(O$2,Rango_Admin_DailyPred,MATCH($F6,Rango_Admin_DailyPred_Primera,0),0),"-")</f>
        <v>-</v>
      </c>
      <c r="P6" s="429" t="str">
        <f ca="1">IFERROR(VLOOKUP(P$2,Rango_Admin_DailyPred,MATCH($F6,Rango_Admin_DailyPred_Primera,0),0),"-")</f>
        <v>-</v>
      </c>
      <c r="Q6" s="429" t="str">
        <f ca="1">IFERROR(VLOOKUP(Q$2,Rango_Admin_DailyPred,MATCH($F6,Rango_Admin_DailyPred_Primera,0),0),"-")</f>
        <v>-</v>
      </c>
      <c r="R6" s="429" t="str">
        <f ca="1">IFERROR(VLOOKUP(R$2,Rango_Admin_DailyPred,MATCH($F6,Rango_Admin_DailyPred_Primera,0),0),"-")</f>
        <v>-</v>
      </c>
      <c r="S6" s="429" t="str">
        <f ca="1">IFERROR(VLOOKUP(S$2,Rango_Admin_DailyPred,MATCH($F6,Rango_Admin_DailyPred_Primera,0),0),"-")</f>
        <v>-</v>
      </c>
      <c r="T6" s="429" t="str">
        <f ca="1">IFERROR(VLOOKUP(T$2,Rango_Admin_DailyPred,MATCH($F6,Rango_Admin_DailyPred_Primera,0),0),"-")</f>
        <v>-</v>
      </c>
      <c r="U6" s="429" t="str">
        <f ca="1">IFERROR(VLOOKUP(U$2,Rango_Admin_DailyPred,MATCH($F6,Rango_Admin_DailyPred_Primera,0),0),"-")</f>
        <v>-</v>
      </c>
      <c r="V6" s="429" t="str">
        <f ca="1">IFERROR(VLOOKUP(V$2,Rango_Admin_DailyPred,MATCH($F6,Rango_Admin_DailyPred_Primera,0),0),"-")</f>
        <v>-</v>
      </c>
      <c r="W6" s="429" t="str">
        <f ca="1">IFERROR(VLOOKUP(W$2,Rango_Admin_DailyPred,MATCH($F6,Rango_Admin_DailyPred_Primera,0),0),"-")</f>
        <v>-</v>
      </c>
      <c r="X6" s="429" t="str">
        <f ca="1">IFERROR(VLOOKUP(X$2,Rango_Admin_DailyPred,MATCH($F6,Rango_Admin_DailyPred_Primera,0),0),"-")</f>
        <v>-</v>
      </c>
      <c r="Y6" s="429" t="str">
        <f ca="1">IFERROR(VLOOKUP(Y$2,Rango_Admin_DailyPred,MATCH($F6,Rango_Admin_DailyPred_Primera,0),0),"-")</f>
        <v>-</v>
      </c>
      <c r="Z6" s="429" t="str">
        <f ca="1">IFERROR(VLOOKUP(Z$2,Rango_Admin_DailyPred,MATCH($F6,Rango_Admin_DailyPred_Primera,0),0),"-")</f>
        <v>-</v>
      </c>
      <c r="AA6" s="429" t="str">
        <f ca="1">IFERROR(VLOOKUP(AA$2,Rango_Admin_DailyPred,MATCH($F6,Rango_Admin_DailyPred_Primera,0),0),"-")</f>
        <v>-</v>
      </c>
      <c r="AB6" s="429" t="str">
        <f ca="1">IFERROR(VLOOKUP(AB$2,Rango_Admin_DailyPred,MATCH($F6,Rango_Admin_DailyPred_Primera,0),0),"-")</f>
        <v>-</v>
      </c>
      <c r="AC6" s="429" t="str">
        <f ca="1">IFERROR(VLOOKUP(AC$2,Rango_Admin_DailyPred,MATCH($F6,Rango_Admin_DailyPred_Primera,0),0),"-")</f>
        <v>-</v>
      </c>
      <c r="AD6" s="429" t="str">
        <f ca="1">IFERROR(VLOOKUP(AD$2,Rango_Admin_DailyPred,MATCH($F6,Rango_Admin_DailyPred_Primera,0),0),"-")</f>
        <v>-</v>
      </c>
      <c r="AE6" s="429" t="str">
        <f ca="1">IFERROR(VLOOKUP(AE$2,Rango_Admin_DailyPred,MATCH($F6,Rango_Admin_DailyPred_Primera,0),0),"-")</f>
        <v>-</v>
      </c>
      <c r="AF6" s="429" t="str">
        <f ca="1">IFERROR(VLOOKUP(AF$2,Rango_Admin_DailyPred,MATCH($F6,Rango_Admin_DailyPred_Primera,0),0),"-")</f>
        <v>-</v>
      </c>
      <c r="AG6" s="429" t="str">
        <f ca="1">IFERROR(VLOOKUP(AG$2,Rango_Admin_DailyPred,MATCH($F6,Rango_Admin_DailyPred_Primera,0),0),"-")</f>
        <v>-</v>
      </c>
      <c r="AH6" s="429" t="str">
        <f ca="1">IFERROR(VLOOKUP(AH$2,Rango_Admin_DailyPred,MATCH($F6,Rango_Admin_DailyPred_Primera,0),0),"-")</f>
        <v>-</v>
      </c>
      <c r="AI6" s="429" t="str">
        <f ca="1">IFERROR(VLOOKUP(AI$2,Rango_Admin_DailyPred,MATCH($F6,Rango_Admin_DailyPred_Primera,0),0),"-")</f>
        <v>-</v>
      </c>
      <c r="AJ6" s="429" t="str">
        <f ca="1">IFERROR(VLOOKUP(AJ$2,Rango_Admin_DailyPred,MATCH($F6,Rango_Admin_DailyPred_Primera,0),0),"-")</f>
        <v>-</v>
      </c>
      <c r="AK6" s="429" t="str">
        <f ca="1">IFERROR(VLOOKUP(AK$2,Rango_Admin_DailyPred,MATCH($F6,Rango_Admin_DailyPred_Primera,0),0),"-")</f>
        <v>-</v>
      </c>
      <c r="AL6" s="429" t="str">
        <f ca="1">IFERROR(VLOOKUP(AL$2,Rango_Admin_DailyPred,MATCH($F6,Rango_Admin_DailyPred_Primera,0),0),"-")</f>
        <v>-</v>
      </c>
      <c r="AM6" s="297"/>
      <c r="AN6" s="297"/>
      <c r="AO6" s="297"/>
    </row>
    <row r="7" spans="1:41">
      <c r="A7" s="8" t="str" cm="1">
        <f t="array" aca="1" ref="A7" ca="1">IFERROR(INDEX(ADMIN!$K$6:$K$258,SMALL(IF(ADMIN!$G$6:$G$258=$J$1,ROW(ADMIN!$G$6:$G$258)-ROW(ADMIN!$G$6)+1),ROWS($A$1:A4))),"")</f>
        <v/>
      </c>
      <c r="B7" s="8" t="str">
        <f t="shared" ca="1" si="0"/>
        <v xml:space="preserve">
</v>
      </c>
      <c r="C7" s="8" t="str" cm="1">
        <f t="array" aca="1" ref="C7" ca="1">IFERROR(IF(INDEX(ADMIN!$M$6:$M$258,SMALL(IF(ADMIN!$G$6:$G$258=$J$1,ROW(ADMIN!$G$6:$G$258)-ROW(ADMIN!$G$6)+1),ROWS($A$1:A4)))="-", "", " ("&amp;INDEX(ADMIN!$M$6:$M$258,SMALL(IF(ADMIN!$G$6:$G$258=$J$1,ROW(ADMIN!$G$6:$G$258)-ROW(ADMIN!$G$6)+1),ROWS($A$1:A4)))&amp;")"),"")</f>
        <v/>
      </c>
      <c r="D7" s="8" t="str" cm="1">
        <f t="array" aca="1" ref="D7" ca="1">IFERROR(IF($J$1&gt;=20,INDEX(ADMIN!$C$6:$C$258,SMALL(IF(ADMIN!$G$6:$G$258=$J$1,ROW(ADMIN!$G$6:$G$258)-ROW(ADMIN!$G$6)+1),ROWS($D$1:D4))),""),"")</f>
        <v/>
      </c>
      <c r="E7" s="19">
        <f t="shared" si="1"/>
        <v>18</v>
      </c>
      <c r="F7" s="406" t="str" cm="1">
        <f t="array" ref="F7">IFERROR(INDEX(Rango_Admin_DailyPred_Primera,1,E7),"-")</f>
        <v>Jaime Lafuente</v>
      </c>
      <c r="G7" s="429" t="str">
        <f ca="1">IFERROR(VLOOKUP(G$2,Rango_Admin_DailyPred,MATCH($F7,Rango_Admin_DailyPred_Primera,0),0),"-")</f>
        <v>1|2-0</v>
      </c>
      <c r="H7" s="429" t="str">
        <f ca="1">IFERROR(VLOOKUP(H$2,Rango_Admin_DailyPred,MATCH($F7,Rango_Admin_DailyPred_Primera,0),0),"-")</f>
        <v>-</v>
      </c>
      <c r="I7" s="429" t="str">
        <f ca="1">IFERROR(VLOOKUP(I$2,Rango_Admin_DailyPred,MATCH($F7,Rango_Admin_DailyPred_Primera,0),0),"-")</f>
        <v>-</v>
      </c>
      <c r="J7" s="429" t="str">
        <f ca="1">IFERROR(VLOOKUP(J$2,Rango_Admin_DailyPred,MATCH($F7,Rango_Admin_DailyPred_Primera,0),0),"-")</f>
        <v>-</v>
      </c>
      <c r="K7" s="429" t="str">
        <f ca="1">IFERROR(VLOOKUP(K$2,Rango_Admin_DailyPred,MATCH($F7,Rango_Admin_DailyPred_Primera,0),0),"-")</f>
        <v>-</v>
      </c>
      <c r="L7" s="429" t="str">
        <f ca="1">IFERROR(VLOOKUP(L$2,Rango_Admin_DailyPred,MATCH($F7,Rango_Admin_DailyPred_Primera,0),0),"-")</f>
        <v>-</v>
      </c>
      <c r="M7" s="429" t="str">
        <f ca="1">IFERROR(VLOOKUP(M$2,Rango_Admin_DailyPred,MATCH($F7,Rango_Admin_DailyPred_Primera,0),0),"-")</f>
        <v>-</v>
      </c>
      <c r="N7" s="429" t="str">
        <f ca="1">IFERROR(VLOOKUP(N$2,Rango_Admin_DailyPred,MATCH($F7,Rango_Admin_DailyPred_Primera,0),0),"-")</f>
        <v>-</v>
      </c>
      <c r="O7" s="429" t="str">
        <f ca="1">IFERROR(VLOOKUP(O$2,Rango_Admin_DailyPred,MATCH($F7,Rango_Admin_DailyPred_Primera,0),0),"-")</f>
        <v>-</v>
      </c>
      <c r="P7" s="429" t="str">
        <f ca="1">IFERROR(VLOOKUP(P$2,Rango_Admin_DailyPred,MATCH($F7,Rango_Admin_DailyPred_Primera,0),0),"-")</f>
        <v>-</v>
      </c>
      <c r="Q7" s="429" t="str">
        <f ca="1">IFERROR(VLOOKUP(Q$2,Rango_Admin_DailyPred,MATCH($F7,Rango_Admin_DailyPred_Primera,0),0),"-")</f>
        <v>-</v>
      </c>
      <c r="R7" s="429" t="str">
        <f ca="1">IFERROR(VLOOKUP(R$2,Rango_Admin_DailyPred,MATCH($F7,Rango_Admin_DailyPred_Primera,0),0),"-")</f>
        <v>-</v>
      </c>
      <c r="S7" s="429" t="str">
        <f ca="1">IFERROR(VLOOKUP(S$2,Rango_Admin_DailyPred,MATCH($F7,Rango_Admin_DailyPred_Primera,0),0),"-")</f>
        <v>-</v>
      </c>
      <c r="T7" s="429" t="str">
        <f ca="1">IFERROR(VLOOKUP(T$2,Rango_Admin_DailyPred,MATCH($F7,Rango_Admin_DailyPred_Primera,0),0),"-")</f>
        <v>-</v>
      </c>
      <c r="U7" s="429" t="str">
        <f ca="1">IFERROR(VLOOKUP(U$2,Rango_Admin_DailyPred,MATCH($F7,Rango_Admin_DailyPred_Primera,0),0),"-")</f>
        <v>-</v>
      </c>
      <c r="V7" s="429" t="str">
        <f ca="1">IFERROR(VLOOKUP(V$2,Rango_Admin_DailyPred,MATCH($F7,Rango_Admin_DailyPred_Primera,0),0),"-")</f>
        <v>-</v>
      </c>
      <c r="W7" s="429" t="str">
        <f ca="1">IFERROR(VLOOKUP(W$2,Rango_Admin_DailyPred,MATCH($F7,Rango_Admin_DailyPred_Primera,0),0),"-")</f>
        <v>-</v>
      </c>
      <c r="X7" s="429" t="str">
        <f ca="1">IFERROR(VLOOKUP(X$2,Rango_Admin_DailyPred,MATCH($F7,Rango_Admin_DailyPred_Primera,0),0),"-")</f>
        <v>-</v>
      </c>
      <c r="Y7" s="429" t="str">
        <f ca="1">IFERROR(VLOOKUP(Y$2,Rango_Admin_DailyPred,MATCH($F7,Rango_Admin_DailyPred_Primera,0),0),"-")</f>
        <v>-</v>
      </c>
      <c r="Z7" s="429" t="str">
        <f ca="1">IFERROR(VLOOKUP(Z$2,Rango_Admin_DailyPred,MATCH($F7,Rango_Admin_DailyPred_Primera,0),0),"-")</f>
        <v>-</v>
      </c>
      <c r="AA7" s="429" t="str">
        <f ca="1">IFERROR(VLOOKUP(AA$2,Rango_Admin_DailyPred,MATCH($F7,Rango_Admin_DailyPred_Primera,0),0),"-")</f>
        <v>-</v>
      </c>
      <c r="AB7" s="429" t="str">
        <f ca="1">IFERROR(VLOOKUP(AB$2,Rango_Admin_DailyPred,MATCH($F7,Rango_Admin_DailyPred_Primera,0),0),"-")</f>
        <v>-</v>
      </c>
      <c r="AC7" s="429" t="str">
        <f ca="1">IFERROR(VLOOKUP(AC$2,Rango_Admin_DailyPred,MATCH($F7,Rango_Admin_DailyPred_Primera,0),0),"-")</f>
        <v>-</v>
      </c>
      <c r="AD7" s="429" t="str">
        <f ca="1">IFERROR(VLOOKUP(AD$2,Rango_Admin_DailyPred,MATCH($F7,Rango_Admin_DailyPred_Primera,0),0),"-")</f>
        <v>-</v>
      </c>
      <c r="AE7" s="429" t="str">
        <f ca="1">IFERROR(VLOOKUP(AE$2,Rango_Admin_DailyPred,MATCH($F7,Rango_Admin_DailyPred_Primera,0),0),"-")</f>
        <v>-</v>
      </c>
      <c r="AF7" s="429" t="str">
        <f ca="1">IFERROR(VLOOKUP(AF$2,Rango_Admin_DailyPred,MATCH($F7,Rango_Admin_DailyPred_Primera,0),0),"-")</f>
        <v>-</v>
      </c>
      <c r="AG7" s="429" t="str">
        <f ca="1">IFERROR(VLOOKUP(AG$2,Rango_Admin_DailyPred,MATCH($F7,Rango_Admin_DailyPred_Primera,0),0),"-")</f>
        <v>-</v>
      </c>
      <c r="AH7" s="429" t="str">
        <f ca="1">IFERROR(VLOOKUP(AH$2,Rango_Admin_DailyPred,MATCH($F7,Rango_Admin_DailyPred_Primera,0),0),"-")</f>
        <v>-</v>
      </c>
      <c r="AI7" s="429" t="str">
        <f ca="1">IFERROR(VLOOKUP(AI$2,Rango_Admin_DailyPred,MATCH($F7,Rango_Admin_DailyPred_Primera,0),0),"-")</f>
        <v>-</v>
      </c>
      <c r="AJ7" s="429" t="str">
        <f ca="1">IFERROR(VLOOKUP(AJ$2,Rango_Admin_DailyPred,MATCH($F7,Rango_Admin_DailyPred_Primera,0),0),"-")</f>
        <v>-</v>
      </c>
      <c r="AK7" s="429" t="str">
        <f ca="1">IFERROR(VLOOKUP(AK$2,Rango_Admin_DailyPred,MATCH($F7,Rango_Admin_DailyPred_Primera,0),0),"-")</f>
        <v>-</v>
      </c>
      <c r="AL7" s="429" t="str">
        <f ca="1">IFERROR(VLOOKUP(AL$2,Rango_Admin_DailyPred,MATCH($F7,Rango_Admin_DailyPred_Primera,0),0),"-")</f>
        <v>-</v>
      </c>
      <c r="AM7" s="297"/>
      <c r="AN7" s="297"/>
      <c r="AO7" s="297"/>
    </row>
    <row r="8" spans="1:41">
      <c r="A8" s="8" t="str" cm="1">
        <f t="array" aca="1" ref="A8" ca="1">IFERROR(INDEX(ADMIN!$K$6:$K$258,SMALL(IF(ADMIN!$G$6:$G$258=$J$1,ROW(ADMIN!$G$6:$G$258)-ROW(ADMIN!$G$6)+1),ROWS($A$1:A5))),"")</f>
        <v/>
      </c>
      <c r="B8" s="8" t="str">
        <f t="shared" ca="1" si="0"/>
        <v xml:space="preserve">
</v>
      </c>
      <c r="C8" s="8" t="str" cm="1">
        <f t="array" aca="1" ref="C8" ca="1">IFERROR(IF(INDEX(ADMIN!$M$6:$M$258,SMALL(IF(ADMIN!$G$6:$G$258=$J$1,ROW(ADMIN!$G$6:$G$258)-ROW(ADMIN!$G$6)+1),ROWS($A$1:A5)))="-", "", " ("&amp;INDEX(ADMIN!$M$6:$M$258,SMALL(IF(ADMIN!$G$6:$G$258=$J$1,ROW(ADMIN!$G$6:$G$258)-ROW(ADMIN!$G$6)+1),ROWS($A$1:A5)))&amp;")"),"")</f>
        <v/>
      </c>
      <c r="D8" s="8" t="str" cm="1">
        <f t="array" aca="1" ref="D8" ca="1">IFERROR(IF($J$1&gt;=20,INDEX(ADMIN!$C$6:$C$258,SMALL(IF(ADMIN!$G$6:$G$258=$J$1,ROW(ADMIN!$G$6:$G$258)-ROW(ADMIN!$G$6)+1),ROWS($D$1:D5))),""),"")</f>
        <v/>
      </c>
      <c r="E8" s="19">
        <f t="shared" si="1"/>
        <v>21</v>
      </c>
      <c r="F8" s="406" t="str" cm="1">
        <f t="array" ref="F8">IFERROR(INDEX(Rango_Admin_DailyPred_Primera,1,E8),"-")</f>
        <v>Pastor</v>
      </c>
      <c r="G8" s="429" t="str">
        <f ca="1">IFERROR(VLOOKUP(G$2,Rango_Admin_DailyPred,MATCH($F8,Rango_Admin_DailyPred_Primera,0),0),"-")</f>
        <v>1|2-0</v>
      </c>
      <c r="H8" s="429" t="str">
        <f ca="1">IFERROR(VLOOKUP(H$2,Rango_Admin_DailyPred,MATCH($F8,Rango_Admin_DailyPred_Primera,0),0),"-")</f>
        <v>-</v>
      </c>
      <c r="I8" s="429" t="str">
        <f ca="1">IFERROR(VLOOKUP(I$2,Rango_Admin_DailyPred,MATCH($F8,Rango_Admin_DailyPred_Primera,0),0),"-")</f>
        <v>-</v>
      </c>
      <c r="J8" s="429" t="str">
        <f ca="1">IFERROR(VLOOKUP(J$2,Rango_Admin_DailyPred,MATCH($F8,Rango_Admin_DailyPred_Primera,0),0),"-")</f>
        <v>-</v>
      </c>
      <c r="K8" s="429" t="str">
        <f ca="1">IFERROR(VLOOKUP(K$2,Rango_Admin_DailyPred,MATCH($F8,Rango_Admin_DailyPred_Primera,0),0),"-")</f>
        <v>-</v>
      </c>
      <c r="L8" s="429" t="str">
        <f ca="1">IFERROR(VLOOKUP(L$2,Rango_Admin_DailyPred,MATCH($F8,Rango_Admin_DailyPred_Primera,0),0),"-")</f>
        <v>-</v>
      </c>
      <c r="M8" s="429" t="str">
        <f ca="1">IFERROR(VLOOKUP(M$2,Rango_Admin_DailyPred,MATCH($F8,Rango_Admin_DailyPred_Primera,0),0),"-")</f>
        <v>-</v>
      </c>
      <c r="N8" s="429" t="str">
        <f ca="1">IFERROR(VLOOKUP(N$2,Rango_Admin_DailyPred,MATCH($F8,Rango_Admin_DailyPred_Primera,0),0),"-")</f>
        <v>-</v>
      </c>
      <c r="O8" s="429" t="str">
        <f ca="1">IFERROR(VLOOKUP(O$2,Rango_Admin_DailyPred,MATCH($F8,Rango_Admin_DailyPred_Primera,0),0),"-")</f>
        <v>-</v>
      </c>
      <c r="P8" s="429" t="str">
        <f ca="1">IFERROR(VLOOKUP(P$2,Rango_Admin_DailyPred,MATCH($F8,Rango_Admin_DailyPred_Primera,0),0),"-")</f>
        <v>-</v>
      </c>
      <c r="Q8" s="429" t="str">
        <f ca="1">IFERROR(VLOOKUP(Q$2,Rango_Admin_DailyPred,MATCH($F8,Rango_Admin_DailyPred_Primera,0),0),"-")</f>
        <v>-</v>
      </c>
      <c r="R8" s="429" t="str">
        <f ca="1">IFERROR(VLOOKUP(R$2,Rango_Admin_DailyPred,MATCH($F8,Rango_Admin_DailyPred_Primera,0),0),"-")</f>
        <v>-</v>
      </c>
      <c r="S8" s="429" t="str">
        <f ca="1">IFERROR(VLOOKUP(S$2,Rango_Admin_DailyPred,MATCH($F8,Rango_Admin_DailyPred_Primera,0),0),"-")</f>
        <v>-</v>
      </c>
      <c r="T8" s="429" t="str">
        <f ca="1">IFERROR(VLOOKUP(T$2,Rango_Admin_DailyPred,MATCH($F8,Rango_Admin_DailyPred_Primera,0),0),"-")</f>
        <v>-</v>
      </c>
      <c r="U8" s="429" t="str">
        <f ca="1">IFERROR(VLOOKUP(U$2,Rango_Admin_DailyPred,MATCH($F8,Rango_Admin_DailyPred_Primera,0),0),"-")</f>
        <v>-</v>
      </c>
      <c r="V8" s="429" t="str">
        <f ca="1">IFERROR(VLOOKUP(V$2,Rango_Admin_DailyPred,MATCH($F8,Rango_Admin_DailyPred_Primera,0),0),"-")</f>
        <v>-</v>
      </c>
      <c r="W8" s="429" t="str">
        <f ca="1">IFERROR(VLOOKUP(W$2,Rango_Admin_DailyPred,MATCH($F8,Rango_Admin_DailyPred_Primera,0),0),"-")</f>
        <v>-</v>
      </c>
      <c r="X8" s="429" t="str">
        <f ca="1">IFERROR(VLOOKUP(X$2,Rango_Admin_DailyPred,MATCH($F8,Rango_Admin_DailyPred_Primera,0),0),"-")</f>
        <v>-</v>
      </c>
      <c r="Y8" s="429" t="str">
        <f ca="1">IFERROR(VLOOKUP(Y$2,Rango_Admin_DailyPred,MATCH($F8,Rango_Admin_DailyPred_Primera,0),0),"-")</f>
        <v>-</v>
      </c>
      <c r="Z8" s="429" t="str">
        <f ca="1">IFERROR(VLOOKUP(Z$2,Rango_Admin_DailyPred,MATCH($F8,Rango_Admin_DailyPred_Primera,0),0),"-")</f>
        <v>-</v>
      </c>
      <c r="AA8" s="429" t="str">
        <f ca="1">IFERROR(VLOOKUP(AA$2,Rango_Admin_DailyPred,MATCH($F8,Rango_Admin_DailyPred_Primera,0),0),"-")</f>
        <v>-</v>
      </c>
      <c r="AB8" s="429" t="str">
        <f ca="1">IFERROR(VLOOKUP(AB$2,Rango_Admin_DailyPred,MATCH($F8,Rango_Admin_DailyPred_Primera,0),0),"-")</f>
        <v>-</v>
      </c>
      <c r="AC8" s="429" t="str">
        <f ca="1">IFERROR(VLOOKUP(AC$2,Rango_Admin_DailyPred,MATCH($F8,Rango_Admin_DailyPred_Primera,0),0),"-")</f>
        <v>-</v>
      </c>
      <c r="AD8" s="429" t="str">
        <f ca="1">IFERROR(VLOOKUP(AD$2,Rango_Admin_DailyPred,MATCH($F8,Rango_Admin_DailyPred_Primera,0),0),"-")</f>
        <v>-</v>
      </c>
      <c r="AE8" s="429" t="str">
        <f ca="1">IFERROR(VLOOKUP(AE$2,Rango_Admin_DailyPred,MATCH($F8,Rango_Admin_DailyPred_Primera,0),0),"-")</f>
        <v>-</v>
      </c>
      <c r="AF8" s="429" t="str">
        <f ca="1">IFERROR(VLOOKUP(AF$2,Rango_Admin_DailyPred,MATCH($F8,Rango_Admin_DailyPred_Primera,0),0),"-")</f>
        <v>-</v>
      </c>
      <c r="AG8" s="429" t="str">
        <f ca="1">IFERROR(VLOOKUP(AG$2,Rango_Admin_DailyPred,MATCH($F8,Rango_Admin_DailyPred_Primera,0),0),"-")</f>
        <v>-</v>
      </c>
      <c r="AH8" s="429" t="str">
        <f ca="1">IFERROR(VLOOKUP(AH$2,Rango_Admin_DailyPred,MATCH($F8,Rango_Admin_DailyPred_Primera,0),0),"-")</f>
        <v>-</v>
      </c>
      <c r="AI8" s="429" t="str">
        <f ca="1">IFERROR(VLOOKUP(AI$2,Rango_Admin_DailyPred,MATCH($F8,Rango_Admin_DailyPred_Primera,0),0),"-")</f>
        <v>-</v>
      </c>
      <c r="AJ8" s="429" t="str">
        <f ca="1">IFERROR(VLOOKUP(AJ$2,Rango_Admin_DailyPred,MATCH($F8,Rango_Admin_DailyPred_Primera,0),0),"-")</f>
        <v>-</v>
      </c>
      <c r="AK8" s="429" t="str">
        <f ca="1">IFERROR(VLOOKUP(AK$2,Rango_Admin_DailyPred,MATCH($F8,Rango_Admin_DailyPred_Primera,0),0),"-")</f>
        <v>-</v>
      </c>
      <c r="AL8" s="429" t="str">
        <f ca="1">IFERROR(VLOOKUP(AL$2,Rango_Admin_DailyPred,MATCH($F8,Rango_Admin_DailyPred_Primera,0),0),"-")</f>
        <v>-</v>
      </c>
      <c r="AM8" s="297"/>
      <c r="AN8" s="297"/>
      <c r="AO8" s="297"/>
    </row>
    <row r="9" spans="1:41">
      <c r="A9" s="8" t="str" cm="1">
        <f t="array" aca="1" ref="A9" ca="1">IFERROR(INDEX(ADMIN!$K$6:$K$258,SMALL(IF(ADMIN!$G$6:$G$258=$J$1,ROW(ADMIN!$G$6:$G$258)-ROW(ADMIN!$G$6)+1),ROWS($A$1:A6))),"")</f>
        <v/>
      </c>
      <c r="B9" s="8" t="str">
        <f t="shared" ca="1" si="0"/>
        <v xml:space="preserve">
</v>
      </c>
      <c r="C9" s="8" t="str" cm="1">
        <f t="array" aca="1" ref="C9" ca="1">IFERROR(IF(INDEX(ADMIN!$M$6:$M$258,SMALL(IF(ADMIN!$G$6:$G$258=$J$1,ROW(ADMIN!$G$6:$G$258)-ROW(ADMIN!$G$6)+1),ROWS($A$1:A6)))="-", "", " ("&amp;INDEX(ADMIN!$M$6:$M$258,SMALL(IF(ADMIN!$G$6:$G$258=$J$1,ROW(ADMIN!$G$6:$G$258)-ROW(ADMIN!$G$6)+1),ROWS($A$1:A6)))&amp;")"),"")</f>
        <v/>
      </c>
      <c r="D9" s="8" t="str" cm="1">
        <f t="array" aca="1" ref="D9" ca="1">IFERROR(IF($J$1&gt;=20,INDEX(ADMIN!$C$6:$C$258,SMALL(IF(ADMIN!$G$6:$G$258=$J$1,ROW(ADMIN!$G$6:$G$258)-ROW(ADMIN!$G$6)+1),ROWS($D$1:D6))),""),"")</f>
        <v/>
      </c>
      <c r="E9" s="19">
        <f t="shared" si="1"/>
        <v>24</v>
      </c>
      <c r="F9" s="406" t="str" cm="1">
        <f t="array" ref="F9">IFERROR(INDEX(Rango_Admin_DailyPred_Primera,1,E9),"-")</f>
        <v>Jaime García de la Riva</v>
      </c>
      <c r="G9" s="429" t="str">
        <f ca="1">IFERROR(VLOOKUP(G$2,Rango_Admin_DailyPred,MATCH($F9,Rango_Admin_DailyPred_Primera,0),0),"-")</f>
        <v>1|2-0</v>
      </c>
      <c r="H9" s="429" t="str">
        <f ca="1">IFERROR(VLOOKUP(H$2,Rango_Admin_DailyPred,MATCH($F9,Rango_Admin_DailyPred_Primera,0),0),"-")</f>
        <v>-</v>
      </c>
      <c r="I9" s="429" t="str">
        <f ca="1">IFERROR(VLOOKUP(I$2,Rango_Admin_DailyPred,MATCH($F9,Rango_Admin_DailyPred_Primera,0),0),"-")</f>
        <v>-</v>
      </c>
      <c r="J9" s="429" t="str">
        <f ca="1">IFERROR(VLOOKUP(J$2,Rango_Admin_DailyPred,MATCH($F9,Rango_Admin_DailyPred_Primera,0),0),"-")</f>
        <v>-</v>
      </c>
      <c r="K9" s="429" t="str">
        <f ca="1">IFERROR(VLOOKUP(K$2,Rango_Admin_DailyPred,MATCH($F9,Rango_Admin_DailyPred_Primera,0),0),"-")</f>
        <v>-</v>
      </c>
      <c r="L9" s="429" t="str">
        <f ca="1">IFERROR(VLOOKUP(L$2,Rango_Admin_DailyPred,MATCH($F9,Rango_Admin_DailyPred_Primera,0),0),"-")</f>
        <v>-</v>
      </c>
      <c r="M9" s="429" t="str">
        <f ca="1">IFERROR(VLOOKUP(M$2,Rango_Admin_DailyPred,MATCH($F9,Rango_Admin_DailyPred_Primera,0),0),"-")</f>
        <v>-</v>
      </c>
      <c r="N9" s="429" t="str">
        <f ca="1">IFERROR(VLOOKUP(N$2,Rango_Admin_DailyPred,MATCH($F9,Rango_Admin_DailyPred_Primera,0),0),"-")</f>
        <v>-</v>
      </c>
      <c r="O9" s="429" t="str">
        <f ca="1">IFERROR(VLOOKUP(O$2,Rango_Admin_DailyPred,MATCH($F9,Rango_Admin_DailyPred_Primera,0),0),"-")</f>
        <v>-</v>
      </c>
      <c r="P9" s="429" t="str">
        <f ca="1">IFERROR(VLOOKUP(P$2,Rango_Admin_DailyPred,MATCH($F9,Rango_Admin_DailyPred_Primera,0),0),"-")</f>
        <v>-</v>
      </c>
      <c r="Q9" s="429" t="str">
        <f ca="1">IFERROR(VLOOKUP(Q$2,Rango_Admin_DailyPred,MATCH($F9,Rango_Admin_DailyPred_Primera,0),0),"-")</f>
        <v>-</v>
      </c>
      <c r="R9" s="429" t="str">
        <f ca="1">IFERROR(VLOOKUP(R$2,Rango_Admin_DailyPred,MATCH($F9,Rango_Admin_DailyPred_Primera,0),0),"-")</f>
        <v>-</v>
      </c>
      <c r="S9" s="429" t="str">
        <f ca="1">IFERROR(VLOOKUP(S$2,Rango_Admin_DailyPred,MATCH($F9,Rango_Admin_DailyPred_Primera,0),0),"-")</f>
        <v>-</v>
      </c>
      <c r="T9" s="429" t="str">
        <f ca="1">IFERROR(VLOOKUP(T$2,Rango_Admin_DailyPred,MATCH($F9,Rango_Admin_DailyPred_Primera,0),0),"-")</f>
        <v>-</v>
      </c>
      <c r="U9" s="429" t="str">
        <f ca="1">IFERROR(VLOOKUP(U$2,Rango_Admin_DailyPred,MATCH($F9,Rango_Admin_DailyPred_Primera,0),0),"-")</f>
        <v>-</v>
      </c>
      <c r="V9" s="429" t="str">
        <f ca="1">IFERROR(VLOOKUP(V$2,Rango_Admin_DailyPred,MATCH($F9,Rango_Admin_DailyPred_Primera,0),0),"-")</f>
        <v>-</v>
      </c>
      <c r="W9" s="429" t="str">
        <f ca="1">IFERROR(VLOOKUP(W$2,Rango_Admin_DailyPred,MATCH($F9,Rango_Admin_DailyPred_Primera,0),0),"-")</f>
        <v>-</v>
      </c>
      <c r="X9" s="429" t="str">
        <f ca="1">IFERROR(VLOOKUP(X$2,Rango_Admin_DailyPred,MATCH($F9,Rango_Admin_DailyPred_Primera,0),0),"-")</f>
        <v>-</v>
      </c>
      <c r="Y9" s="429" t="str">
        <f ca="1">IFERROR(VLOOKUP(Y$2,Rango_Admin_DailyPred,MATCH($F9,Rango_Admin_DailyPred_Primera,0),0),"-")</f>
        <v>-</v>
      </c>
      <c r="Z9" s="429" t="str">
        <f ca="1">IFERROR(VLOOKUP(Z$2,Rango_Admin_DailyPred,MATCH($F9,Rango_Admin_DailyPred_Primera,0),0),"-")</f>
        <v>-</v>
      </c>
      <c r="AA9" s="429" t="str">
        <f ca="1">IFERROR(VLOOKUP(AA$2,Rango_Admin_DailyPred,MATCH($F9,Rango_Admin_DailyPred_Primera,0),0),"-")</f>
        <v>-</v>
      </c>
      <c r="AB9" s="429" t="str">
        <f ca="1">IFERROR(VLOOKUP(AB$2,Rango_Admin_DailyPred,MATCH($F9,Rango_Admin_DailyPred_Primera,0),0),"-")</f>
        <v>-</v>
      </c>
      <c r="AC9" s="429" t="str">
        <f ca="1">IFERROR(VLOOKUP(AC$2,Rango_Admin_DailyPred,MATCH($F9,Rango_Admin_DailyPred_Primera,0),0),"-")</f>
        <v>-</v>
      </c>
      <c r="AD9" s="429" t="str">
        <f ca="1">IFERROR(VLOOKUP(AD$2,Rango_Admin_DailyPred,MATCH($F9,Rango_Admin_DailyPred_Primera,0),0),"-")</f>
        <v>-</v>
      </c>
      <c r="AE9" s="429" t="str">
        <f ca="1">IFERROR(VLOOKUP(AE$2,Rango_Admin_DailyPred,MATCH($F9,Rango_Admin_DailyPred_Primera,0),0),"-")</f>
        <v>-</v>
      </c>
      <c r="AF9" s="429" t="str">
        <f ca="1">IFERROR(VLOOKUP(AF$2,Rango_Admin_DailyPred,MATCH($F9,Rango_Admin_DailyPred_Primera,0),0),"-")</f>
        <v>-</v>
      </c>
      <c r="AG9" s="429" t="str">
        <f ca="1">IFERROR(VLOOKUP(AG$2,Rango_Admin_DailyPred,MATCH($F9,Rango_Admin_DailyPred_Primera,0),0),"-")</f>
        <v>-</v>
      </c>
      <c r="AH9" s="429" t="str">
        <f ca="1">IFERROR(VLOOKUP(AH$2,Rango_Admin_DailyPred,MATCH($F9,Rango_Admin_DailyPred_Primera,0),0),"-")</f>
        <v>-</v>
      </c>
      <c r="AI9" s="429" t="str">
        <f ca="1">IFERROR(VLOOKUP(AI$2,Rango_Admin_DailyPred,MATCH($F9,Rango_Admin_DailyPred_Primera,0),0),"-")</f>
        <v>-</v>
      </c>
      <c r="AJ9" s="429" t="str">
        <f ca="1">IFERROR(VLOOKUP(AJ$2,Rango_Admin_DailyPred,MATCH($F9,Rango_Admin_DailyPred_Primera,0),0),"-")</f>
        <v>-</v>
      </c>
      <c r="AK9" s="429" t="str">
        <f ca="1">IFERROR(VLOOKUP(AK$2,Rango_Admin_DailyPred,MATCH($F9,Rango_Admin_DailyPred_Primera,0),0),"-")</f>
        <v>-</v>
      </c>
      <c r="AL9" s="429" t="str">
        <f ca="1">IFERROR(VLOOKUP(AL$2,Rango_Admin_DailyPred,MATCH($F9,Rango_Admin_DailyPred_Primera,0),0),"-")</f>
        <v>-</v>
      </c>
      <c r="AM9" s="297"/>
      <c r="AN9" s="297"/>
      <c r="AO9" s="297"/>
    </row>
    <row r="10" spans="1:41">
      <c r="A10" s="8" t="str" cm="1">
        <f t="array" aca="1" ref="A10" ca="1">IFERROR(INDEX(ADMIN!$K$6:$K$258,SMALL(IF(ADMIN!$G$6:$G$258=$J$1,ROW(ADMIN!$G$6:$G$258)-ROW(ADMIN!$G$6)+1),ROWS($A$1:A7))),"")</f>
        <v/>
      </c>
      <c r="B10" s="8" t="str">
        <f t="shared" ca="1" si="0"/>
        <v xml:space="preserve">
</v>
      </c>
      <c r="C10" s="8" t="str" cm="1">
        <f t="array" aca="1" ref="C10" ca="1">IFERROR(IF(INDEX(ADMIN!$M$6:$M$258,SMALL(IF(ADMIN!$G$6:$G$258=$J$1,ROW(ADMIN!$G$6:$G$258)-ROW(ADMIN!$G$6)+1),ROWS($A$1:A7)))="-", "", " ("&amp;INDEX(ADMIN!$M$6:$M$258,SMALL(IF(ADMIN!$G$6:$G$258=$J$1,ROW(ADMIN!$G$6:$G$258)-ROW(ADMIN!$G$6)+1),ROWS($A$1:A7)))&amp;")"),"")</f>
        <v/>
      </c>
      <c r="D10" s="8" t="str" cm="1">
        <f t="array" aca="1" ref="D10" ca="1">IFERROR(IF($J$1&gt;=20,INDEX(ADMIN!$C$6:$C$258,SMALL(IF(ADMIN!$G$6:$G$258=$J$1,ROW(ADMIN!$G$6:$G$258)-ROW(ADMIN!$G$6)+1),ROWS($D$1:D7))),""),"")</f>
        <v/>
      </c>
      <c r="E10" s="19">
        <f t="shared" si="1"/>
        <v>27</v>
      </c>
      <c r="F10" s="406" t="str" cm="1">
        <f t="array" ref="F10">IFERROR(INDEX(Rango_Admin_DailyPred_Primera,1,E10),"-")</f>
        <v>Nacho Novo</v>
      </c>
      <c r="G10" s="429" t="str">
        <f ca="1">IFERROR(VLOOKUP(G$2,Rango_Admin_DailyPred,MATCH($F10,Rango_Admin_DailyPred_Primera,0),0),"-")</f>
        <v>1|1-0</v>
      </c>
      <c r="H10" s="429" t="str">
        <f ca="1">IFERROR(VLOOKUP(H$2,Rango_Admin_DailyPred,MATCH($F10,Rango_Admin_DailyPred_Primera,0),0),"-")</f>
        <v>-</v>
      </c>
      <c r="I10" s="429" t="str">
        <f ca="1">IFERROR(VLOOKUP(I$2,Rango_Admin_DailyPred,MATCH($F10,Rango_Admin_DailyPred_Primera,0),0),"-")</f>
        <v>-</v>
      </c>
      <c r="J10" s="429" t="str">
        <f ca="1">IFERROR(VLOOKUP(J$2,Rango_Admin_DailyPred,MATCH($F10,Rango_Admin_DailyPred_Primera,0),0),"-")</f>
        <v>-</v>
      </c>
      <c r="K10" s="429" t="str">
        <f ca="1">IFERROR(VLOOKUP(K$2,Rango_Admin_DailyPred,MATCH($F10,Rango_Admin_DailyPred_Primera,0),0),"-")</f>
        <v>-</v>
      </c>
      <c r="L10" s="429" t="str">
        <f ca="1">IFERROR(VLOOKUP(L$2,Rango_Admin_DailyPred,MATCH($F10,Rango_Admin_DailyPred_Primera,0),0),"-")</f>
        <v>-</v>
      </c>
      <c r="M10" s="429" t="str">
        <f ca="1">IFERROR(VLOOKUP(M$2,Rango_Admin_DailyPred,MATCH($F10,Rango_Admin_DailyPred_Primera,0),0),"-")</f>
        <v>-</v>
      </c>
      <c r="N10" s="429" t="str">
        <f ca="1">IFERROR(VLOOKUP(N$2,Rango_Admin_DailyPred,MATCH($F10,Rango_Admin_DailyPred_Primera,0),0),"-")</f>
        <v>-</v>
      </c>
      <c r="O10" s="429" t="str">
        <f ca="1">IFERROR(VLOOKUP(O$2,Rango_Admin_DailyPred,MATCH($F10,Rango_Admin_DailyPred_Primera,0),0),"-")</f>
        <v>-</v>
      </c>
      <c r="P10" s="429" t="str">
        <f ca="1">IFERROR(VLOOKUP(P$2,Rango_Admin_DailyPred,MATCH($F10,Rango_Admin_DailyPred_Primera,0),0),"-")</f>
        <v>-</v>
      </c>
      <c r="Q10" s="429" t="str">
        <f ca="1">IFERROR(VLOOKUP(Q$2,Rango_Admin_DailyPred,MATCH($F10,Rango_Admin_DailyPred_Primera,0),0),"-")</f>
        <v>-</v>
      </c>
      <c r="R10" s="429" t="str">
        <f ca="1">IFERROR(VLOOKUP(R$2,Rango_Admin_DailyPred,MATCH($F10,Rango_Admin_DailyPred_Primera,0),0),"-")</f>
        <v>-</v>
      </c>
      <c r="S10" s="429" t="str">
        <f ca="1">IFERROR(VLOOKUP(S$2,Rango_Admin_DailyPred,MATCH($F10,Rango_Admin_DailyPred_Primera,0),0),"-")</f>
        <v>-</v>
      </c>
      <c r="T10" s="429" t="str">
        <f ca="1">IFERROR(VLOOKUP(T$2,Rango_Admin_DailyPred,MATCH($F10,Rango_Admin_DailyPred_Primera,0),0),"-")</f>
        <v>-</v>
      </c>
      <c r="U10" s="429" t="str">
        <f ca="1">IFERROR(VLOOKUP(U$2,Rango_Admin_DailyPred,MATCH($F10,Rango_Admin_DailyPred_Primera,0),0),"-")</f>
        <v>-</v>
      </c>
      <c r="V10" s="429" t="str">
        <f ca="1">IFERROR(VLOOKUP(V$2,Rango_Admin_DailyPred,MATCH($F10,Rango_Admin_DailyPred_Primera,0),0),"-")</f>
        <v>-</v>
      </c>
      <c r="W10" s="429" t="str">
        <f ca="1">IFERROR(VLOOKUP(W$2,Rango_Admin_DailyPred,MATCH($F10,Rango_Admin_DailyPred_Primera,0),0),"-")</f>
        <v>-</v>
      </c>
      <c r="X10" s="429" t="str">
        <f ca="1">IFERROR(VLOOKUP(X$2,Rango_Admin_DailyPred,MATCH($F10,Rango_Admin_DailyPred_Primera,0),0),"-")</f>
        <v>-</v>
      </c>
      <c r="Y10" s="429" t="str">
        <f ca="1">IFERROR(VLOOKUP(Y$2,Rango_Admin_DailyPred,MATCH($F10,Rango_Admin_DailyPred_Primera,0),0),"-")</f>
        <v>-</v>
      </c>
      <c r="Z10" s="429" t="str">
        <f ca="1">IFERROR(VLOOKUP(Z$2,Rango_Admin_DailyPred,MATCH($F10,Rango_Admin_DailyPred_Primera,0),0),"-")</f>
        <v>-</v>
      </c>
      <c r="AA10" s="429" t="str">
        <f ca="1">IFERROR(VLOOKUP(AA$2,Rango_Admin_DailyPred,MATCH($F10,Rango_Admin_DailyPred_Primera,0),0),"-")</f>
        <v>-</v>
      </c>
      <c r="AB10" s="429" t="str">
        <f ca="1">IFERROR(VLOOKUP(AB$2,Rango_Admin_DailyPred,MATCH($F10,Rango_Admin_DailyPred_Primera,0),0),"-")</f>
        <v>-</v>
      </c>
      <c r="AC10" s="429" t="str">
        <f ca="1">IFERROR(VLOOKUP(AC$2,Rango_Admin_DailyPred,MATCH($F10,Rango_Admin_DailyPred_Primera,0),0),"-")</f>
        <v>-</v>
      </c>
      <c r="AD10" s="429" t="str">
        <f ca="1">IFERROR(VLOOKUP(AD$2,Rango_Admin_DailyPred,MATCH($F10,Rango_Admin_DailyPred_Primera,0),0),"-")</f>
        <v>-</v>
      </c>
      <c r="AE10" s="429" t="str">
        <f ca="1">IFERROR(VLOOKUP(AE$2,Rango_Admin_DailyPred,MATCH($F10,Rango_Admin_DailyPred_Primera,0),0),"-")</f>
        <v>-</v>
      </c>
      <c r="AF10" s="429" t="str">
        <f ca="1">IFERROR(VLOOKUP(AF$2,Rango_Admin_DailyPred,MATCH($F10,Rango_Admin_DailyPred_Primera,0),0),"-")</f>
        <v>-</v>
      </c>
      <c r="AG10" s="429" t="str">
        <f ca="1">IFERROR(VLOOKUP(AG$2,Rango_Admin_DailyPred,MATCH($F10,Rango_Admin_DailyPred_Primera,0),0),"-")</f>
        <v>-</v>
      </c>
      <c r="AH10" s="429" t="str">
        <f ca="1">IFERROR(VLOOKUP(AH$2,Rango_Admin_DailyPred,MATCH($F10,Rango_Admin_DailyPred_Primera,0),0),"-")</f>
        <v>-</v>
      </c>
      <c r="AI10" s="429" t="str">
        <f ca="1">IFERROR(VLOOKUP(AI$2,Rango_Admin_DailyPred,MATCH($F10,Rango_Admin_DailyPred_Primera,0),0),"-")</f>
        <v>-</v>
      </c>
      <c r="AJ10" s="429" t="str">
        <f ca="1">IFERROR(VLOOKUP(AJ$2,Rango_Admin_DailyPred,MATCH($F10,Rango_Admin_DailyPred_Primera,0),0),"-")</f>
        <v>-</v>
      </c>
      <c r="AK10" s="429" t="str">
        <f ca="1">IFERROR(VLOOKUP(AK$2,Rango_Admin_DailyPred,MATCH($F10,Rango_Admin_DailyPred_Primera,0),0),"-")</f>
        <v>-</v>
      </c>
      <c r="AL10" s="429" t="str">
        <f ca="1">IFERROR(VLOOKUP(AL$2,Rango_Admin_DailyPred,MATCH($F10,Rango_Admin_DailyPred_Primera,0),0),"-")</f>
        <v>-</v>
      </c>
      <c r="AM10" s="297"/>
      <c r="AN10" s="297"/>
      <c r="AO10" s="297"/>
    </row>
    <row r="11" spans="1:41">
      <c r="A11" s="8" t="str" cm="1">
        <f t="array" aca="1" ref="A11" ca="1">IFERROR(INDEX(ADMIN!$K$6:$K$258,SMALL(IF(ADMIN!$G$6:$G$258=$J$1,ROW(ADMIN!$G$6:$G$258)-ROW(ADMIN!$G$6)+1),ROWS($A$1:A8))),"")</f>
        <v/>
      </c>
      <c r="B11" s="8" t="str">
        <f t="shared" ca="1" si="0"/>
        <v xml:space="preserve">
</v>
      </c>
      <c r="C11" s="8" t="str" cm="1">
        <f t="array" aca="1" ref="C11" ca="1">IFERROR(IF(INDEX(ADMIN!$M$6:$M$258,SMALL(IF(ADMIN!$G$6:$G$258=$J$1,ROW(ADMIN!$G$6:$G$258)-ROW(ADMIN!$G$6)+1),ROWS($A$1:A8)))="-", "", " ("&amp;INDEX(ADMIN!$M$6:$M$258,SMALL(IF(ADMIN!$G$6:$G$258=$J$1,ROW(ADMIN!$G$6:$G$258)-ROW(ADMIN!$G$6)+1),ROWS($A$1:A8)))&amp;")"),"")</f>
        <v/>
      </c>
      <c r="D11" s="8" t="str" cm="1">
        <f t="array" aca="1" ref="D11" ca="1">IFERROR(IF($J$1&gt;=20,INDEX(ADMIN!$C$6:$C$258,SMALL(IF(ADMIN!$G$6:$G$258=$J$1,ROW(ADMIN!$G$6:$G$258)-ROW(ADMIN!$G$6)+1),ROWS($D$1:D8))),""),"")</f>
        <v/>
      </c>
      <c r="E11" s="19">
        <f t="shared" si="1"/>
        <v>30</v>
      </c>
      <c r="F11" s="406" t="str" cm="1">
        <f t="array" ref="F11">IFERROR(INDEX(Rango_Admin_DailyPred_Primera,1,E11),"-")</f>
        <v>Antonio Zulueta Ramos</v>
      </c>
      <c r="G11" s="429" t="str">
        <f ca="1">IFERROR(VLOOKUP(G$2,Rango_Admin_DailyPred,MATCH($F11,Rango_Admin_DailyPred_Primera,0),0),"-")</f>
        <v>1|2-0</v>
      </c>
      <c r="H11" s="429" t="str">
        <f ca="1">IFERROR(VLOOKUP(H$2,Rango_Admin_DailyPred,MATCH($F11,Rango_Admin_DailyPred_Primera,0),0),"-")</f>
        <v>-</v>
      </c>
      <c r="I11" s="429" t="str">
        <f ca="1">IFERROR(VLOOKUP(I$2,Rango_Admin_DailyPred,MATCH($F11,Rango_Admin_DailyPred_Primera,0),0),"-")</f>
        <v>-</v>
      </c>
      <c r="J11" s="429" t="str">
        <f ca="1">IFERROR(VLOOKUP(J$2,Rango_Admin_DailyPred,MATCH($F11,Rango_Admin_DailyPred_Primera,0),0),"-")</f>
        <v>-</v>
      </c>
      <c r="K11" s="429" t="str">
        <f ca="1">IFERROR(VLOOKUP(K$2,Rango_Admin_DailyPred,MATCH($F11,Rango_Admin_DailyPred_Primera,0),0),"-")</f>
        <v>-</v>
      </c>
      <c r="L11" s="429" t="str">
        <f ca="1">IFERROR(VLOOKUP(L$2,Rango_Admin_DailyPred,MATCH($F11,Rango_Admin_DailyPred_Primera,0),0),"-")</f>
        <v>-</v>
      </c>
      <c r="M11" s="429" t="str">
        <f ca="1">IFERROR(VLOOKUP(M$2,Rango_Admin_DailyPred,MATCH($F11,Rango_Admin_DailyPred_Primera,0),0),"-")</f>
        <v>-</v>
      </c>
      <c r="N11" s="429" t="str">
        <f ca="1">IFERROR(VLOOKUP(N$2,Rango_Admin_DailyPred,MATCH($F11,Rango_Admin_DailyPred_Primera,0),0),"-")</f>
        <v>-</v>
      </c>
      <c r="O11" s="429" t="str">
        <f ca="1">IFERROR(VLOOKUP(O$2,Rango_Admin_DailyPred,MATCH($F11,Rango_Admin_DailyPred_Primera,0),0),"-")</f>
        <v>-</v>
      </c>
      <c r="P11" s="429" t="str">
        <f ca="1">IFERROR(VLOOKUP(P$2,Rango_Admin_DailyPred,MATCH($F11,Rango_Admin_DailyPred_Primera,0),0),"-")</f>
        <v>-</v>
      </c>
      <c r="Q11" s="429" t="str">
        <f ca="1">IFERROR(VLOOKUP(Q$2,Rango_Admin_DailyPred,MATCH($F11,Rango_Admin_DailyPred_Primera,0),0),"-")</f>
        <v>-</v>
      </c>
      <c r="R11" s="429" t="str">
        <f ca="1">IFERROR(VLOOKUP(R$2,Rango_Admin_DailyPred,MATCH($F11,Rango_Admin_DailyPred_Primera,0),0),"-")</f>
        <v>-</v>
      </c>
      <c r="S11" s="429" t="str">
        <f ca="1">IFERROR(VLOOKUP(S$2,Rango_Admin_DailyPred,MATCH($F11,Rango_Admin_DailyPred_Primera,0),0),"-")</f>
        <v>-</v>
      </c>
      <c r="T11" s="429" t="str">
        <f ca="1">IFERROR(VLOOKUP(T$2,Rango_Admin_DailyPred,MATCH($F11,Rango_Admin_DailyPred_Primera,0),0),"-")</f>
        <v>-</v>
      </c>
      <c r="U11" s="429" t="str">
        <f ca="1">IFERROR(VLOOKUP(U$2,Rango_Admin_DailyPred,MATCH($F11,Rango_Admin_DailyPred_Primera,0),0),"-")</f>
        <v>-</v>
      </c>
      <c r="V11" s="429" t="str">
        <f ca="1">IFERROR(VLOOKUP(V$2,Rango_Admin_DailyPred,MATCH($F11,Rango_Admin_DailyPred_Primera,0),0),"-")</f>
        <v>-</v>
      </c>
      <c r="W11" s="429" t="str">
        <f ca="1">IFERROR(VLOOKUP(W$2,Rango_Admin_DailyPred,MATCH($F11,Rango_Admin_DailyPred_Primera,0),0),"-")</f>
        <v>-</v>
      </c>
      <c r="X11" s="429" t="str">
        <f ca="1">IFERROR(VLOOKUP(X$2,Rango_Admin_DailyPred,MATCH($F11,Rango_Admin_DailyPred_Primera,0),0),"-")</f>
        <v>-</v>
      </c>
      <c r="Y11" s="429" t="str">
        <f ca="1">IFERROR(VLOOKUP(Y$2,Rango_Admin_DailyPred,MATCH($F11,Rango_Admin_DailyPred_Primera,0),0),"-")</f>
        <v>-</v>
      </c>
      <c r="Z11" s="429" t="str">
        <f ca="1">IFERROR(VLOOKUP(Z$2,Rango_Admin_DailyPred,MATCH($F11,Rango_Admin_DailyPred_Primera,0),0),"-")</f>
        <v>-</v>
      </c>
      <c r="AA11" s="429" t="str">
        <f ca="1">IFERROR(VLOOKUP(AA$2,Rango_Admin_DailyPred,MATCH($F11,Rango_Admin_DailyPred_Primera,0),0),"-")</f>
        <v>-</v>
      </c>
      <c r="AB11" s="429" t="str">
        <f ca="1">IFERROR(VLOOKUP(AB$2,Rango_Admin_DailyPred,MATCH($F11,Rango_Admin_DailyPred_Primera,0),0),"-")</f>
        <v>-</v>
      </c>
      <c r="AC11" s="429" t="str">
        <f ca="1">IFERROR(VLOOKUP(AC$2,Rango_Admin_DailyPred,MATCH($F11,Rango_Admin_DailyPred_Primera,0),0),"-")</f>
        <v>-</v>
      </c>
      <c r="AD11" s="429" t="str">
        <f ca="1">IFERROR(VLOOKUP(AD$2,Rango_Admin_DailyPred,MATCH($F11,Rango_Admin_DailyPred_Primera,0),0),"-")</f>
        <v>-</v>
      </c>
      <c r="AE11" s="429" t="str">
        <f ca="1">IFERROR(VLOOKUP(AE$2,Rango_Admin_DailyPred,MATCH($F11,Rango_Admin_DailyPred_Primera,0),0),"-")</f>
        <v>-</v>
      </c>
      <c r="AF11" s="429" t="str">
        <f ca="1">IFERROR(VLOOKUP(AF$2,Rango_Admin_DailyPred,MATCH($F11,Rango_Admin_DailyPred_Primera,0),0),"-")</f>
        <v>-</v>
      </c>
      <c r="AG11" s="429" t="str">
        <f ca="1">IFERROR(VLOOKUP(AG$2,Rango_Admin_DailyPred,MATCH($F11,Rango_Admin_DailyPred_Primera,0),0),"-")</f>
        <v>-</v>
      </c>
      <c r="AH11" s="429" t="str">
        <f ca="1">IFERROR(VLOOKUP(AH$2,Rango_Admin_DailyPred,MATCH($F11,Rango_Admin_DailyPred_Primera,0),0),"-")</f>
        <v>-</v>
      </c>
      <c r="AI11" s="429" t="str">
        <f ca="1">IFERROR(VLOOKUP(AI$2,Rango_Admin_DailyPred,MATCH($F11,Rango_Admin_DailyPred_Primera,0),0),"-")</f>
        <v>-</v>
      </c>
      <c r="AJ11" s="429" t="str">
        <f ca="1">IFERROR(VLOOKUP(AJ$2,Rango_Admin_DailyPred,MATCH($F11,Rango_Admin_DailyPred_Primera,0),0),"-")</f>
        <v>-</v>
      </c>
      <c r="AK11" s="429" t="str">
        <f ca="1">IFERROR(VLOOKUP(AK$2,Rango_Admin_DailyPred,MATCH($F11,Rango_Admin_DailyPred_Primera,0),0),"-")</f>
        <v>-</v>
      </c>
      <c r="AL11" s="429" t="str">
        <f ca="1">IFERROR(VLOOKUP(AL$2,Rango_Admin_DailyPred,MATCH($F11,Rango_Admin_DailyPred_Primera,0),0),"-")</f>
        <v>-</v>
      </c>
      <c r="AM11" s="297"/>
      <c r="AN11" s="297"/>
      <c r="AO11" s="297"/>
    </row>
    <row r="12" spans="1:41">
      <c r="A12" s="8" t="str" cm="1">
        <f t="array" aca="1" ref="A12" ca="1">IFERROR(INDEX(ADMIN!$K$6:$K$258,SMALL(IF(ADMIN!$G$6:$G$258=$J$1,ROW(ADMIN!$G$6:$G$258)-ROW(ADMIN!$G$6)+1),ROWS($A$1:A9))),"")</f>
        <v/>
      </c>
      <c r="B12" s="8" t="str">
        <f t="shared" ca="1" si="0"/>
        <v xml:space="preserve">
</v>
      </c>
      <c r="C12" s="8" t="str" cm="1">
        <f t="array" aca="1" ref="C12" ca="1">IFERROR(IF(INDEX(ADMIN!$M$6:$M$258,SMALL(IF(ADMIN!$G$6:$G$258=$J$1,ROW(ADMIN!$G$6:$G$258)-ROW(ADMIN!$G$6)+1),ROWS($A$1:A9)))="-", "", " ("&amp;INDEX(ADMIN!$M$6:$M$258,SMALL(IF(ADMIN!$G$6:$G$258=$J$1,ROW(ADMIN!$G$6:$G$258)-ROW(ADMIN!$G$6)+1),ROWS($A$1:A9)))&amp;")"),"")</f>
        <v/>
      </c>
      <c r="D12" s="8" t="str" cm="1">
        <f t="array" aca="1" ref="D12" ca="1">IFERROR(IF($J$1&gt;=20,INDEX(ADMIN!$C$6:$C$258,SMALL(IF(ADMIN!$G$6:$G$258=$J$1,ROW(ADMIN!$G$6:$G$258)-ROW(ADMIN!$G$6)+1),ROWS($D$1:D9))),""),"")</f>
        <v/>
      </c>
      <c r="E12" s="19">
        <f t="shared" si="1"/>
        <v>33</v>
      </c>
      <c r="F12" s="406" t="str" cm="1">
        <f t="array" ref="F12">IFERROR(INDEX(Rango_Admin_DailyPred_Primera,1,E12),"-")</f>
        <v>Carlos Murciano</v>
      </c>
      <c r="G12" s="429" t="str">
        <f ca="1">IFERROR(VLOOKUP(G$2,Rango_Admin_DailyPred,MATCH($F12,Rango_Admin_DailyPred_Primera,0),0),"-")</f>
        <v>1|2-0</v>
      </c>
      <c r="H12" s="429" t="str">
        <f ca="1">IFERROR(VLOOKUP(H$2,Rango_Admin_DailyPred,MATCH($F12,Rango_Admin_DailyPred_Primera,0),0),"-")</f>
        <v>-</v>
      </c>
      <c r="I12" s="429" t="str">
        <f ca="1">IFERROR(VLOOKUP(I$2,Rango_Admin_DailyPred,MATCH($F12,Rango_Admin_DailyPred_Primera,0),0),"-")</f>
        <v>-</v>
      </c>
      <c r="J12" s="429" t="str">
        <f ca="1">IFERROR(VLOOKUP(J$2,Rango_Admin_DailyPred,MATCH($F12,Rango_Admin_DailyPred_Primera,0),0),"-")</f>
        <v>-</v>
      </c>
      <c r="K12" s="429" t="str">
        <f ca="1">IFERROR(VLOOKUP(K$2,Rango_Admin_DailyPred,MATCH($F12,Rango_Admin_DailyPred_Primera,0),0),"-")</f>
        <v>-</v>
      </c>
      <c r="L12" s="429" t="str">
        <f ca="1">IFERROR(VLOOKUP(L$2,Rango_Admin_DailyPred,MATCH($F12,Rango_Admin_DailyPred_Primera,0),0),"-")</f>
        <v>-</v>
      </c>
      <c r="M12" s="429" t="str">
        <f ca="1">IFERROR(VLOOKUP(M$2,Rango_Admin_DailyPred,MATCH($F12,Rango_Admin_DailyPred_Primera,0),0),"-")</f>
        <v>-</v>
      </c>
      <c r="N12" s="429" t="str">
        <f ca="1">IFERROR(VLOOKUP(N$2,Rango_Admin_DailyPred,MATCH($F12,Rango_Admin_DailyPred_Primera,0),0),"-")</f>
        <v>-</v>
      </c>
      <c r="O12" s="429" t="str">
        <f ca="1">IFERROR(VLOOKUP(O$2,Rango_Admin_DailyPred,MATCH($F12,Rango_Admin_DailyPred_Primera,0),0),"-")</f>
        <v>-</v>
      </c>
      <c r="P12" s="429" t="str">
        <f ca="1">IFERROR(VLOOKUP(P$2,Rango_Admin_DailyPred,MATCH($F12,Rango_Admin_DailyPred_Primera,0),0),"-")</f>
        <v>-</v>
      </c>
      <c r="Q12" s="429" t="str">
        <f ca="1">IFERROR(VLOOKUP(Q$2,Rango_Admin_DailyPred,MATCH($F12,Rango_Admin_DailyPred_Primera,0),0),"-")</f>
        <v>-</v>
      </c>
      <c r="R12" s="429" t="str">
        <f ca="1">IFERROR(VLOOKUP(R$2,Rango_Admin_DailyPred,MATCH($F12,Rango_Admin_DailyPred_Primera,0),0),"-")</f>
        <v>-</v>
      </c>
      <c r="S12" s="429" t="str">
        <f ca="1">IFERROR(VLOOKUP(S$2,Rango_Admin_DailyPred,MATCH($F12,Rango_Admin_DailyPred_Primera,0),0),"-")</f>
        <v>-</v>
      </c>
      <c r="T12" s="429" t="str">
        <f ca="1">IFERROR(VLOOKUP(T$2,Rango_Admin_DailyPred,MATCH($F12,Rango_Admin_DailyPred_Primera,0),0),"-")</f>
        <v>-</v>
      </c>
      <c r="U12" s="429" t="str">
        <f ca="1">IFERROR(VLOOKUP(U$2,Rango_Admin_DailyPred,MATCH($F12,Rango_Admin_DailyPred_Primera,0),0),"-")</f>
        <v>-</v>
      </c>
      <c r="V12" s="429" t="str">
        <f ca="1">IFERROR(VLOOKUP(V$2,Rango_Admin_DailyPred,MATCH($F12,Rango_Admin_DailyPred_Primera,0),0),"-")</f>
        <v>-</v>
      </c>
      <c r="W12" s="429" t="str">
        <f ca="1">IFERROR(VLOOKUP(W$2,Rango_Admin_DailyPred,MATCH($F12,Rango_Admin_DailyPred_Primera,0),0),"-")</f>
        <v>-</v>
      </c>
      <c r="X12" s="429" t="str">
        <f ca="1">IFERROR(VLOOKUP(X$2,Rango_Admin_DailyPred,MATCH($F12,Rango_Admin_DailyPred_Primera,0),0),"-")</f>
        <v>-</v>
      </c>
      <c r="Y12" s="429" t="str">
        <f ca="1">IFERROR(VLOOKUP(Y$2,Rango_Admin_DailyPred,MATCH($F12,Rango_Admin_DailyPred_Primera,0),0),"-")</f>
        <v>-</v>
      </c>
      <c r="Z12" s="429" t="str">
        <f ca="1">IFERROR(VLOOKUP(Z$2,Rango_Admin_DailyPred,MATCH($F12,Rango_Admin_DailyPred_Primera,0),0),"-")</f>
        <v>-</v>
      </c>
      <c r="AA12" s="429" t="str">
        <f ca="1">IFERROR(VLOOKUP(AA$2,Rango_Admin_DailyPred,MATCH($F12,Rango_Admin_DailyPred_Primera,0),0),"-")</f>
        <v>-</v>
      </c>
      <c r="AB12" s="429" t="str">
        <f ca="1">IFERROR(VLOOKUP(AB$2,Rango_Admin_DailyPred,MATCH($F12,Rango_Admin_DailyPred_Primera,0),0),"-")</f>
        <v>-</v>
      </c>
      <c r="AC12" s="429" t="str">
        <f ca="1">IFERROR(VLOOKUP(AC$2,Rango_Admin_DailyPred,MATCH($F12,Rango_Admin_DailyPred_Primera,0),0),"-")</f>
        <v>-</v>
      </c>
      <c r="AD12" s="429" t="str">
        <f ca="1">IFERROR(VLOOKUP(AD$2,Rango_Admin_DailyPred,MATCH($F12,Rango_Admin_DailyPred_Primera,0),0),"-")</f>
        <v>-</v>
      </c>
      <c r="AE12" s="429" t="str">
        <f ca="1">IFERROR(VLOOKUP(AE$2,Rango_Admin_DailyPred,MATCH($F12,Rango_Admin_DailyPred_Primera,0),0),"-")</f>
        <v>-</v>
      </c>
      <c r="AF12" s="429" t="str">
        <f ca="1">IFERROR(VLOOKUP(AF$2,Rango_Admin_DailyPred,MATCH($F12,Rango_Admin_DailyPred_Primera,0),0),"-")</f>
        <v>-</v>
      </c>
      <c r="AG12" s="429" t="str">
        <f ca="1">IFERROR(VLOOKUP(AG$2,Rango_Admin_DailyPred,MATCH($F12,Rango_Admin_DailyPred_Primera,0),0),"-")</f>
        <v>-</v>
      </c>
      <c r="AH12" s="429" t="str">
        <f ca="1">IFERROR(VLOOKUP(AH$2,Rango_Admin_DailyPred,MATCH($F12,Rango_Admin_DailyPred_Primera,0),0),"-")</f>
        <v>-</v>
      </c>
      <c r="AI12" s="429" t="str">
        <f ca="1">IFERROR(VLOOKUP(AI$2,Rango_Admin_DailyPred,MATCH($F12,Rango_Admin_DailyPred_Primera,0),0),"-")</f>
        <v>-</v>
      </c>
      <c r="AJ12" s="429" t="str">
        <f ca="1">IFERROR(VLOOKUP(AJ$2,Rango_Admin_DailyPred,MATCH($F12,Rango_Admin_DailyPred_Primera,0),0),"-")</f>
        <v>-</v>
      </c>
      <c r="AK12" s="429" t="str">
        <f ca="1">IFERROR(VLOOKUP(AK$2,Rango_Admin_DailyPred,MATCH($F12,Rango_Admin_DailyPred_Primera,0),0),"-")</f>
        <v>-</v>
      </c>
      <c r="AL12" s="429" t="str">
        <f ca="1">IFERROR(VLOOKUP(AL$2,Rango_Admin_DailyPred,MATCH($F12,Rango_Admin_DailyPred_Primera,0),0),"-")</f>
        <v>-</v>
      </c>
      <c r="AM12" s="297"/>
      <c r="AN12" s="297"/>
      <c r="AO12" s="297"/>
    </row>
    <row r="13" spans="1:41">
      <c r="A13" s="8" t="str" cm="1">
        <f t="array" aca="1" ref="A13" ca="1">IFERROR(INDEX(ADMIN!$K$6:$K$258,SMALL(IF(ADMIN!$G$6:$G$258=$J$1,ROW(ADMIN!$G$6:$G$258)-ROW(ADMIN!$G$6)+1),ROWS($A$1:A10))),"")</f>
        <v/>
      </c>
      <c r="B13" s="8" t="str">
        <f t="shared" ca="1" si="0"/>
        <v xml:space="preserve">
</v>
      </c>
      <c r="C13" s="8" t="str" cm="1">
        <f t="array" aca="1" ref="C13" ca="1">IFERROR(IF(INDEX(ADMIN!$M$6:$M$258,SMALL(IF(ADMIN!$G$6:$G$258=$J$1,ROW(ADMIN!$G$6:$G$258)-ROW(ADMIN!$G$6)+1),ROWS($A$1:A10)))="-", "", " ("&amp;INDEX(ADMIN!$M$6:$M$258,SMALL(IF(ADMIN!$G$6:$G$258=$J$1,ROW(ADMIN!$G$6:$G$258)-ROW(ADMIN!$G$6)+1),ROWS($A$1:A10)))&amp;")"),"")</f>
        <v/>
      </c>
      <c r="D13" s="8" t="str" cm="1">
        <f t="array" aca="1" ref="D13" ca="1">IFERROR(IF($J$1&gt;=20,INDEX(ADMIN!$C$6:$C$258,SMALL(IF(ADMIN!$G$6:$G$258=$J$1,ROW(ADMIN!$G$6:$G$258)-ROW(ADMIN!$G$6)+1),ROWS($D$1:D10))),""),"")</f>
        <v/>
      </c>
      <c r="E13" s="19">
        <f t="shared" si="1"/>
        <v>36</v>
      </c>
      <c r="F13" s="406" t="str" cm="1">
        <f t="array" ref="F13">IFERROR(INDEX(Rango_Admin_DailyPred_Primera,1,E13),"-")</f>
        <v>Chente Muñoz</v>
      </c>
      <c r="G13" s="429" t="str">
        <f ca="1">IFERROR(VLOOKUP(G$2,Rango_Admin_DailyPred,MATCH($F13,Rango_Admin_DailyPred_Primera,0),0),"-")</f>
        <v>1|2-1</v>
      </c>
      <c r="H13" s="429" t="str">
        <f ca="1">IFERROR(VLOOKUP(H$2,Rango_Admin_DailyPred,MATCH($F13,Rango_Admin_DailyPred_Primera,0),0),"-")</f>
        <v>-</v>
      </c>
      <c r="I13" s="429" t="str">
        <f ca="1">IFERROR(VLOOKUP(I$2,Rango_Admin_DailyPred,MATCH($F13,Rango_Admin_DailyPred_Primera,0),0),"-")</f>
        <v>-</v>
      </c>
      <c r="J13" s="429" t="str">
        <f ca="1">IFERROR(VLOOKUP(J$2,Rango_Admin_DailyPred,MATCH($F13,Rango_Admin_DailyPred_Primera,0),0),"-")</f>
        <v>-</v>
      </c>
      <c r="K13" s="429" t="str">
        <f ca="1">IFERROR(VLOOKUP(K$2,Rango_Admin_DailyPred,MATCH($F13,Rango_Admin_DailyPred_Primera,0),0),"-")</f>
        <v>-</v>
      </c>
      <c r="L13" s="429" t="str">
        <f ca="1">IFERROR(VLOOKUP(L$2,Rango_Admin_DailyPred,MATCH($F13,Rango_Admin_DailyPred_Primera,0),0),"-")</f>
        <v>-</v>
      </c>
      <c r="M13" s="429" t="str">
        <f ca="1">IFERROR(VLOOKUP(M$2,Rango_Admin_DailyPred,MATCH($F13,Rango_Admin_DailyPred_Primera,0),0),"-")</f>
        <v>-</v>
      </c>
      <c r="N13" s="429" t="str">
        <f ca="1">IFERROR(VLOOKUP(N$2,Rango_Admin_DailyPred,MATCH($F13,Rango_Admin_DailyPred_Primera,0),0),"-")</f>
        <v>-</v>
      </c>
      <c r="O13" s="429" t="str">
        <f ca="1">IFERROR(VLOOKUP(O$2,Rango_Admin_DailyPred,MATCH($F13,Rango_Admin_DailyPred_Primera,0),0),"-")</f>
        <v>-</v>
      </c>
      <c r="P13" s="429" t="str">
        <f ca="1">IFERROR(VLOOKUP(P$2,Rango_Admin_DailyPred,MATCH($F13,Rango_Admin_DailyPred_Primera,0),0),"-")</f>
        <v>-</v>
      </c>
      <c r="Q13" s="429" t="str">
        <f ca="1">IFERROR(VLOOKUP(Q$2,Rango_Admin_DailyPred,MATCH($F13,Rango_Admin_DailyPred_Primera,0),0),"-")</f>
        <v>-</v>
      </c>
      <c r="R13" s="429" t="str">
        <f ca="1">IFERROR(VLOOKUP(R$2,Rango_Admin_DailyPred,MATCH($F13,Rango_Admin_DailyPred_Primera,0),0),"-")</f>
        <v>-</v>
      </c>
      <c r="S13" s="429" t="str">
        <f ca="1">IFERROR(VLOOKUP(S$2,Rango_Admin_DailyPred,MATCH($F13,Rango_Admin_DailyPred_Primera,0),0),"-")</f>
        <v>-</v>
      </c>
      <c r="T13" s="429" t="str">
        <f ca="1">IFERROR(VLOOKUP(T$2,Rango_Admin_DailyPred,MATCH($F13,Rango_Admin_DailyPred_Primera,0),0),"-")</f>
        <v>-</v>
      </c>
      <c r="U13" s="429" t="str">
        <f ca="1">IFERROR(VLOOKUP(U$2,Rango_Admin_DailyPred,MATCH($F13,Rango_Admin_DailyPred_Primera,0),0),"-")</f>
        <v>-</v>
      </c>
      <c r="V13" s="429" t="str">
        <f ca="1">IFERROR(VLOOKUP(V$2,Rango_Admin_DailyPred,MATCH($F13,Rango_Admin_DailyPred_Primera,0),0),"-")</f>
        <v>-</v>
      </c>
      <c r="W13" s="429" t="str">
        <f ca="1">IFERROR(VLOOKUP(W$2,Rango_Admin_DailyPred,MATCH($F13,Rango_Admin_DailyPred_Primera,0),0),"-")</f>
        <v>-</v>
      </c>
      <c r="X13" s="429" t="str">
        <f ca="1">IFERROR(VLOOKUP(X$2,Rango_Admin_DailyPred,MATCH($F13,Rango_Admin_DailyPred_Primera,0),0),"-")</f>
        <v>-</v>
      </c>
      <c r="Y13" s="429" t="str">
        <f ca="1">IFERROR(VLOOKUP(Y$2,Rango_Admin_DailyPred,MATCH($F13,Rango_Admin_DailyPred_Primera,0),0),"-")</f>
        <v>-</v>
      </c>
      <c r="Z13" s="429" t="str">
        <f ca="1">IFERROR(VLOOKUP(Z$2,Rango_Admin_DailyPred,MATCH($F13,Rango_Admin_DailyPred_Primera,0),0),"-")</f>
        <v>-</v>
      </c>
      <c r="AA13" s="429" t="str">
        <f ca="1">IFERROR(VLOOKUP(AA$2,Rango_Admin_DailyPred,MATCH($F13,Rango_Admin_DailyPred_Primera,0),0),"-")</f>
        <v>-</v>
      </c>
      <c r="AB13" s="429" t="str">
        <f ca="1">IFERROR(VLOOKUP(AB$2,Rango_Admin_DailyPred,MATCH($F13,Rango_Admin_DailyPred_Primera,0),0),"-")</f>
        <v>-</v>
      </c>
      <c r="AC13" s="429" t="str">
        <f ca="1">IFERROR(VLOOKUP(AC$2,Rango_Admin_DailyPred,MATCH($F13,Rango_Admin_DailyPred_Primera,0),0),"-")</f>
        <v>-</v>
      </c>
      <c r="AD13" s="429" t="str">
        <f ca="1">IFERROR(VLOOKUP(AD$2,Rango_Admin_DailyPred,MATCH($F13,Rango_Admin_DailyPred_Primera,0),0),"-")</f>
        <v>-</v>
      </c>
      <c r="AE13" s="429" t="str">
        <f ca="1">IFERROR(VLOOKUP(AE$2,Rango_Admin_DailyPred,MATCH($F13,Rango_Admin_DailyPred_Primera,0),0),"-")</f>
        <v>-</v>
      </c>
      <c r="AF13" s="429" t="str">
        <f ca="1">IFERROR(VLOOKUP(AF$2,Rango_Admin_DailyPred,MATCH($F13,Rango_Admin_DailyPred_Primera,0),0),"-")</f>
        <v>-</v>
      </c>
      <c r="AG13" s="429" t="str">
        <f ca="1">IFERROR(VLOOKUP(AG$2,Rango_Admin_DailyPred,MATCH($F13,Rango_Admin_DailyPred_Primera,0),0),"-")</f>
        <v>-</v>
      </c>
      <c r="AH13" s="429" t="str">
        <f ca="1">IFERROR(VLOOKUP(AH$2,Rango_Admin_DailyPred,MATCH($F13,Rango_Admin_DailyPred_Primera,0),0),"-")</f>
        <v>-</v>
      </c>
      <c r="AI13" s="429" t="str">
        <f ca="1">IFERROR(VLOOKUP(AI$2,Rango_Admin_DailyPred,MATCH($F13,Rango_Admin_DailyPred_Primera,0),0),"-")</f>
        <v>-</v>
      </c>
      <c r="AJ13" s="429" t="str">
        <f ca="1">IFERROR(VLOOKUP(AJ$2,Rango_Admin_DailyPred,MATCH($F13,Rango_Admin_DailyPred_Primera,0),0),"-")</f>
        <v>-</v>
      </c>
      <c r="AK13" s="429" t="str">
        <f ca="1">IFERROR(VLOOKUP(AK$2,Rango_Admin_DailyPred,MATCH($F13,Rango_Admin_DailyPred_Primera,0),0),"-")</f>
        <v>-</v>
      </c>
      <c r="AL13" s="429" t="str">
        <f ca="1">IFERROR(VLOOKUP(AL$2,Rango_Admin_DailyPred,MATCH($F13,Rango_Admin_DailyPred_Primera,0),0),"-")</f>
        <v>-</v>
      </c>
      <c r="AM13" s="297"/>
      <c r="AN13" s="297"/>
      <c r="AO13" s="297"/>
    </row>
    <row r="14" spans="1:41">
      <c r="A14" s="8" t="str" cm="1">
        <f t="array" aca="1" ref="A14" ca="1">IFERROR(INDEX(ADMIN!$K$6:$K$258,SMALL(IF(ADMIN!$G$6:$G$258=$J$1,ROW(ADMIN!$G$6:$G$258)-ROW(ADMIN!$G$6)+1),ROWS($A$1:A11))),"")</f>
        <v/>
      </c>
      <c r="B14" s="8" t="str">
        <f t="shared" ca="1" si="0"/>
        <v xml:space="preserve">
</v>
      </c>
      <c r="C14" s="8" t="str" cm="1">
        <f t="array" aca="1" ref="C14" ca="1">IFERROR(IF(INDEX(ADMIN!$M$6:$M$258,SMALL(IF(ADMIN!$G$6:$G$258=$J$1,ROW(ADMIN!$G$6:$G$258)-ROW(ADMIN!$G$6)+1),ROWS($A$1:A11)))="-", "", " ("&amp;INDEX(ADMIN!$M$6:$M$258,SMALL(IF(ADMIN!$G$6:$G$258=$J$1,ROW(ADMIN!$G$6:$G$258)-ROW(ADMIN!$G$6)+1),ROWS($A$1:A11)))&amp;")"),"")</f>
        <v/>
      </c>
      <c r="D14" s="8" t="str" cm="1">
        <f t="array" aca="1" ref="D14" ca="1">IFERROR(IF($J$1&gt;=20,INDEX(ADMIN!$C$6:$C$258,SMALL(IF(ADMIN!$G$6:$G$258=$J$1,ROW(ADMIN!$G$6:$G$258)-ROW(ADMIN!$G$6)+1),ROWS($D$1:D11))),""),"")</f>
        <v/>
      </c>
      <c r="E14" s="19">
        <f t="shared" si="1"/>
        <v>39</v>
      </c>
      <c r="F14" s="448" t="str" cm="1">
        <f t="array" ref="F14">IFERROR(INDEX(Rango_Admin_DailyPred_Primera,1,E14),"-")</f>
        <v>Fercho Muro Matosex</v>
      </c>
      <c r="G14" s="429" t="str">
        <f ca="1">IFERROR(VLOOKUP(G$2,Rango_Admin_DailyPred,MATCH($F14,Rango_Admin_DailyPred_Primera,0),0),"-")</f>
        <v>1|2-0</v>
      </c>
      <c r="H14" s="429" t="str">
        <f ca="1">IFERROR(VLOOKUP(H$2,Rango_Admin_DailyPred,MATCH($F14,Rango_Admin_DailyPred_Primera,0),0),"-")</f>
        <v>-</v>
      </c>
      <c r="I14" s="429" t="str">
        <f ca="1">IFERROR(VLOOKUP(I$2,Rango_Admin_DailyPred,MATCH($F14,Rango_Admin_DailyPred_Primera,0),0),"-")</f>
        <v>-</v>
      </c>
      <c r="J14" s="429" t="str">
        <f ca="1">IFERROR(VLOOKUP(J$2,Rango_Admin_DailyPred,MATCH($F14,Rango_Admin_DailyPred_Primera,0),0),"-")</f>
        <v>-</v>
      </c>
      <c r="K14" s="429" t="str">
        <f ca="1">IFERROR(VLOOKUP(K$2,Rango_Admin_DailyPred,MATCH($F14,Rango_Admin_DailyPred_Primera,0),0),"-")</f>
        <v>-</v>
      </c>
      <c r="L14" s="429" t="str">
        <f ca="1">IFERROR(VLOOKUP(L$2,Rango_Admin_DailyPred,MATCH($F14,Rango_Admin_DailyPred_Primera,0),0),"-")</f>
        <v>-</v>
      </c>
      <c r="M14" s="429" t="str">
        <f ca="1">IFERROR(VLOOKUP(M$2,Rango_Admin_DailyPred,MATCH($F14,Rango_Admin_DailyPred_Primera,0),0),"-")</f>
        <v>-</v>
      </c>
      <c r="N14" s="429" t="str">
        <f ca="1">IFERROR(VLOOKUP(N$2,Rango_Admin_DailyPred,MATCH($F14,Rango_Admin_DailyPred_Primera,0),0),"-")</f>
        <v>-</v>
      </c>
      <c r="O14" s="429" t="str">
        <f ca="1">IFERROR(VLOOKUP(O$2,Rango_Admin_DailyPred,MATCH($F14,Rango_Admin_DailyPred_Primera,0),0),"-")</f>
        <v>-</v>
      </c>
      <c r="P14" s="429" t="str">
        <f ca="1">IFERROR(VLOOKUP(P$2,Rango_Admin_DailyPred,MATCH($F14,Rango_Admin_DailyPred_Primera,0),0),"-")</f>
        <v>-</v>
      </c>
      <c r="Q14" s="429" t="str">
        <f ca="1">IFERROR(VLOOKUP(Q$2,Rango_Admin_DailyPred,MATCH($F14,Rango_Admin_DailyPred_Primera,0),0),"-")</f>
        <v>-</v>
      </c>
      <c r="R14" s="429" t="str">
        <f ca="1">IFERROR(VLOOKUP(R$2,Rango_Admin_DailyPred,MATCH($F14,Rango_Admin_DailyPred_Primera,0),0),"-")</f>
        <v>-</v>
      </c>
      <c r="S14" s="429" t="str">
        <f ca="1">IFERROR(VLOOKUP(S$2,Rango_Admin_DailyPred,MATCH($F14,Rango_Admin_DailyPred_Primera,0),0),"-")</f>
        <v>-</v>
      </c>
      <c r="T14" s="429" t="str">
        <f ca="1">IFERROR(VLOOKUP(T$2,Rango_Admin_DailyPred,MATCH($F14,Rango_Admin_DailyPred_Primera,0),0),"-")</f>
        <v>-</v>
      </c>
      <c r="U14" s="429" t="str">
        <f ca="1">IFERROR(VLOOKUP(U$2,Rango_Admin_DailyPred,MATCH($F14,Rango_Admin_DailyPred_Primera,0),0),"-")</f>
        <v>-</v>
      </c>
      <c r="V14" s="429" t="str">
        <f ca="1">IFERROR(VLOOKUP(V$2,Rango_Admin_DailyPred,MATCH($F14,Rango_Admin_DailyPred_Primera,0),0),"-")</f>
        <v>-</v>
      </c>
      <c r="W14" s="429" t="str">
        <f ca="1">IFERROR(VLOOKUP(W$2,Rango_Admin_DailyPred,MATCH($F14,Rango_Admin_DailyPred_Primera,0),0),"-")</f>
        <v>-</v>
      </c>
      <c r="X14" s="429" t="str">
        <f ca="1">IFERROR(VLOOKUP(X$2,Rango_Admin_DailyPred,MATCH($F14,Rango_Admin_DailyPred_Primera,0),0),"-")</f>
        <v>-</v>
      </c>
      <c r="Y14" s="429" t="str">
        <f ca="1">IFERROR(VLOOKUP(Y$2,Rango_Admin_DailyPred,MATCH($F14,Rango_Admin_DailyPred_Primera,0),0),"-")</f>
        <v>-</v>
      </c>
      <c r="Z14" s="429" t="str">
        <f ca="1">IFERROR(VLOOKUP(Z$2,Rango_Admin_DailyPred,MATCH($F14,Rango_Admin_DailyPred_Primera,0),0),"-")</f>
        <v>-</v>
      </c>
      <c r="AA14" s="429" t="str">
        <f ca="1">IFERROR(VLOOKUP(AA$2,Rango_Admin_DailyPred,MATCH($F14,Rango_Admin_DailyPred_Primera,0),0),"-")</f>
        <v>-</v>
      </c>
      <c r="AB14" s="429" t="str">
        <f ca="1">IFERROR(VLOOKUP(AB$2,Rango_Admin_DailyPred,MATCH($F14,Rango_Admin_DailyPred_Primera,0),0),"-")</f>
        <v>-</v>
      </c>
      <c r="AC14" s="429" t="str">
        <f ca="1">IFERROR(VLOOKUP(AC$2,Rango_Admin_DailyPred,MATCH($F14,Rango_Admin_DailyPred_Primera,0),0),"-")</f>
        <v>-</v>
      </c>
      <c r="AD14" s="429" t="str">
        <f ca="1">IFERROR(VLOOKUP(AD$2,Rango_Admin_DailyPred,MATCH($F14,Rango_Admin_DailyPred_Primera,0),0),"-")</f>
        <v>-</v>
      </c>
      <c r="AE14" s="429" t="str">
        <f ca="1">IFERROR(VLOOKUP(AE$2,Rango_Admin_DailyPred,MATCH($F14,Rango_Admin_DailyPred_Primera,0),0),"-")</f>
        <v>-</v>
      </c>
      <c r="AF14" s="429" t="str">
        <f ca="1">IFERROR(VLOOKUP(AF$2,Rango_Admin_DailyPred,MATCH($F14,Rango_Admin_DailyPred_Primera,0),0),"-")</f>
        <v>-</v>
      </c>
      <c r="AG14" s="429" t="str">
        <f ca="1">IFERROR(VLOOKUP(AG$2,Rango_Admin_DailyPred,MATCH($F14,Rango_Admin_DailyPred_Primera,0),0),"-")</f>
        <v>-</v>
      </c>
      <c r="AH14" s="429" t="str">
        <f ca="1">IFERROR(VLOOKUP(AH$2,Rango_Admin_DailyPred,MATCH($F14,Rango_Admin_DailyPred_Primera,0),0),"-")</f>
        <v>-</v>
      </c>
      <c r="AI14" s="429" t="str">
        <f ca="1">IFERROR(VLOOKUP(AI$2,Rango_Admin_DailyPred,MATCH($F14,Rango_Admin_DailyPred_Primera,0),0),"-")</f>
        <v>-</v>
      </c>
      <c r="AJ14" s="429" t="str">
        <f ca="1">IFERROR(VLOOKUP(AJ$2,Rango_Admin_DailyPred,MATCH($F14,Rango_Admin_DailyPred_Primera,0),0),"-")</f>
        <v>-</v>
      </c>
      <c r="AK14" s="429" t="str">
        <f ca="1">IFERROR(VLOOKUP(AK$2,Rango_Admin_DailyPred,MATCH($F14,Rango_Admin_DailyPred_Primera,0),0),"-")</f>
        <v>-</v>
      </c>
      <c r="AL14" s="429" t="str">
        <f ca="1">IFERROR(VLOOKUP(AL$2,Rango_Admin_DailyPred,MATCH($F14,Rango_Admin_DailyPred_Primera,0),0),"-")</f>
        <v>-</v>
      </c>
      <c r="AM14" s="297"/>
      <c r="AN14" s="297"/>
      <c r="AO14" s="297"/>
    </row>
    <row r="15" spans="1:41">
      <c r="A15" s="8" t="str" cm="1">
        <f t="array" aca="1" ref="A15" ca="1">IFERROR(INDEX(ADMIN!$K$6:$K$258,SMALL(IF(ADMIN!$G$6:$G$258=$J$1,ROW(ADMIN!$G$6:$G$258)-ROW(ADMIN!$G$6)+1),ROWS($A$1:A12))),"")</f>
        <v/>
      </c>
      <c r="B15" s="8" t="str">
        <f t="shared" ca="1" si="0"/>
        <v xml:space="preserve">
</v>
      </c>
      <c r="C15" s="8" t="str" cm="1">
        <f t="array" aca="1" ref="C15" ca="1">IFERROR(IF(INDEX(ADMIN!$M$6:$M$258,SMALL(IF(ADMIN!$G$6:$G$258=$J$1,ROW(ADMIN!$G$6:$G$258)-ROW(ADMIN!$G$6)+1),ROWS($A$1:A12)))="-", "", " ("&amp;INDEX(ADMIN!$M$6:$M$258,SMALL(IF(ADMIN!$G$6:$G$258=$J$1,ROW(ADMIN!$G$6:$G$258)-ROW(ADMIN!$G$6)+1),ROWS($A$1:A12)))&amp;")"),"")</f>
        <v/>
      </c>
      <c r="D15" s="8" t="str" cm="1">
        <f t="array" aca="1" ref="D15" ca="1">IFERROR(IF($J$1&gt;=20,INDEX(ADMIN!$C$6:$C$258,SMALL(IF(ADMIN!$G$6:$G$258=$J$1,ROW(ADMIN!$G$6:$G$258)-ROW(ADMIN!$G$6)+1),ROWS($D$1:D12))),""),"")</f>
        <v/>
      </c>
      <c r="E15" s="19">
        <f t="shared" si="1"/>
        <v>42</v>
      </c>
      <c r="F15" s="448" t="str" cm="1">
        <f t="array" ref="F15">IFERROR(INDEX(Rango_Admin_DailyPred_Primera,1,E15),"-")</f>
        <v>Guillermo Murciano</v>
      </c>
      <c r="G15" s="429" t="str">
        <f ca="1">IFERROR(VLOOKUP(G$2,Rango_Admin_DailyPred,MATCH($F15,Rango_Admin_DailyPred_Primera,0),0),"-")</f>
        <v>1|1-0</v>
      </c>
      <c r="H15" s="429" t="str">
        <f ca="1">IFERROR(VLOOKUP(H$2,Rango_Admin_DailyPred,MATCH($F15,Rango_Admin_DailyPred_Primera,0),0),"-")</f>
        <v>-</v>
      </c>
      <c r="I15" s="429" t="str">
        <f ca="1">IFERROR(VLOOKUP(I$2,Rango_Admin_DailyPred,MATCH($F15,Rango_Admin_DailyPred_Primera,0),0),"-")</f>
        <v>-</v>
      </c>
      <c r="J15" s="429" t="str">
        <f ca="1">IFERROR(VLOOKUP(J$2,Rango_Admin_DailyPred,MATCH($F15,Rango_Admin_DailyPred_Primera,0),0),"-")</f>
        <v>-</v>
      </c>
      <c r="K15" s="429" t="str">
        <f ca="1">IFERROR(VLOOKUP(K$2,Rango_Admin_DailyPred,MATCH($F15,Rango_Admin_DailyPred_Primera,0),0),"-")</f>
        <v>-</v>
      </c>
      <c r="L15" s="429" t="str">
        <f ca="1">IFERROR(VLOOKUP(L$2,Rango_Admin_DailyPred,MATCH($F15,Rango_Admin_DailyPred_Primera,0),0),"-")</f>
        <v>-</v>
      </c>
      <c r="M15" s="429" t="str">
        <f ca="1">IFERROR(VLOOKUP(M$2,Rango_Admin_DailyPred,MATCH($F15,Rango_Admin_DailyPred_Primera,0),0),"-")</f>
        <v>-</v>
      </c>
      <c r="N15" s="429" t="str">
        <f ca="1">IFERROR(VLOOKUP(N$2,Rango_Admin_DailyPred,MATCH($F15,Rango_Admin_DailyPred_Primera,0),0),"-")</f>
        <v>-</v>
      </c>
      <c r="O15" s="429" t="str">
        <f ca="1">IFERROR(VLOOKUP(O$2,Rango_Admin_DailyPred,MATCH($F15,Rango_Admin_DailyPred_Primera,0),0),"-")</f>
        <v>-</v>
      </c>
      <c r="P15" s="429" t="str">
        <f ca="1">IFERROR(VLOOKUP(P$2,Rango_Admin_DailyPred,MATCH($F15,Rango_Admin_DailyPred_Primera,0),0),"-")</f>
        <v>-</v>
      </c>
      <c r="Q15" s="429" t="str">
        <f ca="1">IFERROR(VLOOKUP(Q$2,Rango_Admin_DailyPred,MATCH($F15,Rango_Admin_DailyPred_Primera,0),0),"-")</f>
        <v>-</v>
      </c>
      <c r="R15" s="429" t="str">
        <f ca="1">IFERROR(VLOOKUP(R$2,Rango_Admin_DailyPred,MATCH($F15,Rango_Admin_DailyPred_Primera,0),0),"-")</f>
        <v>-</v>
      </c>
      <c r="S15" s="429" t="str">
        <f ca="1">IFERROR(VLOOKUP(S$2,Rango_Admin_DailyPred,MATCH($F15,Rango_Admin_DailyPred_Primera,0),0),"-")</f>
        <v>-</v>
      </c>
      <c r="T15" s="429" t="str">
        <f ca="1">IFERROR(VLOOKUP(T$2,Rango_Admin_DailyPred,MATCH($F15,Rango_Admin_DailyPred_Primera,0),0),"-")</f>
        <v>-</v>
      </c>
      <c r="U15" s="429" t="str">
        <f ca="1">IFERROR(VLOOKUP(U$2,Rango_Admin_DailyPred,MATCH($F15,Rango_Admin_DailyPred_Primera,0),0),"-")</f>
        <v>-</v>
      </c>
      <c r="V15" s="429" t="str">
        <f ca="1">IFERROR(VLOOKUP(V$2,Rango_Admin_DailyPred,MATCH($F15,Rango_Admin_DailyPred_Primera,0),0),"-")</f>
        <v>-</v>
      </c>
      <c r="W15" s="429" t="str">
        <f ca="1">IFERROR(VLOOKUP(W$2,Rango_Admin_DailyPred,MATCH($F15,Rango_Admin_DailyPred_Primera,0),0),"-")</f>
        <v>-</v>
      </c>
      <c r="X15" s="429" t="str">
        <f ca="1">IFERROR(VLOOKUP(X$2,Rango_Admin_DailyPred,MATCH($F15,Rango_Admin_DailyPred_Primera,0),0),"-")</f>
        <v>-</v>
      </c>
      <c r="Y15" s="429" t="str">
        <f ca="1">IFERROR(VLOOKUP(Y$2,Rango_Admin_DailyPred,MATCH($F15,Rango_Admin_DailyPred_Primera,0),0),"-")</f>
        <v>-</v>
      </c>
      <c r="Z15" s="429" t="str">
        <f ca="1">IFERROR(VLOOKUP(Z$2,Rango_Admin_DailyPred,MATCH($F15,Rango_Admin_DailyPred_Primera,0),0),"-")</f>
        <v>-</v>
      </c>
      <c r="AA15" s="429" t="str">
        <f ca="1">IFERROR(VLOOKUP(AA$2,Rango_Admin_DailyPred,MATCH($F15,Rango_Admin_DailyPred_Primera,0),0),"-")</f>
        <v>-</v>
      </c>
      <c r="AB15" s="429" t="str">
        <f ca="1">IFERROR(VLOOKUP(AB$2,Rango_Admin_DailyPred,MATCH($F15,Rango_Admin_DailyPred_Primera,0),0),"-")</f>
        <v>-</v>
      </c>
      <c r="AC15" s="429" t="str">
        <f ca="1">IFERROR(VLOOKUP(AC$2,Rango_Admin_DailyPred,MATCH($F15,Rango_Admin_DailyPred_Primera,0),0),"-")</f>
        <v>-</v>
      </c>
      <c r="AD15" s="429" t="str">
        <f ca="1">IFERROR(VLOOKUP(AD$2,Rango_Admin_DailyPred,MATCH($F15,Rango_Admin_DailyPred_Primera,0),0),"-")</f>
        <v>-</v>
      </c>
      <c r="AE15" s="429" t="str">
        <f ca="1">IFERROR(VLOOKUP(AE$2,Rango_Admin_DailyPred,MATCH($F15,Rango_Admin_DailyPred_Primera,0),0),"-")</f>
        <v>-</v>
      </c>
      <c r="AF15" s="429" t="str">
        <f ca="1">IFERROR(VLOOKUP(AF$2,Rango_Admin_DailyPred,MATCH($F15,Rango_Admin_DailyPred_Primera,0),0),"-")</f>
        <v>-</v>
      </c>
      <c r="AG15" s="429" t="str">
        <f ca="1">IFERROR(VLOOKUP(AG$2,Rango_Admin_DailyPred,MATCH($F15,Rango_Admin_DailyPred_Primera,0),0),"-")</f>
        <v>-</v>
      </c>
      <c r="AH15" s="429" t="str">
        <f ca="1">IFERROR(VLOOKUP(AH$2,Rango_Admin_DailyPred,MATCH($F15,Rango_Admin_DailyPred_Primera,0),0),"-")</f>
        <v>-</v>
      </c>
      <c r="AI15" s="429" t="str">
        <f ca="1">IFERROR(VLOOKUP(AI$2,Rango_Admin_DailyPred,MATCH($F15,Rango_Admin_DailyPred_Primera,0),0),"-")</f>
        <v>-</v>
      </c>
      <c r="AJ15" s="429" t="str">
        <f ca="1">IFERROR(VLOOKUP(AJ$2,Rango_Admin_DailyPred,MATCH($F15,Rango_Admin_DailyPred_Primera,0),0),"-")</f>
        <v>-</v>
      </c>
      <c r="AK15" s="429" t="str">
        <f ca="1">IFERROR(VLOOKUP(AK$2,Rango_Admin_DailyPred,MATCH($F15,Rango_Admin_DailyPred_Primera,0),0),"-")</f>
        <v>-</v>
      </c>
      <c r="AL15" s="429" t="str">
        <f ca="1">IFERROR(VLOOKUP(AL$2,Rango_Admin_DailyPred,MATCH($F15,Rango_Admin_DailyPred_Primera,0),0),"-")</f>
        <v>-</v>
      </c>
      <c r="AM15" s="297"/>
      <c r="AN15" s="297"/>
      <c r="AO15" s="297"/>
    </row>
    <row r="16" spans="1:41">
      <c r="A16" s="8" t="str" cm="1">
        <f t="array" aca="1" ref="A16" ca="1">IFERROR(INDEX(ADMIN!$K$6:$K$258,SMALL(IF(ADMIN!$G$6:$G$258=$J$1,ROW(ADMIN!$G$6:$G$258)-ROW(ADMIN!$G$6)+1),ROWS($A$1:A13))),"")</f>
        <v/>
      </c>
      <c r="B16" s="8" t="str">
        <f t="shared" ca="1" si="0"/>
        <v xml:space="preserve">
</v>
      </c>
      <c r="C16" s="8" t="str" cm="1">
        <f t="array" aca="1" ref="C16" ca="1">IFERROR(IF(INDEX(ADMIN!$M$6:$M$258,SMALL(IF(ADMIN!$G$6:$G$258=$J$1,ROW(ADMIN!$G$6:$G$258)-ROW(ADMIN!$G$6)+1),ROWS($A$1:A13)))="-", "", " ("&amp;INDEX(ADMIN!$M$6:$M$258,SMALL(IF(ADMIN!$G$6:$G$258=$J$1,ROW(ADMIN!$G$6:$G$258)-ROW(ADMIN!$G$6)+1),ROWS($A$1:A13)))&amp;")"),"")</f>
        <v/>
      </c>
      <c r="D16" s="8" t="str" cm="1">
        <f t="array" aca="1" ref="D16" ca="1">IFERROR(IF($J$1&gt;=20,INDEX(ADMIN!$C$6:$C$258,SMALL(IF(ADMIN!$G$6:$G$258=$J$1,ROW(ADMIN!$G$6:$G$258)-ROW(ADMIN!$G$6)+1),ROWS($D$1:D13))),""),"")</f>
        <v/>
      </c>
      <c r="E16" s="19">
        <f t="shared" si="1"/>
        <v>45</v>
      </c>
      <c r="F16" s="448" t="str" cm="1">
        <f t="array" ref="F16">IFERROR(INDEX(Rango_Admin_DailyPred_Primera,1,E16),"-")</f>
        <v>Ignacio de Lecea</v>
      </c>
      <c r="G16" s="429" t="str">
        <f ca="1">IFERROR(VLOOKUP(G$2,Rango_Admin_DailyPred,MATCH($F16,Rango_Admin_DailyPred_Primera,0),0),"-")</f>
        <v>1|2-1</v>
      </c>
      <c r="H16" s="429" t="str">
        <f ca="1">IFERROR(VLOOKUP(H$2,Rango_Admin_DailyPred,MATCH($F16,Rango_Admin_DailyPred_Primera,0),0),"-")</f>
        <v>-</v>
      </c>
      <c r="I16" s="429" t="str">
        <f ca="1">IFERROR(VLOOKUP(I$2,Rango_Admin_DailyPred,MATCH($F16,Rango_Admin_DailyPred_Primera,0),0),"-")</f>
        <v>-</v>
      </c>
      <c r="J16" s="429" t="str">
        <f ca="1">IFERROR(VLOOKUP(J$2,Rango_Admin_DailyPred,MATCH($F16,Rango_Admin_DailyPred_Primera,0),0),"-")</f>
        <v>-</v>
      </c>
      <c r="K16" s="429" t="str">
        <f ca="1">IFERROR(VLOOKUP(K$2,Rango_Admin_DailyPred,MATCH($F16,Rango_Admin_DailyPred_Primera,0),0),"-")</f>
        <v>-</v>
      </c>
      <c r="L16" s="429" t="str">
        <f ca="1">IFERROR(VLOOKUP(L$2,Rango_Admin_DailyPred,MATCH($F16,Rango_Admin_DailyPred_Primera,0),0),"-")</f>
        <v>-</v>
      </c>
      <c r="M16" s="429" t="str">
        <f ca="1">IFERROR(VLOOKUP(M$2,Rango_Admin_DailyPred,MATCH($F16,Rango_Admin_DailyPred_Primera,0),0),"-")</f>
        <v>-</v>
      </c>
      <c r="N16" s="429" t="str">
        <f ca="1">IFERROR(VLOOKUP(N$2,Rango_Admin_DailyPred,MATCH($F16,Rango_Admin_DailyPred_Primera,0),0),"-")</f>
        <v>-</v>
      </c>
      <c r="O16" s="429" t="str">
        <f ca="1">IFERROR(VLOOKUP(O$2,Rango_Admin_DailyPred,MATCH($F16,Rango_Admin_DailyPred_Primera,0),0),"-")</f>
        <v>-</v>
      </c>
      <c r="P16" s="429" t="str">
        <f ca="1">IFERROR(VLOOKUP(P$2,Rango_Admin_DailyPred,MATCH($F16,Rango_Admin_DailyPred_Primera,0),0),"-")</f>
        <v>-</v>
      </c>
      <c r="Q16" s="429" t="str">
        <f ca="1">IFERROR(VLOOKUP(Q$2,Rango_Admin_DailyPred,MATCH($F16,Rango_Admin_DailyPred_Primera,0),0),"-")</f>
        <v>-</v>
      </c>
      <c r="R16" s="429" t="str">
        <f ca="1">IFERROR(VLOOKUP(R$2,Rango_Admin_DailyPred,MATCH($F16,Rango_Admin_DailyPred_Primera,0),0),"-")</f>
        <v>-</v>
      </c>
      <c r="S16" s="429" t="str">
        <f ca="1">IFERROR(VLOOKUP(S$2,Rango_Admin_DailyPred,MATCH($F16,Rango_Admin_DailyPred_Primera,0),0),"-")</f>
        <v>-</v>
      </c>
      <c r="T16" s="429" t="str">
        <f ca="1">IFERROR(VLOOKUP(T$2,Rango_Admin_DailyPred,MATCH($F16,Rango_Admin_DailyPred_Primera,0),0),"-")</f>
        <v>-</v>
      </c>
      <c r="U16" s="429" t="str">
        <f ca="1">IFERROR(VLOOKUP(U$2,Rango_Admin_DailyPred,MATCH($F16,Rango_Admin_DailyPred_Primera,0),0),"-")</f>
        <v>-</v>
      </c>
      <c r="V16" s="429" t="str">
        <f ca="1">IFERROR(VLOOKUP(V$2,Rango_Admin_DailyPred,MATCH($F16,Rango_Admin_DailyPred_Primera,0),0),"-")</f>
        <v>-</v>
      </c>
      <c r="W16" s="429" t="str">
        <f ca="1">IFERROR(VLOOKUP(W$2,Rango_Admin_DailyPred,MATCH($F16,Rango_Admin_DailyPred_Primera,0),0),"-")</f>
        <v>-</v>
      </c>
      <c r="X16" s="429" t="str">
        <f ca="1">IFERROR(VLOOKUP(X$2,Rango_Admin_DailyPred,MATCH($F16,Rango_Admin_DailyPred_Primera,0),0),"-")</f>
        <v>-</v>
      </c>
      <c r="Y16" s="429" t="str">
        <f ca="1">IFERROR(VLOOKUP(Y$2,Rango_Admin_DailyPred,MATCH($F16,Rango_Admin_DailyPred_Primera,0),0),"-")</f>
        <v>-</v>
      </c>
      <c r="Z16" s="429" t="str">
        <f ca="1">IFERROR(VLOOKUP(Z$2,Rango_Admin_DailyPred,MATCH($F16,Rango_Admin_DailyPred_Primera,0),0),"-")</f>
        <v>-</v>
      </c>
      <c r="AA16" s="429" t="str">
        <f ca="1">IFERROR(VLOOKUP(AA$2,Rango_Admin_DailyPred,MATCH($F16,Rango_Admin_DailyPred_Primera,0),0),"-")</f>
        <v>-</v>
      </c>
      <c r="AB16" s="429" t="str">
        <f ca="1">IFERROR(VLOOKUP(AB$2,Rango_Admin_DailyPred,MATCH($F16,Rango_Admin_DailyPred_Primera,0),0),"-")</f>
        <v>-</v>
      </c>
      <c r="AC16" s="429" t="str">
        <f ca="1">IFERROR(VLOOKUP(AC$2,Rango_Admin_DailyPred,MATCH($F16,Rango_Admin_DailyPred_Primera,0),0),"-")</f>
        <v>-</v>
      </c>
      <c r="AD16" s="429" t="str">
        <f ca="1">IFERROR(VLOOKUP(AD$2,Rango_Admin_DailyPred,MATCH($F16,Rango_Admin_DailyPred_Primera,0),0),"-")</f>
        <v>-</v>
      </c>
      <c r="AE16" s="429" t="str">
        <f ca="1">IFERROR(VLOOKUP(AE$2,Rango_Admin_DailyPred,MATCH($F16,Rango_Admin_DailyPred_Primera,0),0),"-")</f>
        <v>-</v>
      </c>
      <c r="AF16" s="429" t="str">
        <f ca="1">IFERROR(VLOOKUP(AF$2,Rango_Admin_DailyPred,MATCH($F16,Rango_Admin_DailyPred_Primera,0),0),"-")</f>
        <v>-</v>
      </c>
      <c r="AG16" s="429" t="str">
        <f ca="1">IFERROR(VLOOKUP(AG$2,Rango_Admin_DailyPred,MATCH($F16,Rango_Admin_DailyPred_Primera,0),0),"-")</f>
        <v>-</v>
      </c>
      <c r="AH16" s="429" t="str">
        <f ca="1">IFERROR(VLOOKUP(AH$2,Rango_Admin_DailyPred,MATCH($F16,Rango_Admin_DailyPred_Primera,0),0),"-")</f>
        <v>-</v>
      </c>
      <c r="AI16" s="429" t="str">
        <f ca="1">IFERROR(VLOOKUP(AI$2,Rango_Admin_DailyPred,MATCH($F16,Rango_Admin_DailyPred_Primera,0),0),"-")</f>
        <v>-</v>
      </c>
      <c r="AJ16" s="429" t="str">
        <f ca="1">IFERROR(VLOOKUP(AJ$2,Rango_Admin_DailyPred,MATCH($F16,Rango_Admin_DailyPred_Primera,0),0),"-")</f>
        <v>-</v>
      </c>
      <c r="AK16" s="429" t="str">
        <f ca="1">IFERROR(VLOOKUP(AK$2,Rango_Admin_DailyPred,MATCH($F16,Rango_Admin_DailyPred_Primera,0),0),"-")</f>
        <v>-</v>
      </c>
      <c r="AL16" s="429" t="str">
        <f ca="1">IFERROR(VLOOKUP(AL$2,Rango_Admin_DailyPred,MATCH($F16,Rango_Admin_DailyPred_Primera,0),0),"-")</f>
        <v>-</v>
      </c>
      <c r="AM16" s="297"/>
      <c r="AN16" s="297"/>
      <c r="AO16" s="297"/>
    </row>
    <row r="17" spans="1:41">
      <c r="A17" s="8" t="str" cm="1">
        <f t="array" aca="1" ref="A17" ca="1">IFERROR(INDEX(ADMIN!$K$6:$K$258,SMALL(IF(ADMIN!$G$6:$G$258=$J$1,ROW(ADMIN!$G$6:$G$258)-ROW(ADMIN!$G$6)+1),ROWS($A$1:A14))),"")</f>
        <v/>
      </c>
      <c r="B17" s="8" t="str">
        <f t="shared" ca="1" si="0"/>
        <v xml:space="preserve">
</v>
      </c>
      <c r="C17" s="8" t="str" cm="1">
        <f t="array" aca="1" ref="C17" ca="1">IFERROR(IF(INDEX(ADMIN!$M$6:$M$258,SMALL(IF(ADMIN!$G$6:$G$258=$J$1,ROW(ADMIN!$G$6:$G$258)-ROW(ADMIN!$G$6)+1),ROWS($A$1:A14)))="-", "", " ("&amp;INDEX(ADMIN!$M$6:$M$258,SMALL(IF(ADMIN!$G$6:$G$258=$J$1,ROW(ADMIN!$G$6:$G$258)-ROW(ADMIN!$G$6)+1),ROWS($A$1:A14)))&amp;")"),"")</f>
        <v/>
      </c>
      <c r="D17" s="8" t="str" cm="1">
        <f t="array" aca="1" ref="D17" ca="1">IFERROR(IF($J$1&gt;=20,INDEX(ADMIN!$C$6:$C$258,SMALL(IF(ADMIN!$G$6:$G$258=$J$1,ROW(ADMIN!$G$6:$G$258)-ROW(ADMIN!$G$6)+1),ROWS($D$1:D14))),""),"")</f>
        <v/>
      </c>
      <c r="E17" s="19">
        <f t="shared" si="1"/>
        <v>48</v>
      </c>
      <c r="F17" s="448" t="str" cm="1">
        <f t="array" ref="F17">IFERROR(INDEX(Rango_Admin_DailyPred_Primera,1,E17),"-")</f>
        <v>JCU</v>
      </c>
      <c r="G17" s="429" t="str">
        <f ca="1">IFERROR(VLOOKUP(G$2,Rango_Admin_DailyPred,MATCH($F17,Rango_Admin_DailyPred_Primera,0),0),"-")</f>
        <v>1|2-0</v>
      </c>
      <c r="H17" s="429" t="str">
        <f ca="1">IFERROR(VLOOKUP(H$2,Rango_Admin_DailyPred,MATCH($F17,Rango_Admin_DailyPred_Primera,0),0),"-")</f>
        <v>-</v>
      </c>
      <c r="I17" s="429" t="str">
        <f ca="1">IFERROR(VLOOKUP(I$2,Rango_Admin_DailyPred,MATCH($F17,Rango_Admin_DailyPred_Primera,0),0),"-")</f>
        <v>-</v>
      </c>
      <c r="J17" s="429" t="str">
        <f ca="1">IFERROR(VLOOKUP(J$2,Rango_Admin_DailyPred,MATCH($F17,Rango_Admin_DailyPred_Primera,0),0),"-")</f>
        <v>-</v>
      </c>
      <c r="K17" s="429" t="str">
        <f ca="1">IFERROR(VLOOKUP(K$2,Rango_Admin_DailyPred,MATCH($F17,Rango_Admin_DailyPred_Primera,0),0),"-")</f>
        <v>-</v>
      </c>
      <c r="L17" s="429" t="str">
        <f ca="1">IFERROR(VLOOKUP(L$2,Rango_Admin_DailyPred,MATCH($F17,Rango_Admin_DailyPred_Primera,0),0),"-")</f>
        <v>-</v>
      </c>
      <c r="M17" s="429" t="str">
        <f ca="1">IFERROR(VLOOKUP(M$2,Rango_Admin_DailyPred,MATCH($F17,Rango_Admin_DailyPred_Primera,0),0),"-")</f>
        <v>-</v>
      </c>
      <c r="N17" s="429" t="str">
        <f ca="1">IFERROR(VLOOKUP(N$2,Rango_Admin_DailyPred,MATCH($F17,Rango_Admin_DailyPred_Primera,0),0),"-")</f>
        <v>-</v>
      </c>
      <c r="O17" s="429" t="str">
        <f ca="1">IFERROR(VLOOKUP(O$2,Rango_Admin_DailyPred,MATCH($F17,Rango_Admin_DailyPred_Primera,0),0),"-")</f>
        <v>-</v>
      </c>
      <c r="P17" s="429" t="str">
        <f ca="1">IFERROR(VLOOKUP(P$2,Rango_Admin_DailyPred,MATCH($F17,Rango_Admin_DailyPred_Primera,0),0),"-")</f>
        <v>-</v>
      </c>
      <c r="Q17" s="429" t="str">
        <f ca="1">IFERROR(VLOOKUP(Q$2,Rango_Admin_DailyPred,MATCH($F17,Rango_Admin_DailyPred_Primera,0),0),"-")</f>
        <v>-</v>
      </c>
      <c r="R17" s="429" t="str">
        <f ca="1">IFERROR(VLOOKUP(R$2,Rango_Admin_DailyPred,MATCH($F17,Rango_Admin_DailyPred_Primera,0),0),"-")</f>
        <v>-</v>
      </c>
      <c r="S17" s="429" t="str">
        <f ca="1">IFERROR(VLOOKUP(S$2,Rango_Admin_DailyPred,MATCH($F17,Rango_Admin_DailyPred_Primera,0),0),"-")</f>
        <v>-</v>
      </c>
      <c r="T17" s="429" t="str">
        <f ca="1">IFERROR(VLOOKUP(T$2,Rango_Admin_DailyPred,MATCH($F17,Rango_Admin_DailyPred_Primera,0),0),"-")</f>
        <v>-</v>
      </c>
      <c r="U17" s="429" t="str">
        <f ca="1">IFERROR(VLOOKUP(U$2,Rango_Admin_DailyPred,MATCH($F17,Rango_Admin_DailyPred_Primera,0),0),"-")</f>
        <v>-</v>
      </c>
      <c r="V17" s="429" t="str">
        <f ca="1">IFERROR(VLOOKUP(V$2,Rango_Admin_DailyPred,MATCH($F17,Rango_Admin_DailyPred_Primera,0),0),"-")</f>
        <v>-</v>
      </c>
      <c r="W17" s="429" t="str">
        <f ca="1">IFERROR(VLOOKUP(W$2,Rango_Admin_DailyPred,MATCH($F17,Rango_Admin_DailyPred_Primera,0),0),"-")</f>
        <v>-</v>
      </c>
      <c r="X17" s="429" t="str">
        <f ca="1">IFERROR(VLOOKUP(X$2,Rango_Admin_DailyPred,MATCH($F17,Rango_Admin_DailyPred_Primera,0),0),"-")</f>
        <v>-</v>
      </c>
      <c r="Y17" s="429" t="str">
        <f ca="1">IFERROR(VLOOKUP(Y$2,Rango_Admin_DailyPred,MATCH($F17,Rango_Admin_DailyPred_Primera,0),0),"-")</f>
        <v>-</v>
      </c>
      <c r="Z17" s="429" t="str">
        <f ca="1">IFERROR(VLOOKUP(Z$2,Rango_Admin_DailyPred,MATCH($F17,Rango_Admin_DailyPred_Primera,0),0),"-")</f>
        <v>-</v>
      </c>
      <c r="AA17" s="429" t="str">
        <f ca="1">IFERROR(VLOOKUP(AA$2,Rango_Admin_DailyPred,MATCH($F17,Rango_Admin_DailyPred_Primera,0),0),"-")</f>
        <v>-</v>
      </c>
      <c r="AB17" s="429" t="str">
        <f ca="1">IFERROR(VLOOKUP(AB$2,Rango_Admin_DailyPred,MATCH($F17,Rango_Admin_DailyPred_Primera,0),0),"-")</f>
        <v>-</v>
      </c>
      <c r="AC17" s="429" t="str">
        <f ca="1">IFERROR(VLOOKUP(AC$2,Rango_Admin_DailyPred,MATCH($F17,Rango_Admin_DailyPred_Primera,0),0),"-")</f>
        <v>-</v>
      </c>
      <c r="AD17" s="429" t="str">
        <f ca="1">IFERROR(VLOOKUP(AD$2,Rango_Admin_DailyPred,MATCH($F17,Rango_Admin_DailyPred_Primera,0),0),"-")</f>
        <v>-</v>
      </c>
      <c r="AE17" s="429" t="str">
        <f ca="1">IFERROR(VLOOKUP(AE$2,Rango_Admin_DailyPred,MATCH($F17,Rango_Admin_DailyPred_Primera,0),0),"-")</f>
        <v>-</v>
      </c>
      <c r="AF17" s="429" t="str">
        <f ca="1">IFERROR(VLOOKUP(AF$2,Rango_Admin_DailyPred,MATCH($F17,Rango_Admin_DailyPred_Primera,0),0),"-")</f>
        <v>-</v>
      </c>
      <c r="AG17" s="429" t="str">
        <f ca="1">IFERROR(VLOOKUP(AG$2,Rango_Admin_DailyPred,MATCH($F17,Rango_Admin_DailyPred_Primera,0),0),"-")</f>
        <v>-</v>
      </c>
      <c r="AH17" s="429" t="str">
        <f ca="1">IFERROR(VLOOKUP(AH$2,Rango_Admin_DailyPred,MATCH($F17,Rango_Admin_DailyPred_Primera,0),0),"-")</f>
        <v>-</v>
      </c>
      <c r="AI17" s="429" t="str">
        <f ca="1">IFERROR(VLOOKUP(AI$2,Rango_Admin_DailyPred,MATCH($F17,Rango_Admin_DailyPred_Primera,0),0),"-")</f>
        <v>-</v>
      </c>
      <c r="AJ17" s="429" t="str">
        <f ca="1">IFERROR(VLOOKUP(AJ$2,Rango_Admin_DailyPred,MATCH($F17,Rango_Admin_DailyPred_Primera,0),0),"-")</f>
        <v>-</v>
      </c>
      <c r="AK17" s="429" t="str">
        <f ca="1">IFERROR(VLOOKUP(AK$2,Rango_Admin_DailyPred,MATCH($F17,Rango_Admin_DailyPred_Primera,0),0),"-")</f>
        <v>-</v>
      </c>
      <c r="AL17" s="429" t="str">
        <f ca="1">IFERROR(VLOOKUP(AL$2,Rango_Admin_DailyPred,MATCH($F17,Rango_Admin_DailyPred_Primera,0),0),"-")</f>
        <v>-</v>
      </c>
      <c r="AM17" s="297"/>
      <c r="AN17" s="297"/>
      <c r="AO17" s="297"/>
    </row>
    <row r="18" spans="1:41">
      <c r="A18" s="8" t="str" cm="1">
        <f t="array" aca="1" ref="A18" ca="1">IFERROR(INDEX(ADMIN!$K$6:$K$258,SMALL(IF(ADMIN!$G$6:$G$258=$J$1,ROW(ADMIN!$G$6:$G$258)-ROW(ADMIN!$G$6)+1),ROWS($A$1:A15))),"")</f>
        <v/>
      </c>
      <c r="B18" s="8" t="str">
        <f t="shared" ca="1" si="0"/>
        <v xml:space="preserve">
</v>
      </c>
      <c r="C18" s="8" t="str" cm="1">
        <f t="array" aca="1" ref="C18" ca="1">IFERROR(IF(INDEX(ADMIN!$M$6:$M$258,SMALL(IF(ADMIN!$G$6:$G$258=$J$1,ROW(ADMIN!$G$6:$G$258)-ROW(ADMIN!$G$6)+1),ROWS($A$1:A15)))="-", "", " ("&amp;INDEX(ADMIN!$M$6:$M$258,SMALL(IF(ADMIN!$G$6:$G$258=$J$1,ROW(ADMIN!$G$6:$G$258)-ROW(ADMIN!$G$6)+1),ROWS($A$1:A15)))&amp;")"),"")</f>
        <v/>
      </c>
      <c r="D18" s="8" t="str" cm="1">
        <f t="array" aca="1" ref="D18" ca="1">IFERROR(IF($J$1&gt;=20,INDEX(ADMIN!$C$6:$C$258,SMALL(IF(ADMIN!$G$6:$G$258=$J$1,ROW(ADMIN!$G$6:$G$258)-ROW(ADMIN!$G$6)+1),ROWS($D$1:D15))),""),"")</f>
        <v/>
      </c>
      <c r="E18" s="19">
        <f t="shared" si="1"/>
        <v>51</v>
      </c>
      <c r="F18" s="448" t="str" cm="1">
        <f t="array" ref="F18">IFERROR(INDEX(Rango_Admin_DailyPred_Primera,1,E18),"-")</f>
        <v>Joserra</v>
      </c>
      <c r="G18" s="429" t="str">
        <f ca="1">IFERROR(VLOOKUP(G$2,Rango_Admin_DailyPred,MATCH($F18,Rango_Admin_DailyPred_Primera,0),0),"-")</f>
        <v>1|2-0</v>
      </c>
      <c r="H18" s="429" t="str">
        <f ca="1">IFERROR(VLOOKUP(H$2,Rango_Admin_DailyPred,MATCH($F18,Rango_Admin_DailyPred_Primera,0),0),"-")</f>
        <v>-</v>
      </c>
      <c r="I18" s="429" t="str">
        <f ca="1">IFERROR(VLOOKUP(I$2,Rango_Admin_DailyPred,MATCH($F18,Rango_Admin_DailyPred_Primera,0),0),"-")</f>
        <v>-</v>
      </c>
      <c r="J18" s="429" t="str">
        <f ca="1">IFERROR(VLOOKUP(J$2,Rango_Admin_DailyPred,MATCH($F18,Rango_Admin_DailyPred_Primera,0),0),"-")</f>
        <v>-</v>
      </c>
      <c r="K18" s="429" t="str">
        <f ca="1">IFERROR(VLOOKUP(K$2,Rango_Admin_DailyPred,MATCH($F18,Rango_Admin_DailyPred_Primera,0),0),"-")</f>
        <v>-</v>
      </c>
      <c r="L18" s="429" t="str">
        <f ca="1">IFERROR(VLOOKUP(L$2,Rango_Admin_DailyPred,MATCH($F18,Rango_Admin_DailyPred_Primera,0),0),"-")</f>
        <v>-</v>
      </c>
      <c r="M18" s="429" t="str">
        <f ca="1">IFERROR(VLOOKUP(M$2,Rango_Admin_DailyPred,MATCH($F18,Rango_Admin_DailyPred_Primera,0),0),"-")</f>
        <v>-</v>
      </c>
      <c r="N18" s="429" t="str">
        <f ca="1">IFERROR(VLOOKUP(N$2,Rango_Admin_DailyPred,MATCH($F18,Rango_Admin_DailyPred_Primera,0),0),"-")</f>
        <v>-</v>
      </c>
      <c r="O18" s="429" t="str">
        <f ca="1">IFERROR(VLOOKUP(O$2,Rango_Admin_DailyPred,MATCH($F18,Rango_Admin_DailyPred_Primera,0),0),"-")</f>
        <v>-</v>
      </c>
      <c r="P18" s="429" t="str">
        <f ca="1">IFERROR(VLOOKUP(P$2,Rango_Admin_DailyPred,MATCH($F18,Rango_Admin_DailyPred_Primera,0),0),"-")</f>
        <v>-</v>
      </c>
      <c r="Q18" s="429" t="str">
        <f ca="1">IFERROR(VLOOKUP(Q$2,Rango_Admin_DailyPred,MATCH($F18,Rango_Admin_DailyPred_Primera,0),0),"-")</f>
        <v>-</v>
      </c>
      <c r="R18" s="429" t="str">
        <f ca="1">IFERROR(VLOOKUP(R$2,Rango_Admin_DailyPred,MATCH($F18,Rango_Admin_DailyPred_Primera,0),0),"-")</f>
        <v>-</v>
      </c>
      <c r="S18" s="429" t="str">
        <f ca="1">IFERROR(VLOOKUP(S$2,Rango_Admin_DailyPred,MATCH($F18,Rango_Admin_DailyPred_Primera,0),0),"-")</f>
        <v>-</v>
      </c>
      <c r="T18" s="429" t="str">
        <f ca="1">IFERROR(VLOOKUP(T$2,Rango_Admin_DailyPred,MATCH($F18,Rango_Admin_DailyPred_Primera,0),0),"-")</f>
        <v>-</v>
      </c>
      <c r="U18" s="429" t="str">
        <f ca="1">IFERROR(VLOOKUP(U$2,Rango_Admin_DailyPred,MATCH($F18,Rango_Admin_DailyPred_Primera,0),0),"-")</f>
        <v>-</v>
      </c>
      <c r="V18" s="429" t="str">
        <f ca="1">IFERROR(VLOOKUP(V$2,Rango_Admin_DailyPred,MATCH($F18,Rango_Admin_DailyPred_Primera,0),0),"-")</f>
        <v>-</v>
      </c>
      <c r="W18" s="429" t="str">
        <f ca="1">IFERROR(VLOOKUP(W$2,Rango_Admin_DailyPred,MATCH($F18,Rango_Admin_DailyPred_Primera,0),0),"-")</f>
        <v>-</v>
      </c>
      <c r="X18" s="429" t="str">
        <f ca="1">IFERROR(VLOOKUP(X$2,Rango_Admin_DailyPred,MATCH($F18,Rango_Admin_DailyPred_Primera,0),0),"-")</f>
        <v>-</v>
      </c>
      <c r="Y18" s="429" t="str">
        <f ca="1">IFERROR(VLOOKUP(Y$2,Rango_Admin_DailyPred,MATCH($F18,Rango_Admin_DailyPred_Primera,0),0),"-")</f>
        <v>-</v>
      </c>
      <c r="Z18" s="429" t="str">
        <f ca="1">IFERROR(VLOOKUP(Z$2,Rango_Admin_DailyPred,MATCH($F18,Rango_Admin_DailyPred_Primera,0),0),"-")</f>
        <v>-</v>
      </c>
      <c r="AA18" s="429" t="str">
        <f ca="1">IFERROR(VLOOKUP(AA$2,Rango_Admin_DailyPred,MATCH($F18,Rango_Admin_DailyPred_Primera,0),0),"-")</f>
        <v>-</v>
      </c>
      <c r="AB18" s="429" t="str">
        <f ca="1">IFERROR(VLOOKUP(AB$2,Rango_Admin_DailyPred,MATCH($F18,Rango_Admin_DailyPred_Primera,0),0),"-")</f>
        <v>-</v>
      </c>
      <c r="AC18" s="429" t="str">
        <f ca="1">IFERROR(VLOOKUP(AC$2,Rango_Admin_DailyPred,MATCH($F18,Rango_Admin_DailyPred_Primera,0),0),"-")</f>
        <v>-</v>
      </c>
      <c r="AD18" s="429" t="str">
        <f ca="1">IFERROR(VLOOKUP(AD$2,Rango_Admin_DailyPred,MATCH($F18,Rango_Admin_DailyPred_Primera,0),0),"-")</f>
        <v>-</v>
      </c>
      <c r="AE18" s="429" t="str">
        <f ca="1">IFERROR(VLOOKUP(AE$2,Rango_Admin_DailyPred,MATCH($F18,Rango_Admin_DailyPred_Primera,0),0),"-")</f>
        <v>-</v>
      </c>
      <c r="AF18" s="429" t="str">
        <f ca="1">IFERROR(VLOOKUP(AF$2,Rango_Admin_DailyPred,MATCH($F18,Rango_Admin_DailyPred_Primera,0),0),"-")</f>
        <v>-</v>
      </c>
      <c r="AG18" s="429" t="str">
        <f ca="1">IFERROR(VLOOKUP(AG$2,Rango_Admin_DailyPred,MATCH($F18,Rango_Admin_DailyPred_Primera,0),0),"-")</f>
        <v>-</v>
      </c>
      <c r="AH18" s="429" t="str">
        <f ca="1">IFERROR(VLOOKUP(AH$2,Rango_Admin_DailyPred,MATCH($F18,Rango_Admin_DailyPred_Primera,0),0),"-")</f>
        <v>-</v>
      </c>
      <c r="AI18" s="429" t="str">
        <f ca="1">IFERROR(VLOOKUP(AI$2,Rango_Admin_DailyPred,MATCH($F18,Rango_Admin_DailyPred_Primera,0),0),"-")</f>
        <v>-</v>
      </c>
      <c r="AJ18" s="429" t="str">
        <f ca="1">IFERROR(VLOOKUP(AJ$2,Rango_Admin_DailyPred,MATCH($F18,Rango_Admin_DailyPred_Primera,0),0),"-")</f>
        <v>-</v>
      </c>
      <c r="AK18" s="429" t="str">
        <f ca="1">IFERROR(VLOOKUP(AK$2,Rango_Admin_DailyPred,MATCH($F18,Rango_Admin_DailyPred_Primera,0),0),"-")</f>
        <v>-</v>
      </c>
      <c r="AL18" s="429" t="str">
        <f ca="1">IFERROR(VLOOKUP(AL$2,Rango_Admin_DailyPred,MATCH($F18,Rango_Admin_DailyPred_Primera,0),0),"-")</f>
        <v>-</v>
      </c>
      <c r="AM18" s="297"/>
      <c r="AN18" s="297"/>
      <c r="AO18" s="297"/>
    </row>
    <row r="19" spans="1:41">
      <c r="A19" s="8" t="str" cm="1">
        <f t="array" aca="1" ref="A19" ca="1">IFERROR(INDEX(ADMIN!$K$6:$K$258,SMALL(IF(ADMIN!$G$6:$G$258=$J$1,ROW(ADMIN!$G$6:$G$258)-ROW(ADMIN!$G$6)+1),ROWS($A$1:A16))),"")</f>
        <v/>
      </c>
      <c r="B19" s="8" t="str">
        <f t="shared" ca="1" si="0"/>
        <v xml:space="preserve">
</v>
      </c>
      <c r="C19" s="8" t="str" cm="1">
        <f t="array" aca="1" ref="C19" ca="1">IFERROR(IF(INDEX(ADMIN!$M$6:$M$258,SMALL(IF(ADMIN!$G$6:$G$258=$J$1,ROW(ADMIN!$G$6:$G$258)-ROW(ADMIN!$G$6)+1),ROWS($A$1:A16)))="-", "", " ("&amp;INDEX(ADMIN!$M$6:$M$258,SMALL(IF(ADMIN!$G$6:$G$258=$J$1,ROW(ADMIN!$G$6:$G$258)-ROW(ADMIN!$G$6)+1),ROWS($A$1:A16)))&amp;")"),"")</f>
        <v/>
      </c>
      <c r="D19" s="8" t="str" cm="1">
        <f t="array" aca="1" ref="D19" ca="1">IFERROR(IF($J$1&gt;=20,INDEX(ADMIN!$C$6:$C$258,SMALL(IF(ADMIN!$G$6:$G$258=$J$1,ROW(ADMIN!$G$6:$G$258)-ROW(ADMIN!$G$6)+1),ROWS($D$1:D16))),""),"")</f>
        <v/>
      </c>
      <c r="E19" s="19">
        <f t="shared" si="1"/>
        <v>54</v>
      </c>
      <c r="F19" s="448" t="str" cm="1">
        <f t="array" ref="F19">IFERROR(INDEX(Rango_Admin_DailyPred_Primera,1,E19),"-")</f>
        <v>Migay Marcos</v>
      </c>
      <c r="G19" s="429" t="str">
        <f ca="1">IFERROR(VLOOKUP(G$2,Rango_Admin_DailyPred,MATCH($F19,Rango_Admin_DailyPred_Primera,0),0),"-")</f>
        <v>X|2-2</v>
      </c>
      <c r="H19" s="429" t="str">
        <f ca="1">IFERROR(VLOOKUP(H$2,Rango_Admin_DailyPred,MATCH($F19,Rango_Admin_DailyPred_Primera,0),0),"-")</f>
        <v>-</v>
      </c>
      <c r="I19" s="429" t="str">
        <f ca="1">IFERROR(VLOOKUP(I$2,Rango_Admin_DailyPred,MATCH($F19,Rango_Admin_DailyPred_Primera,0),0),"-")</f>
        <v>-</v>
      </c>
      <c r="J19" s="429" t="str">
        <f ca="1">IFERROR(VLOOKUP(J$2,Rango_Admin_DailyPred,MATCH($F19,Rango_Admin_DailyPred_Primera,0),0),"-")</f>
        <v>-</v>
      </c>
      <c r="K19" s="429" t="str">
        <f ca="1">IFERROR(VLOOKUP(K$2,Rango_Admin_DailyPred,MATCH($F19,Rango_Admin_DailyPred_Primera,0),0),"-")</f>
        <v>-</v>
      </c>
      <c r="L19" s="429" t="str">
        <f ca="1">IFERROR(VLOOKUP(L$2,Rango_Admin_DailyPred,MATCH($F19,Rango_Admin_DailyPred_Primera,0),0),"-")</f>
        <v>-</v>
      </c>
      <c r="M19" s="429" t="str">
        <f ca="1">IFERROR(VLOOKUP(M$2,Rango_Admin_DailyPred,MATCH($F19,Rango_Admin_DailyPred_Primera,0),0),"-")</f>
        <v>-</v>
      </c>
      <c r="N19" s="429" t="str">
        <f ca="1">IFERROR(VLOOKUP(N$2,Rango_Admin_DailyPred,MATCH($F19,Rango_Admin_DailyPred_Primera,0),0),"-")</f>
        <v>-</v>
      </c>
      <c r="O19" s="429" t="str">
        <f ca="1">IFERROR(VLOOKUP(O$2,Rango_Admin_DailyPred,MATCH($F19,Rango_Admin_DailyPred_Primera,0),0),"-")</f>
        <v>-</v>
      </c>
      <c r="P19" s="429" t="str">
        <f ca="1">IFERROR(VLOOKUP(P$2,Rango_Admin_DailyPred,MATCH($F19,Rango_Admin_DailyPred_Primera,0),0),"-")</f>
        <v>-</v>
      </c>
      <c r="Q19" s="429" t="str">
        <f ca="1">IFERROR(VLOOKUP(Q$2,Rango_Admin_DailyPred,MATCH($F19,Rango_Admin_DailyPred_Primera,0),0),"-")</f>
        <v>-</v>
      </c>
      <c r="R19" s="429" t="str">
        <f ca="1">IFERROR(VLOOKUP(R$2,Rango_Admin_DailyPred,MATCH($F19,Rango_Admin_DailyPred_Primera,0),0),"-")</f>
        <v>-</v>
      </c>
      <c r="S19" s="429" t="str">
        <f ca="1">IFERROR(VLOOKUP(S$2,Rango_Admin_DailyPred,MATCH($F19,Rango_Admin_DailyPred_Primera,0),0),"-")</f>
        <v>-</v>
      </c>
      <c r="T19" s="429" t="str">
        <f ca="1">IFERROR(VLOOKUP(T$2,Rango_Admin_DailyPred,MATCH($F19,Rango_Admin_DailyPred_Primera,0),0),"-")</f>
        <v>-</v>
      </c>
      <c r="U19" s="429" t="str">
        <f ca="1">IFERROR(VLOOKUP(U$2,Rango_Admin_DailyPred,MATCH($F19,Rango_Admin_DailyPred_Primera,0),0),"-")</f>
        <v>-</v>
      </c>
      <c r="V19" s="429" t="str">
        <f ca="1">IFERROR(VLOOKUP(V$2,Rango_Admin_DailyPred,MATCH($F19,Rango_Admin_DailyPred_Primera,0),0),"-")</f>
        <v>-</v>
      </c>
      <c r="W19" s="429" t="str">
        <f ca="1">IFERROR(VLOOKUP(W$2,Rango_Admin_DailyPred,MATCH($F19,Rango_Admin_DailyPred_Primera,0),0),"-")</f>
        <v>-</v>
      </c>
      <c r="X19" s="429" t="str">
        <f ca="1">IFERROR(VLOOKUP(X$2,Rango_Admin_DailyPred,MATCH($F19,Rango_Admin_DailyPred_Primera,0),0),"-")</f>
        <v>-</v>
      </c>
      <c r="Y19" s="429" t="str">
        <f ca="1">IFERROR(VLOOKUP(Y$2,Rango_Admin_DailyPred,MATCH($F19,Rango_Admin_DailyPred_Primera,0),0),"-")</f>
        <v>-</v>
      </c>
      <c r="Z19" s="429" t="str">
        <f ca="1">IFERROR(VLOOKUP(Z$2,Rango_Admin_DailyPred,MATCH($F19,Rango_Admin_DailyPred_Primera,0),0),"-")</f>
        <v>-</v>
      </c>
      <c r="AA19" s="429" t="str">
        <f ca="1">IFERROR(VLOOKUP(AA$2,Rango_Admin_DailyPred,MATCH($F19,Rango_Admin_DailyPred_Primera,0),0),"-")</f>
        <v>-</v>
      </c>
      <c r="AB19" s="429" t="str">
        <f ca="1">IFERROR(VLOOKUP(AB$2,Rango_Admin_DailyPred,MATCH($F19,Rango_Admin_DailyPred_Primera,0),0),"-")</f>
        <v>-</v>
      </c>
      <c r="AC19" s="429" t="str">
        <f ca="1">IFERROR(VLOOKUP(AC$2,Rango_Admin_DailyPred,MATCH($F19,Rango_Admin_DailyPred_Primera,0),0),"-")</f>
        <v>-</v>
      </c>
      <c r="AD19" s="429" t="str">
        <f ca="1">IFERROR(VLOOKUP(AD$2,Rango_Admin_DailyPred,MATCH($F19,Rango_Admin_DailyPred_Primera,0),0),"-")</f>
        <v>-</v>
      </c>
      <c r="AE19" s="429" t="str">
        <f ca="1">IFERROR(VLOOKUP(AE$2,Rango_Admin_DailyPred,MATCH($F19,Rango_Admin_DailyPred_Primera,0),0),"-")</f>
        <v>-</v>
      </c>
      <c r="AF19" s="429" t="str">
        <f ca="1">IFERROR(VLOOKUP(AF$2,Rango_Admin_DailyPred,MATCH($F19,Rango_Admin_DailyPred_Primera,0),0),"-")</f>
        <v>-</v>
      </c>
      <c r="AG19" s="429" t="str">
        <f ca="1">IFERROR(VLOOKUP(AG$2,Rango_Admin_DailyPred,MATCH($F19,Rango_Admin_DailyPred_Primera,0),0),"-")</f>
        <v>-</v>
      </c>
      <c r="AH19" s="429" t="str">
        <f ca="1">IFERROR(VLOOKUP(AH$2,Rango_Admin_DailyPred,MATCH($F19,Rango_Admin_DailyPred_Primera,0),0),"-")</f>
        <v>-</v>
      </c>
      <c r="AI19" s="429" t="str">
        <f ca="1">IFERROR(VLOOKUP(AI$2,Rango_Admin_DailyPred,MATCH($F19,Rango_Admin_DailyPred_Primera,0),0),"-")</f>
        <v>-</v>
      </c>
      <c r="AJ19" s="429" t="str">
        <f ca="1">IFERROR(VLOOKUP(AJ$2,Rango_Admin_DailyPred,MATCH($F19,Rango_Admin_DailyPred_Primera,0),0),"-")</f>
        <v>-</v>
      </c>
      <c r="AK19" s="429" t="str">
        <f ca="1">IFERROR(VLOOKUP(AK$2,Rango_Admin_DailyPred,MATCH($F19,Rango_Admin_DailyPred_Primera,0),0),"-")</f>
        <v>-</v>
      </c>
      <c r="AL19" s="429" t="str">
        <f ca="1">IFERROR(VLOOKUP(AL$2,Rango_Admin_DailyPred,MATCH($F19,Rango_Admin_DailyPred_Primera,0),0),"-")</f>
        <v>-</v>
      </c>
      <c r="AM19" s="297"/>
      <c r="AN19" s="297"/>
      <c r="AO19" s="297"/>
    </row>
    <row r="20" spans="1:41">
      <c r="A20" s="8" t="str" cm="1">
        <f t="array" aca="1" ref="A20" ca="1">IFERROR(INDEX(ADMIN!$K$6:$K$258,SMALL(IF(ADMIN!$G$6:$G$258=$J$1,ROW(ADMIN!$G$6:$G$258)-ROW(ADMIN!$G$6)+1),ROWS($A$1:A17))),"")</f>
        <v/>
      </c>
      <c r="B20" s="8" t="str">
        <f t="shared" ca="1" si="0"/>
        <v xml:space="preserve">
</v>
      </c>
      <c r="C20" s="8" t="str" cm="1">
        <f t="array" aca="1" ref="C20" ca="1">IFERROR(IF(INDEX(ADMIN!$M$6:$M$258,SMALL(IF(ADMIN!$G$6:$G$258=$J$1,ROW(ADMIN!$G$6:$G$258)-ROW(ADMIN!$G$6)+1),ROWS($A$1:A17)))="-", "", " ("&amp;INDEX(ADMIN!$M$6:$M$258,SMALL(IF(ADMIN!$G$6:$G$258=$J$1,ROW(ADMIN!$G$6:$G$258)-ROW(ADMIN!$G$6)+1),ROWS($A$1:A17)))&amp;")"),"")</f>
        <v/>
      </c>
      <c r="D20" s="8" t="str" cm="1">
        <f t="array" aca="1" ref="D20" ca="1">IFERROR(IF($J$1&gt;=20,INDEX(ADMIN!$C$6:$C$258,SMALL(IF(ADMIN!$G$6:$G$258=$J$1,ROW(ADMIN!$G$6:$G$258)-ROW(ADMIN!$G$6)+1),ROWS($D$1:D17))),""),"")</f>
        <v/>
      </c>
      <c r="E20" s="19">
        <f t="shared" si="1"/>
        <v>57</v>
      </c>
      <c r="F20" s="448" t="str" cm="1">
        <f t="array" ref="F20">IFERROR(INDEX(Rango_Admin_DailyPred_Primera,1,E20),"-")</f>
        <v>Antonio del Ojo</v>
      </c>
      <c r="G20" s="429" t="str">
        <f ca="1">IFERROR(VLOOKUP(G$2,Rango_Admin_DailyPred,MATCH($F20,Rango_Admin_DailyPred_Primera,0),0),"-")</f>
        <v>1|2-0</v>
      </c>
      <c r="H20" s="429" t="str">
        <f ca="1">IFERROR(VLOOKUP(H$2,Rango_Admin_DailyPred,MATCH($F20,Rango_Admin_DailyPred_Primera,0),0),"-")</f>
        <v>-</v>
      </c>
      <c r="I20" s="429" t="str">
        <f ca="1">IFERROR(VLOOKUP(I$2,Rango_Admin_DailyPred,MATCH($F20,Rango_Admin_DailyPred_Primera,0),0),"-")</f>
        <v>-</v>
      </c>
      <c r="J20" s="429" t="str">
        <f ca="1">IFERROR(VLOOKUP(J$2,Rango_Admin_DailyPred,MATCH($F20,Rango_Admin_DailyPred_Primera,0),0),"-")</f>
        <v>-</v>
      </c>
      <c r="K20" s="429" t="str">
        <f ca="1">IFERROR(VLOOKUP(K$2,Rango_Admin_DailyPred,MATCH($F20,Rango_Admin_DailyPred_Primera,0),0),"-")</f>
        <v>-</v>
      </c>
      <c r="L20" s="429" t="str">
        <f ca="1">IFERROR(VLOOKUP(L$2,Rango_Admin_DailyPred,MATCH($F20,Rango_Admin_DailyPred_Primera,0),0),"-")</f>
        <v>-</v>
      </c>
      <c r="M20" s="429" t="str">
        <f ca="1">IFERROR(VLOOKUP(M$2,Rango_Admin_DailyPred,MATCH($F20,Rango_Admin_DailyPred_Primera,0),0),"-")</f>
        <v>-</v>
      </c>
      <c r="N20" s="429" t="str">
        <f ca="1">IFERROR(VLOOKUP(N$2,Rango_Admin_DailyPred,MATCH($F20,Rango_Admin_DailyPred_Primera,0),0),"-")</f>
        <v>-</v>
      </c>
      <c r="O20" s="429" t="str">
        <f ca="1">IFERROR(VLOOKUP(O$2,Rango_Admin_DailyPred,MATCH($F20,Rango_Admin_DailyPred_Primera,0),0),"-")</f>
        <v>-</v>
      </c>
      <c r="P20" s="429" t="str">
        <f ca="1">IFERROR(VLOOKUP(P$2,Rango_Admin_DailyPred,MATCH($F20,Rango_Admin_DailyPred_Primera,0),0),"-")</f>
        <v>-</v>
      </c>
      <c r="Q20" s="429" t="str">
        <f ca="1">IFERROR(VLOOKUP(Q$2,Rango_Admin_DailyPred,MATCH($F20,Rango_Admin_DailyPred_Primera,0),0),"-")</f>
        <v>-</v>
      </c>
      <c r="R20" s="429" t="str">
        <f ca="1">IFERROR(VLOOKUP(R$2,Rango_Admin_DailyPred,MATCH($F20,Rango_Admin_DailyPred_Primera,0),0),"-")</f>
        <v>-</v>
      </c>
      <c r="S20" s="429" t="str">
        <f ca="1">IFERROR(VLOOKUP(S$2,Rango_Admin_DailyPred,MATCH($F20,Rango_Admin_DailyPred_Primera,0),0),"-")</f>
        <v>-</v>
      </c>
      <c r="T20" s="429" t="str">
        <f ca="1">IFERROR(VLOOKUP(T$2,Rango_Admin_DailyPred,MATCH($F20,Rango_Admin_DailyPred_Primera,0),0),"-")</f>
        <v>-</v>
      </c>
      <c r="U20" s="429" t="str">
        <f ca="1">IFERROR(VLOOKUP(U$2,Rango_Admin_DailyPred,MATCH($F20,Rango_Admin_DailyPred_Primera,0),0),"-")</f>
        <v>-</v>
      </c>
      <c r="V20" s="429" t="str">
        <f ca="1">IFERROR(VLOOKUP(V$2,Rango_Admin_DailyPred,MATCH($F20,Rango_Admin_DailyPred_Primera,0),0),"-")</f>
        <v>-</v>
      </c>
      <c r="W20" s="429" t="str">
        <f ca="1">IFERROR(VLOOKUP(W$2,Rango_Admin_DailyPred,MATCH($F20,Rango_Admin_DailyPred_Primera,0),0),"-")</f>
        <v>-</v>
      </c>
      <c r="X20" s="429" t="str">
        <f ca="1">IFERROR(VLOOKUP(X$2,Rango_Admin_DailyPred,MATCH($F20,Rango_Admin_DailyPred_Primera,0),0),"-")</f>
        <v>-</v>
      </c>
      <c r="Y20" s="429" t="str">
        <f ca="1">IFERROR(VLOOKUP(Y$2,Rango_Admin_DailyPred,MATCH($F20,Rango_Admin_DailyPred_Primera,0),0),"-")</f>
        <v>-</v>
      </c>
      <c r="Z20" s="429" t="str">
        <f ca="1">IFERROR(VLOOKUP(Z$2,Rango_Admin_DailyPred,MATCH($F20,Rango_Admin_DailyPred_Primera,0),0),"-")</f>
        <v>-</v>
      </c>
      <c r="AA20" s="429" t="str">
        <f ca="1">IFERROR(VLOOKUP(AA$2,Rango_Admin_DailyPred,MATCH($F20,Rango_Admin_DailyPred_Primera,0),0),"-")</f>
        <v>-</v>
      </c>
      <c r="AB20" s="429" t="str">
        <f ca="1">IFERROR(VLOOKUP(AB$2,Rango_Admin_DailyPred,MATCH($F20,Rango_Admin_DailyPred_Primera,0),0),"-")</f>
        <v>-</v>
      </c>
      <c r="AC20" s="429" t="str">
        <f ca="1">IFERROR(VLOOKUP(AC$2,Rango_Admin_DailyPred,MATCH($F20,Rango_Admin_DailyPred_Primera,0),0),"-")</f>
        <v>-</v>
      </c>
      <c r="AD20" s="429" t="str">
        <f ca="1">IFERROR(VLOOKUP(AD$2,Rango_Admin_DailyPred,MATCH($F20,Rango_Admin_DailyPred_Primera,0),0),"-")</f>
        <v>-</v>
      </c>
      <c r="AE20" s="429" t="str">
        <f ca="1">IFERROR(VLOOKUP(AE$2,Rango_Admin_DailyPred,MATCH($F20,Rango_Admin_DailyPred_Primera,0),0),"-")</f>
        <v>-</v>
      </c>
      <c r="AF20" s="429" t="str">
        <f ca="1">IFERROR(VLOOKUP(AF$2,Rango_Admin_DailyPred,MATCH($F20,Rango_Admin_DailyPred_Primera,0),0),"-")</f>
        <v>-</v>
      </c>
      <c r="AG20" s="429" t="str">
        <f ca="1">IFERROR(VLOOKUP(AG$2,Rango_Admin_DailyPred,MATCH($F20,Rango_Admin_DailyPred_Primera,0),0),"-")</f>
        <v>-</v>
      </c>
      <c r="AH20" s="429" t="str">
        <f ca="1">IFERROR(VLOOKUP(AH$2,Rango_Admin_DailyPred,MATCH($F20,Rango_Admin_DailyPred_Primera,0),0),"-")</f>
        <v>-</v>
      </c>
      <c r="AI20" s="429" t="str">
        <f ca="1">IFERROR(VLOOKUP(AI$2,Rango_Admin_DailyPred,MATCH($F20,Rango_Admin_DailyPred_Primera,0),0),"-")</f>
        <v>-</v>
      </c>
      <c r="AJ20" s="429" t="str">
        <f ca="1">IFERROR(VLOOKUP(AJ$2,Rango_Admin_DailyPred,MATCH($F20,Rango_Admin_DailyPred_Primera,0),0),"-")</f>
        <v>-</v>
      </c>
      <c r="AK20" s="429" t="str">
        <f ca="1">IFERROR(VLOOKUP(AK$2,Rango_Admin_DailyPred,MATCH($F20,Rango_Admin_DailyPred_Primera,0),0),"-")</f>
        <v>-</v>
      </c>
      <c r="AL20" s="429" t="str">
        <f ca="1">IFERROR(VLOOKUP(AL$2,Rango_Admin_DailyPred,MATCH($F20,Rango_Admin_DailyPred_Primera,0),0),"-")</f>
        <v>-</v>
      </c>
      <c r="AM20" s="297"/>
      <c r="AN20" s="297"/>
      <c r="AO20" s="297"/>
    </row>
    <row r="21" spans="1:41">
      <c r="A21" s="8" t="str" cm="1">
        <f t="array" aca="1" ref="A21" ca="1">IFERROR(INDEX(ADMIN!$K$6:$K$258,SMALL(IF(ADMIN!$G$6:$G$258=$J$1,ROW(ADMIN!$G$6:$G$258)-ROW(ADMIN!$G$6)+1),ROWS($A$1:A18))),"")</f>
        <v/>
      </c>
      <c r="B21" s="8" t="str">
        <f t="shared" ca="1" si="0"/>
        <v xml:space="preserve">
</v>
      </c>
      <c r="C21" s="8" t="str" cm="1">
        <f t="array" aca="1" ref="C21" ca="1">IFERROR(IF(INDEX(ADMIN!$M$6:$M$258,SMALL(IF(ADMIN!$G$6:$G$258=$J$1,ROW(ADMIN!$G$6:$G$258)-ROW(ADMIN!$G$6)+1),ROWS($A$1:A18)))="-", "", " ("&amp;INDEX(ADMIN!$M$6:$M$258,SMALL(IF(ADMIN!$G$6:$G$258=$J$1,ROW(ADMIN!$G$6:$G$258)-ROW(ADMIN!$G$6)+1),ROWS($A$1:A18)))&amp;")"),"")</f>
        <v/>
      </c>
      <c r="D21" s="8" t="str" cm="1">
        <f t="array" aca="1" ref="D21" ca="1">IFERROR(IF($J$1&gt;=20,INDEX(ADMIN!$C$6:$C$258,SMALL(IF(ADMIN!$G$6:$G$258=$J$1,ROW(ADMIN!$G$6:$G$258)-ROW(ADMIN!$G$6)+1),ROWS($D$1:D18))),""),"")</f>
        <v/>
      </c>
      <c r="E21" s="19">
        <f t="shared" si="1"/>
        <v>60</v>
      </c>
      <c r="F21" s="448" t="str" cm="1">
        <f t="array" ref="F21">IFERROR(INDEX(Rango_Admin_DailyPred_Primera,1,E21),"-")</f>
        <v>MURO 204</v>
      </c>
      <c r="G21" s="429" t="str">
        <f ca="1">IFERROR(VLOOKUP(G$2,Rango_Admin_DailyPred,MATCH($F21,Rango_Admin_DailyPred_Primera,0),0),"-")</f>
        <v>1|2-0</v>
      </c>
      <c r="H21" s="429" t="str">
        <f ca="1">IFERROR(VLOOKUP(H$2,Rango_Admin_DailyPred,MATCH($F21,Rango_Admin_DailyPred_Primera,0),0),"-")</f>
        <v>-</v>
      </c>
      <c r="I21" s="429" t="str">
        <f ca="1">IFERROR(VLOOKUP(I$2,Rango_Admin_DailyPred,MATCH($F21,Rango_Admin_DailyPred_Primera,0),0),"-")</f>
        <v>-</v>
      </c>
      <c r="J21" s="429" t="str">
        <f ca="1">IFERROR(VLOOKUP(J$2,Rango_Admin_DailyPred,MATCH($F21,Rango_Admin_DailyPred_Primera,0),0),"-")</f>
        <v>-</v>
      </c>
      <c r="K21" s="429" t="str">
        <f ca="1">IFERROR(VLOOKUP(K$2,Rango_Admin_DailyPred,MATCH($F21,Rango_Admin_DailyPred_Primera,0),0),"-")</f>
        <v>-</v>
      </c>
      <c r="L21" s="429" t="str">
        <f ca="1">IFERROR(VLOOKUP(L$2,Rango_Admin_DailyPred,MATCH($F21,Rango_Admin_DailyPred_Primera,0),0),"-")</f>
        <v>-</v>
      </c>
      <c r="M21" s="429" t="str">
        <f ca="1">IFERROR(VLOOKUP(M$2,Rango_Admin_DailyPred,MATCH($F21,Rango_Admin_DailyPred_Primera,0),0),"-")</f>
        <v>-</v>
      </c>
      <c r="N21" s="429" t="str">
        <f ca="1">IFERROR(VLOOKUP(N$2,Rango_Admin_DailyPred,MATCH($F21,Rango_Admin_DailyPred_Primera,0),0),"-")</f>
        <v>-</v>
      </c>
      <c r="O21" s="429" t="str">
        <f ca="1">IFERROR(VLOOKUP(O$2,Rango_Admin_DailyPred,MATCH($F21,Rango_Admin_DailyPred_Primera,0),0),"-")</f>
        <v>-</v>
      </c>
      <c r="P21" s="429" t="str">
        <f ca="1">IFERROR(VLOOKUP(P$2,Rango_Admin_DailyPred,MATCH($F21,Rango_Admin_DailyPred_Primera,0),0),"-")</f>
        <v>-</v>
      </c>
      <c r="Q21" s="429" t="str">
        <f ca="1">IFERROR(VLOOKUP(Q$2,Rango_Admin_DailyPred,MATCH($F21,Rango_Admin_DailyPred_Primera,0),0),"-")</f>
        <v>-</v>
      </c>
      <c r="R21" s="429" t="str">
        <f ca="1">IFERROR(VLOOKUP(R$2,Rango_Admin_DailyPred,MATCH($F21,Rango_Admin_DailyPred_Primera,0),0),"-")</f>
        <v>-</v>
      </c>
      <c r="S21" s="429" t="str">
        <f ca="1">IFERROR(VLOOKUP(S$2,Rango_Admin_DailyPred,MATCH($F21,Rango_Admin_DailyPred_Primera,0),0),"-")</f>
        <v>-</v>
      </c>
      <c r="T21" s="429" t="str">
        <f ca="1">IFERROR(VLOOKUP(T$2,Rango_Admin_DailyPred,MATCH($F21,Rango_Admin_DailyPred_Primera,0),0),"-")</f>
        <v>-</v>
      </c>
      <c r="U21" s="429" t="str">
        <f ca="1">IFERROR(VLOOKUP(U$2,Rango_Admin_DailyPred,MATCH($F21,Rango_Admin_DailyPred_Primera,0),0),"-")</f>
        <v>-</v>
      </c>
      <c r="V21" s="429" t="str">
        <f ca="1">IFERROR(VLOOKUP(V$2,Rango_Admin_DailyPred,MATCH($F21,Rango_Admin_DailyPred_Primera,0),0),"-")</f>
        <v>-</v>
      </c>
      <c r="W21" s="429" t="str">
        <f ca="1">IFERROR(VLOOKUP(W$2,Rango_Admin_DailyPred,MATCH($F21,Rango_Admin_DailyPred_Primera,0),0),"-")</f>
        <v>-</v>
      </c>
      <c r="X21" s="429" t="str">
        <f ca="1">IFERROR(VLOOKUP(X$2,Rango_Admin_DailyPred,MATCH($F21,Rango_Admin_DailyPred_Primera,0),0),"-")</f>
        <v>-</v>
      </c>
      <c r="Y21" s="429" t="str">
        <f ca="1">IFERROR(VLOOKUP(Y$2,Rango_Admin_DailyPred,MATCH($F21,Rango_Admin_DailyPred_Primera,0),0),"-")</f>
        <v>-</v>
      </c>
      <c r="Z21" s="429" t="str">
        <f ca="1">IFERROR(VLOOKUP(Z$2,Rango_Admin_DailyPred,MATCH($F21,Rango_Admin_DailyPred_Primera,0),0),"-")</f>
        <v>-</v>
      </c>
      <c r="AA21" s="429" t="str">
        <f ca="1">IFERROR(VLOOKUP(AA$2,Rango_Admin_DailyPred,MATCH($F21,Rango_Admin_DailyPred_Primera,0),0),"-")</f>
        <v>-</v>
      </c>
      <c r="AB21" s="429" t="str">
        <f ca="1">IFERROR(VLOOKUP(AB$2,Rango_Admin_DailyPred,MATCH($F21,Rango_Admin_DailyPred_Primera,0),0),"-")</f>
        <v>-</v>
      </c>
      <c r="AC21" s="429" t="str">
        <f ca="1">IFERROR(VLOOKUP(AC$2,Rango_Admin_DailyPred,MATCH($F21,Rango_Admin_DailyPred_Primera,0),0),"-")</f>
        <v>-</v>
      </c>
      <c r="AD21" s="429" t="str">
        <f ca="1">IFERROR(VLOOKUP(AD$2,Rango_Admin_DailyPred,MATCH($F21,Rango_Admin_DailyPred_Primera,0),0),"-")</f>
        <v>-</v>
      </c>
      <c r="AE21" s="429" t="str">
        <f ca="1">IFERROR(VLOOKUP(AE$2,Rango_Admin_DailyPred,MATCH($F21,Rango_Admin_DailyPred_Primera,0),0),"-")</f>
        <v>-</v>
      </c>
      <c r="AF21" s="429" t="str">
        <f ca="1">IFERROR(VLOOKUP(AF$2,Rango_Admin_DailyPred,MATCH($F21,Rango_Admin_DailyPred_Primera,0),0),"-")</f>
        <v>-</v>
      </c>
      <c r="AG21" s="429" t="str">
        <f ca="1">IFERROR(VLOOKUP(AG$2,Rango_Admin_DailyPred,MATCH($F21,Rango_Admin_DailyPred_Primera,0),0),"-")</f>
        <v>-</v>
      </c>
      <c r="AH21" s="429" t="str">
        <f ca="1">IFERROR(VLOOKUP(AH$2,Rango_Admin_DailyPred,MATCH($F21,Rango_Admin_DailyPred_Primera,0),0),"-")</f>
        <v>-</v>
      </c>
      <c r="AI21" s="429" t="str">
        <f ca="1">IFERROR(VLOOKUP(AI$2,Rango_Admin_DailyPred,MATCH($F21,Rango_Admin_DailyPred_Primera,0),0),"-")</f>
        <v>-</v>
      </c>
      <c r="AJ21" s="429" t="str">
        <f ca="1">IFERROR(VLOOKUP(AJ$2,Rango_Admin_DailyPred,MATCH($F21,Rango_Admin_DailyPred_Primera,0),0),"-")</f>
        <v>-</v>
      </c>
      <c r="AK21" s="429" t="str">
        <f ca="1">IFERROR(VLOOKUP(AK$2,Rango_Admin_DailyPred,MATCH($F21,Rango_Admin_DailyPred_Primera,0),0),"-")</f>
        <v>-</v>
      </c>
      <c r="AL21" s="429" t="str">
        <f ca="1">IFERROR(VLOOKUP(AL$2,Rango_Admin_DailyPred,MATCH($F21,Rango_Admin_DailyPred_Primera,0),0),"-")</f>
        <v>-</v>
      </c>
      <c r="AM21" s="297"/>
      <c r="AN21" s="297"/>
      <c r="AO21" s="297"/>
    </row>
    <row r="22" spans="1:41">
      <c r="A22" s="8" t="str" cm="1">
        <f t="array" aca="1" ref="A22" ca="1">IFERROR(INDEX(ADMIN!$K$6:$K$258,SMALL(IF(ADMIN!$G$6:$G$258=$J$1,ROW(ADMIN!$G$6:$G$258)-ROW(ADMIN!$G$6)+1),ROWS($A$1:A19))),"")</f>
        <v/>
      </c>
      <c r="B22" s="8" t="str">
        <f t="shared" ca="1" si="0"/>
        <v xml:space="preserve">
</v>
      </c>
      <c r="C22" s="8" t="str" cm="1">
        <f t="array" aca="1" ref="C22" ca="1">IFERROR(IF(INDEX(ADMIN!$M$6:$M$258,SMALL(IF(ADMIN!$G$6:$G$258=$J$1,ROW(ADMIN!$G$6:$G$258)-ROW(ADMIN!$G$6)+1),ROWS($A$1:A19)))="-", "", " ("&amp;INDEX(ADMIN!$M$6:$M$258,SMALL(IF(ADMIN!$G$6:$G$258=$J$1,ROW(ADMIN!$G$6:$G$258)-ROW(ADMIN!$G$6)+1),ROWS($A$1:A19)))&amp;")"),"")</f>
        <v/>
      </c>
      <c r="D22" s="8" t="str" cm="1">
        <f t="array" aca="1" ref="D22" ca="1">IFERROR(IF($J$1&gt;=20,INDEX(ADMIN!$C$6:$C$258,SMALL(IF(ADMIN!$G$6:$G$258=$J$1,ROW(ADMIN!$G$6:$G$258)-ROW(ADMIN!$G$6)+1),ROWS($D$1:D19))),""),"")</f>
        <v/>
      </c>
      <c r="E22" s="19">
        <f t="shared" si="1"/>
        <v>63</v>
      </c>
      <c r="F22" s="448" t="str" cm="1">
        <f t="array" ref="F22">IFERROR(INDEX(Rango_Admin_DailyPred_Primera,1,E22),"-")</f>
        <v>Hulk Rexach</v>
      </c>
      <c r="G22" s="429" t="str">
        <f ca="1">IFERROR(VLOOKUP(G$2,Rango_Admin_DailyPred,MATCH($F22,Rango_Admin_DailyPred_Primera,0),0),"-")</f>
        <v>1|3-0</v>
      </c>
      <c r="H22" s="429" t="str">
        <f ca="1">IFERROR(VLOOKUP(H$2,Rango_Admin_DailyPred,MATCH($F22,Rango_Admin_DailyPred_Primera,0),0),"-")</f>
        <v>-</v>
      </c>
      <c r="I22" s="429" t="str">
        <f ca="1">IFERROR(VLOOKUP(I$2,Rango_Admin_DailyPred,MATCH($F22,Rango_Admin_DailyPred_Primera,0),0),"-")</f>
        <v>-</v>
      </c>
      <c r="J22" s="429" t="str">
        <f ca="1">IFERROR(VLOOKUP(J$2,Rango_Admin_DailyPred,MATCH($F22,Rango_Admin_DailyPred_Primera,0),0),"-")</f>
        <v>-</v>
      </c>
      <c r="K22" s="429" t="str">
        <f ca="1">IFERROR(VLOOKUP(K$2,Rango_Admin_DailyPred,MATCH($F22,Rango_Admin_DailyPred_Primera,0),0),"-")</f>
        <v>-</v>
      </c>
      <c r="L22" s="429" t="str">
        <f ca="1">IFERROR(VLOOKUP(L$2,Rango_Admin_DailyPred,MATCH($F22,Rango_Admin_DailyPred_Primera,0),0),"-")</f>
        <v>-</v>
      </c>
      <c r="M22" s="429" t="str">
        <f ca="1">IFERROR(VLOOKUP(M$2,Rango_Admin_DailyPred,MATCH($F22,Rango_Admin_DailyPred_Primera,0),0),"-")</f>
        <v>-</v>
      </c>
      <c r="N22" s="429" t="str">
        <f ca="1">IFERROR(VLOOKUP(N$2,Rango_Admin_DailyPred,MATCH($F22,Rango_Admin_DailyPred_Primera,0),0),"-")</f>
        <v>-</v>
      </c>
      <c r="O22" s="429" t="str">
        <f ca="1">IFERROR(VLOOKUP(O$2,Rango_Admin_DailyPred,MATCH($F22,Rango_Admin_DailyPred_Primera,0),0),"-")</f>
        <v>-</v>
      </c>
      <c r="P22" s="429" t="str">
        <f ca="1">IFERROR(VLOOKUP(P$2,Rango_Admin_DailyPred,MATCH($F22,Rango_Admin_DailyPred_Primera,0),0),"-")</f>
        <v>-</v>
      </c>
      <c r="Q22" s="429" t="str">
        <f ca="1">IFERROR(VLOOKUP(Q$2,Rango_Admin_DailyPred,MATCH($F22,Rango_Admin_DailyPred_Primera,0),0),"-")</f>
        <v>-</v>
      </c>
      <c r="R22" s="429" t="str">
        <f ca="1">IFERROR(VLOOKUP(R$2,Rango_Admin_DailyPred,MATCH($F22,Rango_Admin_DailyPred_Primera,0),0),"-")</f>
        <v>-</v>
      </c>
      <c r="S22" s="429" t="str">
        <f ca="1">IFERROR(VLOOKUP(S$2,Rango_Admin_DailyPred,MATCH($F22,Rango_Admin_DailyPred_Primera,0),0),"-")</f>
        <v>-</v>
      </c>
      <c r="T22" s="429" t="str">
        <f ca="1">IFERROR(VLOOKUP(T$2,Rango_Admin_DailyPred,MATCH($F22,Rango_Admin_DailyPred_Primera,0),0),"-")</f>
        <v>-</v>
      </c>
      <c r="U22" s="429" t="str">
        <f ca="1">IFERROR(VLOOKUP(U$2,Rango_Admin_DailyPred,MATCH($F22,Rango_Admin_DailyPred_Primera,0),0),"-")</f>
        <v>-</v>
      </c>
      <c r="V22" s="429" t="str">
        <f ca="1">IFERROR(VLOOKUP(V$2,Rango_Admin_DailyPred,MATCH($F22,Rango_Admin_DailyPred_Primera,0),0),"-")</f>
        <v>-</v>
      </c>
      <c r="W22" s="429" t="str">
        <f ca="1">IFERROR(VLOOKUP(W$2,Rango_Admin_DailyPred,MATCH($F22,Rango_Admin_DailyPred_Primera,0),0),"-")</f>
        <v>-</v>
      </c>
      <c r="X22" s="429" t="str">
        <f ca="1">IFERROR(VLOOKUP(X$2,Rango_Admin_DailyPred,MATCH($F22,Rango_Admin_DailyPred_Primera,0),0),"-")</f>
        <v>-</v>
      </c>
      <c r="Y22" s="429" t="str">
        <f ca="1">IFERROR(VLOOKUP(Y$2,Rango_Admin_DailyPred,MATCH($F22,Rango_Admin_DailyPred_Primera,0),0),"-")</f>
        <v>-</v>
      </c>
      <c r="Z22" s="429" t="str">
        <f ca="1">IFERROR(VLOOKUP(Z$2,Rango_Admin_DailyPred,MATCH($F22,Rango_Admin_DailyPred_Primera,0),0),"-")</f>
        <v>-</v>
      </c>
      <c r="AA22" s="429" t="str">
        <f ca="1">IFERROR(VLOOKUP(AA$2,Rango_Admin_DailyPred,MATCH($F22,Rango_Admin_DailyPred_Primera,0),0),"-")</f>
        <v>-</v>
      </c>
      <c r="AB22" s="429" t="str">
        <f ca="1">IFERROR(VLOOKUP(AB$2,Rango_Admin_DailyPred,MATCH($F22,Rango_Admin_DailyPred_Primera,0),0),"-")</f>
        <v>-</v>
      </c>
      <c r="AC22" s="429" t="str">
        <f ca="1">IFERROR(VLOOKUP(AC$2,Rango_Admin_DailyPred,MATCH($F22,Rango_Admin_DailyPred_Primera,0),0),"-")</f>
        <v>-</v>
      </c>
      <c r="AD22" s="429" t="str">
        <f ca="1">IFERROR(VLOOKUP(AD$2,Rango_Admin_DailyPred,MATCH($F22,Rango_Admin_DailyPred_Primera,0),0),"-")</f>
        <v>-</v>
      </c>
      <c r="AE22" s="429" t="str">
        <f ca="1">IFERROR(VLOOKUP(AE$2,Rango_Admin_DailyPred,MATCH($F22,Rango_Admin_DailyPred_Primera,0),0),"-")</f>
        <v>-</v>
      </c>
      <c r="AF22" s="429" t="str">
        <f ca="1">IFERROR(VLOOKUP(AF$2,Rango_Admin_DailyPred,MATCH($F22,Rango_Admin_DailyPred_Primera,0),0),"-")</f>
        <v>-</v>
      </c>
      <c r="AG22" s="429" t="str">
        <f ca="1">IFERROR(VLOOKUP(AG$2,Rango_Admin_DailyPred,MATCH($F22,Rango_Admin_DailyPred_Primera,0),0),"-")</f>
        <v>-</v>
      </c>
      <c r="AH22" s="429" t="str">
        <f ca="1">IFERROR(VLOOKUP(AH$2,Rango_Admin_DailyPred,MATCH($F22,Rango_Admin_DailyPred_Primera,0),0),"-")</f>
        <v>-</v>
      </c>
      <c r="AI22" s="429" t="str">
        <f ca="1">IFERROR(VLOOKUP(AI$2,Rango_Admin_DailyPred,MATCH($F22,Rango_Admin_DailyPred_Primera,0),0),"-")</f>
        <v>-</v>
      </c>
      <c r="AJ22" s="429" t="str">
        <f ca="1">IFERROR(VLOOKUP(AJ$2,Rango_Admin_DailyPred,MATCH($F22,Rango_Admin_DailyPred_Primera,0),0),"-")</f>
        <v>-</v>
      </c>
      <c r="AK22" s="429" t="str">
        <f ca="1">IFERROR(VLOOKUP(AK$2,Rango_Admin_DailyPred,MATCH($F22,Rango_Admin_DailyPred_Primera,0),0),"-")</f>
        <v>-</v>
      </c>
      <c r="AL22" s="429" t="str">
        <f ca="1">IFERROR(VLOOKUP(AL$2,Rango_Admin_DailyPred,MATCH($F22,Rango_Admin_DailyPred_Primera,0),0),"-")</f>
        <v>-</v>
      </c>
      <c r="AM22" s="297"/>
      <c r="AN22" s="297"/>
      <c r="AO22" s="297"/>
    </row>
    <row r="23" spans="1:41">
      <c r="A23" s="8" t="str" cm="1">
        <f t="array" aca="1" ref="A23" ca="1">IFERROR(INDEX(ADMIN!$K$6:$K$258,SMALL(IF(ADMIN!$G$6:$G$258=$J$1,ROW(ADMIN!$G$6:$G$258)-ROW(ADMIN!$G$6)+1),ROWS($A$1:A20))),"")</f>
        <v/>
      </c>
      <c r="B23" s="8" t="str">
        <f t="shared" ca="1" si="0"/>
        <v xml:space="preserve">
</v>
      </c>
      <c r="C23" s="8" t="str" cm="1">
        <f t="array" aca="1" ref="C23" ca="1">IFERROR(IF(INDEX(ADMIN!$M$6:$M$258,SMALL(IF(ADMIN!$G$6:$G$258=$J$1,ROW(ADMIN!$G$6:$G$258)-ROW(ADMIN!$G$6)+1),ROWS($A$1:A20)))="-", "", " ("&amp;INDEX(ADMIN!$M$6:$M$258,SMALL(IF(ADMIN!$G$6:$G$258=$J$1,ROW(ADMIN!$G$6:$G$258)-ROW(ADMIN!$G$6)+1),ROWS($A$1:A20)))&amp;")"),"")</f>
        <v/>
      </c>
      <c r="D23" s="8" t="str" cm="1">
        <f t="array" aca="1" ref="D23" ca="1">IFERROR(IF($J$1&gt;=20,INDEX(ADMIN!$C$6:$C$258,SMALL(IF(ADMIN!$G$6:$G$258=$J$1,ROW(ADMIN!$G$6:$G$258)-ROW(ADMIN!$G$6)+1),ROWS($D$1:D20))),""),"")</f>
        <v/>
      </c>
      <c r="E23" s="19">
        <f t="shared" si="1"/>
        <v>66</v>
      </c>
      <c r="F23" s="448" t="str" cm="1">
        <f t="array" ref="F23">IFERROR(INDEX(Rango_Admin_DailyPred_Primera,1,E23),"-")</f>
        <v>Miguel San Martín</v>
      </c>
      <c r="G23" s="429" t="str">
        <f ca="1">IFERROR(VLOOKUP(G$2,Rango_Admin_DailyPred,MATCH($F23,Rango_Admin_DailyPred_Primera,0),0),"-")</f>
        <v>1|2-0</v>
      </c>
      <c r="H23" s="429" t="str">
        <f ca="1">IFERROR(VLOOKUP(H$2,Rango_Admin_DailyPred,MATCH($F23,Rango_Admin_DailyPred_Primera,0),0),"-")</f>
        <v>-</v>
      </c>
      <c r="I23" s="429" t="str">
        <f ca="1">IFERROR(VLOOKUP(I$2,Rango_Admin_DailyPred,MATCH($F23,Rango_Admin_DailyPred_Primera,0),0),"-")</f>
        <v>-</v>
      </c>
      <c r="J23" s="429" t="str">
        <f ca="1">IFERROR(VLOOKUP(J$2,Rango_Admin_DailyPred,MATCH($F23,Rango_Admin_DailyPred_Primera,0),0),"-")</f>
        <v>-</v>
      </c>
      <c r="K23" s="429" t="str">
        <f ca="1">IFERROR(VLOOKUP(K$2,Rango_Admin_DailyPred,MATCH($F23,Rango_Admin_DailyPred_Primera,0),0),"-")</f>
        <v>-</v>
      </c>
      <c r="L23" s="429" t="str">
        <f ca="1">IFERROR(VLOOKUP(L$2,Rango_Admin_DailyPred,MATCH($F23,Rango_Admin_DailyPred_Primera,0),0),"-")</f>
        <v>-</v>
      </c>
      <c r="M23" s="429" t="str">
        <f ca="1">IFERROR(VLOOKUP(M$2,Rango_Admin_DailyPred,MATCH($F23,Rango_Admin_DailyPred_Primera,0),0),"-")</f>
        <v>-</v>
      </c>
      <c r="N23" s="429" t="str">
        <f ca="1">IFERROR(VLOOKUP(N$2,Rango_Admin_DailyPred,MATCH($F23,Rango_Admin_DailyPred_Primera,0),0),"-")</f>
        <v>-</v>
      </c>
      <c r="O23" s="429" t="str">
        <f ca="1">IFERROR(VLOOKUP(O$2,Rango_Admin_DailyPred,MATCH($F23,Rango_Admin_DailyPred_Primera,0),0),"-")</f>
        <v>-</v>
      </c>
      <c r="P23" s="429" t="str">
        <f ca="1">IFERROR(VLOOKUP(P$2,Rango_Admin_DailyPred,MATCH($F23,Rango_Admin_DailyPred_Primera,0),0),"-")</f>
        <v>-</v>
      </c>
      <c r="Q23" s="429" t="str">
        <f ca="1">IFERROR(VLOOKUP(Q$2,Rango_Admin_DailyPred,MATCH($F23,Rango_Admin_DailyPred_Primera,0),0),"-")</f>
        <v>-</v>
      </c>
      <c r="R23" s="429" t="str">
        <f ca="1">IFERROR(VLOOKUP(R$2,Rango_Admin_DailyPred,MATCH($F23,Rango_Admin_DailyPred_Primera,0),0),"-")</f>
        <v>-</v>
      </c>
      <c r="S23" s="429" t="str">
        <f ca="1">IFERROR(VLOOKUP(S$2,Rango_Admin_DailyPred,MATCH($F23,Rango_Admin_DailyPred_Primera,0),0),"-")</f>
        <v>-</v>
      </c>
      <c r="T23" s="429" t="str">
        <f ca="1">IFERROR(VLOOKUP(T$2,Rango_Admin_DailyPred,MATCH($F23,Rango_Admin_DailyPred_Primera,0),0),"-")</f>
        <v>-</v>
      </c>
      <c r="U23" s="429" t="str">
        <f ca="1">IFERROR(VLOOKUP(U$2,Rango_Admin_DailyPred,MATCH($F23,Rango_Admin_DailyPred_Primera,0),0),"-")</f>
        <v>-</v>
      </c>
      <c r="V23" s="429" t="str">
        <f ca="1">IFERROR(VLOOKUP(V$2,Rango_Admin_DailyPred,MATCH($F23,Rango_Admin_DailyPred_Primera,0),0),"-")</f>
        <v>-</v>
      </c>
      <c r="W23" s="429" t="str">
        <f ca="1">IFERROR(VLOOKUP(W$2,Rango_Admin_DailyPred,MATCH($F23,Rango_Admin_DailyPred_Primera,0),0),"-")</f>
        <v>-</v>
      </c>
      <c r="X23" s="429" t="str">
        <f ca="1">IFERROR(VLOOKUP(X$2,Rango_Admin_DailyPred,MATCH($F23,Rango_Admin_DailyPred_Primera,0),0),"-")</f>
        <v>-</v>
      </c>
      <c r="Y23" s="429" t="str">
        <f ca="1">IFERROR(VLOOKUP(Y$2,Rango_Admin_DailyPred,MATCH($F23,Rango_Admin_DailyPred_Primera,0),0),"-")</f>
        <v>-</v>
      </c>
      <c r="Z23" s="429" t="str">
        <f ca="1">IFERROR(VLOOKUP(Z$2,Rango_Admin_DailyPred,MATCH($F23,Rango_Admin_DailyPred_Primera,0),0),"-")</f>
        <v>-</v>
      </c>
      <c r="AA23" s="429" t="str">
        <f ca="1">IFERROR(VLOOKUP(AA$2,Rango_Admin_DailyPred,MATCH($F23,Rango_Admin_DailyPred_Primera,0),0),"-")</f>
        <v>-</v>
      </c>
      <c r="AB23" s="429" t="str">
        <f ca="1">IFERROR(VLOOKUP(AB$2,Rango_Admin_DailyPred,MATCH($F23,Rango_Admin_DailyPred_Primera,0),0),"-")</f>
        <v>-</v>
      </c>
      <c r="AC23" s="429" t="str">
        <f ca="1">IFERROR(VLOOKUP(AC$2,Rango_Admin_DailyPred,MATCH($F23,Rango_Admin_DailyPred_Primera,0),0),"-")</f>
        <v>-</v>
      </c>
      <c r="AD23" s="429" t="str">
        <f ca="1">IFERROR(VLOOKUP(AD$2,Rango_Admin_DailyPred,MATCH($F23,Rango_Admin_DailyPred_Primera,0),0),"-")</f>
        <v>-</v>
      </c>
      <c r="AE23" s="429" t="str">
        <f ca="1">IFERROR(VLOOKUP(AE$2,Rango_Admin_DailyPred,MATCH($F23,Rango_Admin_DailyPred_Primera,0),0),"-")</f>
        <v>-</v>
      </c>
      <c r="AF23" s="429" t="str">
        <f ca="1">IFERROR(VLOOKUP(AF$2,Rango_Admin_DailyPred,MATCH($F23,Rango_Admin_DailyPred_Primera,0),0),"-")</f>
        <v>-</v>
      </c>
      <c r="AG23" s="429" t="str">
        <f ca="1">IFERROR(VLOOKUP(AG$2,Rango_Admin_DailyPred,MATCH($F23,Rango_Admin_DailyPred_Primera,0),0),"-")</f>
        <v>-</v>
      </c>
      <c r="AH23" s="429" t="str">
        <f ca="1">IFERROR(VLOOKUP(AH$2,Rango_Admin_DailyPred,MATCH($F23,Rango_Admin_DailyPred_Primera,0),0),"-")</f>
        <v>-</v>
      </c>
      <c r="AI23" s="429" t="str">
        <f ca="1">IFERROR(VLOOKUP(AI$2,Rango_Admin_DailyPred,MATCH($F23,Rango_Admin_DailyPred_Primera,0),0),"-")</f>
        <v>-</v>
      </c>
      <c r="AJ23" s="429" t="str">
        <f ca="1">IFERROR(VLOOKUP(AJ$2,Rango_Admin_DailyPred,MATCH($F23,Rango_Admin_DailyPred_Primera,0),0),"-")</f>
        <v>-</v>
      </c>
      <c r="AK23" s="429" t="str">
        <f ca="1">IFERROR(VLOOKUP(AK$2,Rango_Admin_DailyPred,MATCH($F23,Rango_Admin_DailyPred_Primera,0),0),"-")</f>
        <v>-</v>
      </c>
      <c r="AL23" s="429" t="str">
        <f ca="1">IFERROR(VLOOKUP(AL$2,Rango_Admin_DailyPred,MATCH($F23,Rango_Admin_DailyPred_Primera,0),0),"-")</f>
        <v>-</v>
      </c>
      <c r="AM23" s="297"/>
      <c r="AN23" s="297"/>
      <c r="AO23" s="297"/>
    </row>
    <row r="24" spans="1:41">
      <c r="A24" s="8" t="str" cm="1">
        <f t="array" aca="1" ref="A24" ca="1">IFERROR(INDEX(ADMIN!$K$6:$K$258,SMALL(IF(ADMIN!$G$6:$G$258=$J$1,ROW(ADMIN!$G$6:$G$258)-ROW(ADMIN!$G$6)+1),ROWS($A$1:A21))),"")</f>
        <v/>
      </c>
      <c r="B24" s="8" t="str">
        <f t="shared" ca="1" si="0"/>
        <v xml:space="preserve">
</v>
      </c>
      <c r="C24" s="8" t="str" cm="1">
        <f t="array" aca="1" ref="C24" ca="1">IFERROR(IF(INDEX(ADMIN!$M$6:$M$258,SMALL(IF(ADMIN!$G$6:$G$258=$J$1,ROW(ADMIN!$G$6:$G$258)-ROW(ADMIN!$G$6)+1),ROWS($A$1:A21)))="-", "", " ("&amp;INDEX(ADMIN!$M$6:$M$258,SMALL(IF(ADMIN!$G$6:$G$258=$J$1,ROW(ADMIN!$G$6:$G$258)-ROW(ADMIN!$G$6)+1),ROWS($A$1:A21)))&amp;")"),"")</f>
        <v/>
      </c>
      <c r="D24" s="8" t="str" cm="1">
        <f t="array" aca="1" ref="D24" ca="1">IFERROR(IF($J$1&gt;=20,INDEX(ADMIN!$C$6:$C$258,SMALL(IF(ADMIN!$G$6:$G$258=$J$1,ROW(ADMIN!$G$6:$G$258)-ROW(ADMIN!$G$6)+1),ROWS($D$1:D21))),""),"")</f>
        <v/>
      </c>
      <c r="E24" s="19">
        <f t="shared" si="1"/>
        <v>69</v>
      </c>
      <c r="F24" s="448" t="str" cm="1">
        <f t="array" ref="F24">IFERROR(INDEX(Rango_Admin_DailyPred_Primera,1,E24),"-")</f>
        <v>Pablo C</v>
      </c>
      <c r="G24" s="429" t="str">
        <f ca="1">IFERROR(VLOOKUP(G$2,Rango_Admin_DailyPred,MATCH($F24,Rango_Admin_DailyPred_Primera,0),0),"-")</f>
        <v>X|1-1</v>
      </c>
      <c r="H24" s="429" t="str">
        <f ca="1">IFERROR(VLOOKUP(H$2,Rango_Admin_DailyPred,MATCH($F24,Rango_Admin_DailyPred_Primera,0),0),"-")</f>
        <v>-</v>
      </c>
      <c r="I24" s="429" t="str">
        <f ca="1">IFERROR(VLOOKUP(I$2,Rango_Admin_DailyPred,MATCH($F24,Rango_Admin_DailyPred_Primera,0),0),"-")</f>
        <v>-</v>
      </c>
      <c r="J24" s="429" t="str">
        <f ca="1">IFERROR(VLOOKUP(J$2,Rango_Admin_DailyPred,MATCH($F24,Rango_Admin_DailyPred_Primera,0),0),"-")</f>
        <v>-</v>
      </c>
      <c r="K24" s="429" t="str">
        <f ca="1">IFERROR(VLOOKUP(K$2,Rango_Admin_DailyPred,MATCH($F24,Rango_Admin_DailyPred_Primera,0),0),"-")</f>
        <v>-</v>
      </c>
      <c r="L24" s="429" t="str">
        <f ca="1">IFERROR(VLOOKUP(L$2,Rango_Admin_DailyPred,MATCH($F24,Rango_Admin_DailyPred_Primera,0),0),"-")</f>
        <v>-</v>
      </c>
      <c r="M24" s="429" t="str">
        <f ca="1">IFERROR(VLOOKUP(M$2,Rango_Admin_DailyPred,MATCH($F24,Rango_Admin_DailyPred_Primera,0),0),"-")</f>
        <v>-</v>
      </c>
      <c r="N24" s="429" t="str">
        <f ca="1">IFERROR(VLOOKUP(N$2,Rango_Admin_DailyPred,MATCH($F24,Rango_Admin_DailyPred_Primera,0),0),"-")</f>
        <v>-</v>
      </c>
      <c r="O24" s="429" t="str">
        <f ca="1">IFERROR(VLOOKUP(O$2,Rango_Admin_DailyPred,MATCH($F24,Rango_Admin_DailyPred_Primera,0),0),"-")</f>
        <v>-</v>
      </c>
      <c r="P24" s="429" t="str">
        <f ca="1">IFERROR(VLOOKUP(P$2,Rango_Admin_DailyPred,MATCH($F24,Rango_Admin_DailyPred_Primera,0),0),"-")</f>
        <v>-</v>
      </c>
      <c r="Q24" s="429" t="str">
        <f ca="1">IFERROR(VLOOKUP(Q$2,Rango_Admin_DailyPred,MATCH($F24,Rango_Admin_DailyPred_Primera,0),0),"-")</f>
        <v>-</v>
      </c>
      <c r="R24" s="429" t="str">
        <f ca="1">IFERROR(VLOOKUP(R$2,Rango_Admin_DailyPred,MATCH($F24,Rango_Admin_DailyPred_Primera,0),0),"-")</f>
        <v>-</v>
      </c>
      <c r="S24" s="429" t="str">
        <f ca="1">IFERROR(VLOOKUP(S$2,Rango_Admin_DailyPred,MATCH($F24,Rango_Admin_DailyPred_Primera,0),0),"-")</f>
        <v>-</v>
      </c>
      <c r="T24" s="429" t="str">
        <f ca="1">IFERROR(VLOOKUP(T$2,Rango_Admin_DailyPred,MATCH($F24,Rango_Admin_DailyPred_Primera,0),0),"-")</f>
        <v>-</v>
      </c>
      <c r="U24" s="429" t="str">
        <f ca="1">IFERROR(VLOOKUP(U$2,Rango_Admin_DailyPred,MATCH($F24,Rango_Admin_DailyPred_Primera,0),0),"-")</f>
        <v>-</v>
      </c>
      <c r="V24" s="429" t="str">
        <f ca="1">IFERROR(VLOOKUP(V$2,Rango_Admin_DailyPred,MATCH($F24,Rango_Admin_DailyPred_Primera,0),0),"-")</f>
        <v>-</v>
      </c>
      <c r="W24" s="429" t="str">
        <f ca="1">IFERROR(VLOOKUP(W$2,Rango_Admin_DailyPred,MATCH($F24,Rango_Admin_DailyPred_Primera,0),0),"-")</f>
        <v>-</v>
      </c>
      <c r="X24" s="429" t="str">
        <f ca="1">IFERROR(VLOOKUP(X$2,Rango_Admin_DailyPred,MATCH($F24,Rango_Admin_DailyPred_Primera,0),0),"-")</f>
        <v>-</v>
      </c>
      <c r="Y24" s="429" t="str">
        <f ca="1">IFERROR(VLOOKUP(Y$2,Rango_Admin_DailyPred,MATCH($F24,Rango_Admin_DailyPred_Primera,0),0),"-")</f>
        <v>-</v>
      </c>
      <c r="Z24" s="429" t="str">
        <f ca="1">IFERROR(VLOOKUP(Z$2,Rango_Admin_DailyPred,MATCH($F24,Rango_Admin_DailyPred_Primera,0),0),"-")</f>
        <v>-</v>
      </c>
      <c r="AA24" s="429" t="str">
        <f ca="1">IFERROR(VLOOKUP(AA$2,Rango_Admin_DailyPred,MATCH($F24,Rango_Admin_DailyPred_Primera,0),0),"-")</f>
        <v>-</v>
      </c>
      <c r="AB24" s="429" t="str">
        <f ca="1">IFERROR(VLOOKUP(AB$2,Rango_Admin_DailyPred,MATCH($F24,Rango_Admin_DailyPred_Primera,0),0),"-")</f>
        <v>-</v>
      </c>
      <c r="AC24" s="429" t="str">
        <f ca="1">IFERROR(VLOOKUP(AC$2,Rango_Admin_DailyPred,MATCH($F24,Rango_Admin_DailyPred_Primera,0),0),"-")</f>
        <v>-</v>
      </c>
      <c r="AD24" s="429" t="str">
        <f ca="1">IFERROR(VLOOKUP(AD$2,Rango_Admin_DailyPred,MATCH($F24,Rango_Admin_DailyPred_Primera,0),0),"-")</f>
        <v>-</v>
      </c>
      <c r="AE24" s="429" t="str">
        <f ca="1">IFERROR(VLOOKUP(AE$2,Rango_Admin_DailyPred,MATCH($F24,Rango_Admin_DailyPred_Primera,0),0),"-")</f>
        <v>-</v>
      </c>
      <c r="AF24" s="429" t="str">
        <f ca="1">IFERROR(VLOOKUP(AF$2,Rango_Admin_DailyPred,MATCH($F24,Rango_Admin_DailyPred_Primera,0),0),"-")</f>
        <v>-</v>
      </c>
      <c r="AG24" s="429" t="str">
        <f ca="1">IFERROR(VLOOKUP(AG$2,Rango_Admin_DailyPred,MATCH($F24,Rango_Admin_DailyPred_Primera,0),0),"-")</f>
        <v>-</v>
      </c>
      <c r="AH24" s="429" t="str">
        <f ca="1">IFERROR(VLOOKUP(AH$2,Rango_Admin_DailyPred,MATCH($F24,Rango_Admin_DailyPred_Primera,0),0),"-")</f>
        <v>-</v>
      </c>
      <c r="AI24" s="429" t="str">
        <f ca="1">IFERROR(VLOOKUP(AI$2,Rango_Admin_DailyPred,MATCH($F24,Rango_Admin_DailyPred_Primera,0),0),"-")</f>
        <v>-</v>
      </c>
      <c r="AJ24" s="429" t="str">
        <f ca="1">IFERROR(VLOOKUP(AJ$2,Rango_Admin_DailyPred,MATCH($F24,Rango_Admin_DailyPred_Primera,0),0),"-")</f>
        <v>-</v>
      </c>
      <c r="AK24" s="429" t="str">
        <f ca="1">IFERROR(VLOOKUP(AK$2,Rango_Admin_DailyPred,MATCH($F24,Rango_Admin_DailyPred_Primera,0),0),"-")</f>
        <v>-</v>
      </c>
      <c r="AL24" s="429" t="str">
        <f ca="1">IFERROR(VLOOKUP(AL$2,Rango_Admin_DailyPred,MATCH($F24,Rango_Admin_DailyPred_Primera,0),0),"-")</f>
        <v>-</v>
      </c>
      <c r="AM24" s="297"/>
      <c r="AN24" s="297"/>
      <c r="AO24" s="297"/>
    </row>
    <row r="25" spans="1:41">
      <c r="A25" s="8" t="str" cm="1">
        <f t="array" aca="1" ref="A25" ca="1">IFERROR(INDEX(ADMIN!$K$6:$K$258,SMALL(IF(ADMIN!$G$6:$G$258=$J$1,ROW(ADMIN!$G$6:$G$258)-ROW(ADMIN!$G$6)+1),ROWS($A$1:A22))),"")</f>
        <v/>
      </c>
      <c r="B25" s="8" t="str">
        <f t="shared" ca="1" si="0"/>
        <v xml:space="preserve">
</v>
      </c>
      <c r="C25" s="8" t="str" cm="1">
        <f t="array" aca="1" ref="C25" ca="1">IFERROR(IF(INDEX(ADMIN!$M$6:$M$258,SMALL(IF(ADMIN!$G$6:$G$258=$J$1,ROW(ADMIN!$G$6:$G$258)-ROW(ADMIN!$G$6)+1),ROWS($A$1:A22)))="-", "", " ("&amp;INDEX(ADMIN!$M$6:$M$258,SMALL(IF(ADMIN!$G$6:$G$258=$J$1,ROW(ADMIN!$G$6:$G$258)-ROW(ADMIN!$G$6)+1),ROWS($A$1:A22)))&amp;")"),"")</f>
        <v/>
      </c>
      <c r="D25" s="8" t="str" cm="1">
        <f t="array" aca="1" ref="D25" ca="1">IFERROR(IF($J$1&gt;=20,INDEX(ADMIN!$C$6:$C$258,SMALL(IF(ADMIN!$G$6:$G$258=$J$1,ROW(ADMIN!$G$6:$G$258)-ROW(ADMIN!$G$6)+1),ROWS($D$1:D22))),""),"")</f>
        <v/>
      </c>
      <c r="E25" s="19">
        <f t="shared" si="1"/>
        <v>72</v>
      </c>
      <c r="F25" s="448" t="str" cm="1">
        <f t="array" ref="F25">IFERROR(INDEX(Rango_Admin_DailyPred_Primera,1,E25),"-")</f>
        <v>bau</v>
      </c>
      <c r="G25" s="429" t="str">
        <f ca="1">IFERROR(VLOOKUP(G$2,Rango_Admin_DailyPred,MATCH($F25,Rango_Admin_DailyPred_Primera,0),0),"-")</f>
        <v>1|2-1</v>
      </c>
      <c r="H25" s="429" t="str">
        <f ca="1">IFERROR(VLOOKUP(H$2,Rango_Admin_DailyPred,MATCH($F25,Rango_Admin_DailyPred_Primera,0),0),"-")</f>
        <v>-</v>
      </c>
      <c r="I25" s="429" t="str">
        <f ca="1">IFERROR(VLOOKUP(I$2,Rango_Admin_DailyPred,MATCH($F25,Rango_Admin_DailyPred_Primera,0),0),"-")</f>
        <v>-</v>
      </c>
      <c r="J25" s="429" t="str">
        <f ca="1">IFERROR(VLOOKUP(J$2,Rango_Admin_DailyPred,MATCH($F25,Rango_Admin_DailyPred_Primera,0),0),"-")</f>
        <v>-</v>
      </c>
      <c r="K25" s="429" t="str">
        <f ca="1">IFERROR(VLOOKUP(K$2,Rango_Admin_DailyPred,MATCH($F25,Rango_Admin_DailyPred_Primera,0),0),"-")</f>
        <v>-</v>
      </c>
      <c r="L25" s="429" t="str">
        <f ca="1">IFERROR(VLOOKUP(L$2,Rango_Admin_DailyPred,MATCH($F25,Rango_Admin_DailyPred_Primera,0),0),"-")</f>
        <v>-</v>
      </c>
      <c r="M25" s="429" t="str">
        <f ca="1">IFERROR(VLOOKUP(M$2,Rango_Admin_DailyPred,MATCH($F25,Rango_Admin_DailyPred_Primera,0),0),"-")</f>
        <v>-</v>
      </c>
      <c r="N25" s="429" t="str">
        <f ca="1">IFERROR(VLOOKUP(N$2,Rango_Admin_DailyPred,MATCH($F25,Rango_Admin_DailyPred_Primera,0),0),"-")</f>
        <v>-</v>
      </c>
      <c r="O25" s="429" t="str">
        <f ca="1">IFERROR(VLOOKUP(O$2,Rango_Admin_DailyPred,MATCH($F25,Rango_Admin_DailyPred_Primera,0),0),"-")</f>
        <v>-</v>
      </c>
      <c r="P25" s="429" t="str">
        <f ca="1">IFERROR(VLOOKUP(P$2,Rango_Admin_DailyPred,MATCH($F25,Rango_Admin_DailyPred_Primera,0),0),"-")</f>
        <v>-</v>
      </c>
      <c r="Q25" s="429" t="str">
        <f ca="1">IFERROR(VLOOKUP(Q$2,Rango_Admin_DailyPred,MATCH($F25,Rango_Admin_DailyPred_Primera,0),0),"-")</f>
        <v>-</v>
      </c>
      <c r="R25" s="429" t="str">
        <f ca="1">IFERROR(VLOOKUP(R$2,Rango_Admin_DailyPred,MATCH($F25,Rango_Admin_DailyPred_Primera,0),0),"-")</f>
        <v>-</v>
      </c>
      <c r="S25" s="429" t="str">
        <f ca="1">IFERROR(VLOOKUP(S$2,Rango_Admin_DailyPred,MATCH($F25,Rango_Admin_DailyPred_Primera,0),0),"-")</f>
        <v>-</v>
      </c>
      <c r="T25" s="429" t="str">
        <f ca="1">IFERROR(VLOOKUP(T$2,Rango_Admin_DailyPred,MATCH($F25,Rango_Admin_DailyPred_Primera,0),0),"-")</f>
        <v>-</v>
      </c>
      <c r="U25" s="429" t="str">
        <f ca="1">IFERROR(VLOOKUP(U$2,Rango_Admin_DailyPred,MATCH($F25,Rango_Admin_DailyPred_Primera,0),0),"-")</f>
        <v>-</v>
      </c>
      <c r="V25" s="429" t="str">
        <f ca="1">IFERROR(VLOOKUP(V$2,Rango_Admin_DailyPred,MATCH($F25,Rango_Admin_DailyPred_Primera,0),0),"-")</f>
        <v>-</v>
      </c>
      <c r="W25" s="429" t="str">
        <f ca="1">IFERROR(VLOOKUP(W$2,Rango_Admin_DailyPred,MATCH($F25,Rango_Admin_DailyPred_Primera,0),0),"-")</f>
        <v>-</v>
      </c>
      <c r="X25" s="429" t="str">
        <f ca="1">IFERROR(VLOOKUP(X$2,Rango_Admin_DailyPred,MATCH($F25,Rango_Admin_DailyPred_Primera,0),0),"-")</f>
        <v>-</v>
      </c>
      <c r="Y25" s="429" t="str">
        <f ca="1">IFERROR(VLOOKUP(Y$2,Rango_Admin_DailyPred,MATCH($F25,Rango_Admin_DailyPred_Primera,0),0),"-")</f>
        <v>-</v>
      </c>
      <c r="Z25" s="429" t="str">
        <f ca="1">IFERROR(VLOOKUP(Z$2,Rango_Admin_DailyPred,MATCH($F25,Rango_Admin_DailyPred_Primera,0),0),"-")</f>
        <v>-</v>
      </c>
      <c r="AA25" s="429" t="str">
        <f ca="1">IFERROR(VLOOKUP(AA$2,Rango_Admin_DailyPred,MATCH($F25,Rango_Admin_DailyPred_Primera,0),0),"-")</f>
        <v>-</v>
      </c>
      <c r="AB25" s="429" t="str">
        <f ca="1">IFERROR(VLOOKUP(AB$2,Rango_Admin_DailyPred,MATCH($F25,Rango_Admin_DailyPred_Primera,0),0),"-")</f>
        <v>-</v>
      </c>
      <c r="AC25" s="429" t="str">
        <f ca="1">IFERROR(VLOOKUP(AC$2,Rango_Admin_DailyPred,MATCH($F25,Rango_Admin_DailyPred_Primera,0),0),"-")</f>
        <v>-</v>
      </c>
      <c r="AD25" s="429" t="str">
        <f ca="1">IFERROR(VLOOKUP(AD$2,Rango_Admin_DailyPred,MATCH($F25,Rango_Admin_DailyPred_Primera,0),0),"-")</f>
        <v>-</v>
      </c>
      <c r="AE25" s="429" t="str">
        <f ca="1">IFERROR(VLOOKUP(AE$2,Rango_Admin_DailyPred,MATCH($F25,Rango_Admin_DailyPred_Primera,0),0),"-")</f>
        <v>-</v>
      </c>
      <c r="AF25" s="429" t="str">
        <f ca="1">IFERROR(VLOOKUP(AF$2,Rango_Admin_DailyPred,MATCH($F25,Rango_Admin_DailyPred_Primera,0),0),"-")</f>
        <v>-</v>
      </c>
      <c r="AG25" s="429" t="str">
        <f ca="1">IFERROR(VLOOKUP(AG$2,Rango_Admin_DailyPred,MATCH($F25,Rango_Admin_DailyPred_Primera,0),0),"-")</f>
        <v>-</v>
      </c>
      <c r="AH25" s="429" t="str">
        <f ca="1">IFERROR(VLOOKUP(AH$2,Rango_Admin_DailyPred,MATCH($F25,Rango_Admin_DailyPred_Primera,0),0),"-")</f>
        <v>-</v>
      </c>
      <c r="AI25" s="429" t="str">
        <f ca="1">IFERROR(VLOOKUP(AI$2,Rango_Admin_DailyPred,MATCH($F25,Rango_Admin_DailyPred_Primera,0),0),"-")</f>
        <v>-</v>
      </c>
      <c r="AJ25" s="429" t="str">
        <f ca="1">IFERROR(VLOOKUP(AJ$2,Rango_Admin_DailyPred,MATCH($F25,Rango_Admin_DailyPred_Primera,0),0),"-")</f>
        <v>-</v>
      </c>
      <c r="AK25" s="429" t="str">
        <f ca="1">IFERROR(VLOOKUP(AK$2,Rango_Admin_DailyPred,MATCH($F25,Rango_Admin_DailyPred_Primera,0),0),"-")</f>
        <v>-</v>
      </c>
      <c r="AL25" s="429" t="str">
        <f ca="1">IFERROR(VLOOKUP(AL$2,Rango_Admin_DailyPred,MATCH($F25,Rango_Admin_DailyPred_Primera,0),0),"-")</f>
        <v>-</v>
      </c>
      <c r="AM25" s="297"/>
      <c r="AN25" s="297"/>
      <c r="AO25" s="297"/>
    </row>
    <row r="26" spans="1:41">
      <c r="A26" s="8" t="str" cm="1">
        <f t="array" aca="1" ref="A26" ca="1">IFERROR(INDEX(ADMIN!$K$6:$K$258,SMALL(IF(ADMIN!$G$6:$G$258=$J$1,ROW(ADMIN!$G$6:$G$258)-ROW(ADMIN!$G$6)+1),ROWS($A$1:A23))),"")</f>
        <v/>
      </c>
      <c r="B26" s="8" t="str">
        <f t="shared" ca="1" si="0"/>
        <v xml:space="preserve">
</v>
      </c>
      <c r="C26" s="8" t="str" cm="1">
        <f t="array" aca="1" ref="C26" ca="1">IFERROR(IF(INDEX(ADMIN!$M$6:$M$258,SMALL(IF(ADMIN!$G$6:$G$258=$J$1,ROW(ADMIN!$G$6:$G$258)-ROW(ADMIN!$G$6)+1),ROWS($A$1:A23)))="-", "", " ("&amp;INDEX(ADMIN!$M$6:$M$258,SMALL(IF(ADMIN!$G$6:$G$258=$J$1,ROW(ADMIN!$G$6:$G$258)-ROW(ADMIN!$G$6)+1),ROWS($A$1:A23)))&amp;")"),"")</f>
        <v/>
      </c>
      <c r="D26" s="8" t="str" cm="1">
        <f t="array" aca="1" ref="D26" ca="1">IFERROR(IF($J$1&gt;=20,INDEX(ADMIN!$C$6:$C$258,SMALL(IF(ADMIN!$G$6:$G$258=$J$1,ROW(ADMIN!$G$6:$G$258)-ROW(ADMIN!$G$6)+1),ROWS($D$1:D23))),""),"")</f>
        <v/>
      </c>
      <c r="E26" s="19">
        <f t="shared" si="1"/>
        <v>75</v>
      </c>
      <c r="F26" s="448" t="str" cm="1">
        <f t="array" ref="F26">IFERROR(INDEX(Rango_Admin_DailyPred_Primera,1,E26),"-")</f>
        <v>Florentino Netanyahu</v>
      </c>
      <c r="G26" s="429" t="str">
        <f ca="1">IFERROR(VLOOKUP(G$2,Rango_Admin_DailyPred,MATCH($F26,Rango_Admin_DailyPred_Primera,0),0),"-")</f>
        <v>1|2-0</v>
      </c>
      <c r="H26" s="429" t="str">
        <f ca="1">IFERROR(VLOOKUP(H$2,Rango_Admin_DailyPred,MATCH($F26,Rango_Admin_DailyPred_Primera,0),0),"-")</f>
        <v>-</v>
      </c>
      <c r="I26" s="429" t="str">
        <f ca="1">IFERROR(VLOOKUP(I$2,Rango_Admin_DailyPred,MATCH($F26,Rango_Admin_DailyPred_Primera,0),0),"-")</f>
        <v>-</v>
      </c>
      <c r="J26" s="429" t="str">
        <f ca="1">IFERROR(VLOOKUP(J$2,Rango_Admin_DailyPred,MATCH($F26,Rango_Admin_DailyPred_Primera,0),0),"-")</f>
        <v>-</v>
      </c>
      <c r="K26" s="429" t="str">
        <f ca="1">IFERROR(VLOOKUP(K$2,Rango_Admin_DailyPred,MATCH($F26,Rango_Admin_DailyPred_Primera,0),0),"-")</f>
        <v>-</v>
      </c>
      <c r="L26" s="429" t="str">
        <f ca="1">IFERROR(VLOOKUP(L$2,Rango_Admin_DailyPred,MATCH($F26,Rango_Admin_DailyPred_Primera,0),0),"-")</f>
        <v>-</v>
      </c>
      <c r="M26" s="429" t="str">
        <f ca="1">IFERROR(VLOOKUP(M$2,Rango_Admin_DailyPred,MATCH($F26,Rango_Admin_DailyPred_Primera,0),0),"-")</f>
        <v>-</v>
      </c>
      <c r="N26" s="429" t="str">
        <f ca="1">IFERROR(VLOOKUP(N$2,Rango_Admin_DailyPred,MATCH($F26,Rango_Admin_DailyPred_Primera,0),0),"-")</f>
        <v>-</v>
      </c>
      <c r="O26" s="429" t="str">
        <f ca="1">IFERROR(VLOOKUP(O$2,Rango_Admin_DailyPred,MATCH($F26,Rango_Admin_DailyPred_Primera,0),0),"-")</f>
        <v>-</v>
      </c>
      <c r="P26" s="429" t="str">
        <f ca="1">IFERROR(VLOOKUP(P$2,Rango_Admin_DailyPred,MATCH($F26,Rango_Admin_DailyPred_Primera,0),0),"-")</f>
        <v>-</v>
      </c>
      <c r="Q26" s="429" t="str">
        <f ca="1">IFERROR(VLOOKUP(Q$2,Rango_Admin_DailyPred,MATCH($F26,Rango_Admin_DailyPred_Primera,0),0),"-")</f>
        <v>-</v>
      </c>
      <c r="R26" s="429" t="str">
        <f ca="1">IFERROR(VLOOKUP(R$2,Rango_Admin_DailyPred,MATCH($F26,Rango_Admin_DailyPred_Primera,0),0),"-")</f>
        <v>-</v>
      </c>
      <c r="S26" s="429" t="str">
        <f ca="1">IFERROR(VLOOKUP(S$2,Rango_Admin_DailyPred,MATCH($F26,Rango_Admin_DailyPred_Primera,0),0),"-")</f>
        <v>-</v>
      </c>
      <c r="T26" s="429" t="str">
        <f ca="1">IFERROR(VLOOKUP(T$2,Rango_Admin_DailyPred,MATCH($F26,Rango_Admin_DailyPred_Primera,0),0),"-")</f>
        <v>-</v>
      </c>
      <c r="U26" s="429" t="str">
        <f ca="1">IFERROR(VLOOKUP(U$2,Rango_Admin_DailyPred,MATCH($F26,Rango_Admin_DailyPred_Primera,0),0),"-")</f>
        <v>-</v>
      </c>
      <c r="V26" s="429" t="str">
        <f ca="1">IFERROR(VLOOKUP(V$2,Rango_Admin_DailyPred,MATCH($F26,Rango_Admin_DailyPred_Primera,0),0),"-")</f>
        <v>-</v>
      </c>
      <c r="W26" s="429" t="str">
        <f ca="1">IFERROR(VLOOKUP(W$2,Rango_Admin_DailyPred,MATCH($F26,Rango_Admin_DailyPred_Primera,0),0),"-")</f>
        <v>-</v>
      </c>
      <c r="X26" s="429" t="str">
        <f ca="1">IFERROR(VLOOKUP(X$2,Rango_Admin_DailyPred,MATCH($F26,Rango_Admin_DailyPred_Primera,0),0),"-")</f>
        <v>-</v>
      </c>
      <c r="Y26" s="429" t="str">
        <f ca="1">IFERROR(VLOOKUP(Y$2,Rango_Admin_DailyPred,MATCH($F26,Rango_Admin_DailyPred_Primera,0),0),"-")</f>
        <v>-</v>
      </c>
      <c r="Z26" s="429" t="str">
        <f ca="1">IFERROR(VLOOKUP(Z$2,Rango_Admin_DailyPred,MATCH($F26,Rango_Admin_DailyPred_Primera,0),0),"-")</f>
        <v>-</v>
      </c>
      <c r="AA26" s="429" t="str">
        <f ca="1">IFERROR(VLOOKUP(AA$2,Rango_Admin_DailyPred,MATCH($F26,Rango_Admin_DailyPred_Primera,0),0),"-")</f>
        <v>-</v>
      </c>
      <c r="AB26" s="429" t="str">
        <f ca="1">IFERROR(VLOOKUP(AB$2,Rango_Admin_DailyPred,MATCH($F26,Rango_Admin_DailyPred_Primera,0),0),"-")</f>
        <v>-</v>
      </c>
      <c r="AC26" s="429" t="str">
        <f ca="1">IFERROR(VLOOKUP(AC$2,Rango_Admin_DailyPred,MATCH($F26,Rango_Admin_DailyPred_Primera,0),0),"-")</f>
        <v>-</v>
      </c>
      <c r="AD26" s="429" t="str">
        <f ca="1">IFERROR(VLOOKUP(AD$2,Rango_Admin_DailyPred,MATCH($F26,Rango_Admin_DailyPred_Primera,0),0),"-")</f>
        <v>-</v>
      </c>
      <c r="AE26" s="429" t="str">
        <f ca="1">IFERROR(VLOOKUP(AE$2,Rango_Admin_DailyPred,MATCH($F26,Rango_Admin_DailyPred_Primera,0),0),"-")</f>
        <v>-</v>
      </c>
      <c r="AF26" s="429" t="str">
        <f ca="1">IFERROR(VLOOKUP(AF$2,Rango_Admin_DailyPred,MATCH($F26,Rango_Admin_DailyPred_Primera,0),0),"-")</f>
        <v>-</v>
      </c>
      <c r="AG26" s="429" t="str">
        <f ca="1">IFERROR(VLOOKUP(AG$2,Rango_Admin_DailyPred,MATCH($F26,Rango_Admin_DailyPred_Primera,0),0),"-")</f>
        <v>-</v>
      </c>
      <c r="AH26" s="429" t="str">
        <f ca="1">IFERROR(VLOOKUP(AH$2,Rango_Admin_DailyPred,MATCH($F26,Rango_Admin_DailyPred_Primera,0),0),"-")</f>
        <v>-</v>
      </c>
      <c r="AI26" s="429" t="str">
        <f ca="1">IFERROR(VLOOKUP(AI$2,Rango_Admin_DailyPred,MATCH($F26,Rango_Admin_DailyPred_Primera,0),0),"-")</f>
        <v>-</v>
      </c>
      <c r="AJ26" s="429" t="str">
        <f ca="1">IFERROR(VLOOKUP(AJ$2,Rango_Admin_DailyPred,MATCH($F26,Rango_Admin_DailyPred_Primera,0),0),"-")</f>
        <v>-</v>
      </c>
      <c r="AK26" s="429" t="str">
        <f ca="1">IFERROR(VLOOKUP(AK$2,Rango_Admin_DailyPred,MATCH($F26,Rango_Admin_DailyPred_Primera,0),0),"-")</f>
        <v>-</v>
      </c>
      <c r="AL26" s="429" t="str">
        <f ca="1">IFERROR(VLOOKUP(AL$2,Rango_Admin_DailyPred,MATCH($F26,Rango_Admin_DailyPred_Primera,0),0),"-")</f>
        <v>-</v>
      </c>
      <c r="AM26" s="297"/>
      <c r="AN26" s="297"/>
      <c r="AO26" s="297"/>
    </row>
    <row r="27" spans="1:41">
      <c r="A27" s="8" t="str" cm="1">
        <f t="array" aca="1" ref="A27" ca="1">IFERROR(INDEX(ADMIN!$K$6:$K$258,SMALL(IF(ADMIN!$G$6:$G$258=$J$1,ROW(ADMIN!$G$6:$G$258)-ROW(ADMIN!$G$6)+1),ROWS($A$1:A24))),"")</f>
        <v/>
      </c>
      <c r="B27" s="8" t="str">
        <f t="shared" ca="1" si="0"/>
        <v xml:space="preserve">
</v>
      </c>
      <c r="C27" s="8" t="str" cm="1">
        <f t="array" aca="1" ref="C27" ca="1">IFERROR(IF(INDEX(ADMIN!$M$6:$M$258,SMALL(IF(ADMIN!$G$6:$G$258=$J$1,ROW(ADMIN!$G$6:$G$258)-ROW(ADMIN!$G$6)+1),ROWS($A$1:A24)))="-", "", " ("&amp;INDEX(ADMIN!$M$6:$M$258,SMALL(IF(ADMIN!$G$6:$G$258=$J$1,ROW(ADMIN!$G$6:$G$258)-ROW(ADMIN!$G$6)+1),ROWS($A$1:A24)))&amp;")"),"")</f>
        <v/>
      </c>
      <c r="D27" s="8" t="str" cm="1">
        <f t="array" aca="1" ref="D27" ca="1">IFERROR(IF($J$1&gt;=20,INDEX(ADMIN!$C$6:$C$258,SMALL(IF(ADMIN!$G$6:$G$258=$J$1,ROW(ADMIN!$G$6:$G$258)-ROW(ADMIN!$G$6)+1),ROWS($D$1:D24))),""),"")</f>
        <v/>
      </c>
      <c r="E27" s="19">
        <f t="shared" si="1"/>
        <v>78</v>
      </c>
      <c r="F27" s="448" t="str" cm="1">
        <f t="array" ref="F27">IFERROR(INDEX(Rango_Admin_DailyPred_Primera,1,E27),"-")</f>
        <v>Lucas Oriol</v>
      </c>
      <c r="G27" s="429" t="str">
        <f ca="1">IFERROR(VLOOKUP(G$2,Rango_Admin_DailyPred,MATCH($F27,Rango_Admin_DailyPred_Primera,0),0),"-")</f>
        <v>1|2-0</v>
      </c>
      <c r="H27" s="429" t="str">
        <f ca="1">IFERROR(VLOOKUP(H$2,Rango_Admin_DailyPred,MATCH($F27,Rango_Admin_DailyPred_Primera,0),0),"-")</f>
        <v>-</v>
      </c>
      <c r="I27" s="429" t="str">
        <f ca="1">IFERROR(VLOOKUP(I$2,Rango_Admin_DailyPred,MATCH($F27,Rango_Admin_DailyPred_Primera,0),0),"-")</f>
        <v>-</v>
      </c>
      <c r="J27" s="429" t="str">
        <f ca="1">IFERROR(VLOOKUP(J$2,Rango_Admin_DailyPred,MATCH($F27,Rango_Admin_DailyPred_Primera,0),0),"-")</f>
        <v>-</v>
      </c>
      <c r="K27" s="429" t="str">
        <f ca="1">IFERROR(VLOOKUP(K$2,Rango_Admin_DailyPred,MATCH($F27,Rango_Admin_DailyPred_Primera,0),0),"-")</f>
        <v>-</v>
      </c>
      <c r="L27" s="429" t="str">
        <f ca="1">IFERROR(VLOOKUP(L$2,Rango_Admin_DailyPred,MATCH($F27,Rango_Admin_DailyPred_Primera,0),0),"-")</f>
        <v>-</v>
      </c>
      <c r="M27" s="429" t="str">
        <f ca="1">IFERROR(VLOOKUP(M$2,Rango_Admin_DailyPred,MATCH($F27,Rango_Admin_DailyPred_Primera,0),0),"-")</f>
        <v>-</v>
      </c>
      <c r="N27" s="429" t="str">
        <f ca="1">IFERROR(VLOOKUP(N$2,Rango_Admin_DailyPred,MATCH($F27,Rango_Admin_DailyPred_Primera,0),0),"-")</f>
        <v>-</v>
      </c>
      <c r="O27" s="429" t="str">
        <f ca="1">IFERROR(VLOOKUP(O$2,Rango_Admin_DailyPred,MATCH($F27,Rango_Admin_DailyPred_Primera,0),0),"-")</f>
        <v>-</v>
      </c>
      <c r="P27" s="429" t="str">
        <f ca="1">IFERROR(VLOOKUP(P$2,Rango_Admin_DailyPred,MATCH($F27,Rango_Admin_DailyPred_Primera,0),0),"-")</f>
        <v>-</v>
      </c>
      <c r="Q27" s="429" t="str">
        <f ca="1">IFERROR(VLOOKUP(Q$2,Rango_Admin_DailyPred,MATCH($F27,Rango_Admin_DailyPred_Primera,0),0),"-")</f>
        <v>-</v>
      </c>
      <c r="R27" s="429" t="str">
        <f ca="1">IFERROR(VLOOKUP(R$2,Rango_Admin_DailyPred,MATCH($F27,Rango_Admin_DailyPred_Primera,0),0),"-")</f>
        <v>-</v>
      </c>
      <c r="S27" s="429" t="str">
        <f ca="1">IFERROR(VLOOKUP(S$2,Rango_Admin_DailyPred,MATCH($F27,Rango_Admin_DailyPred_Primera,0),0),"-")</f>
        <v>-</v>
      </c>
      <c r="T27" s="429" t="str">
        <f ca="1">IFERROR(VLOOKUP(T$2,Rango_Admin_DailyPred,MATCH($F27,Rango_Admin_DailyPred_Primera,0),0),"-")</f>
        <v>-</v>
      </c>
      <c r="U27" s="429" t="str">
        <f ca="1">IFERROR(VLOOKUP(U$2,Rango_Admin_DailyPred,MATCH($F27,Rango_Admin_DailyPred_Primera,0),0),"-")</f>
        <v>-</v>
      </c>
      <c r="V27" s="429" t="str">
        <f ca="1">IFERROR(VLOOKUP(V$2,Rango_Admin_DailyPred,MATCH($F27,Rango_Admin_DailyPred_Primera,0),0),"-")</f>
        <v>-</v>
      </c>
      <c r="W27" s="429" t="str">
        <f ca="1">IFERROR(VLOOKUP(W$2,Rango_Admin_DailyPred,MATCH($F27,Rango_Admin_DailyPred_Primera,0),0),"-")</f>
        <v>-</v>
      </c>
      <c r="X27" s="429" t="str">
        <f ca="1">IFERROR(VLOOKUP(X$2,Rango_Admin_DailyPred,MATCH($F27,Rango_Admin_DailyPred_Primera,0),0),"-")</f>
        <v>-</v>
      </c>
      <c r="Y27" s="429" t="str">
        <f ca="1">IFERROR(VLOOKUP(Y$2,Rango_Admin_DailyPred,MATCH($F27,Rango_Admin_DailyPred_Primera,0),0),"-")</f>
        <v>-</v>
      </c>
      <c r="Z27" s="429" t="str">
        <f ca="1">IFERROR(VLOOKUP(Z$2,Rango_Admin_DailyPred,MATCH($F27,Rango_Admin_DailyPred_Primera,0),0),"-")</f>
        <v>-</v>
      </c>
      <c r="AA27" s="429" t="str">
        <f ca="1">IFERROR(VLOOKUP(AA$2,Rango_Admin_DailyPred,MATCH($F27,Rango_Admin_DailyPred_Primera,0),0),"-")</f>
        <v>-</v>
      </c>
      <c r="AB27" s="429" t="str">
        <f ca="1">IFERROR(VLOOKUP(AB$2,Rango_Admin_DailyPred,MATCH($F27,Rango_Admin_DailyPred_Primera,0),0),"-")</f>
        <v>-</v>
      </c>
      <c r="AC27" s="429" t="str">
        <f ca="1">IFERROR(VLOOKUP(AC$2,Rango_Admin_DailyPred,MATCH($F27,Rango_Admin_DailyPred_Primera,0),0),"-")</f>
        <v>-</v>
      </c>
      <c r="AD27" s="429" t="str">
        <f ca="1">IFERROR(VLOOKUP(AD$2,Rango_Admin_DailyPred,MATCH($F27,Rango_Admin_DailyPred_Primera,0),0),"-")</f>
        <v>-</v>
      </c>
      <c r="AE27" s="429" t="str">
        <f ca="1">IFERROR(VLOOKUP(AE$2,Rango_Admin_DailyPred,MATCH($F27,Rango_Admin_DailyPred_Primera,0),0),"-")</f>
        <v>-</v>
      </c>
      <c r="AF27" s="429" t="str">
        <f ca="1">IFERROR(VLOOKUP(AF$2,Rango_Admin_DailyPred,MATCH($F27,Rango_Admin_DailyPred_Primera,0),0),"-")</f>
        <v>-</v>
      </c>
      <c r="AG27" s="429" t="str">
        <f ca="1">IFERROR(VLOOKUP(AG$2,Rango_Admin_DailyPred,MATCH($F27,Rango_Admin_DailyPred_Primera,0),0),"-")</f>
        <v>-</v>
      </c>
      <c r="AH27" s="429" t="str">
        <f ca="1">IFERROR(VLOOKUP(AH$2,Rango_Admin_DailyPred,MATCH($F27,Rango_Admin_DailyPred_Primera,0),0),"-")</f>
        <v>-</v>
      </c>
      <c r="AI27" s="429" t="str">
        <f ca="1">IFERROR(VLOOKUP(AI$2,Rango_Admin_DailyPred,MATCH($F27,Rango_Admin_DailyPred_Primera,0),0),"-")</f>
        <v>-</v>
      </c>
      <c r="AJ27" s="429" t="str">
        <f ca="1">IFERROR(VLOOKUP(AJ$2,Rango_Admin_DailyPred,MATCH($F27,Rango_Admin_DailyPred_Primera,0),0),"-")</f>
        <v>-</v>
      </c>
      <c r="AK27" s="429" t="str">
        <f ca="1">IFERROR(VLOOKUP(AK$2,Rango_Admin_DailyPred,MATCH($F27,Rango_Admin_DailyPred_Primera,0),0),"-")</f>
        <v>-</v>
      </c>
      <c r="AL27" s="429" t="str">
        <f ca="1">IFERROR(VLOOKUP(AL$2,Rango_Admin_DailyPred,MATCH($F27,Rango_Admin_DailyPred_Primera,0),0),"-")</f>
        <v>-</v>
      </c>
      <c r="AM27" s="297"/>
      <c r="AN27" s="297"/>
      <c r="AO27" s="297"/>
    </row>
    <row r="28" spans="1:41">
      <c r="A28" s="8" t="str" cm="1">
        <f t="array" aca="1" ref="A28" ca="1">IFERROR(INDEX(ADMIN!$K$6:$K$258,SMALL(IF(ADMIN!$G$6:$G$258=$J$1,ROW(ADMIN!$G$6:$G$258)-ROW(ADMIN!$G$6)+1),ROWS($A$1:A25))),"")</f>
        <v/>
      </c>
      <c r="B28" s="8" t="str">
        <f t="shared" ca="1" si="0"/>
        <v xml:space="preserve">
</v>
      </c>
      <c r="C28" s="8" t="str" cm="1">
        <f t="array" aca="1" ref="C28" ca="1">IFERROR(IF(INDEX(ADMIN!$M$6:$M$258,SMALL(IF(ADMIN!$G$6:$G$258=$J$1,ROW(ADMIN!$G$6:$G$258)-ROW(ADMIN!$G$6)+1),ROWS($A$1:A25)))="-", "", " ("&amp;INDEX(ADMIN!$M$6:$M$258,SMALL(IF(ADMIN!$G$6:$G$258=$J$1,ROW(ADMIN!$G$6:$G$258)-ROW(ADMIN!$G$6)+1),ROWS($A$1:A25)))&amp;")"),"")</f>
        <v/>
      </c>
      <c r="D28" s="8" t="str" cm="1">
        <f t="array" aca="1" ref="D28" ca="1">IFERROR(IF($J$1&gt;=20,INDEX(ADMIN!$C$6:$C$258,SMALL(IF(ADMIN!$G$6:$G$258=$J$1,ROW(ADMIN!$G$6:$G$258)-ROW(ADMIN!$G$6)+1),ROWS($D$1:D25))),""),"")</f>
        <v/>
      </c>
      <c r="E28" s="19">
        <f t="shared" si="1"/>
        <v>81</v>
      </c>
      <c r="F28" s="448" t="str" cm="1">
        <f t="array" ref="F28">IFERROR(INDEX(Rango_Admin_DailyPred_Primera,1,E28),"-")</f>
        <v>YTD</v>
      </c>
      <c r="G28" s="429" t="str">
        <f ca="1">IFERROR(VLOOKUP(G$2,Rango_Admin_DailyPred,MATCH($F28,Rango_Admin_DailyPred_Primera,0),0),"-")</f>
        <v>1|2-0</v>
      </c>
      <c r="H28" s="429" t="str">
        <f ca="1">IFERROR(VLOOKUP(H$2,Rango_Admin_DailyPred,MATCH($F28,Rango_Admin_DailyPred_Primera,0),0),"-")</f>
        <v>-</v>
      </c>
      <c r="I28" s="429" t="str">
        <f ca="1">IFERROR(VLOOKUP(I$2,Rango_Admin_DailyPred,MATCH($F28,Rango_Admin_DailyPred_Primera,0),0),"-")</f>
        <v>-</v>
      </c>
      <c r="J28" s="429" t="str">
        <f ca="1">IFERROR(VLOOKUP(J$2,Rango_Admin_DailyPred,MATCH($F28,Rango_Admin_DailyPred_Primera,0),0),"-")</f>
        <v>-</v>
      </c>
      <c r="K28" s="429" t="str">
        <f ca="1">IFERROR(VLOOKUP(K$2,Rango_Admin_DailyPred,MATCH($F28,Rango_Admin_DailyPred_Primera,0),0),"-")</f>
        <v>-</v>
      </c>
      <c r="L28" s="429" t="str">
        <f ca="1">IFERROR(VLOOKUP(L$2,Rango_Admin_DailyPred,MATCH($F28,Rango_Admin_DailyPred_Primera,0),0),"-")</f>
        <v>-</v>
      </c>
      <c r="M28" s="429" t="str">
        <f ca="1">IFERROR(VLOOKUP(M$2,Rango_Admin_DailyPred,MATCH($F28,Rango_Admin_DailyPred_Primera,0),0),"-")</f>
        <v>-</v>
      </c>
      <c r="N28" s="429" t="str">
        <f ca="1">IFERROR(VLOOKUP(N$2,Rango_Admin_DailyPred,MATCH($F28,Rango_Admin_DailyPred_Primera,0),0),"-")</f>
        <v>-</v>
      </c>
      <c r="O28" s="429" t="str">
        <f ca="1">IFERROR(VLOOKUP(O$2,Rango_Admin_DailyPred,MATCH($F28,Rango_Admin_DailyPred_Primera,0),0),"-")</f>
        <v>-</v>
      </c>
      <c r="P28" s="429" t="str">
        <f ca="1">IFERROR(VLOOKUP(P$2,Rango_Admin_DailyPred,MATCH($F28,Rango_Admin_DailyPred_Primera,0),0),"-")</f>
        <v>-</v>
      </c>
      <c r="Q28" s="429" t="str">
        <f ca="1">IFERROR(VLOOKUP(Q$2,Rango_Admin_DailyPred,MATCH($F28,Rango_Admin_DailyPred_Primera,0),0),"-")</f>
        <v>-</v>
      </c>
      <c r="R28" s="429" t="str">
        <f ca="1">IFERROR(VLOOKUP(R$2,Rango_Admin_DailyPred,MATCH($F28,Rango_Admin_DailyPred_Primera,0),0),"-")</f>
        <v>-</v>
      </c>
      <c r="S28" s="429" t="str">
        <f ca="1">IFERROR(VLOOKUP(S$2,Rango_Admin_DailyPred,MATCH($F28,Rango_Admin_DailyPred_Primera,0),0),"-")</f>
        <v>-</v>
      </c>
      <c r="T28" s="429" t="str">
        <f ca="1">IFERROR(VLOOKUP(T$2,Rango_Admin_DailyPred,MATCH($F28,Rango_Admin_DailyPred_Primera,0),0),"-")</f>
        <v>-</v>
      </c>
      <c r="U28" s="429" t="str">
        <f ca="1">IFERROR(VLOOKUP(U$2,Rango_Admin_DailyPred,MATCH($F28,Rango_Admin_DailyPred_Primera,0),0),"-")</f>
        <v>-</v>
      </c>
      <c r="V28" s="429" t="str">
        <f ca="1">IFERROR(VLOOKUP(V$2,Rango_Admin_DailyPred,MATCH($F28,Rango_Admin_DailyPred_Primera,0),0),"-")</f>
        <v>-</v>
      </c>
      <c r="W28" s="429" t="str">
        <f ca="1">IFERROR(VLOOKUP(W$2,Rango_Admin_DailyPred,MATCH($F28,Rango_Admin_DailyPred_Primera,0),0),"-")</f>
        <v>-</v>
      </c>
      <c r="X28" s="429" t="str">
        <f ca="1">IFERROR(VLOOKUP(X$2,Rango_Admin_DailyPred,MATCH($F28,Rango_Admin_DailyPred_Primera,0),0),"-")</f>
        <v>-</v>
      </c>
      <c r="Y28" s="429" t="str">
        <f ca="1">IFERROR(VLOOKUP(Y$2,Rango_Admin_DailyPred,MATCH($F28,Rango_Admin_DailyPred_Primera,0),0),"-")</f>
        <v>-</v>
      </c>
      <c r="Z28" s="429" t="str">
        <f ca="1">IFERROR(VLOOKUP(Z$2,Rango_Admin_DailyPred,MATCH($F28,Rango_Admin_DailyPred_Primera,0),0),"-")</f>
        <v>-</v>
      </c>
      <c r="AA28" s="429" t="str">
        <f ca="1">IFERROR(VLOOKUP(AA$2,Rango_Admin_DailyPred,MATCH($F28,Rango_Admin_DailyPred_Primera,0),0),"-")</f>
        <v>-</v>
      </c>
      <c r="AB28" s="429" t="str">
        <f ca="1">IFERROR(VLOOKUP(AB$2,Rango_Admin_DailyPred,MATCH($F28,Rango_Admin_DailyPred_Primera,0),0),"-")</f>
        <v>-</v>
      </c>
      <c r="AC28" s="429" t="str">
        <f ca="1">IFERROR(VLOOKUP(AC$2,Rango_Admin_DailyPred,MATCH($F28,Rango_Admin_DailyPred_Primera,0),0),"-")</f>
        <v>-</v>
      </c>
      <c r="AD28" s="429" t="str">
        <f ca="1">IFERROR(VLOOKUP(AD$2,Rango_Admin_DailyPred,MATCH($F28,Rango_Admin_DailyPred_Primera,0),0),"-")</f>
        <v>-</v>
      </c>
      <c r="AE28" s="429" t="str">
        <f ca="1">IFERROR(VLOOKUP(AE$2,Rango_Admin_DailyPred,MATCH($F28,Rango_Admin_DailyPred_Primera,0),0),"-")</f>
        <v>-</v>
      </c>
      <c r="AF28" s="429" t="str">
        <f ca="1">IFERROR(VLOOKUP(AF$2,Rango_Admin_DailyPred,MATCH($F28,Rango_Admin_DailyPred_Primera,0),0),"-")</f>
        <v>-</v>
      </c>
      <c r="AG28" s="429" t="str">
        <f ca="1">IFERROR(VLOOKUP(AG$2,Rango_Admin_DailyPred,MATCH($F28,Rango_Admin_DailyPred_Primera,0),0),"-")</f>
        <v>-</v>
      </c>
      <c r="AH28" s="429" t="str">
        <f ca="1">IFERROR(VLOOKUP(AH$2,Rango_Admin_DailyPred,MATCH($F28,Rango_Admin_DailyPred_Primera,0),0),"-")</f>
        <v>-</v>
      </c>
      <c r="AI28" s="429" t="str">
        <f ca="1">IFERROR(VLOOKUP(AI$2,Rango_Admin_DailyPred,MATCH($F28,Rango_Admin_DailyPred_Primera,0),0),"-")</f>
        <v>-</v>
      </c>
      <c r="AJ28" s="429" t="str">
        <f ca="1">IFERROR(VLOOKUP(AJ$2,Rango_Admin_DailyPred,MATCH($F28,Rango_Admin_DailyPred_Primera,0),0),"-")</f>
        <v>-</v>
      </c>
      <c r="AK28" s="429" t="str">
        <f ca="1">IFERROR(VLOOKUP(AK$2,Rango_Admin_DailyPred,MATCH($F28,Rango_Admin_DailyPred_Primera,0),0),"-")</f>
        <v>-</v>
      </c>
      <c r="AL28" s="429" t="str">
        <f ca="1">IFERROR(VLOOKUP(AL$2,Rango_Admin_DailyPred,MATCH($F28,Rango_Admin_DailyPred_Primera,0),0),"-")</f>
        <v>-</v>
      </c>
      <c r="AM28" s="297"/>
      <c r="AN28" s="297"/>
      <c r="AO28" s="297"/>
    </row>
    <row r="29" spans="1:41">
      <c r="A29" s="8" t="str" cm="1">
        <f t="array" aca="1" ref="A29" ca="1">IFERROR(INDEX(ADMIN!$K$6:$K$258,SMALL(IF(ADMIN!$G$6:$G$258=$J$1,ROW(ADMIN!$G$6:$G$258)-ROW(ADMIN!$G$6)+1),ROWS($A$1:A26))),"")</f>
        <v/>
      </c>
      <c r="B29" s="8" t="str">
        <f t="shared" ca="1" si="0"/>
        <v xml:space="preserve">
</v>
      </c>
      <c r="C29" s="8" t="str" cm="1">
        <f t="array" aca="1" ref="C29" ca="1">IFERROR(IF(INDEX(ADMIN!$M$6:$M$258,SMALL(IF(ADMIN!$G$6:$G$258=$J$1,ROW(ADMIN!$G$6:$G$258)-ROW(ADMIN!$G$6)+1),ROWS($A$1:A26)))="-", "", " ("&amp;INDEX(ADMIN!$M$6:$M$258,SMALL(IF(ADMIN!$G$6:$G$258=$J$1,ROW(ADMIN!$G$6:$G$258)-ROW(ADMIN!$G$6)+1),ROWS($A$1:A26)))&amp;")"),"")</f>
        <v/>
      </c>
      <c r="D29" s="8" t="str" cm="1">
        <f t="array" aca="1" ref="D29" ca="1">IFERROR(IF($J$1&gt;=20,INDEX(ADMIN!$C$6:$C$258,SMALL(IF(ADMIN!$G$6:$G$258=$J$1,ROW(ADMIN!$G$6:$G$258)-ROW(ADMIN!$G$6)+1),ROWS($D$1:D26))),""),"")</f>
        <v/>
      </c>
      <c r="E29" s="19">
        <f t="shared" si="1"/>
        <v>84</v>
      </c>
      <c r="F29" s="448" t="str" cm="1">
        <f t="array" ref="F29">IFERROR(INDEX(Rango_Admin_DailyPred_Primera,1,E29),"-")</f>
        <v>William Hartley</v>
      </c>
      <c r="G29" s="429" t="str">
        <f ca="1">IFERROR(VLOOKUP(G$2,Rango_Admin_DailyPred,MATCH($F29,Rango_Admin_DailyPred_Primera,0),0),"-")</f>
        <v>1|2-1</v>
      </c>
      <c r="H29" s="429" t="str">
        <f ca="1">IFERROR(VLOOKUP(H$2,Rango_Admin_DailyPred,MATCH($F29,Rango_Admin_DailyPred_Primera,0),0),"-")</f>
        <v>-</v>
      </c>
      <c r="I29" s="429" t="str">
        <f ca="1">IFERROR(VLOOKUP(I$2,Rango_Admin_DailyPred,MATCH($F29,Rango_Admin_DailyPred_Primera,0),0),"-")</f>
        <v>-</v>
      </c>
      <c r="J29" s="429" t="str">
        <f ca="1">IFERROR(VLOOKUP(J$2,Rango_Admin_DailyPred,MATCH($F29,Rango_Admin_DailyPred_Primera,0),0),"-")</f>
        <v>-</v>
      </c>
      <c r="K29" s="429" t="str">
        <f ca="1">IFERROR(VLOOKUP(K$2,Rango_Admin_DailyPred,MATCH($F29,Rango_Admin_DailyPred_Primera,0),0),"-")</f>
        <v>-</v>
      </c>
      <c r="L29" s="429" t="str">
        <f ca="1">IFERROR(VLOOKUP(L$2,Rango_Admin_DailyPred,MATCH($F29,Rango_Admin_DailyPred_Primera,0),0),"-")</f>
        <v>-</v>
      </c>
      <c r="M29" s="429" t="str">
        <f ca="1">IFERROR(VLOOKUP(M$2,Rango_Admin_DailyPred,MATCH($F29,Rango_Admin_DailyPred_Primera,0),0),"-")</f>
        <v>-</v>
      </c>
      <c r="N29" s="429" t="str">
        <f ca="1">IFERROR(VLOOKUP(N$2,Rango_Admin_DailyPred,MATCH($F29,Rango_Admin_DailyPred_Primera,0),0),"-")</f>
        <v>-</v>
      </c>
      <c r="O29" s="429" t="str">
        <f ca="1">IFERROR(VLOOKUP(O$2,Rango_Admin_DailyPred,MATCH($F29,Rango_Admin_DailyPred_Primera,0),0),"-")</f>
        <v>-</v>
      </c>
      <c r="P29" s="429" t="str">
        <f ca="1">IFERROR(VLOOKUP(P$2,Rango_Admin_DailyPred,MATCH($F29,Rango_Admin_DailyPred_Primera,0),0),"-")</f>
        <v>-</v>
      </c>
      <c r="Q29" s="429" t="str">
        <f ca="1">IFERROR(VLOOKUP(Q$2,Rango_Admin_DailyPred,MATCH($F29,Rango_Admin_DailyPred_Primera,0),0),"-")</f>
        <v>-</v>
      </c>
      <c r="R29" s="429" t="str">
        <f ca="1">IFERROR(VLOOKUP(R$2,Rango_Admin_DailyPred,MATCH($F29,Rango_Admin_DailyPred_Primera,0),0),"-")</f>
        <v>-</v>
      </c>
      <c r="S29" s="429" t="str">
        <f ca="1">IFERROR(VLOOKUP(S$2,Rango_Admin_DailyPred,MATCH($F29,Rango_Admin_DailyPred_Primera,0),0),"-")</f>
        <v>-</v>
      </c>
      <c r="T29" s="429" t="str">
        <f ca="1">IFERROR(VLOOKUP(T$2,Rango_Admin_DailyPred,MATCH($F29,Rango_Admin_DailyPred_Primera,0),0),"-")</f>
        <v>-</v>
      </c>
      <c r="U29" s="429" t="str">
        <f ca="1">IFERROR(VLOOKUP(U$2,Rango_Admin_DailyPred,MATCH($F29,Rango_Admin_DailyPred_Primera,0),0),"-")</f>
        <v>-</v>
      </c>
      <c r="V29" s="429" t="str">
        <f ca="1">IFERROR(VLOOKUP(V$2,Rango_Admin_DailyPred,MATCH($F29,Rango_Admin_DailyPred_Primera,0),0),"-")</f>
        <v>-</v>
      </c>
      <c r="W29" s="429" t="str">
        <f ca="1">IFERROR(VLOOKUP(W$2,Rango_Admin_DailyPred,MATCH($F29,Rango_Admin_DailyPred_Primera,0),0),"-")</f>
        <v>-</v>
      </c>
      <c r="X29" s="429" t="str">
        <f ca="1">IFERROR(VLOOKUP(X$2,Rango_Admin_DailyPred,MATCH($F29,Rango_Admin_DailyPred_Primera,0),0),"-")</f>
        <v>-</v>
      </c>
      <c r="Y29" s="429" t="str">
        <f ca="1">IFERROR(VLOOKUP(Y$2,Rango_Admin_DailyPred,MATCH($F29,Rango_Admin_DailyPred_Primera,0),0),"-")</f>
        <v>-</v>
      </c>
      <c r="Z29" s="429" t="str">
        <f ca="1">IFERROR(VLOOKUP(Z$2,Rango_Admin_DailyPred,MATCH($F29,Rango_Admin_DailyPred_Primera,0),0),"-")</f>
        <v>-</v>
      </c>
      <c r="AA29" s="429" t="str">
        <f ca="1">IFERROR(VLOOKUP(AA$2,Rango_Admin_DailyPred,MATCH($F29,Rango_Admin_DailyPred_Primera,0),0),"-")</f>
        <v>-</v>
      </c>
      <c r="AB29" s="429" t="str">
        <f ca="1">IFERROR(VLOOKUP(AB$2,Rango_Admin_DailyPred,MATCH($F29,Rango_Admin_DailyPred_Primera,0),0),"-")</f>
        <v>-</v>
      </c>
      <c r="AC29" s="429" t="str">
        <f ca="1">IFERROR(VLOOKUP(AC$2,Rango_Admin_DailyPred,MATCH($F29,Rango_Admin_DailyPred_Primera,0),0),"-")</f>
        <v>-</v>
      </c>
      <c r="AD29" s="429" t="str">
        <f ca="1">IFERROR(VLOOKUP(AD$2,Rango_Admin_DailyPred,MATCH($F29,Rango_Admin_DailyPred_Primera,0),0),"-")</f>
        <v>-</v>
      </c>
      <c r="AE29" s="429" t="str">
        <f ca="1">IFERROR(VLOOKUP(AE$2,Rango_Admin_DailyPred,MATCH($F29,Rango_Admin_DailyPred_Primera,0),0),"-")</f>
        <v>-</v>
      </c>
      <c r="AF29" s="429" t="str">
        <f ca="1">IFERROR(VLOOKUP(AF$2,Rango_Admin_DailyPred,MATCH($F29,Rango_Admin_DailyPred_Primera,0),0),"-")</f>
        <v>-</v>
      </c>
      <c r="AG29" s="429" t="str">
        <f ca="1">IFERROR(VLOOKUP(AG$2,Rango_Admin_DailyPred,MATCH($F29,Rango_Admin_DailyPred_Primera,0),0),"-")</f>
        <v>-</v>
      </c>
      <c r="AH29" s="429" t="str">
        <f ca="1">IFERROR(VLOOKUP(AH$2,Rango_Admin_DailyPred,MATCH($F29,Rango_Admin_DailyPred_Primera,0),0),"-")</f>
        <v>-</v>
      </c>
      <c r="AI29" s="429" t="str">
        <f ca="1">IFERROR(VLOOKUP(AI$2,Rango_Admin_DailyPred,MATCH($F29,Rango_Admin_DailyPred_Primera,0),0),"-")</f>
        <v>-</v>
      </c>
      <c r="AJ29" s="429" t="str">
        <f ca="1">IFERROR(VLOOKUP(AJ$2,Rango_Admin_DailyPred,MATCH($F29,Rango_Admin_DailyPred_Primera,0),0),"-")</f>
        <v>-</v>
      </c>
      <c r="AK29" s="429" t="str">
        <f ca="1">IFERROR(VLOOKUP(AK$2,Rango_Admin_DailyPred,MATCH($F29,Rango_Admin_DailyPred_Primera,0),0),"-")</f>
        <v>-</v>
      </c>
      <c r="AL29" s="429" t="str">
        <f ca="1">IFERROR(VLOOKUP(AL$2,Rango_Admin_DailyPred,MATCH($F29,Rango_Admin_DailyPred_Primera,0),0),"-")</f>
        <v>-</v>
      </c>
      <c r="AM29" s="297"/>
      <c r="AN29" s="297"/>
      <c r="AO29" s="297"/>
    </row>
    <row r="30" spans="1:41">
      <c r="A30" s="8" t="str" cm="1">
        <f t="array" aca="1" ref="A30" ca="1">IFERROR(INDEX(ADMIN!$K$6:$K$258,SMALL(IF(ADMIN!$G$6:$G$258=$J$1,ROW(ADMIN!$G$6:$G$258)-ROW(ADMIN!$G$6)+1),ROWS($A$1:A27))),"")</f>
        <v/>
      </c>
      <c r="B30" s="8" t="str">
        <f t="shared" ca="1" si="0"/>
        <v xml:space="preserve">
</v>
      </c>
      <c r="C30" s="8" t="str" cm="1">
        <f t="array" aca="1" ref="C30" ca="1">IFERROR(IF(INDEX(ADMIN!$M$6:$M$258,SMALL(IF(ADMIN!$G$6:$G$258=$J$1,ROW(ADMIN!$G$6:$G$258)-ROW(ADMIN!$G$6)+1),ROWS($A$1:A27)))="-", "", " ("&amp;INDEX(ADMIN!$M$6:$M$258,SMALL(IF(ADMIN!$G$6:$G$258=$J$1,ROW(ADMIN!$G$6:$G$258)-ROW(ADMIN!$G$6)+1),ROWS($A$1:A27)))&amp;")"),"")</f>
        <v/>
      </c>
      <c r="D30" s="8" t="str" cm="1">
        <f t="array" aca="1" ref="D30" ca="1">IFERROR(IF($J$1&gt;=20,INDEX(ADMIN!$C$6:$C$258,SMALL(IF(ADMIN!$G$6:$G$258=$J$1,ROW(ADMIN!$G$6:$G$258)-ROW(ADMIN!$G$6)+1),ROWS($D$1:D27))),""),"")</f>
        <v/>
      </c>
      <c r="E30" s="19">
        <f t="shared" si="1"/>
        <v>87</v>
      </c>
      <c r="F30" s="448" t="str" cm="1">
        <f t="array" ref="F30">IFERROR(INDEX(Rango_Admin_DailyPred_Primera,1,E30),"-")</f>
        <v>Kurtischamp</v>
      </c>
      <c r="G30" s="429" t="str">
        <f ca="1">IFERROR(VLOOKUP(G$2,Rango_Admin_DailyPred,MATCH($F30,Rango_Admin_DailyPred_Primera,0),0),"-")</f>
        <v>1|3-1</v>
      </c>
      <c r="H30" s="429" t="str">
        <f ca="1">IFERROR(VLOOKUP(H$2,Rango_Admin_DailyPred,MATCH($F30,Rango_Admin_DailyPred_Primera,0),0),"-")</f>
        <v>-</v>
      </c>
      <c r="I30" s="429" t="str">
        <f ca="1">IFERROR(VLOOKUP(I$2,Rango_Admin_DailyPred,MATCH($F30,Rango_Admin_DailyPred_Primera,0),0),"-")</f>
        <v>-</v>
      </c>
      <c r="J30" s="429" t="str">
        <f ca="1">IFERROR(VLOOKUP(J$2,Rango_Admin_DailyPred,MATCH($F30,Rango_Admin_DailyPred_Primera,0),0),"-")</f>
        <v>-</v>
      </c>
      <c r="K30" s="429" t="str">
        <f ca="1">IFERROR(VLOOKUP(K$2,Rango_Admin_DailyPred,MATCH($F30,Rango_Admin_DailyPred_Primera,0),0),"-")</f>
        <v>-</v>
      </c>
      <c r="L30" s="429" t="str">
        <f ca="1">IFERROR(VLOOKUP(L$2,Rango_Admin_DailyPred,MATCH($F30,Rango_Admin_DailyPred_Primera,0),0),"-")</f>
        <v>-</v>
      </c>
      <c r="M30" s="429" t="str">
        <f ca="1">IFERROR(VLOOKUP(M$2,Rango_Admin_DailyPred,MATCH($F30,Rango_Admin_DailyPred_Primera,0),0),"-")</f>
        <v>-</v>
      </c>
      <c r="N30" s="429" t="str">
        <f ca="1">IFERROR(VLOOKUP(N$2,Rango_Admin_DailyPred,MATCH($F30,Rango_Admin_DailyPred_Primera,0),0),"-")</f>
        <v>-</v>
      </c>
      <c r="O30" s="429" t="str">
        <f ca="1">IFERROR(VLOOKUP(O$2,Rango_Admin_DailyPred,MATCH($F30,Rango_Admin_DailyPred_Primera,0),0),"-")</f>
        <v>-</v>
      </c>
      <c r="P30" s="429" t="str">
        <f ca="1">IFERROR(VLOOKUP(P$2,Rango_Admin_DailyPred,MATCH($F30,Rango_Admin_DailyPred_Primera,0),0),"-")</f>
        <v>-</v>
      </c>
      <c r="Q30" s="429" t="str">
        <f ca="1">IFERROR(VLOOKUP(Q$2,Rango_Admin_DailyPred,MATCH($F30,Rango_Admin_DailyPred_Primera,0),0),"-")</f>
        <v>-</v>
      </c>
      <c r="R30" s="429" t="str">
        <f ca="1">IFERROR(VLOOKUP(R$2,Rango_Admin_DailyPred,MATCH($F30,Rango_Admin_DailyPred_Primera,0),0),"-")</f>
        <v>-</v>
      </c>
      <c r="S30" s="429" t="str">
        <f ca="1">IFERROR(VLOOKUP(S$2,Rango_Admin_DailyPred,MATCH($F30,Rango_Admin_DailyPred_Primera,0),0),"-")</f>
        <v>-</v>
      </c>
      <c r="T30" s="429" t="str">
        <f ca="1">IFERROR(VLOOKUP(T$2,Rango_Admin_DailyPred,MATCH($F30,Rango_Admin_DailyPred_Primera,0),0),"-")</f>
        <v>-</v>
      </c>
      <c r="U30" s="429" t="str">
        <f ca="1">IFERROR(VLOOKUP(U$2,Rango_Admin_DailyPred,MATCH($F30,Rango_Admin_DailyPred_Primera,0),0),"-")</f>
        <v>-</v>
      </c>
      <c r="V30" s="429" t="str">
        <f ca="1">IFERROR(VLOOKUP(V$2,Rango_Admin_DailyPred,MATCH($F30,Rango_Admin_DailyPred_Primera,0),0),"-")</f>
        <v>-</v>
      </c>
      <c r="W30" s="429" t="str">
        <f ca="1">IFERROR(VLOOKUP(W$2,Rango_Admin_DailyPred,MATCH($F30,Rango_Admin_DailyPred_Primera,0),0),"-")</f>
        <v>-</v>
      </c>
      <c r="X30" s="429" t="str">
        <f ca="1">IFERROR(VLOOKUP(X$2,Rango_Admin_DailyPred,MATCH($F30,Rango_Admin_DailyPred_Primera,0),0),"-")</f>
        <v>-</v>
      </c>
      <c r="Y30" s="429" t="str">
        <f ca="1">IFERROR(VLOOKUP(Y$2,Rango_Admin_DailyPred,MATCH($F30,Rango_Admin_DailyPred_Primera,0),0),"-")</f>
        <v>-</v>
      </c>
      <c r="Z30" s="429" t="str">
        <f ca="1">IFERROR(VLOOKUP(Z$2,Rango_Admin_DailyPred,MATCH($F30,Rango_Admin_DailyPred_Primera,0),0),"-")</f>
        <v>-</v>
      </c>
      <c r="AA30" s="429" t="str">
        <f ca="1">IFERROR(VLOOKUP(AA$2,Rango_Admin_DailyPred,MATCH($F30,Rango_Admin_DailyPred_Primera,0),0),"-")</f>
        <v>-</v>
      </c>
      <c r="AB30" s="429" t="str">
        <f ca="1">IFERROR(VLOOKUP(AB$2,Rango_Admin_DailyPred,MATCH($F30,Rango_Admin_DailyPred_Primera,0),0),"-")</f>
        <v>-</v>
      </c>
      <c r="AC30" s="429" t="str">
        <f ca="1">IFERROR(VLOOKUP(AC$2,Rango_Admin_DailyPred,MATCH($F30,Rango_Admin_DailyPred_Primera,0),0),"-")</f>
        <v>-</v>
      </c>
      <c r="AD30" s="429" t="str">
        <f ca="1">IFERROR(VLOOKUP(AD$2,Rango_Admin_DailyPred,MATCH($F30,Rango_Admin_DailyPred_Primera,0),0),"-")</f>
        <v>-</v>
      </c>
      <c r="AE30" s="429" t="str">
        <f ca="1">IFERROR(VLOOKUP(AE$2,Rango_Admin_DailyPred,MATCH($F30,Rango_Admin_DailyPred_Primera,0),0),"-")</f>
        <v>-</v>
      </c>
      <c r="AF30" s="429" t="str">
        <f ca="1">IFERROR(VLOOKUP(AF$2,Rango_Admin_DailyPred,MATCH($F30,Rango_Admin_DailyPred_Primera,0),0),"-")</f>
        <v>-</v>
      </c>
      <c r="AG30" s="429" t="str">
        <f ca="1">IFERROR(VLOOKUP(AG$2,Rango_Admin_DailyPred,MATCH($F30,Rango_Admin_DailyPred_Primera,0),0),"-")</f>
        <v>-</v>
      </c>
      <c r="AH30" s="429" t="str">
        <f ca="1">IFERROR(VLOOKUP(AH$2,Rango_Admin_DailyPred,MATCH($F30,Rango_Admin_DailyPred_Primera,0),0),"-")</f>
        <v>-</v>
      </c>
      <c r="AI30" s="429" t="str">
        <f ca="1">IFERROR(VLOOKUP(AI$2,Rango_Admin_DailyPred,MATCH($F30,Rango_Admin_DailyPred_Primera,0),0),"-")</f>
        <v>-</v>
      </c>
      <c r="AJ30" s="429" t="str">
        <f ca="1">IFERROR(VLOOKUP(AJ$2,Rango_Admin_DailyPred,MATCH($F30,Rango_Admin_DailyPred_Primera,0),0),"-")</f>
        <v>-</v>
      </c>
      <c r="AK30" s="429" t="str">
        <f ca="1">IFERROR(VLOOKUP(AK$2,Rango_Admin_DailyPred,MATCH($F30,Rango_Admin_DailyPred_Primera,0),0),"-")</f>
        <v>-</v>
      </c>
      <c r="AL30" s="429" t="str">
        <f ca="1">IFERROR(VLOOKUP(AL$2,Rango_Admin_DailyPred,MATCH($F30,Rango_Admin_DailyPred_Primera,0),0),"-")</f>
        <v>-</v>
      </c>
      <c r="AM30" s="297"/>
      <c r="AN30" s="297"/>
      <c r="AO30" s="297"/>
    </row>
    <row r="31" spans="1:41">
      <c r="A31" s="8" t="str" cm="1">
        <f t="array" aca="1" ref="A31" ca="1">IFERROR(INDEX(ADMIN!$K$6:$K$258,SMALL(IF(ADMIN!$G$6:$G$258=$J$1,ROW(ADMIN!$G$6:$G$258)-ROW(ADMIN!$G$6)+1),ROWS($A$1:A28))),"")</f>
        <v/>
      </c>
      <c r="B31" s="8" t="str">
        <f t="shared" ca="1" si="0"/>
        <v xml:space="preserve">
</v>
      </c>
      <c r="C31" s="8" t="str" cm="1">
        <f t="array" aca="1" ref="C31" ca="1">IFERROR(IF(INDEX(ADMIN!$M$6:$M$258,SMALL(IF(ADMIN!$G$6:$G$258=$J$1,ROW(ADMIN!$G$6:$G$258)-ROW(ADMIN!$G$6)+1),ROWS($A$1:A28)))="-", "", " ("&amp;INDEX(ADMIN!$M$6:$M$258,SMALL(IF(ADMIN!$G$6:$G$258=$J$1,ROW(ADMIN!$G$6:$G$258)-ROW(ADMIN!$G$6)+1),ROWS($A$1:A28)))&amp;")"),"")</f>
        <v/>
      </c>
      <c r="D31" s="8" t="str" cm="1">
        <f t="array" aca="1" ref="D31" ca="1">IFERROR(IF($J$1&gt;=20,INDEX(ADMIN!$C$6:$C$258,SMALL(IF(ADMIN!$G$6:$G$258=$J$1,ROW(ADMIN!$G$6:$G$258)-ROW(ADMIN!$G$6)+1),ROWS($D$1:D28))),""),"")</f>
        <v/>
      </c>
      <c r="E31" s="19">
        <f t="shared" si="1"/>
        <v>90</v>
      </c>
      <c r="F31" s="448" t="str" cm="1">
        <f t="array" ref="F31">IFERROR(INDEX(Rango_Admin_DailyPred_Primera,1,E31),"-")</f>
        <v>KIRICOCHO</v>
      </c>
      <c r="G31" s="429" t="str">
        <f ca="1">IFERROR(VLOOKUP(G$2,Rango_Admin_DailyPred,MATCH($F31,Rango_Admin_DailyPred_Primera,0),0),"-")</f>
        <v>1|1-0</v>
      </c>
      <c r="H31" s="429" t="str">
        <f ca="1">IFERROR(VLOOKUP(H$2,Rango_Admin_DailyPred,MATCH($F31,Rango_Admin_DailyPred_Primera,0),0),"-")</f>
        <v>-</v>
      </c>
      <c r="I31" s="429" t="str">
        <f ca="1">IFERROR(VLOOKUP(I$2,Rango_Admin_DailyPred,MATCH($F31,Rango_Admin_DailyPred_Primera,0),0),"-")</f>
        <v>-</v>
      </c>
      <c r="J31" s="429" t="str">
        <f ca="1">IFERROR(VLOOKUP(J$2,Rango_Admin_DailyPred,MATCH($F31,Rango_Admin_DailyPred_Primera,0),0),"-")</f>
        <v>-</v>
      </c>
      <c r="K31" s="429" t="str">
        <f ca="1">IFERROR(VLOOKUP(K$2,Rango_Admin_DailyPred,MATCH($F31,Rango_Admin_DailyPred_Primera,0),0),"-")</f>
        <v>-</v>
      </c>
      <c r="L31" s="429" t="str">
        <f ca="1">IFERROR(VLOOKUP(L$2,Rango_Admin_DailyPred,MATCH($F31,Rango_Admin_DailyPred_Primera,0),0),"-")</f>
        <v>-</v>
      </c>
      <c r="M31" s="429" t="str">
        <f ca="1">IFERROR(VLOOKUP(M$2,Rango_Admin_DailyPred,MATCH($F31,Rango_Admin_DailyPred_Primera,0),0),"-")</f>
        <v>-</v>
      </c>
      <c r="N31" s="429" t="str">
        <f ca="1">IFERROR(VLOOKUP(N$2,Rango_Admin_DailyPred,MATCH($F31,Rango_Admin_DailyPred_Primera,0),0),"-")</f>
        <v>-</v>
      </c>
      <c r="O31" s="429" t="str">
        <f ca="1">IFERROR(VLOOKUP(O$2,Rango_Admin_DailyPred,MATCH($F31,Rango_Admin_DailyPred_Primera,0),0),"-")</f>
        <v>-</v>
      </c>
      <c r="P31" s="429" t="str">
        <f ca="1">IFERROR(VLOOKUP(P$2,Rango_Admin_DailyPred,MATCH($F31,Rango_Admin_DailyPred_Primera,0),0),"-")</f>
        <v>-</v>
      </c>
      <c r="Q31" s="429" t="str">
        <f ca="1">IFERROR(VLOOKUP(Q$2,Rango_Admin_DailyPred,MATCH($F31,Rango_Admin_DailyPred_Primera,0),0),"-")</f>
        <v>-</v>
      </c>
      <c r="R31" s="429" t="str">
        <f ca="1">IFERROR(VLOOKUP(R$2,Rango_Admin_DailyPred,MATCH($F31,Rango_Admin_DailyPred_Primera,0),0),"-")</f>
        <v>-</v>
      </c>
      <c r="S31" s="429" t="str">
        <f ca="1">IFERROR(VLOOKUP(S$2,Rango_Admin_DailyPred,MATCH($F31,Rango_Admin_DailyPred_Primera,0),0),"-")</f>
        <v>-</v>
      </c>
      <c r="T31" s="429" t="str">
        <f ca="1">IFERROR(VLOOKUP(T$2,Rango_Admin_DailyPred,MATCH($F31,Rango_Admin_DailyPred_Primera,0),0),"-")</f>
        <v>-</v>
      </c>
      <c r="U31" s="429" t="str">
        <f ca="1">IFERROR(VLOOKUP(U$2,Rango_Admin_DailyPred,MATCH($F31,Rango_Admin_DailyPred_Primera,0),0),"-")</f>
        <v>-</v>
      </c>
      <c r="V31" s="429" t="str">
        <f ca="1">IFERROR(VLOOKUP(V$2,Rango_Admin_DailyPred,MATCH($F31,Rango_Admin_DailyPred_Primera,0),0),"-")</f>
        <v>-</v>
      </c>
      <c r="W31" s="429" t="str">
        <f ca="1">IFERROR(VLOOKUP(W$2,Rango_Admin_DailyPred,MATCH($F31,Rango_Admin_DailyPred_Primera,0),0),"-")</f>
        <v>-</v>
      </c>
      <c r="X31" s="429" t="str">
        <f ca="1">IFERROR(VLOOKUP(X$2,Rango_Admin_DailyPred,MATCH($F31,Rango_Admin_DailyPred_Primera,0),0),"-")</f>
        <v>-</v>
      </c>
      <c r="Y31" s="429" t="str">
        <f ca="1">IFERROR(VLOOKUP(Y$2,Rango_Admin_DailyPred,MATCH($F31,Rango_Admin_DailyPred_Primera,0),0),"-")</f>
        <v>-</v>
      </c>
      <c r="Z31" s="429" t="str">
        <f ca="1">IFERROR(VLOOKUP(Z$2,Rango_Admin_DailyPred,MATCH($F31,Rango_Admin_DailyPred_Primera,0),0),"-")</f>
        <v>-</v>
      </c>
      <c r="AA31" s="429" t="str">
        <f ca="1">IFERROR(VLOOKUP(AA$2,Rango_Admin_DailyPred,MATCH($F31,Rango_Admin_DailyPred_Primera,0),0),"-")</f>
        <v>-</v>
      </c>
      <c r="AB31" s="429" t="str">
        <f ca="1">IFERROR(VLOOKUP(AB$2,Rango_Admin_DailyPred,MATCH($F31,Rango_Admin_DailyPred_Primera,0),0),"-")</f>
        <v>-</v>
      </c>
      <c r="AC31" s="429" t="str">
        <f ca="1">IFERROR(VLOOKUP(AC$2,Rango_Admin_DailyPred,MATCH($F31,Rango_Admin_DailyPred_Primera,0),0),"-")</f>
        <v>-</v>
      </c>
      <c r="AD31" s="429" t="str">
        <f ca="1">IFERROR(VLOOKUP(AD$2,Rango_Admin_DailyPred,MATCH($F31,Rango_Admin_DailyPred_Primera,0),0),"-")</f>
        <v>-</v>
      </c>
      <c r="AE31" s="429" t="str">
        <f ca="1">IFERROR(VLOOKUP(AE$2,Rango_Admin_DailyPred,MATCH($F31,Rango_Admin_DailyPred_Primera,0),0),"-")</f>
        <v>-</v>
      </c>
      <c r="AF31" s="429" t="str">
        <f ca="1">IFERROR(VLOOKUP(AF$2,Rango_Admin_DailyPred,MATCH($F31,Rango_Admin_DailyPred_Primera,0),0),"-")</f>
        <v>-</v>
      </c>
      <c r="AG31" s="429" t="str">
        <f ca="1">IFERROR(VLOOKUP(AG$2,Rango_Admin_DailyPred,MATCH($F31,Rango_Admin_DailyPred_Primera,0),0),"-")</f>
        <v>-</v>
      </c>
      <c r="AH31" s="429" t="str">
        <f ca="1">IFERROR(VLOOKUP(AH$2,Rango_Admin_DailyPred,MATCH($F31,Rango_Admin_DailyPred_Primera,0),0),"-")</f>
        <v>-</v>
      </c>
      <c r="AI31" s="429" t="str">
        <f ca="1">IFERROR(VLOOKUP(AI$2,Rango_Admin_DailyPred,MATCH($F31,Rango_Admin_DailyPred_Primera,0),0),"-")</f>
        <v>-</v>
      </c>
      <c r="AJ31" s="429" t="str">
        <f ca="1">IFERROR(VLOOKUP(AJ$2,Rango_Admin_DailyPred,MATCH($F31,Rango_Admin_DailyPred_Primera,0),0),"-")</f>
        <v>-</v>
      </c>
      <c r="AK31" s="429" t="str">
        <f ca="1">IFERROR(VLOOKUP(AK$2,Rango_Admin_DailyPred,MATCH($F31,Rango_Admin_DailyPred_Primera,0),0),"-")</f>
        <v>-</v>
      </c>
      <c r="AL31" s="429" t="str">
        <f ca="1">IFERROR(VLOOKUP(AL$2,Rango_Admin_DailyPred,MATCH($F31,Rango_Admin_DailyPred_Primera,0),0),"-")</f>
        <v>-</v>
      </c>
      <c r="AM31" s="297"/>
      <c r="AN31" s="297"/>
      <c r="AO31" s="297"/>
    </row>
    <row r="32" spans="1:41">
      <c r="A32" s="8" t="str" cm="1">
        <f t="array" aca="1" ref="A32" ca="1">IFERROR(INDEX(ADMIN!$K$6:$K$258,SMALL(IF(ADMIN!$G$6:$G$258=$J$1,ROW(ADMIN!$G$6:$G$258)-ROW(ADMIN!$G$6)+1),ROWS($A$1:A29))),"")</f>
        <v/>
      </c>
      <c r="B32" s="8" t="str">
        <f t="shared" ca="1" si="0"/>
        <v xml:space="preserve">
</v>
      </c>
      <c r="C32" s="8" t="str" cm="1">
        <f t="array" aca="1" ref="C32" ca="1">IFERROR(IF(INDEX(ADMIN!$M$6:$M$258,SMALL(IF(ADMIN!$G$6:$G$258=$J$1,ROW(ADMIN!$G$6:$G$258)-ROW(ADMIN!$G$6)+1),ROWS($A$1:A29)))="-", "", " ("&amp;INDEX(ADMIN!$M$6:$M$258,SMALL(IF(ADMIN!$G$6:$G$258=$J$1,ROW(ADMIN!$G$6:$G$258)-ROW(ADMIN!$G$6)+1),ROWS($A$1:A29)))&amp;")"),"")</f>
        <v/>
      </c>
      <c r="D32" s="8" t="str" cm="1">
        <f t="array" aca="1" ref="D32" ca="1">IFERROR(IF($J$1&gt;=20,INDEX(ADMIN!$C$6:$C$258,SMALL(IF(ADMIN!$G$6:$G$258=$J$1,ROW(ADMIN!$G$6:$G$258)-ROW(ADMIN!$G$6)+1),ROWS($D$1:D29))),""),"")</f>
        <v/>
      </c>
      <c r="E32" s="19">
        <f t="shared" si="1"/>
        <v>93</v>
      </c>
      <c r="F32" s="448" t="str" cm="1">
        <f t="array" ref="F32">IFERROR(INDEX(Rango_Admin_DailyPred_Primera,1,E32),"-")</f>
        <v>BeliBeltrán</v>
      </c>
      <c r="G32" s="429" t="str">
        <f ca="1">IFERROR(VLOOKUP(G$2,Rango_Admin_DailyPred,MATCH($F32,Rango_Admin_DailyPred_Primera,0),0),"-")</f>
        <v>1|2-1</v>
      </c>
      <c r="H32" s="429" t="str">
        <f ca="1">IFERROR(VLOOKUP(H$2,Rango_Admin_DailyPred,MATCH($F32,Rango_Admin_DailyPred_Primera,0),0),"-")</f>
        <v>-</v>
      </c>
      <c r="I32" s="429" t="str">
        <f ca="1">IFERROR(VLOOKUP(I$2,Rango_Admin_DailyPred,MATCH($F32,Rango_Admin_DailyPred_Primera,0),0),"-")</f>
        <v>-</v>
      </c>
      <c r="J32" s="429" t="str">
        <f ca="1">IFERROR(VLOOKUP(J$2,Rango_Admin_DailyPred,MATCH($F32,Rango_Admin_DailyPred_Primera,0),0),"-")</f>
        <v>-</v>
      </c>
      <c r="K32" s="429" t="str">
        <f ca="1">IFERROR(VLOOKUP(K$2,Rango_Admin_DailyPred,MATCH($F32,Rango_Admin_DailyPred_Primera,0),0),"-")</f>
        <v>-</v>
      </c>
      <c r="L32" s="429" t="str">
        <f ca="1">IFERROR(VLOOKUP(L$2,Rango_Admin_DailyPred,MATCH($F32,Rango_Admin_DailyPred_Primera,0),0),"-")</f>
        <v>-</v>
      </c>
      <c r="M32" s="429" t="str">
        <f ca="1">IFERROR(VLOOKUP(M$2,Rango_Admin_DailyPred,MATCH($F32,Rango_Admin_DailyPred_Primera,0),0),"-")</f>
        <v>-</v>
      </c>
      <c r="N32" s="429" t="str">
        <f ca="1">IFERROR(VLOOKUP(N$2,Rango_Admin_DailyPred,MATCH($F32,Rango_Admin_DailyPred_Primera,0),0),"-")</f>
        <v>-</v>
      </c>
      <c r="O32" s="429" t="str">
        <f ca="1">IFERROR(VLOOKUP(O$2,Rango_Admin_DailyPred,MATCH($F32,Rango_Admin_DailyPred_Primera,0),0),"-")</f>
        <v>-</v>
      </c>
      <c r="P32" s="429" t="str">
        <f ca="1">IFERROR(VLOOKUP(P$2,Rango_Admin_DailyPred,MATCH($F32,Rango_Admin_DailyPred_Primera,0),0),"-")</f>
        <v>-</v>
      </c>
      <c r="Q32" s="429" t="str">
        <f ca="1">IFERROR(VLOOKUP(Q$2,Rango_Admin_DailyPred,MATCH($F32,Rango_Admin_DailyPred_Primera,0),0),"-")</f>
        <v>-</v>
      </c>
      <c r="R32" s="429" t="str">
        <f ca="1">IFERROR(VLOOKUP(R$2,Rango_Admin_DailyPred,MATCH($F32,Rango_Admin_DailyPred_Primera,0),0),"-")</f>
        <v>-</v>
      </c>
      <c r="S32" s="429" t="str">
        <f ca="1">IFERROR(VLOOKUP(S$2,Rango_Admin_DailyPred,MATCH($F32,Rango_Admin_DailyPred_Primera,0),0),"-")</f>
        <v>-</v>
      </c>
      <c r="T32" s="429" t="str">
        <f ca="1">IFERROR(VLOOKUP(T$2,Rango_Admin_DailyPred,MATCH($F32,Rango_Admin_DailyPred_Primera,0),0),"-")</f>
        <v>-</v>
      </c>
      <c r="U32" s="429" t="str">
        <f ca="1">IFERROR(VLOOKUP(U$2,Rango_Admin_DailyPred,MATCH($F32,Rango_Admin_DailyPred_Primera,0),0),"-")</f>
        <v>-</v>
      </c>
      <c r="V32" s="429" t="str">
        <f ca="1">IFERROR(VLOOKUP(V$2,Rango_Admin_DailyPred,MATCH($F32,Rango_Admin_DailyPred_Primera,0),0),"-")</f>
        <v>-</v>
      </c>
      <c r="W32" s="429" t="str">
        <f ca="1">IFERROR(VLOOKUP(W$2,Rango_Admin_DailyPred,MATCH($F32,Rango_Admin_DailyPred_Primera,0),0),"-")</f>
        <v>-</v>
      </c>
      <c r="X32" s="429" t="str">
        <f ca="1">IFERROR(VLOOKUP(X$2,Rango_Admin_DailyPred,MATCH($F32,Rango_Admin_DailyPred_Primera,0),0),"-")</f>
        <v>-</v>
      </c>
      <c r="Y32" s="429" t="str">
        <f ca="1">IFERROR(VLOOKUP(Y$2,Rango_Admin_DailyPred,MATCH($F32,Rango_Admin_DailyPred_Primera,0),0),"-")</f>
        <v>-</v>
      </c>
      <c r="Z32" s="429" t="str">
        <f ca="1">IFERROR(VLOOKUP(Z$2,Rango_Admin_DailyPred,MATCH($F32,Rango_Admin_DailyPred_Primera,0),0),"-")</f>
        <v>-</v>
      </c>
      <c r="AA32" s="429" t="str">
        <f ca="1">IFERROR(VLOOKUP(AA$2,Rango_Admin_DailyPred,MATCH($F32,Rango_Admin_DailyPred_Primera,0),0),"-")</f>
        <v>-</v>
      </c>
      <c r="AB32" s="429" t="str">
        <f ca="1">IFERROR(VLOOKUP(AB$2,Rango_Admin_DailyPred,MATCH($F32,Rango_Admin_DailyPred_Primera,0),0),"-")</f>
        <v>-</v>
      </c>
      <c r="AC32" s="429" t="str">
        <f ca="1">IFERROR(VLOOKUP(AC$2,Rango_Admin_DailyPred,MATCH($F32,Rango_Admin_DailyPred_Primera,0),0),"-")</f>
        <v>-</v>
      </c>
      <c r="AD32" s="429" t="str">
        <f ca="1">IFERROR(VLOOKUP(AD$2,Rango_Admin_DailyPred,MATCH($F32,Rango_Admin_DailyPred_Primera,0),0),"-")</f>
        <v>-</v>
      </c>
      <c r="AE32" s="429" t="str">
        <f ca="1">IFERROR(VLOOKUP(AE$2,Rango_Admin_DailyPred,MATCH($F32,Rango_Admin_DailyPred_Primera,0),0),"-")</f>
        <v>-</v>
      </c>
      <c r="AF32" s="429" t="str">
        <f ca="1">IFERROR(VLOOKUP(AF$2,Rango_Admin_DailyPred,MATCH($F32,Rango_Admin_DailyPred_Primera,0),0),"-")</f>
        <v>-</v>
      </c>
      <c r="AG32" s="429" t="str">
        <f ca="1">IFERROR(VLOOKUP(AG$2,Rango_Admin_DailyPred,MATCH($F32,Rango_Admin_DailyPred_Primera,0),0),"-")</f>
        <v>-</v>
      </c>
      <c r="AH32" s="429" t="str">
        <f ca="1">IFERROR(VLOOKUP(AH$2,Rango_Admin_DailyPred,MATCH($F32,Rango_Admin_DailyPred_Primera,0),0),"-")</f>
        <v>-</v>
      </c>
      <c r="AI32" s="429" t="str">
        <f ca="1">IFERROR(VLOOKUP(AI$2,Rango_Admin_DailyPred,MATCH($F32,Rango_Admin_DailyPred_Primera,0),0),"-")</f>
        <v>-</v>
      </c>
      <c r="AJ32" s="429" t="str">
        <f ca="1">IFERROR(VLOOKUP(AJ$2,Rango_Admin_DailyPred,MATCH($F32,Rango_Admin_DailyPred_Primera,0),0),"-")</f>
        <v>-</v>
      </c>
      <c r="AK32" s="429" t="str">
        <f ca="1">IFERROR(VLOOKUP(AK$2,Rango_Admin_DailyPred,MATCH($F32,Rango_Admin_DailyPred_Primera,0),0),"-")</f>
        <v>-</v>
      </c>
      <c r="AL32" s="429" t="str">
        <f ca="1">IFERROR(VLOOKUP(AL$2,Rango_Admin_DailyPred,MATCH($F32,Rango_Admin_DailyPred_Primera,0),0),"-")</f>
        <v>-</v>
      </c>
      <c r="AM32" s="297"/>
      <c r="AN32" s="297"/>
      <c r="AO32" s="297"/>
    </row>
    <row r="33" spans="1:41">
      <c r="A33" s="8" t="str" cm="1">
        <f t="array" aca="1" ref="A33" ca="1">IFERROR(INDEX(ADMIN!$K$6:$K$258,SMALL(IF(ADMIN!$G$6:$G$258=$J$1,ROW(ADMIN!$G$6:$G$258)-ROW(ADMIN!$G$6)+1),ROWS($A$1:A30))),"")</f>
        <v/>
      </c>
      <c r="B33" s="8" t="str">
        <f t="shared" ca="1" si="0"/>
        <v xml:space="preserve">
</v>
      </c>
      <c r="C33" s="8" t="str" cm="1">
        <f t="array" aca="1" ref="C33" ca="1">IFERROR(IF(INDEX(ADMIN!$M$6:$M$258,SMALL(IF(ADMIN!$G$6:$G$258=$J$1,ROW(ADMIN!$G$6:$G$258)-ROW(ADMIN!$G$6)+1),ROWS($A$1:A30)))="-", "", " ("&amp;INDEX(ADMIN!$M$6:$M$258,SMALL(IF(ADMIN!$G$6:$G$258=$J$1,ROW(ADMIN!$G$6:$G$258)-ROW(ADMIN!$G$6)+1),ROWS($A$1:A30)))&amp;")"),"")</f>
        <v/>
      </c>
      <c r="D33" s="8" t="str" cm="1">
        <f t="array" aca="1" ref="D33" ca="1">IFERROR(IF($J$1&gt;=20,INDEX(ADMIN!$C$6:$C$258,SMALL(IF(ADMIN!$G$6:$G$258=$J$1,ROW(ADMIN!$G$6:$G$258)-ROW(ADMIN!$G$6)+1),ROWS($D$1:D30))),""),"")</f>
        <v/>
      </c>
      <c r="E33" s="19">
        <f t="shared" si="1"/>
        <v>96</v>
      </c>
      <c r="F33" s="448" t="str" cm="1">
        <f t="array" ref="F33">IFERROR(INDEX(Rango_Admin_DailyPred_Primera,1,E33),"-")</f>
        <v>Fernando Carlos García-Ramos Redondo</v>
      </c>
      <c r="G33" s="429" t="str">
        <f ca="1">IFERROR(VLOOKUP(G$2,Rango_Admin_DailyPred,MATCH($F33,Rango_Admin_DailyPred_Primera,0),0),"-")</f>
        <v>1|2-0</v>
      </c>
      <c r="H33" s="429" t="str">
        <f ca="1">IFERROR(VLOOKUP(H$2,Rango_Admin_DailyPred,MATCH($F33,Rango_Admin_DailyPred_Primera,0),0),"-")</f>
        <v>-</v>
      </c>
      <c r="I33" s="429" t="str">
        <f ca="1">IFERROR(VLOOKUP(I$2,Rango_Admin_DailyPred,MATCH($F33,Rango_Admin_DailyPred_Primera,0),0),"-")</f>
        <v>-</v>
      </c>
      <c r="J33" s="429" t="str">
        <f ca="1">IFERROR(VLOOKUP(J$2,Rango_Admin_DailyPred,MATCH($F33,Rango_Admin_DailyPred_Primera,0),0),"-")</f>
        <v>-</v>
      </c>
      <c r="K33" s="429" t="str">
        <f ca="1">IFERROR(VLOOKUP(K$2,Rango_Admin_DailyPred,MATCH($F33,Rango_Admin_DailyPred_Primera,0),0),"-")</f>
        <v>-</v>
      </c>
      <c r="L33" s="429" t="str">
        <f ca="1">IFERROR(VLOOKUP(L$2,Rango_Admin_DailyPred,MATCH($F33,Rango_Admin_DailyPred_Primera,0),0),"-")</f>
        <v>-</v>
      </c>
      <c r="M33" s="429" t="str">
        <f ca="1">IFERROR(VLOOKUP(M$2,Rango_Admin_DailyPred,MATCH($F33,Rango_Admin_DailyPred_Primera,0),0),"-")</f>
        <v>-</v>
      </c>
      <c r="N33" s="429" t="str">
        <f ca="1">IFERROR(VLOOKUP(N$2,Rango_Admin_DailyPred,MATCH($F33,Rango_Admin_DailyPred_Primera,0),0),"-")</f>
        <v>-</v>
      </c>
      <c r="O33" s="429" t="str">
        <f ca="1">IFERROR(VLOOKUP(O$2,Rango_Admin_DailyPred,MATCH($F33,Rango_Admin_DailyPred_Primera,0),0),"-")</f>
        <v>-</v>
      </c>
      <c r="P33" s="429" t="str">
        <f ca="1">IFERROR(VLOOKUP(P$2,Rango_Admin_DailyPred,MATCH($F33,Rango_Admin_DailyPred_Primera,0),0),"-")</f>
        <v>-</v>
      </c>
      <c r="Q33" s="429" t="str">
        <f ca="1">IFERROR(VLOOKUP(Q$2,Rango_Admin_DailyPred,MATCH($F33,Rango_Admin_DailyPred_Primera,0),0),"-")</f>
        <v>-</v>
      </c>
      <c r="R33" s="429" t="str">
        <f ca="1">IFERROR(VLOOKUP(R$2,Rango_Admin_DailyPred,MATCH($F33,Rango_Admin_DailyPred_Primera,0),0),"-")</f>
        <v>-</v>
      </c>
      <c r="S33" s="429" t="str">
        <f ca="1">IFERROR(VLOOKUP(S$2,Rango_Admin_DailyPred,MATCH($F33,Rango_Admin_DailyPred_Primera,0),0),"-")</f>
        <v>-</v>
      </c>
      <c r="T33" s="429" t="str">
        <f ca="1">IFERROR(VLOOKUP(T$2,Rango_Admin_DailyPred,MATCH($F33,Rango_Admin_DailyPred_Primera,0),0),"-")</f>
        <v>-</v>
      </c>
      <c r="U33" s="429" t="str">
        <f ca="1">IFERROR(VLOOKUP(U$2,Rango_Admin_DailyPred,MATCH($F33,Rango_Admin_DailyPred_Primera,0),0),"-")</f>
        <v>-</v>
      </c>
      <c r="V33" s="429" t="str">
        <f ca="1">IFERROR(VLOOKUP(V$2,Rango_Admin_DailyPred,MATCH($F33,Rango_Admin_DailyPred_Primera,0),0),"-")</f>
        <v>-</v>
      </c>
      <c r="W33" s="429" t="str">
        <f ca="1">IFERROR(VLOOKUP(W$2,Rango_Admin_DailyPred,MATCH($F33,Rango_Admin_DailyPred_Primera,0),0),"-")</f>
        <v>-</v>
      </c>
      <c r="X33" s="429" t="str">
        <f ca="1">IFERROR(VLOOKUP(X$2,Rango_Admin_DailyPred,MATCH($F33,Rango_Admin_DailyPred_Primera,0),0),"-")</f>
        <v>-</v>
      </c>
      <c r="Y33" s="429" t="str">
        <f ca="1">IFERROR(VLOOKUP(Y$2,Rango_Admin_DailyPred,MATCH($F33,Rango_Admin_DailyPred_Primera,0),0),"-")</f>
        <v>-</v>
      </c>
      <c r="Z33" s="429" t="str">
        <f ca="1">IFERROR(VLOOKUP(Z$2,Rango_Admin_DailyPred,MATCH($F33,Rango_Admin_DailyPred_Primera,0),0),"-")</f>
        <v>-</v>
      </c>
      <c r="AA33" s="429" t="str">
        <f ca="1">IFERROR(VLOOKUP(AA$2,Rango_Admin_DailyPred,MATCH($F33,Rango_Admin_DailyPred_Primera,0),0),"-")</f>
        <v>-</v>
      </c>
      <c r="AB33" s="429" t="str">
        <f ca="1">IFERROR(VLOOKUP(AB$2,Rango_Admin_DailyPred,MATCH($F33,Rango_Admin_DailyPred_Primera,0),0),"-")</f>
        <v>-</v>
      </c>
      <c r="AC33" s="429" t="str">
        <f ca="1">IFERROR(VLOOKUP(AC$2,Rango_Admin_DailyPred,MATCH($F33,Rango_Admin_DailyPred_Primera,0),0),"-")</f>
        <v>-</v>
      </c>
      <c r="AD33" s="429" t="str">
        <f ca="1">IFERROR(VLOOKUP(AD$2,Rango_Admin_DailyPred,MATCH($F33,Rango_Admin_DailyPred_Primera,0),0),"-")</f>
        <v>-</v>
      </c>
      <c r="AE33" s="429" t="str">
        <f ca="1">IFERROR(VLOOKUP(AE$2,Rango_Admin_DailyPred,MATCH($F33,Rango_Admin_DailyPred_Primera,0),0),"-")</f>
        <v>-</v>
      </c>
      <c r="AF33" s="429" t="str">
        <f ca="1">IFERROR(VLOOKUP(AF$2,Rango_Admin_DailyPred,MATCH($F33,Rango_Admin_DailyPred_Primera,0),0),"-")</f>
        <v>-</v>
      </c>
      <c r="AG33" s="429" t="str">
        <f ca="1">IFERROR(VLOOKUP(AG$2,Rango_Admin_DailyPred,MATCH($F33,Rango_Admin_DailyPred_Primera,0),0),"-")</f>
        <v>-</v>
      </c>
      <c r="AH33" s="429" t="str">
        <f ca="1">IFERROR(VLOOKUP(AH$2,Rango_Admin_DailyPred,MATCH($F33,Rango_Admin_DailyPred_Primera,0),0),"-")</f>
        <v>-</v>
      </c>
      <c r="AI33" s="429" t="str">
        <f ca="1">IFERROR(VLOOKUP(AI$2,Rango_Admin_DailyPred,MATCH($F33,Rango_Admin_DailyPred_Primera,0),0),"-")</f>
        <v>-</v>
      </c>
      <c r="AJ33" s="429" t="str">
        <f ca="1">IFERROR(VLOOKUP(AJ$2,Rango_Admin_DailyPred,MATCH($F33,Rango_Admin_DailyPred_Primera,0),0),"-")</f>
        <v>-</v>
      </c>
      <c r="AK33" s="429" t="str">
        <f ca="1">IFERROR(VLOOKUP(AK$2,Rango_Admin_DailyPred,MATCH($F33,Rango_Admin_DailyPred_Primera,0),0),"-")</f>
        <v>-</v>
      </c>
      <c r="AL33" s="429" t="str">
        <f ca="1">IFERROR(VLOOKUP(AL$2,Rango_Admin_DailyPred,MATCH($F33,Rango_Admin_DailyPred_Primera,0),0),"-")</f>
        <v>-</v>
      </c>
      <c r="AM33" s="297"/>
      <c r="AN33" s="297"/>
      <c r="AO33" s="297"/>
    </row>
    <row r="34" spans="1:41">
      <c r="A34" s="8" t="str" cm="1">
        <f t="array" aca="1" ref="A34" ca="1">IFERROR(INDEX(ADMIN!$K$6:$K$258,SMALL(IF(ADMIN!$G$6:$G$258=$J$1,ROW(ADMIN!$G$6:$G$258)-ROW(ADMIN!$G$6)+1),ROWS($A$1:A31))),"")</f>
        <v/>
      </c>
      <c r="B34" s="8" t="str">
        <f t="shared" ca="1" si="0"/>
        <v xml:space="preserve">
</v>
      </c>
      <c r="C34" s="8" t="str" cm="1">
        <f t="array" aca="1" ref="C34" ca="1">IFERROR(IF(INDEX(ADMIN!$M$6:$M$258,SMALL(IF(ADMIN!$G$6:$G$258=$J$1,ROW(ADMIN!$G$6:$G$258)-ROW(ADMIN!$G$6)+1),ROWS($A$1:A31)))="-", "", " ("&amp;INDEX(ADMIN!$M$6:$M$258,SMALL(IF(ADMIN!$G$6:$G$258=$J$1,ROW(ADMIN!$G$6:$G$258)-ROW(ADMIN!$G$6)+1),ROWS($A$1:A31)))&amp;")"),"")</f>
        <v/>
      </c>
      <c r="D34" s="8" t="str" cm="1">
        <f t="array" aca="1" ref="D34" ca="1">IFERROR(IF($J$1&gt;=20,INDEX(ADMIN!$C$6:$C$258,SMALL(IF(ADMIN!$G$6:$G$258=$J$1,ROW(ADMIN!$G$6:$G$258)-ROW(ADMIN!$G$6)+1),ROWS($D$1:D31))),""),"")</f>
        <v/>
      </c>
      <c r="E34" s="19">
        <f t="shared" si="1"/>
        <v>99</v>
      </c>
      <c r="F34" s="448" t="str" cm="1">
        <f t="array" ref="F34">IFERROR(INDEX(Rango_Admin_DailyPred_Primera,1,E34),"-")</f>
        <v>Vicuinho</v>
      </c>
      <c r="G34" s="429" t="str">
        <f ca="1">IFERROR(VLOOKUP(G$2,Rango_Admin_DailyPred,MATCH($F34,Rango_Admin_DailyPred_Primera,0),0),"-")</f>
        <v>1|2-1</v>
      </c>
      <c r="H34" s="429" t="str">
        <f ca="1">IFERROR(VLOOKUP(H$2,Rango_Admin_DailyPred,MATCH($F34,Rango_Admin_DailyPred_Primera,0),0),"-")</f>
        <v>-</v>
      </c>
      <c r="I34" s="429" t="str">
        <f ca="1">IFERROR(VLOOKUP(I$2,Rango_Admin_DailyPred,MATCH($F34,Rango_Admin_DailyPred_Primera,0),0),"-")</f>
        <v>-</v>
      </c>
      <c r="J34" s="429" t="str">
        <f ca="1">IFERROR(VLOOKUP(J$2,Rango_Admin_DailyPred,MATCH($F34,Rango_Admin_DailyPred_Primera,0),0),"-")</f>
        <v>-</v>
      </c>
      <c r="K34" s="429" t="str">
        <f ca="1">IFERROR(VLOOKUP(K$2,Rango_Admin_DailyPred,MATCH($F34,Rango_Admin_DailyPred_Primera,0),0),"-")</f>
        <v>-</v>
      </c>
      <c r="L34" s="429" t="str">
        <f ca="1">IFERROR(VLOOKUP(L$2,Rango_Admin_DailyPred,MATCH($F34,Rango_Admin_DailyPred_Primera,0),0),"-")</f>
        <v>-</v>
      </c>
      <c r="M34" s="429" t="str">
        <f ca="1">IFERROR(VLOOKUP(M$2,Rango_Admin_DailyPred,MATCH($F34,Rango_Admin_DailyPred_Primera,0),0),"-")</f>
        <v>-</v>
      </c>
      <c r="N34" s="429" t="str">
        <f ca="1">IFERROR(VLOOKUP(N$2,Rango_Admin_DailyPred,MATCH($F34,Rango_Admin_DailyPred_Primera,0),0),"-")</f>
        <v>-</v>
      </c>
      <c r="O34" s="429" t="str">
        <f ca="1">IFERROR(VLOOKUP(O$2,Rango_Admin_DailyPred,MATCH($F34,Rango_Admin_DailyPred_Primera,0),0),"-")</f>
        <v>-</v>
      </c>
      <c r="P34" s="429" t="str">
        <f ca="1">IFERROR(VLOOKUP(P$2,Rango_Admin_DailyPred,MATCH($F34,Rango_Admin_DailyPred_Primera,0),0),"-")</f>
        <v>-</v>
      </c>
      <c r="Q34" s="429" t="str">
        <f ca="1">IFERROR(VLOOKUP(Q$2,Rango_Admin_DailyPred,MATCH($F34,Rango_Admin_DailyPred_Primera,0),0),"-")</f>
        <v>-</v>
      </c>
      <c r="R34" s="429" t="str">
        <f ca="1">IFERROR(VLOOKUP(R$2,Rango_Admin_DailyPred,MATCH($F34,Rango_Admin_DailyPred_Primera,0),0),"-")</f>
        <v>-</v>
      </c>
      <c r="S34" s="429" t="str">
        <f ca="1">IFERROR(VLOOKUP(S$2,Rango_Admin_DailyPred,MATCH($F34,Rango_Admin_DailyPred_Primera,0),0),"-")</f>
        <v>-</v>
      </c>
      <c r="T34" s="429" t="str">
        <f ca="1">IFERROR(VLOOKUP(T$2,Rango_Admin_DailyPred,MATCH($F34,Rango_Admin_DailyPred_Primera,0),0),"-")</f>
        <v>-</v>
      </c>
      <c r="U34" s="429" t="str">
        <f ca="1">IFERROR(VLOOKUP(U$2,Rango_Admin_DailyPred,MATCH($F34,Rango_Admin_DailyPred_Primera,0),0),"-")</f>
        <v>-</v>
      </c>
      <c r="V34" s="429" t="str">
        <f ca="1">IFERROR(VLOOKUP(V$2,Rango_Admin_DailyPred,MATCH($F34,Rango_Admin_DailyPred_Primera,0),0),"-")</f>
        <v>-</v>
      </c>
      <c r="W34" s="429" t="str">
        <f ca="1">IFERROR(VLOOKUP(W$2,Rango_Admin_DailyPred,MATCH($F34,Rango_Admin_DailyPred_Primera,0),0),"-")</f>
        <v>-</v>
      </c>
      <c r="X34" s="429" t="str">
        <f ca="1">IFERROR(VLOOKUP(X$2,Rango_Admin_DailyPred,MATCH($F34,Rango_Admin_DailyPred_Primera,0),0),"-")</f>
        <v>-</v>
      </c>
      <c r="Y34" s="429" t="str">
        <f ca="1">IFERROR(VLOOKUP(Y$2,Rango_Admin_DailyPred,MATCH($F34,Rango_Admin_DailyPred_Primera,0),0),"-")</f>
        <v>-</v>
      </c>
      <c r="Z34" s="429" t="str">
        <f ca="1">IFERROR(VLOOKUP(Z$2,Rango_Admin_DailyPred,MATCH($F34,Rango_Admin_DailyPred_Primera,0),0),"-")</f>
        <v>-</v>
      </c>
      <c r="AA34" s="429" t="str">
        <f ca="1">IFERROR(VLOOKUP(AA$2,Rango_Admin_DailyPred,MATCH($F34,Rango_Admin_DailyPred_Primera,0),0),"-")</f>
        <v>-</v>
      </c>
      <c r="AB34" s="429" t="str">
        <f ca="1">IFERROR(VLOOKUP(AB$2,Rango_Admin_DailyPred,MATCH($F34,Rango_Admin_DailyPred_Primera,0),0),"-")</f>
        <v>-</v>
      </c>
      <c r="AC34" s="429" t="str">
        <f ca="1">IFERROR(VLOOKUP(AC$2,Rango_Admin_DailyPred,MATCH($F34,Rango_Admin_DailyPred_Primera,0),0),"-")</f>
        <v>-</v>
      </c>
      <c r="AD34" s="429" t="str">
        <f ca="1">IFERROR(VLOOKUP(AD$2,Rango_Admin_DailyPred,MATCH($F34,Rango_Admin_DailyPred_Primera,0),0),"-")</f>
        <v>-</v>
      </c>
      <c r="AE34" s="429" t="str">
        <f ca="1">IFERROR(VLOOKUP(AE$2,Rango_Admin_DailyPred,MATCH($F34,Rango_Admin_DailyPred_Primera,0),0),"-")</f>
        <v>-</v>
      </c>
      <c r="AF34" s="429" t="str">
        <f ca="1">IFERROR(VLOOKUP(AF$2,Rango_Admin_DailyPred,MATCH($F34,Rango_Admin_DailyPred_Primera,0),0),"-")</f>
        <v>-</v>
      </c>
      <c r="AG34" s="429" t="str">
        <f ca="1">IFERROR(VLOOKUP(AG$2,Rango_Admin_DailyPred,MATCH($F34,Rango_Admin_DailyPred_Primera,0),0),"-")</f>
        <v>-</v>
      </c>
      <c r="AH34" s="429" t="str">
        <f ca="1">IFERROR(VLOOKUP(AH$2,Rango_Admin_DailyPred,MATCH($F34,Rango_Admin_DailyPred_Primera,0),0),"-")</f>
        <v>-</v>
      </c>
      <c r="AI34" s="429" t="str">
        <f ca="1">IFERROR(VLOOKUP(AI$2,Rango_Admin_DailyPred,MATCH($F34,Rango_Admin_DailyPred_Primera,0),0),"-")</f>
        <v>-</v>
      </c>
      <c r="AJ34" s="429" t="str">
        <f ca="1">IFERROR(VLOOKUP(AJ$2,Rango_Admin_DailyPred,MATCH($F34,Rango_Admin_DailyPred_Primera,0),0),"-")</f>
        <v>-</v>
      </c>
      <c r="AK34" s="429" t="str">
        <f ca="1">IFERROR(VLOOKUP(AK$2,Rango_Admin_DailyPred,MATCH($F34,Rango_Admin_DailyPred_Primera,0),0),"-")</f>
        <v>-</v>
      </c>
      <c r="AL34" s="429" t="str">
        <f ca="1">IFERROR(VLOOKUP(AL$2,Rango_Admin_DailyPred,MATCH($F34,Rango_Admin_DailyPred_Primera,0),0),"-")</f>
        <v>-</v>
      </c>
      <c r="AM34" s="297"/>
      <c r="AN34" s="297"/>
      <c r="AO34" s="297"/>
    </row>
    <row r="35" spans="1:41">
      <c r="A35" s="8" t="str" cm="1">
        <f t="array" aca="1" ref="A35" ca="1">IFERROR(INDEX(ADMIN!$K$6:$K$258,SMALL(IF(ADMIN!$G$6:$G$258=$J$1,ROW(ADMIN!$G$6:$G$258)-ROW(ADMIN!$G$6)+1),ROWS($A$1:A32))),"")</f>
        <v/>
      </c>
      <c r="B35" s="8" t="str">
        <f t="shared" ca="1" si="0"/>
        <v xml:space="preserve">
</v>
      </c>
      <c r="C35" s="8" t="str" cm="1">
        <f t="array" aca="1" ref="C35" ca="1">IFERROR(IF(INDEX(ADMIN!$M$6:$M$258,SMALL(IF(ADMIN!$G$6:$G$258=$J$1,ROW(ADMIN!$G$6:$G$258)-ROW(ADMIN!$G$6)+1),ROWS($A$1:A32)))="-", "", " ("&amp;INDEX(ADMIN!$M$6:$M$258,SMALL(IF(ADMIN!$G$6:$G$258=$J$1,ROW(ADMIN!$G$6:$G$258)-ROW(ADMIN!$G$6)+1),ROWS($A$1:A32)))&amp;")"),"")</f>
        <v/>
      </c>
      <c r="D35" s="8" t="str" cm="1">
        <f t="array" aca="1" ref="D35" ca="1">IFERROR(IF($J$1&gt;=20,INDEX(ADMIN!$C$6:$C$258,SMALL(IF(ADMIN!$G$6:$G$258=$J$1,ROW(ADMIN!$G$6:$G$258)-ROW(ADMIN!$G$6)+1),ROWS($D$1:D32))),""),"")</f>
        <v/>
      </c>
      <c r="E35" s="19">
        <f t="shared" si="1"/>
        <v>102</v>
      </c>
      <c r="F35" s="448" t="str" cm="1">
        <f t="array" ref="F35">IFERROR(INDEX(Rango_Admin_DailyPred_Primera,1,E35),"-")</f>
        <v>Miguel Suárez-Zuloaga</v>
      </c>
      <c r="G35" s="429" t="str">
        <f ca="1">IFERROR(VLOOKUP(G$2,Rango_Admin_DailyPred,MATCH($F35,Rango_Admin_DailyPred_Primera,0),0),"-")</f>
        <v>1|2-1</v>
      </c>
      <c r="H35" s="429" t="str">
        <f ca="1">IFERROR(VLOOKUP(H$2,Rango_Admin_DailyPred,MATCH($F35,Rango_Admin_DailyPred_Primera,0),0),"-")</f>
        <v>-</v>
      </c>
      <c r="I35" s="429" t="str">
        <f ca="1">IFERROR(VLOOKUP(I$2,Rango_Admin_DailyPred,MATCH($F35,Rango_Admin_DailyPred_Primera,0),0),"-")</f>
        <v>-</v>
      </c>
      <c r="J35" s="429" t="str">
        <f ca="1">IFERROR(VLOOKUP(J$2,Rango_Admin_DailyPred,MATCH($F35,Rango_Admin_DailyPred_Primera,0),0),"-")</f>
        <v>-</v>
      </c>
      <c r="K35" s="429" t="str">
        <f ca="1">IFERROR(VLOOKUP(K$2,Rango_Admin_DailyPred,MATCH($F35,Rango_Admin_DailyPred_Primera,0),0),"-")</f>
        <v>-</v>
      </c>
      <c r="L35" s="429" t="str">
        <f ca="1">IFERROR(VLOOKUP(L$2,Rango_Admin_DailyPred,MATCH($F35,Rango_Admin_DailyPred_Primera,0),0),"-")</f>
        <v>-</v>
      </c>
      <c r="M35" s="429" t="str">
        <f ca="1">IFERROR(VLOOKUP(M$2,Rango_Admin_DailyPred,MATCH($F35,Rango_Admin_DailyPred_Primera,0),0),"-")</f>
        <v>-</v>
      </c>
      <c r="N35" s="429" t="str">
        <f ca="1">IFERROR(VLOOKUP(N$2,Rango_Admin_DailyPred,MATCH($F35,Rango_Admin_DailyPred_Primera,0),0),"-")</f>
        <v>-</v>
      </c>
      <c r="O35" s="429" t="str">
        <f ca="1">IFERROR(VLOOKUP(O$2,Rango_Admin_DailyPred,MATCH($F35,Rango_Admin_DailyPred_Primera,0),0),"-")</f>
        <v>-</v>
      </c>
      <c r="P35" s="429" t="str">
        <f ca="1">IFERROR(VLOOKUP(P$2,Rango_Admin_DailyPred,MATCH($F35,Rango_Admin_DailyPred_Primera,0),0),"-")</f>
        <v>-</v>
      </c>
      <c r="Q35" s="429" t="str">
        <f ca="1">IFERROR(VLOOKUP(Q$2,Rango_Admin_DailyPred,MATCH($F35,Rango_Admin_DailyPred_Primera,0),0),"-")</f>
        <v>-</v>
      </c>
      <c r="R35" s="429" t="str">
        <f ca="1">IFERROR(VLOOKUP(R$2,Rango_Admin_DailyPred,MATCH($F35,Rango_Admin_DailyPred_Primera,0),0),"-")</f>
        <v>-</v>
      </c>
      <c r="S35" s="429" t="str">
        <f ca="1">IFERROR(VLOOKUP(S$2,Rango_Admin_DailyPred,MATCH($F35,Rango_Admin_DailyPred_Primera,0),0),"-")</f>
        <v>-</v>
      </c>
      <c r="T35" s="429" t="str">
        <f ca="1">IFERROR(VLOOKUP(T$2,Rango_Admin_DailyPred,MATCH($F35,Rango_Admin_DailyPred_Primera,0),0),"-")</f>
        <v>-</v>
      </c>
      <c r="U35" s="429" t="str">
        <f ca="1">IFERROR(VLOOKUP(U$2,Rango_Admin_DailyPred,MATCH($F35,Rango_Admin_DailyPred_Primera,0),0),"-")</f>
        <v>-</v>
      </c>
      <c r="V35" s="429" t="str">
        <f ca="1">IFERROR(VLOOKUP(V$2,Rango_Admin_DailyPred,MATCH($F35,Rango_Admin_DailyPred_Primera,0),0),"-")</f>
        <v>-</v>
      </c>
      <c r="W35" s="429" t="str">
        <f ca="1">IFERROR(VLOOKUP(W$2,Rango_Admin_DailyPred,MATCH($F35,Rango_Admin_DailyPred_Primera,0),0),"-")</f>
        <v>-</v>
      </c>
      <c r="X35" s="429" t="str">
        <f ca="1">IFERROR(VLOOKUP(X$2,Rango_Admin_DailyPred,MATCH($F35,Rango_Admin_DailyPred_Primera,0),0),"-")</f>
        <v>-</v>
      </c>
      <c r="Y35" s="429" t="str">
        <f ca="1">IFERROR(VLOOKUP(Y$2,Rango_Admin_DailyPred,MATCH($F35,Rango_Admin_DailyPred_Primera,0),0),"-")</f>
        <v>-</v>
      </c>
      <c r="Z35" s="429" t="str">
        <f ca="1">IFERROR(VLOOKUP(Z$2,Rango_Admin_DailyPred,MATCH($F35,Rango_Admin_DailyPred_Primera,0),0),"-")</f>
        <v>-</v>
      </c>
      <c r="AA35" s="429" t="str">
        <f ca="1">IFERROR(VLOOKUP(AA$2,Rango_Admin_DailyPred,MATCH($F35,Rango_Admin_DailyPred_Primera,0),0),"-")</f>
        <v>-</v>
      </c>
      <c r="AB35" s="429" t="str">
        <f ca="1">IFERROR(VLOOKUP(AB$2,Rango_Admin_DailyPred,MATCH($F35,Rango_Admin_DailyPred_Primera,0),0),"-")</f>
        <v>-</v>
      </c>
      <c r="AC35" s="429" t="str">
        <f ca="1">IFERROR(VLOOKUP(AC$2,Rango_Admin_DailyPred,MATCH($F35,Rango_Admin_DailyPred_Primera,0),0),"-")</f>
        <v>-</v>
      </c>
      <c r="AD35" s="429" t="str">
        <f ca="1">IFERROR(VLOOKUP(AD$2,Rango_Admin_DailyPred,MATCH($F35,Rango_Admin_DailyPred_Primera,0),0),"-")</f>
        <v>-</v>
      </c>
      <c r="AE35" s="429" t="str">
        <f ca="1">IFERROR(VLOOKUP(AE$2,Rango_Admin_DailyPred,MATCH($F35,Rango_Admin_DailyPred_Primera,0),0),"-")</f>
        <v>-</v>
      </c>
      <c r="AF35" s="429" t="str">
        <f ca="1">IFERROR(VLOOKUP(AF$2,Rango_Admin_DailyPred,MATCH($F35,Rango_Admin_DailyPred_Primera,0),0),"-")</f>
        <v>-</v>
      </c>
      <c r="AG35" s="429" t="str">
        <f ca="1">IFERROR(VLOOKUP(AG$2,Rango_Admin_DailyPred,MATCH($F35,Rango_Admin_DailyPred_Primera,0),0),"-")</f>
        <v>-</v>
      </c>
      <c r="AH35" s="429" t="str">
        <f ca="1">IFERROR(VLOOKUP(AH$2,Rango_Admin_DailyPred,MATCH($F35,Rango_Admin_DailyPred_Primera,0),0),"-")</f>
        <v>-</v>
      </c>
      <c r="AI35" s="429" t="str">
        <f ca="1">IFERROR(VLOOKUP(AI$2,Rango_Admin_DailyPred,MATCH($F35,Rango_Admin_DailyPred_Primera,0),0),"-")</f>
        <v>-</v>
      </c>
      <c r="AJ35" s="429" t="str">
        <f ca="1">IFERROR(VLOOKUP(AJ$2,Rango_Admin_DailyPred,MATCH($F35,Rango_Admin_DailyPred_Primera,0),0),"-")</f>
        <v>-</v>
      </c>
      <c r="AK35" s="429" t="str">
        <f ca="1">IFERROR(VLOOKUP(AK$2,Rango_Admin_DailyPred,MATCH($F35,Rango_Admin_DailyPred_Primera,0),0),"-")</f>
        <v>-</v>
      </c>
      <c r="AL35" s="429" t="str">
        <f ca="1">IFERROR(VLOOKUP(AL$2,Rango_Admin_DailyPred,MATCH($F35,Rango_Admin_DailyPred_Primera,0),0),"-")</f>
        <v>-</v>
      </c>
      <c r="AM35" s="297"/>
      <c r="AN35" s="297"/>
      <c r="AO35" s="297"/>
    </row>
    <row r="36" spans="1:41">
      <c r="E36" s="19">
        <f t="shared" si="1"/>
        <v>105</v>
      </c>
      <c r="F36" s="448" t="str" cm="1">
        <f t="array" ref="F36">IFERROR(INDEX(Rango_Admin_DailyPred_Primera,1,E36),"-")</f>
        <v>Gratacós</v>
      </c>
      <c r="G36" s="429" t="str">
        <f ca="1">IFERROR(VLOOKUP(G$2,Rango_Admin_DailyPred,MATCH($F36,Rango_Admin_DailyPred_Primera,0),0),"-")</f>
        <v>1|2-0</v>
      </c>
      <c r="H36" s="429" t="str">
        <f ca="1">IFERROR(VLOOKUP(H$2,Rango_Admin_DailyPred,MATCH($F36,Rango_Admin_DailyPred_Primera,0),0),"-")</f>
        <v>-</v>
      </c>
      <c r="I36" s="429" t="str">
        <f ca="1">IFERROR(VLOOKUP(I$2,Rango_Admin_DailyPred,MATCH($F36,Rango_Admin_DailyPred_Primera,0),0),"-")</f>
        <v>-</v>
      </c>
      <c r="J36" s="429" t="str">
        <f ca="1">IFERROR(VLOOKUP(J$2,Rango_Admin_DailyPred,MATCH($F36,Rango_Admin_DailyPred_Primera,0),0),"-")</f>
        <v>-</v>
      </c>
      <c r="K36" s="429" t="str">
        <f ca="1">IFERROR(VLOOKUP(K$2,Rango_Admin_DailyPred,MATCH($F36,Rango_Admin_DailyPred_Primera,0),0),"-")</f>
        <v>-</v>
      </c>
      <c r="L36" s="429" t="str">
        <f ca="1">IFERROR(VLOOKUP(L$2,Rango_Admin_DailyPred,MATCH($F36,Rango_Admin_DailyPred_Primera,0),0),"-")</f>
        <v>-</v>
      </c>
      <c r="M36" s="429" t="str">
        <f ca="1">IFERROR(VLOOKUP(M$2,Rango_Admin_DailyPred,MATCH($F36,Rango_Admin_DailyPred_Primera,0),0),"-")</f>
        <v>-</v>
      </c>
      <c r="N36" s="429" t="str">
        <f ca="1">IFERROR(VLOOKUP(N$2,Rango_Admin_DailyPred,MATCH($F36,Rango_Admin_DailyPred_Primera,0),0),"-")</f>
        <v>-</v>
      </c>
      <c r="O36" s="429" t="str">
        <f ca="1">IFERROR(VLOOKUP(O$2,Rango_Admin_DailyPred,MATCH($F36,Rango_Admin_DailyPred_Primera,0),0),"-")</f>
        <v>-</v>
      </c>
      <c r="P36" s="429" t="str">
        <f ca="1">IFERROR(VLOOKUP(P$2,Rango_Admin_DailyPred,MATCH($F36,Rango_Admin_DailyPred_Primera,0),0),"-")</f>
        <v>-</v>
      </c>
      <c r="Q36" s="429" t="str">
        <f ca="1">IFERROR(VLOOKUP(Q$2,Rango_Admin_DailyPred,MATCH($F36,Rango_Admin_DailyPred_Primera,0),0),"-")</f>
        <v>-</v>
      </c>
      <c r="R36" s="429" t="str">
        <f ca="1">IFERROR(VLOOKUP(R$2,Rango_Admin_DailyPred,MATCH($F36,Rango_Admin_DailyPred_Primera,0),0),"-")</f>
        <v>-</v>
      </c>
      <c r="S36" s="429" t="str">
        <f ca="1">IFERROR(VLOOKUP(S$2,Rango_Admin_DailyPred,MATCH($F36,Rango_Admin_DailyPred_Primera,0),0),"-")</f>
        <v>-</v>
      </c>
      <c r="T36" s="429" t="str">
        <f ca="1">IFERROR(VLOOKUP(T$2,Rango_Admin_DailyPred,MATCH($F36,Rango_Admin_DailyPred_Primera,0),0),"-")</f>
        <v>-</v>
      </c>
      <c r="U36" s="429" t="str">
        <f ca="1">IFERROR(VLOOKUP(U$2,Rango_Admin_DailyPred,MATCH($F36,Rango_Admin_DailyPred_Primera,0),0),"-")</f>
        <v>-</v>
      </c>
      <c r="V36" s="429" t="str">
        <f ca="1">IFERROR(VLOOKUP(V$2,Rango_Admin_DailyPred,MATCH($F36,Rango_Admin_DailyPred_Primera,0),0),"-")</f>
        <v>-</v>
      </c>
      <c r="W36" s="429" t="str">
        <f ca="1">IFERROR(VLOOKUP(W$2,Rango_Admin_DailyPred,MATCH($F36,Rango_Admin_DailyPred_Primera,0),0),"-")</f>
        <v>-</v>
      </c>
      <c r="X36" s="429" t="str">
        <f ca="1">IFERROR(VLOOKUP(X$2,Rango_Admin_DailyPred,MATCH($F36,Rango_Admin_DailyPred_Primera,0),0),"-")</f>
        <v>-</v>
      </c>
      <c r="Y36" s="429" t="str">
        <f ca="1">IFERROR(VLOOKUP(Y$2,Rango_Admin_DailyPred,MATCH($F36,Rango_Admin_DailyPred_Primera,0),0),"-")</f>
        <v>-</v>
      </c>
      <c r="Z36" s="429" t="str">
        <f ca="1">IFERROR(VLOOKUP(Z$2,Rango_Admin_DailyPred,MATCH($F36,Rango_Admin_DailyPred_Primera,0),0),"-")</f>
        <v>-</v>
      </c>
      <c r="AA36" s="429" t="str">
        <f ca="1">IFERROR(VLOOKUP(AA$2,Rango_Admin_DailyPred,MATCH($F36,Rango_Admin_DailyPred_Primera,0),0),"-")</f>
        <v>-</v>
      </c>
      <c r="AB36" s="429" t="str">
        <f ca="1">IFERROR(VLOOKUP(AB$2,Rango_Admin_DailyPred,MATCH($F36,Rango_Admin_DailyPred_Primera,0),0),"-")</f>
        <v>-</v>
      </c>
      <c r="AC36" s="429" t="str">
        <f ca="1">IFERROR(VLOOKUP(AC$2,Rango_Admin_DailyPred,MATCH($F36,Rango_Admin_DailyPred_Primera,0),0),"-")</f>
        <v>-</v>
      </c>
      <c r="AD36" s="429" t="str">
        <f ca="1">IFERROR(VLOOKUP(AD$2,Rango_Admin_DailyPred,MATCH($F36,Rango_Admin_DailyPred_Primera,0),0),"-")</f>
        <v>-</v>
      </c>
      <c r="AE36" s="429" t="str">
        <f ca="1">IFERROR(VLOOKUP(AE$2,Rango_Admin_DailyPred,MATCH($F36,Rango_Admin_DailyPred_Primera,0),0),"-")</f>
        <v>-</v>
      </c>
      <c r="AF36" s="429" t="str">
        <f ca="1">IFERROR(VLOOKUP(AF$2,Rango_Admin_DailyPred,MATCH($F36,Rango_Admin_DailyPred_Primera,0),0),"-")</f>
        <v>-</v>
      </c>
      <c r="AG36" s="429" t="str">
        <f ca="1">IFERROR(VLOOKUP(AG$2,Rango_Admin_DailyPred,MATCH($F36,Rango_Admin_DailyPred_Primera,0),0),"-")</f>
        <v>-</v>
      </c>
      <c r="AH36" s="429" t="str">
        <f ca="1">IFERROR(VLOOKUP(AH$2,Rango_Admin_DailyPred,MATCH($F36,Rango_Admin_DailyPred_Primera,0),0),"-")</f>
        <v>-</v>
      </c>
      <c r="AI36" s="429" t="str">
        <f ca="1">IFERROR(VLOOKUP(AI$2,Rango_Admin_DailyPred,MATCH($F36,Rango_Admin_DailyPred_Primera,0),0),"-")</f>
        <v>-</v>
      </c>
      <c r="AJ36" s="429" t="str">
        <f ca="1">IFERROR(VLOOKUP(AJ$2,Rango_Admin_DailyPred,MATCH($F36,Rango_Admin_DailyPred_Primera,0),0),"-")</f>
        <v>-</v>
      </c>
      <c r="AK36" s="429" t="str">
        <f ca="1">IFERROR(VLOOKUP(AK$2,Rango_Admin_DailyPred,MATCH($F36,Rango_Admin_DailyPred_Primera,0),0),"-")</f>
        <v>-</v>
      </c>
      <c r="AL36" s="429" t="str">
        <f ca="1">IFERROR(VLOOKUP(AL$2,Rango_Admin_DailyPred,MATCH($F36,Rango_Admin_DailyPred_Primera,0),0),"-")</f>
        <v>-</v>
      </c>
      <c r="AM36" s="297"/>
      <c r="AN36" s="297"/>
      <c r="AO36" s="297"/>
    </row>
    <row r="37" spans="1:41">
      <c r="E37" s="19">
        <f t="shared" si="1"/>
        <v>108</v>
      </c>
      <c r="F37" s="448" t="str" cm="1">
        <f t="array" ref="F37">IFERROR(INDEX(Rango_Admin_DailyPred_Primera,1,E37),"-")</f>
        <v>AD Monchus</v>
      </c>
      <c r="G37" s="429" t="str">
        <f ca="1">IFERROR(VLOOKUP(G$2,Rango_Admin_DailyPred,MATCH($F37,Rango_Admin_DailyPred_Primera,0),0),"-")</f>
        <v>1|3-1</v>
      </c>
      <c r="H37" s="429" t="str">
        <f ca="1">IFERROR(VLOOKUP(H$2,Rango_Admin_DailyPred,MATCH($F37,Rango_Admin_DailyPred_Primera,0),0),"-")</f>
        <v>-</v>
      </c>
      <c r="I37" s="429" t="str">
        <f ca="1">IFERROR(VLOOKUP(I$2,Rango_Admin_DailyPred,MATCH($F37,Rango_Admin_DailyPred_Primera,0),0),"-")</f>
        <v>-</v>
      </c>
      <c r="J37" s="429" t="str">
        <f ca="1">IFERROR(VLOOKUP(J$2,Rango_Admin_DailyPred,MATCH($F37,Rango_Admin_DailyPred_Primera,0),0),"-")</f>
        <v>-</v>
      </c>
      <c r="K37" s="429" t="str">
        <f ca="1">IFERROR(VLOOKUP(K$2,Rango_Admin_DailyPred,MATCH($F37,Rango_Admin_DailyPred_Primera,0),0),"-")</f>
        <v>-</v>
      </c>
      <c r="L37" s="429" t="str">
        <f ca="1">IFERROR(VLOOKUP(L$2,Rango_Admin_DailyPred,MATCH($F37,Rango_Admin_DailyPred_Primera,0),0),"-")</f>
        <v>-</v>
      </c>
      <c r="M37" s="429" t="str">
        <f ca="1">IFERROR(VLOOKUP(M$2,Rango_Admin_DailyPred,MATCH($F37,Rango_Admin_DailyPred_Primera,0),0),"-")</f>
        <v>-</v>
      </c>
      <c r="N37" s="429" t="str">
        <f ca="1">IFERROR(VLOOKUP(N$2,Rango_Admin_DailyPred,MATCH($F37,Rango_Admin_DailyPred_Primera,0),0),"-")</f>
        <v>-</v>
      </c>
      <c r="O37" s="429" t="str">
        <f ca="1">IFERROR(VLOOKUP(O$2,Rango_Admin_DailyPred,MATCH($F37,Rango_Admin_DailyPred_Primera,0),0),"-")</f>
        <v>-</v>
      </c>
      <c r="P37" s="429" t="str">
        <f ca="1">IFERROR(VLOOKUP(P$2,Rango_Admin_DailyPred,MATCH($F37,Rango_Admin_DailyPred_Primera,0),0),"-")</f>
        <v>-</v>
      </c>
      <c r="Q37" s="429" t="str">
        <f ca="1">IFERROR(VLOOKUP(Q$2,Rango_Admin_DailyPred,MATCH($F37,Rango_Admin_DailyPred_Primera,0),0),"-")</f>
        <v>-</v>
      </c>
      <c r="R37" s="429" t="str">
        <f ca="1">IFERROR(VLOOKUP(R$2,Rango_Admin_DailyPred,MATCH($F37,Rango_Admin_DailyPred_Primera,0),0),"-")</f>
        <v>-</v>
      </c>
      <c r="S37" s="429" t="str">
        <f ca="1">IFERROR(VLOOKUP(S$2,Rango_Admin_DailyPred,MATCH($F37,Rango_Admin_DailyPred_Primera,0),0),"-")</f>
        <v>-</v>
      </c>
      <c r="T37" s="429" t="str">
        <f ca="1">IFERROR(VLOOKUP(T$2,Rango_Admin_DailyPred,MATCH($F37,Rango_Admin_DailyPred_Primera,0),0),"-")</f>
        <v>-</v>
      </c>
      <c r="U37" s="429" t="str">
        <f ca="1">IFERROR(VLOOKUP(U$2,Rango_Admin_DailyPred,MATCH($F37,Rango_Admin_DailyPred_Primera,0),0),"-")</f>
        <v>-</v>
      </c>
      <c r="V37" s="429" t="str">
        <f ca="1">IFERROR(VLOOKUP(V$2,Rango_Admin_DailyPred,MATCH($F37,Rango_Admin_DailyPred_Primera,0),0),"-")</f>
        <v>-</v>
      </c>
      <c r="W37" s="429" t="str">
        <f ca="1">IFERROR(VLOOKUP(W$2,Rango_Admin_DailyPred,MATCH($F37,Rango_Admin_DailyPred_Primera,0),0),"-")</f>
        <v>-</v>
      </c>
      <c r="X37" s="429" t="str">
        <f ca="1">IFERROR(VLOOKUP(X$2,Rango_Admin_DailyPred,MATCH($F37,Rango_Admin_DailyPred_Primera,0),0),"-")</f>
        <v>-</v>
      </c>
      <c r="Y37" s="429" t="str">
        <f ca="1">IFERROR(VLOOKUP(Y$2,Rango_Admin_DailyPred,MATCH($F37,Rango_Admin_DailyPred_Primera,0),0),"-")</f>
        <v>-</v>
      </c>
      <c r="Z37" s="429" t="str">
        <f ca="1">IFERROR(VLOOKUP(Z$2,Rango_Admin_DailyPred,MATCH($F37,Rango_Admin_DailyPred_Primera,0),0),"-")</f>
        <v>-</v>
      </c>
      <c r="AA37" s="429" t="str">
        <f ca="1">IFERROR(VLOOKUP(AA$2,Rango_Admin_DailyPred,MATCH($F37,Rango_Admin_DailyPred_Primera,0),0),"-")</f>
        <v>-</v>
      </c>
      <c r="AB37" s="429" t="str">
        <f ca="1">IFERROR(VLOOKUP(AB$2,Rango_Admin_DailyPred,MATCH($F37,Rango_Admin_DailyPred_Primera,0),0),"-")</f>
        <v>-</v>
      </c>
      <c r="AC37" s="429" t="str">
        <f ca="1">IFERROR(VLOOKUP(AC$2,Rango_Admin_DailyPred,MATCH($F37,Rango_Admin_DailyPred_Primera,0),0),"-")</f>
        <v>-</v>
      </c>
      <c r="AD37" s="429" t="str">
        <f ca="1">IFERROR(VLOOKUP(AD$2,Rango_Admin_DailyPred,MATCH($F37,Rango_Admin_DailyPred_Primera,0),0),"-")</f>
        <v>-</v>
      </c>
      <c r="AE37" s="429" t="str">
        <f ca="1">IFERROR(VLOOKUP(AE$2,Rango_Admin_DailyPred,MATCH($F37,Rango_Admin_DailyPred_Primera,0),0),"-")</f>
        <v>-</v>
      </c>
      <c r="AF37" s="429" t="str">
        <f ca="1">IFERROR(VLOOKUP(AF$2,Rango_Admin_DailyPred,MATCH($F37,Rango_Admin_DailyPred_Primera,0),0),"-")</f>
        <v>-</v>
      </c>
      <c r="AG37" s="429" t="str">
        <f ca="1">IFERROR(VLOOKUP(AG$2,Rango_Admin_DailyPred,MATCH($F37,Rango_Admin_DailyPred_Primera,0),0),"-")</f>
        <v>-</v>
      </c>
      <c r="AH37" s="429" t="str">
        <f ca="1">IFERROR(VLOOKUP(AH$2,Rango_Admin_DailyPred,MATCH($F37,Rango_Admin_DailyPred_Primera,0),0),"-")</f>
        <v>-</v>
      </c>
      <c r="AI37" s="429" t="str">
        <f ca="1">IFERROR(VLOOKUP(AI$2,Rango_Admin_DailyPred,MATCH($F37,Rango_Admin_DailyPred_Primera,0),0),"-")</f>
        <v>-</v>
      </c>
      <c r="AJ37" s="429" t="str">
        <f ca="1">IFERROR(VLOOKUP(AJ$2,Rango_Admin_DailyPred,MATCH($F37,Rango_Admin_DailyPred_Primera,0),0),"-")</f>
        <v>-</v>
      </c>
      <c r="AK37" s="429" t="str">
        <f ca="1">IFERROR(VLOOKUP(AK$2,Rango_Admin_DailyPred,MATCH($F37,Rango_Admin_DailyPred_Primera,0),0),"-")</f>
        <v>-</v>
      </c>
      <c r="AL37" s="429" t="str">
        <f ca="1">IFERROR(VLOOKUP(AL$2,Rango_Admin_DailyPred,MATCH($F37,Rango_Admin_DailyPred_Primera,0),0),"-")</f>
        <v>-</v>
      </c>
      <c r="AM37" s="297"/>
      <c r="AN37" s="297"/>
      <c r="AO37" s="297"/>
    </row>
    <row r="38" spans="1:41">
      <c r="E38" s="19">
        <f t="shared" si="1"/>
        <v>111</v>
      </c>
      <c r="F38" s="448" t="str" cm="1">
        <f t="array" ref="F38">IFERROR(INDEX(Rango_Admin_DailyPred_Primera,1,E38),"-")</f>
        <v>JUAN SOLAS</v>
      </c>
      <c r="G38" s="429" t="str">
        <f ca="1">IFERROR(VLOOKUP(G$2,Rango_Admin_DailyPred,MATCH($F38,Rango_Admin_DailyPred_Primera,0),0),"-")</f>
        <v>1|2-1</v>
      </c>
      <c r="H38" s="429" t="str">
        <f ca="1">IFERROR(VLOOKUP(H$2,Rango_Admin_DailyPred,MATCH($F38,Rango_Admin_DailyPred_Primera,0),0),"-")</f>
        <v>-</v>
      </c>
      <c r="I38" s="429" t="str">
        <f ca="1">IFERROR(VLOOKUP(I$2,Rango_Admin_DailyPred,MATCH($F38,Rango_Admin_DailyPred_Primera,0),0),"-")</f>
        <v>-</v>
      </c>
      <c r="J38" s="429" t="str">
        <f ca="1">IFERROR(VLOOKUP(J$2,Rango_Admin_DailyPred,MATCH($F38,Rango_Admin_DailyPred_Primera,0),0),"-")</f>
        <v>-</v>
      </c>
      <c r="K38" s="429" t="str">
        <f ca="1">IFERROR(VLOOKUP(K$2,Rango_Admin_DailyPred,MATCH($F38,Rango_Admin_DailyPred_Primera,0),0),"-")</f>
        <v>-</v>
      </c>
      <c r="L38" s="429" t="str">
        <f ca="1">IFERROR(VLOOKUP(L$2,Rango_Admin_DailyPred,MATCH($F38,Rango_Admin_DailyPred_Primera,0),0),"-")</f>
        <v>-</v>
      </c>
      <c r="M38" s="429" t="str">
        <f ca="1">IFERROR(VLOOKUP(M$2,Rango_Admin_DailyPred,MATCH($F38,Rango_Admin_DailyPred_Primera,0),0),"-")</f>
        <v>-</v>
      </c>
      <c r="N38" s="429" t="str">
        <f ca="1">IFERROR(VLOOKUP(N$2,Rango_Admin_DailyPred,MATCH($F38,Rango_Admin_DailyPred_Primera,0),0),"-")</f>
        <v>-</v>
      </c>
      <c r="O38" s="429" t="str">
        <f ca="1">IFERROR(VLOOKUP(O$2,Rango_Admin_DailyPred,MATCH($F38,Rango_Admin_DailyPred_Primera,0),0),"-")</f>
        <v>-</v>
      </c>
      <c r="P38" s="429" t="str">
        <f ca="1">IFERROR(VLOOKUP(P$2,Rango_Admin_DailyPred,MATCH($F38,Rango_Admin_DailyPred_Primera,0),0),"-")</f>
        <v>-</v>
      </c>
      <c r="Q38" s="429" t="str">
        <f ca="1">IFERROR(VLOOKUP(Q$2,Rango_Admin_DailyPred,MATCH($F38,Rango_Admin_DailyPred_Primera,0),0),"-")</f>
        <v>-</v>
      </c>
      <c r="R38" s="429" t="str">
        <f ca="1">IFERROR(VLOOKUP(R$2,Rango_Admin_DailyPred,MATCH($F38,Rango_Admin_DailyPred_Primera,0),0),"-")</f>
        <v>-</v>
      </c>
      <c r="S38" s="429" t="str">
        <f ca="1">IFERROR(VLOOKUP(S$2,Rango_Admin_DailyPred,MATCH($F38,Rango_Admin_DailyPred_Primera,0),0),"-")</f>
        <v>-</v>
      </c>
      <c r="T38" s="429" t="str">
        <f ca="1">IFERROR(VLOOKUP(T$2,Rango_Admin_DailyPred,MATCH($F38,Rango_Admin_DailyPred_Primera,0),0),"-")</f>
        <v>-</v>
      </c>
      <c r="U38" s="429" t="str">
        <f ca="1">IFERROR(VLOOKUP(U$2,Rango_Admin_DailyPred,MATCH($F38,Rango_Admin_DailyPred_Primera,0),0),"-")</f>
        <v>-</v>
      </c>
      <c r="V38" s="429" t="str">
        <f ca="1">IFERROR(VLOOKUP(V$2,Rango_Admin_DailyPred,MATCH($F38,Rango_Admin_DailyPred_Primera,0),0),"-")</f>
        <v>-</v>
      </c>
      <c r="W38" s="429" t="str">
        <f ca="1">IFERROR(VLOOKUP(W$2,Rango_Admin_DailyPred,MATCH($F38,Rango_Admin_DailyPred_Primera,0),0),"-")</f>
        <v>-</v>
      </c>
      <c r="X38" s="429" t="str">
        <f ca="1">IFERROR(VLOOKUP(X$2,Rango_Admin_DailyPred,MATCH($F38,Rango_Admin_DailyPred_Primera,0),0),"-")</f>
        <v>-</v>
      </c>
      <c r="Y38" s="429" t="str">
        <f ca="1">IFERROR(VLOOKUP(Y$2,Rango_Admin_DailyPred,MATCH($F38,Rango_Admin_DailyPred_Primera,0),0),"-")</f>
        <v>-</v>
      </c>
      <c r="Z38" s="429" t="str">
        <f ca="1">IFERROR(VLOOKUP(Z$2,Rango_Admin_DailyPred,MATCH($F38,Rango_Admin_DailyPred_Primera,0),0),"-")</f>
        <v>-</v>
      </c>
      <c r="AA38" s="429" t="str">
        <f ca="1">IFERROR(VLOOKUP(AA$2,Rango_Admin_DailyPred,MATCH($F38,Rango_Admin_DailyPred_Primera,0),0),"-")</f>
        <v>-</v>
      </c>
      <c r="AB38" s="429" t="str">
        <f ca="1">IFERROR(VLOOKUP(AB$2,Rango_Admin_DailyPred,MATCH($F38,Rango_Admin_DailyPred_Primera,0),0),"-")</f>
        <v>-</v>
      </c>
      <c r="AC38" s="429" t="str">
        <f ca="1">IFERROR(VLOOKUP(AC$2,Rango_Admin_DailyPred,MATCH($F38,Rango_Admin_DailyPred_Primera,0),0),"-")</f>
        <v>-</v>
      </c>
      <c r="AD38" s="429" t="str">
        <f ca="1">IFERROR(VLOOKUP(AD$2,Rango_Admin_DailyPred,MATCH($F38,Rango_Admin_DailyPred_Primera,0),0),"-")</f>
        <v>-</v>
      </c>
      <c r="AE38" s="429" t="str">
        <f ca="1">IFERROR(VLOOKUP(AE$2,Rango_Admin_DailyPred,MATCH($F38,Rango_Admin_DailyPred_Primera,0),0),"-")</f>
        <v>-</v>
      </c>
      <c r="AF38" s="429" t="str">
        <f ca="1">IFERROR(VLOOKUP(AF$2,Rango_Admin_DailyPred,MATCH($F38,Rango_Admin_DailyPred_Primera,0),0),"-")</f>
        <v>-</v>
      </c>
      <c r="AG38" s="429" t="str">
        <f ca="1">IFERROR(VLOOKUP(AG$2,Rango_Admin_DailyPred,MATCH($F38,Rango_Admin_DailyPred_Primera,0),0),"-")</f>
        <v>-</v>
      </c>
      <c r="AH38" s="429" t="str">
        <f ca="1">IFERROR(VLOOKUP(AH$2,Rango_Admin_DailyPred,MATCH($F38,Rango_Admin_DailyPred_Primera,0),0),"-")</f>
        <v>-</v>
      </c>
      <c r="AI38" s="429" t="str">
        <f ca="1">IFERROR(VLOOKUP(AI$2,Rango_Admin_DailyPred,MATCH($F38,Rango_Admin_DailyPred_Primera,0),0),"-")</f>
        <v>-</v>
      </c>
      <c r="AJ38" s="429" t="str">
        <f ca="1">IFERROR(VLOOKUP(AJ$2,Rango_Admin_DailyPred,MATCH($F38,Rango_Admin_DailyPred_Primera,0),0),"-")</f>
        <v>-</v>
      </c>
      <c r="AK38" s="429" t="str">
        <f ca="1">IFERROR(VLOOKUP(AK$2,Rango_Admin_DailyPred,MATCH($F38,Rango_Admin_DailyPred_Primera,0),0),"-")</f>
        <v>-</v>
      </c>
      <c r="AL38" s="429" t="str">
        <f ca="1">IFERROR(VLOOKUP(AL$2,Rango_Admin_DailyPred,MATCH($F38,Rango_Admin_DailyPred_Primera,0),0),"-")</f>
        <v>-</v>
      </c>
      <c r="AM38" s="297"/>
      <c r="AN38" s="297"/>
      <c r="AO38" s="297"/>
    </row>
    <row r="39" spans="1:41">
      <c r="E39" s="19">
        <f t="shared" si="1"/>
        <v>114</v>
      </c>
      <c r="F39" s="448" t="str" cm="1">
        <f t="array" ref="F39">IFERROR(INDEX(Rango_Admin_DailyPred_Primera,1,E39),"-")</f>
        <v xml:space="preserve">Martín Matoses </v>
      </c>
      <c r="G39" s="429" t="str">
        <f ca="1">IFERROR(VLOOKUP(G$2,Rango_Admin_DailyPred,MATCH($F39,Rango_Admin_DailyPred_Primera,0),0),"-")</f>
        <v>1|3-1</v>
      </c>
      <c r="H39" s="429" t="str">
        <f ca="1">IFERROR(VLOOKUP(H$2,Rango_Admin_DailyPred,MATCH($F39,Rango_Admin_DailyPred_Primera,0),0),"-")</f>
        <v>-</v>
      </c>
      <c r="I39" s="429" t="str">
        <f ca="1">IFERROR(VLOOKUP(I$2,Rango_Admin_DailyPred,MATCH($F39,Rango_Admin_DailyPred_Primera,0),0),"-")</f>
        <v>-</v>
      </c>
      <c r="J39" s="429" t="str">
        <f ca="1">IFERROR(VLOOKUP(J$2,Rango_Admin_DailyPred,MATCH($F39,Rango_Admin_DailyPred_Primera,0),0),"-")</f>
        <v>-</v>
      </c>
      <c r="K39" s="429" t="str">
        <f ca="1">IFERROR(VLOOKUP(K$2,Rango_Admin_DailyPred,MATCH($F39,Rango_Admin_DailyPred_Primera,0),0),"-")</f>
        <v>-</v>
      </c>
      <c r="L39" s="429" t="str">
        <f ca="1">IFERROR(VLOOKUP(L$2,Rango_Admin_DailyPred,MATCH($F39,Rango_Admin_DailyPred_Primera,0),0),"-")</f>
        <v>-</v>
      </c>
      <c r="M39" s="429" t="str">
        <f ca="1">IFERROR(VLOOKUP(M$2,Rango_Admin_DailyPred,MATCH($F39,Rango_Admin_DailyPred_Primera,0),0),"-")</f>
        <v>-</v>
      </c>
      <c r="N39" s="429" t="str">
        <f ca="1">IFERROR(VLOOKUP(N$2,Rango_Admin_DailyPred,MATCH($F39,Rango_Admin_DailyPred_Primera,0),0),"-")</f>
        <v>-</v>
      </c>
      <c r="O39" s="429" t="str">
        <f ca="1">IFERROR(VLOOKUP(O$2,Rango_Admin_DailyPred,MATCH($F39,Rango_Admin_DailyPred_Primera,0),0),"-")</f>
        <v>-</v>
      </c>
      <c r="P39" s="429" t="str">
        <f ca="1">IFERROR(VLOOKUP(P$2,Rango_Admin_DailyPred,MATCH($F39,Rango_Admin_DailyPred_Primera,0),0),"-")</f>
        <v>-</v>
      </c>
      <c r="Q39" s="429" t="str">
        <f ca="1">IFERROR(VLOOKUP(Q$2,Rango_Admin_DailyPred,MATCH($F39,Rango_Admin_DailyPred_Primera,0),0),"-")</f>
        <v>-</v>
      </c>
      <c r="R39" s="429" t="str">
        <f ca="1">IFERROR(VLOOKUP(R$2,Rango_Admin_DailyPred,MATCH($F39,Rango_Admin_DailyPred_Primera,0),0),"-")</f>
        <v>-</v>
      </c>
      <c r="S39" s="429" t="str">
        <f ca="1">IFERROR(VLOOKUP(S$2,Rango_Admin_DailyPred,MATCH($F39,Rango_Admin_DailyPred_Primera,0),0),"-")</f>
        <v>-</v>
      </c>
      <c r="T39" s="429" t="str">
        <f ca="1">IFERROR(VLOOKUP(T$2,Rango_Admin_DailyPred,MATCH($F39,Rango_Admin_DailyPred_Primera,0),0),"-")</f>
        <v>-</v>
      </c>
      <c r="U39" s="429" t="str">
        <f ca="1">IFERROR(VLOOKUP(U$2,Rango_Admin_DailyPred,MATCH($F39,Rango_Admin_DailyPred_Primera,0),0),"-")</f>
        <v>-</v>
      </c>
      <c r="V39" s="429" t="str">
        <f ca="1">IFERROR(VLOOKUP(V$2,Rango_Admin_DailyPred,MATCH($F39,Rango_Admin_DailyPred_Primera,0),0),"-")</f>
        <v>-</v>
      </c>
      <c r="W39" s="429" t="str">
        <f ca="1">IFERROR(VLOOKUP(W$2,Rango_Admin_DailyPred,MATCH($F39,Rango_Admin_DailyPred_Primera,0),0),"-")</f>
        <v>-</v>
      </c>
      <c r="X39" s="429" t="str">
        <f ca="1">IFERROR(VLOOKUP(X$2,Rango_Admin_DailyPred,MATCH($F39,Rango_Admin_DailyPred_Primera,0),0),"-")</f>
        <v>-</v>
      </c>
      <c r="Y39" s="429" t="str">
        <f ca="1">IFERROR(VLOOKUP(Y$2,Rango_Admin_DailyPred,MATCH($F39,Rango_Admin_DailyPred_Primera,0),0),"-")</f>
        <v>-</v>
      </c>
      <c r="Z39" s="429" t="str">
        <f ca="1">IFERROR(VLOOKUP(Z$2,Rango_Admin_DailyPred,MATCH($F39,Rango_Admin_DailyPred_Primera,0),0),"-")</f>
        <v>-</v>
      </c>
      <c r="AA39" s="429" t="str">
        <f ca="1">IFERROR(VLOOKUP(AA$2,Rango_Admin_DailyPred,MATCH($F39,Rango_Admin_DailyPred_Primera,0),0),"-")</f>
        <v>-</v>
      </c>
      <c r="AB39" s="429" t="str">
        <f ca="1">IFERROR(VLOOKUP(AB$2,Rango_Admin_DailyPred,MATCH($F39,Rango_Admin_DailyPred_Primera,0),0),"-")</f>
        <v>-</v>
      </c>
      <c r="AC39" s="429" t="str">
        <f ca="1">IFERROR(VLOOKUP(AC$2,Rango_Admin_DailyPred,MATCH($F39,Rango_Admin_DailyPred_Primera,0),0),"-")</f>
        <v>-</v>
      </c>
      <c r="AD39" s="429" t="str">
        <f ca="1">IFERROR(VLOOKUP(AD$2,Rango_Admin_DailyPred,MATCH($F39,Rango_Admin_DailyPred_Primera,0),0),"-")</f>
        <v>-</v>
      </c>
      <c r="AE39" s="429" t="str">
        <f ca="1">IFERROR(VLOOKUP(AE$2,Rango_Admin_DailyPred,MATCH($F39,Rango_Admin_DailyPred_Primera,0),0),"-")</f>
        <v>-</v>
      </c>
      <c r="AF39" s="429" t="str">
        <f ca="1">IFERROR(VLOOKUP(AF$2,Rango_Admin_DailyPred,MATCH($F39,Rango_Admin_DailyPred_Primera,0),0),"-")</f>
        <v>-</v>
      </c>
      <c r="AG39" s="429" t="str">
        <f ca="1">IFERROR(VLOOKUP(AG$2,Rango_Admin_DailyPred,MATCH($F39,Rango_Admin_DailyPred_Primera,0),0),"-")</f>
        <v>-</v>
      </c>
      <c r="AH39" s="429" t="str">
        <f ca="1">IFERROR(VLOOKUP(AH$2,Rango_Admin_DailyPred,MATCH($F39,Rango_Admin_DailyPred_Primera,0),0),"-")</f>
        <v>-</v>
      </c>
      <c r="AI39" s="429" t="str">
        <f ca="1">IFERROR(VLOOKUP(AI$2,Rango_Admin_DailyPred,MATCH($F39,Rango_Admin_DailyPred_Primera,0),0),"-")</f>
        <v>-</v>
      </c>
      <c r="AJ39" s="429" t="str">
        <f ca="1">IFERROR(VLOOKUP(AJ$2,Rango_Admin_DailyPred,MATCH($F39,Rango_Admin_DailyPred_Primera,0),0),"-")</f>
        <v>-</v>
      </c>
      <c r="AK39" s="429" t="str">
        <f ca="1">IFERROR(VLOOKUP(AK$2,Rango_Admin_DailyPred,MATCH($F39,Rango_Admin_DailyPred_Primera,0),0),"-")</f>
        <v>-</v>
      </c>
      <c r="AL39" s="429" t="str">
        <f ca="1">IFERROR(VLOOKUP(AL$2,Rango_Admin_DailyPred,MATCH($F39,Rango_Admin_DailyPred_Primera,0),0),"-")</f>
        <v>-</v>
      </c>
      <c r="AM39" s="297"/>
      <c r="AN39" s="297"/>
      <c r="AO39" s="297"/>
    </row>
    <row r="40" spans="1:41">
      <c r="E40" s="19">
        <f t="shared" si="1"/>
        <v>117</v>
      </c>
      <c r="F40" s="448" t="str" cm="1">
        <f t="array" ref="F40">IFERROR(INDEX(Rango_Admin_DailyPred_Primera,1,E40),"-")</f>
        <v>IGNACIO LAFUENTE</v>
      </c>
      <c r="G40" s="429" t="str">
        <f ca="1">IFERROR(VLOOKUP(G$2,Rango_Admin_DailyPred,MATCH($F40,Rango_Admin_DailyPred_Primera,0),0),"-")</f>
        <v>1|2-0</v>
      </c>
      <c r="H40" s="429" t="str">
        <f ca="1">IFERROR(VLOOKUP(H$2,Rango_Admin_DailyPred,MATCH($F40,Rango_Admin_DailyPred_Primera,0),0),"-")</f>
        <v>-</v>
      </c>
      <c r="I40" s="429" t="str">
        <f ca="1">IFERROR(VLOOKUP(I$2,Rango_Admin_DailyPred,MATCH($F40,Rango_Admin_DailyPred_Primera,0),0),"-")</f>
        <v>-</v>
      </c>
      <c r="J40" s="429" t="str">
        <f ca="1">IFERROR(VLOOKUP(J$2,Rango_Admin_DailyPred,MATCH($F40,Rango_Admin_DailyPred_Primera,0),0),"-")</f>
        <v>-</v>
      </c>
      <c r="K40" s="429" t="str">
        <f ca="1">IFERROR(VLOOKUP(K$2,Rango_Admin_DailyPred,MATCH($F40,Rango_Admin_DailyPred_Primera,0),0),"-")</f>
        <v>-</v>
      </c>
      <c r="L40" s="429" t="str">
        <f ca="1">IFERROR(VLOOKUP(L$2,Rango_Admin_DailyPred,MATCH($F40,Rango_Admin_DailyPred_Primera,0),0),"-")</f>
        <v>-</v>
      </c>
      <c r="M40" s="429" t="str">
        <f ca="1">IFERROR(VLOOKUP(M$2,Rango_Admin_DailyPred,MATCH($F40,Rango_Admin_DailyPred_Primera,0),0),"-")</f>
        <v>-</v>
      </c>
      <c r="N40" s="429" t="str">
        <f ca="1">IFERROR(VLOOKUP(N$2,Rango_Admin_DailyPred,MATCH($F40,Rango_Admin_DailyPred_Primera,0),0),"-")</f>
        <v>-</v>
      </c>
      <c r="O40" s="429" t="str">
        <f ca="1">IFERROR(VLOOKUP(O$2,Rango_Admin_DailyPred,MATCH($F40,Rango_Admin_DailyPred_Primera,0),0),"-")</f>
        <v>-</v>
      </c>
      <c r="P40" s="429" t="str">
        <f ca="1">IFERROR(VLOOKUP(P$2,Rango_Admin_DailyPred,MATCH($F40,Rango_Admin_DailyPred_Primera,0),0),"-")</f>
        <v>-</v>
      </c>
      <c r="Q40" s="429" t="str">
        <f ca="1">IFERROR(VLOOKUP(Q$2,Rango_Admin_DailyPred,MATCH($F40,Rango_Admin_DailyPred_Primera,0),0),"-")</f>
        <v>-</v>
      </c>
      <c r="R40" s="429" t="str">
        <f ca="1">IFERROR(VLOOKUP(R$2,Rango_Admin_DailyPred,MATCH($F40,Rango_Admin_DailyPred_Primera,0),0),"-")</f>
        <v>-</v>
      </c>
      <c r="S40" s="429" t="str">
        <f ca="1">IFERROR(VLOOKUP(S$2,Rango_Admin_DailyPred,MATCH($F40,Rango_Admin_DailyPred_Primera,0),0),"-")</f>
        <v>-</v>
      </c>
      <c r="T40" s="429" t="str">
        <f ca="1">IFERROR(VLOOKUP(T$2,Rango_Admin_DailyPred,MATCH($F40,Rango_Admin_DailyPred_Primera,0),0),"-")</f>
        <v>-</v>
      </c>
      <c r="U40" s="429" t="str">
        <f ca="1">IFERROR(VLOOKUP(U$2,Rango_Admin_DailyPred,MATCH($F40,Rango_Admin_DailyPred_Primera,0),0),"-")</f>
        <v>-</v>
      </c>
      <c r="V40" s="429" t="str">
        <f ca="1">IFERROR(VLOOKUP(V$2,Rango_Admin_DailyPred,MATCH($F40,Rango_Admin_DailyPred_Primera,0),0),"-")</f>
        <v>-</v>
      </c>
      <c r="W40" s="429" t="str">
        <f ca="1">IFERROR(VLOOKUP(W$2,Rango_Admin_DailyPred,MATCH($F40,Rango_Admin_DailyPred_Primera,0),0),"-")</f>
        <v>-</v>
      </c>
      <c r="X40" s="429" t="str">
        <f ca="1">IFERROR(VLOOKUP(X$2,Rango_Admin_DailyPred,MATCH($F40,Rango_Admin_DailyPred_Primera,0),0),"-")</f>
        <v>-</v>
      </c>
      <c r="Y40" s="429" t="str">
        <f ca="1">IFERROR(VLOOKUP(Y$2,Rango_Admin_DailyPred,MATCH($F40,Rango_Admin_DailyPred_Primera,0),0),"-")</f>
        <v>-</v>
      </c>
      <c r="Z40" s="429" t="str">
        <f ca="1">IFERROR(VLOOKUP(Z$2,Rango_Admin_DailyPred,MATCH($F40,Rango_Admin_DailyPred_Primera,0),0),"-")</f>
        <v>-</v>
      </c>
      <c r="AA40" s="429" t="str">
        <f ca="1">IFERROR(VLOOKUP(AA$2,Rango_Admin_DailyPred,MATCH($F40,Rango_Admin_DailyPred_Primera,0),0),"-")</f>
        <v>-</v>
      </c>
      <c r="AB40" s="429" t="str">
        <f ca="1">IFERROR(VLOOKUP(AB$2,Rango_Admin_DailyPred,MATCH($F40,Rango_Admin_DailyPred_Primera,0),0),"-")</f>
        <v>-</v>
      </c>
      <c r="AC40" s="429" t="str">
        <f ca="1">IFERROR(VLOOKUP(AC$2,Rango_Admin_DailyPred,MATCH($F40,Rango_Admin_DailyPred_Primera,0),0),"-")</f>
        <v>-</v>
      </c>
      <c r="AD40" s="429" t="str">
        <f ca="1">IFERROR(VLOOKUP(AD$2,Rango_Admin_DailyPred,MATCH($F40,Rango_Admin_DailyPred_Primera,0),0),"-")</f>
        <v>-</v>
      </c>
      <c r="AE40" s="429" t="str">
        <f ca="1">IFERROR(VLOOKUP(AE$2,Rango_Admin_DailyPred,MATCH($F40,Rango_Admin_DailyPred_Primera,0),0),"-")</f>
        <v>-</v>
      </c>
      <c r="AF40" s="429" t="str">
        <f ca="1">IFERROR(VLOOKUP(AF$2,Rango_Admin_DailyPred,MATCH($F40,Rango_Admin_DailyPred_Primera,0),0),"-")</f>
        <v>-</v>
      </c>
      <c r="AG40" s="429" t="str">
        <f ca="1">IFERROR(VLOOKUP(AG$2,Rango_Admin_DailyPred,MATCH($F40,Rango_Admin_DailyPred_Primera,0),0),"-")</f>
        <v>-</v>
      </c>
      <c r="AH40" s="429" t="str">
        <f ca="1">IFERROR(VLOOKUP(AH$2,Rango_Admin_DailyPred,MATCH($F40,Rango_Admin_DailyPred_Primera,0),0),"-")</f>
        <v>-</v>
      </c>
      <c r="AI40" s="429" t="str">
        <f ca="1">IFERROR(VLOOKUP(AI$2,Rango_Admin_DailyPred,MATCH($F40,Rango_Admin_DailyPred_Primera,0),0),"-")</f>
        <v>-</v>
      </c>
      <c r="AJ40" s="429" t="str">
        <f ca="1">IFERROR(VLOOKUP(AJ$2,Rango_Admin_DailyPred,MATCH($F40,Rango_Admin_DailyPred_Primera,0),0),"-")</f>
        <v>-</v>
      </c>
      <c r="AK40" s="429" t="str">
        <f ca="1">IFERROR(VLOOKUP(AK$2,Rango_Admin_DailyPred,MATCH($F40,Rango_Admin_DailyPred_Primera,0),0),"-")</f>
        <v>-</v>
      </c>
      <c r="AL40" s="429" t="str">
        <f ca="1">IFERROR(VLOOKUP(AL$2,Rango_Admin_DailyPred,MATCH($F40,Rango_Admin_DailyPred_Primera,0),0),"-")</f>
        <v>-</v>
      </c>
      <c r="AM40" s="297"/>
      <c r="AN40" s="297"/>
      <c r="AO40" s="297"/>
    </row>
    <row r="41" spans="1:41">
      <c r="E41" s="19">
        <f t="shared" si="1"/>
        <v>120</v>
      </c>
      <c r="F41" s="448" t="str" cm="1">
        <f t="array" ref="F41">IFERROR(INDEX(Rango_Admin_DailyPred_Primera,1,E41),"-")</f>
        <v>DIDI</v>
      </c>
      <c r="G41" s="429" t="str">
        <f ca="1">IFERROR(VLOOKUP(G$2,Rango_Admin_DailyPred,MATCH($F41,Rango_Admin_DailyPred_Primera,0),0),"-")</f>
        <v>1|2-0</v>
      </c>
      <c r="H41" s="429" t="str">
        <f ca="1">IFERROR(VLOOKUP(H$2,Rango_Admin_DailyPred,MATCH($F41,Rango_Admin_DailyPred_Primera,0),0),"-")</f>
        <v>-</v>
      </c>
      <c r="I41" s="429" t="str">
        <f ca="1">IFERROR(VLOOKUP(I$2,Rango_Admin_DailyPred,MATCH($F41,Rango_Admin_DailyPred_Primera,0),0),"-")</f>
        <v>-</v>
      </c>
      <c r="J41" s="429" t="str">
        <f ca="1">IFERROR(VLOOKUP(J$2,Rango_Admin_DailyPred,MATCH($F41,Rango_Admin_DailyPred_Primera,0),0),"-")</f>
        <v>-</v>
      </c>
      <c r="K41" s="429" t="str">
        <f ca="1">IFERROR(VLOOKUP(K$2,Rango_Admin_DailyPred,MATCH($F41,Rango_Admin_DailyPred_Primera,0),0),"-")</f>
        <v>-</v>
      </c>
      <c r="L41" s="429" t="str">
        <f ca="1">IFERROR(VLOOKUP(L$2,Rango_Admin_DailyPred,MATCH($F41,Rango_Admin_DailyPred_Primera,0),0),"-")</f>
        <v>-</v>
      </c>
      <c r="M41" s="429" t="str">
        <f ca="1">IFERROR(VLOOKUP(M$2,Rango_Admin_DailyPred,MATCH($F41,Rango_Admin_DailyPred_Primera,0),0),"-")</f>
        <v>-</v>
      </c>
      <c r="N41" s="429" t="str">
        <f ca="1">IFERROR(VLOOKUP(N$2,Rango_Admin_DailyPred,MATCH($F41,Rango_Admin_DailyPred_Primera,0),0),"-")</f>
        <v>-</v>
      </c>
      <c r="O41" s="429" t="str">
        <f ca="1">IFERROR(VLOOKUP(O$2,Rango_Admin_DailyPred,MATCH($F41,Rango_Admin_DailyPred_Primera,0),0),"-")</f>
        <v>-</v>
      </c>
      <c r="P41" s="429" t="str">
        <f ca="1">IFERROR(VLOOKUP(P$2,Rango_Admin_DailyPred,MATCH($F41,Rango_Admin_DailyPred_Primera,0),0),"-")</f>
        <v>-</v>
      </c>
      <c r="Q41" s="429" t="str">
        <f ca="1">IFERROR(VLOOKUP(Q$2,Rango_Admin_DailyPred,MATCH($F41,Rango_Admin_DailyPred_Primera,0),0),"-")</f>
        <v>-</v>
      </c>
      <c r="R41" s="429" t="str">
        <f ca="1">IFERROR(VLOOKUP(R$2,Rango_Admin_DailyPred,MATCH($F41,Rango_Admin_DailyPred_Primera,0),0),"-")</f>
        <v>-</v>
      </c>
      <c r="S41" s="429" t="str">
        <f ca="1">IFERROR(VLOOKUP(S$2,Rango_Admin_DailyPred,MATCH($F41,Rango_Admin_DailyPred_Primera,0),0),"-")</f>
        <v>-</v>
      </c>
      <c r="T41" s="429" t="str">
        <f ca="1">IFERROR(VLOOKUP(T$2,Rango_Admin_DailyPred,MATCH($F41,Rango_Admin_DailyPred_Primera,0),0),"-")</f>
        <v>-</v>
      </c>
      <c r="U41" s="429" t="str">
        <f ca="1">IFERROR(VLOOKUP(U$2,Rango_Admin_DailyPred,MATCH($F41,Rango_Admin_DailyPred_Primera,0),0),"-")</f>
        <v>-</v>
      </c>
      <c r="V41" s="429" t="str">
        <f ca="1">IFERROR(VLOOKUP(V$2,Rango_Admin_DailyPred,MATCH($F41,Rango_Admin_DailyPred_Primera,0),0),"-")</f>
        <v>-</v>
      </c>
      <c r="W41" s="429" t="str">
        <f ca="1">IFERROR(VLOOKUP(W$2,Rango_Admin_DailyPred,MATCH($F41,Rango_Admin_DailyPred_Primera,0),0),"-")</f>
        <v>-</v>
      </c>
      <c r="X41" s="429" t="str">
        <f ca="1">IFERROR(VLOOKUP(X$2,Rango_Admin_DailyPred,MATCH($F41,Rango_Admin_DailyPred_Primera,0),0),"-")</f>
        <v>-</v>
      </c>
      <c r="Y41" s="429" t="str">
        <f ca="1">IFERROR(VLOOKUP(Y$2,Rango_Admin_DailyPred,MATCH($F41,Rango_Admin_DailyPred_Primera,0),0),"-")</f>
        <v>-</v>
      </c>
      <c r="Z41" s="429" t="str">
        <f ca="1">IFERROR(VLOOKUP(Z$2,Rango_Admin_DailyPred,MATCH($F41,Rango_Admin_DailyPred_Primera,0),0),"-")</f>
        <v>-</v>
      </c>
      <c r="AA41" s="429" t="str">
        <f ca="1">IFERROR(VLOOKUP(AA$2,Rango_Admin_DailyPred,MATCH($F41,Rango_Admin_DailyPred_Primera,0),0),"-")</f>
        <v>-</v>
      </c>
      <c r="AB41" s="429" t="str">
        <f ca="1">IFERROR(VLOOKUP(AB$2,Rango_Admin_DailyPred,MATCH($F41,Rango_Admin_DailyPred_Primera,0),0),"-")</f>
        <v>-</v>
      </c>
      <c r="AC41" s="429" t="str">
        <f ca="1">IFERROR(VLOOKUP(AC$2,Rango_Admin_DailyPred,MATCH($F41,Rango_Admin_DailyPred_Primera,0),0),"-")</f>
        <v>-</v>
      </c>
      <c r="AD41" s="429" t="str">
        <f ca="1">IFERROR(VLOOKUP(AD$2,Rango_Admin_DailyPred,MATCH($F41,Rango_Admin_DailyPred_Primera,0),0),"-")</f>
        <v>-</v>
      </c>
      <c r="AE41" s="429" t="str">
        <f ca="1">IFERROR(VLOOKUP(AE$2,Rango_Admin_DailyPred,MATCH($F41,Rango_Admin_DailyPred_Primera,0),0),"-")</f>
        <v>-</v>
      </c>
      <c r="AF41" s="429" t="str">
        <f ca="1">IFERROR(VLOOKUP(AF$2,Rango_Admin_DailyPred,MATCH($F41,Rango_Admin_DailyPred_Primera,0),0),"-")</f>
        <v>-</v>
      </c>
      <c r="AG41" s="429" t="str">
        <f ca="1">IFERROR(VLOOKUP(AG$2,Rango_Admin_DailyPred,MATCH($F41,Rango_Admin_DailyPred_Primera,0),0),"-")</f>
        <v>-</v>
      </c>
      <c r="AH41" s="429" t="str">
        <f ca="1">IFERROR(VLOOKUP(AH$2,Rango_Admin_DailyPred,MATCH($F41,Rango_Admin_DailyPred_Primera,0),0),"-")</f>
        <v>-</v>
      </c>
      <c r="AI41" s="429" t="str">
        <f ca="1">IFERROR(VLOOKUP(AI$2,Rango_Admin_DailyPred,MATCH($F41,Rango_Admin_DailyPred_Primera,0),0),"-")</f>
        <v>-</v>
      </c>
      <c r="AJ41" s="429" t="str">
        <f ca="1">IFERROR(VLOOKUP(AJ$2,Rango_Admin_DailyPred,MATCH($F41,Rango_Admin_DailyPred_Primera,0),0),"-")</f>
        <v>-</v>
      </c>
      <c r="AK41" s="429" t="str">
        <f ca="1">IFERROR(VLOOKUP(AK$2,Rango_Admin_DailyPred,MATCH($F41,Rango_Admin_DailyPred_Primera,0),0),"-")</f>
        <v>-</v>
      </c>
      <c r="AL41" s="429" t="str">
        <f ca="1">IFERROR(VLOOKUP(AL$2,Rango_Admin_DailyPred,MATCH($F41,Rango_Admin_DailyPred_Primera,0),0),"-")</f>
        <v>-</v>
      </c>
      <c r="AM41" s="297"/>
      <c r="AN41" s="297"/>
      <c r="AO41" s="297"/>
    </row>
    <row r="42" spans="1:41">
      <c r="A42" s="5" t="str" cm="1">
        <f t="array" aca="1" ref="A42" ca="1">IFERROR(INDEX(ADMIN!$K$6:$K$258,SMALL(IF(ADMIN!$G$6:$G$258=$J$1,ROW(ADMIN!$G$6:$G$258)-ROW(ADMIN!$G$6)+1),ROWS($A$1:A39))),"")</f>
        <v/>
      </c>
      <c r="E42" s="19">
        <f t="shared" si="1"/>
        <v>123</v>
      </c>
      <c r="F42" s="448" t="str" cm="1">
        <f t="array" ref="F42">IFERROR(INDEX(Rango_Admin_DailyPred_Primera,1,E42),"-")</f>
        <v xml:space="preserve">Ignacio Núñez </v>
      </c>
      <c r="G42" s="429" t="str">
        <f ca="1">IFERROR(VLOOKUP(G$2,Rango_Admin_DailyPred,MATCH($F42,Rango_Admin_DailyPred_Primera,0),0),"-")</f>
        <v>1|2-0</v>
      </c>
      <c r="H42" s="429" t="str">
        <f ca="1">IFERROR(VLOOKUP(H$2,Rango_Admin_DailyPred,MATCH($F42,Rango_Admin_DailyPred_Primera,0),0),"-")</f>
        <v>-</v>
      </c>
      <c r="I42" s="429" t="str">
        <f ca="1">IFERROR(VLOOKUP(I$2,Rango_Admin_DailyPred,MATCH($F42,Rango_Admin_DailyPred_Primera,0),0),"-")</f>
        <v>-</v>
      </c>
      <c r="J42" s="429" t="str">
        <f ca="1">IFERROR(VLOOKUP(J$2,Rango_Admin_DailyPred,MATCH($F42,Rango_Admin_DailyPred_Primera,0),0),"-")</f>
        <v>-</v>
      </c>
      <c r="K42" s="429" t="str">
        <f ca="1">IFERROR(VLOOKUP(K$2,Rango_Admin_DailyPred,MATCH($F42,Rango_Admin_DailyPred_Primera,0),0),"-")</f>
        <v>-</v>
      </c>
      <c r="L42" s="429" t="str">
        <f ca="1">IFERROR(VLOOKUP(L$2,Rango_Admin_DailyPred,MATCH($F42,Rango_Admin_DailyPred_Primera,0),0),"-")</f>
        <v>-</v>
      </c>
      <c r="M42" s="429" t="str">
        <f ca="1">IFERROR(VLOOKUP(M$2,Rango_Admin_DailyPred,MATCH($F42,Rango_Admin_DailyPred_Primera,0),0),"-")</f>
        <v>-</v>
      </c>
      <c r="N42" s="429" t="str">
        <f ca="1">IFERROR(VLOOKUP(N$2,Rango_Admin_DailyPred,MATCH($F42,Rango_Admin_DailyPred_Primera,0),0),"-")</f>
        <v>-</v>
      </c>
      <c r="O42" s="429" t="str">
        <f ca="1">IFERROR(VLOOKUP(O$2,Rango_Admin_DailyPred,MATCH($F42,Rango_Admin_DailyPred_Primera,0),0),"-")</f>
        <v>-</v>
      </c>
      <c r="P42" s="429" t="str">
        <f ca="1">IFERROR(VLOOKUP(P$2,Rango_Admin_DailyPred,MATCH($F42,Rango_Admin_DailyPred_Primera,0),0),"-")</f>
        <v>-</v>
      </c>
      <c r="Q42" s="429" t="str">
        <f ca="1">IFERROR(VLOOKUP(Q$2,Rango_Admin_DailyPred,MATCH($F42,Rango_Admin_DailyPred_Primera,0),0),"-")</f>
        <v>-</v>
      </c>
      <c r="R42" s="429" t="str">
        <f ca="1">IFERROR(VLOOKUP(R$2,Rango_Admin_DailyPred,MATCH($F42,Rango_Admin_DailyPred_Primera,0),0),"-")</f>
        <v>-</v>
      </c>
      <c r="S42" s="429" t="str">
        <f ca="1">IFERROR(VLOOKUP(S$2,Rango_Admin_DailyPred,MATCH($F42,Rango_Admin_DailyPred_Primera,0),0),"-")</f>
        <v>-</v>
      </c>
      <c r="T42" s="429" t="str">
        <f ca="1">IFERROR(VLOOKUP(T$2,Rango_Admin_DailyPred,MATCH($F42,Rango_Admin_DailyPred_Primera,0),0),"-")</f>
        <v>-</v>
      </c>
      <c r="U42" s="429" t="str">
        <f ca="1">IFERROR(VLOOKUP(U$2,Rango_Admin_DailyPred,MATCH($F42,Rango_Admin_DailyPred_Primera,0),0),"-")</f>
        <v>-</v>
      </c>
      <c r="V42" s="429" t="str">
        <f ca="1">IFERROR(VLOOKUP(V$2,Rango_Admin_DailyPred,MATCH($F42,Rango_Admin_DailyPred_Primera,0),0),"-")</f>
        <v>-</v>
      </c>
      <c r="W42" s="429" t="str">
        <f ca="1">IFERROR(VLOOKUP(W$2,Rango_Admin_DailyPred,MATCH($F42,Rango_Admin_DailyPred_Primera,0),0),"-")</f>
        <v>-</v>
      </c>
      <c r="X42" s="429" t="str">
        <f ca="1">IFERROR(VLOOKUP(X$2,Rango_Admin_DailyPred,MATCH($F42,Rango_Admin_DailyPred_Primera,0),0),"-")</f>
        <v>-</v>
      </c>
      <c r="Y42" s="429" t="str">
        <f ca="1">IFERROR(VLOOKUP(Y$2,Rango_Admin_DailyPred,MATCH($F42,Rango_Admin_DailyPred_Primera,0),0),"-")</f>
        <v>-</v>
      </c>
      <c r="Z42" s="429" t="str">
        <f ca="1">IFERROR(VLOOKUP(Z$2,Rango_Admin_DailyPred,MATCH($F42,Rango_Admin_DailyPred_Primera,0),0),"-")</f>
        <v>-</v>
      </c>
      <c r="AA42" s="429" t="str">
        <f ca="1">IFERROR(VLOOKUP(AA$2,Rango_Admin_DailyPred,MATCH($F42,Rango_Admin_DailyPred_Primera,0),0),"-")</f>
        <v>-</v>
      </c>
      <c r="AB42" s="429" t="str">
        <f ca="1">IFERROR(VLOOKUP(AB$2,Rango_Admin_DailyPred,MATCH($F42,Rango_Admin_DailyPred_Primera,0),0),"-")</f>
        <v>-</v>
      </c>
      <c r="AC42" s="429" t="str">
        <f ca="1">IFERROR(VLOOKUP(AC$2,Rango_Admin_DailyPred,MATCH($F42,Rango_Admin_DailyPred_Primera,0),0),"-")</f>
        <v>-</v>
      </c>
      <c r="AD42" s="429" t="str">
        <f ca="1">IFERROR(VLOOKUP(AD$2,Rango_Admin_DailyPred,MATCH($F42,Rango_Admin_DailyPred_Primera,0),0),"-")</f>
        <v>-</v>
      </c>
      <c r="AE42" s="429" t="str">
        <f ca="1">IFERROR(VLOOKUP(AE$2,Rango_Admin_DailyPred,MATCH($F42,Rango_Admin_DailyPred_Primera,0),0),"-")</f>
        <v>-</v>
      </c>
      <c r="AF42" s="429" t="str">
        <f ca="1">IFERROR(VLOOKUP(AF$2,Rango_Admin_DailyPred,MATCH($F42,Rango_Admin_DailyPred_Primera,0),0),"-")</f>
        <v>-</v>
      </c>
      <c r="AG42" s="429" t="str">
        <f ca="1">IFERROR(VLOOKUP(AG$2,Rango_Admin_DailyPred,MATCH($F42,Rango_Admin_DailyPred_Primera,0),0),"-")</f>
        <v>-</v>
      </c>
      <c r="AH42" s="429" t="str">
        <f ca="1">IFERROR(VLOOKUP(AH$2,Rango_Admin_DailyPred,MATCH($F42,Rango_Admin_DailyPred_Primera,0),0),"-")</f>
        <v>-</v>
      </c>
      <c r="AI42" s="429" t="str">
        <f ca="1">IFERROR(VLOOKUP(AI$2,Rango_Admin_DailyPred,MATCH($F42,Rango_Admin_DailyPred_Primera,0),0),"-")</f>
        <v>-</v>
      </c>
      <c r="AJ42" s="429" t="str">
        <f ca="1">IFERROR(VLOOKUP(AJ$2,Rango_Admin_DailyPred,MATCH($F42,Rango_Admin_DailyPred_Primera,0),0),"-")</f>
        <v>-</v>
      </c>
      <c r="AK42" s="429" t="str">
        <f ca="1">IFERROR(VLOOKUP(AK$2,Rango_Admin_DailyPred,MATCH($F42,Rango_Admin_DailyPred_Primera,0),0),"-")</f>
        <v>-</v>
      </c>
      <c r="AL42" s="429" t="str">
        <f ca="1">IFERROR(VLOOKUP(AL$2,Rango_Admin_DailyPred,MATCH($F42,Rango_Admin_DailyPred_Primera,0),0),"-")</f>
        <v>-</v>
      </c>
      <c r="AM42" s="297"/>
      <c r="AN42" s="297"/>
      <c r="AO42" s="297"/>
    </row>
    <row r="43" spans="1:41">
      <c r="E43" s="19">
        <f t="shared" si="1"/>
        <v>126</v>
      </c>
      <c r="F43" s="448" t="str" cm="1">
        <f t="array" ref="F43">IFERROR(INDEX(Rango_Admin_DailyPred_Primera,1,E43),"-")</f>
        <v>Ricardo Soto</v>
      </c>
      <c r="G43" s="429" t="str">
        <f ca="1">IFERROR(VLOOKUP(G$2,Rango_Admin_DailyPred,MATCH($F43,Rango_Admin_DailyPred_Primera,0),0),"-")</f>
        <v>1|1-0</v>
      </c>
      <c r="H43" s="429" t="str">
        <f ca="1">IFERROR(VLOOKUP(H$2,Rango_Admin_DailyPred,MATCH($F43,Rango_Admin_DailyPred_Primera,0),0),"-")</f>
        <v>-</v>
      </c>
      <c r="I43" s="429" t="str">
        <f ca="1">IFERROR(VLOOKUP(I$2,Rango_Admin_DailyPred,MATCH($F43,Rango_Admin_DailyPred_Primera,0),0),"-")</f>
        <v>-</v>
      </c>
      <c r="J43" s="429" t="str">
        <f ca="1">IFERROR(VLOOKUP(J$2,Rango_Admin_DailyPred,MATCH($F43,Rango_Admin_DailyPred_Primera,0),0),"-")</f>
        <v>-</v>
      </c>
      <c r="K43" s="429" t="str">
        <f ca="1">IFERROR(VLOOKUP(K$2,Rango_Admin_DailyPred,MATCH($F43,Rango_Admin_DailyPred_Primera,0),0),"-")</f>
        <v>-</v>
      </c>
      <c r="L43" s="429" t="str">
        <f ca="1">IFERROR(VLOOKUP(L$2,Rango_Admin_DailyPred,MATCH($F43,Rango_Admin_DailyPred_Primera,0),0),"-")</f>
        <v>-</v>
      </c>
      <c r="M43" s="429" t="str">
        <f ca="1">IFERROR(VLOOKUP(M$2,Rango_Admin_DailyPred,MATCH($F43,Rango_Admin_DailyPred_Primera,0),0),"-")</f>
        <v>-</v>
      </c>
      <c r="N43" s="429" t="str">
        <f ca="1">IFERROR(VLOOKUP(N$2,Rango_Admin_DailyPred,MATCH($F43,Rango_Admin_DailyPred_Primera,0),0),"-")</f>
        <v>-</v>
      </c>
      <c r="O43" s="429" t="str">
        <f ca="1">IFERROR(VLOOKUP(O$2,Rango_Admin_DailyPred,MATCH($F43,Rango_Admin_DailyPred_Primera,0),0),"-")</f>
        <v>-</v>
      </c>
      <c r="P43" s="429" t="str">
        <f ca="1">IFERROR(VLOOKUP(P$2,Rango_Admin_DailyPred,MATCH($F43,Rango_Admin_DailyPred_Primera,0),0),"-")</f>
        <v>-</v>
      </c>
      <c r="Q43" s="429" t="str">
        <f ca="1">IFERROR(VLOOKUP(Q$2,Rango_Admin_DailyPred,MATCH($F43,Rango_Admin_DailyPred_Primera,0),0),"-")</f>
        <v>-</v>
      </c>
      <c r="R43" s="429" t="str">
        <f ca="1">IFERROR(VLOOKUP(R$2,Rango_Admin_DailyPred,MATCH($F43,Rango_Admin_DailyPred_Primera,0),0),"-")</f>
        <v>-</v>
      </c>
      <c r="S43" s="429" t="str">
        <f ca="1">IFERROR(VLOOKUP(S$2,Rango_Admin_DailyPred,MATCH($F43,Rango_Admin_DailyPred_Primera,0),0),"-")</f>
        <v>-</v>
      </c>
      <c r="T43" s="429" t="str">
        <f ca="1">IFERROR(VLOOKUP(T$2,Rango_Admin_DailyPred,MATCH($F43,Rango_Admin_DailyPred_Primera,0),0),"-")</f>
        <v>-</v>
      </c>
      <c r="U43" s="429" t="str">
        <f ca="1">IFERROR(VLOOKUP(U$2,Rango_Admin_DailyPred,MATCH($F43,Rango_Admin_DailyPred_Primera,0),0),"-")</f>
        <v>-</v>
      </c>
      <c r="V43" s="429" t="str">
        <f ca="1">IFERROR(VLOOKUP(V$2,Rango_Admin_DailyPred,MATCH($F43,Rango_Admin_DailyPred_Primera,0),0),"-")</f>
        <v>-</v>
      </c>
      <c r="W43" s="429" t="str">
        <f ca="1">IFERROR(VLOOKUP(W$2,Rango_Admin_DailyPred,MATCH($F43,Rango_Admin_DailyPred_Primera,0),0),"-")</f>
        <v>-</v>
      </c>
      <c r="X43" s="429" t="str">
        <f ca="1">IFERROR(VLOOKUP(X$2,Rango_Admin_DailyPred,MATCH($F43,Rango_Admin_DailyPred_Primera,0),0),"-")</f>
        <v>-</v>
      </c>
      <c r="Y43" s="429" t="str">
        <f ca="1">IFERROR(VLOOKUP(Y$2,Rango_Admin_DailyPred,MATCH($F43,Rango_Admin_DailyPred_Primera,0),0),"-")</f>
        <v>-</v>
      </c>
      <c r="Z43" s="429" t="str">
        <f ca="1">IFERROR(VLOOKUP(Z$2,Rango_Admin_DailyPred,MATCH($F43,Rango_Admin_DailyPred_Primera,0),0),"-")</f>
        <v>-</v>
      </c>
      <c r="AA43" s="429" t="str">
        <f ca="1">IFERROR(VLOOKUP(AA$2,Rango_Admin_DailyPred,MATCH($F43,Rango_Admin_DailyPred_Primera,0),0),"-")</f>
        <v>-</v>
      </c>
      <c r="AB43" s="429" t="str">
        <f ca="1">IFERROR(VLOOKUP(AB$2,Rango_Admin_DailyPred,MATCH($F43,Rango_Admin_DailyPred_Primera,0),0),"-")</f>
        <v>-</v>
      </c>
      <c r="AC43" s="429" t="str">
        <f ca="1">IFERROR(VLOOKUP(AC$2,Rango_Admin_DailyPred,MATCH($F43,Rango_Admin_DailyPred_Primera,0),0),"-")</f>
        <v>-</v>
      </c>
      <c r="AD43" s="429" t="str">
        <f ca="1">IFERROR(VLOOKUP(AD$2,Rango_Admin_DailyPred,MATCH($F43,Rango_Admin_DailyPred_Primera,0),0),"-")</f>
        <v>-</v>
      </c>
      <c r="AE43" s="429" t="str">
        <f ca="1">IFERROR(VLOOKUP(AE$2,Rango_Admin_DailyPred,MATCH($F43,Rango_Admin_DailyPred_Primera,0),0),"-")</f>
        <v>-</v>
      </c>
      <c r="AF43" s="429" t="str">
        <f ca="1">IFERROR(VLOOKUP(AF$2,Rango_Admin_DailyPred,MATCH($F43,Rango_Admin_DailyPred_Primera,0),0),"-")</f>
        <v>-</v>
      </c>
      <c r="AG43" s="429" t="str">
        <f ca="1">IFERROR(VLOOKUP(AG$2,Rango_Admin_DailyPred,MATCH($F43,Rango_Admin_DailyPred_Primera,0),0),"-")</f>
        <v>-</v>
      </c>
      <c r="AH43" s="429" t="str">
        <f ca="1">IFERROR(VLOOKUP(AH$2,Rango_Admin_DailyPred,MATCH($F43,Rango_Admin_DailyPred_Primera,0),0),"-")</f>
        <v>-</v>
      </c>
      <c r="AI43" s="429" t="str">
        <f ca="1">IFERROR(VLOOKUP(AI$2,Rango_Admin_DailyPred,MATCH($F43,Rango_Admin_DailyPred_Primera,0),0),"-")</f>
        <v>-</v>
      </c>
      <c r="AJ43" s="429" t="str">
        <f ca="1">IFERROR(VLOOKUP(AJ$2,Rango_Admin_DailyPred,MATCH($F43,Rango_Admin_DailyPred_Primera,0),0),"-")</f>
        <v>-</v>
      </c>
      <c r="AK43" s="429" t="str">
        <f ca="1">IFERROR(VLOOKUP(AK$2,Rango_Admin_DailyPred,MATCH($F43,Rango_Admin_DailyPred_Primera,0),0),"-")</f>
        <v>-</v>
      </c>
      <c r="AL43" s="429" t="str">
        <f ca="1">IFERROR(VLOOKUP(AL$2,Rango_Admin_DailyPred,MATCH($F43,Rango_Admin_DailyPred_Primera,0),0),"-")</f>
        <v>-</v>
      </c>
      <c r="AM43" s="297"/>
      <c r="AN43" s="297"/>
      <c r="AO43" s="297"/>
    </row>
    <row r="44" spans="1:41">
      <c r="E44" s="19">
        <f t="shared" si="1"/>
        <v>129</v>
      </c>
      <c r="F44" s="448" t="str" cm="1">
        <f t="array" ref="F44">IFERROR(INDEX(Rango_Admin_DailyPred_Primera,1,E44),"-")</f>
        <v>Alexander Schulte</v>
      </c>
      <c r="G44" s="429" t="str">
        <f ca="1">IFERROR(VLOOKUP(G$2,Rango_Admin_DailyPred,MATCH($F44,Rango_Admin_DailyPred_Primera,0),0),"-")</f>
        <v>1|1-0</v>
      </c>
      <c r="H44" s="429" t="str">
        <f ca="1">IFERROR(VLOOKUP(H$2,Rango_Admin_DailyPred,MATCH($F44,Rango_Admin_DailyPred_Primera,0),0),"-")</f>
        <v>-</v>
      </c>
      <c r="I44" s="429" t="str">
        <f ca="1">IFERROR(VLOOKUP(I$2,Rango_Admin_DailyPred,MATCH($F44,Rango_Admin_DailyPred_Primera,0),0),"-")</f>
        <v>-</v>
      </c>
      <c r="J44" s="429" t="str">
        <f ca="1">IFERROR(VLOOKUP(J$2,Rango_Admin_DailyPred,MATCH($F44,Rango_Admin_DailyPred_Primera,0),0),"-")</f>
        <v>-</v>
      </c>
      <c r="K44" s="429" t="str">
        <f ca="1">IFERROR(VLOOKUP(K$2,Rango_Admin_DailyPred,MATCH($F44,Rango_Admin_DailyPred_Primera,0),0),"-")</f>
        <v>-</v>
      </c>
      <c r="L44" s="429" t="str">
        <f ca="1">IFERROR(VLOOKUP(L$2,Rango_Admin_DailyPred,MATCH($F44,Rango_Admin_DailyPred_Primera,0),0),"-")</f>
        <v>-</v>
      </c>
      <c r="M44" s="429" t="str">
        <f ca="1">IFERROR(VLOOKUP(M$2,Rango_Admin_DailyPred,MATCH($F44,Rango_Admin_DailyPred_Primera,0),0),"-")</f>
        <v>-</v>
      </c>
      <c r="N44" s="429" t="str">
        <f ca="1">IFERROR(VLOOKUP(N$2,Rango_Admin_DailyPred,MATCH($F44,Rango_Admin_DailyPred_Primera,0),0),"-")</f>
        <v>-</v>
      </c>
      <c r="O44" s="429" t="str">
        <f ca="1">IFERROR(VLOOKUP(O$2,Rango_Admin_DailyPred,MATCH($F44,Rango_Admin_DailyPred_Primera,0),0),"-")</f>
        <v>-</v>
      </c>
      <c r="P44" s="429" t="str">
        <f ca="1">IFERROR(VLOOKUP(P$2,Rango_Admin_DailyPred,MATCH($F44,Rango_Admin_DailyPred_Primera,0),0),"-")</f>
        <v>-</v>
      </c>
      <c r="Q44" s="429" t="str">
        <f ca="1">IFERROR(VLOOKUP(Q$2,Rango_Admin_DailyPred,MATCH($F44,Rango_Admin_DailyPred_Primera,0),0),"-")</f>
        <v>-</v>
      </c>
      <c r="R44" s="429" t="str">
        <f ca="1">IFERROR(VLOOKUP(R$2,Rango_Admin_DailyPred,MATCH($F44,Rango_Admin_DailyPred_Primera,0),0),"-")</f>
        <v>-</v>
      </c>
      <c r="S44" s="429" t="str">
        <f ca="1">IFERROR(VLOOKUP(S$2,Rango_Admin_DailyPred,MATCH($F44,Rango_Admin_DailyPred_Primera,0),0),"-")</f>
        <v>-</v>
      </c>
      <c r="T44" s="429" t="str">
        <f ca="1">IFERROR(VLOOKUP(T$2,Rango_Admin_DailyPred,MATCH($F44,Rango_Admin_DailyPred_Primera,0),0),"-")</f>
        <v>-</v>
      </c>
      <c r="U44" s="429" t="str">
        <f ca="1">IFERROR(VLOOKUP(U$2,Rango_Admin_DailyPred,MATCH($F44,Rango_Admin_DailyPred_Primera,0),0),"-")</f>
        <v>-</v>
      </c>
      <c r="V44" s="429" t="str">
        <f ca="1">IFERROR(VLOOKUP(V$2,Rango_Admin_DailyPred,MATCH($F44,Rango_Admin_DailyPred_Primera,0),0),"-")</f>
        <v>-</v>
      </c>
      <c r="W44" s="429" t="str">
        <f ca="1">IFERROR(VLOOKUP(W$2,Rango_Admin_DailyPred,MATCH($F44,Rango_Admin_DailyPred_Primera,0),0),"-")</f>
        <v>-</v>
      </c>
      <c r="X44" s="429" t="str">
        <f ca="1">IFERROR(VLOOKUP(X$2,Rango_Admin_DailyPred,MATCH($F44,Rango_Admin_DailyPred_Primera,0),0),"-")</f>
        <v>-</v>
      </c>
      <c r="Y44" s="429" t="str">
        <f ca="1">IFERROR(VLOOKUP(Y$2,Rango_Admin_DailyPred,MATCH($F44,Rango_Admin_DailyPred_Primera,0),0),"-")</f>
        <v>-</v>
      </c>
      <c r="Z44" s="429" t="str">
        <f ca="1">IFERROR(VLOOKUP(Z$2,Rango_Admin_DailyPred,MATCH($F44,Rango_Admin_DailyPred_Primera,0),0),"-")</f>
        <v>-</v>
      </c>
      <c r="AA44" s="429" t="str">
        <f ca="1">IFERROR(VLOOKUP(AA$2,Rango_Admin_DailyPred,MATCH($F44,Rango_Admin_DailyPred_Primera,0),0),"-")</f>
        <v>-</v>
      </c>
      <c r="AB44" s="429" t="str">
        <f ca="1">IFERROR(VLOOKUP(AB$2,Rango_Admin_DailyPred,MATCH($F44,Rango_Admin_DailyPred_Primera,0),0),"-")</f>
        <v>-</v>
      </c>
      <c r="AC44" s="429" t="str">
        <f ca="1">IFERROR(VLOOKUP(AC$2,Rango_Admin_DailyPred,MATCH($F44,Rango_Admin_DailyPred_Primera,0),0),"-")</f>
        <v>-</v>
      </c>
      <c r="AD44" s="429" t="str">
        <f ca="1">IFERROR(VLOOKUP(AD$2,Rango_Admin_DailyPred,MATCH($F44,Rango_Admin_DailyPred_Primera,0),0),"-")</f>
        <v>-</v>
      </c>
      <c r="AE44" s="429" t="str">
        <f ca="1">IFERROR(VLOOKUP(AE$2,Rango_Admin_DailyPred,MATCH($F44,Rango_Admin_DailyPred_Primera,0),0),"-")</f>
        <v>-</v>
      </c>
      <c r="AF44" s="429" t="str">
        <f ca="1">IFERROR(VLOOKUP(AF$2,Rango_Admin_DailyPred,MATCH($F44,Rango_Admin_DailyPred_Primera,0),0),"-")</f>
        <v>-</v>
      </c>
      <c r="AG44" s="429" t="str">
        <f ca="1">IFERROR(VLOOKUP(AG$2,Rango_Admin_DailyPred,MATCH($F44,Rango_Admin_DailyPred_Primera,0),0),"-")</f>
        <v>-</v>
      </c>
      <c r="AH44" s="429" t="str">
        <f ca="1">IFERROR(VLOOKUP(AH$2,Rango_Admin_DailyPred,MATCH($F44,Rango_Admin_DailyPred_Primera,0),0),"-")</f>
        <v>-</v>
      </c>
      <c r="AI44" s="429" t="str">
        <f ca="1">IFERROR(VLOOKUP(AI$2,Rango_Admin_DailyPred,MATCH($F44,Rango_Admin_DailyPred_Primera,0),0),"-")</f>
        <v>-</v>
      </c>
      <c r="AJ44" s="429" t="str">
        <f ca="1">IFERROR(VLOOKUP(AJ$2,Rango_Admin_DailyPred,MATCH($F44,Rango_Admin_DailyPred_Primera,0),0),"-")</f>
        <v>-</v>
      </c>
      <c r="AK44" s="429" t="str">
        <f ca="1">IFERROR(VLOOKUP(AK$2,Rango_Admin_DailyPred,MATCH($F44,Rango_Admin_DailyPred_Primera,0),0),"-")</f>
        <v>-</v>
      </c>
      <c r="AL44" s="429" t="str">
        <f ca="1">IFERROR(VLOOKUP(AL$2,Rango_Admin_DailyPred,MATCH($F44,Rango_Admin_DailyPred_Primera,0),0),"-")</f>
        <v>-</v>
      </c>
      <c r="AM44" s="297"/>
      <c r="AN44" s="297"/>
      <c r="AO44" s="297"/>
    </row>
    <row r="45" spans="1:41">
      <c r="E45" s="19">
        <f t="shared" si="1"/>
        <v>132</v>
      </c>
      <c r="F45" s="448" t="str" cm="1">
        <f t="array" ref="F45">IFERROR(INDEX(Rango_Admin_DailyPred_Primera,1,E45),"-")</f>
        <v>Pegar Valores Nombre J42</v>
      </c>
      <c r="G45" s="429" t="str">
        <f ca="1">IFERROR(VLOOKUP(G$2,Rango_Admin_DailyPred,MATCH($F45,Rango_Admin_DailyPred_Primera,0),0),"-")</f>
        <v>Pegar Valores (J1)</v>
      </c>
      <c r="H45" s="429" t="str">
        <f ca="1">IFERROR(VLOOKUP(H$2,Rango_Admin_DailyPred,MATCH($F45,Rango_Admin_DailyPred_Primera,0),0),"-")</f>
        <v>-</v>
      </c>
      <c r="I45" s="429" t="str">
        <f ca="1">IFERROR(VLOOKUP(I$2,Rango_Admin_DailyPred,MATCH($F45,Rango_Admin_DailyPred_Primera,0),0),"-")</f>
        <v>-</v>
      </c>
      <c r="J45" s="429" t="str">
        <f ca="1">IFERROR(VLOOKUP(J$2,Rango_Admin_DailyPred,MATCH($F45,Rango_Admin_DailyPred_Primera,0),0),"-")</f>
        <v>-</v>
      </c>
      <c r="K45" s="429" t="str">
        <f ca="1">IFERROR(VLOOKUP(K$2,Rango_Admin_DailyPred,MATCH($F45,Rango_Admin_DailyPred_Primera,0),0),"-")</f>
        <v>-</v>
      </c>
      <c r="L45" s="429" t="str">
        <f ca="1">IFERROR(VLOOKUP(L$2,Rango_Admin_DailyPred,MATCH($F45,Rango_Admin_DailyPred_Primera,0),0),"-")</f>
        <v>-</v>
      </c>
      <c r="M45" s="429" t="str">
        <f ca="1">IFERROR(VLOOKUP(M$2,Rango_Admin_DailyPred,MATCH($F45,Rango_Admin_DailyPred_Primera,0),0),"-")</f>
        <v>-</v>
      </c>
      <c r="N45" s="429" t="str">
        <f ca="1">IFERROR(VLOOKUP(N$2,Rango_Admin_DailyPred,MATCH($F45,Rango_Admin_DailyPred_Primera,0),0),"-")</f>
        <v>-</v>
      </c>
      <c r="O45" s="429" t="str">
        <f ca="1">IFERROR(VLOOKUP(O$2,Rango_Admin_DailyPred,MATCH($F45,Rango_Admin_DailyPred_Primera,0),0),"-")</f>
        <v>-</v>
      </c>
      <c r="P45" s="429" t="str">
        <f ca="1">IFERROR(VLOOKUP(P$2,Rango_Admin_DailyPred,MATCH($F45,Rango_Admin_DailyPred_Primera,0),0),"-")</f>
        <v>-</v>
      </c>
      <c r="Q45" s="429" t="str">
        <f ca="1">IFERROR(VLOOKUP(Q$2,Rango_Admin_DailyPred,MATCH($F45,Rango_Admin_DailyPred_Primera,0),0),"-")</f>
        <v>-</v>
      </c>
      <c r="R45" s="429" t="str">
        <f ca="1">IFERROR(VLOOKUP(R$2,Rango_Admin_DailyPred,MATCH($F45,Rango_Admin_DailyPred_Primera,0),0),"-")</f>
        <v>-</v>
      </c>
      <c r="S45" s="429" t="str">
        <f ca="1">IFERROR(VLOOKUP(S$2,Rango_Admin_DailyPred,MATCH($F45,Rango_Admin_DailyPred_Primera,0),0),"-")</f>
        <v>-</v>
      </c>
      <c r="T45" s="429" t="str">
        <f ca="1">IFERROR(VLOOKUP(T$2,Rango_Admin_DailyPred,MATCH($F45,Rango_Admin_DailyPred_Primera,0),0),"-")</f>
        <v>-</v>
      </c>
      <c r="U45" s="429" t="str">
        <f ca="1">IFERROR(VLOOKUP(U$2,Rango_Admin_DailyPred,MATCH($F45,Rango_Admin_DailyPred_Primera,0),0),"-")</f>
        <v>-</v>
      </c>
      <c r="V45" s="429" t="str">
        <f ca="1">IFERROR(VLOOKUP(V$2,Rango_Admin_DailyPred,MATCH($F45,Rango_Admin_DailyPred_Primera,0),0),"-")</f>
        <v>-</v>
      </c>
      <c r="W45" s="429" t="str">
        <f ca="1">IFERROR(VLOOKUP(W$2,Rango_Admin_DailyPred,MATCH($F45,Rango_Admin_DailyPred_Primera,0),0),"-")</f>
        <v>-</v>
      </c>
      <c r="X45" s="429" t="str">
        <f ca="1">IFERROR(VLOOKUP(X$2,Rango_Admin_DailyPred,MATCH($F45,Rango_Admin_DailyPred_Primera,0),0),"-")</f>
        <v>-</v>
      </c>
      <c r="Y45" s="429" t="str">
        <f ca="1">IFERROR(VLOOKUP(Y$2,Rango_Admin_DailyPred,MATCH($F45,Rango_Admin_DailyPred_Primera,0),0),"-")</f>
        <v>-</v>
      </c>
      <c r="Z45" s="429" t="str">
        <f ca="1">IFERROR(VLOOKUP(Z$2,Rango_Admin_DailyPred,MATCH($F45,Rango_Admin_DailyPred_Primera,0),0),"-")</f>
        <v>-</v>
      </c>
      <c r="AA45" s="429" t="str">
        <f ca="1">IFERROR(VLOOKUP(AA$2,Rango_Admin_DailyPred,MATCH($F45,Rango_Admin_DailyPred_Primera,0),0),"-")</f>
        <v>-</v>
      </c>
      <c r="AB45" s="429" t="str">
        <f ca="1">IFERROR(VLOOKUP(AB$2,Rango_Admin_DailyPred,MATCH($F45,Rango_Admin_DailyPred_Primera,0),0),"-")</f>
        <v>-</v>
      </c>
      <c r="AC45" s="429" t="str">
        <f ca="1">IFERROR(VLOOKUP(AC$2,Rango_Admin_DailyPred,MATCH($F45,Rango_Admin_DailyPred_Primera,0),0),"-")</f>
        <v>-</v>
      </c>
      <c r="AD45" s="429" t="str">
        <f ca="1">IFERROR(VLOOKUP(AD$2,Rango_Admin_DailyPred,MATCH($F45,Rango_Admin_DailyPred_Primera,0),0),"-")</f>
        <v>-</v>
      </c>
      <c r="AE45" s="429" t="str">
        <f ca="1">IFERROR(VLOOKUP(AE$2,Rango_Admin_DailyPred,MATCH($F45,Rango_Admin_DailyPred_Primera,0),0),"-")</f>
        <v>-</v>
      </c>
      <c r="AF45" s="429" t="str">
        <f ca="1">IFERROR(VLOOKUP(AF$2,Rango_Admin_DailyPred,MATCH($F45,Rango_Admin_DailyPred_Primera,0),0),"-")</f>
        <v>-</v>
      </c>
      <c r="AG45" s="429" t="str">
        <f ca="1">IFERROR(VLOOKUP(AG$2,Rango_Admin_DailyPred,MATCH($F45,Rango_Admin_DailyPred_Primera,0),0),"-")</f>
        <v>-</v>
      </c>
      <c r="AH45" s="429" t="str">
        <f ca="1">IFERROR(VLOOKUP(AH$2,Rango_Admin_DailyPred,MATCH($F45,Rango_Admin_DailyPred_Primera,0),0),"-")</f>
        <v>-</v>
      </c>
      <c r="AI45" s="429" t="str">
        <f ca="1">IFERROR(VLOOKUP(AI$2,Rango_Admin_DailyPred,MATCH($F45,Rango_Admin_DailyPred_Primera,0),0),"-")</f>
        <v>-</v>
      </c>
      <c r="AJ45" s="429" t="str">
        <f ca="1">IFERROR(VLOOKUP(AJ$2,Rango_Admin_DailyPred,MATCH($F45,Rango_Admin_DailyPred_Primera,0),0),"-")</f>
        <v>-</v>
      </c>
      <c r="AK45" s="429" t="str">
        <f ca="1">IFERROR(VLOOKUP(AK$2,Rango_Admin_DailyPred,MATCH($F45,Rango_Admin_DailyPred_Primera,0),0),"-")</f>
        <v>-</v>
      </c>
      <c r="AL45" s="429" t="str">
        <f ca="1">IFERROR(VLOOKUP(AL$2,Rango_Admin_DailyPred,MATCH($F45,Rango_Admin_DailyPred_Primera,0),0),"-")</f>
        <v>-</v>
      </c>
      <c r="AM45" s="297"/>
      <c r="AN45" s="297"/>
      <c r="AO45" s="297"/>
    </row>
    <row r="46" spans="1:41">
      <c r="E46" s="19">
        <f t="shared" si="1"/>
        <v>135</v>
      </c>
      <c r="F46" s="448" t="str" cm="1">
        <f t="array" ref="F46">IFERROR(INDEX(Rango_Admin_DailyPred_Primera,1,E46),"-")</f>
        <v>Pegar Valores Nombre J43</v>
      </c>
      <c r="G46" s="429" t="str">
        <f ca="1">IFERROR(VLOOKUP(G$2,Rango_Admin_DailyPred,MATCH($F46,Rango_Admin_DailyPred_Primera,0),0),"-")</f>
        <v>Pegar Valores (J1)</v>
      </c>
      <c r="H46" s="429" t="str">
        <f ca="1">IFERROR(VLOOKUP(H$2,Rango_Admin_DailyPred,MATCH($F46,Rango_Admin_DailyPred_Primera,0),0),"-")</f>
        <v>-</v>
      </c>
      <c r="I46" s="429" t="str">
        <f ca="1">IFERROR(VLOOKUP(I$2,Rango_Admin_DailyPred,MATCH($F46,Rango_Admin_DailyPred_Primera,0),0),"-")</f>
        <v>-</v>
      </c>
      <c r="J46" s="429" t="str">
        <f ca="1">IFERROR(VLOOKUP(J$2,Rango_Admin_DailyPred,MATCH($F46,Rango_Admin_DailyPred_Primera,0),0),"-")</f>
        <v>-</v>
      </c>
      <c r="K46" s="429" t="str">
        <f ca="1">IFERROR(VLOOKUP(K$2,Rango_Admin_DailyPred,MATCH($F46,Rango_Admin_DailyPred_Primera,0),0),"-")</f>
        <v>-</v>
      </c>
      <c r="L46" s="429" t="str">
        <f ca="1">IFERROR(VLOOKUP(L$2,Rango_Admin_DailyPred,MATCH($F46,Rango_Admin_DailyPred_Primera,0),0),"-")</f>
        <v>-</v>
      </c>
      <c r="M46" s="429" t="str">
        <f ca="1">IFERROR(VLOOKUP(M$2,Rango_Admin_DailyPred,MATCH($F46,Rango_Admin_DailyPred_Primera,0),0),"-")</f>
        <v>-</v>
      </c>
      <c r="N46" s="429" t="str">
        <f ca="1">IFERROR(VLOOKUP(N$2,Rango_Admin_DailyPred,MATCH($F46,Rango_Admin_DailyPred_Primera,0),0),"-")</f>
        <v>-</v>
      </c>
      <c r="O46" s="429" t="str">
        <f ca="1">IFERROR(VLOOKUP(O$2,Rango_Admin_DailyPred,MATCH($F46,Rango_Admin_DailyPred_Primera,0),0),"-")</f>
        <v>-</v>
      </c>
      <c r="P46" s="429" t="str">
        <f ca="1">IFERROR(VLOOKUP(P$2,Rango_Admin_DailyPred,MATCH($F46,Rango_Admin_DailyPred_Primera,0),0),"-")</f>
        <v>-</v>
      </c>
      <c r="Q46" s="429" t="str">
        <f ca="1">IFERROR(VLOOKUP(Q$2,Rango_Admin_DailyPred,MATCH($F46,Rango_Admin_DailyPred_Primera,0),0),"-")</f>
        <v>-</v>
      </c>
      <c r="R46" s="429" t="str">
        <f ca="1">IFERROR(VLOOKUP(R$2,Rango_Admin_DailyPred,MATCH($F46,Rango_Admin_DailyPred_Primera,0),0),"-")</f>
        <v>-</v>
      </c>
      <c r="S46" s="429" t="str">
        <f ca="1">IFERROR(VLOOKUP(S$2,Rango_Admin_DailyPred,MATCH($F46,Rango_Admin_DailyPred_Primera,0),0),"-")</f>
        <v>-</v>
      </c>
      <c r="T46" s="429" t="str">
        <f ca="1">IFERROR(VLOOKUP(T$2,Rango_Admin_DailyPred,MATCH($F46,Rango_Admin_DailyPred_Primera,0),0),"-")</f>
        <v>-</v>
      </c>
      <c r="U46" s="429" t="str">
        <f ca="1">IFERROR(VLOOKUP(U$2,Rango_Admin_DailyPred,MATCH($F46,Rango_Admin_DailyPred_Primera,0),0),"-")</f>
        <v>-</v>
      </c>
      <c r="V46" s="429" t="str">
        <f ca="1">IFERROR(VLOOKUP(V$2,Rango_Admin_DailyPred,MATCH($F46,Rango_Admin_DailyPred_Primera,0),0),"-")</f>
        <v>-</v>
      </c>
      <c r="W46" s="429" t="str">
        <f ca="1">IFERROR(VLOOKUP(W$2,Rango_Admin_DailyPred,MATCH($F46,Rango_Admin_DailyPred_Primera,0),0),"-")</f>
        <v>-</v>
      </c>
      <c r="X46" s="429" t="str">
        <f ca="1">IFERROR(VLOOKUP(X$2,Rango_Admin_DailyPred,MATCH($F46,Rango_Admin_DailyPred_Primera,0),0),"-")</f>
        <v>-</v>
      </c>
      <c r="Y46" s="429" t="str">
        <f ca="1">IFERROR(VLOOKUP(Y$2,Rango_Admin_DailyPred,MATCH($F46,Rango_Admin_DailyPred_Primera,0),0),"-")</f>
        <v>-</v>
      </c>
      <c r="Z46" s="429" t="str">
        <f ca="1">IFERROR(VLOOKUP(Z$2,Rango_Admin_DailyPred,MATCH($F46,Rango_Admin_DailyPred_Primera,0),0),"-")</f>
        <v>-</v>
      </c>
      <c r="AA46" s="429" t="str">
        <f ca="1">IFERROR(VLOOKUP(AA$2,Rango_Admin_DailyPred,MATCH($F46,Rango_Admin_DailyPred_Primera,0),0),"-")</f>
        <v>-</v>
      </c>
      <c r="AB46" s="429" t="str">
        <f ca="1">IFERROR(VLOOKUP(AB$2,Rango_Admin_DailyPred,MATCH($F46,Rango_Admin_DailyPred_Primera,0),0),"-")</f>
        <v>-</v>
      </c>
      <c r="AC46" s="429" t="str">
        <f ca="1">IFERROR(VLOOKUP(AC$2,Rango_Admin_DailyPred,MATCH($F46,Rango_Admin_DailyPred_Primera,0),0),"-")</f>
        <v>-</v>
      </c>
      <c r="AD46" s="429" t="str">
        <f ca="1">IFERROR(VLOOKUP(AD$2,Rango_Admin_DailyPred,MATCH($F46,Rango_Admin_DailyPred_Primera,0),0),"-")</f>
        <v>-</v>
      </c>
      <c r="AE46" s="429" t="str">
        <f ca="1">IFERROR(VLOOKUP(AE$2,Rango_Admin_DailyPred,MATCH($F46,Rango_Admin_DailyPred_Primera,0),0),"-")</f>
        <v>-</v>
      </c>
      <c r="AF46" s="429" t="str">
        <f ca="1">IFERROR(VLOOKUP(AF$2,Rango_Admin_DailyPred,MATCH($F46,Rango_Admin_DailyPred_Primera,0),0),"-")</f>
        <v>-</v>
      </c>
      <c r="AG46" s="429" t="str">
        <f ca="1">IFERROR(VLOOKUP(AG$2,Rango_Admin_DailyPred,MATCH($F46,Rango_Admin_DailyPred_Primera,0),0),"-")</f>
        <v>-</v>
      </c>
      <c r="AH46" s="429" t="str">
        <f ca="1">IFERROR(VLOOKUP(AH$2,Rango_Admin_DailyPred,MATCH($F46,Rango_Admin_DailyPred_Primera,0),0),"-")</f>
        <v>-</v>
      </c>
      <c r="AI46" s="429" t="str">
        <f ca="1">IFERROR(VLOOKUP(AI$2,Rango_Admin_DailyPred,MATCH($F46,Rango_Admin_DailyPred_Primera,0),0),"-")</f>
        <v>-</v>
      </c>
      <c r="AJ46" s="429" t="str">
        <f ca="1">IFERROR(VLOOKUP(AJ$2,Rango_Admin_DailyPred,MATCH($F46,Rango_Admin_DailyPred_Primera,0),0),"-")</f>
        <v>-</v>
      </c>
      <c r="AK46" s="429" t="str">
        <f ca="1">IFERROR(VLOOKUP(AK$2,Rango_Admin_DailyPred,MATCH($F46,Rango_Admin_DailyPred_Primera,0),0),"-")</f>
        <v>-</v>
      </c>
      <c r="AL46" s="429" t="str">
        <f ca="1">IFERROR(VLOOKUP(AL$2,Rango_Admin_DailyPred,MATCH($F46,Rango_Admin_DailyPred_Primera,0),0),"-")</f>
        <v>-</v>
      </c>
      <c r="AM46" s="297"/>
      <c r="AN46" s="297"/>
      <c r="AO46" s="297"/>
    </row>
    <row r="47" spans="1:41">
      <c r="E47" s="19">
        <f t="shared" si="1"/>
        <v>138</v>
      </c>
      <c r="F47" s="448" t="str" cm="1">
        <f t="array" ref="F47">IFERROR(INDEX(Rango_Admin_DailyPred_Primera,1,E47),"-")</f>
        <v>Pegar Valores Nombre J44</v>
      </c>
      <c r="G47" s="429" t="str">
        <f ca="1">IFERROR(VLOOKUP(G$2,Rango_Admin_DailyPred,MATCH($F47,Rango_Admin_DailyPred_Primera,0),0),"-")</f>
        <v>Pegar Valores (J1)</v>
      </c>
      <c r="H47" s="429" t="str">
        <f ca="1">IFERROR(VLOOKUP(H$2,Rango_Admin_DailyPred,MATCH($F47,Rango_Admin_DailyPred_Primera,0),0),"-")</f>
        <v>-</v>
      </c>
      <c r="I47" s="429" t="str">
        <f ca="1">IFERROR(VLOOKUP(I$2,Rango_Admin_DailyPred,MATCH($F47,Rango_Admin_DailyPred_Primera,0),0),"-")</f>
        <v>-</v>
      </c>
      <c r="J47" s="429" t="str">
        <f ca="1">IFERROR(VLOOKUP(J$2,Rango_Admin_DailyPred,MATCH($F47,Rango_Admin_DailyPred_Primera,0),0),"-")</f>
        <v>-</v>
      </c>
      <c r="K47" s="429" t="str">
        <f ca="1">IFERROR(VLOOKUP(K$2,Rango_Admin_DailyPred,MATCH($F47,Rango_Admin_DailyPred_Primera,0),0),"-")</f>
        <v>-</v>
      </c>
      <c r="L47" s="429" t="str">
        <f ca="1">IFERROR(VLOOKUP(L$2,Rango_Admin_DailyPred,MATCH($F47,Rango_Admin_DailyPred_Primera,0),0),"-")</f>
        <v>-</v>
      </c>
      <c r="M47" s="429" t="str">
        <f ca="1">IFERROR(VLOOKUP(M$2,Rango_Admin_DailyPred,MATCH($F47,Rango_Admin_DailyPred_Primera,0),0),"-")</f>
        <v>-</v>
      </c>
      <c r="N47" s="429" t="str">
        <f ca="1">IFERROR(VLOOKUP(N$2,Rango_Admin_DailyPred,MATCH($F47,Rango_Admin_DailyPred_Primera,0),0),"-")</f>
        <v>-</v>
      </c>
      <c r="O47" s="429" t="str">
        <f ca="1">IFERROR(VLOOKUP(O$2,Rango_Admin_DailyPred,MATCH($F47,Rango_Admin_DailyPred_Primera,0),0),"-")</f>
        <v>-</v>
      </c>
      <c r="P47" s="429" t="str">
        <f ca="1">IFERROR(VLOOKUP(P$2,Rango_Admin_DailyPred,MATCH($F47,Rango_Admin_DailyPred_Primera,0),0),"-")</f>
        <v>-</v>
      </c>
      <c r="Q47" s="429" t="str">
        <f ca="1">IFERROR(VLOOKUP(Q$2,Rango_Admin_DailyPred,MATCH($F47,Rango_Admin_DailyPred_Primera,0),0),"-")</f>
        <v>-</v>
      </c>
      <c r="R47" s="429" t="str">
        <f ca="1">IFERROR(VLOOKUP(R$2,Rango_Admin_DailyPred,MATCH($F47,Rango_Admin_DailyPred_Primera,0),0),"-")</f>
        <v>-</v>
      </c>
      <c r="S47" s="429" t="str">
        <f ca="1">IFERROR(VLOOKUP(S$2,Rango_Admin_DailyPred,MATCH($F47,Rango_Admin_DailyPred_Primera,0),0),"-")</f>
        <v>-</v>
      </c>
      <c r="T47" s="429" t="str">
        <f ca="1">IFERROR(VLOOKUP(T$2,Rango_Admin_DailyPred,MATCH($F47,Rango_Admin_DailyPred_Primera,0),0),"-")</f>
        <v>-</v>
      </c>
      <c r="U47" s="429" t="str">
        <f ca="1">IFERROR(VLOOKUP(U$2,Rango_Admin_DailyPred,MATCH($F47,Rango_Admin_DailyPred_Primera,0),0),"-")</f>
        <v>-</v>
      </c>
      <c r="V47" s="429" t="str">
        <f ca="1">IFERROR(VLOOKUP(V$2,Rango_Admin_DailyPred,MATCH($F47,Rango_Admin_DailyPred_Primera,0),0),"-")</f>
        <v>-</v>
      </c>
      <c r="W47" s="429" t="str">
        <f ca="1">IFERROR(VLOOKUP(W$2,Rango_Admin_DailyPred,MATCH($F47,Rango_Admin_DailyPred_Primera,0),0),"-")</f>
        <v>-</v>
      </c>
      <c r="X47" s="429" t="str">
        <f ca="1">IFERROR(VLOOKUP(X$2,Rango_Admin_DailyPred,MATCH($F47,Rango_Admin_DailyPred_Primera,0),0),"-")</f>
        <v>-</v>
      </c>
      <c r="Y47" s="429" t="str">
        <f ca="1">IFERROR(VLOOKUP(Y$2,Rango_Admin_DailyPred,MATCH($F47,Rango_Admin_DailyPred_Primera,0),0),"-")</f>
        <v>-</v>
      </c>
      <c r="Z47" s="429" t="str">
        <f ca="1">IFERROR(VLOOKUP(Z$2,Rango_Admin_DailyPred,MATCH($F47,Rango_Admin_DailyPred_Primera,0),0),"-")</f>
        <v>-</v>
      </c>
      <c r="AA47" s="429" t="str">
        <f ca="1">IFERROR(VLOOKUP(AA$2,Rango_Admin_DailyPred,MATCH($F47,Rango_Admin_DailyPred_Primera,0),0),"-")</f>
        <v>-</v>
      </c>
      <c r="AB47" s="429" t="str">
        <f ca="1">IFERROR(VLOOKUP(AB$2,Rango_Admin_DailyPred,MATCH($F47,Rango_Admin_DailyPred_Primera,0),0),"-")</f>
        <v>-</v>
      </c>
      <c r="AC47" s="429" t="str">
        <f ca="1">IFERROR(VLOOKUP(AC$2,Rango_Admin_DailyPred,MATCH($F47,Rango_Admin_DailyPred_Primera,0),0),"-")</f>
        <v>-</v>
      </c>
      <c r="AD47" s="429" t="str">
        <f ca="1">IFERROR(VLOOKUP(AD$2,Rango_Admin_DailyPred,MATCH($F47,Rango_Admin_DailyPred_Primera,0),0),"-")</f>
        <v>-</v>
      </c>
      <c r="AE47" s="429" t="str">
        <f ca="1">IFERROR(VLOOKUP(AE$2,Rango_Admin_DailyPred,MATCH($F47,Rango_Admin_DailyPred_Primera,0),0),"-")</f>
        <v>-</v>
      </c>
      <c r="AF47" s="429" t="str">
        <f ca="1">IFERROR(VLOOKUP(AF$2,Rango_Admin_DailyPred,MATCH($F47,Rango_Admin_DailyPred_Primera,0),0),"-")</f>
        <v>-</v>
      </c>
      <c r="AG47" s="429" t="str">
        <f ca="1">IFERROR(VLOOKUP(AG$2,Rango_Admin_DailyPred,MATCH($F47,Rango_Admin_DailyPred_Primera,0),0),"-")</f>
        <v>-</v>
      </c>
      <c r="AH47" s="429" t="str">
        <f ca="1">IFERROR(VLOOKUP(AH$2,Rango_Admin_DailyPred,MATCH($F47,Rango_Admin_DailyPred_Primera,0),0),"-")</f>
        <v>-</v>
      </c>
      <c r="AI47" s="429" t="str">
        <f ca="1">IFERROR(VLOOKUP(AI$2,Rango_Admin_DailyPred,MATCH($F47,Rango_Admin_DailyPred_Primera,0),0),"-")</f>
        <v>-</v>
      </c>
      <c r="AJ47" s="429" t="str">
        <f ca="1">IFERROR(VLOOKUP(AJ$2,Rango_Admin_DailyPred,MATCH($F47,Rango_Admin_DailyPred_Primera,0),0),"-")</f>
        <v>-</v>
      </c>
      <c r="AK47" s="429" t="str">
        <f ca="1">IFERROR(VLOOKUP(AK$2,Rango_Admin_DailyPred,MATCH($F47,Rango_Admin_DailyPred_Primera,0),0),"-")</f>
        <v>-</v>
      </c>
      <c r="AL47" s="429" t="str">
        <f ca="1">IFERROR(VLOOKUP(AL$2,Rango_Admin_DailyPred,MATCH($F47,Rango_Admin_DailyPred_Primera,0),0),"-")</f>
        <v>-</v>
      </c>
      <c r="AM47" s="297"/>
      <c r="AN47" s="297"/>
      <c r="AO47" s="297"/>
    </row>
    <row r="48" spans="1:41">
      <c r="E48" s="19">
        <f t="shared" si="1"/>
        <v>141</v>
      </c>
      <c r="F48" s="448" t="str" cm="1">
        <f t="array" ref="F48">IFERROR(INDEX(Rango_Admin_DailyPred_Primera,1,E48),"-")</f>
        <v>Pegar Valores Nombre J45</v>
      </c>
      <c r="G48" s="429" t="str">
        <f ca="1">IFERROR(VLOOKUP(G$2,Rango_Admin_DailyPred,MATCH($F48,Rango_Admin_DailyPred_Primera,0),0),"-")</f>
        <v>Pegar Valores (J1)</v>
      </c>
      <c r="H48" s="429" t="str">
        <f ca="1">IFERROR(VLOOKUP(H$2,Rango_Admin_DailyPred,MATCH($F48,Rango_Admin_DailyPred_Primera,0),0),"-")</f>
        <v>-</v>
      </c>
      <c r="I48" s="429" t="str">
        <f ca="1">IFERROR(VLOOKUP(I$2,Rango_Admin_DailyPred,MATCH($F48,Rango_Admin_DailyPred_Primera,0),0),"-")</f>
        <v>-</v>
      </c>
      <c r="J48" s="429" t="str">
        <f ca="1">IFERROR(VLOOKUP(J$2,Rango_Admin_DailyPred,MATCH($F48,Rango_Admin_DailyPred_Primera,0),0),"-")</f>
        <v>-</v>
      </c>
      <c r="K48" s="429" t="str">
        <f ca="1">IFERROR(VLOOKUP(K$2,Rango_Admin_DailyPred,MATCH($F48,Rango_Admin_DailyPred_Primera,0),0),"-")</f>
        <v>-</v>
      </c>
      <c r="L48" s="429" t="str">
        <f ca="1">IFERROR(VLOOKUP(L$2,Rango_Admin_DailyPred,MATCH($F48,Rango_Admin_DailyPred_Primera,0),0),"-")</f>
        <v>-</v>
      </c>
      <c r="M48" s="429" t="str">
        <f ca="1">IFERROR(VLOOKUP(M$2,Rango_Admin_DailyPred,MATCH($F48,Rango_Admin_DailyPred_Primera,0),0),"-")</f>
        <v>-</v>
      </c>
      <c r="N48" s="429" t="str">
        <f ca="1">IFERROR(VLOOKUP(N$2,Rango_Admin_DailyPred,MATCH($F48,Rango_Admin_DailyPred_Primera,0),0),"-")</f>
        <v>-</v>
      </c>
      <c r="O48" s="429" t="str">
        <f ca="1">IFERROR(VLOOKUP(O$2,Rango_Admin_DailyPred,MATCH($F48,Rango_Admin_DailyPred_Primera,0),0),"-")</f>
        <v>-</v>
      </c>
      <c r="P48" s="429" t="str">
        <f ca="1">IFERROR(VLOOKUP(P$2,Rango_Admin_DailyPred,MATCH($F48,Rango_Admin_DailyPred_Primera,0),0),"-")</f>
        <v>-</v>
      </c>
      <c r="Q48" s="429" t="str">
        <f ca="1">IFERROR(VLOOKUP(Q$2,Rango_Admin_DailyPred,MATCH($F48,Rango_Admin_DailyPred_Primera,0),0),"-")</f>
        <v>-</v>
      </c>
      <c r="R48" s="429" t="str">
        <f ca="1">IFERROR(VLOOKUP(R$2,Rango_Admin_DailyPred,MATCH($F48,Rango_Admin_DailyPred_Primera,0),0),"-")</f>
        <v>-</v>
      </c>
      <c r="S48" s="429" t="str">
        <f ca="1">IFERROR(VLOOKUP(S$2,Rango_Admin_DailyPred,MATCH($F48,Rango_Admin_DailyPred_Primera,0),0),"-")</f>
        <v>-</v>
      </c>
      <c r="T48" s="429" t="str">
        <f ca="1">IFERROR(VLOOKUP(T$2,Rango_Admin_DailyPred,MATCH($F48,Rango_Admin_DailyPred_Primera,0),0),"-")</f>
        <v>-</v>
      </c>
      <c r="U48" s="429" t="str">
        <f ca="1">IFERROR(VLOOKUP(U$2,Rango_Admin_DailyPred,MATCH($F48,Rango_Admin_DailyPred_Primera,0),0),"-")</f>
        <v>-</v>
      </c>
      <c r="V48" s="429" t="str">
        <f ca="1">IFERROR(VLOOKUP(V$2,Rango_Admin_DailyPred,MATCH($F48,Rango_Admin_DailyPred_Primera,0),0),"-")</f>
        <v>-</v>
      </c>
      <c r="W48" s="429" t="str">
        <f ca="1">IFERROR(VLOOKUP(W$2,Rango_Admin_DailyPred,MATCH($F48,Rango_Admin_DailyPred_Primera,0),0),"-")</f>
        <v>-</v>
      </c>
      <c r="X48" s="429" t="str">
        <f ca="1">IFERROR(VLOOKUP(X$2,Rango_Admin_DailyPred,MATCH($F48,Rango_Admin_DailyPred_Primera,0),0),"-")</f>
        <v>-</v>
      </c>
      <c r="Y48" s="429" t="str">
        <f ca="1">IFERROR(VLOOKUP(Y$2,Rango_Admin_DailyPred,MATCH($F48,Rango_Admin_DailyPred_Primera,0),0),"-")</f>
        <v>-</v>
      </c>
      <c r="Z48" s="429" t="str">
        <f ca="1">IFERROR(VLOOKUP(Z$2,Rango_Admin_DailyPred,MATCH($F48,Rango_Admin_DailyPred_Primera,0),0),"-")</f>
        <v>-</v>
      </c>
      <c r="AA48" s="429" t="str">
        <f ca="1">IFERROR(VLOOKUP(AA$2,Rango_Admin_DailyPred,MATCH($F48,Rango_Admin_DailyPred_Primera,0),0),"-")</f>
        <v>-</v>
      </c>
      <c r="AB48" s="429" t="str">
        <f ca="1">IFERROR(VLOOKUP(AB$2,Rango_Admin_DailyPred,MATCH($F48,Rango_Admin_DailyPred_Primera,0),0),"-")</f>
        <v>-</v>
      </c>
      <c r="AC48" s="429" t="str">
        <f ca="1">IFERROR(VLOOKUP(AC$2,Rango_Admin_DailyPred,MATCH($F48,Rango_Admin_DailyPred_Primera,0),0),"-")</f>
        <v>-</v>
      </c>
      <c r="AD48" s="429" t="str">
        <f ca="1">IFERROR(VLOOKUP(AD$2,Rango_Admin_DailyPred,MATCH($F48,Rango_Admin_DailyPred_Primera,0),0),"-")</f>
        <v>-</v>
      </c>
      <c r="AE48" s="429" t="str">
        <f ca="1">IFERROR(VLOOKUP(AE$2,Rango_Admin_DailyPred,MATCH($F48,Rango_Admin_DailyPred_Primera,0),0),"-")</f>
        <v>-</v>
      </c>
      <c r="AF48" s="429" t="str">
        <f ca="1">IFERROR(VLOOKUP(AF$2,Rango_Admin_DailyPred,MATCH($F48,Rango_Admin_DailyPred_Primera,0),0),"-")</f>
        <v>-</v>
      </c>
      <c r="AG48" s="429" t="str">
        <f ca="1">IFERROR(VLOOKUP(AG$2,Rango_Admin_DailyPred,MATCH($F48,Rango_Admin_DailyPred_Primera,0),0),"-")</f>
        <v>-</v>
      </c>
      <c r="AH48" s="429" t="str">
        <f ca="1">IFERROR(VLOOKUP(AH$2,Rango_Admin_DailyPred,MATCH($F48,Rango_Admin_DailyPred_Primera,0),0),"-")</f>
        <v>-</v>
      </c>
      <c r="AI48" s="429" t="str">
        <f ca="1">IFERROR(VLOOKUP(AI$2,Rango_Admin_DailyPred,MATCH($F48,Rango_Admin_DailyPred_Primera,0),0),"-")</f>
        <v>-</v>
      </c>
      <c r="AJ48" s="429" t="str">
        <f ca="1">IFERROR(VLOOKUP(AJ$2,Rango_Admin_DailyPred,MATCH($F48,Rango_Admin_DailyPred_Primera,0),0),"-")</f>
        <v>-</v>
      </c>
      <c r="AK48" s="429" t="str">
        <f ca="1">IFERROR(VLOOKUP(AK$2,Rango_Admin_DailyPred,MATCH($F48,Rango_Admin_DailyPred_Primera,0),0),"-")</f>
        <v>-</v>
      </c>
      <c r="AL48" s="429" t="str">
        <f ca="1">IFERROR(VLOOKUP(AL$2,Rango_Admin_DailyPred,MATCH($F48,Rango_Admin_DailyPred_Primera,0),0),"-")</f>
        <v>-</v>
      </c>
      <c r="AM48" s="297"/>
      <c r="AN48" s="297"/>
      <c r="AO48" s="297"/>
    </row>
    <row r="49" spans="5:41">
      <c r="E49" s="19">
        <f t="shared" si="1"/>
        <v>144</v>
      </c>
      <c r="F49" s="448" t="str" cm="1">
        <f t="array" ref="F49">IFERROR(INDEX(Rango_Admin_DailyPred_Primera,1,E49),"-")</f>
        <v>Pegar Valores Nombre J46</v>
      </c>
      <c r="G49" s="429" t="str">
        <f ca="1">IFERROR(VLOOKUP(G$2,Rango_Admin_DailyPred,MATCH($F49,Rango_Admin_DailyPred_Primera,0),0),"-")</f>
        <v>Pegar Valores (J1)</v>
      </c>
      <c r="H49" s="429" t="str">
        <f ca="1">IFERROR(VLOOKUP(H$2,Rango_Admin_DailyPred,MATCH($F49,Rango_Admin_DailyPred_Primera,0),0),"-")</f>
        <v>-</v>
      </c>
      <c r="I49" s="429" t="str">
        <f ca="1">IFERROR(VLOOKUP(I$2,Rango_Admin_DailyPred,MATCH($F49,Rango_Admin_DailyPred_Primera,0),0),"-")</f>
        <v>-</v>
      </c>
      <c r="J49" s="429" t="str">
        <f ca="1">IFERROR(VLOOKUP(J$2,Rango_Admin_DailyPred,MATCH($F49,Rango_Admin_DailyPred_Primera,0),0),"-")</f>
        <v>-</v>
      </c>
      <c r="K49" s="429" t="str">
        <f ca="1">IFERROR(VLOOKUP(K$2,Rango_Admin_DailyPred,MATCH($F49,Rango_Admin_DailyPred_Primera,0),0),"-")</f>
        <v>-</v>
      </c>
      <c r="L49" s="429" t="str">
        <f ca="1">IFERROR(VLOOKUP(L$2,Rango_Admin_DailyPred,MATCH($F49,Rango_Admin_DailyPred_Primera,0),0),"-")</f>
        <v>-</v>
      </c>
      <c r="M49" s="429" t="str">
        <f ca="1">IFERROR(VLOOKUP(M$2,Rango_Admin_DailyPred,MATCH($F49,Rango_Admin_DailyPred_Primera,0),0),"-")</f>
        <v>-</v>
      </c>
      <c r="N49" s="429" t="str">
        <f ca="1">IFERROR(VLOOKUP(N$2,Rango_Admin_DailyPred,MATCH($F49,Rango_Admin_DailyPred_Primera,0),0),"-")</f>
        <v>-</v>
      </c>
      <c r="O49" s="429" t="str">
        <f ca="1">IFERROR(VLOOKUP(O$2,Rango_Admin_DailyPred,MATCH($F49,Rango_Admin_DailyPred_Primera,0),0),"-")</f>
        <v>-</v>
      </c>
      <c r="P49" s="429" t="str">
        <f ca="1">IFERROR(VLOOKUP(P$2,Rango_Admin_DailyPred,MATCH($F49,Rango_Admin_DailyPred_Primera,0),0),"-")</f>
        <v>-</v>
      </c>
      <c r="Q49" s="429" t="str">
        <f ca="1">IFERROR(VLOOKUP(Q$2,Rango_Admin_DailyPred,MATCH($F49,Rango_Admin_DailyPred_Primera,0),0),"-")</f>
        <v>-</v>
      </c>
      <c r="R49" s="429" t="str">
        <f ca="1">IFERROR(VLOOKUP(R$2,Rango_Admin_DailyPred,MATCH($F49,Rango_Admin_DailyPred_Primera,0),0),"-")</f>
        <v>-</v>
      </c>
      <c r="S49" s="429" t="str">
        <f ca="1">IFERROR(VLOOKUP(S$2,Rango_Admin_DailyPred,MATCH($F49,Rango_Admin_DailyPred_Primera,0),0),"-")</f>
        <v>-</v>
      </c>
      <c r="T49" s="429" t="str">
        <f ca="1">IFERROR(VLOOKUP(T$2,Rango_Admin_DailyPred,MATCH($F49,Rango_Admin_DailyPred_Primera,0),0),"-")</f>
        <v>-</v>
      </c>
      <c r="U49" s="429" t="str">
        <f ca="1">IFERROR(VLOOKUP(U$2,Rango_Admin_DailyPred,MATCH($F49,Rango_Admin_DailyPred_Primera,0),0),"-")</f>
        <v>-</v>
      </c>
      <c r="V49" s="429" t="str">
        <f ca="1">IFERROR(VLOOKUP(V$2,Rango_Admin_DailyPred,MATCH($F49,Rango_Admin_DailyPred_Primera,0),0),"-")</f>
        <v>-</v>
      </c>
      <c r="W49" s="429" t="str">
        <f ca="1">IFERROR(VLOOKUP(W$2,Rango_Admin_DailyPred,MATCH($F49,Rango_Admin_DailyPred_Primera,0),0),"-")</f>
        <v>-</v>
      </c>
      <c r="X49" s="429" t="str">
        <f ca="1">IFERROR(VLOOKUP(X$2,Rango_Admin_DailyPred,MATCH($F49,Rango_Admin_DailyPred_Primera,0),0),"-")</f>
        <v>-</v>
      </c>
      <c r="Y49" s="429" t="str">
        <f ca="1">IFERROR(VLOOKUP(Y$2,Rango_Admin_DailyPred,MATCH($F49,Rango_Admin_DailyPred_Primera,0),0),"-")</f>
        <v>-</v>
      </c>
      <c r="Z49" s="429" t="str">
        <f ca="1">IFERROR(VLOOKUP(Z$2,Rango_Admin_DailyPred,MATCH($F49,Rango_Admin_DailyPred_Primera,0),0),"-")</f>
        <v>-</v>
      </c>
      <c r="AA49" s="429" t="str">
        <f ca="1">IFERROR(VLOOKUP(AA$2,Rango_Admin_DailyPred,MATCH($F49,Rango_Admin_DailyPred_Primera,0),0),"-")</f>
        <v>-</v>
      </c>
      <c r="AB49" s="429" t="str">
        <f ca="1">IFERROR(VLOOKUP(AB$2,Rango_Admin_DailyPred,MATCH($F49,Rango_Admin_DailyPred_Primera,0),0),"-")</f>
        <v>-</v>
      </c>
      <c r="AC49" s="429" t="str">
        <f ca="1">IFERROR(VLOOKUP(AC$2,Rango_Admin_DailyPred,MATCH($F49,Rango_Admin_DailyPred_Primera,0),0),"-")</f>
        <v>-</v>
      </c>
      <c r="AD49" s="429" t="str">
        <f ca="1">IFERROR(VLOOKUP(AD$2,Rango_Admin_DailyPred,MATCH($F49,Rango_Admin_DailyPred_Primera,0),0),"-")</f>
        <v>-</v>
      </c>
      <c r="AE49" s="429" t="str">
        <f ca="1">IFERROR(VLOOKUP(AE$2,Rango_Admin_DailyPred,MATCH($F49,Rango_Admin_DailyPred_Primera,0),0),"-")</f>
        <v>-</v>
      </c>
      <c r="AF49" s="429" t="str">
        <f ca="1">IFERROR(VLOOKUP(AF$2,Rango_Admin_DailyPred,MATCH($F49,Rango_Admin_DailyPred_Primera,0),0),"-")</f>
        <v>-</v>
      </c>
      <c r="AG49" s="429" t="str">
        <f ca="1">IFERROR(VLOOKUP(AG$2,Rango_Admin_DailyPred,MATCH($F49,Rango_Admin_DailyPred_Primera,0),0),"-")</f>
        <v>-</v>
      </c>
      <c r="AH49" s="429" t="str">
        <f ca="1">IFERROR(VLOOKUP(AH$2,Rango_Admin_DailyPred,MATCH($F49,Rango_Admin_DailyPred_Primera,0),0),"-")</f>
        <v>-</v>
      </c>
      <c r="AI49" s="429" t="str">
        <f ca="1">IFERROR(VLOOKUP(AI$2,Rango_Admin_DailyPred,MATCH($F49,Rango_Admin_DailyPred_Primera,0),0),"-")</f>
        <v>-</v>
      </c>
      <c r="AJ49" s="429" t="str">
        <f ca="1">IFERROR(VLOOKUP(AJ$2,Rango_Admin_DailyPred,MATCH($F49,Rango_Admin_DailyPred_Primera,0),0),"-")</f>
        <v>-</v>
      </c>
      <c r="AK49" s="429" t="str">
        <f ca="1">IFERROR(VLOOKUP(AK$2,Rango_Admin_DailyPred,MATCH($F49,Rango_Admin_DailyPred_Primera,0),0),"-")</f>
        <v>-</v>
      </c>
      <c r="AL49" s="429" t="str">
        <f ca="1">IFERROR(VLOOKUP(AL$2,Rango_Admin_DailyPred,MATCH($F49,Rango_Admin_DailyPred_Primera,0),0),"-")</f>
        <v>-</v>
      </c>
      <c r="AM49" s="297"/>
      <c r="AN49" s="297"/>
      <c r="AO49" s="297"/>
    </row>
    <row r="50" spans="5:41">
      <c r="E50" s="19">
        <f t="shared" si="1"/>
        <v>147</v>
      </c>
      <c r="F50" s="448" t="str" cm="1">
        <f t="array" ref="F50">IFERROR(INDEX(Rango_Admin_DailyPred_Primera,1,E50),"-")</f>
        <v>Pegar Valores Nombre J47</v>
      </c>
      <c r="G50" s="429" t="str">
        <f ca="1">IFERROR(VLOOKUP(G$2,Rango_Admin_DailyPred,MATCH($F50,Rango_Admin_DailyPred_Primera,0),0),"-")</f>
        <v>Pegar Valores (J1)</v>
      </c>
      <c r="H50" s="429" t="str">
        <f ca="1">IFERROR(VLOOKUP(H$2,Rango_Admin_DailyPred,MATCH($F50,Rango_Admin_DailyPred_Primera,0),0),"-")</f>
        <v>-</v>
      </c>
      <c r="I50" s="429" t="str">
        <f ca="1">IFERROR(VLOOKUP(I$2,Rango_Admin_DailyPred,MATCH($F50,Rango_Admin_DailyPred_Primera,0),0),"-")</f>
        <v>-</v>
      </c>
      <c r="J50" s="429" t="str">
        <f ca="1">IFERROR(VLOOKUP(J$2,Rango_Admin_DailyPred,MATCH($F50,Rango_Admin_DailyPred_Primera,0),0),"-")</f>
        <v>-</v>
      </c>
      <c r="K50" s="429" t="str">
        <f ca="1">IFERROR(VLOOKUP(K$2,Rango_Admin_DailyPred,MATCH($F50,Rango_Admin_DailyPred_Primera,0),0),"-")</f>
        <v>-</v>
      </c>
      <c r="L50" s="429" t="str">
        <f ca="1">IFERROR(VLOOKUP(L$2,Rango_Admin_DailyPred,MATCH($F50,Rango_Admin_DailyPred_Primera,0),0),"-")</f>
        <v>-</v>
      </c>
      <c r="M50" s="429" t="str">
        <f ca="1">IFERROR(VLOOKUP(M$2,Rango_Admin_DailyPred,MATCH($F50,Rango_Admin_DailyPred_Primera,0),0),"-")</f>
        <v>-</v>
      </c>
      <c r="N50" s="429" t="str">
        <f ca="1">IFERROR(VLOOKUP(N$2,Rango_Admin_DailyPred,MATCH($F50,Rango_Admin_DailyPred_Primera,0),0),"-")</f>
        <v>-</v>
      </c>
      <c r="O50" s="429" t="str">
        <f ca="1">IFERROR(VLOOKUP(O$2,Rango_Admin_DailyPred,MATCH($F50,Rango_Admin_DailyPred_Primera,0),0),"-")</f>
        <v>-</v>
      </c>
      <c r="P50" s="429" t="str">
        <f ca="1">IFERROR(VLOOKUP(P$2,Rango_Admin_DailyPred,MATCH($F50,Rango_Admin_DailyPred_Primera,0),0),"-")</f>
        <v>-</v>
      </c>
      <c r="Q50" s="429" t="str">
        <f ca="1">IFERROR(VLOOKUP(Q$2,Rango_Admin_DailyPred,MATCH($F50,Rango_Admin_DailyPred_Primera,0),0),"-")</f>
        <v>-</v>
      </c>
      <c r="R50" s="429" t="str">
        <f ca="1">IFERROR(VLOOKUP(R$2,Rango_Admin_DailyPred,MATCH($F50,Rango_Admin_DailyPred_Primera,0),0),"-")</f>
        <v>-</v>
      </c>
      <c r="S50" s="429" t="str">
        <f ca="1">IFERROR(VLOOKUP(S$2,Rango_Admin_DailyPred,MATCH($F50,Rango_Admin_DailyPred_Primera,0),0),"-")</f>
        <v>-</v>
      </c>
      <c r="T50" s="429" t="str">
        <f ca="1">IFERROR(VLOOKUP(T$2,Rango_Admin_DailyPred,MATCH($F50,Rango_Admin_DailyPred_Primera,0),0),"-")</f>
        <v>-</v>
      </c>
      <c r="U50" s="429" t="str">
        <f ca="1">IFERROR(VLOOKUP(U$2,Rango_Admin_DailyPred,MATCH($F50,Rango_Admin_DailyPred_Primera,0),0),"-")</f>
        <v>-</v>
      </c>
      <c r="V50" s="429" t="str">
        <f ca="1">IFERROR(VLOOKUP(V$2,Rango_Admin_DailyPred,MATCH($F50,Rango_Admin_DailyPred_Primera,0),0),"-")</f>
        <v>-</v>
      </c>
      <c r="W50" s="429" t="str">
        <f ca="1">IFERROR(VLOOKUP(W$2,Rango_Admin_DailyPred,MATCH($F50,Rango_Admin_DailyPred_Primera,0),0),"-")</f>
        <v>-</v>
      </c>
      <c r="X50" s="429" t="str">
        <f ca="1">IFERROR(VLOOKUP(X$2,Rango_Admin_DailyPred,MATCH($F50,Rango_Admin_DailyPred_Primera,0),0),"-")</f>
        <v>-</v>
      </c>
      <c r="Y50" s="429" t="str">
        <f ca="1">IFERROR(VLOOKUP(Y$2,Rango_Admin_DailyPred,MATCH($F50,Rango_Admin_DailyPred_Primera,0),0),"-")</f>
        <v>-</v>
      </c>
      <c r="Z50" s="429" t="str">
        <f ca="1">IFERROR(VLOOKUP(Z$2,Rango_Admin_DailyPred,MATCH($F50,Rango_Admin_DailyPred_Primera,0),0),"-")</f>
        <v>-</v>
      </c>
      <c r="AA50" s="429" t="str">
        <f ca="1">IFERROR(VLOOKUP(AA$2,Rango_Admin_DailyPred,MATCH($F50,Rango_Admin_DailyPred_Primera,0),0),"-")</f>
        <v>-</v>
      </c>
      <c r="AB50" s="429" t="str">
        <f ca="1">IFERROR(VLOOKUP(AB$2,Rango_Admin_DailyPred,MATCH($F50,Rango_Admin_DailyPred_Primera,0),0),"-")</f>
        <v>-</v>
      </c>
      <c r="AC50" s="429" t="str">
        <f ca="1">IFERROR(VLOOKUP(AC$2,Rango_Admin_DailyPred,MATCH($F50,Rango_Admin_DailyPred_Primera,0),0),"-")</f>
        <v>-</v>
      </c>
      <c r="AD50" s="429" t="str">
        <f ca="1">IFERROR(VLOOKUP(AD$2,Rango_Admin_DailyPred,MATCH($F50,Rango_Admin_DailyPred_Primera,0),0),"-")</f>
        <v>-</v>
      </c>
      <c r="AE50" s="429" t="str">
        <f ca="1">IFERROR(VLOOKUP(AE$2,Rango_Admin_DailyPred,MATCH($F50,Rango_Admin_DailyPred_Primera,0),0),"-")</f>
        <v>-</v>
      </c>
      <c r="AF50" s="429" t="str">
        <f ca="1">IFERROR(VLOOKUP(AF$2,Rango_Admin_DailyPred,MATCH($F50,Rango_Admin_DailyPred_Primera,0),0),"-")</f>
        <v>-</v>
      </c>
      <c r="AG50" s="429" t="str">
        <f ca="1">IFERROR(VLOOKUP(AG$2,Rango_Admin_DailyPred,MATCH($F50,Rango_Admin_DailyPred_Primera,0),0),"-")</f>
        <v>-</v>
      </c>
      <c r="AH50" s="429" t="str">
        <f ca="1">IFERROR(VLOOKUP(AH$2,Rango_Admin_DailyPred,MATCH($F50,Rango_Admin_DailyPred_Primera,0),0),"-")</f>
        <v>-</v>
      </c>
      <c r="AI50" s="429" t="str">
        <f ca="1">IFERROR(VLOOKUP(AI$2,Rango_Admin_DailyPred,MATCH($F50,Rango_Admin_DailyPred_Primera,0),0),"-")</f>
        <v>-</v>
      </c>
      <c r="AJ50" s="429" t="str">
        <f ca="1">IFERROR(VLOOKUP(AJ$2,Rango_Admin_DailyPred,MATCH($F50,Rango_Admin_DailyPred_Primera,0),0),"-")</f>
        <v>-</v>
      </c>
      <c r="AK50" s="429" t="str">
        <f ca="1">IFERROR(VLOOKUP(AK$2,Rango_Admin_DailyPred,MATCH($F50,Rango_Admin_DailyPred_Primera,0),0),"-")</f>
        <v>-</v>
      </c>
      <c r="AL50" s="429" t="str">
        <f ca="1">IFERROR(VLOOKUP(AL$2,Rango_Admin_DailyPred,MATCH($F50,Rango_Admin_DailyPred_Primera,0),0),"-")</f>
        <v>-</v>
      </c>
      <c r="AM50" s="297"/>
      <c r="AN50" s="297"/>
      <c r="AO50" s="297"/>
    </row>
    <row r="51" spans="5:41">
      <c r="E51" s="19">
        <f t="shared" si="1"/>
        <v>150</v>
      </c>
      <c r="F51" s="448" t="str" cm="1">
        <f t="array" ref="F51">IFERROR(INDEX(Rango_Admin_DailyPred_Primera,1,E51),"-")</f>
        <v>Pegar Valores Nombre J48</v>
      </c>
      <c r="G51" s="429" t="str">
        <f ca="1">IFERROR(VLOOKUP(G$2,Rango_Admin_DailyPred,MATCH($F51,Rango_Admin_DailyPred_Primera,0),0),"-")</f>
        <v>Pegar Valores (J1)</v>
      </c>
      <c r="H51" s="429" t="str">
        <f ca="1">IFERROR(VLOOKUP(H$2,Rango_Admin_DailyPred,MATCH($F51,Rango_Admin_DailyPred_Primera,0),0),"-")</f>
        <v>-</v>
      </c>
      <c r="I51" s="429" t="str">
        <f ca="1">IFERROR(VLOOKUP(I$2,Rango_Admin_DailyPred,MATCH($F51,Rango_Admin_DailyPred_Primera,0),0),"-")</f>
        <v>-</v>
      </c>
      <c r="J51" s="429" t="str">
        <f ca="1">IFERROR(VLOOKUP(J$2,Rango_Admin_DailyPred,MATCH($F51,Rango_Admin_DailyPred_Primera,0),0),"-")</f>
        <v>-</v>
      </c>
      <c r="K51" s="429" t="str">
        <f ca="1">IFERROR(VLOOKUP(K$2,Rango_Admin_DailyPred,MATCH($F51,Rango_Admin_DailyPred_Primera,0),0),"-")</f>
        <v>-</v>
      </c>
      <c r="L51" s="429" t="str">
        <f ca="1">IFERROR(VLOOKUP(L$2,Rango_Admin_DailyPred,MATCH($F51,Rango_Admin_DailyPred_Primera,0),0),"-")</f>
        <v>-</v>
      </c>
      <c r="M51" s="429" t="str">
        <f ca="1">IFERROR(VLOOKUP(M$2,Rango_Admin_DailyPred,MATCH($F51,Rango_Admin_DailyPred_Primera,0),0),"-")</f>
        <v>-</v>
      </c>
      <c r="N51" s="429" t="str">
        <f ca="1">IFERROR(VLOOKUP(N$2,Rango_Admin_DailyPred,MATCH($F51,Rango_Admin_DailyPred_Primera,0),0),"-")</f>
        <v>-</v>
      </c>
      <c r="O51" s="429" t="str">
        <f ca="1">IFERROR(VLOOKUP(O$2,Rango_Admin_DailyPred,MATCH($F51,Rango_Admin_DailyPred_Primera,0),0),"-")</f>
        <v>-</v>
      </c>
      <c r="P51" s="429" t="str">
        <f ca="1">IFERROR(VLOOKUP(P$2,Rango_Admin_DailyPred,MATCH($F51,Rango_Admin_DailyPred_Primera,0),0),"-")</f>
        <v>-</v>
      </c>
      <c r="Q51" s="429" t="str">
        <f ca="1">IFERROR(VLOOKUP(Q$2,Rango_Admin_DailyPred,MATCH($F51,Rango_Admin_DailyPred_Primera,0),0),"-")</f>
        <v>-</v>
      </c>
      <c r="R51" s="429" t="str">
        <f ca="1">IFERROR(VLOOKUP(R$2,Rango_Admin_DailyPred,MATCH($F51,Rango_Admin_DailyPred_Primera,0),0),"-")</f>
        <v>-</v>
      </c>
      <c r="S51" s="429" t="str">
        <f ca="1">IFERROR(VLOOKUP(S$2,Rango_Admin_DailyPred,MATCH($F51,Rango_Admin_DailyPred_Primera,0),0),"-")</f>
        <v>-</v>
      </c>
      <c r="T51" s="429" t="str">
        <f ca="1">IFERROR(VLOOKUP(T$2,Rango_Admin_DailyPred,MATCH($F51,Rango_Admin_DailyPred_Primera,0),0),"-")</f>
        <v>-</v>
      </c>
      <c r="U51" s="429" t="str">
        <f ca="1">IFERROR(VLOOKUP(U$2,Rango_Admin_DailyPred,MATCH($F51,Rango_Admin_DailyPred_Primera,0),0),"-")</f>
        <v>-</v>
      </c>
      <c r="V51" s="429" t="str">
        <f ca="1">IFERROR(VLOOKUP(V$2,Rango_Admin_DailyPred,MATCH($F51,Rango_Admin_DailyPred_Primera,0),0),"-")</f>
        <v>-</v>
      </c>
      <c r="W51" s="429" t="str">
        <f ca="1">IFERROR(VLOOKUP(W$2,Rango_Admin_DailyPred,MATCH($F51,Rango_Admin_DailyPred_Primera,0),0),"-")</f>
        <v>-</v>
      </c>
      <c r="X51" s="429" t="str">
        <f ca="1">IFERROR(VLOOKUP(X$2,Rango_Admin_DailyPred,MATCH($F51,Rango_Admin_DailyPred_Primera,0),0),"-")</f>
        <v>-</v>
      </c>
      <c r="Y51" s="429" t="str">
        <f ca="1">IFERROR(VLOOKUP(Y$2,Rango_Admin_DailyPred,MATCH($F51,Rango_Admin_DailyPred_Primera,0),0),"-")</f>
        <v>-</v>
      </c>
      <c r="Z51" s="429" t="str">
        <f ca="1">IFERROR(VLOOKUP(Z$2,Rango_Admin_DailyPred,MATCH($F51,Rango_Admin_DailyPred_Primera,0),0),"-")</f>
        <v>-</v>
      </c>
      <c r="AA51" s="429" t="str">
        <f ca="1">IFERROR(VLOOKUP(AA$2,Rango_Admin_DailyPred,MATCH($F51,Rango_Admin_DailyPred_Primera,0),0),"-")</f>
        <v>-</v>
      </c>
      <c r="AB51" s="429" t="str">
        <f ca="1">IFERROR(VLOOKUP(AB$2,Rango_Admin_DailyPred,MATCH($F51,Rango_Admin_DailyPred_Primera,0),0),"-")</f>
        <v>-</v>
      </c>
      <c r="AC51" s="429" t="str">
        <f ca="1">IFERROR(VLOOKUP(AC$2,Rango_Admin_DailyPred,MATCH($F51,Rango_Admin_DailyPred_Primera,0),0),"-")</f>
        <v>-</v>
      </c>
      <c r="AD51" s="429" t="str">
        <f ca="1">IFERROR(VLOOKUP(AD$2,Rango_Admin_DailyPred,MATCH($F51,Rango_Admin_DailyPred_Primera,0),0),"-")</f>
        <v>-</v>
      </c>
      <c r="AE51" s="429" t="str">
        <f ca="1">IFERROR(VLOOKUP(AE$2,Rango_Admin_DailyPred,MATCH($F51,Rango_Admin_DailyPred_Primera,0),0),"-")</f>
        <v>-</v>
      </c>
      <c r="AF51" s="429" t="str">
        <f ca="1">IFERROR(VLOOKUP(AF$2,Rango_Admin_DailyPred,MATCH($F51,Rango_Admin_DailyPred_Primera,0),0),"-")</f>
        <v>-</v>
      </c>
      <c r="AG51" s="429" t="str">
        <f ca="1">IFERROR(VLOOKUP(AG$2,Rango_Admin_DailyPred,MATCH($F51,Rango_Admin_DailyPred_Primera,0),0),"-")</f>
        <v>-</v>
      </c>
      <c r="AH51" s="429" t="str">
        <f ca="1">IFERROR(VLOOKUP(AH$2,Rango_Admin_DailyPred,MATCH($F51,Rango_Admin_DailyPred_Primera,0),0),"-")</f>
        <v>-</v>
      </c>
      <c r="AI51" s="429" t="str">
        <f ca="1">IFERROR(VLOOKUP(AI$2,Rango_Admin_DailyPred,MATCH($F51,Rango_Admin_DailyPred_Primera,0),0),"-")</f>
        <v>-</v>
      </c>
      <c r="AJ51" s="429" t="str">
        <f ca="1">IFERROR(VLOOKUP(AJ$2,Rango_Admin_DailyPred,MATCH($F51,Rango_Admin_DailyPred_Primera,0),0),"-")</f>
        <v>-</v>
      </c>
      <c r="AK51" s="429" t="str">
        <f ca="1">IFERROR(VLOOKUP(AK$2,Rango_Admin_DailyPred,MATCH($F51,Rango_Admin_DailyPred_Primera,0),0),"-")</f>
        <v>-</v>
      </c>
      <c r="AL51" s="429" t="str">
        <f ca="1">IFERROR(VLOOKUP(AL$2,Rango_Admin_DailyPred,MATCH($F51,Rango_Admin_DailyPred_Primera,0),0),"-")</f>
        <v>-</v>
      </c>
      <c r="AM51" s="297"/>
      <c r="AN51" s="297"/>
      <c r="AO51" s="297"/>
    </row>
    <row r="52" spans="5:41">
      <c r="E52" s="19">
        <f t="shared" si="1"/>
        <v>153</v>
      </c>
      <c r="F52" s="448" t="str" cm="1">
        <f t="array" ref="F52">IFERROR(INDEX(Rango_Admin_DailyPred_Primera,1,E52),"-")</f>
        <v>Pegar Valores Nombre J49</v>
      </c>
      <c r="G52" s="429" t="str">
        <f ca="1">IFERROR(VLOOKUP(G$2,Rango_Admin_DailyPred,MATCH($F52,Rango_Admin_DailyPred_Primera,0),0),"-")</f>
        <v>Pegar Valores (J1)</v>
      </c>
      <c r="H52" s="429" t="str">
        <f ca="1">IFERROR(VLOOKUP(H$2,Rango_Admin_DailyPred,MATCH($F52,Rango_Admin_DailyPred_Primera,0),0),"-")</f>
        <v>-</v>
      </c>
      <c r="I52" s="429" t="str">
        <f ca="1">IFERROR(VLOOKUP(I$2,Rango_Admin_DailyPred,MATCH($F52,Rango_Admin_DailyPred_Primera,0),0),"-")</f>
        <v>-</v>
      </c>
      <c r="J52" s="429" t="str">
        <f ca="1">IFERROR(VLOOKUP(J$2,Rango_Admin_DailyPred,MATCH($F52,Rango_Admin_DailyPred_Primera,0),0),"-")</f>
        <v>-</v>
      </c>
      <c r="K52" s="429" t="str">
        <f ca="1">IFERROR(VLOOKUP(K$2,Rango_Admin_DailyPred,MATCH($F52,Rango_Admin_DailyPred_Primera,0),0),"-")</f>
        <v>-</v>
      </c>
      <c r="L52" s="429" t="str">
        <f ca="1">IFERROR(VLOOKUP(L$2,Rango_Admin_DailyPred,MATCH($F52,Rango_Admin_DailyPred_Primera,0),0),"-")</f>
        <v>-</v>
      </c>
      <c r="M52" s="429" t="str">
        <f ca="1">IFERROR(VLOOKUP(M$2,Rango_Admin_DailyPred,MATCH($F52,Rango_Admin_DailyPred_Primera,0),0),"-")</f>
        <v>-</v>
      </c>
      <c r="N52" s="429" t="str">
        <f ca="1">IFERROR(VLOOKUP(N$2,Rango_Admin_DailyPred,MATCH($F52,Rango_Admin_DailyPred_Primera,0),0),"-")</f>
        <v>-</v>
      </c>
      <c r="O52" s="429" t="str">
        <f ca="1">IFERROR(VLOOKUP(O$2,Rango_Admin_DailyPred,MATCH($F52,Rango_Admin_DailyPred_Primera,0),0),"-")</f>
        <v>-</v>
      </c>
      <c r="P52" s="429" t="str">
        <f ca="1">IFERROR(VLOOKUP(P$2,Rango_Admin_DailyPred,MATCH($F52,Rango_Admin_DailyPred_Primera,0),0),"-")</f>
        <v>-</v>
      </c>
      <c r="Q52" s="429" t="str">
        <f ca="1">IFERROR(VLOOKUP(Q$2,Rango_Admin_DailyPred,MATCH($F52,Rango_Admin_DailyPred_Primera,0),0),"-")</f>
        <v>-</v>
      </c>
      <c r="R52" s="429" t="str">
        <f ca="1">IFERROR(VLOOKUP(R$2,Rango_Admin_DailyPred,MATCH($F52,Rango_Admin_DailyPred_Primera,0),0),"-")</f>
        <v>-</v>
      </c>
      <c r="S52" s="429" t="str">
        <f ca="1">IFERROR(VLOOKUP(S$2,Rango_Admin_DailyPred,MATCH($F52,Rango_Admin_DailyPred_Primera,0),0),"-")</f>
        <v>-</v>
      </c>
      <c r="T52" s="429" t="str">
        <f ca="1">IFERROR(VLOOKUP(T$2,Rango_Admin_DailyPred,MATCH($F52,Rango_Admin_DailyPred_Primera,0),0),"-")</f>
        <v>-</v>
      </c>
      <c r="U52" s="429" t="str">
        <f ca="1">IFERROR(VLOOKUP(U$2,Rango_Admin_DailyPred,MATCH($F52,Rango_Admin_DailyPred_Primera,0),0),"-")</f>
        <v>-</v>
      </c>
      <c r="V52" s="429" t="str">
        <f ca="1">IFERROR(VLOOKUP(V$2,Rango_Admin_DailyPred,MATCH($F52,Rango_Admin_DailyPred_Primera,0),0),"-")</f>
        <v>-</v>
      </c>
      <c r="W52" s="429" t="str">
        <f ca="1">IFERROR(VLOOKUP(W$2,Rango_Admin_DailyPred,MATCH($F52,Rango_Admin_DailyPred_Primera,0),0),"-")</f>
        <v>-</v>
      </c>
      <c r="X52" s="429" t="str">
        <f ca="1">IFERROR(VLOOKUP(X$2,Rango_Admin_DailyPred,MATCH($F52,Rango_Admin_DailyPred_Primera,0),0),"-")</f>
        <v>-</v>
      </c>
      <c r="Y52" s="429" t="str">
        <f ca="1">IFERROR(VLOOKUP(Y$2,Rango_Admin_DailyPred,MATCH($F52,Rango_Admin_DailyPred_Primera,0),0),"-")</f>
        <v>-</v>
      </c>
      <c r="Z52" s="429" t="str">
        <f ca="1">IFERROR(VLOOKUP(Z$2,Rango_Admin_DailyPred,MATCH($F52,Rango_Admin_DailyPred_Primera,0),0),"-")</f>
        <v>-</v>
      </c>
      <c r="AA52" s="429" t="str">
        <f ca="1">IFERROR(VLOOKUP(AA$2,Rango_Admin_DailyPred,MATCH($F52,Rango_Admin_DailyPred_Primera,0),0),"-")</f>
        <v>-</v>
      </c>
      <c r="AB52" s="429" t="str">
        <f ca="1">IFERROR(VLOOKUP(AB$2,Rango_Admin_DailyPred,MATCH($F52,Rango_Admin_DailyPred_Primera,0),0),"-")</f>
        <v>-</v>
      </c>
      <c r="AC52" s="429" t="str">
        <f ca="1">IFERROR(VLOOKUP(AC$2,Rango_Admin_DailyPred,MATCH($F52,Rango_Admin_DailyPred_Primera,0),0),"-")</f>
        <v>-</v>
      </c>
      <c r="AD52" s="429" t="str">
        <f ca="1">IFERROR(VLOOKUP(AD$2,Rango_Admin_DailyPred,MATCH($F52,Rango_Admin_DailyPred_Primera,0),0),"-")</f>
        <v>-</v>
      </c>
      <c r="AE52" s="429" t="str">
        <f ca="1">IFERROR(VLOOKUP(AE$2,Rango_Admin_DailyPred,MATCH($F52,Rango_Admin_DailyPred_Primera,0),0),"-")</f>
        <v>-</v>
      </c>
      <c r="AF52" s="429" t="str">
        <f ca="1">IFERROR(VLOOKUP(AF$2,Rango_Admin_DailyPred,MATCH($F52,Rango_Admin_DailyPred_Primera,0),0),"-")</f>
        <v>-</v>
      </c>
      <c r="AG52" s="429" t="str">
        <f ca="1">IFERROR(VLOOKUP(AG$2,Rango_Admin_DailyPred,MATCH($F52,Rango_Admin_DailyPred_Primera,0),0),"-")</f>
        <v>-</v>
      </c>
      <c r="AH52" s="429" t="str">
        <f ca="1">IFERROR(VLOOKUP(AH$2,Rango_Admin_DailyPred,MATCH($F52,Rango_Admin_DailyPred_Primera,0),0),"-")</f>
        <v>-</v>
      </c>
      <c r="AI52" s="429" t="str">
        <f ca="1">IFERROR(VLOOKUP(AI$2,Rango_Admin_DailyPred,MATCH($F52,Rango_Admin_DailyPred_Primera,0),0),"-")</f>
        <v>-</v>
      </c>
      <c r="AJ52" s="429" t="str">
        <f ca="1">IFERROR(VLOOKUP(AJ$2,Rango_Admin_DailyPred,MATCH($F52,Rango_Admin_DailyPred_Primera,0),0),"-")</f>
        <v>-</v>
      </c>
      <c r="AK52" s="429" t="str">
        <f ca="1">IFERROR(VLOOKUP(AK$2,Rango_Admin_DailyPred,MATCH($F52,Rango_Admin_DailyPred_Primera,0),0),"-")</f>
        <v>-</v>
      </c>
      <c r="AL52" s="429" t="str">
        <f ca="1">IFERROR(VLOOKUP(AL$2,Rango_Admin_DailyPred,MATCH($F52,Rango_Admin_DailyPred_Primera,0),0),"-")</f>
        <v>-</v>
      </c>
      <c r="AM52" s="297"/>
      <c r="AN52" s="297"/>
      <c r="AO52" s="297"/>
    </row>
    <row r="53" spans="5:41">
      <c r="E53" s="19">
        <f t="shared" si="1"/>
        <v>156</v>
      </c>
      <c r="F53" s="448" t="str" cm="1">
        <f t="array" ref="F53">IFERROR(INDEX(Rango_Admin_DailyPred_Primera,1,E53),"-")</f>
        <v>Pegar Valores Nombre J50</v>
      </c>
      <c r="G53" s="429" t="str">
        <f ca="1">IFERROR(VLOOKUP(G$2,Rango_Admin_DailyPred,MATCH($F53,Rango_Admin_DailyPred_Primera,0),0),"-")</f>
        <v>Pegar Valores (J1)</v>
      </c>
      <c r="H53" s="429" t="str">
        <f ca="1">IFERROR(VLOOKUP(H$2,Rango_Admin_DailyPred,MATCH($F53,Rango_Admin_DailyPred_Primera,0),0),"-")</f>
        <v>-</v>
      </c>
      <c r="I53" s="429" t="str">
        <f ca="1">IFERROR(VLOOKUP(I$2,Rango_Admin_DailyPred,MATCH($F53,Rango_Admin_DailyPred_Primera,0),0),"-")</f>
        <v>-</v>
      </c>
      <c r="J53" s="429" t="str">
        <f ca="1">IFERROR(VLOOKUP(J$2,Rango_Admin_DailyPred,MATCH($F53,Rango_Admin_DailyPred_Primera,0),0),"-")</f>
        <v>-</v>
      </c>
      <c r="K53" s="429" t="str">
        <f ca="1">IFERROR(VLOOKUP(K$2,Rango_Admin_DailyPred,MATCH($F53,Rango_Admin_DailyPred_Primera,0),0),"-")</f>
        <v>-</v>
      </c>
      <c r="L53" s="429" t="str">
        <f ca="1">IFERROR(VLOOKUP(L$2,Rango_Admin_DailyPred,MATCH($F53,Rango_Admin_DailyPred_Primera,0),0),"-")</f>
        <v>-</v>
      </c>
      <c r="M53" s="429" t="str">
        <f ca="1">IFERROR(VLOOKUP(M$2,Rango_Admin_DailyPred,MATCH($F53,Rango_Admin_DailyPred_Primera,0),0),"-")</f>
        <v>-</v>
      </c>
      <c r="N53" s="429" t="str">
        <f ca="1">IFERROR(VLOOKUP(N$2,Rango_Admin_DailyPred,MATCH($F53,Rango_Admin_DailyPred_Primera,0),0),"-")</f>
        <v>-</v>
      </c>
      <c r="O53" s="429" t="str">
        <f ca="1">IFERROR(VLOOKUP(O$2,Rango_Admin_DailyPred,MATCH($F53,Rango_Admin_DailyPred_Primera,0),0),"-")</f>
        <v>-</v>
      </c>
      <c r="P53" s="429" t="str">
        <f ca="1">IFERROR(VLOOKUP(P$2,Rango_Admin_DailyPred,MATCH($F53,Rango_Admin_DailyPred_Primera,0),0),"-")</f>
        <v>-</v>
      </c>
      <c r="Q53" s="429" t="str">
        <f ca="1">IFERROR(VLOOKUP(Q$2,Rango_Admin_DailyPred,MATCH($F53,Rango_Admin_DailyPred_Primera,0),0),"-")</f>
        <v>-</v>
      </c>
      <c r="R53" s="429" t="str">
        <f ca="1">IFERROR(VLOOKUP(R$2,Rango_Admin_DailyPred,MATCH($F53,Rango_Admin_DailyPred_Primera,0),0),"-")</f>
        <v>-</v>
      </c>
      <c r="S53" s="429" t="str">
        <f ca="1">IFERROR(VLOOKUP(S$2,Rango_Admin_DailyPred,MATCH($F53,Rango_Admin_DailyPred_Primera,0),0),"-")</f>
        <v>-</v>
      </c>
      <c r="T53" s="429" t="str">
        <f ca="1">IFERROR(VLOOKUP(T$2,Rango_Admin_DailyPred,MATCH($F53,Rango_Admin_DailyPred_Primera,0),0),"-")</f>
        <v>-</v>
      </c>
      <c r="U53" s="429" t="str">
        <f ca="1">IFERROR(VLOOKUP(U$2,Rango_Admin_DailyPred,MATCH($F53,Rango_Admin_DailyPred_Primera,0),0),"-")</f>
        <v>-</v>
      </c>
      <c r="V53" s="429" t="str">
        <f ca="1">IFERROR(VLOOKUP(V$2,Rango_Admin_DailyPred,MATCH($F53,Rango_Admin_DailyPred_Primera,0),0),"-")</f>
        <v>-</v>
      </c>
      <c r="W53" s="429" t="str">
        <f ca="1">IFERROR(VLOOKUP(W$2,Rango_Admin_DailyPred,MATCH($F53,Rango_Admin_DailyPred_Primera,0),0),"-")</f>
        <v>-</v>
      </c>
      <c r="X53" s="429" t="str">
        <f ca="1">IFERROR(VLOOKUP(X$2,Rango_Admin_DailyPred,MATCH($F53,Rango_Admin_DailyPred_Primera,0),0),"-")</f>
        <v>-</v>
      </c>
      <c r="Y53" s="429" t="str">
        <f ca="1">IFERROR(VLOOKUP(Y$2,Rango_Admin_DailyPred,MATCH($F53,Rango_Admin_DailyPred_Primera,0),0),"-")</f>
        <v>-</v>
      </c>
      <c r="Z53" s="429" t="str">
        <f ca="1">IFERROR(VLOOKUP(Z$2,Rango_Admin_DailyPred,MATCH($F53,Rango_Admin_DailyPred_Primera,0),0),"-")</f>
        <v>-</v>
      </c>
      <c r="AA53" s="429" t="str">
        <f ca="1">IFERROR(VLOOKUP(AA$2,Rango_Admin_DailyPred,MATCH($F53,Rango_Admin_DailyPred_Primera,0),0),"-")</f>
        <v>-</v>
      </c>
      <c r="AB53" s="429" t="str">
        <f ca="1">IFERROR(VLOOKUP(AB$2,Rango_Admin_DailyPred,MATCH($F53,Rango_Admin_DailyPred_Primera,0),0),"-")</f>
        <v>-</v>
      </c>
      <c r="AC53" s="429" t="str">
        <f ca="1">IFERROR(VLOOKUP(AC$2,Rango_Admin_DailyPred,MATCH($F53,Rango_Admin_DailyPred_Primera,0),0),"-")</f>
        <v>-</v>
      </c>
      <c r="AD53" s="429" t="str">
        <f ca="1">IFERROR(VLOOKUP(AD$2,Rango_Admin_DailyPred,MATCH($F53,Rango_Admin_DailyPred_Primera,0),0),"-")</f>
        <v>-</v>
      </c>
      <c r="AE53" s="429" t="str">
        <f ca="1">IFERROR(VLOOKUP(AE$2,Rango_Admin_DailyPred,MATCH($F53,Rango_Admin_DailyPred_Primera,0),0),"-")</f>
        <v>-</v>
      </c>
      <c r="AF53" s="429" t="str">
        <f ca="1">IFERROR(VLOOKUP(AF$2,Rango_Admin_DailyPred,MATCH($F53,Rango_Admin_DailyPred_Primera,0),0),"-")</f>
        <v>-</v>
      </c>
      <c r="AG53" s="429" t="str">
        <f ca="1">IFERROR(VLOOKUP(AG$2,Rango_Admin_DailyPred,MATCH($F53,Rango_Admin_DailyPred_Primera,0),0),"-")</f>
        <v>-</v>
      </c>
      <c r="AH53" s="429" t="str">
        <f ca="1">IFERROR(VLOOKUP(AH$2,Rango_Admin_DailyPred,MATCH($F53,Rango_Admin_DailyPred_Primera,0),0),"-")</f>
        <v>-</v>
      </c>
      <c r="AI53" s="429" t="str">
        <f ca="1">IFERROR(VLOOKUP(AI$2,Rango_Admin_DailyPred,MATCH($F53,Rango_Admin_DailyPred_Primera,0),0),"-")</f>
        <v>-</v>
      </c>
      <c r="AJ53" s="429" t="str">
        <f ca="1">IFERROR(VLOOKUP(AJ$2,Rango_Admin_DailyPred,MATCH($F53,Rango_Admin_DailyPred_Primera,0),0),"-")</f>
        <v>-</v>
      </c>
      <c r="AK53" s="429" t="str">
        <f ca="1">IFERROR(VLOOKUP(AK$2,Rango_Admin_DailyPred,MATCH($F53,Rango_Admin_DailyPred_Primera,0),0),"-")</f>
        <v>-</v>
      </c>
      <c r="AL53" s="429" t="str">
        <f ca="1">IFERROR(VLOOKUP(AL$2,Rango_Admin_DailyPred,MATCH($F53,Rango_Admin_DailyPred_Primera,0),0),"-")</f>
        <v>-</v>
      </c>
      <c r="AM53" s="297"/>
      <c r="AN53" s="297"/>
      <c r="AO53" s="297"/>
    </row>
    <row r="54" spans="5:41">
      <c r="E54" s="19"/>
      <c r="F54" s="297"/>
      <c r="G54" s="441"/>
      <c r="H54" s="441"/>
      <c r="I54" s="441"/>
      <c r="J54" s="441"/>
      <c r="K54" s="441"/>
      <c r="L54" s="441"/>
      <c r="M54" s="441"/>
      <c r="N54" s="441"/>
      <c r="O54" s="441"/>
      <c r="P54" s="441"/>
      <c r="Q54" s="441"/>
      <c r="R54" s="441"/>
      <c r="S54" s="441"/>
      <c r="T54" s="441"/>
      <c r="U54" s="441"/>
      <c r="V54" s="441"/>
      <c r="W54" s="441"/>
      <c r="X54" s="441"/>
      <c r="Y54" s="441"/>
      <c r="Z54" s="441"/>
      <c r="AA54" s="441"/>
      <c r="AB54" s="441"/>
      <c r="AC54" s="441"/>
      <c r="AD54" s="441"/>
      <c r="AE54" s="441"/>
      <c r="AF54" s="441"/>
      <c r="AG54" s="441"/>
      <c r="AH54" s="441"/>
      <c r="AI54" s="441"/>
      <c r="AJ54" s="441"/>
      <c r="AK54" s="441"/>
      <c r="AL54" s="441"/>
      <c r="AM54" s="297"/>
      <c r="AN54" s="297"/>
      <c r="AO54" s="297"/>
    </row>
    <row r="55" spans="5:41">
      <c r="E55" s="19"/>
      <c r="F55" s="297"/>
      <c r="G55" s="441"/>
      <c r="H55" s="441"/>
      <c r="I55" s="441"/>
      <c r="J55" s="441"/>
      <c r="K55" s="441"/>
      <c r="L55" s="441"/>
      <c r="M55" s="441"/>
      <c r="N55" s="441"/>
      <c r="O55" s="441"/>
      <c r="P55" s="441"/>
      <c r="Q55" s="441"/>
      <c r="R55" s="441"/>
      <c r="S55" s="441"/>
      <c r="T55" s="441"/>
      <c r="U55" s="441"/>
      <c r="V55" s="441"/>
      <c r="W55" s="441"/>
      <c r="X55" s="441"/>
      <c r="Y55" s="441"/>
      <c r="Z55" s="441"/>
      <c r="AA55" s="441"/>
      <c r="AB55" s="441"/>
      <c r="AC55" s="441"/>
      <c r="AD55" s="441"/>
      <c r="AE55" s="441"/>
      <c r="AF55" s="441"/>
      <c r="AG55" s="441"/>
      <c r="AH55" s="441"/>
      <c r="AI55" s="441"/>
      <c r="AJ55" s="441"/>
      <c r="AK55" s="441"/>
      <c r="AL55" s="441"/>
      <c r="AM55" s="297"/>
      <c r="AN55" s="297"/>
      <c r="AO55" s="297"/>
    </row>
    <row r="56" spans="5:41">
      <c r="E56" s="19"/>
      <c r="F56" s="297"/>
      <c r="G56" s="441"/>
      <c r="H56" s="441"/>
      <c r="I56" s="441"/>
      <c r="J56" s="441"/>
      <c r="K56" s="441"/>
      <c r="L56" s="441"/>
      <c r="M56" s="441"/>
      <c r="N56" s="441"/>
      <c r="O56" s="441"/>
      <c r="P56" s="441"/>
      <c r="Q56" s="441"/>
      <c r="R56" s="441"/>
      <c r="S56" s="441"/>
      <c r="T56" s="441"/>
      <c r="U56" s="441"/>
      <c r="V56" s="441"/>
      <c r="W56" s="441"/>
      <c r="X56" s="441"/>
      <c r="Y56" s="441"/>
      <c r="Z56" s="441"/>
      <c r="AA56" s="441"/>
      <c r="AB56" s="441"/>
      <c r="AC56" s="441"/>
      <c r="AD56" s="441"/>
      <c r="AE56" s="441"/>
      <c r="AF56" s="441"/>
      <c r="AG56" s="441"/>
      <c r="AH56" s="441"/>
      <c r="AI56" s="441"/>
      <c r="AJ56" s="441"/>
      <c r="AK56" s="441"/>
      <c r="AL56" s="441"/>
      <c r="AM56" s="297"/>
      <c r="AN56" s="297"/>
      <c r="AO56" s="297"/>
    </row>
    <row r="57" spans="5:41">
      <c r="E57" s="19"/>
      <c r="F57" s="297"/>
      <c r="G57" s="297"/>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row>
    <row r="58" spans="5:41">
      <c r="E58" s="19"/>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row>
    <row r="59" spans="5:41">
      <c r="E59" s="19"/>
      <c r="F59" s="297"/>
      <c r="G59" s="297"/>
      <c r="H59" s="297"/>
      <c r="I59" s="297"/>
      <c r="J59" s="297"/>
      <c r="K59" s="297"/>
      <c r="L59" s="297"/>
      <c r="M59" s="297"/>
      <c r="N59" s="297"/>
      <c r="O59" s="297"/>
      <c r="P59" s="297"/>
      <c r="Q59" s="297"/>
      <c r="R59" s="297"/>
      <c r="S59" s="297"/>
      <c r="T59" s="297"/>
      <c r="U59" s="297"/>
      <c r="V59" s="297"/>
      <c r="W59" s="297"/>
      <c r="X59" s="297"/>
      <c r="Y59" s="297"/>
      <c r="Z59" s="297"/>
      <c r="AA59" s="297"/>
      <c r="AB59" s="297"/>
      <c r="AC59" s="297"/>
      <c r="AD59" s="297"/>
      <c r="AE59" s="297"/>
      <c r="AF59" s="297"/>
      <c r="AG59" s="297"/>
      <c r="AH59" s="297"/>
      <c r="AI59" s="297"/>
      <c r="AJ59" s="297"/>
      <c r="AK59" s="297"/>
      <c r="AL59" s="297"/>
      <c r="AM59" s="297"/>
      <c r="AN59" s="297"/>
      <c r="AO59" s="297"/>
    </row>
    <row r="60" spans="5:41">
      <c r="E60" s="19"/>
      <c r="F60" s="297"/>
      <c r="G60" s="297"/>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c r="AL60" s="297"/>
      <c r="AM60" s="297"/>
      <c r="AN60" s="297"/>
      <c r="AO60" s="297"/>
    </row>
    <row r="61" spans="5:41">
      <c r="E61" s="19"/>
      <c r="F61" s="297"/>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c r="AE61" s="297"/>
      <c r="AF61" s="297"/>
      <c r="AG61" s="297"/>
      <c r="AH61" s="297"/>
      <c r="AI61" s="297"/>
      <c r="AJ61" s="297"/>
      <c r="AK61" s="297"/>
      <c r="AL61" s="297"/>
      <c r="AM61" s="297"/>
      <c r="AN61" s="297"/>
      <c r="AO61" s="297"/>
    </row>
    <row r="62" spans="5:41">
      <c r="E62" s="19"/>
      <c r="F62" s="297"/>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7"/>
      <c r="AL62" s="297"/>
      <c r="AM62" s="297"/>
      <c r="AN62" s="297"/>
      <c r="AO62" s="297"/>
    </row>
    <row r="63" spans="5:41">
      <c r="E63" s="19"/>
      <c r="F63" s="297"/>
      <c r="G63" s="297"/>
      <c r="H63" s="297"/>
      <c r="I63" s="297"/>
      <c r="J63" s="297"/>
      <c r="K63" s="297"/>
      <c r="L63" s="297"/>
      <c r="M63" s="297"/>
      <c r="N63" s="297"/>
      <c r="O63" s="297"/>
      <c r="P63" s="297"/>
      <c r="Q63" s="297"/>
      <c r="R63" s="297"/>
      <c r="S63" s="297"/>
      <c r="T63" s="297"/>
      <c r="U63" s="297"/>
      <c r="V63" s="297"/>
      <c r="W63" s="297"/>
      <c r="X63" s="297"/>
      <c r="Y63" s="297"/>
      <c r="Z63" s="297"/>
      <c r="AA63" s="297"/>
      <c r="AB63" s="297"/>
      <c r="AC63" s="297"/>
      <c r="AD63" s="297"/>
      <c r="AE63" s="297"/>
      <c r="AF63" s="297"/>
      <c r="AG63" s="297"/>
      <c r="AH63" s="297"/>
      <c r="AI63" s="297"/>
      <c r="AJ63" s="297"/>
      <c r="AK63" s="297"/>
      <c r="AL63" s="297"/>
      <c r="AM63" s="297"/>
      <c r="AN63" s="297"/>
      <c r="AO63" s="297"/>
    </row>
    <row r="64" spans="5:41">
      <c r="E64" s="19"/>
      <c r="F64" s="297"/>
      <c r="G64" s="297"/>
      <c r="H64" s="297"/>
      <c r="I64" s="297"/>
      <c r="J64" s="297"/>
      <c r="K64" s="297"/>
      <c r="L64" s="297"/>
      <c r="M64" s="297"/>
      <c r="N64" s="297"/>
      <c r="O64" s="297"/>
      <c r="P64" s="297"/>
      <c r="Q64" s="297"/>
      <c r="R64" s="297"/>
      <c r="S64" s="297"/>
      <c r="T64" s="297"/>
      <c r="U64" s="297"/>
      <c r="V64" s="297"/>
      <c r="W64" s="297"/>
      <c r="X64" s="297"/>
      <c r="Y64" s="297"/>
      <c r="Z64" s="297"/>
      <c r="AA64" s="297"/>
      <c r="AB64" s="297"/>
      <c r="AC64" s="297"/>
      <c r="AD64" s="297"/>
      <c r="AE64" s="297"/>
      <c r="AF64" s="297"/>
      <c r="AG64" s="297"/>
      <c r="AH64" s="297"/>
      <c r="AI64" s="297"/>
      <c r="AJ64" s="297"/>
      <c r="AK64" s="297"/>
      <c r="AL64" s="297"/>
      <c r="AM64" s="297"/>
      <c r="AN64" s="297"/>
      <c r="AO64" s="297"/>
    </row>
    <row r="65" spans="5:41">
      <c r="E65" s="19"/>
      <c r="F65" s="297"/>
      <c r="G65" s="297"/>
      <c r="H65" s="297"/>
      <c r="I65" s="297"/>
      <c r="J65" s="297"/>
      <c r="K65" s="297"/>
      <c r="L65" s="297"/>
      <c r="M65" s="297"/>
      <c r="N65" s="297"/>
      <c r="O65" s="297"/>
      <c r="P65" s="297"/>
      <c r="Q65" s="297"/>
      <c r="R65" s="297"/>
      <c r="S65" s="297"/>
      <c r="T65" s="297"/>
      <c r="U65" s="297"/>
      <c r="V65" s="297"/>
      <c r="W65" s="297"/>
      <c r="X65" s="297"/>
      <c r="Y65" s="297"/>
      <c r="Z65" s="297"/>
      <c r="AA65" s="297"/>
      <c r="AB65" s="297"/>
      <c r="AC65" s="297"/>
      <c r="AD65" s="297"/>
      <c r="AE65" s="297"/>
      <c r="AF65" s="297"/>
      <c r="AG65" s="297"/>
      <c r="AH65" s="297"/>
      <c r="AI65" s="297"/>
      <c r="AJ65" s="297"/>
      <c r="AK65" s="297"/>
      <c r="AL65" s="297"/>
      <c r="AM65" s="297"/>
      <c r="AN65" s="297"/>
      <c r="AO65" s="297"/>
    </row>
    <row r="66" spans="5:41">
      <c r="E66" s="19"/>
      <c r="F66" s="297"/>
      <c r="G66" s="297"/>
      <c r="H66" s="297"/>
      <c r="I66" s="297"/>
      <c r="J66" s="297"/>
      <c r="K66" s="297"/>
      <c r="L66" s="297"/>
      <c r="M66" s="297"/>
      <c r="N66" s="297"/>
      <c r="O66" s="297"/>
      <c r="P66" s="297"/>
      <c r="Q66" s="297"/>
      <c r="R66" s="297"/>
      <c r="S66" s="297"/>
      <c r="T66" s="297"/>
      <c r="U66" s="297"/>
      <c r="V66" s="297"/>
      <c r="W66" s="297"/>
      <c r="X66" s="297"/>
      <c r="Y66" s="297"/>
      <c r="Z66" s="297"/>
      <c r="AA66" s="297"/>
      <c r="AB66" s="297"/>
      <c r="AC66" s="297"/>
      <c r="AD66" s="297"/>
      <c r="AE66" s="297"/>
      <c r="AF66" s="297"/>
      <c r="AG66" s="297"/>
      <c r="AH66" s="297"/>
      <c r="AI66" s="297"/>
      <c r="AJ66" s="297"/>
      <c r="AK66" s="297"/>
      <c r="AL66" s="297"/>
      <c r="AM66" s="297"/>
      <c r="AN66" s="297"/>
      <c r="AO66" s="297"/>
    </row>
    <row r="67" spans="5:41">
      <c r="E67" s="19"/>
      <c r="F67" s="297"/>
      <c r="G67" s="297"/>
      <c r="H67" s="297"/>
      <c r="I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97"/>
      <c r="AH67" s="297"/>
      <c r="AI67" s="297"/>
      <c r="AJ67" s="297"/>
      <c r="AK67" s="297"/>
      <c r="AL67" s="297"/>
      <c r="AM67" s="297"/>
      <c r="AN67" s="297"/>
      <c r="AO67" s="297"/>
    </row>
    <row r="68" spans="5:41">
      <c r="E68" s="19"/>
      <c r="F68" s="297"/>
      <c r="G68" s="297"/>
      <c r="H68" s="297"/>
      <c r="I68" s="297"/>
      <c r="J68" s="297"/>
      <c r="K68" s="297"/>
      <c r="L68" s="297"/>
      <c r="M68" s="297"/>
      <c r="N68" s="297"/>
      <c r="O68" s="297"/>
      <c r="P68" s="297"/>
      <c r="Q68" s="297"/>
      <c r="R68" s="297"/>
      <c r="S68" s="297"/>
      <c r="T68" s="297"/>
      <c r="U68" s="297"/>
      <c r="V68" s="297"/>
      <c r="W68" s="297"/>
      <c r="X68" s="297"/>
      <c r="Y68" s="297"/>
      <c r="Z68" s="297"/>
      <c r="AA68" s="297"/>
      <c r="AB68" s="297"/>
      <c r="AC68" s="297"/>
      <c r="AD68" s="297"/>
      <c r="AE68" s="297"/>
      <c r="AF68" s="297"/>
      <c r="AG68" s="297"/>
      <c r="AH68" s="297"/>
      <c r="AI68" s="297"/>
      <c r="AJ68" s="297"/>
      <c r="AK68" s="297"/>
      <c r="AL68" s="297"/>
      <c r="AM68" s="297"/>
      <c r="AN68" s="297"/>
      <c r="AO68" s="297"/>
    </row>
    <row r="69" spans="5:41">
      <c r="E69" s="19"/>
      <c r="F69" s="297"/>
      <c r="G69" s="297"/>
      <c r="H69" s="297"/>
      <c r="I69" s="297"/>
      <c r="J69" s="297"/>
      <c r="K69" s="297"/>
      <c r="L69" s="297"/>
      <c r="M69" s="297"/>
      <c r="N69" s="297"/>
      <c r="O69" s="297"/>
      <c r="P69" s="297"/>
      <c r="Q69" s="297"/>
      <c r="R69" s="297"/>
      <c r="S69" s="297"/>
      <c r="T69" s="297"/>
      <c r="U69" s="297"/>
      <c r="V69" s="297"/>
      <c r="W69" s="297"/>
      <c r="X69" s="297"/>
      <c r="Y69" s="297"/>
      <c r="Z69" s="297"/>
      <c r="AA69" s="297"/>
      <c r="AB69" s="297"/>
      <c r="AC69" s="297"/>
      <c r="AD69" s="297"/>
      <c r="AE69" s="297"/>
      <c r="AF69" s="297"/>
      <c r="AG69" s="297"/>
      <c r="AH69" s="297"/>
      <c r="AI69" s="297"/>
      <c r="AJ69" s="297"/>
      <c r="AK69" s="297"/>
      <c r="AL69" s="297"/>
      <c r="AM69" s="297"/>
      <c r="AN69" s="297"/>
      <c r="AO69" s="297"/>
    </row>
    <row r="70" spans="5:41">
      <c r="E70" s="19"/>
      <c r="F70" s="297"/>
      <c r="G70" s="297"/>
      <c r="H70" s="297"/>
      <c r="I70" s="297"/>
      <c r="J70" s="297"/>
      <c r="K70" s="297"/>
      <c r="L70" s="297"/>
      <c r="M70" s="297"/>
      <c r="N70" s="297"/>
      <c r="O70" s="297"/>
      <c r="P70" s="297"/>
      <c r="Q70" s="297"/>
      <c r="R70" s="297"/>
      <c r="S70" s="297"/>
      <c r="T70" s="297"/>
      <c r="U70" s="297"/>
      <c r="V70" s="297"/>
      <c r="W70" s="297"/>
      <c r="X70" s="297"/>
      <c r="Y70" s="297"/>
      <c r="Z70" s="297"/>
      <c r="AA70" s="297"/>
      <c r="AB70" s="297"/>
      <c r="AC70" s="297"/>
      <c r="AD70" s="297"/>
      <c r="AE70" s="297"/>
      <c r="AF70" s="297"/>
      <c r="AG70" s="297"/>
      <c r="AH70" s="297"/>
      <c r="AI70" s="297"/>
      <c r="AJ70" s="297"/>
      <c r="AK70" s="297"/>
      <c r="AL70" s="297"/>
      <c r="AM70" s="297"/>
      <c r="AN70" s="297"/>
      <c r="AO70" s="297"/>
    </row>
    <row r="71" spans="5:41">
      <c r="E71" s="19"/>
      <c r="F71" s="297"/>
      <c r="G71" s="297"/>
      <c r="H71" s="297"/>
      <c r="I71" s="297"/>
      <c r="J71" s="297"/>
      <c r="K71" s="297"/>
      <c r="L71" s="297"/>
      <c r="M71" s="297"/>
      <c r="N71" s="297"/>
      <c r="O71" s="297"/>
      <c r="P71" s="297"/>
      <c r="Q71" s="297"/>
      <c r="R71" s="297"/>
      <c r="S71" s="297"/>
      <c r="T71" s="297"/>
      <c r="U71" s="297"/>
      <c r="V71" s="297"/>
      <c r="W71" s="297"/>
      <c r="X71" s="297"/>
      <c r="Y71" s="297"/>
      <c r="Z71" s="297"/>
      <c r="AA71" s="297"/>
      <c r="AB71" s="297"/>
      <c r="AC71" s="297"/>
      <c r="AD71" s="297"/>
      <c r="AE71" s="297"/>
      <c r="AF71" s="297"/>
      <c r="AG71" s="297"/>
      <c r="AH71" s="297"/>
      <c r="AI71" s="297"/>
      <c r="AJ71" s="297"/>
      <c r="AK71" s="297"/>
      <c r="AL71" s="297"/>
      <c r="AM71" s="297"/>
      <c r="AN71" s="297"/>
      <c r="AO71" s="297"/>
    </row>
    <row r="72" spans="5:41">
      <c r="E72" s="19"/>
      <c r="F72" s="297"/>
      <c r="G72" s="297"/>
      <c r="H72" s="297"/>
      <c r="I72" s="297"/>
      <c r="J72" s="297"/>
      <c r="K72" s="297"/>
      <c r="L72" s="297"/>
      <c r="M72" s="297"/>
      <c r="N72" s="297"/>
      <c r="O72" s="297"/>
      <c r="P72" s="297"/>
      <c r="Q72" s="297"/>
      <c r="R72" s="297"/>
      <c r="S72" s="297"/>
      <c r="T72" s="297"/>
      <c r="U72" s="297"/>
      <c r="V72" s="297"/>
      <c r="W72" s="297"/>
      <c r="X72" s="297"/>
      <c r="Y72" s="297"/>
      <c r="Z72" s="297"/>
      <c r="AA72" s="297"/>
      <c r="AB72" s="297"/>
      <c r="AC72" s="297"/>
      <c r="AD72" s="297"/>
      <c r="AE72" s="297"/>
      <c r="AF72" s="297"/>
      <c r="AG72" s="297"/>
      <c r="AH72" s="297"/>
      <c r="AI72" s="297"/>
      <c r="AJ72" s="297"/>
      <c r="AK72" s="297"/>
      <c r="AL72" s="297"/>
      <c r="AM72" s="297"/>
      <c r="AN72" s="297"/>
      <c r="AO72" s="297"/>
    </row>
    <row r="73" spans="5:41">
      <c r="E73" s="19"/>
      <c r="F73" s="297"/>
      <c r="G73" s="297"/>
      <c r="H73" s="297"/>
      <c r="I73" s="297"/>
      <c r="J73" s="297"/>
      <c r="K73" s="297"/>
      <c r="L73" s="297"/>
      <c r="M73" s="297"/>
      <c r="N73" s="297"/>
      <c r="O73" s="297"/>
      <c r="P73" s="297"/>
      <c r="Q73" s="297"/>
      <c r="R73" s="297"/>
      <c r="S73" s="297"/>
      <c r="T73" s="297"/>
      <c r="U73" s="297"/>
      <c r="V73" s="297"/>
      <c r="W73" s="297"/>
      <c r="X73" s="297"/>
      <c r="Y73" s="297"/>
      <c r="Z73" s="297"/>
      <c r="AA73" s="297"/>
      <c r="AB73" s="297"/>
      <c r="AC73" s="297"/>
      <c r="AD73" s="297"/>
      <c r="AE73" s="297"/>
      <c r="AF73" s="297"/>
      <c r="AG73" s="297"/>
      <c r="AH73" s="297"/>
      <c r="AI73" s="297"/>
      <c r="AJ73" s="297"/>
      <c r="AK73" s="297"/>
      <c r="AL73" s="297"/>
      <c r="AM73" s="297"/>
      <c r="AN73" s="297"/>
      <c r="AO73" s="297"/>
    </row>
    <row r="74" spans="5:41">
      <c r="E74" s="19"/>
      <c r="F74" s="297"/>
      <c r="G74" s="297"/>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c r="AH74" s="297"/>
      <c r="AI74" s="297"/>
      <c r="AJ74" s="297"/>
      <c r="AK74" s="297"/>
      <c r="AL74" s="297"/>
      <c r="AM74" s="297"/>
      <c r="AN74" s="297"/>
      <c r="AO74" s="297"/>
    </row>
    <row r="75" spans="5:41">
      <c r="E75" s="19"/>
      <c r="F75" s="297"/>
      <c r="G75" s="297"/>
      <c r="H75" s="297"/>
      <c r="I75" s="297"/>
      <c r="J75" s="297"/>
      <c r="K75" s="297"/>
      <c r="L75" s="297"/>
      <c r="M75" s="297"/>
      <c r="N75" s="297"/>
      <c r="O75" s="297"/>
      <c r="P75" s="297"/>
      <c r="Q75" s="297"/>
      <c r="R75" s="297"/>
      <c r="S75" s="297"/>
      <c r="T75" s="297"/>
      <c r="U75" s="297"/>
      <c r="V75" s="297"/>
      <c r="W75" s="297"/>
      <c r="X75" s="297"/>
      <c r="Y75" s="297"/>
      <c r="Z75" s="297"/>
      <c r="AA75" s="297"/>
      <c r="AB75" s="297"/>
      <c r="AC75" s="297"/>
      <c r="AD75" s="297"/>
      <c r="AE75" s="297"/>
      <c r="AF75" s="297"/>
      <c r="AG75" s="297"/>
      <c r="AH75" s="297"/>
      <c r="AI75" s="297"/>
      <c r="AJ75" s="297"/>
      <c r="AK75" s="297"/>
      <c r="AL75" s="297"/>
      <c r="AM75" s="297"/>
      <c r="AN75" s="297"/>
      <c r="AO75" s="297"/>
    </row>
    <row r="76" spans="5:41">
      <c r="E76" s="19"/>
      <c r="F76" s="297"/>
      <c r="G76" s="297"/>
      <c r="H76" s="297"/>
      <c r="I76" s="297"/>
      <c r="J76" s="297"/>
      <c r="K76" s="297"/>
      <c r="L76" s="297"/>
      <c r="M76" s="297"/>
      <c r="N76" s="297"/>
      <c r="O76" s="297"/>
      <c r="P76" s="297"/>
      <c r="Q76" s="297"/>
      <c r="R76" s="297"/>
      <c r="S76" s="297"/>
      <c r="T76" s="297"/>
      <c r="U76" s="297"/>
      <c r="V76" s="297"/>
      <c r="W76" s="297"/>
      <c r="X76" s="297"/>
      <c r="Y76" s="297"/>
      <c r="Z76" s="297"/>
      <c r="AA76" s="297"/>
      <c r="AB76" s="297"/>
      <c r="AC76" s="297"/>
      <c r="AD76" s="297"/>
      <c r="AE76" s="297"/>
      <c r="AF76" s="297"/>
      <c r="AG76" s="297"/>
      <c r="AH76" s="297"/>
      <c r="AI76" s="297"/>
      <c r="AJ76" s="297"/>
      <c r="AK76" s="297"/>
      <c r="AL76" s="297"/>
      <c r="AM76" s="297"/>
      <c r="AN76" s="297"/>
      <c r="AO76" s="297"/>
    </row>
    <row r="77" spans="5:41">
      <c r="E77" s="19"/>
      <c r="F77" s="297"/>
      <c r="G77" s="297"/>
      <c r="H77" s="297"/>
      <c r="I77" s="297"/>
      <c r="J77" s="297"/>
      <c r="K77" s="297"/>
      <c r="L77" s="297"/>
      <c r="M77" s="297"/>
      <c r="N77" s="297"/>
      <c r="O77" s="297"/>
      <c r="P77" s="297"/>
      <c r="Q77" s="297"/>
      <c r="R77" s="297"/>
      <c r="S77" s="297"/>
      <c r="T77" s="297"/>
      <c r="U77" s="297"/>
      <c r="V77" s="297"/>
      <c r="W77" s="297"/>
      <c r="X77" s="297"/>
      <c r="Y77" s="297"/>
      <c r="Z77" s="297"/>
      <c r="AA77" s="297"/>
      <c r="AB77" s="297"/>
      <c r="AC77" s="297"/>
      <c r="AD77" s="297"/>
      <c r="AE77" s="297"/>
      <c r="AF77" s="297"/>
      <c r="AG77" s="297"/>
      <c r="AH77" s="297"/>
      <c r="AI77" s="297"/>
      <c r="AJ77" s="297"/>
      <c r="AK77" s="297"/>
      <c r="AL77" s="297"/>
      <c r="AM77" s="297"/>
      <c r="AN77" s="297"/>
      <c r="AO77" s="297"/>
    </row>
  </sheetData>
  <sheetProtection algorithmName="SHA-512" hashValue="FQOXLfDD7KN5Y2Xehmp4myxc7zMh797qsCRllFoYYDmM7zcqzEenJIKG9R/yKGSfiLQ4Pbo3dBQCiJdrdERSNg==" saltValue="aRsAa6XQm0ylRk4gGSlzIA=="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headerFooter>
    <oddFooter>&amp;L_x000D_&amp;1#&amp;"Aptos"&amp;8&amp;K000000 Clasificación: Interna</oddFooter>
  </headerFooter>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F4:AL53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72"/>
  <sheetViews>
    <sheetView showGridLines="0" showRowColHeaders="0" topLeftCell="D1" workbookViewId="0">
      <selection activeCell="I1" sqref="I1"/>
    </sheetView>
  </sheetViews>
  <sheetFormatPr defaultColWidth="0" defaultRowHeight="14.4"/>
  <cols>
    <col min="1" max="1" width="25.33203125" style="5" hidden="1" customWidth="1"/>
    <col min="2" max="2" width="35.33203125" style="5" hidden="1" customWidth="1"/>
    <col min="3" max="3" width="10.77734375" style="5" hidden="1" customWidth="1"/>
    <col min="4" max="4" width="3.44140625" style="20" customWidth="1"/>
    <col min="5" max="5" width="4.109375" style="1" bestFit="1" customWidth="1"/>
    <col min="6" max="6" width="24.6640625" style="1" customWidth="1"/>
    <col min="7" max="39" width="25.77734375" style="1" customWidth="1"/>
    <col min="40" max="40" width="10.77734375" style="1" customWidth="1"/>
    <col min="41" max="16384" width="10.77734375" style="1" hidden="1"/>
  </cols>
  <sheetData>
    <row r="1" spans="1:40" ht="40.049999999999997" customHeight="1" thickBot="1">
      <c r="D1" s="17"/>
      <c r="E1" s="17"/>
      <c r="F1" s="17"/>
      <c r="G1" s="17"/>
      <c r="H1" s="408" t="str">
        <f>Idiomas!D496</f>
        <v>Dia seleccionado en "Daily Prediction"</v>
      </c>
      <c r="I1" s="762">
        <f>DailyPrediction!H1</f>
        <v>46184</v>
      </c>
      <c r="J1" s="297"/>
      <c r="K1" s="19">
        <f ca="1">VLOOKUP($I$1,Equipos!$Q$2:$R$37,2,0)</f>
        <v>1</v>
      </c>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row>
    <row r="2" spans="1:40" hidden="1">
      <c r="D2" s="19"/>
      <c r="E2" s="297"/>
      <c r="F2" s="19"/>
      <c r="G2" s="19"/>
      <c r="H2" s="19" t="str" cm="1">
        <f t="array" aca="1" ref="H2:AM2" ca="1">TRANSPOSE($A$4:$A$35)</f>
        <v>México-Sudáfrica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297"/>
    </row>
    <row r="3" spans="1:40" ht="49.95" customHeight="1" thickBot="1">
      <c r="D3" s="19"/>
      <c r="E3" s="449" t="str">
        <f>Idiomas!D479</f>
        <v>Pos</v>
      </c>
      <c r="F3" s="449" t="str">
        <f>Idiomas!D480</f>
        <v>Nombre</v>
      </c>
      <c r="G3" s="449" t="str">
        <f>Idiomas!D481</f>
        <v>Puntos Día / Eliminatoria</v>
      </c>
      <c r="H3" s="449" t="str" cm="1">
        <f t="array" aca="1" ref="H3:AM3" ca="1">TRANSPOSE($B$4:$B$35)</f>
        <v>México-Sudáfrica
 (1|2-0)</v>
      </c>
      <c r="I3" s="449" t="str">
        <f ca="1"/>
        <v/>
      </c>
      <c r="J3" s="449" t="str">
        <f ca="1"/>
        <v/>
      </c>
      <c r="K3" s="449" t="str">
        <f ca="1"/>
        <v/>
      </c>
      <c r="L3" s="449" t="str">
        <f ca="1"/>
        <v/>
      </c>
      <c r="M3" s="449" t="str">
        <f ca="1"/>
        <v/>
      </c>
      <c r="N3" s="449" t="str">
        <f ca="1"/>
        <v/>
      </c>
      <c r="O3" s="449" t="str">
        <f ca="1"/>
        <v/>
      </c>
      <c r="P3" s="449" t="str">
        <f ca="1"/>
        <v/>
      </c>
      <c r="Q3" s="449" t="str">
        <f ca="1"/>
        <v/>
      </c>
      <c r="R3" s="449" t="str">
        <f ca="1"/>
        <v/>
      </c>
      <c r="S3" s="449" t="str">
        <f ca="1"/>
        <v/>
      </c>
      <c r="T3" s="449" t="str">
        <f ca="1"/>
        <v/>
      </c>
      <c r="U3" s="449" t="str">
        <f ca="1"/>
        <v/>
      </c>
      <c r="V3" s="449" t="str">
        <f ca="1"/>
        <v/>
      </c>
      <c r="W3" s="449" t="str">
        <f ca="1"/>
        <v/>
      </c>
      <c r="X3" s="449" t="str">
        <f ca="1"/>
        <v/>
      </c>
      <c r="Y3" s="449" t="str">
        <f ca="1"/>
        <v/>
      </c>
      <c r="Z3" s="449" t="str">
        <f ca="1"/>
        <v/>
      </c>
      <c r="AA3" s="449" t="str">
        <f ca="1"/>
        <v/>
      </c>
      <c r="AB3" s="449" t="str">
        <f ca="1"/>
        <v/>
      </c>
      <c r="AC3" s="449" t="str">
        <f ca="1"/>
        <v/>
      </c>
      <c r="AD3" s="449" t="str">
        <f ca="1"/>
        <v/>
      </c>
      <c r="AE3" s="449" t="str">
        <f ca="1"/>
        <v/>
      </c>
      <c r="AF3" s="449" t="str">
        <f ca="1"/>
        <v/>
      </c>
      <c r="AG3" s="449" t="str">
        <f ca="1"/>
        <v/>
      </c>
      <c r="AH3" s="449" t="str">
        <f ca="1"/>
        <v/>
      </c>
      <c r="AI3" s="449" t="str">
        <f ca="1"/>
        <v/>
      </c>
      <c r="AJ3" s="449" t="str">
        <f ca="1"/>
        <v/>
      </c>
      <c r="AK3" s="449" t="str">
        <f ca="1"/>
        <v/>
      </c>
      <c r="AL3" s="449" t="str">
        <f ca="1"/>
        <v/>
      </c>
      <c r="AM3" s="449" t="str">
        <f ca="1"/>
        <v/>
      </c>
      <c r="AN3" s="297"/>
    </row>
    <row r="4" spans="1:40" ht="15" thickTop="1">
      <c r="A4" s="8" t="str" cm="1">
        <f t="array" aca="1" ref="A4" ca="1">IFERROR(INDEX(ADMIN!$K$6:$K$258,SMALL(IF(ADMIN!$G$6:$G$258=$K$1,ROW(ADMIN!$G$6:$G$258)-ROW(ADMIN!$G$6)+1),ROWS($A$1:A1))),"")</f>
        <v>México-Sudáfrica</v>
      </c>
      <c r="B4" s="8"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8">
        <v>1</v>
      </c>
      <c r="D4" s="90"/>
      <c r="E4" s="409">
        <f ca="1">IFERROR(HLOOKUP(C4,Rango_Admin_DailyClas,3,FALSE),"-")</f>
        <v>1</v>
      </c>
      <c r="F4" s="448" t="str">
        <f ca="1">IFERROR(HLOOKUP(C4,Rango_Admin_DailyClas,5,FALSE),"-")</f>
        <v>Alejandro Lafuente</v>
      </c>
      <c r="G4" s="22">
        <f ca="1">IFERROR(HLOOKUP(C4,Rango_Admin_DailyClas,4,FALSE),"-")</f>
        <v>4</v>
      </c>
      <c r="H4" s="429">
        <f ca="1">IFERROR(VLOOKUP(H$2,Rango_Admin_DailyPred,MATCH($F4,Rango_Admin_DailyPred_Primera,0)+1,0),"-")</f>
        <v>4</v>
      </c>
      <c r="I4" s="429" t="str">
        <f ca="1">IFERROR(VLOOKUP(I$2,Rango_Admin_DailyPred,MATCH($F4,Rango_Admin_DailyPred_Primera,0)+1,0),"-")</f>
        <v>-</v>
      </c>
      <c r="J4" s="429" t="str">
        <f ca="1">IFERROR(VLOOKUP(J$2,Rango_Admin_DailyPred,MATCH($F4,Rango_Admin_DailyPred_Primera,0)+1,0),"-")</f>
        <v>-</v>
      </c>
      <c r="K4" s="429" t="str">
        <f ca="1">IFERROR(VLOOKUP(K$2,Rango_Admin_DailyPred,MATCH($F4,Rango_Admin_DailyPred_Primera,0)+1,0),"-")</f>
        <v>-</v>
      </c>
      <c r="L4" s="429" t="str">
        <f ca="1">IFERROR(VLOOKUP(L$2,Rango_Admin_DailyPred,MATCH($F4,Rango_Admin_DailyPred_Primera,0)+1,0),"-")</f>
        <v>-</v>
      </c>
      <c r="M4" s="429" t="str">
        <f ca="1">IFERROR(VLOOKUP(M$2,Rango_Admin_DailyPred,MATCH($F4,Rango_Admin_DailyPred_Primera,0)+1,0),"-")</f>
        <v>-</v>
      </c>
      <c r="N4" s="429" t="str">
        <f ca="1">IFERROR(VLOOKUP(N$2,Rango_Admin_DailyPred,MATCH($F4,Rango_Admin_DailyPred_Primera,0)+1,0),"-")</f>
        <v>-</v>
      </c>
      <c r="O4" s="429" t="str">
        <f ca="1">IFERROR(VLOOKUP(O$2,Rango_Admin_DailyPred,MATCH($F4,Rango_Admin_DailyPred_Primera,0)+1,0),"-")</f>
        <v>-</v>
      </c>
      <c r="P4" s="429" t="str">
        <f ca="1">IFERROR(VLOOKUP(P$2,Rango_Admin_DailyPred,MATCH($F4,Rango_Admin_DailyPred_Primera,0)+1,0),"-")</f>
        <v>-</v>
      </c>
      <c r="Q4" s="429" t="str">
        <f ca="1">IFERROR(VLOOKUP(Q$2,Rango_Admin_DailyPred,MATCH($F4,Rango_Admin_DailyPred_Primera,0)+1,0),"-")</f>
        <v>-</v>
      </c>
      <c r="R4" s="429" t="str">
        <f ca="1">IFERROR(VLOOKUP(R$2,Rango_Admin_DailyPred,MATCH($F4,Rango_Admin_DailyPred_Primera,0)+1,0),"-")</f>
        <v>-</v>
      </c>
      <c r="S4" s="429" t="str">
        <f ca="1">IFERROR(VLOOKUP(S$2,Rango_Admin_DailyPred,MATCH($F4,Rango_Admin_DailyPred_Primera,0)+1,0),"-")</f>
        <v>-</v>
      </c>
      <c r="T4" s="429" t="str">
        <f ca="1">IFERROR(VLOOKUP(T$2,Rango_Admin_DailyPred,MATCH($F4,Rango_Admin_DailyPred_Primera,0)+1,0),"-")</f>
        <v>-</v>
      </c>
      <c r="U4" s="429" t="str">
        <f ca="1">IFERROR(VLOOKUP(U$2,Rango_Admin_DailyPred,MATCH($F4,Rango_Admin_DailyPred_Primera,0)+1,0),"-")</f>
        <v>-</v>
      </c>
      <c r="V4" s="429" t="str">
        <f ca="1">IFERROR(VLOOKUP(V$2,Rango_Admin_DailyPred,MATCH($F4,Rango_Admin_DailyPred_Primera,0)+1,0),"-")</f>
        <v>-</v>
      </c>
      <c r="W4" s="429" t="str">
        <f ca="1">IFERROR(VLOOKUP(W$2,Rango_Admin_DailyPred,MATCH($F4,Rango_Admin_DailyPred_Primera,0)+1,0),"-")</f>
        <v>-</v>
      </c>
      <c r="X4" s="429" t="str">
        <f ca="1">IFERROR(VLOOKUP(X$2,Rango_Admin_DailyPred,MATCH($F4,Rango_Admin_DailyPred_Primera,0)+1,0),"-")</f>
        <v>-</v>
      </c>
      <c r="Y4" s="429" t="str">
        <f ca="1">IFERROR(VLOOKUP(Y$2,Rango_Admin_DailyPred,MATCH($F4,Rango_Admin_DailyPred_Primera,0)+1,0),"-")</f>
        <v>-</v>
      </c>
      <c r="Z4" s="429" t="str">
        <f ca="1">IFERROR(VLOOKUP(Z$2,Rango_Admin_DailyPred,MATCH($F4,Rango_Admin_DailyPred_Primera,0)+1,0),"-")</f>
        <v>-</v>
      </c>
      <c r="AA4" s="429" t="str">
        <f ca="1">IFERROR(VLOOKUP(AA$2,Rango_Admin_DailyPred,MATCH($F4,Rango_Admin_DailyPred_Primera,0)+1,0),"-")</f>
        <v>-</v>
      </c>
      <c r="AB4" s="429" t="str">
        <f ca="1">IFERROR(VLOOKUP(AB$2,Rango_Admin_DailyPred,MATCH($F4,Rango_Admin_DailyPred_Primera,0)+1,0),"-")</f>
        <v>-</v>
      </c>
      <c r="AC4" s="429" t="str">
        <f ca="1">IFERROR(VLOOKUP(AC$2,Rango_Admin_DailyPred,MATCH($F4,Rango_Admin_DailyPred_Primera,0)+1,0),"-")</f>
        <v>-</v>
      </c>
      <c r="AD4" s="429" t="str">
        <f ca="1">IFERROR(VLOOKUP(AD$2,Rango_Admin_DailyPred,MATCH($F4,Rango_Admin_DailyPred_Primera,0)+1,0),"-")</f>
        <v>-</v>
      </c>
      <c r="AE4" s="429" t="str">
        <f ca="1">IFERROR(VLOOKUP(AE$2,Rango_Admin_DailyPred,MATCH($F4,Rango_Admin_DailyPred_Primera,0)+1,0),"-")</f>
        <v>-</v>
      </c>
      <c r="AF4" s="429" t="str">
        <f ca="1">IFERROR(VLOOKUP(AF$2,Rango_Admin_DailyPred,MATCH($F4,Rango_Admin_DailyPred_Primera,0)+1,0),"-")</f>
        <v>-</v>
      </c>
      <c r="AG4" s="429" t="str">
        <f ca="1">IFERROR(VLOOKUP(AG$2,Rango_Admin_DailyPred,MATCH($F4,Rango_Admin_DailyPred_Primera,0)+1,0),"-")</f>
        <v>-</v>
      </c>
      <c r="AH4" s="429" t="str">
        <f ca="1">IFERROR(VLOOKUP(AH$2,Rango_Admin_DailyPred,MATCH($F4,Rango_Admin_DailyPred_Primera,0)+1,0),"-")</f>
        <v>-</v>
      </c>
      <c r="AI4" s="429" t="str">
        <f ca="1">IFERROR(VLOOKUP(AI$2,Rango_Admin_DailyPred,MATCH($F4,Rango_Admin_DailyPred_Primera,0)+1,0),"-")</f>
        <v>-</v>
      </c>
      <c r="AJ4" s="429" t="str">
        <f ca="1">IFERROR(VLOOKUP(AJ$2,Rango_Admin_DailyPred,MATCH($F4,Rango_Admin_DailyPred_Primera,0)+1,0),"-")</f>
        <v>-</v>
      </c>
      <c r="AK4" s="429" t="str">
        <f ca="1">IFERROR(VLOOKUP(AK$2,Rango_Admin_DailyPred,MATCH($F4,Rango_Admin_DailyPred_Primera,0)+1,0),"-")</f>
        <v>-</v>
      </c>
      <c r="AL4" s="429" t="str">
        <f ca="1">IFERROR(VLOOKUP(AL$2,Rango_Admin_DailyPred,MATCH($F4,Rango_Admin_DailyPred_Primera,0)+1,0),"-")</f>
        <v>-</v>
      </c>
      <c r="AM4" s="429" t="str">
        <f ca="1">IFERROR(VLOOKUP(AM$2,Rango_Admin_DailyPred,MATCH($F4,Rango_Admin_DailyPred_Primera,0)+1,0),"-")</f>
        <v>-</v>
      </c>
      <c r="AN4" s="297"/>
    </row>
    <row r="5" spans="1:40">
      <c r="A5" s="8" t="str" cm="1">
        <f t="array" aca="1" ref="A5" ca="1">IFERROR(INDEX(ADMIN!$K$6:$K$258,SMALL(IF(ADMIN!$G$6:$G$258=$K$1,ROW(ADMIN!$G$6:$G$258)-ROW(ADMIN!$G$6)+1),ROWS($A$1:A2))),"")</f>
        <v/>
      </c>
      <c r="B5" s="8"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8">
        <v>2</v>
      </c>
      <c r="D5" s="90"/>
      <c r="E5" s="409">
        <f ca="1">IFERROR(HLOOKUP(C5,Rango_Admin_DailyClas,3,FALSE),"-")</f>
        <v>1</v>
      </c>
      <c r="F5" s="448" t="str">
        <f ca="1">IFERROR(HLOOKUP(C5,Rango_Admin_DailyClas,5,FALSE),"-")</f>
        <v>Jaime Lafuente</v>
      </c>
      <c r="G5" s="22">
        <f ca="1">IFERROR(HLOOKUP(C5,Rango_Admin_DailyClas,4,FALSE),"-")</f>
        <v>4</v>
      </c>
      <c r="H5" s="429">
        <f ca="1">IFERROR(VLOOKUP(H$2,Rango_Admin_DailyPred,MATCH($F5,Rango_Admin_DailyPred_Primera,0)+1,0),"-")</f>
        <v>4</v>
      </c>
      <c r="I5" s="429" t="str">
        <f ca="1">IFERROR(VLOOKUP(I$2,Rango_Admin_DailyPred,MATCH($F5,Rango_Admin_DailyPred_Primera,0)+1,0),"-")</f>
        <v>-</v>
      </c>
      <c r="J5" s="429" t="str">
        <f ca="1">IFERROR(VLOOKUP(J$2,Rango_Admin_DailyPred,MATCH($F5,Rango_Admin_DailyPred_Primera,0)+1,0),"-")</f>
        <v>-</v>
      </c>
      <c r="K5" s="429" t="str">
        <f ca="1">IFERROR(VLOOKUP(K$2,Rango_Admin_DailyPred,MATCH($F5,Rango_Admin_DailyPred_Primera,0)+1,0),"-")</f>
        <v>-</v>
      </c>
      <c r="L5" s="429" t="str">
        <f ca="1">IFERROR(VLOOKUP(L$2,Rango_Admin_DailyPred,MATCH($F5,Rango_Admin_DailyPred_Primera,0)+1,0),"-")</f>
        <v>-</v>
      </c>
      <c r="M5" s="429" t="str">
        <f ca="1">IFERROR(VLOOKUP(M$2,Rango_Admin_DailyPred,MATCH($F5,Rango_Admin_DailyPred_Primera,0)+1,0),"-")</f>
        <v>-</v>
      </c>
      <c r="N5" s="429" t="str">
        <f ca="1">IFERROR(VLOOKUP(N$2,Rango_Admin_DailyPred,MATCH($F5,Rango_Admin_DailyPred_Primera,0)+1,0),"-")</f>
        <v>-</v>
      </c>
      <c r="O5" s="429" t="str">
        <f ca="1">IFERROR(VLOOKUP(O$2,Rango_Admin_DailyPred,MATCH($F5,Rango_Admin_DailyPred_Primera,0)+1,0),"-")</f>
        <v>-</v>
      </c>
      <c r="P5" s="429" t="str">
        <f ca="1">IFERROR(VLOOKUP(P$2,Rango_Admin_DailyPred,MATCH($F5,Rango_Admin_DailyPred_Primera,0)+1,0),"-")</f>
        <v>-</v>
      </c>
      <c r="Q5" s="429" t="str">
        <f ca="1">IFERROR(VLOOKUP(Q$2,Rango_Admin_DailyPred,MATCH($F5,Rango_Admin_DailyPred_Primera,0)+1,0),"-")</f>
        <v>-</v>
      </c>
      <c r="R5" s="429" t="str">
        <f ca="1">IFERROR(VLOOKUP(R$2,Rango_Admin_DailyPred,MATCH($F5,Rango_Admin_DailyPred_Primera,0)+1,0),"-")</f>
        <v>-</v>
      </c>
      <c r="S5" s="429" t="str">
        <f ca="1">IFERROR(VLOOKUP(S$2,Rango_Admin_DailyPred,MATCH($F5,Rango_Admin_DailyPred_Primera,0)+1,0),"-")</f>
        <v>-</v>
      </c>
      <c r="T5" s="429" t="str">
        <f ca="1">IFERROR(VLOOKUP(T$2,Rango_Admin_DailyPred,MATCH($F5,Rango_Admin_DailyPred_Primera,0)+1,0),"-")</f>
        <v>-</v>
      </c>
      <c r="U5" s="429" t="str">
        <f ca="1">IFERROR(VLOOKUP(U$2,Rango_Admin_DailyPred,MATCH($F5,Rango_Admin_DailyPred_Primera,0)+1,0),"-")</f>
        <v>-</v>
      </c>
      <c r="V5" s="429" t="str">
        <f ca="1">IFERROR(VLOOKUP(V$2,Rango_Admin_DailyPred,MATCH($F5,Rango_Admin_DailyPred_Primera,0)+1,0),"-")</f>
        <v>-</v>
      </c>
      <c r="W5" s="429" t="str">
        <f ca="1">IFERROR(VLOOKUP(W$2,Rango_Admin_DailyPred,MATCH($F5,Rango_Admin_DailyPred_Primera,0)+1,0),"-")</f>
        <v>-</v>
      </c>
      <c r="X5" s="429" t="str">
        <f ca="1">IFERROR(VLOOKUP(X$2,Rango_Admin_DailyPred,MATCH($F5,Rango_Admin_DailyPred_Primera,0)+1,0),"-")</f>
        <v>-</v>
      </c>
      <c r="Y5" s="429" t="str">
        <f ca="1">IFERROR(VLOOKUP(Y$2,Rango_Admin_DailyPred,MATCH($F5,Rango_Admin_DailyPred_Primera,0)+1,0),"-")</f>
        <v>-</v>
      </c>
      <c r="Z5" s="429" t="str">
        <f ca="1">IFERROR(VLOOKUP(Z$2,Rango_Admin_DailyPred,MATCH($F5,Rango_Admin_DailyPred_Primera,0)+1,0),"-")</f>
        <v>-</v>
      </c>
      <c r="AA5" s="429" t="str">
        <f ca="1">IFERROR(VLOOKUP(AA$2,Rango_Admin_DailyPred,MATCH($F5,Rango_Admin_DailyPred_Primera,0)+1,0),"-")</f>
        <v>-</v>
      </c>
      <c r="AB5" s="429" t="str">
        <f ca="1">IFERROR(VLOOKUP(AB$2,Rango_Admin_DailyPred,MATCH($F5,Rango_Admin_DailyPred_Primera,0)+1,0),"-")</f>
        <v>-</v>
      </c>
      <c r="AC5" s="429" t="str">
        <f ca="1">IFERROR(VLOOKUP(AC$2,Rango_Admin_DailyPred,MATCH($F5,Rango_Admin_DailyPred_Primera,0)+1,0),"-")</f>
        <v>-</v>
      </c>
      <c r="AD5" s="429" t="str">
        <f ca="1">IFERROR(VLOOKUP(AD$2,Rango_Admin_DailyPred,MATCH($F5,Rango_Admin_DailyPred_Primera,0)+1,0),"-")</f>
        <v>-</v>
      </c>
      <c r="AE5" s="429" t="str">
        <f ca="1">IFERROR(VLOOKUP(AE$2,Rango_Admin_DailyPred,MATCH($F5,Rango_Admin_DailyPred_Primera,0)+1,0),"-")</f>
        <v>-</v>
      </c>
      <c r="AF5" s="429" t="str">
        <f ca="1">IFERROR(VLOOKUP(AF$2,Rango_Admin_DailyPred,MATCH($F5,Rango_Admin_DailyPred_Primera,0)+1,0),"-")</f>
        <v>-</v>
      </c>
      <c r="AG5" s="429" t="str">
        <f ca="1">IFERROR(VLOOKUP(AG$2,Rango_Admin_DailyPred,MATCH($F5,Rango_Admin_DailyPred_Primera,0)+1,0),"-")</f>
        <v>-</v>
      </c>
      <c r="AH5" s="429" t="str">
        <f ca="1">IFERROR(VLOOKUP(AH$2,Rango_Admin_DailyPred,MATCH($F5,Rango_Admin_DailyPred_Primera,0)+1,0),"-")</f>
        <v>-</v>
      </c>
      <c r="AI5" s="429" t="str">
        <f ca="1">IFERROR(VLOOKUP(AI$2,Rango_Admin_DailyPred,MATCH($F5,Rango_Admin_DailyPred_Primera,0)+1,0),"-")</f>
        <v>-</v>
      </c>
      <c r="AJ5" s="429" t="str">
        <f ca="1">IFERROR(VLOOKUP(AJ$2,Rango_Admin_DailyPred,MATCH($F5,Rango_Admin_DailyPred_Primera,0)+1,0),"-")</f>
        <v>-</v>
      </c>
      <c r="AK5" s="429" t="str">
        <f ca="1">IFERROR(VLOOKUP(AK$2,Rango_Admin_DailyPred,MATCH($F5,Rango_Admin_DailyPred_Primera,0)+1,0),"-")</f>
        <v>-</v>
      </c>
      <c r="AL5" s="429" t="str">
        <f ca="1">IFERROR(VLOOKUP(AL$2,Rango_Admin_DailyPred,MATCH($F5,Rango_Admin_DailyPred_Primera,0)+1,0),"-")</f>
        <v>-</v>
      </c>
      <c r="AM5" s="429" t="str">
        <f ca="1">IFERROR(VLOOKUP(AM$2,Rango_Admin_DailyPred,MATCH($F5,Rango_Admin_DailyPred_Primera,0)+1,0),"-")</f>
        <v>-</v>
      </c>
      <c r="AN5" s="297"/>
    </row>
    <row r="6" spans="1:40">
      <c r="A6" s="8" t="str" cm="1">
        <f t="array" aca="1" ref="A6" ca="1">IFERROR(INDEX(ADMIN!$K$6:$K$258,SMALL(IF(ADMIN!$G$6:$G$258=$K$1,ROW(ADMIN!$G$6:$G$258)-ROW(ADMIN!$G$6)+1),ROWS($A$1:A3))),"")</f>
        <v/>
      </c>
      <c r="B6" s="8"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8">
        <v>3</v>
      </c>
      <c r="D6" s="90"/>
      <c r="E6" s="409">
        <f ca="1">IFERROR(HLOOKUP(C6,Rango_Admin_DailyClas,3,FALSE),"-")</f>
        <v>1</v>
      </c>
      <c r="F6" s="448" t="str">
        <f ca="1">IFERROR(HLOOKUP(C6,Rango_Admin_DailyClas,5,FALSE),"-")</f>
        <v>Pastor</v>
      </c>
      <c r="G6" s="22">
        <f ca="1">IFERROR(HLOOKUP(C6,Rango_Admin_DailyClas,4,FALSE),"-")</f>
        <v>4</v>
      </c>
      <c r="H6" s="429">
        <f ca="1">IFERROR(VLOOKUP(H$2,Rango_Admin_DailyPred,MATCH($F6,Rango_Admin_DailyPred_Primera,0)+1,0),"-")</f>
        <v>4</v>
      </c>
      <c r="I6" s="429" t="str">
        <f ca="1">IFERROR(VLOOKUP(I$2,Rango_Admin_DailyPred,MATCH($F6,Rango_Admin_DailyPred_Primera,0)+1,0),"-")</f>
        <v>-</v>
      </c>
      <c r="J6" s="429" t="str">
        <f ca="1">IFERROR(VLOOKUP(J$2,Rango_Admin_DailyPred,MATCH($F6,Rango_Admin_DailyPred_Primera,0)+1,0),"-")</f>
        <v>-</v>
      </c>
      <c r="K6" s="429" t="str">
        <f ca="1">IFERROR(VLOOKUP(K$2,Rango_Admin_DailyPred,MATCH($F6,Rango_Admin_DailyPred_Primera,0)+1,0),"-")</f>
        <v>-</v>
      </c>
      <c r="L6" s="429" t="str">
        <f ca="1">IFERROR(VLOOKUP(L$2,Rango_Admin_DailyPred,MATCH($F6,Rango_Admin_DailyPred_Primera,0)+1,0),"-")</f>
        <v>-</v>
      </c>
      <c r="M6" s="429" t="str">
        <f ca="1">IFERROR(VLOOKUP(M$2,Rango_Admin_DailyPred,MATCH($F6,Rango_Admin_DailyPred_Primera,0)+1,0),"-")</f>
        <v>-</v>
      </c>
      <c r="N6" s="429" t="str">
        <f ca="1">IFERROR(VLOOKUP(N$2,Rango_Admin_DailyPred,MATCH($F6,Rango_Admin_DailyPred_Primera,0)+1,0),"-")</f>
        <v>-</v>
      </c>
      <c r="O6" s="429" t="str">
        <f ca="1">IFERROR(VLOOKUP(O$2,Rango_Admin_DailyPred,MATCH($F6,Rango_Admin_DailyPred_Primera,0)+1,0),"-")</f>
        <v>-</v>
      </c>
      <c r="P6" s="429" t="str">
        <f ca="1">IFERROR(VLOOKUP(P$2,Rango_Admin_DailyPred,MATCH($F6,Rango_Admin_DailyPred_Primera,0)+1,0),"-")</f>
        <v>-</v>
      </c>
      <c r="Q6" s="429" t="str">
        <f ca="1">IFERROR(VLOOKUP(Q$2,Rango_Admin_DailyPred,MATCH($F6,Rango_Admin_DailyPred_Primera,0)+1,0),"-")</f>
        <v>-</v>
      </c>
      <c r="R6" s="429" t="str">
        <f ca="1">IFERROR(VLOOKUP(R$2,Rango_Admin_DailyPred,MATCH($F6,Rango_Admin_DailyPred_Primera,0)+1,0),"-")</f>
        <v>-</v>
      </c>
      <c r="S6" s="429" t="str">
        <f ca="1">IFERROR(VLOOKUP(S$2,Rango_Admin_DailyPred,MATCH($F6,Rango_Admin_DailyPred_Primera,0)+1,0),"-")</f>
        <v>-</v>
      </c>
      <c r="T6" s="429" t="str">
        <f ca="1">IFERROR(VLOOKUP(T$2,Rango_Admin_DailyPred,MATCH($F6,Rango_Admin_DailyPred_Primera,0)+1,0),"-")</f>
        <v>-</v>
      </c>
      <c r="U6" s="429" t="str">
        <f ca="1">IFERROR(VLOOKUP(U$2,Rango_Admin_DailyPred,MATCH($F6,Rango_Admin_DailyPred_Primera,0)+1,0),"-")</f>
        <v>-</v>
      </c>
      <c r="V6" s="429" t="str">
        <f ca="1">IFERROR(VLOOKUP(V$2,Rango_Admin_DailyPred,MATCH($F6,Rango_Admin_DailyPred_Primera,0)+1,0),"-")</f>
        <v>-</v>
      </c>
      <c r="W6" s="429" t="str">
        <f ca="1">IFERROR(VLOOKUP(W$2,Rango_Admin_DailyPred,MATCH($F6,Rango_Admin_DailyPred_Primera,0)+1,0),"-")</f>
        <v>-</v>
      </c>
      <c r="X6" s="429" t="str">
        <f ca="1">IFERROR(VLOOKUP(X$2,Rango_Admin_DailyPred,MATCH($F6,Rango_Admin_DailyPred_Primera,0)+1,0),"-")</f>
        <v>-</v>
      </c>
      <c r="Y6" s="429" t="str">
        <f ca="1">IFERROR(VLOOKUP(Y$2,Rango_Admin_DailyPred,MATCH($F6,Rango_Admin_DailyPred_Primera,0)+1,0),"-")</f>
        <v>-</v>
      </c>
      <c r="Z6" s="429" t="str">
        <f ca="1">IFERROR(VLOOKUP(Z$2,Rango_Admin_DailyPred,MATCH($F6,Rango_Admin_DailyPred_Primera,0)+1,0),"-")</f>
        <v>-</v>
      </c>
      <c r="AA6" s="429" t="str">
        <f ca="1">IFERROR(VLOOKUP(AA$2,Rango_Admin_DailyPred,MATCH($F6,Rango_Admin_DailyPred_Primera,0)+1,0),"-")</f>
        <v>-</v>
      </c>
      <c r="AB6" s="429" t="str">
        <f ca="1">IFERROR(VLOOKUP(AB$2,Rango_Admin_DailyPred,MATCH($F6,Rango_Admin_DailyPred_Primera,0)+1,0),"-")</f>
        <v>-</v>
      </c>
      <c r="AC6" s="429" t="str">
        <f ca="1">IFERROR(VLOOKUP(AC$2,Rango_Admin_DailyPred,MATCH($F6,Rango_Admin_DailyPred_Primera,0)+1,0),"-")</f>
        <v>-</v>
      </c>
      <c r="AD6" s="429" t="str">
        <f ca="1">IFERROR(VLOOKUP(AD$2,Rango_Admin_DailyPred,MATCH($F6,Rango_Admin_DailyPred_Primera,0)+1,0),"-")</f>
        <v>-</v>
      </c>
      <c r="AE6" s="429" t="str">
        <f ca="1">IFERROR(VLOOKUP(AE$2,Rango_Admin_DailyPred,MATCH($F6,Rango_Admin_DailyPred_Primera,0)+1,0),"-")</f>
        <v>-</v>
      </c>
      <c r="AF6" s="429" t="str">
        <f ca="1">IFERROR(VLOOKUP(AF$2,Rango_Admin_DailyPred,MATCH($F6,Rango_Admin_DailyPred_Primera,0)+1,0),"-")</f>
        <v>-</v>
      </c>
      <c r="AG6" s="429" t="str">
        <f ca="1">IFERROR(VLOOKUP(AG$2,Rango_Admin_DailyPred,MATCH($F6,Rango_Admin_DailyPred_Primera,0)+1,0),"-")</f>
        <v>-</v>
      </c>
      <c r="AH6" s="429" t="str">
        <f ca="1">IFERROR(VLOOKUP(AH$2,Rango_Admin_DailyPred,MATCH($F6,Rango_Admin_DailyPred_Primera,0)+1,0),"-")</f>
        <v>-</v>
      </c>
      <c r="AI6" s="429" t="str">
        <f ca="1">IFERROR(VLOOKUP(AI$2,Rango_Admin_DailyPred,MATCH($F6,Rango_Admin_DailyPred_Primera,0)+1,0),"-")</f>
        <v>-</v>
      </c>
      <c r="AJ6" s="429" t="str">
        <f ca="1">IFERROR(VLOOKUP(AJ$2,Rango_Admin_DailyPred,MATCH($F6,Rango_Admin_DailyPred_Primera,0)+1,0),"-")</f>
        <v>-</v>
      </c>
      <c r="AK6" s="429" t="str">
        <f ca="1">IFERROR(VLOOKUP(AK$2,Rango_Admin_DailyPred,MATCH($F6,Rango_Admin_DailyPred_Primera,0)+1,0),"-")</f>
        <v>-</v>
      </c>
      <c r="AL6" s="429" t="str">
        <f ca="1">IFERROR(VLOOKUP(AL$2,Rango_Admin_DailyPred,MATCH($F6,Rango_Admin_DailyPred_Primera,0)+1,0),"-")</f>
        <v>-</v>
      </c>
      <c r="AM6" s="429" t="str">
        <f ca="1">IFERROR(VLOOKUP(AM$2,Rango_Admin_DailyPred,MATCH($F6,Rango_Admin_DailyPred_Primera,0)+1,0),"-")</f>
        <v>-</v>
      </c>
      <c r="AN6" s="297"/>
    </row>
    <row r="7" spans="1:40">
      <c r="A7" s="8" t="str" cm="1">
        <f t="array" aca="1" ref="A7" ca="1">IFERROR(INDEX(ADMIN!$K$6:$K$258,SMALL(IF(ADMIN!$G$6:$G$258=$K$1,ROW(ADMIN!$G$6:$G$258)-ROW(ADMIN!$G$6)+1),ROWS($A$1:A4))),"")</f>
        <v/>
      </c>
      <c r="B7" s="8"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8">
        <v>4</v>
      </c>
      <c r="D7" s="90"/>
      <c r="E7" s="409">
        <f ca="1">IFERROR(HLOOKUP(C7,Rango_Admin_DailyClas,3,FALSE),"-")</f>
        <v>1</v>
      </c>
      <c r="F7" s="448" t="str">
        <f ca="1">IFERROR(HLOOKUP(C7,Rango_Admin_DailyClas,5,FALSE),"-")</f>
        <v>Jaime García de la Riva</v>
      </c>
      <c r="G7" s="22">
        <f ca="1">IFERROR(HLOOKUP(C7,Rango_Admin_DailyClas,4,FALSE),"-")</f>
        <v>4</v>
      </c>
      <c r="H7" s="429">
        <f ca="1">IFERROR(VLOOKUP(H$2,Rango_Admin_DailyPred,MATCH($F7,Rango_Admin_DailyPred_Primera,0)+1,0),"-")</f>
        <v>4</v>
      </c>
      <c r="I7" s="429" t="str">
        <f ca="1">IFERROR(VLOOKUP(I$2,Rango_Admin_DailyPred,MATCH($F7,Rango_Admin_DailyPred_Primera,0)+1,0),"-")</f>
        <v>-</v>
      </c>
      <c r="J7" s="429" t="str">
        <f ca="1">IFERROR(VLOOKUP(J$2,Rango_Admin_DailyPred,MATCH($F7,Rango_Admin_DailyPred_Primera,0)+1,0),"-")</f>
        <v>-</v>
      </c>
      <c r="K7" s="429" t="str">
        <f ca="1">IFERROR(VLOOKUP(K$2,Rango_Admin_DailyPred,MATCH($F7,Rango_Admin_DailyPred_Primera,0)+1,0),"-")</f>
        <v>-</v>
      </c>
      <c r="L7" s="429" t="str">
        <f ca="1">IFERROR(VLOOKUP(L$2,Rango_Admin_DailyPred,MATCH($F7,Rango_Admin_DailyPred_Primera,0)+1,0),"-")</f>
        <v>-</v>
      </c>
      <c r="M7" s="429" t="str">
        <f ca="1">IFERROR(VLOOKUP(M$2,Rango_Admin_DailyPred,MATCH($F7,Rango_Admin_DailyPred_Primera,0)+1,0),"-")</f>
        <v>-</v>
      </c>
      <c r="N7" s="429" t="str">
        <f ca="1">IFERROR(VLOOKUP(N$2,Rango_Admin_DailyPred,MATCH($F7,Rango_Admin_DailyPred_Primera,0)+1,0),"-")</f>
        <v>-</v>
      </c>
      <c r="O7" s="429" t="str">
        <f ca="1">IFERROR(VLOOKUP(O$2,Rango_Admin_DailyPred,MATCH($F7,Rango_Admin_DailyPred_Primera,0)+1,0),"-")</f>
        <v>-</v>
      </c>
      <c r="P7" s="429" t="str">
        <f ca="1">IFERROR(VLOOKUP(P$2,Rango_Admin_DailyPred,MATCH($F7,Rango_Admin_DailyPred_Primera,0)+1,0),"-")</f>
        <v>-</v>
      </c>
      <c r="Q7" s="429" t="str">
        <f ca="1">IFERROR(VLOOKUP(Q$2,Rango_Admin_DailyPred,MATCH($F7,Rango_Admin_DailyPred_Primera,0)+1,0),"-")</f>
        <v>-</v>
      </c>
      <c r="R7" s="429" t="str">
        <f ca="1">IFERROR(VLOOKUP(R$2,Rango_Admin_DailyPred,MATCH($F7,Rango_Admin_DailyPred_Primera,0)+1,0),"-")</f>
        <v>-</v>
      </c>
      <c r="S7" s="429" t="str">
        <f ca="1">IFERROR(VLOOKUP(S$2,Rango_Admin_DailyPred,MATCH($F7,Rango_Admin_DailyPred_Primera,0)+1,0),"-")</f>
        <v>-</v>
      </c>
      <c r="T7" s="429" t="str">
        <f ca="1">IFERROR(VLOOKUP(T$2,Rango_Admin_DailyPred,MATCH($F7,Rango_Admin_DailyPred_Primera,0)+1,0),"-")</f>
        <v>-</v>
      </c>
      <c r="U7" s="429" t="str">
        <f ca="1">IFERROR(VLOOKUP(U$2,Rango_Admin_DailyPred,MATCH($F7,Rango_Admin_DailyPred_Primera,0)+1,0),"-")</f>
        <v>-</v>
      </c>
      <c r="V7" s="429" t="str">
        <f ca="1">IFERROR(VLOOKUP(V$2,Rango_Admin_DailyPred,MATCH($F7,Rango_Admin_DailyPred_Primera,0)+1,0),"-")</f>
        <v>-</v>
      </c>
      <c r="W7" s="429" t="str">
        <f ca="1">IFERROR(VLOOKUP(W$2,Rango_Admin_DailyPred,MATCH($F7,Rango_Admin_DailyPred_Primera,0)+1,0),"-")</f>
        <v>-</v>
      </c>
      <c r="X7" s="429" t="str">
        <f ca="1">IFERROR(VLOOKUP(X$2,Rango_Admin_DailyPred,MATCH($F7,Rango_Admin_DailyPred_Primera,0)+1,0),"-")</f>
        <v>-</v>
      </c>
      <c r="Y7" s="429" t="str">
        <f ca="1">IFERROR(VLOOKUP(Y$2,Rango_Admin_DailyPred,MATCH($F7,Rango_Admin_DailyPred_Primera,0)+1,0),"-")</f>
        <v>-</v>
      </c>
      <c r="Z7" s="429" t="str">
        <f ca="1">IFERROR(VLOOKUP(Z$2,Rango_Admin_DailyPred,MATCH($F7,Rango_Admin_DailyPred_Primera,0)+1,0),"-")</f>
        <v>-</v>
      </c>
      <c r="AA7" s="429" t="str">
        <f ca="1">IFERROR(VLOOKUP(AA$2,Rango_Admin_DailyPred,MATCH($F7,Rango_Admin_DailyPred_Primera,0)+1,0),"-")</f>
        <v>-</v>
      </c>
      <c r="AB7" s="429" t="str">
        <f ca="1">IFERROR(VLOOKUP(AB$2,Rango_Admin_DailyPred,MATCH($F7,Rango_Admin_DailyPred_Primera,0)+1,0),"-")</f>
        <v>-</v>
      </c>
      <c r="AC7" s="429" t="str">
        <f ca="1">IFERROR(VLOOKUP(AC$2,Rango_Admin_DailyPred,MATCH($F7,Rango_Admin_DailyPred_Primera,0)+1,0),"-")</f>
        <v>-</v>
      </c>
      <c r="AD7" s="429" t="str">
        <f ca="1">IFERROR(VLOOKUP(AD$2,Rango_Admin_DailyPred,MATCH($F7,Rango_Admin_DailyPred_Primera,0)+1,0),"-")</f>
        <v>-</v>
      </c>
      <c r="AE7" s="429" t="str">
        <f ca="1">IFERROR(VLOOKUP(AE$2,Rango_Admin_DailyPred,MATCH($F7,Rango_Admin_DailyPred_Primera,0)+1,0),"-")</f>
        <v>-</v>
      </c>
      <c r="AF7" s="429" t="str">
        <f ca="1">IFERROR(VLOOKUP(AF$2,Rango_Admin_DailyPred,MATCH($F7,Rango_Admin_DailyPred_Primera,0)+1,0),"-")</f>
        <v>-</v>
      </c>
      <c r="AG7" s="429" t="str">
        <f ca="1">IFERROR(VLOOKUP(AG$2,Rango_Admin_DailyPred,MATCH($F7,Rango_Admin_DailyPred_Primera,0)+1,0),"-")</f>
        <v>-</v>
      </c>
      <c r="AH7" s="429" t="str">
        <f ca="1">IFERROR(VLOOKUP(AH$2,Rango_Admin_DailyPred,MATCH($F7,Rango_Admin_DailyPred_Primera,0)+1,0),"-")</f>
        <v>-</v>
      </c>
      <c r="AI7" s="429" t="str">
        <f ca="1">IFERROR(VLOOKUP(AI$2,Rango_Admin_DailyPred,MATCH($F7,Rango_Admin_DailyPred_Primera,0)+1,0),"-")</f>
        <v>-</v>
      </c>
      <c r="AJ7" s="429" t="str">
        <f ca="1">IFERROR(VLOOKUP(AJ$2,Rango_Admin_DailyPred,MATCH($F7,Rango_Admin_DailyPred_Primera,0)+1,0),"-")</f>
        <v>-</v>
      </c>
      <c r="AK7" s="429" t="str">
        <f ca="1">IFERROR(VLOOKUP(AK$2,Rango_Admin_DailyPred,MATCH($F7,Rango_Admin_DailyPred_Primera,0)+1,0),"-")</f>
        <v>-</v>
      </c>
      <c r="AL7" s="429" t="str">
        <f ca="1">IFERROR(VLOOKUP(AL$2,Rango_Admin_DailyPred,MATCH($F7,Rango_Admin_DailyPred_Primera,0)+1,0),"-")</f>
        <v>-</v>
      </c>
      <c r="AM7" s="429" t="str">
        <f ca="1">IFERROR(VLOOKUP(AM$2,Rango_Admin_DailyPred,MATCH($F7,Rango_Admin_DailyPred_Primera,0)+1,0),"-")</f>
        <v>-</v>
      </c>
      <c r="AN7" s="297"/>
    </row>
    <row r="8" spans="1:40">
      <c r="A8" s="8" t="str" cm="1">
        <f t="array" aca="1" ref="A8" ca="1">IFERROR(INDEX(ADMIN!$K$6:$K$258,SMALL(IF(ADMIN!$G$6:$G$258=$K$1,ROW(ADMIN!$G$6:$G$258)-ROW(ADMIN!$G$6)+1),ROWS($A$1:A5))),"")</f>
        <v/>
      </c>
      <c r="B8" s="8"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8">
        <v>5</v>
      </c>
      <c r="D8" s="90"/>
      <c r="E8" s="409">
        <f ca="1">IFERROR(HLOOKUP(C8,Rango_Admin_DailyClas,3,FALSE),"-")</f>
        <v>1</v>
      </c>
      <c r="F8" s="448" t="str">
        <f ca="1">IFERROR(HLOOKUP(C8,Rango_Admin_DailyClas,5,FALSE),"-")</f>
        <v>Antonio Zulueta Ramos</v>
      </c>
      <c r="G8" s="22">
        <f ca="1">IFERROR(HLOOKUP(C8,Rango_Admin_DailyClas,4,FALSE),"-")</f>
        <v>4</v>
      </c>
      <c r="H8" s="429">
        <f ca="1">IFERROR(VLOOKUP(H$2,Rango_Admin_DailyPred,MATCH($F8,Rango_Admin_DailyPred_Primera,0)+1,0),"-")</f>
        <v>4</v>
      </c>
      <c r="I8" s="429" t="str">
        <f ca="1">IFERROR(VLOOKUP(I$2,Rango_Admin_DailyPred,MATCH($F8,Rango_Admin_DailyPred_Primera,0)+1,0),"-")</f>
        <v>-</v>
      </c>
      <c r="J8" s="429" t="str">
        <f ca="1">IFERROR(VLOOKUP(J$2,Rango_Admin_DailyPred,MATCH($F8,Rango_Admin_DailyPred_Primera,0)+1,0),"-")</f>
        <v>-</v>
      </c>
      <c r="K8" s="429" t="str">
        <f ca="1">IFERROR(VLOOKUP(K$2,Rango_Admin_DailyPred,MATCH($F8,Rango_Admin_DailyPred_Primera,0)+1,0),"-")</f>
        <v>-</v>
      </c>
      <c r="L8" s="429" t="str">
        <f ca="1">IFERROR(VLOOKUP(L$2,Rango_Admin_DailyPred,MATCH($F8,Rango_Admin_DailyPred_Primera,0)+1,0),"-")</f>
        <v>-</v>
      </c>
      <c r="M8" s="429" t="str">
        <f ca="1">IFERROR(VLOOKUP(M$2,Rango_Admin_DailyPred,MATCH($F8,Rango_Admin_DailyPred_Primera,0)+1,0),"-")</f>
        <v>-</v>
      </c>
      <c r="N8" s="429" t="str">
        <f ca="1">IFERROR(VLOOKUP(N$2,Rango_Admin_DailyPred,MATCH($F8,Rango_Admin_DailyPred_Primera,0)+1,0),"-")</f>
        <v>-</v>
      </c>
      <c r="O8" s="429" t="str">
        <f ca="1">IFERROR(VLOOKUP(O$2,Rango_Admin_DailyPred,MATCH($F8,Rango_Admin_DailyPred_Primera,0)+1,0),"-")</f>
        <v>-</v>
      </c>
      <c r="P8" s="429" t="str">
        <f ca="1">IFERROR(VLOOKUP(P$2,Rango_Admin_DailyPred,MATCH($F8,Rango_Admin_DailyPred_Primera,0)+1,0),"-")</f>
        <v>-</v>
      </c>
      <c r="Q8" s="429" t="str">
        <f ca="1">IFERROR(VLOOKUP(Q$2,Rango_Admin_DailyPred,MATCH($F8,Rango_Admin_DailyPred_Primera,0)+1,0),"-")</f>
        <v>-</v>
      </c>
      <c r="R8" s="429" t="str">
        <f ca="1">IFERROR(VLOOKUP(R$2,Rango_Admin_DailyPred,MATCH($F8,Rango_Admin_DailyPred_Primera,0)+1,0),"-")</f>
        <v>-</v>
      </c>
      <c r="S8" s="429" t="str">
        <f ca="1">IFERROR(VLOOKUP(S$2,Rango_Admin_DailyPred,MATCH($F8,Rango_Admin_DailyPred_Primera,0)+1,0),"-")</f>
        <v>-</v>
      </c>
      <c r="T8" s="429" t="str">
        <f ca="1">IFERROR(VLOOKUP(T$2,Rango_Admin_DailyPred,MATCH($F8,Rango_Admin_DailyPred_Primera,0)+1,0),"-")</f>
        <v>-</v>
      </c>
      <c r="U8" s="429" t="str">
        <f ca="1">IFERROR(VLOOKUP(U$2,Rango_Admin_DailyPred,MATCH($F8,Rango_Admin_DailyPred_Primera,0)+1,0),"-")</f>
        <v>-</v>
      </c>
      <c r="V8" s="429" t="str">
        <f ca="1">IFERROR(VLOOKUP(V$2,Rango_Admin_DailyPred,MATCH($F8,Rango_Admin_DailyPred_Primera,0)+1,0),"-")</f>
        <v>-</v>
      </c>
      <c r="W8" s="429" t="str">
        <f ca="1">IFERROR(VLOOKUP(W$2,Rango_Admin_DailyPred,MATCH($F8,Rango_Admin_DailyPred_Primera,0)+1,0),"-")</f>
        <v>-</v>
      </c>
      <c r="X8" s="429" t="str">
        <f ca="1">IFERROR(VLOOKUP(X$2,Rango_Admin_DailyPred,MATCH($F8,Rango_Admin_DailyPred_Primera,0)+1,0),"-")</f>
        <v>-</v>
      </c>
      <c r="Y8" s="429" t="str">
        <f ca="1">IFERROR(VLOOKUP(Y$2,Rango_Admin_DailyPred,MATCH($F8,Rango_Admin_DailyPred_Primera,0)+1,0),"-")</f>
        <v>-</v>
      </c>
      <c r="Z8" s="429" t="str">
        <f ca="1">IFERROR(VLOOKUP(Z$2,Rango_Admin_DailyPred,MATCH($F8,Rango_Admin_DailyPred_Primera,0)+1,0),"-")</f>
        <v>-</v>
      </c>
      <c r="AA8" s="429" t="str">
        <f ca="1">IFERROR(VLOOKUP(AA$2,Rango_Admin_DailyPred,MATCH($F8,Rango_Admin_DailyPred_Primera,0)+1,0),"-")</f>
        <v>-</v>
      </c>
      <c r="AB8" s="429" t="str">
        <f ca="1">IFERROR(VLOOKUP(AB$2,Rango_Admin_DailyPred,MATCH($F8,Rango_Admin_DailyPred_Primera,0)+1,0),"-")</f>
        <v>-</v>
      </c>
      <c r="AC8" s="429" t="str">
        <f ca="1">IFERROR(VLOOKUP(AC$2,Rango_Admin_DailyPred,MATCH($F8,Rango_Admin_DailyPred_Primera,0)+1,0),"-")</f>
        <v>-</v>
      </c>
      <c r="AD8" s="429" t="str">
        <f ca="1">IFERROR(VLOOKUP(AD$2,Rango_Admin_DailyPred,MATCH($F8,Rango_Admin_DailyPred_Primera,0)+1,0),"-")</f>
        <v>-</v>
      </c>
      <c r="AE8" s="429" t="str">
        <f ca="1">IFERROR(VLOOKUP(AE$2,Rango_Admin_DailyPred,MATCH($F8,Rango_Admin_DailyPred_Primera,0)+1,0),"-")</f>
        <v>-</v>
      </c>
      <c r="AF8" s="429" t="str">
        <f ca="1">IFERROR(VLOOKUP(AF$2,Rango_Admin_DailyPred,MATCH($F8,Rango_Admin_DailyPred_Primera,0)+1,0),"-")</f>
        <v>-</v>
      </c>
      <c r="AG8" s="429" t="str">
        <f ca="1">IFERROR(VLOOKUP(AG$2,Rango_Admin_DailyPred,MATCH($F8,Rango_Admin_DailyPred_Primera,0)+1,0),"-")</f>
        <v>-</v>
      </c>
      <c r="AH8" s="429" t="str">
        <f ca="1">IFERROR(VLOOKUP(AH$2,Rango_Admin_DailyPred,MATCH($F8,Rango_Admin_DailyPred_Primera,0)+1,0),"-")</f>
        <v>-</v>
      </c>
      <c r="AI8" s="429" t="str">
        <f ca="1">IFERROR(VLOOKUP(AI$2,Rango_Admin_DailyPred,MATCH($F8,Rango_Admin_DailyPred_Primera,0)+1,0),"-")</f>
        <v>-</v>
      </c>
      <c r="AJ8" s="429" t="str">
        <f ca="1">IFERROR(VLOOKUP(AJ$2,Rango_Admin_DailyPred,MATCH($F8,Rango_Admin_DailyPred_Primera,0)+1,0),"-")</f>
        <v>-</v>
      </c>
      <c r="AK8" s="429" t="str">
        <f ca="1">IFERROR(VLOOKUP(AK$2,Rango_Admin_DailyPred,MATCH($F8,Rango_Admin_DailyPred_Primera,0)+1,0),"-")</f>
        <v>-</v>
      </c>
      <c r="AL8" s="429" t="str">
        <f ca="1">IFERROR(VLOOKUP(AL$2,Rango_Admin_DailyPred,MATCH($F8,Rango_Admin_DailyPred_Primera,0)+1,0),"-")</f>
        <v>-</v>
      </c>
      <c r="AM8" s="429" t="str">
        <f ca="1">IFERROR(VLOOKUP(AM$2,Rango_Admin_DailyPred,MATCH($F8,Rango_Admin_DailyPred_Primera,0)+1,0),"-")</f>
        <v>-</v>
      </c>
      <c r="AN8" s="297"/>
    </row>
    <row r="9" spans="1:40">
      <c r="A9" s="8" t="str" cm="1">
        <f t="array" aca="1" ref="A9" ca="1">IFERROR(INDEX(ADMIN!$K$6:$K$258,SMALL(IF(ADMIN!$G$6:$G$258=$K$1,ROW(ADMIN!$G$6:$G$258)-ROW(ADMIN!$G$6)+1),ROWS($A$1:A6))),"")</f>
        <v/>
      </c>
      <c r="B9" s="8"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C9" s="8">
        <v>6</v>
      </c>
      <c r="D9" s="90"/>
      <c r="E9" s="409">
        <f ca="1">IFERROR(HLOOKUP(C9,Rango_Admin_DailyClas,3,FALSE),"-")</f>
        <v>1</v>
      </c>
      <c r="F9" s="448" t="str">
        <f ca="1">IFERROR(HLOOKUP(C9,Rango_Admin_DailyClas,5,FALSE),"-")</f>
        <v>Carlos Murciano</v>
      </c>
      <c r="G9" s="22">
        <f ca="1">IFERROR(HLOOKUP(C9,Rango_Admin_DailyClas,4,FALSE),"-")</f>
        <v>4</v>
      </c>
      <c r="H9" s="429">
        <f ca="1">IFERROR(VLOOKUP(H$2,Rango_Admin_DailyPred,MATCH($F9,Rango_Admin_DailyPred_Primera,0)+1,0),"-")</f>
        <v>4</v>
      </c>
      <c r="I9" s="429" t="str">
        <f ca="1">IFERROR(VLOOKUP(I$2,Rango_Admin_DailyPred,MATCH($F9,Rango_Admin_DailyPred_Primera,0)+1,0),"-")</f>
        <v>-</v>
      </c>
      <c r="J9" s="429" t="str">
        <f ca="1">IFERROR(VLOOKUP(J$2,Rango_Admin_DailyPred,MATCH($F9,Rango_Admin_DailyPred_Primera,0)+1,0),"-")</f>
        <v>-</v>
      </c>
      <c r="K9" s="429" t="str">
        <f ca="1">IFERROR(VLOOKUP(K$2,Rango_Admin_DailyPred,MATCH($F9,Rango_Admin_DailyPred_Primera,0)+1,0),"-")</f>
        <v>-</v>
      </c>
      <c r="L9" s="429" t="str">
        <f ca="1">IFERROR(VLOOKUP(L$2,Rango_Admin_DailyPred,MATCH($F9,Rango_Admin_DailyPred_Primera,0)+1,0),"-")</f>
        <v>-</v>
      </c>
      <c r="M9" s="429" t="str">
        <f ca="1">IFERROR(VLOOKUP(M$2,Rango_Admin_DailyPred,MATCH($F9,Rango_Admin_DailyPred_Primera,0)+1,0),"-")</f>
        <v>-</v>
      </c>
      <c r="N9" s="429" t="str">
        <f ca="1">IFERROR(VLOOKUP(N$2,Rango_Admin_DailyPred,MATCH($F9,Rango_Admin_DailyPred_Primera,0)+1,0),"-")</f>
        <v>-</v>
      </c>
      <c r="O9" s="429" t="str">
        <f ca="1">IFERROR(VLOOKUP(O$2,Rango_Admin_DailyPred,MATCH($F9,Rango_Admin_DailyPred_Primera,0)+1,0),"-")</f>
        <v>-</v>
      </c>
      <c r="P9" s="429" t="str">
        <f ca="1">IFERROR(VLOOKUP(P$2,Rango_Admin_DailyPred,MATCH($F9,Rango_Admin_DailyPred_Primera,0)+1,0),"-")</f>
        <v>-</v>
      </c>
      <c r="Q9" s="429" t="str">
        <f ca="1">IFERROR(VLOOKUP(Q$2,Rango_Admin_DailyPred,MATCH($F9,Rango_Admin_DailyPred_Primera,0)+1,0),"-")</f>
        <v>-</v>
      </c>
      <c r="R9" s="429" t="str">
        <f ca="1">IFERROR(VLOOKUP(R$2,Rango_Admin_DailyPred,MATCH($F9,Rango_Admin_DailyPred_Primera,0)+1,0),"-")</f>
        <v>-</v>
      </c>
      <c r="S9" s="429" t="str">
        <f ca="1">IFERROR(VLOOKUP(S$2,Rango_Admin_DailyPred,MATCH($F9,Rango_Admin_DailyPred_Primera,0)+1,0),"-")</f>
        <v>-</v>
      </c>
      <c r="T9" s="429" t="str">
        <f ca="1">IFERROR(VLOOKUP(T$2,Rango_Admin_DailyPred,MATCH($F9,Rango_Admin_DailyPred_Primera,0)+1,0),"-")</f>
        <v>-</v>
      </c>
      <c r="U9" s="429" t="str">
        <f ca="1">IFERROR(VLOOKUP(U$2,Rango_Admin_DailyPred,MATCH($F9,Rango_Admin_DailyPred_Primera,0)+1,0),"-")</f>
        <v>-</v>
      </c>
      <c r="V9" s="429" t="str">
        <f ca="1">IFERROR(VLOOKUP(V$2,Rango_Admin_DailyPred,MATCH($F9,Rango_Admin_DailyPred_Primera,0)+1,0),"-")</f>
        <v>-</v>
      </c>
      <c r="W9" s="429" t="str">
        <f ca="1">IFERROR(VLOOKUP(W$2,Rango_Admin_DailyPred,MATCH($F9,Rango_Admin_DailyPred_Primera,0)+1,0),"-")</f>
        <v>-</v>
      </c>
      <c r="X9" s="429" t="str">
        <f ca="1">IFERROR(VLOOKUP(X$2,Rango_Admin_DailyPred,MATCH($F9,Rango_Admin_DailyPred_Primera,0)+1,0),"-")</f>
        <v>-</v>
      </c>
      <c r="Y9" s="429" t="str">
        <f ca="1">IFERROR(VLOOKUP(Y$2,Rango_Admin_DailyPred,MATCH($F9,Rango_Admin_DailyPred_Primera,0)+1,0),"-")</f>
        <v>-</v>
      </c>
      <c r="Z9" s="429" t="str">
        <f ca="1">IFERROR(VLOOKUP(Z$2,Rango_Admin_DailyPred,MATCH($F9,Rango_Admin_DailyPred_Primera,0)+1,0),"-")</f>
        <v>-</v>
      </c>
      <c r="AA9" s="429" t="str">
        <f ca="1">IFERROR(VLOOKUP(AA$2,Rango_Admin_DailyPred,MATCH($F9,Rango_Admin_DailyPred_Primera,0)+1,0),"-")</f>
        <v>-</v>
      </c>
      <c r="AB9" s="429" t="str">
        <f ca="1">IFERROR(VLOOKUP(AB$2,Rango_Admin_DailyPred,MATCH($F9,Rango_Admin_DailyPred_Primera,0)+1,0),"-")</f>
        <v>-</v>
      </c>
      <c r="AC9" s="429" t="str">
        <f ca="1">IFERROR(VLOOKUP(AC$2,Rango_Admin_DailyPred,MATCH($F9,Rango_Admin_DailyPred_Primera,0)+1,0),"-")</f>
        <v>-</v>
      </c>
      <c r="AD9" s="429" t="str">
        <f ca="1">IFERROR(VLOOKUP(AD$2,Rango_Admin_DailyPred,MATCH($F9,Rango_Admin_DailyPred_Primera,0)+1,0),"-")</f>
        <v>-</v>
      </c>
      <c r="AE9" s="429" t="str">
        <f ca="1">IFERROR(VLOOKUP(AE$2,Rango_Admin_DailyPred,MATCH($F9,Rango_Admin_DailyPred_Primera,0)+1,0),"-")</f>
        <v>-</v>
      </c>
      <c r="AF9" s="429" t="str">
        <f ca="1">IFERROR(VLOOKUP(AF$2,Rango_Admin_DailyPred,MATCH($F9,Rango_Admin_DailyPred_Primera,0)+1,0),"-")</f>
        <v>-</v>
      </c>
      <c r="AG9" s="429" t="str">
        <f ca="1">IFERROR(VLOOKUP(AG$2,Rango_Admin_DailyPred,MATCH($F9,Rango_Admin_DailyPred_Primera,0)+1,0),"-")</f>
        <v>-</v>
      </c>
      <c r="AH9" s="429" t="str">
        <f ca="1">IFERROR(VLOOKUP(AH$2,Rango_Admin_DailyPred,MATCH($F9,Rango_Admin_DailyPred_Primera,0)+1,0),"-")</f>
        <v>-</v>
      </c>
      <c r="AI9" s="429" t="str">
        <f ca="1">IFERROR(VLOOKUP(AI$2,Rango_Admin_DailyPred,MATCH($F9,Rango_Admin_DailyPred_Primera,0)+1,0),"-")</f>
        <v>-</v>
      </c>
      <c r="AJ9" s="429" t="str">
        <f ca="1">IFERROR(VLOOKUP(AJ$2,Rango_Admin_DailyPred,MATCH($F9,Rango_Admin_DailyPred_Primera,0)+1,0),"-")</f>
        <v>-</v>
      </c>
      <c r="AK9" s="429" t="str">
        <f ca="1">IFERROR(VLOOKUP(AK$2,Rango_Admin_DailyPred,MATCH($F9,Rango_Admin_DailyPred_Primera,0)+1,0),"-")</f>
        <v>-</v>
      </c>
      <c r="AL9" s="429" t="str">
        <f ca="1">IFERROR(VLOOKUP(AL$2,Rango_Admin_DailyPred,MATCH($F9,Rango_Admin_DailyPred_Primera,0)+1,0),"-")</f>
        <v>-</v>
      </c>
      <c r="AM9" s="429" t="str">
        <f ca="1">IFERROR(VLOOKUP(AM$2,Rango_Admin_DailyPred,MATCH($F9,Rango_Admin_DailyPred_Primera,0)+1,0),"-")</f>
        <v>-</v>
      </c>
      <c r="AN9" s="297"/>
    </row>
    <row r="10" spans="1:40">
      <c r="A10" s="8" t="str" cm="1">
        <f t="array" aca="1" ref="A10" ca="1">IFERROR(INDEX(ADMIN!$K$6:$K$258,SMALL(IF(ADMIN!$G$6:$G$258=$K$1,ROW(ADMIN!$G$6:$G$258)-ROW(ADMIN!$G$6)+1),ROWS($A$1:A7))),"")</f>
        <v/>
      </c>
      <c r="B10" s="8"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C10" s="8">
        <v>7</v>
      </c>
      <c r="D10" s="90"/>
      <c r="E10" s="409">
        <f ca="1">IFERROR(HLOOKUP(C10,Rango_Admin_DailyClas,3,FALSE),"-")</f>
        <v>1</v>
      </c>
      <c r="F10" s="448" t="str">
        <f ca="1">IFERROR(HLOOKUP(C10,Rango_Admin_DailyClas,5,FALSE),"-")</f>
        <v>Fercho Muro Matosex</v>
      </c>
      <c r="G10" s="22">
        <f ca="1">IFERROR(HLOOKUP(C10,Rango_Admin_DailyClas,4,FALSE),"-")</f>
        <v>4</v>
      </c>
      <c r="H10" s="429">
        <f ca="1">IFERROR(VLOOKUP(H$2,Rango_Admin_DailyPred,MATCH($F10,Rango_Admin_DailyPred_Primera,0)+1,0),"-")</f>
        <v>4</v>
      </c>
      <c r="I10" s="429" t="str">
        <f ca="1">IFERROR(VLOOKUP(I$2,Rango_Admin_DailyPred,MATCH($F10,Rango_Admin_DailyPred_Primera,0)+1,0),"-")</f>
        <v>-</v>
      </c>
      <c r="J10" s="429" t="str">
        <f ca="1">IFERROR(VLOOKUP(J$2,Rango_Admin_DailyPred,MATCH($F10,Rango_Admin_DailyPred_Primera,0)+1,0),"-")</f>
        <v>-</v>
      </c>
      <c r="K10" s="429" t="str">
        <f ca="1">IFERROR(VLOOKUP(K$2,Rango_Admin_DailyPred,MATCH($F10,Rango_Admin_DailyPred_Primera,0)+1,0),"-")</f>
        <v>-</v>
      </c>
      <c r="L10" s="429" t="str">
        <f ca="1">IFERROR(VLOOKUP(L$2,Rango_Admin_DailyPred,MATCH($F10,Rango_Admin_DailyPred_Primera,0)+1,0),"-")</f>
        <v>-</v>
      </c>
      <c r="M10" s="429" t="str">
        <f ca="1">IFERROR(VLOOKUP(M$2,Rango_Admin_DailyPred,MATCH($F10,Rango_Admin_DailyPred_Primera,0)+1,0),"-")</f>
        <v>-</v>
      </c>
      <c r="N10" s="429" t="str">
        <f ca="1">IFERROR(VLOOKUP(N$2,Rango_Admin_DailyPred,MATCH($F10,Rango_Admin_DailyPred_Primera,0)+1,0),"-")</f>
        <v>-</v>
      </c>
      <c r="O10" s="429" t="str">
        <f ca="1">IFERROR(VLOOKUP(O$2,Rango_Admin_DailyPred,MATCH($F10,Rango_Admin_DailyPred_Primera,0)+1,0),"-")</f>
        <v>-</v>
      </c>
      <c r="P10" s="429" t="str">
        <f ca="1">IFERROR(VLOOKUP(P$2,Rango_Admin_DailyPred,MATCH($F10,Rango_Admin_DailyPred_Primera,0)+1,0),"-")</f>
        <v>-</v>
      </c>
      <c r="Q10" s="429" t="str">
        <f ca="1">IFERROR(VLOOKUP(Q$2,Rango_Admin_DailyPred,MATCH($F10,Rango_Admin_DailyPred_Primera,0)+1,0),"-")</f>
        <v>-</v>
      </c>
      <c r="R10" s="429" t="str">
        <f ca="1">IFERROR(VLOOKUP(R$2,Rango_Admin_DailyPred,MATCH($F10,Rango_Admin_DailyPred_Primera,0)+1,0),"-")</f>
        <v>-</v>
      </c>
      <c r="S10" s="429" t="str">
        <f ca="1">IFERROR(VLOOKUP(S$2,Rango_Admin_DailyPred,MATCH($F10,Rango_Admin_DailyPred_Primera,0)+1,0),"-")</f>
        <v>-</v>
      </c>
      <c r="T10" s="429" t="str">
        <f ca="1">IFERROR(VLOOKUP(T$2,Rango_Admin_DailyPred,MATCH($F10,Rango_Admin_DailyPred_Primera,0)+1,0),"-")</f>
        <v>-</v>
      </c>
      <c r="U10" s="429" t="str">
        <f ca="1">IFERROR(VLOOKUP(U$2,Rango_Admin_DailyPred,MATCH($F10,Rango_Admin_DailyPred_Primera,0)+1,0),"-")</f>
        <v>-</v>
      </c>
      <c r="V10" s="429" t="str">
        <f ca="1">IFERROR(VLOOKUP(V$2,Rango_Admin_DailyPred,MATCH($F10,Rango_Admin_DailyPred_Primera,0)+1,0),"-")</f>
        <v>-</v>
      </c>
      <c r="W10" s="429" t="str">
        <f ca="1">IFERROR(VLOOKUP(W$2,Rango_Admin_DailyPred,MATCH($F10,Rango_Admin_DailyPred_Primera,0)+1,0),"-")</f>
        <v>-</v>
      </c>
      <c r="X10" s="429" t="str">
        <f ca="1">IFERROR(VLOOKUP(X$2,Rango_Admin_DailyPred,MATCH($F10,Rango_Admin_DailyPred_Primera,0)+1,0),"-")</f>
        <v>-</v>
      </c>
      <c r="Y10" s="429" t="str">
        <f ca="1">IFERROR(VLOOKUP(Y$2,Rango_Admin_DailyPred,MATCH($F10,Rango_Admin_DailyPred_Primera,0)+1,0),"-")</f>
        <v>-</v>
      </c>
      <c r="Z10" s="429" t="str">
        <f ca="1">IFERROR(VLOOKUP(Z$2,Rango_Admin_DailyPred,MATCH($F10,Rango_Admin_DailyPred_Primera,0)+1,0),"-")</f>
        <v>-</v>
      </c>
      <c r="AA10" s="429" t="str">
        <f ca="1">IFERROR(VLOOKUP(AA$2,Rango_Admin_DailyPred,MATCH($F10,Rango_Admin_DailyPred_Primera,0)+1,0),"-")</f>
        <v>-</v>
      </c>
      <c r="AB10" s="429" t="str">
        <f ca="1">IFERROR(VLOOKUP(AB$2,Rango_Admin_DailyPred,MATCH($F10,Rango_Admin_DailyPred_Primera,0)+1,0),"-")</f>
        <v>-</v>
      </c>
      <c r="AC10" s="429" t="str">
        <f ca="1">IFERROR(VLOOKUP(AC$2,Rango_Admin_DailyPred,MATCH($F10,Rango_Admin_DailyPred_Primera,0)+1,0),"-")</f>
        <v>-</v>
      </c>
      <c r="AD10" s="429" t="str">
        <f ca="1">IFERROR(VLOOKUP(AD$2,Rango_Admin_DailyPred,MATCH($F10,Rango_Admin_DailyPred_Primera,0)+1,0),"-")</f>
        <v>-</v>
      </c>
      <c r="AE10" s="429" t="str">
        <f ca="1">IFERROR(VLOOKUP(AE$2,Rango_Admin_DailyPred,MATCH($F10,Rango_Admin_DailyPred_Primera,0)+1,0),"-")</f>
        <v>-</v>
      </c>
      <c r="AF10" s="429" t="str">
        <f ca="1">IFERROR(VLOOKUP(AF$2,Rango_Admin_DailyPred,MATCH($F10,Rango_Admin_DailyPred_Primera,0)+1,0),"-")</f>
        <v>-</v>
      </c>
      <c r="AG10" s="429" t="str">
        <f ca="1">IFERROR(VLOOKUP(AG$2,Rango_Admin_DailyPred,MATCH($F10,Rango_Admin_DailyPred_Primera,0)+1,0),"-")</f>
        <v>-</v>
      </c>
      <c r="AH10" s="429" t="str">
        <f ca="1">IFERROR(VLOOKUP(AH$2,Rango_Admin_DailyPred,MATCH($F10,Rango_Admin_DailyPred_Primera,0)+1,0),"-")</f>
        <v>-</v>
      </c>
      <c r="AI10" s="429" t="str">
        <f ca="1">IFERROR(VLOOKUP(AI$2,Rango_Admin_DailyPred,MATCH($F10,Rango_Admin_DailyPred_Primera,0)+1,0),"-")</f>
        <v>-</v>
      </c>
      <c r="AJ10" s="429" t="str">
        <f ca="1">IFERROR(VLOOKUP(AJ$2,Rango_Admin_DailyPred,MATCH($F10,Rango_Admin_DailyPred_Primera,0)+1,0),"-")</f>
        <v>-</v>
      </c>
      <c r="AK10" s="429" t="str">
        <f ca="1">IFERROR(VLOOKUP(AK$2,Rango_Admin_DailyPred,MATCH($F10,Rango_Admin_DailyPred_Primera,0)+1,0),"-")</f>
        <v>-</v>
      </c>
      <c r="AL10" s="429" t="str">
        <f ca="1">IFERROR(VLOOKUP(AL$2,Rango_Admin_DailyPred,MATCH($F10,Rango_Admin_DailyPred_Primera,0)+1,0),"-")</f>
        <v>-</v>
      </c>
      <c r="AM10" s="429" t="str">
        <f ca="1">IFERROR(VLOOKUP(AM$2,Rango_Admin_DailyPred,MATCH($F10,Rango_Admin_DailyPred_Primera,0)+1,0),"-")</f>
        <v>-</v>
      </c>
      <c r="AN10" s="297"/>
    </row>
    <row r="11" spans="1:40">
      <c r="A11" s="8" t="str" cm="1">
        <f t="array" aca="1" ref="A11" ca="1">IFERROR(INDEX(ADMIN!$K$6:$K$258,SMALL(IF(ADMIN!$G$6:$G$258=$K$1,ROW(ADMIN!$G$6:$G$258)-ROW(ADMIN!$G$6)+1),ROWS($A$1:A8))),"")</f>
        <v/>
      </c>
      <c r="B11" s="8"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C11" s="8">
        <v>8</v>
      </c>
      <c r="D11" s="90"/>
      <c r="E11" s="409">
        <f ca="1">IFERROR(HLOOKUP(C11,Rango_Admin_DailyClas,3,FALSE),"-")</f>
        <v>1</v>
      </c>
      <c r="F11" s="448" t="str">
        <f ca="1">IFERROR(HLOOKUP(C11,Rango_Admin_DailyClas,5,FALSE),"-")</f>
        <v>JCU</v>
      </c>
      <c r="G11" s="22">
        <f ca="1">IFERROR(HLOOKUP(C11,Rango_Admin_DailyClas,4,FALSE),"-")</f>
        <v>4</v>
      </c>
      <c r="H11" s="429">
        <f ca="1">IFERROR(VLOOKUP(H$2,Rango_Admin_DailyPred,MATCH($F11,Rango_Admin_DailyPred_Primera,0)+1,0),"-")</f>
        <v>4</v>
      </c>
      <c r="I11" s="429" t="str">
        <f ca="1">IFERROR(VLOOKUP(I$2,Rango_Admin_DailyPred,MATCH($F11,Rango_Admin_DailyPred_Primera,0)+1,0),"-")</f>
        <v>-</v>
      </c>
      <c r="J11" s="429" t="str">
        <f ca="1">IFERROR(VLOOKUP(J$2,Rango_Admin_DailyPred,MATCH($F11,Rango_Admin_DailyPred_Primera,0)+1,0),"-")</f>
        <v>-</v>
      </c>
      <c r="K11" s="429" t="str">
        <f ca="1">IFERROR(VLOOKUP(K$2,Rango_Admin_DailyPred,MATCH($F11,Rango_Admin_DailyPred_Primera,0)+1,0),"-")</f>
        <v>-</v>
      </c>
      <c r="L11" s="429" t="str">
        <f ca="1">IFERROR(VLOOKUP(L$2,Rango_Admin_DailyPred,MATCH($F11,Rango_Admin_DailyPred_Primera,0)+1,0),"-")</f>
        <v>-</v>
      </c>
      <c r="M11" s="429" t="str">
        <f ca="1">IFERROR(VLOOKUP(M$2,Rango_Admin_DailyPred,MATCH($F11,Rango_Admin_DailyPred_Primera,0)+1,0),"-")</f>
        <v>-</v>
      </c>
      <c r="N11" s="429" t="str">
        <f ca="1">IFERROR(VLOOKUP(N$2,Rango_Admin_DailyPred,MATCH($F11,Rango_Admin_DailyPred_Primera,0)+1,0),"-")</f>
        <v>-</v>
      </c>
      <c r="O11" s="429" t="str">
        <f ca="1">IFERROR(VLOOKUP(O$2,Rango_Admin_DailyPred,MATCH($F11,Rango_Admin_DailyPred_Primera,0)+1,0),"-")</f>
        <v>-</v>
      </c>
      <c r="P11" s="429" t="str">
        <f ca="1">IFERROR(VLOOKUP(P$2,Rango_Admin_DailyPred,MATCH($F11,Rango_Admin_DailyPred_Primera,0)+1,0),"-")</f>
        <v>-</v>
      </c>
      <c r="Q11" s="429" t="str">
        <f ca="1">IFERROR(VLOOKUP(Q$2,Rango_Admin_DailyPred,MATCH($F11,Rango_Admin_DailyPred_Primera,0)+1,0),"-")</f>
        <v>-</v>
      </c>
      <c r="R11" s="429" t="str">
        <f ca="1">IFERROR(VLOOKUP(R$2,Rango_Admin_DailyPred,MATCH($F11,Rango_Admin_DailyPred_Primera,0)+1,0),"-")</f>
        <v>-</v>
      </c>
      <c r="S11" s="429" t="str">
        <f ca="1">IFERROR(VLOOKUP(S$2,Rango_Admin_DailyPred,MATCH($F11,Rango_Admin_DailyPred_Primera,0)+1,0),"-")</f>
        <v>-</v>
      </c>
      <c r="T11" s="429" t="str">
        <f ca="1">IFERROR(VLOOKUP(T$2,Rango_Admin_DailyPred,MATCH($F11,Rango_Admin_DailyPred_Primera,0)+1,0),"-")</f>
        <v>-</v>
      </c>
      <c r="U11" s="429" t="str">
        <f ca="1">IFERROR(VLOOKUP(U$2,Rango_Admin_DailyPred,MATCH($F11,Rango_Admin_DailyPred_Primera,0)+1,0),"-")</f>
        <v>-</v>
      </c>
      <c r="V11" s="429" t="str">
        <f ca="1">IFERROR(VLOOKUP(V$2,Rango_Admin_DailyPred,MATCH($F11,Rango_Admin_DailyPred_Primera,0)+1,0),"-")</f>
        <v>-</v>
      </c>
      <c r="W11" s="429" t="str">
        <f ca="1">IFERROR(VLOOKUP(W$2,Rango_Admin_DailyPred,MATCH($F11,Rango_Admin_DailyPred_Primera,0)+1,0),"-")</f>
        <v>-</v>
      </c>
      <c r="X11" s="429" t="str">
        <f ca="1">IFERROR(VLOOKUP(X$2,Rango_Admin_DailyPred,MATCH($F11,Rango_Admin_DailyPred_Primera,0)+1,0),"-")</f>
        <v>-</v>
      </c>
      <c r="Y11" s="429" t="str">
        <f ca="1">IFERROR(VLOOKUP(Y$2,Rango_Admin_DailyPred,MATCH($F11,Rango_Admin_DailyPred_Primera,0)+1,0),"-")</f>
        <v>-</v>
      </c>
      <c r="Z11" s="429" t="str">
        <f ca="1">IFERROR(VLOOKUP(Z$2,Rango_Admin_DailyPred,MATCH($F11,Rango_Admin_DailyPred_Primera,0)+1,0),"-")</f>
        <v>-</v>
      </c>
      <c r="AA11" s="429" t="str">
        <f ca="1">IFERROR(VLOOKUP(AA$2,Rango_Admin_DailyPred,MATCH($F11,Rango_Admin_DailyPred_Primera,0)+1,0),"-")</f>
        <v>-</v>
      </c>
      <c r="AB11" s="429" t="str">
        <f ca="1">IFERROR(VLOOKUP(AB$2,Rango_Admin_DailyPred,MATCH($F11,Rango_Admin_DailyPred_Primera,0)+1,0),"-")</f>
        <v>-</v>
      </c>
      <c r="AC11" s="429" t="str">
        <f ca="1">IFERROR(VLOOKUP(AC$2,Rango_Admin_DailyPred,MATCH($F11,Rango_Admin_DailyPred_Primera,0)+1,0),"-")</f>
        <v>-</v>
      </c>
      <c r="AD11" s="429" t="str">
        <f ca="1">IFERROR(VLOOKUP(AD$2,Rango_Admin_DailyPred,MATCH($F11,Rango_Admin_DailyPred_Primera,0)+1,0),"-")</f>
        <v>-</v>
      </c>
      <c r="AE11" s="429" t="str">
        <f ca="1">IFERROR(VLOOKUP(AE$2,Rango_Admin_DailyPred,MATCH($F11,Rango_Admin_DailyPred_Primera,0)+1,0),"-")</f>
        <v>-</v>
      </c>
      <c r="AF11" s="429" t="str">
        <f ca="1">IFERROR(VLOOKUP(AF$2,Rango_Admin_DailyPred,MATCH($F11,Rango_Admin_DailyPred_Primera,0)+1,0),"-")</f>
        <v>-</v>
      </c>
      <c r="AG11" s="429" t="str">
        <f ca="1">IFERROR(VLOOKUP(AG$2,Rango_Admin_DailyPred,MATCH($F11,Rango_Admin_DailyPred_Primera,0)+1,0),"-")</f>
        <v>-</v>
      </c>
      <c r="AH11" s="429" t="str">
        <f ca="1">IFERROR(VLOOKUP(AH$2,Rango_Admin_DailyPred,MATCH($F11,Rango_Admin_DailyPred_Primera,0)+1,0),"-")</f>
        <v>-</v>
      </c>
      <c r="AI11" s="429" t="str">
        <f ca="1">IFERROR(VLOOKUP(AI$2,Rango_Admin_DailyPred,MATCH($F11,Rango_Admin_DailyPred_Primera,0)+1,0),"-")</f>
        <v>-</v>
      </c>
      <c r="AJ11" s="429" t="str">
        <f ca="1">IFERROR(VLOOKUP(AJ$2,Rango_Admin_DailyPred,MATCH($F11,Rango_Admin_DailyPred_Primera,0)+1,0),"-")</f>
        <v>-</v>
      </c>
      <c r="AK11" s="429" t="str">
        <f ca="1">IFERROR(VLOOKUP(AK$2,Rango_Admin_DailyPred,MATCH($F11,Rango_Admin_DailyPred_Primera,0)+1,0),"-")</f>
        <v>-</v>
      </c>
      <c r="AL11" s="429" t="str">
        <f ca="1">IFERROR(VLOOKUP(AL$2,Rango_Admin_DailyPred,MATCH($F11,Rango_Admin_DailyPred_Primera,0)+1,0),"-")</f>
        <v>-</v>
      </c>
      <c r="AM11" s="429" t="str">
        <f ca="1">IFERROR(VLOOKUP(AM$2,Rango_Admin_DailyPred,MATCH($F11,Rango_Admin_DailyPred_Primera,0)+1,0),"-")</f>
        <v>-</v>
      </c>
      <c r="AN11" s="297"/>
    </row>
    <row r="12" spans="1:40">
      <c r="A12" s="8" t="str" cm="1">
        <f t="array" aca="1" ref="A12" ca="1">IFERROR(INDEX(ADMIN!$K$6:$K$258,SMALL(IF(ADMIN!$G$6:$G$258=$K$1,ROW(ADMIN!$G$6:$G$258)-ROW(ADMIN!$G$6)+1),ROWS($A$1:A9))),"")</f>
        <v/>
      </c>
      <c r="B12" s="8"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C12" s="8">
        <v>9</v>
      </c>
      <c r="D12" s="90"/>
      <c r="E12" s="409">
        <f ca="1">IFERROR(HLOOKUP(C12,Rango_Admin_DailyClas,3,FALSE),"-")</f>
        <v>1</v>
      </c>
      <c r="F12" s="448" t="str">
        <f ca="1">IFERROR(HLOOKUP(C12,Rango_Admin_DailyClas,5,FALSE),"-")</f>
        <v>Joserra</v>
      </c>
      <c r="G12" s="22">
        <f ca="1">IFERROR(HLOOKUP(C12,Rango_Admin_DailyClas,4,FALSE),"-")</f>
        <v>4</v>
      </c>
      <c r="H12" s="429">
        <f ca="1">IFERROR(VLOOKUP(H$2,Rango_Admin_DailyPred,MATCH($F12,Rango_Admin_DailyPred_Primera,0)+1,0),"-")</f>
        <v>4</v>
      </c>
      <c r="I12" s="429" t="str">
        <f ca="1">IFERROR(VLOOKUP(I$2,Rango_Admin_DailyPred,MATCH($F12,Rango_Admin_DailyPred_Primera,0)+1,0),"-")</f>
        <v>-</v>
      </c>
      <c r="J12" s="429" t="str">
        <f ca="1">IFERROR(VLOOKUP(J$2,Rango_Admin_DailyPred,MATCH($F12,Rango_Admin_DailyPred_Primera,0)+1,0),"-")</f>
        <v>-</v>
      </c>
      <c r="K12" s="429" t="str">
        <f ca="1">IFERROR(VLOOKUP(K$2,Rango_Admin_DailyPred,MATCH($F12,Rango_Admin_DailyPred_Primera,0)+1,0),"-")</f>
        <v>-</v>
      </c>
      <c r="L12" s="429" t="str">
        <f ca="1">IFERROR(VLOOKUP(L$2,Rango_Admin_DailyPred,MATCH($F12,Rango_Admin_DailyPred_Primera,0)+1,0),"-")</f>
        <v>-</v>
      </c>
      <c r="M12" s="429" t="str">
        <f ca="1">IFERROR(VLOOKUP(M$2,Rango_Admin_DailyPred,MATCH($F12,Rango_Admin_DailyPred_Primera,0)+1,0),"-")</f>
        <v>-</v>
      </c>
      <c r="N12" s="429" t="str">
        <f ca="1">IFERROR(VLOOKUP(N$2,Rango_Admin_DailyPred,MATCH($F12,Rango_Admin_DailyPred_Primera,0)+1,0),"-")</f>
        <v>-</v>
      </c>
      <c r="O12" s="429" t="str">
        <f ca="1">IFERROR(VLOOKUP(O$2,Rango_Admin_DailyPred,MATCH($F12,Rango_Admin_DailyPred_Primera,0)+1,0),"-")</f>
        <v>-</v>
      </c>
      <c r="P12" s="429" t="str">
        <f ca="1">IFERROR(VLOOKUP(P$2,Rango_Admin_DailyPred,MATCH($F12,Rango_Admin_DailyPred_Primera,0)+1,0),"-")</f>
        <v>-</v>
      </c>
      <c r="Q12" s="429" t="str">
        <f ca="1">IFERROR(VLOOKUP(Q$2,Rango_Admin_DailyPred,MATCH($F12,Rango_Admin_DailyPred_Primera,0)+1,0),"-")</f>
        <v>-</v>
      </c>
      <c r="R12" s="429" t="str">
        <f ca="1">IFERROR(VLOOKUP(R$2,Rango_Admin_DailyPred,MATCH($F12,Rango_Admin_DailyPred_Primera,0)+1,0),"-")</f>
        <v>-</v>
      </c>
      <c r="S12" s="429" t="str">
        <f ca="1">IFERROR(VLOOKUP(S$2,Rango_Admin_DailyPred,MATCH($F12,Rango_Admin_DailyPred_Primera,0)+1,0),"-")</f>
        <v>-</v>
      </c>
      <c r="T12" s="429" t="str">
        <f ca="1">IFERROR(VLOOKUP(T$2,Rango_Admin_DailyPred,MATCH($F12,Rango_Admin_DailyPred_Primera,0)+1,0),"-")</f>
        <v>-</v>
      </c>
      <c r="U12" s="429" t="str">
        <f ca="1">IFERROR(VLOOKUP(U$2,Rango_Admin_DailyPred,MATCH($F12,Rango_Admin_DailyPred_Primera,0)+1,0),"-")</f>
        <v>-</v>
      </c>
      <c r="V12" s="429" t="str">
        <f ca="1">IFERROR(VLOOKUP(V$2,Rango_Admin_DailyPred,MATCH($F12,Rango_Admin_DailyPred_Primera,0)+1,0),"-")</f>
        <v>-</v>
      </c>
      <c r="W12" s="429" t="str">
        <f ca="1">IFERROR(VLOOKUP(W$2,Rango_Admin_DailyPred,MATCH($F12,Rango_Admin_DailyPred_Primera,0)+1,0),"-")</f>
        <v>-</v>
      </c>
      <c r="X12" s="429" t="str">
        <f ca="1">IFERROR(VLOOKUP(X$2,Rango_Admin_DailyPred,MATCH($F12,Rango_Admin_DailyPred_Primera,0)+1,0),"-")</f>
        <v>-</v>
      </c>
      <c r="Y12" s="429" t="str">
        <f ca="1">IFERROR(VLOOKUP(Y$2,Rango_Admin_DailyPred,MATCH($F12,Rango_Admin_DailyPred_Primera,0)+1,0),"-")</f>
        <v>-</v>
      </c>
      <c r="Z12" s="429" t="str">
        <f ca="1">IFERROR(VLOOKUP(Z$2,Rango_Admin_DailyPred,MATCH($F12,Rango_Admin_DailyPred_Primera,0)+1,0),"-")</f>
        <v>-</v>
      </c>
      <c r="AA12" s="429" t="str">
        <f ca="1">IFERROR(VLOOKUP(AA$2,Rango_Admin_DailyPred,MATCH($F12,Rango_Admin_DailyPred_Primera,0)+1,0),"-")</f>
        <v>-</v>
      </c>
      <c r="AB12" s="429" t="str">
        <f ca="1">IFERROR(VLOOKUP(AB$2,Rango_Admin_DailyPred,MATCH($F12,Rango_Admin_DailyPred_Primera,0)+1,0),"-")</f>
        <v>-</v>
      </c>
      <c r="AC12" s="429" t="str">
        <f ca="1">IFERROR(VLOOKUP(AC$2,Rango_Admin_DailyPred,MATCH($F12,Rango_Admin_DailyPred_Primera,0)+1,0),"-")</f>
        <v>-</v>
      </c>
      <c r="AD12" s="429" t="str">
        <f ca="1">IFERROR(VLOOKUP(AD$2,Rango_Admin_DailyPred,MATCH($F12,Rango_Admin_DailyPred_Primera,0)+1,0),"-")</f>
        <v>-</v>
      </c>
      <c r="AE12" s="429" t="str">
        <f ca="1">IFERROR(VLOOKUP(AE$2,Rango_Admin_DailyPred,MATCH($F12,Rango_Admin_DailyPred_Primera,0)+1,0),"-")</f>
        <v>-</v>
      </c>
      <c r="AF12" s="429" t="str">
        <f ca="1">IFERROR(VLOOKUP(AF$2,Rango_Admin_DailyPred,MATCH($F12,Rango_Admin_DailyPred_Primera,0)+1,0),"-")</f>
        <v>-</v>
      </c>
      <c r="AG12" s="429" t="str">
        <f ca="1">IFERROR(VLOOKUP(AG$2,Rango_Admin_DailyPred,MATCH($F12,Rango_Admin_DailyPred_Primera,0)+1,0),"-")</f>
        <v>-</v>
      </c>
      <c r="AH12" s="429" t="str">
        <f ca="1">IFERROR(VLOOKUP(AH$2,Rango_Admin_DailyPred,MATCH($F12,Rango_Admin_DailyPred_Primera,0)+1,0),"-")</f>
        <v>-</v>
      </c>
      <c r="AI12" s="429" t="str">
        <f ca="1">IFERROR(VLOOKUP(AI$2,Rango_Admin_DailyPred,MATCH($F12,Rango_Admin_DailyPred_Primera,0)+1,0),"-")</f>
        <v>-</v>
      </c>
      <c r="AJ12" s="429" t="str">
        <f ca="1">IFERROR(VLOOKUP(AJ$2,Rango_Admin_DailyPred,MATCH($F12,Rango_Admin_DailyPred_Primera,0)+1,0),"-")</f>
        <v>-</v>
      </c>
      <c r="AK12" s="429" t="str">
        <f ca="1">IFERROR(VLOOKUP(AK$2,Rango_Admin_DailyPred,MATCH($F12,Rango_Admin_DailyPred_Primera,0)+1,0),"-")</f>
        <v>-</v>
      </c>
      <c r="AL12" s="429" t="str">
        <f ca="1">IFERROR(VLOOKUP(AL$2,Rango_Admin_DailyPred,MATCH($F12,Rango_Admin_DailyPred_Primera,0)+1,0),"-")</f>
        <v>-</v>
      </c>
      <c r="AM12" s="429" t="str">
        <f ca="1">IFERROR(VLOOKUP(AM$2,Rango_Admin_DailyPred,MATCH($F12,Rango_Admin_DailyPred_Primera,0)+1,0),"-")</f>
        <v>-</v>
      </c>
      <c r="AN12" s="297"/>
    </row>
    <row r="13" spans="1:40">
      <c r="A13" s="8" t="str" cm="1">
        <f t="array" aca="1" ref="A13" ca="1">IFERROR(INDEX(ADMIN!$K$6:$K$258,SMALL(IF(ADMIN!$G$6:$G$258=$K$1,ROW(ADMIN!$G$6:$G$258)-ROW(ADMIN!$G$6)+1),ROWS($A$1:A10))),"")</f>
        <v/>
      </c>
      <c r="B13" s="8"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C13" s="8">
        <v>10</v>
      </c>
      <c r="D13" s="90"/>
      <c r="E13" s="409">
        <f ca="1">IFERROR(HLOOKUP(C13,Rango_Admin_DailyClas,3,FALSE),"-")</f>
        <v>1</v>
      </c>
      <c r="F13" s="448" t="str">
        <f ca="1">IFERROR(HLOOKUP(C13,Rango_Admin_DailyClas,5,FALSE),"-")</f>
        <v>Antonio del Ojo</v>
      </c>
      <c r="G13" s="22">
        <f ca="1">IFERROR(HLOOKUP(C13,Rango_Admin_DailyClas,4,FALSE),"-")</f>
        <v>4</v>
      </c>
      <c r="H13" s="429">
        <f ca="1">IFERROR(VLOOKUP(H$2,Rango_Admin_DailyPred,MATCH($F13,Rango_Admin_DailyPred_Primera,0)+1,0),"-")</f>
        <v>4</v>
      </c>
      <c r="I13" s="429" t="str">
        <f ca="1">IFERROR(VLOOKUP(I$2,Rango_Admin_DailyPred,MATCH($F13,Rango_Admin_DailyPred_Primera,0)+1,0),"-")</f>
        <v>-</v>
      </c>
      <c r="J13" s="429" t="str">
        <f ca="1">IFERROR(VLOOKUP(J$2,Rango_Admin_DailyPred,MATCH($F13,Rango_Admin_DailyPred_Primera,0)+1,0),"-")</f>
        <v>-</v>
      </c>
      <c r="K13" s="429" t="str">
        <f ca="1">IFERROR(VLOOKUP(K$2,Rango_Admin_DailyPred,MATCH($F13,Rango_Admin_DailyPred_Primera,0)+1,0),"-")</f>
        <v>-</v>
      </c>
      <c r="L13" s="429" t="str">
        <f ca="1">IFERROR(VLOOKUP(L$2,Rango_Admin_DailyPred,MATCH($F13,Rango_Admin_DailyPred_Primera,0)+1,0),"-")</f>
        <v>-</v>
      </c>
      <c r="M13" s="429" t="str">
        <f ca="1">IFERROR(VLOOKUP(M$2,Rango_Admin_DailyPred,MATCH($F13,Rango_Admin_DailyPred_Primera,0)+1,0),"-")</f>
        <v>-</v>
      </c>
      <c r="N13" s="429" t="str">
        <f ca="1">IFERROR(VLOOKUP(N$2,Rango_Admin_DailyPred,MATCH($F13,Rango_Admin_DailyPred_Primera,0)+1,0),"-")</f>
        <v>-</v>
      </c>
      <c r="O13" s="429" t="str">
        <f ca="1">IFERROR(VLOOKUP(O$2,Rango_Admin_DailyPred,MATCH($F13,Rango_Admin_DailyPred_Primera,0)+1,0),"-")</f>
        <v>-</v>
      </c>
      <c r="P13" s="429" t="str">
        <f ca="1">IFERROR(VLOOKUP(P$2,Rango_Admin_DailyPred,MATCH($F13,Rango_Admin_DailyPred_Primera,0)+1,0),"-")</f>
        <v>-</v>
      </c>
      <c r="Q13" s="429" t="str">
        <f ca="1">IFERROR(VLOOKUP(Q$2,Rango_Admin_DailyPred,MATCH($F13,Rango_Admin_DailyPred_Primera,0)+1,0),"-")</f>
        <v>-</v>
      </c>
      <c r="R13" s="429" t="str">
        <f ca="1">IFERROR(VLOOKUP(R$2,Rango_Admin_DailyPred,MATCH($F13,Rango_Admin_DailyPred_Primera,0)+1,0),"-")</f>
        <v>-</v>
      </c>
      <c r="S13" s="429" t="str">
        <f ca="1">IFERROR(VLOOKUP(S$2,Rango_Admin_DailyPred,MATCH($F13,Rango_Admin_DailyPred_Primera,0)+1,0),"-")</f>
        <v>-</v>
      </c>
      <c r="T13" s="429" t="str">
        <f ca="1">IFERROR(VLOOKUP(T$2,Rango_Admin_DailyPred,MATCH($F13,Rango_Admin_DailyPred_Primera,0)+1,0),"-")</f>
        <v>-</v>
      </c>
      <c r="U13" s="429" t="str">
        <f ca="1">IFERROR(VLOOKUP(U$2,Rango_Admin_DailyPred,MATCH($F13,Rango_Admin_DailyPred_Primera,0)+1,0),"-")</f>
        <v>-</v>
      </c>
      <c r="V13" s="429" t="str">
        <f ca="1">IFERROR(VLOOKUP(V$2,Rango_Admin_DailyPred,MATCH($F13,Rango_Admin_DailyPred_Primera,0)+1,0),"-")</f>
        <v>-</v>
      </c>
      <c r="W13" s="429" t="str">
        <f ca="1">IFERROR(VLOOKUP(W$2,Rango_Admin_DailyPred,MATCH($F13,Rango_Admin_DailyPred_Primera,0)+1,0),"-")</f>
        <v>-</v>
      </c>
      <c r="X13" s="429" t="str">
        <f ca="1">IFERROR(VLOOKUP(X$2,Rango_Admin_DailyPred,MATCH($F13,Rango_Admin_DailyPred_Primera,0)+1,0),"-")</f>
        <v>-</v>
      </c>
      <c r="Y13" s="429" t="str">
        <f ca="1">IFERROR(VLOOKUP(Y$2,Rango_Admin_DailyPred,MATCH($F13,Rango_Admin_DailyPred_Primera,0)+1,0),"-")</f>
        <v>-</v>
      </c>
      <c r="Z13" s="429" t="str">
        <f ca="1">IFERROR(VLOOKUP(Z$2,Rango_Admin_DailyPred,MATCH($F13,Rango_Admin_DailyPred_Primera,0)+1,0),"-")</f>
        <v>-</v>
      </c>
      <c r="AA13" s="429" t="str">
        <f ca="1">IFERROR(VLOOKUP(AA$2,Rango_Admin_DailyPred,MATCH($F13,Rango_Admin_DailyPred_Primera,0)+1,0),"-")</f>
        <v>-</v>
      </c>
      <c r="AB13" s="429" t="str">
        <f ca="1">IFERROR(VLOOKUP(AB$2,Rango_Admin_DailyPred,MATCH($F13,Rango_Admin_DailyPred_Primera,0)+1,0),"-")</f>
        <v>-</v>
      </c>
      <c r="AC13" s="429" t="str">
        <f ca="1">IFERROR(VLOOKUP(AC$2,Rango_Admin_DailyPred,MATCH($F13,Rango_Admin_DailyPred_Primera,0)+1,0),"-")</f>
        <v>-</v>
      </c>
      <c r="AD13" s="429" t="str">
        <f ca="1">IFERROR(VLOOKUP(AD$2,Rango_Admin_DailyPred,MATCH($F13,Rango_Admin_DailyPred_Primera,0)+1,0),"-")</f>
        <v>-</v>
      </c>
      <c r="AE13" s="429" t="str">
        <f ca="1">IFERROR(VLOOKUP(AE$2,Rango_Admin_DailyPred,MATCH($F13,Rango_Admin_DailyPred_Primera,0)+1,0),"-")</f>
        <v>-</v>
      </c>
      <c r="AF13" s="429" t="str">
        <f ca="1">IFERROR(VLOOKUP(AF$2,Rango_Admin_DailyPred,MATCH($F13,Rango_Admin_DailyPred_Primera,0)+1,0),"-")</f>
        <v>-</v>
      </c>
      <c r="AG13" s="429" t="str">
        <f ca="1">IFERROR(VLOOKUP(AG$2,Rango_Admin_DailyPred,MATCH($F13,Rango_Admin_DailyPred_Primera,0)+1,0),"-")</f>
        <v>-</v>
      </c>
      <c r="AH13" s="429" t="str">
        <f ca="1">IFERROR(VLOOKUP(AH$2,Rango_Admin_DailyPred,MATCH($F13,Rango_Admin_DailyPred_Primera,0)+1,0),"-")</f>
        <v>-</v>
      </c>
      <c r="AI13" s="429" t="str">
        <f ca="1">IFERROR(VLOOKUP(AI$2,Rango_Admin_DailyPred,MATCH($F13,Rango_Admin_DailyPred_Primera,0)+1,0),"-")</f>
        <v>-</v>
      </c>
      <c r="AJ13" s="429" t="str">
        <f ca="1">IFERROR(VLOOKUP(AJ$2,Rango_Admin_DailyPred,MATCH($F13,Rango_Admin_DailyPred_Primera,0)+1,0),"-")</f>
        <v>-</v>
      </c>
      <c r="AK13" s="429" t="str">
        <f ca="1">IFERROR(VLOOKUP(AK$2,Rango_Admin_DailyPred,MATCH($F13,Rango_Admin_DailyPred_Primera,0)+1,0),"-")</f>
        <v>-</v>
      </c>
      <c r="AL13" s="429" t="str">
        <f ca="1">IFERROR(VLOOKUP(AL$2,Rango_Admin_DailyPred,MATCH($F13,Rango_Admin_DailyPred_Primera,0)+1,0),"-")</f>
        <v>-</v>
      </c>
      <c r="AM13" s="429" t="str">
        <f ca="1">IFERROR(VLOOKUP(AM$2,Rango_Admin_DailyPred,MATCH($F13,Rango_Admin_DailyPred_Primera,0)+1,0),"-")</f>
        <v>-</v>
      </c>
      <c r="AN13" s="297"/>
    </row>
    <row r="14" spans="1:40">
      <c r="A14" s="8" t="str" cm="1">
        <f t="array" aca="1" ref="A14" ca="1">IFERROR(INDEX(ADMIN!$K$6:$K$258,SMALL(IF(ADMIN!$G$6:$G$258=$K$1,ROW(ADMIN!$G$6:$G$258)-ROW(ADMIN!$G$6)+1),ROWS($A$1:A11))),"")</f>
        <v/>
      </c>
      <c r="B14" s="8"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C14" s="8">
        <v>11</v>
      </c>
      <c r="D14" s="90"/>
      <c r="E14" s="409">
        <f ca="1">IFERROR(HLOOKUP(C14,Rango_Admin_DailyClas,3,FALSE),"-")</f>
        <v>1</v>
      </c>
      <c r="F14" s="448" t="str">
        <f ca="1">IFERROR(HLOOKUP(C14,Rango_Admin_DailyClas,5,FALSE),"-")</f>
        <v>MURO 204</v>
      </c>
      <c r="G14" s="22">
        <f ca="1">IFERROR(HLOOKUP(C14,Rango_Admin_DailyClas,4,FALSE),"-")</f>
        <v>4</v>
      </c>
      <c r="H14" s="429">
        <f ca="1">IFERROR(VLOOKUP(H$2,Rango_Admin_DailyPred,MATCH($F14,Rango_Admin_DailyPred_Primera,0)+1,0),"-")</f>
        <v>4</v>
      </c>
      <c r="I14" s="429" t="str">
        <f ca="1">IFERROR(VLOOKUP(I$2,Rango_Admin_DailyPred,MATCH($F14,Rango_Admin_DailyPred_Primera,0)+1,0),"-")</f>
        <v>-</v>
      </c>
      <c r="J14" s="429" t="str">
        <f ca="1">IFERROR(VLOOKUP(J$2,Rango_Admin_DailyPred,MATCH($F14,Rango_Admin_DailyPred_Primera,0)+1,0),"-")</f>
        <v>-</v>
      </c>
      <c r="K14" s="429" t="str">
        <f ca="1">IFERROR(VLOOKUP(K$2,Rango_Admin_DailyPred,MATCH($F14,Rango_Admin_DailyPred_Primera,0)+1,0),"-")</f>
        <v>-</v>
      </c>
      <c r="L14" s="429" t="str">
        <f ca="1">IFERROR(VLOOKUP(L$2,Rango_Admin_DailyPred,MATCH($F14,Rango_Admin_DailyPred_Primera,0)+1,0),"-")</f>
        <v>-</v>
      </c>
      <c r="M14" s="429" t="str">
        <f ca="1">IFERROR(VLOOKUP(M$2,Rango_Admin_DailyPred,MATCH($F14,Rango_Admin_DailyPred_Primera,0)+1,0),"-")</f>
        <v>-</v>
      </c>
      <c r="N14" s="429" t="str">
        <f ca="1">IFERROR(VLOOKUP(N$2,Rango_Admin_DailyPred,MATCH($F14,Rango_Admin_DailyPred_Primera,0)+1,0),"-")</f>
        <v>-</v>
      </c>
      <c r="O14" s="429" t="str">
        <f ca="1">IFERROR(VLOOKUP(O$2,Rango_Admin_DailyPred,MATCH($F14,Rango_Admin_DailyPred_Primera,0)+1,0),"-")</f>
        <v>-</v>
      </c>
      <c r="P14" s="429" t="str">
        <f ca="1">IFERROR(VLOOKUP(P$2,Rango_Admin_DailyPred,MATCH($F14,Rango_Admin_DailyPred_Primera,0)+1,0),"-")</f>
        <v>-</v>
      </c>
      <c r="Q14" s="429" t="str">
        <f ca="1">IFERROR(VLOOKUP(Q$2,Rango_Admin_DailyPred,MATCH($F14,Rango_Admin_DailyPred_Primera,0)+1,0),"-")</f>
        <v>-</v>
      </c>
      <c r="R14" s="429" t="str">
        <f ca="1">IFERROR(VLOOKUP(R$2,Rango_Admin_DailyPred,MATCH($F14,Rango_Admin_DailyPred_Primera,0)+1,0),"-")</f>
        <v>-</v>
      </c>
      <c r="S14" s="429" t="str">
        <f ca="1">IFERROR(VLOOKUP(S$2,Rango_Admin_DailyPred,MATCH($F14,Rango_Admin_DailyPred_Primera,0)+1,0),"-")</f>
        <v>-</v>
      </c>
      <c r="T14" s="429" t="str">
        <f ca="1">IFERROR(VLOOKUP(T$2,Rango_Admin_DailyPred,MATCH($F14,Rango_Admin_DailyPred_Primera,0)+1,0),"-")</f>
        <v>-</v>
      </c>
      <c r="U14" s="429" t="str">
        <f ca="1">IFERROR(VLOOKUP(U$2,Rango_Admin_DailyPred,MATCH($F14,Rango_Admin_DailyPred_Primera,0)+1,0),"-")</f>
        <v>-</v>
      </c>
      <c r="V14" s="429" t="str">
        <f ca="1">IFERROR(VLOOKUP(V$2,Rango_Admin_DailyPred,MATCH($F14,Rango_Admin_DailyPred_Primera,0)+1,0),"-")</f>
        <v>-</v>
      </c>
      <c r="W14" s="429" t="str">
        <f ca="1">IFERROR(VLOOKUP(W$2,Rango_Admin_DailyPred,MATCH($F14,Rango_Admin_DailyPred_Primera,0)+1,0),"-")</f>
        <v>-</v>
      </c>
      <c r="X14" s="429" t="str">
        <f ca="1">IFERROR(VLOOKUP(X$2,Rango_Admin_DailyPred,MATCH($F14,Rango_Admin_DailyPred_Primera,0)+1,0),"-")</f>
        <v>-</v>
      </c>
      <c r="Y14" s="429" t="str">
        <f ca="1">IFERROR(VLOOKUP(Y$2,Rango_Admin_DailyPred,MATCH($F14,Rango_Admin_DailyPred_Primera,0)+1,0),"-")</f>
        <v>-</v>
      </c>
      <c r="Z14" s="429" t="str">
        <f ca="1">IFERROR(VLOOKUP(Z$2,Rango_Admin_DailyPred,MATCH($F14,Rango_Admin_DailyPred_Primera,0)+1,0),"-")</f>
        <v>-</v>
      </c>
      <c r="AA14" s="429" t="str">
        <f ca="1">IFERROR(VLOOKUP(AA$2,Rango_Admin_DailyPred,MATCH($F14,Rango_Admin_DailyPred_Primera,0)+1,0),"-")</f>
        <v>-</v>
      </c>
      <c r="AB14" s="429" t="str">
        <f ca="1">IFERROR(VLOOKUP(AB$2,Rango_Admin_DailyPred,MATCH($F14,Rango_Admin_DailyPred_Primera,0)+1,0),"-")</f>
        <v>-</v>
      </c>
      <c r="AC14" s="429" t="str">
        <f ca="1">IFERROR(VLOOKUP(AC$2,Rango_Admin_DailyPred,MATCH($F14,Rango_Admin_DailyPred_Primera,0)+1,0),"-")</f>
        <v>-</v>
      </c>
      <c r="AD14" s="429" t="str">
        <f ca="1">IFERROR(VLOOKUP(AD$2,Rango_Admin_DailyPred,MATCH($F14,Rango_Admin_DailyPred_Primera,0)+1,0),"-")</f>
        <v>-</v>
      </c>
      <c r="AE14" s="429" t="str">
        <f ca="1">IFERROR(VLOOKUP(AE$2,Rango_Admin_DailyPred,MATCH($F14,Rango_Admin_DailyPred_Primera,0)+1,0),"-")</f>
        <v>-</v>
      </c>
      <c r="AF14" s="429" t="str">
        <f ca="1">IFERROR(VLOOKUP(AF$2,Rango_Admin_DailyPred,MATCH($F14,Rango_Admin_DailyPred_Primera,0)+1,0),"-")</f>
        <v>-</v>
      </c>
      <c r="AG14" s="429" t="str">
        <f ca="1">IFERROR(VLOOKUP(AG$2,Rango_Admin_DailyPred,MATCH($F14,Rango_Admin_DailyPred_Primera,0)+1,0),"-")</f>
        <v>-</v>
      </c>
      <c r="AH14" s="429" t="str">
        <f ca="1">IFERROR(VLOOKUP(AH$2,Rango_Admin_DailyPred,MATCH($F14,Rango_Admin_DailyPred_Primera,0)+1,0),"-")</f>
        <v>-</v>
      </c>
      <c r="AI14" s="429" t="str">
        <f ca="1">IFERROR(VLOOKUP(AI$2,Rango_Admin_DailyPred,MATCH($F14,Rango_Admin_DailyPred_Primera,0)+1,0),"-")</f>
        <v>-</v>
      </c>
      <c r="AJ14" s="429" t="str">
        <f ca="1">IFERROR(VLOOKUP(AJ$2,Rango_Admin_DailyPred,MATCH($F14,Rango_Admin_DailyPred_Primera,0)+1,0),"-")</f>
        <v>-</v>
      </c>
      <c r="AK14" s="429" t="str">
        <f ca="1">IFERROR(VLOOKUP(AK$2,Rango_Admin_DailyPred,MATCH($F14,Rango_Admin_DailyPred_Primera,0)+1,0),"-")</f>
        <v>-</v>
      </c>
      <c r="AL14" s="429" t="str">
        <f ca="1">IFERROR(VLOOKUP(AL$2,Rango_Admin_DailyPred,MATCH($F14,Rango_Admin_DailyPred_Primera,0)+1,0),"-")</f>
        <v>-</v>
      </c>
      <c r="AM14" s="429" t="str">
        <f ca="1">IFERROR(VLOOKUP(AM$2,Rango_Admin_DailyPred,MATCH($F14,Rango_Admin_DailyPred_Primera,0)+1,0),"-")</f>
        <v>-</v>
      </c>
      <c r="AN14" s="297"/>
    </row>
    <row r="15" spans="1:40">
      <c r="A15" s="8" t="str" cm="1">
        <f t="array" aca="1" ref="A15" ca="1">IFERROR(INDEX(ADMIN!$K$6:$K$258,SMALL(IF(ADMIN!$G$6:$G$258=$K$1,ROW(ADMIN!$G$6:$G$258)-ROW(ADMIN!$G$6)+1),ROWS($A$1:A12))),"")</f>
        <v/>
      </c>
      <c r="B15" s="8"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C15" s="8">
        <v>12</v>
      </c>
      <c r="D15" s="19"/>
      <c r="E15" s="409">
        <f ca="1">IFERROR(HLOOKUP(C15,Rango_Admin_DailyClas,3,FALSE),"-")</f>
        <v>1</v>
      </c>
      <c r="F15" s="448" t="str">
        <f ca="1">IFERROR(HLOOKUP(C15,Rango_Admin_DailyClas,5,FALSE),"-")</f>
        <v>Miguel San Martín</v>
      </c>
      <c r="G15" s="22">
        <f ca="1">IFERROR(HLOOKUP(C15,Rango_Admin_DailyClas,4,FALSE),"-")</f>
        <v>4</v>
      </c>
      <c r="H15" s="429">
        <f ca="1">IFERROR(VLOOKUP(H$2,Rango_Admin_DailyPred,MATCH($F15,Rango_Admin_DailyPred_Primera,0)+1,0),"-")</f>
        <v>4</v>
      </c>
      <c r="I15" s="429" t="str">
        <f ca="1">IFERROR(VLOOKUP(I$2,Rango_Admin_DailyPred,MATCH($F15,Rango_Admin_DailyPred_Primera,0)+1,0),"-")</f>
        <v>-</v>
      </c>
      <c r="J15" s="429" t="str">
        <f ca="1">IFERROR(VLOOKUP(J$2,Rango_Admin_DailyPred,MATCH($F15,Rango_Admin_DailyPred_Primera,0)+1,0),"-")</f>
        <v>-</v>
      </c>
      <c r="K15" s="429" t="str">
        <f ca="1">IFERROR(VLOOKUP(K$2,Rango_Admin_DailyPred,MATCH($F15,Rango_Admin_DailyPred_Primera,0)+1,0),"-")</f>
        <v>-</v>
      </c>
      <c r="L15" s="429" t="str">
        <f ca="1">IFERROR(VLOOKUP(L$2,Rango_Admin_DailyPred,MATCH($F15,Rango_Admin_DailyPred_Primera,0)+1,0),"-")</f>
        <v>-</v>
      </c>
      <c r="M15" s="429" t="str">
        <f ca="1">IFERROR(VLOOKUP(M$2,Rango_Admin_DailyPred,MATCH($F15,Rango_Admin_DailyPred_Primera,0)+1,0),"-")</f>
        <v>-</v>
      </c>
      <c r="N15" s="429" t="str">
        <f ca="1">IFERROR(VLOOKUP(N$2,Rango_Admin_DailyPred,MATCH($F15,Rango_Admin_DailyPred_Primera,0)+1,0),"-")</f>
        <v>-</v>
      </c>
      <c r="O15" s="429" t="str">
        <f ca="1">IFERROR(VLOOKUP(O$2,Rango_Admin_DailyPred,MATCH($F15,Rango_Admin_DailyPred_Primera,0)+1,0),"-")</f>
        <v>-</v>
      </c>
      <c r="P15" s="429" t="str">
        <f ca="1">IFERROR(VLOOKUP(P$2,Rango_Admin_DailyPred,MATCH($F15,Rango_Admin_DailyPred_Primera,0)+1,0),"-")</f>
        <v>-</v>
      </c>
      <c r="Q15" s="429" t="str">
        <f ca="1">IFERROR(VLOOKUP(Q$2,Rango_Admin_DailyPred,MATCH($F15,Rango_Admin_DailyPred_Primera,0)+1,0),"-")</f>
        <v>-</v>
      </c>
      <c r="R15" s="429" t="str">
        <f ca="1">IFERROR(VLOOKUP(R$2,Rango_Admin_DailyPred,MATCH($F15,Rango_Admin_DailyPred_Primera,0)+1,0),"-")</f>
        <v>-</v>
      </c>
      <c r="S15" s="429" t="str">
        <f ca="1">IFERROR(VLOOKUP(S$2,Rango_Admin_DailyPred,MATCH($F15,Rango_Admin_DailyPred_Primera,0)+1,0),"-")</f>
        <v>-</v>
      </c>
      <c r="T15" s="429" t="str">
        <f ca="1">IFERROR(VLOOKUP(T$2,Rango_Admin_DailyPred,MATCH($F15,Rango_Admin_DailyPred_Primera,0)+1,0),"-")</f>
        <v>-</v>
      </c>
      <c r="U15" s="429" t="str">
        <f ca="1">IFERROR(VLOOKUP(U$2,Rango_Admin_DailyPred,MATCH($F15,Rango_Admin_DailyPred_Primera,0)+1,0),"-")</f>
        <v>-</v>
      </c>
      <c r="V15" s="429" t="str">
        <f ca="1">IFERROR(VLOOKUP(V$2,Rango_Admin_DailyPred,MATCH($F15,Rango_Admin_DailyPred_Primera,0)+1,0),"-")</f>
        <v>-</v>
      </c>
      <c r="W15" s="429" t="str">
        <f ca="1">IFERROR(VLOOKUP(W$2,Rango_Admin_DailyPred,MATCH($F15,Rango_Admin_DailyPred_Primera,0)+1,0),"-")</f>
        <v>-</v>
      </c>
      <c r="X15" s="429" t="str">
        <f ca="1">IFERROR(VLOOKUP(X$2,Rango_Admin_DailyPred,MATCH($F15,Rango_Admin_DailyPred_Primera,0)+1,0),"-")</f>
        <v>-</v>
      </c>
      <c r="Y15" s="429" t="str">
        <f ca="1">IFERROR(VLOOKUP(Y$2,Rango_Admin_DailyPred,MATCH($F15,Rango_Admin_DailyPred_Primera,0)+1,0),"-")</f>
        <v>-</v>
      </c>
      <c r="Z15" s="429" t="str">
        <f ca="1">IFERROR(VLOOKUP(Z$2,Rango_Admin_DailyPred,MATCH($F15,Rango_Admin_DailyPred_Primera,0)+1,0),"-")</f>
        <v>-</v>
      </c>
      <c r="AA15" s="429" t="str">
        <f ca="1">IFERROR(VLOOKUP(AA$2,Rango_Admin_DailyPred,MATCH($F15,Rango_Admin_DailyPred_Primera,0)+1,0),"-")</f>
        <v>-</v>
      </c>
      <c r="AB15" s="429" t="str">
        <f ca="1">IFERROR(VLOOKUP(AB$2,Rango_Admin_DailyPred,MATCH($F15,Rango_Admin_DailyPred_Primera,0)+1,0),"-")</f>
        <v>-</v>
      </c>
      <c r="AC15" s="429" t="str">
        <f ca="1">IFERROR(VLOOKUP(AC$2,Rango_Admin_DailyPred,MATCH($F15,Rango_Admin_DailyPred_Primera,0)+1,0),"-")</f>
        <v>-</v>
      </c>
      <c r="AD15" s="429" t="str">
        <f ca="1">IFERROR(VLOOKUP(AD$2,Rango_Admin_DailyPred,MATCH($F15,Rango_Admin_DailyPred_Primera,0)+1,0),"-")</f>
        <v>-</v>
      </c>
      <c r="AE15" s="429" t="str">
        <f ca="1">IFERROR(VLOOKUP(AE$2,Rango_Admin_DailyPred,MATCH($F15,Rango_Admin_DailyPred_Primera,0)+1,0),"-")</f>
        <v>-</v>
      </c>
      <c r="AF15" s="429" t="str">
        <f ca="1">IFERROR(VLOOKUP(AF$2,Rango_Admin_DailyPred,MATCH($F15,Rango_Admin_DailyPred_Primera,0)+1,0),"-")</f>
        <v>-</v>
      </c>
      <c r="AG15" s="429" t="str">
        <f ca="1">IFERROR(VLOOKUP(AG$2,Rango_Admin_DailyPred,MATCH($F15,Rango_Admin_DailyPred_Primera,0)+1,0),"-")</f>
        <v>-</v>
      </c>
      <c r="AH15" s="429" t="str">
        <f ca="1">IFERROR(VLOOKUP(AH$2,Rango_Admin_DailyPred,MATCH($F15,Rango_Admin_DailyPred_Primera,0)+1,0),"-")</f>
        <v>-</v>
      </c>
      <c r="AI15" s="429" t="str">
        <f ca="1">IFERROR(VLOOKUP(AI$2,Rango_Admin_DailyPred,MATCH($F15,Rango_Admin_DailyPred_Primera,0)+1,0),"-")</f>
        <v>-</v>
      </c>
      <c r="AJ15" s="429" t="str">
        <f ca="1">IFERROR(VLOOKUP(AJ$2,Rango_Admin_DailyPred,MATCH($F15,Rango_Admin_DailyPred_Primera,0)+1,0),"-")</f>
        <v>-</v>
      </c>
      <c r="AK15" s="429" t="str">
        <f ca="1">IFERROR(VLOOKUP(AK$2,Rango_Admin_DailyPred,MATCH($F15,Rango_Admin_DailyPred_Primera,0)+1,0),"-")</f>
        <v>-</v>
      </c>
      <c r="AL15" s="429" t="str">
        <f ca="1">IFERROR(VLOOKUP(AL$2,Rango_Admin_DailyPred,MATCH($F15,Rango_Admin_DailyPred_Primera,0)+1,0),"-")</f>
        <v>-</v>
      </c>
      <c r="AM15" s="429" t="str">
        <f ca="1">IFERROR(VLOOKUP(AM$2,Rango_Admin_DailyPred,MATCH($F15,Rango_Admin_DailyPred_Primera,0)+1,0),"-")</f>
        <v>-</v>
      </c>
      <c r="AN15" s="297"/>
    </row>
    <row r="16" spans="1:40">
      <c r="A16" s="8" t="str" cm="1">
        <f t="array" aca="1" ref="A16" ca="1">IFERROR(INDEX(ADMIN!$K$6:$K$258,SMALL(IF(ADMIN!$G$6:$G$258=$K$1,ROW(ADMIN!$G$6:$G$258)-ROW(ADMIN!$G$6)+1),ROWS($A$1:A13))),"")</f>
        <v/>
      </c>
      <c r="B16" s="8"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C16" s="8">
        <v>13</v>
      </c>
      <c r="D16" s="19"/>
      <c r="E16" s="409">
        <f ca="1">IFERROR(HLOOKUP(C16,Rango_Admin_DailyClas,3,FALSE),"-")</f>
        <v>1</v>
      </c>
      <c r="F16" s="448" t="str">
        <f ca="1">IFERROR(HLOOKUP(C16,Rango_Admin_DailyClas,5,FALSE),"-")</f>
        <v>Florentino Netanyahu</v>
      </c>
      <c r="G16" s="22">
        <f ca="1">IFERROR(HLOOKUP(C16,Rango_Admin_DailyClas,4,FALSE),"-")</f>
        <v>4</v>
      </c>
      <c r="H16" s="429">
        <f ca="1">IFERROR(VLOOKUP(H$2,Rango_Admin_DailyPred,MATCH($F16,Rango_Admin_DailyPred_Primera,0)+1,0),"-")</f>
        <v>4</v>
      </c>
      <c r="I16" s="429" t="str">
        <f ca="1">IFERROR(VLOOKUP(I$2,Rango_Admin_DailyPred,MATCH($F16,Rango_Admin_DailyPred_Primera,0)+1,0),"-")</f>
        <v>-</v>
      </c>
      <c r="J16" s="429" t="str">
        <f ca="1">IFERROR(VLOOKUP(J$2,Rango_Admin_DailyPred,MATCH($F16,Rango_Admin_DailyPred_Primera,0)+1,0),"-")</f>
        <v>-</v>
      </c>
      <c r="K16" s="429" t="str">
        <f ca="1">IFERROR(VLOOKUP(K$2,Rango_Admin_DailyPred,MATCH($F16,Rango_Admin_DailyPred_Primera,0)+1,0),"-")</f>
        <v>-</v>
      </c>
      <c r="L16" s="429" t="str">
        <f ca="1">IFERROR(VLOOKUP(L$2,Rango_Admin_DailyPred,MATCH($F16,Rango_Admin_DailyPred_Primera,0)+1,0),"-")</f>
        <v>-</v>
      </c>
      <c r="M16" s="429" t="str">
        <f ca="1">IFERROR(VLOOKUP(M$2,Rango_Admin_DailyPred,MATCH($F16,Rango_Admin_DailyPred_Primera,0)+1,0),"-")</f>
        <v>-</v>
      </c>
      <c r="N16" s="429" t="str">
        <f ca="1">IFERROR(VLOOKUP(N$2,Rango_Admin_DailyPred,MATCH($F16,Rango_Admin_DailyPred_Primera,0)+1,0),"-")</f>
        <v>-</v>
      </c>
      <c r="O16" s="429" t="str">
        <f ca="1">IFERROR(VLOOKUP(O$2,Rango_Admin_DailyPred,MATCH($F16,Rango_Admin_DailyPred_Primera,0)+1,0),"-")</f>
        <v>-</v>
      </c>
      <c r="P16" s="429" t="str">
        <f ca="1">IFERROR(VLOOKUP(P$2,Rango_Admin_DailyPred,MATCH($F16,Rango_Admin_DailyPred_Primera,0)+1,0),"-")</f>
        <v>-</v>
      </c>
      <c r="Q16" s="429" t="str">
        <f ca="1">IFERROR(VLOOKUP(Q$2,Rango_Admin_DailyPred,MATCH($F16,Rango_Admin_DailyPred_Primera,0)+1,0),"-")</f>
        <v>-</v>
      </c>
      <c r="R16" s="429" t="str">
        <f ca="1">IFERROR(VLOOKUP(R$2,Rango_Admin_DailyPred,MATCH($F16,Rango_Admin_DailyPred_Primera,0)+1,0),"-")</f>
        <v>-</v>
      </c>
      <c r="S16" s="429" t="str">
        <f ca="1">IFERROR(VLOOKUP(S$2,Rango_Admin_DailyPred,MATCH($F16,Rango_Admin_DailyPred_Primera,0)+1,0),"-")</f>
        <v>-</v>
      </c>
      <c r="T16" s="429" t="str">
        <f ca="1">IFERROR(VLOOKUP(T$2,Rango_Admin_DailyPred,MATCH($F16,Rango_Admin_DailyPred_Primera,0)+1,0),"-")</f>
        <v>-</v>
      </c>
      <c r="U16" s="429" t="str">
        <f ca="1">IFERROR(VLOOKUP(U$2,Rango_Admin_DailyPred,MATCH($F16,Rango_Admin_DailyPred_Primera,0)+1,0),"-")</f>
        <v>-</v>
      </c>
      <c r="V16" s="429" t="str">
        <f ca="1">IFERROR(VLOOKUP(V$2,Rango_Admin_DailyPred,MATCH($F16,Rango_Admin_DailyPred_Primera,0)+1,0),"-")</f>
        <v>-</v>
      </c>
      <c r="W16" s="429" t="str">
        <f ca="1">IFERROR(VLOOKUP(W$2,Rango_Admin_DailyPred,MATCH($F16,Rango_Admin_DailyPred_Primera,0)+1,0),"-")</f>
        <v>-</v>
      </c>
      <c r="X16" s="429" t="str">
        <f ca="1">IFERROR(VLOOKUP(X$2,Rango_Admin_DailyPred,MATCH($F16,Rango_Admin_DailyPred_Primera,0)+1,0),"-")</f>
        <v>-</v>
      </c>
      <c r="Y16" s="429" t="str">
        <f ca="1">IFERROR(VLOOKUP(Y$2,Rango_Admin_DailyPred,MATCH($F16,Rango_Admin_DailyPred_Primera,0)+1,0),"-")</f>
        <v>-</v>
      </c>
      <c r="Z16" s="429" t="str">
        <f ca="1">IFERROR(VLOOKUP(Z$2,Rango_Admin_DailyPred,MATCH($F16,Rango_Admin_DailyPred_Primera,0)+1,0),"-")</f>
        <v>-</v>
      </c>
      <c r="AA16" s="429" t="str">
        <f ca="1">IFERROR(VLOOKUP(AA$2,Rango_Admin_DailyPred,MATCH($F16,Rango_Admin_DailyPred_Primera,0)+1,0),"-")</f>
        <v>-</v>
      </c>
      <c r="AB16" s="429" t="str">
        <f ca="1">IFERROR(VLOOKUP(AB$2,Rango_Admin_DailyPred,MATCH($F16,Rango_Admin_DailyPred_Primera,0)+1,0),"-")</f>
        <v>-</v>
      </c>
      <c r="AC16" s="429" t="str">
        <f ca="1">IFERROR(VLOOKUP(AC$2,Rango_Admin_DailyPred,MATCH($F16,Rango_Admin_DailyPred_Primera,0)+1,0),"-")</f>
        <v>-</v>
      </c>
      <c r="AD16" s="429" t="str">
        <f ca="1">IFERROR(VLOOKUP(AD$2,Rango_Admin_DailyPred,MATCH($F16,Rango_Admin_DailyPred_Primera,0)+1,0),"-")</f>
        <v>-</v>
      </c>
      <c r="AE16" s="429" t="str">
        <f ca="1">IFERROR(VLOOKUP(AE$2,Rango_Admin_DailyPred,MATCH($F16,Rango_Admin_DailyPred_Primera,0)+1,0),"-")</f>
        <v>-</v>
      </c>
      <c r="AF16" s="429" t="str">
        <f ca="1">IFERROR(VLOOKUP(AF$2,Rango_Admin_DailyPred,MATCH($F16,Rango_Admin_DailyPred_Primera,0)+1,0),"-")</f>
        <v>-</v>
      </c>
      <c r="AG16" s="429" t="str">
        <f ca="1">IFERROR(VLOOKUP(AG$2,Rango_Admin_DailyPred,MATCH($F16,Rango_Admin_DailyPred_Primera,0)+1,0),"-")</f>
        <v>-</v>
      </c>
      <c r="AH16" s="429" t="str">
        <f ca="1">IFERROR(VLOOKUP(AH$2,Rango_Admin_DailyPred,MATCH($F16,Rango_Admin_DailyPred_Primera,0)+1,0),"-")</f>
        <v>-</v>
      </c>
      <c r="AI16" s="429" t="str">
        <f ca="1">IFERROR(VLOOKUP(AI$2,Rango_Admin_DailyPred,MATCH($F16,Rango_Admin_DailyPred_Primera,0)+1,0),"-")</f>
        <v>-</v>
      </c>
      <c r="AJ16" s="429" t="str">
        <f ca="1">IFERROR(VLOOKUP(AJ$2,Rango_Admin_DailyPred,MATCH($F16,Rango_Admin_DailyPred_Primera,0)+1,0),"-")</f>
        <v>-</v>
      </c>
      <c r="AK16" s="429" t="str">
        <f ca="1">IFERROR(VLOOKUP(AK$2,Rango_Admin_DailyPred,MATCH($F16,Rango_Admin_DailyPred_Primera,0)+1,0),"-")</f>
        <v>-</v>
      </c>
      <c r="AL16" s="429" t="str">
        <f ca="1">IFERROR(VLOOKUP(AL$2,Rango_Admin_DailyPred,MATCH($F16,Rango_Admin_DailyPred_Primera,0)+1,0),"-")</f>
        <v>-</v>
      </c>
      <c r="AM16" s="429" t="str">
        <f ca="1">IFERROR(VLOOKUP(AM$2,Rango_Admin_DailyPred,MATCH($F16,Rango_Admin_DailyPred_Primera,0)+1,0),"-")</f>
        <v>-</v>
      </c>
      <c r="AN16" s="297"/>
    </row>
    <row r="17" spans="1:40">
      <c r="A17" s="8" t="str" cm="1">
        <f t="array" aca="1" ref="A17" ca="1">IFERROR(INDEX(ADMIN!$K$6:$K$258,SMALL(IF(ADMIN!$G$6:$G$258=$K$1,ROW(ADMIN!$G$6:$G$258)-ROW(ADMIN!$G$6)+1),ROWS($A$1:A14))),"")</f>
        <v/>
      </c>
      <c r="B17" s="8"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C17" s="8">
        <v>14</v>
      </c>
      <c r="D17" s="19"/>
      <c r="E17" s="409">
        <f ca="1">IFERROR(HLOOKUP(C17,Rango_Admin_DailyClas,3,FALSE),"-")</f>
        <v>1</v>
      </c>
      <c r="F17" s="448" t="str">
        <f ca="1">IFERROR(HLOOKUP(C17,Rango_Admin_DailyClas,5,FALSE),"-")</f>
        <v>Lucas Oriol</v>
      </c>
      <c r="G17" s="22">
        <f ca="1">IFERROR(HLOOKUP(C17,Rango_Admin_DailyClas,4,FALSE),"-")</f>
        <v>4</v>
      </c>
      <c r="H17" s="429">
        <f ca="1">IFERROR(VLOOKUP(H$2,Rango_Admin_DailyPred,MATCH($F17,Rango_Admin_DailyPred_Primera,0)+1,0),"-")</f>
        <v>4</v>
      </c>
      <c r="I17" s="429" t="str">
        <f ca="1">IFERROR(VLOOKUP(I$2,Rango_Admin_DailyPred,MATCH($F17,Rango_Admin_DailyPred_Primera,0)+1,0),"-")</f>
        <v>-</v>
      </c>
      <c r="J17" s="429" t="str">
        <f ca="1">IFERROR(VLOOKUP(J$2,Rango_Admin_DailyPred,MATCH($F17,Rango_Admin_DailyPred_Primera,0)+1,0),"-")</f>
        <v>-</v>
      </c>
      <c r="K17" s="429" t="str">
        <f ca="1">IFERROR(VLOOKUP(K$2,Rango_Admin_DailyPred,MATCH($F17,Rango_Admin_DailyPred_Primera,0)+1,0),"-")</f>
        <v>-</v>
      </c>
      <c r="L17" s="429" t="str">
        <f ca="1">IFERROR(VLOOKUP(L$2,Rango_Admin_DailyPred,MATCH($F17,Rango_Admin_DailyPred_Primera,0)+1,0),"-")</f>
        <v>-</v>
      </c>
      <c r="M17" s="429" t="str">
        <f ca="1">IFERROR(VLOOKUP(M$2,Rango_Admin_DailyPred,MATCH($F17,Rango_Admin_DailyPred_Primera,0)+1,0),"-")</f>
        <v>-</v>
      </c>
      <c r="N17" s="429" t="str">
        <f ca="1">IFERROR(VLOOKUP(N$2,Rango_Admin_DailyPred,MATCH($F17,Rango_Admin_DailyPred_Primera,0)+1,0),"-")</f>
        <v>-</v>
      </c>
      <c r="O17" s="429" t="str">
        <f ca="1">IFERROR(VLOOKUP(O$2,Rango_Admin_DailyPred,MATCH($F17,Rango_Admin_DailyPred_Primera,0)+1,0),"-")</f>
        <v>-</v>
      </c>
      <c r="P17" s="429" t="str">
        <f ca="1">IFERROR(VLOOKUP(P$2,Rango_Admin_DailyPred,MATCH($F17,Rango_Admin_DailyPred_Primera,0)+1,0),"-")</f>
        <v>-</v>
      </c>
      <c r="Q17" s="429" t="str">
        <f ca="1">IFERROR(VLOOKUP(Q$2,Rango_Admin_DailyPred,MATCH($F17,Rango_Admin_DailyPred_Primera,0)+1,0),"-")</f>
        <v>-</v>
      </c>
      <c r="R17" s="429" t="str">
        <f ca="1">IFERROR(VLOOKUP(R$2,Rango_Admin_DailyPred,MATCH($F17,Rango_Admin_DailyPred_Primera,0)+1,0),"-")</f>
        <v>-</v>
      </c>
      <c r="S17" s="429" t="str">
        <f ca="1">IFERROR(VLOOKUP(S$2,Rango_Admin_DailyPred,MATCH($F17,Rango_Admin_DailyPred_Primera,0)+1,0),"-")</f>
        <v>-</v>
      </c>
      <c r="T17" s="429" t="str">
        <f ca="1">IFERROR(VLOOKUP(T$2,Rango_Admin_DailyPred,MATCH($F17,Rango_Admin_DailyPred_Primera,0)+1,0),"-")</f>
        <v>-</v>
      </c>
      <c r="U17" s="429" t="str">
        <f ca="1">IFERROR(VLOOKUP(U$2,Rango_Admin_DailyPred,MATCH($F17,Rango_Admin_DailyPred_Primera,0)+1,0),"-")</f>
        <v>-</v>
      </c>
      <c r="V17" s="429" t="str">
        <f ca="1">IFERROR(VLOOKUP(V$2,Rango_Admin_DailyPred,MATCH($F17,Rango_Admin_DailyPred_Primera,0)+1,0),"-")</f>
        <v>-</v>
      </c>
      <c r="W17" s="429" t="str">
        <f ca="1">IFERROR(VLOOKUP(W$2,Rango_Admin_DailyPred,MATCH($F17,Rango_Admin_DailyPred_Primera,0)+1,0),"-")</f>
        <v>-</v>
      </c>
      <c r="X17" s="429" t="str">
        <f ca="1">IFERROR(VLOOKUP(X$2,Rango_Admin_DailyPred,MATCH($F17,Rango_Admin_DailyPred_Primera,0)+1,0),"-")</f>
        <v>-</v>
      </c>
      <c r="Y17" s="429" t="str">
        <f ca="1">IFERROR(VLOOKUP(Y$2,Rango_Admin_DailyPred,MATCH($F17,Rango_Admin_DailyPred_Primera,0)+1,0),"-")</f>
        <v>-</v>
      </c>
      <c r="Z17" s="429" t="str">
        <f ca="1">IFERROR(VLOOKUP(Z$2,Rango_Admin_DailyPred,MATCH($F17,Rango_Admin_DailyPred_Primera,0)+1,0),"-")</f>
        <v>-</v>
      </c>
      <c r="AA17" s="429" t="str">
        <f ca="1">IFERROR(VLOOKUP(AA$2,Rango_Admin_DailyPred,MATCH($F17,Rango_Admin_DailyPred_Primera,0)+1,0),"-")</f>
        <v>-</v>
      </c>
      <c r="AB17" s="429" t="str">
        <f ca="1">IFERROR(VLOOKUP(AB$2,Rango_Admin_DailyPred,MATCH($F17,Rango_Admin_DailyPred_Primera,0)+1,0),"-")</f>
        <v>-</v>
      </c>
      <c r="AC17" s="429" t="str">
        <f ca="1">IFERROR(VLOOKUP(AC$2,Rango_Admin_DailyPred,MATCH($F17,Rango_Admin_DailyPred_Primera,0)+1,0),"-")</f>
        <v>-</v>
      </c>
      <c r="AD17" s="429" t="str">
        <f ca="1">IFERROR(VLOOKUP(AD$2,Rango_Admin_DailyPred,MATCH($F17,Rango_Admin_DailyPred_Primera,0)+1,0),"-")</f>
        <v>-</v>
      </c>
      <c r="AE17" s="429" t="str">
        <f ca="1">IFERROR(VLOOKUP(AE$2,Rango_Admin_DailyPred,MATCH($F17,Rango_Admin_DailyPred_Primera,0)+1,0),"-")</f>
        <v>-</v>
      </c>
      <c r="AF17" s="429" t="str">
        <f ca="1">IFERROR(VLOOKUP(AF$2,Rango_Admin_DailyPred,MATCH($F17,Rango_Admin_DailyPred_Primera,0)+1,0),"-")</f>
        <v>-</v>
      </c>
      <c r="AG17" s="429" t="str">
        <f ca="1">IFERROR(VLOOKUP(AG$2,Rango_Admin_DailyPred,MATCH($F17,Rango_Admin_DailyPred_Primera,0)+1,0),"-")</f>
        <v>-</v>
      </c>
      <c r="AH17" s="429" t="str">
        <f ca="1">IFERROR(VLOOKUP(AH$2,Rango_Admin_DailyPred,MATCH($F17,Rango_Admin_DailyPred_Primera,0)+1,0),"-")</f>
        <v>-</v>
      </c>
      <c r="AI17" s="429" t="str">
        <f ca="1">IFERROR(VLOOKUP(AI$2,Rango_Admin_DailyPred,MATCH($F17,Rango_Admin_DailyPred_Primera,0)+1,0),"-")</f>
        <v>-</v>
      </c>
      <c r="AJ17" s="429" t="str">
        <f ca="1">IFERROR(VLOOKUP(AJ$2,Rango_Admin_DailyPred,MATCH($F17,Rango_Admin_DailyPred_Primera,0)+1,0),"-")</f>
        <v>-</v>
      </c>
      <c r="AK17" s="429" t="str">
        <f ca="1">IFERROR(VLOOKUP(AK$2,Rango_Admin_DailyPred,MATCH($F17,Rango_Admin_DailyPred_Primera,0)+1,0),"-")</f>
        <v>-</v>
      </c>
      <c r="AL17" s="429" t="str">
        <f ca="1">IFERROR(VLOOKUP(AL$2,Rango_Admin_DailyPred,MATCH($F17,Rango_Admin_DailyPred_Primera,0)+1,0),"-")</f>
        <v>-</v>
      </c>
      <c r="AM17" s="429" t="str">
        <f ca="1">IFERROR(VLOOKUP(AM$2,Rango_Admin_DailyPred,MATCH($F17,Rango_Admin_DailyPred_Primera,0)+1,0),"-")</f>
        <v>-</v>
      </c>
      <c r="AN17" s="297"/>
    </row>
    <row r="18" spans="1:40">
      <c r="A18" s="8" t="str" cm="1">
        <f t="array" aca="1" ref="A18" ca="1">IFERROR(INDEX(ADMIN!$K$6:$K$258,SMALL(IF(ADMIN!$G$6:$G$258=$K$1,ROW(ADMIN!$G$6:$G$258)-ROW(ADMIN!$G$6)+1),ROWS($A$1:A15))),"")</f>
        <v/>
      </c>
      <c r="B18" s="8"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C18" s="8">
        <v>15</v>
      </c>
      <c r="D18" s="19"/>
      <c r="E18" s="409">
        <f ca="1">IFERROR(HLOOKUP(C18,Rango_Admin_DailyClas,3,FALSE),"-")</f>
        <v>1</v>
      </c>
      <c r="F18" s="448" t="str">
        <f ca="1">IFERROR(HLOOKUP(C18,Rango_Admin_DailyClas,5,FALSE),"-")</f>
        <v>YTD</v>
      </c>
      <c r="G18" s="22">
        <f ca="1">IFERROR(HLOOKUP(C18,Rango_Admin_DailyClas,4,FALSE),"-")</f>
        <v>4</v>
      </c>
      <c r="H18" s="429">
        <f ca="1">IFERROR(VLOOKUP(H$2,Rango_Admin_DailyPred,MATCH($F18,Rango_Admin_DailyPred_Primera,0)+1,0),"-")</f>
        <v>4</v>
      </c>
      <c r="I18" s="429" t="str">
        <f ca="1">IFERROR(VLOOKUP(I$2,Rango_Admin_DailyPred,MATCH($F18,Rango_Admin_DailyPred_Primera,0)+1,0),"-")</f>
        <v>-</v>
      </c>
      <c r="J18" s="429" t="str">
        <f ca="1">IFERROR(VLOOKUP(J$2,Rango_Admin_DailyPred,MATCH($F18,Rango_Admin_DailyPred_Primera,0)+1,0),"-")</f>
        <v>-</v>
      </c>
      <c r="K18" s="429" t="str">
        <f ca="1">IFERROR(VLOOKUP(K$2,Rango_Admin_DailyPred,MATCH($F18,Rango_Admin_DailyPred_Primera,0)+1,0),"-")</f>
        <v>-</v>
      </c>
      <c r="L18" s="429" t="str">
        <f ca="1">IFERROR(VLOOKUP(L$2,Rango_Admin_DailyPred,MATCH($F18,Rango_Admin_DailyPred_Primera,0)+1,0),"-")</f>
        <v>-</v>
      </c>
      <c r="M18" s="429" t="str">
        <f ca="1">IFERROR(VLOOKUP(M$2,Rango_Admin_DailyPred,MATCH($F18,Rango_Admin_DailyPred_Primera,0)+1,0),"-")</f>
        <v>-</v>
      </c>
      <c r="N18" s="429" t="str">
        <f ca="1">IFERROR(VLOOKUP(N$2,Rango_Admin_DailyPred,MATCH($F18,Rango_Admin_DailyPred_Primera,0)+1,0),"-")</f>
        <v>-</v>
      </c>
      <c r="O18" s="429" t="str">
        <f ca="1">IFERROR(VLOOKUP(O$2,Rango_Admin_DailyPred,MATCH($F18,Rango_Admin_DailyPred_Primera,0)+1,0),"-")</f>
        <v>-</v>
      </c>
      <c r="P18" s="429" t="str">
        <f ca="1">IFERROR(VLOOKUP(P$2,Rango_Admin_DailyPred,MATCH($F18,Rango_Admin_DailyPred_Primera,0)+1,0),"-")</f>
        <v>-</v>
      </c>
      <c r="Q18" s="429" t="str">
        <f ca="1">IFERROR(VLOOKUP(Q$2,Rango_Admin_DailyPred,MATCH($F18,Rango_Admin_DailyPred_Primera,0)+1,0),"-")</f>
        <v>-</v>
      </c>
      <c r="R18" s="429" t="str">
        <f ca="1">IFERROR(VLOOKUP(R$2,Rango_Admin_DailyPred,MATCH($F18,Rango_Admin_DailyPred_Primera,0)+1,0),"-")</f>
        <v>-</v>
      </c>
      <c r="S18" s="429" t="str">
        <f ca="1">IFERROR(VLOOKUP(S$2,Rango_Admin_DailyPred,MATCH($F18,Rango_Admin_DailyPred_Primera,0)+1,0),"-")</f>
        <v>-</v>
      </c>
      <c r="T18" s="429" t="str">
        <f ca="1">IFERROR(VLOOKUP(T$2,Rango_Admin_DailyPred,MATCH($F18,Rango_Admin_DailyPred_Primera,0)+1,0),"-")</f>
        <v>-</v>
      </c>
      <c r="U18" s="429" t="str">
        <f ca="1">IFERROR(VLOOKUP(U$2,Rango_Admin_DailyPred,MATCH($F18,Rango_Admin_DailyPred_Primera,0)+1,0),"-")</f>
        <v>-</v>
      </c>
      <c r="V18" s="429" t="str">
        <f ca="1">IFERROR(VLOOKUP(V$2,Rango_Admin_DailyPred,MATCH($F18,Rango_Admin_DailyPred_Primera,0)+1,0),"-")</f>
        <v>-</v>
      </c>
      <c r="W18" s="429" t="str">
        <f ca="1">IFERROR(VLOOKUP(W$2,Rango_Admin_DailyPred,MATCH($F18,Rango_Admin_DailyPred_Primera,0)+1,0),"-")</f>
        <v>-</v>
      </c>
      <c r="X18" s="429" t="str">
        <f ca="1">IFERROR(VLOOKUP(X$2,Rango_Admin_DailyPred,MATCH($F18,Rango_Admin_DailyPred_Primera,0)+1,0),"-")</f>
        <v>-</v>
      </c>
      <c r="Y18" s="429" t="str">
        <f ca="1">IFERROR(VLOOKUP(Y$2,Rango_Admin_DailyPred,MATCH($F18,Rango_Admin_DailyPred_Primera,0)+1,0),"-")</f>
        <v>-</v>
      </c>
      <c r="Z18" s="429" t="str">
        <f ca="1">IFERROR(VLOOKUP(Z$2,Rango_Admin_DailyPred,MATCH($F18,Rango_Admin_DailyPred_Primera,0)+1,0),"-")</f>
        <v>-</v>
      </c>
      <c r="AA18" s="429" t="str">
        <f ca="1">IFERROR(VLOOKUP(AA$2,Rango_Admin_DailyPred,MATCH($F18,Rango_Admin_DailyPred_Primera,0)+1,0),"-")</f>
        <v>-</v>
      </c>
      <c r="AB18" s="429" t="str">
        <f ca="1">IFERROR(VLOOKUP(AB$2,Rango_Admin_DailyPred,MATCH($F18,Rango_Admin_DailyPred_Primera,0)+1,0),"-")</f>
        <v>-</v>
      </c>
      <c r="AC18" s="429" t="str">
        <f ca="1">IFERROR(VLOOKUP(AC$2,Rango_Admin_DailyPred,MATCH($F18,Rango_Admin_DailyPred_Primera,0)+1,0),"-")</f>
        <v>-</v>
      </c>
      <c r="AD18" s="429" t="str">
        <f ca="1">IFERROR(VLOOKUP(AD$2,Rango_Admin_DailyPred,MATCH($F18,Rango_Admin_DailyPred_Primera,0)+1,0),"-")</f>
        <v>-</v>
      </c>
      <c r="AE18" s="429" t="str">
        <f ca="1">IFERROR(VLOOKUP(AE$2,Rango_Admin_DailyPred,MATCH($F18,Rango_Admin_DailyPred_Primera,0)+1,0),"-")</f>
        <v>-</v>
      </c>
      <c r="AF18" s="429" t="str">
        <f ca="1">IFERROR(VLOOKUP(AF$2,Rango_Admin_DailyPred,MATCH($F18,Rango_Admin_DailyPred_Primera,0)+1,0),"-")</f>
        <v>-</v>
      </c>
      <c r="AG18" s="429" t="str">
        <f ca="1">IFERROR(VLOOKUP(AG$2,Rango_Admin_DailyPred,MATCH($F18,Rango_Admin_DailyPred_Primera,0)+1,0),"-")</f>
        <v>-</v>
      </c>
      <c r="AH18" s="429" t="str">
        <f ca="1">IFERROR(VLOOKUP(AH$2,Rango_Admin_DailyPred,MATCH($F18,Rango_Admin_DailyPred_Primera,0)+1,0),"-")</f>
        <v>-</v>
      </c>
      <c r="AI18" s="429" t="str">
        <f ca="1">IFERROR(VLOOKUP(AI$2,Rango_Admin_DailyPred,MATCH($F18,Rango_Admin_DailyPred_Primera,0)+1,0),"-")</f>
        <v>-</v>
      </c>
      <c r="AJ18" s="429" t="str">
        <f ca="1">IFERROR(VLOOKUP(AJ$2,Rango_Admin_DailyPred,MATCH($F18,Rango_Admin_DailyPred_Primera,0)+1,0),"-")</f>
        <v>-</v>
      </c>
      <c r="AK18" s="429" t="str">
        <f ca="1">IFERROR(VLOOKUP(AK$2,Rango_Admin_DailyPred,MATCH($F18,Rango_Admin_DailyPred_Primera,0)+1,0),"-")</f>
        <v>-</v>
      </c>
      <c r="AL18" s="429" t="str">
        <f ca="1">IFERROR(VLOOKUP(AL$2,Rango_Admin_DailyPred,MATCH($F18,Rango_Admin_DailyPred_Primera,0)+1,0),"-")</f>
        <v>-</v>
      </c>
      <c r="AM18" s="429" t="str">
        <f ca="1">IFERROR(VLOOKUP(AM$2,Rango_Admin_DailyPred,MATCH($F18,Rango_Admin_DailyPred_Primera,0)+1,0),"-")</f>
        <v>-</v>
      </c>
      <c r="AN18" s="297"/>
    </row>
    <row r="19" spans="1:40">
      <c r="A19" s="8" t="str" cm="1">
        <f t="array" aca="1" ref="A19" ca="1">IFERROR(INDEX(ADMIN!$K$6:$K$258,SMALL(IF(ADMIN!$G$6:$G$258=$K$1,ROW(ADMIN!$G$6:$G$258)-ROW(ADMIN!$G$6)+1),ROWS($A$1:A16))),"")</f>
        <v/>
      </c>
      <c r="B19" s="8"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C19" s="8">
        <v>16</v>
      </c>
      <c r="D19" s="19"/>
      <c r="E19" s="409">
        <f ca="1">IFERROR(HLOOKUP(C19,Rango_Admin_DailyClas,3,FALSE),"-")</f>
        <v>1</v>
      </c>
      <c r="F19" s="448" t="str">
        <f ca="1">IFERROR(HLOOKUP(C19,Rango_Admin_DailyClas,5,FALSE),"-")</f>
        <v>Fernando Carlos García-Ramos Redondo</v>
      </c>
      <c r="G19" s="22">
        <f ca="1">IFERROR(HLOOKUP(C19,Rango_Admin_DailyClas,4,FALSE),"-")</f>
        <v>4</v>
      </c>
      <c r="H19" s="429">
        <f ca="1">IFERROR(VLOOKUP(H$2,Rango_Admin_DailyPred,MATCH($F19,Rango_Admin_DailyPred_Primera,0)+1,0),"-")</f>
        <v>4</v>
      </c>
      <c r="I19" s="429" t="str">
        <f ca="1">IFERROR(VLOOKUP(I$2,Rango_Admin_DailyPred,MATCH($F19,Rango_Admin_DailyPred_Primera,0)+1,0),"-")</f>
        <v>-</v>
      </c>
      <c r="J19" s="429" t="str">
        <f ca="1">IFERROR(VLOOKUP(J$2,Rango_Admin_DailyPred,MATCH($F19,Rango_Admin_DailyPred_Primera,0)+1,0),"-")</f>
        <v>-</v>
      </c>
      <c r="K19" s="429" t="str">
        <f ca="1">IFERROR(VLOOKUP(K$2,Rango_Admin_DailyPred,MATCH($F19,Rango_Admin_DailyPred_Primera,0)+1,0),"-")</f>
        <v>-</v>
      </c>
      <c r="L19" s="429" t="str">
        <f ca="1">IFERROR(VLOOKUP(L$2,Rango_Admin_DailyPred,MATCH($F19,Rango_Admin_DailyPred_Primera,0)+1,0),"-")</f>
        <v>-</v>
      </c>
      <c r="M19" s="429" t="str">
        <f ca="1">IFERROR(VLOOKUP(M$2,Rango_Admin_DailyPred,MATCH($F19,Rango_Admin_DailyPred_Primera,0)+1,0),"-")</f>
        <v>-</v>
      </c>
      <c r="N19" s="429" t="str">
        <f ca="1">IFERROR(VLOOKUP(N$2,Rango_Admin_DailyPred,MATCH($F19,Rango_Admin_DailyPred_Primera,0)+1,0),"-")</f>
        <v>-</v>
      </c>
      <c r="O19" s="429" t="str">
        <f ca="1">IFERROR(VLOOKUP(O$2,Rango_Admin_DailyPred,MATCH($F19,Rango_Admin_DailyPred_Primera,0)+1,0),"-")</f>
        <v>-</v>
      </c>
      <c r="P19" s="429" t="str">
        <f ca="1">IFERROR(VLOOKUP(P$2,Rango_Admin_DailyPred,MATCH($F19,Rango_Admin_DailyPred_Primera,0)+1,0),"-")</f>
        <v>-</v>
      </c>
      <c r="Q19" s="429" t="str">
        <f ca="1">IFERROR(VLOOKUP(Q$2,Rango_Admin_DailyPred,MATCH($F19,Rango_Admin_DailyPred_Primera,0)+1,0),"-")</f>
        <v>-</v>
      </c>
      <c r="R19" s="429" t="str">
        <f ca="1">IFERROR(VLOOKUP(R$2,Rango_Admin_DailyPred,MATCH($F19,Rango_Admin_DailyPred_Primera,0)+1,0),"-")</f>
        <v>-</v>
      </c>
      <c r="S19" s="429" t="str">
        <f ca="1">IFERROR(VLOOKUP(S$2,Rango_Admin_DailyPred,MATCH($F19,Rango_Admin_DailyPred_Primera,0)+1,0),"-")</f>
        <v>-</v>
      </c>
      <c r="T19" s="429" t="str">
        <f ca="1">IFERROR(VLOOKUP(T$2,Rango_Admin_DailyPred,MATCH($F19,Rango_Admin_DailyPred_Primera,0)+1,0),"-")</f>
        <v>-</v>
      </c>
      <c r="U19" s="429" t="str">
        <f ca="1">IFERROR(VLOOKUP(U$2,Rango_Admin_DailyPred,MATCH($F19,Rango_Admin_DailyPred_Primera,0)+1,0),"-")</f>
        <v>-</v>
      </c>
      <c r="V19" s="429" t="str">
        <f ca="1">IFERROR(VLOOKUP(V$2,Rango_Admin_DailyPred,MATCH($F19,Rango_Admin_DailyPred_Primera,0)+1,0),"-")</f>
        <v>-</v>
      </c>
      <c r="W19" s="429" t="str">
        <f ca="1">IFERROR(VLOOKUP(W$2,Rango_Admin_DailyPred,MATCH($F19,Rango_Admin_DailyPred_Primera,0)+1,0),"-")</f>
        <v>-</v>
      </c>
      <c r="X19" s="429" t="str">
        <f ca="1">IFERROR(VLOOKUP(X$2,Rango_Admin_DailyPred,MATCH($F19,Rango_Admin_DailyPred_Primera,0)+1,0),"-")</f>
        <v>-</v>
      </c>
      <c r="Y19" s="429" t="str">
        <f ca="1">IFERROR(VLOOKUP(Y$2,Rango_Admin_DailyPred,MATCH($F19,Rango_Admin_DailyPred_Primera,0)+1,0),"-")</f>
        <v>-</v>
      </c>
      <c r="Z19" s="429" t="str">
        <f ca="1">IFERROR(VLOOKUP(Z$2,Rango_Admin_DailyPred,MATCH($F19,Rango_Admin_DailyPred_Primera,0)+1,0),"-")</f>
        <v>-</v>
      </c>
      <c r="AA19" s="429" t="str">
        <f ca="1">IFERROR(VLOOKUP(AA$2,Rango_Admin_DailyPred,MATCH($F19,Rango_Admin_DailyPred_Primera,0)+1,0),"-")</f>
        <v>-</v>
      </c>
      <c r="AB19" s="429" t="str">
        <f ca="1">IFERROR(VLOOKUP(AB$2,Rango_Admin_DailyPred,MATCH($F19,Rango_Admin_DailyPred_Primera,0)+1,0),"-")</f>
        <v>-</v>
      </c>
      <c r="AC19" s="429" t="str">
        <f ca="1">IFERROR(VLOOKUP(AC$2,Rango_Admin_DailyPred,MATCH($F19,Rango_Admin_DailyPred_Primera,0)+1,0),"-")</f>
        <v>-</v>
      </c>
      <c r="AD19" s="429" t="str">
        <f ca="1">IFERROR(VLOOKUP(AD$2,Rango_Admin_DailyPred,MATCH($F19,Rango_Admin_DailyPred_Primera,0)+1,0),"-")</f>
        <v>-</v>
      </c>
      <c r="AE19" s="429" t="str">
        <f ca="1">IFERROR(VLOOKUP(AE$2,Rango_Admin_DailyPred,MATCH($F19,Rango_Admin_DailyPred_Primera,0)+1,0),"-")</f>
        <v>-</v>
      </c>
      <c r="AF19" s="429" t="str">
        <f ca="1">IFERROR(VLOOKUP(AF$2,Rango_Admin_DailyPred,MATCH($F19,Rango_Admin_DailyPred_Primera,0)+1,0),"-")</f>
        <v>-</v>
      </c>
      <c r="AG19" s="429" t="str">
        <f ca="1">IFERROR(VLOOKUP(AG$2,Rango_Admin_DailyPred,MATCH($F19,Rango_Admin_DailyPred_Primera,0)+1,0),"-")</f>
        <v>-</v>
      </c>
      <c r="AH19" s="429" t="str">
        <f ca="1">IFERROR(VLOOKUP(AH$2,Rango_Admin_DailyPred,MATCH($F19,Rango_Admin_DailyPred_Primera,0)+1,0),"-")</f>
        <v>-</v>
      </c>
      <c r="AI19" s="429" t="str">
        <f ca="1">IFERROR(VLOOKUP(AI$2,Rango_Admin_DailyPred,MATCH($F19,Rango_Admin_DailyPred_Primera,0)+1,0),"-")</f>
        <v>-</v>
      </c>
      <c r="AJ19" s="429" t="str">
        <f ca="1">IFERROR(VLOOKUP(AJ$2,Rango_Admin_DailyPred,MATCH($F19,Rango_Admin_DailyPred_Primera,0)+1,0),"-")</f>
        <v>-</v>
      </c>
      <c r="AK19" s="429" t="str">
        <f ca="1">IFERROR(VLOOKUP(AK$2,Rango_Admin_DailyPred,MATCH($F19,Rango_Admin_DailyPred_Primera,0)+1,0),"-")</f>
        <v>-</v>
      </c>
      <c r="AL19" s="429" t="str">
        <f ca="1">IFERROR(VLOOKUP(AL$2,Rango_Admin_DailyPred,MATCH($F19,Rango_Admin_DailyPred_Primera,0)+1,0),"-")</f>
        <v>-</v>
      </c>
      <c r="AM19" s="429" t="str">
        <f ca="1">IFERROR(VLOOKUP(AM$2,Rango_Admin_DailyPred,MATCH($F19,Rango_Admin_DailyPred_Primera,0)+1,0),"-")</f>
        <v>-</v>
      </c>
      <c r="AN19" s="297"/>
    </row>
    <row r="20" spans="1:40">
      <c r="A20" s="8" t="str" cm="1">
        <f t="array" aca="1" ref="A20" ca="1">IFERROR(INDEX(ADMIN!$K$6:$K$258,SMALL(IF(ADMIN!$G$6:$G$258=$K$1,ROW(ADMIN!$G$6:$G$258)-ROW(ADMIN!$G$6)+1),ROWS($A$1:A17))),"")</f>
        <v/>
      </c>
      <c r="B20" s="8"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C20" s="8">
        <v>17</v>
      </c>
      <c r="D20" s="19"/>
      <c r="E20" s="409">
        <f ca="1">IFERROR(HLOOKUP(C20,Rango_Admin_DailyClas,3,FALSE),"-")</f>
        <v>1</v>
      </c>
      <c r="F20" s="448" t="str">
        <f ca="1">IFERROR(HLOOKUP(C20,Rango_Admin_DailyClas,5,FALSE),"-")</f>
        <v>Gratacós</v>
      </c>
      <c r="G20" s="22">
        <f ca="1">IFERROR(HLOOKUP(C20,Rango_Admin_DailyClas,4,FALSE),"-")</f>
        <v>4</v>
      </c>
      <c r="H20" s="429">
        <f ca="1">IFERROR(VLOOKUP(H$2,Rango_Admin_DailyPred,MATCH($F20,Rango_Admin_DailyPred_Primera,0)+1,0),"-")</f>
        <v>4</v>
      </c>
      <c r="I20" s="429" t="str">
        <f ca="1">IFERROR(VLOOKUP(I$2,Rango_Admin_DailyPred,MATCH($F20,Rango_Admin_DailyPred_Primera,0)+1,0),"-")</f>
        <v>-</v>
      </c>
      <c r="J20" s="429" t="str">
        <f ca="1">IFERROR(VLOOKUP(J$2,Rango_Admin_DailyPred,MATCH($F20,Rango_Admin_DailyPred_Primera,0)+1,0),"-")</f>
        <v>-</v>
      </c>
      <c r="K20" s="429" t="str">
        <f ca="1">IFERROR(VLOOKUP(K$2,Rango_Admin_DailyPred,MATCH($F20,Rango_Admin_DailyPred_Primera,0)+1,0),"-")</f>
        <v>-</v>
      </c>
      <c r="L20" s="429" t="str">
        <f ca="1">IFERROR(VLOOKUP(L$2,Rango_Admin_DailyPred,MATCH($F20,Rango_Admin_DailyPred_Primera,0)+1,0),"-")</f>
        <v>-</v>
      </c>
      <c r="M20" s="429" t="str">
        <f ca="1">IFERROR(VLOOKUP(M$2,Rango_Admin_DailyPred,MATCH($F20,Rango_Admin_DailyPred_Primera,0)+1,0),"-")</f>
        <v>-</v>
      </c>
      <c r="N20" s="429" t="str">
        <f ca="1">IFERROR(VLOOKUP(N$2,Rango_Admin_DailyPred,MATCH($F20,Rango_Admin_DailyPred_Primera,0)+1,0),"-")</f>
        <v>-</v>
      </c>
      <c r="O20" s="429" t="str">
        <f ca="1">IFERROR(VLOOKUP(O$2,Rango_Admin_DailyPred,MATCH($F20,Rango_Admin_DailyPred_Primera,0)+1,0),"-")</f>
        <v>-</v>
      </c>
      <c r="P20" s="429" t="str">
        <f ca="1">IFERROR(VLOOKUP(P$2,Rango_Admin_DailyPred,MATCH($F20,Rango_Admin_DailyPred_Primera,0)+1,0),"-")</f>
        <v>-</v>
      </c>
      <c r="Q20" s="429" t="str">
        <f ca="1">IFERROR(VLOOKUP(Q$2,Rango_Admin_DailyPred,MATCH($F20,Rango_Admin_DailyPred_Primera,0)+1,0),"-")</f>
        <v>-</v>
      </c>
      <c r="R20" s="429" t="str">
        <f ca="1">IFERROR(VLOOKUP(R$2,Rango_Admin_DailyPred,MATCH($F20,Rango_Admin_DailyPred_Primera,0)+1,0),"-")</f>
        <v>-</v>
      </c>
      <c r="S20" s="429" t="str">
        <f ca="1">IFERROR(VLOOKUP(S$2,Rango_Admin_DailyPred,MATCH($F20,Rango_Admin_DailyPred_Primera,0)+1,0),"-")</f>
        <v>-</v>
      </c>
      <c r="T20" s="429" t="str">
        <f ca="1">IFERROR(VLOOKUP(T$2,Rango_Admin_DailyPred,MATCH($F20,Rango_Admin_DailyPred_Primera,0)+1,0),"-")</f>
        <v>-</v>
      </c>
      <c r="U20" s="429" t="str">
        <f ca="1">IFERROR(VLOOKUP(U$2,Rango_Admin_DailyPred,MATCH($F20,Rango_Admin_DailyPred_Primera,0)+1,0),"-")</f>
        <v>-</v>
      </c>
      <c r="V20" s="429" t="str">
        <f ca="1">IFERROR(VLOOKUP(V$2,Rango_Admin_DailyPred,MATCH($F20,Rango_Admin_DailyPred_Primera,0)+1,0),"-")</f>
        <v>-</v>
      </c>
      <c r="W20" s="429" t="str">
        <f ca="1">IFERROR(VLOOKUP(W$2,Rango_Admin_DailyPred,MATCH($F20,Rango_Admin_DailyPred_Primera,0)+1,0),"-")</f>
        <v>-</v>
      </c>
      <c r="X20" s="429" t="str">
        <f ca="1">IFERROR(VLOOKUP(X$2,Rango_Admin_DailyPred,MATCH($F20,Rango_Admin_DailyPred_Primera,0)+1,0),"-")</f>
        <v>-</v>
      </c>
      <c r="Y20" s="429" t="str">
        <f ca="1">IFERROR(VLOOKUP(Y$2,Rango_Admin_DailyPred,MATCH($F20,Rango_Admin_DailyPred_Primera,0)+1,0),"-")</f>
        <v>-</v>
      </c>
      <c r="Z20" s="429" t="str">
        <f ca="1">IFERROR(VLOOKUP(Z$2,Rango_Admin_DailyPred,MATCH($F20,Rango_Admin_DailyPred_Primera,0)+1,0),"-")</f>
        <v>-</v>
      </c>
      <c r="AA20" s="429" t="str">
        <f ca="1">IFERROR(VLOOKUP(AA$2,Rango_Admin_DailyPred,MATCH($F20,Rango_Admin_DailyPred_Primera,0)+1,0),"-")</f>
        <v>-</v>
      </c>
      <c r="AB20" s="429" t="str">
        <f ca="1">IFERROR(VLOOKUP(AB$2,Rango_Admin_DailyPred,MATCH($F20,Rango_Admin_DailyPred_Primera,0)+1,0),"-")</f>
        <v>-</v>
      </c>
      <c r="AC20" s="429" t="str">
        <f ca="1">IFERROR(VLOOKUP(AC$2,Rango_Admin_DailyPred,MATCH($F20,Rango_Admin_DailyPred_Primera,0)+1,0),"-")</f>
        <v>-</v>
      </c>
      <c r="AD20" s="429" t="str">
        <f ca="1">IFERROR(VLOOKUP(AD$2,Rango_Admin_DailyPred,MATCH($F20,Rango_Admin_DailyPred_Primera,0)+1,0),"-")</f>
        <v>-</v>
      </c>
      <c r="AE20" s="429" t="str">
        <f ca="1">IFERROR(VLOOKUP(AE$2,Rango_Admin_DailyPred,MATCH($F20,Rango_Admin_DailyPred_Primera,0)+1,0),"-")</f>
        <v>-</v>
      </c>
      <c r="AF20" s="429" t="str">
        <f ca="1">IFERROR(VLOOKUP(AF$2,Rango_Admin_DailyPred,MATCH($F20,Rango_Admin_DailyPred_Primera,0)+1,0),"-")</f>
        <v>-</v>
      </c>
      <c r="AG20" s="429" t="str">
        <f ca="1">IFERROR(VLOOKUP(AG$2,Rango_Admin_DailyPred,MATCH($F20,Rango_Admin_DailyPred_Primera,0)+1,0),"-")</f>
        <v>-</v>
      </c>
      <c r="AH20" s="429" t="str">
        <f ca="1">IFERROR(VLOOKUP(AH$2,Rango_Admin_DailyPred,MATCH($F20,Rango_Admin_DailyPred_Primera,0)+1,0),"-")</f>
        <v>-</v>
      </c>
      <c r="AI20" s="429" t="str">
        <f ca="1">IFERROR(VLOOKUP(AI$2,Rango_Admin_DailyPred,MATCH($F20,Rango_Admin_DailyPred_Primera,0)+1,0),"-")</f>
        <v>-</v>
      </c>
      <c r="AJ20" s="429" t="str">
        <f ca="1">IFERROR(VLOOKUP(AJ$2,Rango_Admin_DailyPred,MATCH($F20,Rango_Admin_DailyPred_Primera,0)+1,0),"-")</f>
        <v>-</v>
      </c>
      <c r="AK20" s="429" t="str">
        <f ca="1">IFERROR(VLOOKUP(AK$2,Rango_Admin_DailyPred,MATCH($F20,Rango_Admin_DailyPred_Primera,0)+1,0),"-")</f>
        <v>-</v>
      </c>
      <c r="AL20" s="429" t="str">
        <f ca="1">IFERROR(VLOOKUP(AL$2,Rango_Admin_DailyPred,MATCH($F20,Rango_Admin_DailyPred_Primera,0)+1,0),"-")</f>
        <v>-</v>
      </c>
      <c r="AM20" s="429" t="str">
        <f ca="1">IFERROR(VLOOKUP(AM$2,Rango_Admin_DailyPred,MATCH($F20,Rango_Admin_DailyPred_Primera,0)+1,0),"-")</f>
        <v>-</v>
      </c>
      <c r="AN20" s="297"/>
    </row>
    <row r="21" spans="1:40">
      <c r="A21" s="8" t="str" cm="1">
        <f t="array" aca="1" ref="A21" ca="1">IFERROR(INDEX(ADMIN!$K$6:$K$258,SMALL(IF(ADMIN!$G$6:$G$258=$K$1,ROW(ADMIN!$G$6:$G$258)-ROW(ADMIN!$G$6)+1),ROWS($A$1:A18))),"")</f>
        <v/>
      </c>
      <c r="B21" s="8"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C21" s="8">
        <v>18</v>
      </c>
      <c r="D21" s="19"/>
      <c r="E21" s="409">
        <f ca="1">IFERROR(HLOOKUP(C21,Rango_Admin_DailyClas,3,FALSE),"-")</f>
        <v>1</v>
      </c>
      <c r="F21" s="448" t="str">
        <f ca="1">IFERROR(HLOOKUP(C21,Rango_Admin_DailyClas,5,FALSE),"-")</f>
        <v>IGNACIO LAFUENTE</v>
      </c>
      <c r="G21" s="22">
        <f ca="1">IFERROR(HLOOKUP(C21,Rango_Admin_DailyClas,4,FALSE),"-")</f>
        <v>4</v>
      </c>
      <c r="H21" s="429">
        <f ca="1">IFERROR(VLOOKUP(H$2,Rango_Admin_DailyPred,MATCH($F21,Rango_Admin_DailyPred_Primera,0)+1,0),"-")</f>
        <v>4</v>
      </c>
      <c r="I21" s="429" t="str">
        <f ca="1">IFERROR(VLOOKUP(I$2,Rango_Admin_DailyPred,MATCH($F21,Rango_Admin_DailyPred_Primera,0)+1,0),"-")</f>
        <v>-</v>
      </c>
      <c r="J21" s="429" t="str">
        <f ca="1">IFERROR(VLOOKUP(J$2,Rango_Admin_DailyPred,MATCH($F21,Rango_Admin_DailyPred_Primera,0)+1,0),"-")</f>
        <v>-</v>
      </c>
      <c r="K21" s="429" t="str">
        <f ca="1">IFERROR(VLOOKUP(K$2,Rango_Admin_DailyPred,MATCH($F21,Rango_Admin_DailyPred_Primera,0)+1,0),"-")</f>
        <v>-</v>
      </c>
      <c r="L21" s="429" t="str">
        <f ca="1">IFERROR(VLOOKUP(L$2,Rango_Admin_DailyPred,MATCH($F21,Rango_Admin_DailyPred_Primera,0)+1,0),"-")</f>
        <v>-</v>
      </c>
      <c r="M21" s="429" t="str">
        <f ca="1">IFERROR(VLOOKUP(M$2,Rango_Admin_DailyPred,MATCH($F21,Rango_Admin_DailyPred_Primera,0)+1,0),"-")</f>
        <v>-</v>
      </c>
      <c r="N21" s="429" t="str">
        <f ca="1">IFERROR(VLOOKUP(N$2,Rango_Admin_DailyPred,MATCH($F21,Rango_Admin_DailyPred_Primera,0)+1,0),"-")</f>
        <v>-</v>
      </c>
      <c r="O21" s="429" t="str">
        <f ca="1">IFERROR(VLOOKUP(O$2,Rango_Admin_DailyPred,MATCH($F21,Rango_Admin_DailyPred_Primera,0)+1,0),"-")</f>
        <v>-</v>
      </c>
      <c r="P21" s="429" t="str">
        <f ca="1">IFERROR(VLOOKUP(P$2,Rango_Admin_DailyPred,MATCH($F21,Rango_Admin_DailyPred_Primera,0)+1,0),"-")</f>
        <v>-</v>
      </c>
      <c r="Q21" s="429" t="str">
        <f ca="1">IFERROR(VLOOKUP(Q$2,Rango_Admin_DailyPred,MATCH($F21,Rango_Admin_DailyPred_Primera,0)+1,0),"-")</f>
        <v>-</v>
      </c>
      <c r="R21" s="429" t="str">
        <f ca="1">IFERROR(VLOOKUP(R$2,Rango_Admin_DailyPred,MATCH($F21,Rango_Admin_DailyPred_Primera,0)+1,0),"-")</f>
        <v>-</v>
      </c>
      <c r="S21" s="429" t="str">
        <f ca="1">IFERROR(VLOOKUP(S$2,Rango_Admin_DailyPred,MATCH($F21,Rango_Admin_DailyPred_Primera,0)+1,0),"-")</f>
        <v>-</v>
      </c>
      <c r="T21" s="429" t="str">
        <f ca="1">IFERROR(VLOOKUP(T$2,Rango_Admin_DailyPred,MATCH($F21,Rango_Admin_DailyPred_Primera,0)+1,0),"-")</f>
        <v>-</v>
      </c>
      <c r="U21" s="429" t="str">
        <f ca="1">IFERROR(VLOOKUP(U$2,Rango_Admin_DailyPred,MATCH($F21,Rango_Admin_DailyPred_Primera,0)+1,0),"-")</f>
        <v>-</v>
      </c>
      <c r="V21" s="429" t="str">
        <f ca="1">IFERROR(VLOOKUP(V$2,Rango_Admin_DailyPred,MATCH($F21,Rango_Admin_DailyPred_Primera,0)+1,0),"-")</f>
        <v>-</v>
      </c>
      <c r="W21" s="429" t="str">
        <f ca="1">IFERROR(VLOOKUP(W$2,Rango_Admin_DailyPred,MATCH($F21,Rango_Admin_DailyPred_Primera,0)+1,0),"-")</f>
        <v>-</v>
      </c>
      <c r="X21" s="429" t="str">
        <f ca="1">IFERROR(VLOOKUP(X$2,Rango_Admin_DailyPred,MATCH($F21,Rango_Admin_DailyPred_Primera,0)+1,0),"-")</f>
        <v>-</v>
      </c>
      <c r="Y21" s="429" t="str">
        <f ca="1">IFERROR(VLOOKUP(Y$2,Rango_Admin_DailyPred,MATCH($F21,Rango_Admin_DailyPred_Primera,0)+1,0),"-")</f>
        <v>-</v>
      </c>
      <c r="Z21" s="429" t="str">
        <f ca="1">IFERROR(VLOOKUP(Z$2,Rango_Admin_DailyPred,MATCH($F21,Rango_Admin_DailyPred_Primera,0)+1,0),"-")</f>
        <v>-</v>
      </c>
      <c r="AA21" s="429" t="str">
        <f ca="1">IFERROR(VLOOKUP(AA$2,Rango_Admin_DailyPred,MATCH($F21,Rango_Admin_DailyPred_Primera,0)+1,0),"-")</f>
        <v>-</v>
      </c>
      <c r="AB21" s="429" t="str">
        <f ca="1">IFERROR(VLOOKUP(AB$2,Rango_Admin_DailyPred,MATCH($F21,Rango_Admin_DailyPred_Primera,0)+1,0),"-")</f>
        <v>-</v>
      </c>
      <c r="AC21" s="429" t="str">
        <f ca="1">IFERROR(VLOOKUP(AC$2,Rango_Admin_DailyPred,MATCH($F21,Rango_Admin_DailyPred_Primera,0)+1,0),"-")</f>
        <v>-</v>
      </c>
      <c r="AD21" s="429" t="str">
        <f ca="1">IFERROR(VLOOKUP(AD$2,Rango_Admin_DailyPred,MATCH($F21,Rango_Admin_DailyPred_Primera,0)+1,0),"-")</f>
        <v>-</v>
      </c>
      <c r="AE21" s="429" t="str">
        <f ca="1">IFERROR(VLOOKUP(AE$2,Rango_Admin_DailyPred,MATCH($F21,Rango_Admin_DailyPred_Primera,0)+1,0),"-")</f>
        <v>-</v>
      </c>
      <c r="AF21" s="429" t="str">
        <f ca="1">IFERROR(VLOOKUP(AF$2,Rango_Admin_DailyPred,MATCH($F21,Rango_Admin_DailyPred_Primera,0)+1,0),"-")</f>
        <v>-</v>
      </c>
      <c r="AG21" s="429" t="str">
        <f ca="1">IFERROR(VLOOKUP(AG$2,Rango_Admin_DailyPred,MATCH($F21,Rango_Admin_DailyPred_Primera,0)+1,0),"-")</f>
        <v>-</v>
      </c>
      <c r="AH21" s="429" t="str">
        <f ca="1">IFERROR(VLOOKUP(AH$2,Rango_Admin_DailyPred,MATCH($F21,Rango_Admin_DailyPred_Primera,0)+1,0),"-")</f>
        <v>-</v>
      </c>
      <c r="AI21" s="429" t="str">
        <f ca="1">IFERROR(VLOOKUP(AI$2,Rango_Admin_DailyPred,MATCH($F21,Rango_Admin_DailyPred_Primera,0)+1,0),"-")</f>
        <v>-</v>
      </c>
      <c r="AJ21" s="429" t="str">
        <f ca="1">IFERROR(VLOOKUP(AJ$2,Rango_Admin_DailyPred,MATCH($F21,Rango_Admin_DailyPred_Primera,0)+1,0),"-")</f>
        <v>-</v>
      </c>
      <c r="AK21" s="429" t="str">
        <f ca="1">IFERROR(VLOOKUP(AK$2,Rango_Admin_DailyPred,MATCH($F21,Rango_Admin_DailyPred_Primera,0)+1,0),"-")</f>
        <v>-</v>
      </c>
      <c r="AL21" s="429" t="str">
        <f ca="1">IFERROR(VLOOKUP(AL$2,Rango_Admin_DailyPred,MATCH($F21,Rango_Admin_DailyPred_Primera,0)+1,0),"-")</f>
        <v>-</v>
      </c>
      <c r="AM21" s="429" t="str">
        <f ca="1">IFERROR(VLOOKUP(AM$2,Rango_Admin_DailyPred,MATCH($F21,Rango_Admin_DailyPred_Primera,0)+1,0),"-")</f>
        <v>-</v>
      </c>
      <c r="AN21" s="297"/>
    </row>
    <row r="22" spans="1:40">
      <c r="A22" s="8" t="str" cm="1">
        <f t="array" aca="1" ref="A22" ca="1">IFERROR(INDEX(ADMIN!$K$6:$K$258,SMALL(IF(ADMIN!$G$6:$G$258=$K$1,ROW(ADMIN!$G$6:$G$258)-ROW(ADMIN!$G$6)+1),ROWS($A$1:A19))),"")</f>
        <v/>
      </c>
      <c r="B22" s="8"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C22" s="8">
        <v>19</v>
      </c>
      <c r="D22" s="19"/>
      <c r="E22" s="409">
        <f ca="1">IFERROR(HLOOKUP(C22,Rango_Admin_DailyClas,3,FALSE),"-")</f>
        <v>1</v>
      </c>
      <c r="F22" s="448" t="str">
        <f ca="1">IFERROR(HLOOKUP(C22,Rango_Admin_DailyClas,5,FALSE),"-")</f>
        <v>DIDI</v>
      </c>
      <c r="G22" s="22">
        <f ca="1">IFERROR(HLOOKUP(C22,Rango_Admin_DailyClas,4,FALSE),"-")</f>
        <v>4</v>
      </c>
      <c r="H22" s="429">
        <f ca="1">IFERROR(VLOOKUP(H$2,Rango_Admin_DailyPred,MATCH($F22,Rango_Admin_DailyPred_Primera,0)+1,0),"-")</f>
        <v>4</v>
      </c>
      <c r="I22" s="429" t="str">
        <f ca="1">IFERROR(VLOOKUP(I$2,Rango_Admin_DailyPred,MATCH($F22,Rango_Admin_DailyPred_Primera,0)+1,0),"-")</f>
        <v>-</v>
      </c>
      <c r="J22" s="429" t="str">
        <f ca="1">IFERROR(VLOOKUP(J$2,Rango_Admin_DailyPred,MATCH($F22,Rango_Admin_DailyPred_Primera,0)+1,0),"-")</f>
        <v>-</v>
      </c>
      <c r="K22" s="429" t="str">
        <f ca="1">IFERROR(VLOOKUP(K$2,Rango_Admin_DailyPred,MATCH($F22,Rango_Admin_DailyPred_Primera,0)+1,0),"-")</f>
        <v>-</v>
      </c>
      <c r="L22" s="429" t="str">
        <f ca="1">IFERROR(VLOOKUP(L$2,Rango_Admin_DailyPred,MATCH($F22,Rango_Admin_DailyPred_Primera,0)+1,0),"-")</f>
        <v>-</v>
      </c>
      <c r="M22" s="429" t="str">
        <f ca="1">IFERROR(VLOOKUP(M$2,Rango_Admin_DailyPred,MATCH($F22,Rango_Admin_DailyPred_Primera,0)+1,0),"-")</f>
        <v>-</v>
      </c>
      <c r="N22" s="429" t="str">
        <f ca="1">IFERROR(VLOOKUP(N$2,Rango_Admin_DailyPred,MATCH($F22,Rango_Admin_DailyPred_Primera,0)+1,0),"-")</f>
        <v>-</v>
      </c>
      <c r="O22" s="429" t="str">
        <f ca="1">IFERROR(VLOOKUP(O$2,Rango_Admin_DailyPred,MATCH($F22,Rango_Admin_DailyPred_Primera,0)+1,0),"-")</f>
        <v>-</v>
      </c>
      <c r="P22" s="429" t="str">
        <f ca="1">IFERROR(VLOOKUP(P$2,Rango_Admin_DailyPred,MATCH($F22,Rango_Admin_DailyPred_Primera,0)+1,0),"-")</f>
        <v>-</v>
      </c>
      <c r="Q22" s="429" t="str">
        <f ca="1">IFERROR(VLOOKUP(Q$2,Rango_Admin_DailyPred,MATCH($F22,Rango_Admin_DailyPred_Primera,0)+1,0),"-")</f>
        <v>-</v>
      </c>
      <c r="R22" s="429" t="str">
        <f ca="1">IFERROR(VLOOKUP(R$2,Rango_Admin_DailyPred,MATCH($F22,Rango_Admin_DailyPred_Primera,0)+1,0),"-")</f>
        <v>-</v>
      </c>
      <c r="S22" s="429" t="str">
        <f ca="1">IFERROR(VLOOKUP(S$2,Rango_Admin_DailyPred,MATCH($F22,Rango_Admin_DailyPred_Primera,0)+1,0),"-")</f>
        <v>-</v>
      </c>
      <c r="T22" s="429" t="str">
        <f ca="1">IFERROR(VLOOKUP(T$2,Rango_Admin_DailyPred,MATCH($F22,Rango_Admin_DailyPred_Primera,0)+1,0),"-")</f>
        <v>-</v>
      </c>
      <c r="U22" s="429" t="str">
        <f ca="1">IFERROR(VLOOKUP(U$2,Rango_Admin_DailyPred,MATCH($F22,Rango_Admin_DailyPred_Primera,0)+1,0),"-")</f>
        <v>-</v>
      </c>
      <c r="V22" s="429" t="str">
        <f ca="1">IFERROR(VLOOKUP(V$2,Rango_Admin_DailyPred,MATCH($F22,Rango_Admin_DailyPred_Primera,0)+1,0),"-")</f>
        <v>-</v>
      </c>
      <c r="W22" s="429" t="str">
        <f ca="1">IFERROR(VLOOKUP(W$2,Rango_Admin_DailyPred,MATCH($F22,Rango_Admin_DailyPred_Primera,0)+1,0),"-")</f>
        <v>-</v>
      </c>
      <c r="X22" s="429" t="str">
        <f ca="1">IFERROR(VLOOKUP(X$2,Rango_Admin_DailyPred,MATCH($F22,Rango_Admin_DailyPred_Primera,0)+1,0),"-")</f>
        <v>-</v>
      </c>
      <c r="Y22" s="429" t="str">
        <f ca="1">IFERROR(VLOOKUP(Y$2,Rango_Admin_DailyPred,MATCH($F22,Rango_Admin_DailyPred_Primera,0)+1,0),"-")</f>
        <v>-</v>
      </c>
      <c r="Z22" s="429" t="str">
        <f ca="1">IFERROR(VLOOKUP(Z$2,Rango_Admin_DailyPred,MATCH($F22,Rango_Admin_DailyPred_Primera,0)+1,0),"-")</f>
        <v>-</v>
      </c>
      <c r="AA22" s="429" t="str">
        <f ca="1">IFERROR(VLOOKUP(AA$2,Rango_Admin_DailyPred,MATCH($F22,Rango_Admin_DailyPred_Primera,0)+1,0),"-")</f>
        <v>-</v>
      </c>
      <c r="AB22" s="429" t="str">
        <f ca="1">IFERROR(VLOOKUP(AB$2,Rango_Admin_DailyPred,MATCH($F22,Rango_Admin_DailyPred_Primera,0)+1,0),"-")</f>
        <v>-</v>
      </c>
      <c r="AC22" s="429" t="str">
        <f ca="1">IFERROR(VLOOKUP(AC$2,Rango_Admin_DailyPred,MATCH($F22,Rango_Admin_DailyPred_Primera,0)+1,0),"-")</f>
        <v>-</v>
      </c>
      <c r="AD22" s="429" t="str">
        <f ca="1">IFERROR(VLOOKUP(AD$2,Rango_Admin_DailyPred,MATCH($F22,Rango_Admin_DailyPred_Primera,0)+1,0),"-")</f>
        <v>-</v>
      </c>
      <c r="AE22" s="429" t="str">
        <f ca="1">IFERROR(VLOOKUP(AE$2,Rango_Admin_DailyPred,MATCH($F22,Rango_Admin_DailyPred_Primera,0)+1,0),"-")</f>
        <v>-</v>
      </c>
      <c r="AF22" s="429" t="str">
        <f ca="1">IFERROR(VLOOKUP(AF$2,Rango_Admin_DailyPred,MATCH($F22,Rango_Admin_DailyPred_Primera,0)+1,0),"-")</f>
        <v>-</v>
      </c>
      <c r="AG22" s="429" t="str">
        <f ca="1">IFERROR(VLOOKUP(AG$2,Rango_Admin_DailyPred,MATCH($F22,Rango_Admin_DailyPred_Primera,0)+1,0),"-")</f>
        <v>-</v>
      </c>
      <c r="AH22" s="429" t="str">
        <f ca="1">IFERROR(VLOOKUP(AH$2,Rango_Admin_DailyPred,MATCH($F22,Rango_Admin_DailyPred_Primera,0)+1,0),"-")</f>
        <v>-</v>
      </c>
      <c r="AI22" s="429" t="str">
        <f ca="1">IFERROR(VLOOKUP(AI$2,Rango_Admin_DailyPred,MATCH($F22,Rango_Admin_DailyPred_Primera,0)+1,0),"-")</f>
        <v>-</v>
      </c>
      <c r="AJ22" s="429" t="str">
        <f ca="1">IFERROR(VLOOKUP(AJ$2,Rango_Admin_DailyPred,MATCH($F22,Rango_Admin_DailyPred_Primera,0)+1,0),"-")</f>
        <v>-</v>
      </c>
      <c r="AK22" s="429" t="str">
        <f ca="1">IFERROR(VLOOKUP(AK$2,Rango_Admin_DailyPred,MATCH($F22,Rango_Admin_DailyPred_Primera,0)+1,0),"-")</f>
        <v>-</v>
      </c>
      <c r="AL22" s="429" t="str">
        <f ca="1">IFERROR(VLOOKUP(AL$2,Rango_Admin_DailyPred,MATCH($F22,Rango_Admin_DailyPred_Primera,0)+1,0),"-")</f>
        <v>-</v>
      </c>
      <c r="AM22" s="429" t="str">
        <f ca="1">IFERROR(VLOOKUP(AM$2,Rango_Admin_DailyPred,MATCH($F22,Rango_Admin_DailyPred_Primera,0)+1,0),"-")</f>
        <v>-</v>
      </c>
      <c r="AN22" s="297"/>
    </row>
    <row r="23" spans="1:40">
      <c r="A23" s="8" t="str" cm="1">
        <f t="array" aca="1" ref="A23" ca="1">IFERROR(INDEX(ADMIN!$K$6:$K$258,SMALL(IF(ADMIN!$G$6:$G$258=$K$1,ROW(ADMIN!$G$6:$G$258)-ROW(ADMIN!$G$6)+1),ROWS($A$1:A20))),"")</f>
        <v/>
      </c>
      <c r="B23" s="8"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C23" s="8">
        <v>20</v>
      </c>
      <c r="D23" s="19"/>
      <c r="E23" s="409">
        <f ca="1">IFERROR(HLOOKUP(C23,Rango_Admin_DailyClas,3,FALSE),"-")</f>
        <v>1</v>
      </c>
      <c r="F23" s="448" t="str">
        <f ca="1">IFERROR(HLOOKUP(C23,Rango_Admin_DailyClas,5,FALSE),"-")</f>
        <v xml:space="preserve">Ignacio Núñez </v>
      </c>
      <c r="G23" s="22">
        <f ca="1">IFERROR(HLOOKUP(C23,Rango_Admin_DailyClas,4,FALSE),"-")</f>
        <v>4</v>
      </c>
      <c r="H23" s="429">
        <f ca="1">IFERROR(VLOOKUP(H$2,Rango_Admin_DailyPred,MATCH($F23,Rango_Admin_DailyPred_Primera,0)+1,0),"-")</f>
        <v>4</v>
      </c>
      <c r="I23" s="429" t="str">
        <f ca="1">IFERROR(VLOOKUP(I$2,Rango_Admin_DailyPred,MATCH($F23,Rango_Admin_DailyPred_Primera,0)+1,0),"-")</f>
        <v>-</v>
      </c>
      <c r="J23" s="429" t="str">
        <f ca="1">IFERROR(VLOOKUP(J$2,Rango_Admin_DailyPred,MATCH($F23,Rango_Admin_DailyPred_Primera,0)+1,0),"-")</f>
        <v>-</v>
      </c>
      <c r="K23" s="429" t="str">
        <f ca="1">IFERROR(VLOOKUP(K$2,Rango_Admin_DailyPred,MATCH($F23,Rango_Admin_DailyPred_Primera,0)+1,0),"-")</f>
        <v>-</v>
      </c>
      <c r="L23" s="429" t="str">
        <f ca="1">IFERROR(VLOOKUP(L$2,Rango_Admin_DailyPred,MATCH($F23,Rango_Admin_DailyPred_Primera,0)+1,0),"-")</f>
        <v>-</v>
      </c>
      <c r="M23" s="429" t="str">
        <f ca="1">IFERROR(VLOOKUP(M$2,Rango_Admin_DailyPred,MATCH($F23,Rango_Admin_DailyPred_Primera,0)+1,0),"-")</f>
        <v>-</v>
      </c>
      <c r="N23" s="429" t="str">
        <f ca="1">IFERROR(VLOOKUP(N$2,Rango_Admin_DailyPred,MATCH($F23,Rango_Admin_DailyPred_Primera,0)+1,0),"-")</f>
        <v>-</v>
      </c>
      <c r="O23" s="429" t="str">
        <f ca="1">IFERROR(VLOOKUP(O$2,Rango_Admin_DailyPred,MATCH($F23,Rango_Admin_DailyPred_Primera,0)+1,0),"-")</f>
        <v>-</v>
      </c>
      <c r="P23" s="429" t="str">
        <f ca="1">IFERROR(VLOOKUP(P$2,Rango_Admin_DailyPred,MATCH($F23,Rango_Admin_DailyPred_Primera,0)+1,0),"-")</f>
        <v>-</v>
      </c>
      <c r="Q23" s="429" t="str">
        <f ca="1">IFERROR(VLOOKUP(Q$2,Rango_Admin_DailyPred,MATCH($F23,Rango_Admin_DailyPred_Primera,0)+1,0),"-")</f>
        <v>-</v>
      </c>
      <c r="R23" s="429" t="str">
        <f ca="1">IFERROR(VLOOKUP(R$2,Rango_Admin_DailyPred,MATCH($F23,Rango_Admin_DailyPred_Primera,0)+1,0),"-")</f>
        <v>-</v>
      </c>
      <c r="S23" s="429" t="str">
        <f ca="1">IFERROR(VLOOKUP(S$2,Rango_Admin_DailyPred,MATCH($F23,Rango_Admin_DailyPred_Primera,0)+1,0),"-")</f>
        <v>-</v>
      </c>
      <c r="T23" s="429" t="str">
        <f ca="1">IFERROR(VLOOKUP(T$2,Rango_Admin_DailyPred,MATCH($F23,Rango_Admin_DailyPred_Primera,0)+1,0),"-")</f>
        <v>-</v>
      </c>
      <c r="U23" s="429" t="str">
        <f ca="1">IFERROR(VLOOKUP(U$2,Rango_Admin_DailyPred,MATCH($F23,Rango_Admin_DailyPred_Primera,0)+1,0),"-")</f>
        <v>-</v>
      </c>
      <c r="V23" s="429" t="str">
        <f ca="1">IFERROR(VLOOKUP(V$2,Rango_Admin_DailyPred,MATCH($F23,Rango_Admin_DailyPred_Primera,0)+1,0),"-")</f>
        <v>-</v>
      </c>
      <c r="W23" s="429" t="str">
        <f ca="1">IFERROR(VLOOKUP(W$2,Rango_Admin_DailyPred,MATCH($F23,Rango_Admin_DailyPred_Primera,0)+1,0),"-")</f>
        <v>-</v>
      </c>
      <c r="X23" s="429" t="str">
        <f ca="1">IFERROR(VLOOKUP(X$2,Rango_Admin_DailyPred,MATCH($F23,Rango_Admin_DailyPred_Primera,0)+1,0),"-")</f>
        <v>-</v>
      </c>
      <c r="Y23" s="429" t="str">
        <f ca="1">IFERROR(VLOOKUP(Y$2,Rango_Admin_DailyPred,MATCH($F23,Rango_Admin_DailyPred_Primera,0)+1,0),"-")</f>
        <v>-</v>
      </c>
      <c r="Z23" s="429" t="str">
        <f ca="1">IFERROR(VLOOKUP(Z$2,Rango_Admin_DailyPred,MATCH($F23,Rango_Admin_DailyPred_Primera,0)+1,0),"-")</f>
        <v>-</v>
      </c>
      <c r="AA23" s="429" t="str">
        <f ca="1">IFERROR(VLOOKUP(AA$2,Rango_Admin_DailyPred,MATCH($F23,Rango_Admin_DailyPred_Primera,0)+1,0),"-")</f>
        <v>-</v>
      </c>
      <c r="AB23" s="429" t="str">
        <f ca="1">IFERROR(VLOOKUP(AB$2,Rango_Admin_DailyPred,MATCH($F23,Rango_Admin_DailyPred_Primera,0)+1,0),"-")</f>
        <v>-</v>
      </c>
      <c r="AC23" s="429" t="str">
        <f ca="1">IFERROR(VLOOKUP(AC$2,Rango_Admin_DailyPred,MATCH($F23,Rango_Admin_DailyPred_Primera,0)+1,0),"-")</f>
        <v>-</v>
      </c>
      <c r="AD23" s="429" t="str">
        <f ca="1">IFERROR(VLOOKUP(AD$2,Rango_Admin_DailyPred,MATCH($F23,Rango_Admin_DailyPred_Primera,0)+1,0),"-")</f>
        <v>-</v>
      </c>
      <c r="AE23" s="429" t="str">
        <f ca="1">IFERROR(VLOOKUP(AE$2,Rango_Admin_DailyPred,MATCH($F23,Rango_Admin_DailyPred_Primera,0)+1,0),"-")</f>
        <v>-</v>
      </c>
      <c r="AF23" s="429" t="str">
        <f ca="1">IFERROR(VLOOKUP(AF$2,Rango_Admin_DailyPred,MATCH($F23,Rango_Admin_DailyPred_Primera,0)+1,0),"-")</f>
        <v>-</v>
      </c>
      <c r="AG23" s="429" t="str">
        <f ca="1">IFERROR(VLOOKUP(AG$2,Rango_Admin_DailyPred,MATCH($F23,Rango_Admin_DailyPred_Primera,0)+1,0),"-")</f>
        <v>-</v>
      </c>
      <c r="AH23" s="429" t="str">
        <f ca="1">IFERROR(VLOOKUP(AH$2,Rango_Admin_DailyPred,MATCH($F23,Rango_Admin_DailyPred_Primera,0)+1,0),"-")</f>
        <v>-</v>
      </c>
      <c r="AI23" s="429" t="str">
        <f ca="1">IFERROR(VLOOKUP(AI$2,Rango_Admin_DailyPred,MATCH($F23,Rango_Admin_DailyPred_Primera,0)+1,0),"-")</f>
        <v>-</v>
      </c>
      <c r="AJ23" s="429" t="str">
        <f ca="1">IFERROR(VLOOKUP(AJ$2,Rango_Admin_DailyPred,MATCH($F23,Rango_Admin_DailyPred_Primera,0)+1,0),"-")</f>
        <v>-</v>
      </c>
      <c r="AK23" s="429" t="str">
        <f ca="1">IFERROR(VLOOKUP(AK$2,Rango_Admin_DailyPred,MATCH($F23,Rango_Admin_DailyPred_Primera,0)+1,0),"-")</f>
        <v>-</v>
      </c>
      <c r="AL23" s="429" t="str">
        <f ca="1">IFERROR(VLOOKUP(AL$2,Rango_Admin_DailyPred,MATCH($F23,Rango_Admin_DailyPred_Primera,0)+1,0),"-")</f>
        <v>-</v>
      </c>
      <c r="AM23" s="429" t="str">
        <f ca="1">IFERROR(VLOOKUP(AM$2,Rango_Admin_DailyPred,MATCH($F23,Rango_Admin_DailyPred_Primera,0)+1,0),"-")</f>
        <v>-</v>
      </c>
      <c r="AN23" s="297"/>
    </row>
    <row r="24" spans="1:40">
      <c r="A24" s="8" t="str" cm="1">
        <f t="array" aca="1" ref="A24" ca="1">IFERROR(INDEX(ADMIN!$K$6:$K$258,SMALL(IF(ADMIN!$G$6:$G$258=$K$1,ROW(ADMIN!$G$6:$G$258)-ROW(ADMIN!$G$6)+1),ROWS($A$1:A21))),"")</f>
        <v/>
      </c>
      <c r="B24" s="8"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C24" s="8">
        <v>21</v>
      </c>
      <c r="D24" s="19"/>
      <c r="E24" s="409">
        <f ca="1">IFERROR(HLOOKUP(C24,Rango_Admin_DailyClas,3,FALSE),"-")</f>
        <v>21</v>
      </c>
      <c r="F24" s="448" t="str">
        <f ca="1">IFERROR(HLOOKUP(C24,Rango_Admin_DailyClas,5,FALSE),"-")</f>
        <v>Kurtischamp</v>
      </c>
      <c r="G24" s="22">
        <f ca="1">IFERROR(HLOOKUP(C24,Rango_Admin_DailyClas,4,FALSE),"-")</f>
        <v>2</v>
      </c>
      <c r="H24" s="429">
        <f ca="1">IFERROR(VLOOKUP(H$2,Rango_Admin_DailyPred,MATCH($F24,Rango_Admin_DailyPred_Primera,0)+1,0),"-")</f>
        <v>2</v>
      </c>
      <c r="I24" s="429" t="str">
        <f ca="1">IFERROR(VLOOKUP(I$2,Rango_Admin_DailyPred,MATCH($F24,Rango_Admin_DailyPred_Primera,0)+1,0),"-")</f>
        <v>-</v>
      </c>
      <c r="J24" s="429" t="str">
        <f ca="1">IFERROR(VLOOKUP(J$2,Rango_Admin_DailyPred,MATCH($F24,Rango_Admin_DailyPred_Primera,0)+1,0),"-")</f>
        <v>-</v>
      </c>
      <c r="K24" s="429" t="str">
        <f ca="1">IFERROR(VLOOKUP(K$2,Rango_Admin_DailyPred,MATCH($F24,Rango_Admin_DailyPred_Primera,0)+1,0),"-")</f>
        <v>-</v>
      </c>
      <c r="L24" s="429" t="str">
        <f ca="1">IFERROR(VLOOKUP(L$2,Rango_Admin_DailyPred,MATCH($F24,Rango_Admin_DailyPred_Primera,0)+1,0),"-")</f>
        <v>-</v>
      </c>
      <c r="M24" s="429" t="str">
        <f ca="1">IFERROR(VLOOKUP(M$2,Rango_Admin_DailyPred,MATCH($F24,Rango_Admin_DailyPred_Primera,0)+1,0),"-")</f>
        <v>-</v>
      </c>
      <c r="N24" s="429" t="str">
        <f ca="1">IFERROR(VLOOKUP(N$2,Rango_Admin_DailyPred,MATCH($F24,Rango_Admin_DailyPred_Primera,0)+1,0),"-")</f>
        <v>-</v>
      </c>
      <c r="O24" s="429" t="str">
        <f ca="1">IFERROR(VLOOKUP(O$2,Rango_Admin_DailyPred,MATCH($F24,Rango_Admin_DailyPred_Primera,0)+1,0),"-")</f>
        <v>-</v>
      </c>
      <c r="P24" s="429" t="str">
        <f ca="1">IFERROR(VLOOKUP(P$2,Rango_Admin_DailyPred,MATCH($F24,Rango_Admin_DailyPred_Primera,0)+1,0),"-")</f>
        <v>-</v>
      </c>
      <c r="Q24" s="429" t="str">
        <f ca="1">IFERROR(VLOOKUP(Q$2,Rango_Admin_DailyPred,MATCH($F24,Rango_Admin_DailyPred_Primera,0)+1,0),"-")</f>
        <v>-</v>
      </c>
      <c r="R24" s="429" t="str">
        <f ca="1">IFERROR(VLOOKUP(R$2,Rango_Admin_DailyPred,MATCH($F24,Rango_Admin_DailyPred_Primera,0)+1,0),"-")</f>
        <v>-</v>
      </c>
      <c r="S24" s="429" t="str">
        <f ca="1">IFERROR(VLOOKUP(S$2,Rango_Admin_DailyPred,MATCH($F24,Rango_Admin_DailyPred_Primera,0)+1,0),"-")</f>
        <v>-</v>
      </c>
      <c r="T24" s="429" t="str">
        <f ca="1">IFERROR(VLOOKUP(T$2,Rango_Admin_DailyPred,MATCH($F24,Rango_Admin_DailyPred_Primera,0)+1,0),"-")</f>
        <v>-</v>
      </c>
      <c r="U24" s="429" t="str">
        <f ca="1">IFERROR(VLOOKUP(U$2,Rango_Admin_DailyPred,MATCH($F24,Rango_Admin_DailyPred_Primera,0)+1,0),"-")</f>
        <v>-</v>
      </c>
      <c r="V24" s="429" t="str">
        <f ca="1">IFERROR(VLOOKUP(V$2,Rango_Admin_DailyPred,MATCH($F24,Rango_Admin_DailyPred_Primera,0)+1,0),"-")</f>
        <v>-</v>
      </c>
      <c r="W24" s="429" t="str">
        <f ca="1">IFERROR(VLOOKUP(W$2,Rango_Admin_DailyPred,MATCH($F24,Rango_Admin_DailyPred_Primera,0)+1,0),"-")</f>
        <v>-</v>
      </c>
      <c r="X24" s="429" t="str">
        <f ca="1">IFERROR(VLOOKUP(X$2,Rango_Admin_DailyPred,MATCH($F24,Rango_Admin_DailyPred_Primera,0)+1,0),"-")</f>
        <v>-</v>
      </c>
      <c r="Y24" s="429" t="str">
        <f ca="1">IFERROR(VLOOKUP(Y$2,Rango_Admin_DailyPred,MATCH($F24,Rango_Admin_DailyPred_Primera,0)+1,0),"-")</f>
        <v>-</v>
      </c>
      <c r="Z24" s="429" t="str">
        <f ca="1">IFERROR(VLOOKUP(Z$2,Rango_Admin_DailyPred,MATCH($F24,Rango_Admin_DailyPred_Primera,0)+1,0),"-")</f>
        <v>-</v>
      </c>
      <c r="AA24" s="429" t="str">
        <f ca="1">IFERROR(VLOOKUP(AA$2,Rango_Admin_DailyPred,MATCH($F24,Rango_Admin_DailyPred_Primera,0)+1,0),"-")</f>
        <v>-</v>
      </c>
      <c r="AB24" s="429" t="str">
        <f ca="1">IFERROR(VLOOKUP(AB$2,Rango_Admin_DailyPred,MATCH($F24,Rango_Admin_DailyPred_Primera,0)+1,0),"-")</f>
        <v>-</v>
      </c>
      <c r="AC24" s="429" t="str">
        <f ca="1">IFERROR(VLOOKUP(AC$2,Rango_Admin_DailyPred,MATCH($F24,Rango_Admin_DailyPred_Primera,0)+1,0),"-")</f>
        <v>-</v>
      </c>
      <c r="AD24" s="429" t="str">
        <f ca="1">IFERROR(VLOOKUP(AD$2,Rango_Admin_DailyPred,MATCH($F24,Rango_Admin_DailyPred_Primera,0)+1,0),"-")</f>
        <v>-</v>
      </c>
      <c r="AE24" s="429" t="str">
        <f ca="1">IFERROR(VLOOKUP(AE$2,Rango_Admin_DailyPred,MATCH($F24,Rango_Admin_DailyPred_Primera,0)+1,0),"-")</f>
        <v>-</v>
      </c>
      <c r="AF24" s="429" t="str">
        <f ca="1">IFERROR(VLOOKUP(AF$2,Rango_Admin_DailyPred,MATCH($F24,Rango_Admin_DailyPred_Primera,0)+1,0),"-")</f>
        <v>-</v>
      </c>
      <c r="AG24" s="429" t="str">
        <f ca="1">IFERROR(VLOOKUP(AG$2,Rango_Admin_DailyPred,MATCH($F24,Rango_Admin_DailyPred_Primera,0)+1,0),"-")</f>
        <v>-</v>
      </c>
      <c r="AH24" s="429" t="str">
        <f ca="1">IFERROR(VLOOKUP(AH$2,Rango_Admin_DailyPred,MATCH($F24,Rango_Admin_DailyPred_Primera,0)+1,0),"-")</f>
        <v>-</v>
      </c>
      <c r="AI24" s="429" t="str">
        <f ca="1">IFERROR(VLOOKUP(AI$2,Rango_Admin_DailyPred,MATCH($F24,Rango_Admin_DailyPred_Primera,0)+1,0),"-")</f>
        <v>-</v>
      </c>
      <c r="AJ24" s="429" t="str">
        <f ca="1">IFERROR(VLOOKUP(AJ$2,Rango_Admin_DailyPred,MATCH($F24,Rango_Admin_DailyPred_Primera,0)+1,0),"-")</f>
        <v>-</v>
      </c>
      <c r="AK24" s="429" t="str">
        <f ca="1">IFERROR(VLOOKUP(AK$2,Rango_Admin_DailyPred,MATCH($F24,Rango_Admin_DailyPred_Primera,0)+1,0),"-")</f>
        <v>-</v>
      </c>
      <c r="AL24" s="429" t="str">
        <f ca="1">IFERROR(VLOOKUP(AL$2,Rango_Admin_DailyPred,MATCH($F24,Rango_Admin_DailyPred_Primera,0)+1,0),"-")</f>
        <v>-</v>
      </c>
      <c r="AM24" s="429" t="str">
        <f ca="1">IFERROR(VLOOKUP(AM$2,Rango_Admin_DailyPred,MATCH($F24,Rango_Admin_DailyPred_Primera,0)+1,0),"-")</f>
        <v>-</v>
      </c>
      <c r="AN24" s="297"/>
    </row>
    <row r="25" spans="1:40">
      <c r="A25" s="8" t="str" cm="1">
        <f t="array" aca="1" ref="A25" ca="1">IFERROR(INDEX(ADMIN!$K$6:$K$258,SMALL(IF(ADMIN!$G$6:$G$258=$K$1,ROW(ADMIN!$G$6:$G$258)-ROW(ADMIN!$G$6)+1),ROWS($A$1:A22))),"")</f>
        <v/>
      </c>
      <c r="B25" s="8"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C25" s="8">
        <v>22</v>
      </c>
      <c r="D25" s="19"/>
      <c r="E25" s="409">
        <f ca="1">IFERROR(HLOOKUP(C25,Rango_Admin_DailyClas,3,FALSE),"-")</f>
        <v>21</v>
      </c>
      <c r="F25" s="448" t="str">
        <f ca="1">IFERROR(HLOOKUP(C25,Rango_Admin_DailyClas,5,FALSE),"-")</f>
        <v>AD Monchus</v>
      </c>
      <c r="G25" s="22">
        <f ca="1">IFERROR(HLOOKUP(C25,Rango_Admin_DailyClas,4,FALSE),"-")</f>
        <v>2</v>
      </c>
      <c r="H25" s="429">
        <f ca="1">IFERROR(VLOOKUP(H$2,Rango_Admin_DailyPred,MATCH($F25,Rango_Admin_DailyPred_Primera,0)+1,0),"-")</f>
        <v>2</v>
      </c>
      <c r="I25" s="429" t="str">
        <f ca="1">IFERROR(VLOOKUP(I$2,Rango_Admin_DailyPred,MATCH($F25,Rango_Admin_DailyPred_Primera,0)+1,0),"-")</f>
        <v>-</v>
      </c>
      <c r="J25" s="429" t="str">
        <f ca="1">IFERROR(VLOOKUP(J$2,Rango_Admin_DailyPred,MATCH($F25,Rango_Admin_DailyPred_Primera,0)+1,0),"-")</f>
        <v>-</v>
      </c>
      <c r="K25" s="429" t="str">
        <f ca="1">IFERROR(VLOOKUP(K$2,Rango_Admin_DailyPred,MATCH($F25,Rango_Admin_DailyPred_Primera,0)+1,0),"-")</f>
        <v>-</v>
      </c>
      <c r="L25" s="429" t="str">
        <f ca="1">IFERROR(VLOOKUP(L$2,Rango_Admin_DailyPred,MATCH($F25,Rango_Admin_DailyPred_Primera,0)+1,0),"-")</f>
        <v>-</v>
      </c>
      <c r="M25" s="429" t="str">
        <f ca="1">IFERROR(VLOOKUP(M$2,Rango_Admin_DailyPred,MATCH($F25,Rango_Admin_DailyPred_Primera,0)+1,0),"-")</f>
        <v>-</v>
      </c>
      <c r="N25" s="429" t="str">
        <f ca="1">IFERROR(VLOOKUP(N$2,Rango_Admin_DailyPred,MATCH($F25,Rango_Admin_DailyPred_Primera,0)+1,0),"-")</f>
        <v>-</v>
      </c>
      <c r="O25" s="429" t="str">
        <f ca="1">IFERROR(VLOOKUP(O$2,Rango_Admin_DailyPred,MATCH($F25,Rango_Admin_DailyPred_Primera,0)+1,0),"-")</f>
        <v>-</v>
      </c>
      <c r="P25" s="429" t="str">
        <f ca="1">IFERROR(VLOOKUP(P$2,Rango_Admin_DailyPred,MATCH($F25,Rango_Admin_DailyPred_Primera,0)+1,0),"-")</f>
        <v>-</v>
      </c>
      <c r="Q25" s="429" t="str">
        <f ca="1">IFERROR(VLOOKUP(Q$2,Rango_Admin_DailyPred,MATCH($F25,Rango_Admin_DailyPred_Primera,0)+1,0),"-")</f>
        <v>-</v>
      </c>
      <c r="R25" s="429" t="str">
        <f ca="1">IFERROR(VLOOKUP(R$2,Rango_Admin_DailyPred,MATCH($F25,Rango_Admin_DailyPred_Primera,0)+1,0),"-")</f>
        <v>-</v>
      </c>
      <c r="S25" s="429" t="str">
        <f ca="1">IFERROR(VLOOKUP(S$2,Rango_Admin_DailyPred,MATCH($F25,Rango_Admin_DailyPred_Primera,0)+1,0),"-")</f>
        <v>-</v>
      </c>
      <c r="T25" s="429" t="str">
        <f ca="1">IFERROR(VLOOKUP(T$2,Rango_Admin_DailyPred,MATCH($F25,Rango_Admin_DailyPred_Primera,0)+1,0),"-")</f>
        <v>-</v>
      </c>
      <c r="U25" s="429" t="str">
        <f ca="1">IFERROR(VLOOKUP(U$2,Rango_Admin_DailyPred,MATCH($F25,Rango_Admin_DailyPred_Primera,0)+1,0),"-")</f>
        <v>-</v>
      </c>
      <c r="V25" s="429" t="str">
        <f ca="1">IFERROR(VLOOKUP(V$2,Rango_Admin_DailyPred,MATCH($F25,Rango_Admin_DailyPred_Primera,0)+1,0),"-")</f>
        <v>-</v>
      </c>
      <c r="W25" s="429" t="str">
        <f ca="1">IFERROR(VLOOKUP(W$2,Rango_Admin_DailyPred,MATCH($F25,Rango_Admin_DailyPred_Primera,0)+1,0),"-")</f>
        <v>-</v>
      </c>
      <c r="X25" s="429" t="str">
        <f ca="1">IFERROR(VLOOKUP(X$2,Rango_Admin_DailyPred,MATCH($F25,Rango_Admin_DailyPred_Primera,0)+1,0),"-")</f>
        <v>-</v>
      </c>
      <c r="Y25" s="429" t="str">
        <f ca="1">IFERROR(VLOOKUP(Y$2,Rango_Admin_DailyPred,MATCH($F25,Rango_Admin_DailyPred_Primera,0)+1,0),"-")</f>
        <v>-</v>
      </c>
      <c r="Z25" s="429" t="str">
        <f ca="1">IFERROR(VLOOKUP(Z$2,Rango_Admin_DailyPred,MATCH($F25,Rango_Admin_DailyPred_Primera,0)+1,0),"-")</f>
        <v>-</v>
      </c>
      <c r="AA25" s="429" t="str">
        <f ca="1">IFERROR(VLOOKUP(AA$2,Rango_Admin_DailyPred,MATCH($F25,Rango_Admin_DailyPred_Primera,0)+1,0),"-")</f>
        <v>-</v>
      </c>
      <c r="AB25" s="429" t="str">
        <f ca="1">IFERROR(VLOOKUP(AB$2,Rango_Admin_DailyPred,MATCH($F25,Rango_Admin_DailyPred_Primera,0)+1,0),"-")</f>
        <v>-</v>
      </c>
      <c r="AC25" s="429" t="str">
        <f ca="1">IFERROR(VLOOKUP(AC$2,Rango_Admin_DailyPred,MATCH($F25,Rango_Admin_DailyPred_Primera,0)+1,0),"-")</f>
        <v>-</v>
      </c>
      <c r="AD25" s="429" t="str">
        <f ca="1">IFERROR(VLOOKUP(AD$2,Rango_Admin_DailyPred,MATCH($F25,Rango_Admin_DailyPred_Primera,0)+1,0),"-")</f>
        <v>-</v>
      </c>
      <c r="AE25" s="429" t="str">
        <f ca="1">IFERROR(VLOOKUP(AE$2,Rango_Admin_DailyPred,MATCH($F25,Rango_Admin_DailyPred_Primera,0)+1,0),"-")</f>
        <v>-</v>
      </c>
      <c r="AF25" s="429" t="str">
        <f ca="1">IFERROR(VLOOKUP(AF$2,Rango_Admin_DailyPred,MATCH($F25,Rango_Admin_DailyPred_Primera,0)+1,0),"-")</f>
        <v>-</v>
      </c>
      <c r="AG25" s="429" t="str">
        <f ca="1">IFERROR(VLOOKUP(AG$2,Rango_Admin_DailyPred,MATCH($F25,Rango_Admin_DailyPred_Primera,0)+1,0),"-")</f>
        <v>-</v>
      </c>
      <c r="AH25" s="429" t="str">
        <f ca="1">IFERROR(VLOOKUP(AH$2,Rango_Admin_DailyPred,MATCH($F25,Rango_Admin_DailyPred_Primera,0)+1,0),"-")</f>
        <v>-</v>
      </c>
      <c r="AI25" s="429" t="str">
        <f ca="1">IFERROR(VLOOKUP(AI$2,Rango_Admin_DailyPred,MATCH($F25,Rango_Admin_DailyPred_Primera,0)+1,0),"-")</f>
        <v>-</v>
      </c>
      <c r="AJ25" s="429" t="str">
        <f ca="1">IFERROR(VLOOKUP(AJ$2,Rango_Admin_DailyPred,MATCH($F25,Rango_Admin_DailyPred_Primera,0)+1,0),"-")</f>
        <v>-</v>
      </c>
      <c r="AK25" s="429" t="str">
        <f ca="1">IFERROR(VLOOKUP(AK$2,Rango_Admin_DailyPred,MATCH($F25,Rango_Admin_DailyPred_Primera,0)+1,0),"-")</f>
        <v>-</v>
      </c>
      <c r="AL25" s="429" t="str">
        <f ca="1">IFERROR(VLOOKUP(AL$2,Rango_Admin_DailyPred,MATCH($F25,Rango_Admin_DailyPred_Primera,0)+1,0),"-")</f>
        <v>-</v>
      </c>
      <c r="AM25" s="429" t="str">
        <f ca="1">IFERROR(VLOOKUP(AM$2,Rango_Admin_DailyPred,MATCH($F25,Rango_Admin_DailyPred_Primera,0)+1,0),"-")</f>
        <v>-</v>
      </c>
      <c r="AN25" s="297"/>
    </row>
    <row r="26" spans="1:40">
      <c r="A26" s="8" t="str" cm="1">
        <f t="array" aca="1" ref="A26" ca="1">IFERROR(INDEX(ADMIN!$K$6:$K$258,SMALL(IF(ADMIN!$G$6:$G$258=$K$1,ROW(ADMIN!$G$6:$G$258)-ROW(ADMIN!$G$6)+1),ROWS($A$1:A23))),"")</f>
        <v/>
      </c>
      <c r="B26" s="8"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C26" s="8">
        <v>23</v>
      </c>
      <c r="D26" s="19"/>
      <c r="E26" s="409">
        <f ca="1">IFERROR(HLOOKUP(C26,Rango_Admin_DailyClas,3,FALSE),"-")</f>
        <v>21</v>
      </c>
      <c r="F26" s="448" t="str">
        <f ca="1">IFERROR(HLOOKUP(C26,Rango_Admin_DailyClas,5,FALSE),"-")</f>
        <v xml:space="preserve">Martín Matoses </v>
      </c>
      <c r="G26" s="22">
        <f ca="1">IFERROR(HLOOKUP(C26,Rango_Admin_DailyClas,4,FALSE),"-")</f>
        <v>2</v>
      </c>
      <c r="H26" s="429">
        <f ca="1">IFERROR(VLOOKUP(H$2,Rango_Admin_DailyPred,MATCH($F26,Rango_Admin_DailyPred_Primera,0)+1,0),"-")</f>
        <v>2</v>
      </c>
      <c r="I26" s="429" t="str">
        <f ca="1">IFERROR(VLOOKUP(I$2,Rango_Admin_DailyPred,MATCH($F26,Rango_Admin_DailyPred_Primera,0)+1,0),"-")</f>
        <v>-</v>
      </c>
      <c r="J26" s="429" t="str">
        <f ca="1">IFERROR(VLOOKUP(J$2,Rango_Admin_DailyPred,MATCH($F26,Rango_Admin_DailyPred_Primera,0)+1,0),"-")</f>
        <v>-</v>
      </c>
      <c r="K26" s="429" t="str">
        <f ca="1">IFERROR(VLOOKUP(K$2,Rango_Admin_DailyPred,MATCH($F26,Rango_Admin_DailyPred_Primera,0)+1,0),"-")</f>
        <v>-</v>
      </c>
      <c r="L26" s="429" t="str">
        <f ca="1">IFERROR(VLOOKUP(L$2,Rango_Admin_DailyPred,MATCH($F26,Rango_Admin_DailyPred_Primera,0)+1,0),"-")</f>
        <v>-</v>
      </c>
      <c r="M26" s="429" t="str">
        <f ca="1">IFERROR(VLOOKUP(M$2,Rango_Admin_DailyPred,MATCH($F26,Rango_Admin_DailyPred_Primera,0)+1,0),"-")</f>
        <v>-</v>
      </c>
      <c r="N26" s="429" t="str">
        <f ca="1">IFERROR(VLOOKUP(N$2,Rango_Admin_DailyPred,MATCH($F26,Rango_Admin_DailyPred_Primera,0)+1,0),"-")</f>
        <v>-</v>
      </c>
      <c r="O26" s="429" t="str">
        <f ca="1">IFERROR(VLOOKUP(O$2,Rango_Admin_DailyPred,MATCH($F26,Rango_Admin_DailyPred_Primera,0)+1,0),"-")</f>
        <v>-</v>
      </c>
      <c r="P26" s="429" t="str">
        <f ca="1">IFERROR(VLOOKUP(P$2,Rango_Admin_DailyPred,MATCH($F26,Rango_Admin_DailyPred_Primera,0)+1,0),"-")</f>
        <v>-</v>
      </c>
      <c r="Q26" s="429" t="str">
        <f ca="1">IFERROR(VLOOKUP(Q$2,Rango_Admin_DailyPred,MATCH($F26,Rango_Admin_DailyPred_Primera,0)+1,0),"-")</f>
        <v>-</v>
      </c>
      <c r="R26" s="429" t="str">
        <f ca="1">IFERROR(VLOOKUP(R$2,Rango_Admin_DailyPred,MATCH($F26,Rango_Admin_DailyPred_Primera,0)+1,0),"-")</f>
        <v>-</v>
      </c>
      <c r="S26" s="429" t="str">
        <f ca="1">IFERROR(VLOOKUP(S$2,Rango_Admin_DailyPred,MATCH($F26,Rango_Admin_DailyPred_Primera,0)+1,0),"-")</f>
        <v>-</v>
      </c>
      <c r="T26" s="429" t="str">
        <f ca="1">IFERROR(VLOOKUP(T$2,Rango_Admin_DailyPred,MATCH($F26,Rango_Admin_DailyPred_Primera,0)+1,0),"-")</f>
        <v>-</v>
      </c>
      <c r="U26" s="429" t="str">
        <f ca="1">IFERROR(VLOOKUP(U$2,Rango_Admin_DailyPred,MATCH($F26,Rango_Admin_DailyPred_Primera,0)+1,0),"-")</f>
        <v>-</v>
      </c>
      <c r="V26" s="429" t="str">
        <f ca="1">IFERROR(VLOOKUP(V$2,Rango_Admin_DailyPred,MATCH($F26,Rango_Admin_DailyPred_Primera,0)+1,0),"-")</f>
        <v>-</v>
      </c>
      <c r="W26" s="429" t="str">
        <f ca="1">IFERROR(VLOOKUP(W$2,Rango_Admin_DailyPred,MATCH($F26,Rango_Admin_DailyPred_Primera,0)+1,0),"-")</f>
        <v>-</v>
      </c>
      <c r="X26" s="429" t="str">
        <f ca="1">IFERROR(VLOOKUP(X$2,Rango_Admin_DailyPred,MATCH($F26,Rango_Admin_DailyPred_Primera,0)+1,0),"-")</f>
        <v>-</v>
      </c>
      <c r="Y26" s="429" t="str">
        <f ca="1">IFERROR(VLOOKUP(Y$2,Rango_Admin_DailyPred,MATCH($F26,Rango_Admin_DailyPred_Primera,0)+1,0),"-")</f>
        <v>-</v>
      </c>
      <c r="Z26" s="429" t="str">
        <f ca="1">IFERROR(VLOOKUP(Z$2,Rango_Admin_DailyPred,MATCH($F26,Rango_Admin_DailyPred_Primera,0)+1,0),"-")</f>
        <v>-</v>
      </c>
      <c r="AA26" s="429" t="str">
        <f ca="1">IFERROR(VLOOKUP(AA$2,Rango_Admin_DailyPred,MATCH($F26,Rango_Admin_DailyPred_Primera,0)+1,0),"-")</f>
        <v>-</v>
      </c>
      <c r="AB26" s="429" t="str">
        <f ca="1">IFERROR(VLOOKUP(AB$2,Rango_Admin_DailyPred,MATCH($F26,Rango_Admin_DailyPred_Primera,0)+1,0),"-")</f>
        <v>-</v>
      </c>
      <c r="AC26" s="429" t="str">
        <f ca="1">IFERROR(VLOOKUP(AC$2,Rango_Admin_DailyPred,MATCH($F26,Rango_Admin_DailyPred_Primera,0)+1,0),"-")</f>
        <v>-</v>
      </c>
      <c r="AD26" s="429" t="str">
        <f ca="1">IFERROR(VLOOKUP(AD$2,Rango_Admin_DailyPred,MATCH($F26,Rango_Admin_DailyPred_Primera,0)+1,0),"-")</f>
        <v>-</v>
      </c>
      <c r="AE26" s="429" t="str">
        <f ca="1">IFERROR(VLOOKUP(AE$2,Rango_Admin_DailyPred,MATCH($F26,Rango_Admin_DailyPred_Primera,0)+1,0),"-")</f>
        <v>-</v>
      </c>
      <c r="AF26" s="429" t="str">
        <f ca="1">IFERROR(VLOOKUP(AF$2,Rango_Admin_DailyPred,MATCH($F26,Rango_Admin_DailyPred_Primera,0)+1,0),"-")</f>
        <v>-</v>
      </c>
      <c r="AG26" s="429" t="str">
        <f ca="1">IFERROR(VLOOKUP(AG$2,Rango_Admin_DailyPred,MATCH($F26,Rango_Admin_DailyPred_Primera,0)+1,0),"-")</f>
        <v>-</v>
      </c>
      <c r="AH26" s="429" t="str">
        <f ca="1">IFERROR(VLOOKUP(AH$2,Rango_Admin_DailyPred,MATCH($F26,Rango_Admin_DailyPred_Primera,0)+1,0),"-")</f>
        <v>-</v>
      </c>
      <c r="AI26" s="429" t="str">
        <f ca="1">IFERROR(VLOOKUP(AI$2,Rango_Admin_DailyPred,MATCH($F26,Rango_Admin_DailyPred_Primera,0)+1,0),"-")</f>
        <v>-</v>
      </c>
      <c r="AJ26" s="429" t="str">
        <f ca="1">IFERROR(VLOOKUP(AJ$2,Rango_Admin_DailyPred,MATCH($F26,Rango_Admin_DailyPred_Primera,0)+1,0),"-")</f>
        <v>-</v>
      </c>
      <c r="AK26" s="429" t="str">
        <f ca="1">IFERROR(VLOOKUP(AK$2,Rango_Admin_DailyPred,MATCH($F26,Rango_Admin_DailyPred_Primera,0)+1,0),"-")</f>
        <v>-</v>
      </c>
      <c r="AL26" s="429" t="str">
        <f ca="1">IFERROR(VLOOKUP(AL$2,Rango_Admin_DailyPred,MATCH($F26,Rango_Admin_DailyPred_Primera,0)+1,0),"-")</f>
        <v>-</v>
      </c>
      <c r="AM26" s="429" t="str">
        <f ca="1">IFERROR(VLOOKUP(AM$2,Rango_Admin_DailyPred,MATCH($F26,Rango_Admin_DailyPred_Primera,0)+1,0),"-")</f>
        <v>-</v>
      </c>
      <c r="AN26" s="297"/>
    </row>
    <row r="27" spans="1:40">
      <c r="A27" s="8" t="str" cm="1">
        <f t="array" aca="1" ref="A27" ca="1">IFERROR(INDEX(ADMIN!$K$6:$K$258,SMALL(IF(ADMIN!$G$6:$G$258=$K$1,ROW(ADMIN!$G$6:$G$258)-ROW(ADMIN!$G$6)+1),ROWS($A$1:A24))),"")</f>
        <v/>
      </c>
      <c r="B27" s="8"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C27" s="8">
        <v>24</v>
      </c>
      <c r="D27" s="19"/>
      <c r="E27" s="409">
        <f ca="1">IFERROR(HLOOKUP(C27,Rango_Admin_DailyClas,3,FALSE),"-")</f>
        <v>24</v>
      </c>
      <c r="F27" s="448" t="str">
        <f ca="1">IFERROR(HLOOKUP(C27,Rango_Admin_DailyClas,5,FALSE),"-")</f>
        <v>Admin</v>
      </c>
      <c r="G27" s="22">
        <f ca="1">IFERROR(HLOOKUP(C27,Rango_Admin_DailyClas,4,FALSE),"-")</f>
        <v>1</v>
      </c>
      <c r="H27" s="429">
        <f ca="1">IFERROR(VLOOKUP(H$2,Rango_Admin_DailyPred,MATCH($F27,Rango_Admin_DailyPred_Primera,0)+1,0),"-")</f>
        <v>1</v>
      </c>
      <c r="I27" s="429" t="str">
        <f ca="1">IFERROR(VLOOKUP(I$2,Rango_Admin_DailyPred,MATCH($F27,Rango_Admin_DailyPred_Primera,0)+1,0),"-")</f>
        <v>-</v>
      </c>
      <c r="J27" s="429" t="str">
        <f ca="1">IFERROR(VLOOKUP(J$2,Rango_Admin_DailyPred,MATCH($F27,Rango_Admin_DailyPred_Primera,0)+1,0),"-")</f>
        <v>-</v>
      </c>
      <c r="K27" s="429" t="str">
        <f ca="1">IFERROR(VLOOKUP(K$2,Rango_Admin_DailyPred,MATCH($F27,Rango_Admin_DailyPred_Primera,0)+1,0),"-")</f>
        <v>-</v>
      </c>
      <c r="L27" s="429" t="str">
        <f ca="1">IFERROR(VLOOKUP(L$2,Rango_Admin_DailyPred,MATCH($F27,Rango_Admin_DailyPred_Primera,0)+1,0),"-")</f>
        <v>-</v>
      </c>
      <c r="M27" s="429" t="str">
        <f ca="1">IFERROR(VLOOKUP(M$2,Rango_Admin_DailyPred,MATCH($F27,Rango_Admin_DailyPred_Primera,0)+1,0),"-")</f>
        <v>-</v>
      </c>
      <c r="N27" s="429" t="str">
        <f ca="1">IFERROR(VLOOKUP(N$2,Rango_Admin_DailyPred,MATCH($F27,Rango_Admin_DailyPred_Primera,0)+1,0),"-")</f>
        <v>-</v>
      </c>
      <c r="O27" s="429" t="str">
        <f ca="1">IFERROR(VLOOKUP(O$2,Rango_Admin_DailyPred,MATCH($F27,Rango_Admin_DailyPred_Primera,0)+1,0),"-")</f>
        <v>-</v>
      </c>
      <c r="P27" s="429" t="str">
        <f ca="1">IFERROR(VLOOKUP(P$2,Rango_Admin_DailyPred,MATCH($F27,Rango_Admin_DailyPred_Primera,0)+1,0),"-")</f>
        <v>-</v>
      </c>
      <c r="Q27" s="429" t="str">
        <f ca="1">IFERROR(VLOOKUP(Q$2,Rango_Admin_DailyPred,MATCH($F27,Rango_Admin_DailyPred_Primera,0)+1,0),"-")</f>
        <v>-</v>
      </c>
      <c r="R27" s="429" t="str">
        <f ca="1">IFERROR(VLOOKUP(R$2,Rango_Admin_DailyPred,MATCH($F27,Rango_Admin_DailyPred_Primera,0)+1,0),"-")</f>
        <v>-</v>
      </c>
      <c r="S27" s="429" t="str">
        <f ca="1">IFERROR(VLOOKUP(S$2,Rango_Admin_DailyPred,MATCH($F27,Rango_Admin_DailyPred_Primera,0)+1,0),"-")</f>
        <v>-</v>
      </c>
      <c r="T27" s="429" t="str">
        <f ca="1">IFERROR(VLOOKUP(T$2,Rango_Admin_DailyPred,MATCH($F27,Rango_Admin_DailyPred_Primera,0)+1,0),"-")</f>
        <v>-</v>
      </c>
      <c r="U27" s="429" t="str">
        <f ca="1">IFERROR(VLOOKUP(U$2,Rango_Admin_DailyPred,MATCH($F27,Rango_Admin_DailyPred_Primera,0)+1,0),"-")</f>
        <v>-</v>
      </c>
      <c r="V27" s="429" t="str">
        <f ca="1">IFERROR(VLOOKUP(V$2,Rango_Admin_DailyPred,MATCH($F27,Rango_Admin_DailyPred_Primera,0)+1,0),"-")</f>
        <v>-</v>
      </c>
      <c r="W27" s="429" t="str">
        <f ca="1">IFERROR(VLOOKUP(W$2,Rango_Admin_DailyPred,MATCH($F27,Rango_Admin_DailyPred_Primera,0)+1,0),"-")</f>
        <v>-</v>
      </c>
      <c r="X27" s="429" t="str">
        <f ca="1">IFERROR(VLOOKUP(X$2,Rango_Admin_DailyPred,MATCH($F27,Rango_Admin_DailyPred_Primera,0)+1,0),"-")</f>
        <v>-</v>
      </c>
      <c r="Y27" s="429" t="str">
        <f ca="1">IFERROR(VLOOKUP(Y$2,Rango_Admin_DailyPred,MATCH($F27,Rango_Admin_DailyPred_Primera,0)+1,0),"-")</f>
        <v>-</v>
      </c>
      <c r="Z27" s="429" t="str">
        <f ca="1">IFERROR(VLOOKUP(Z$2,Rango_Admin_DailyPred,MATCH($F27,Rango_Admin_DailyPred_Primera,0)+1,0),"-")</f>
        <v>-</v>
      </c>
      <c r="AA27" s="429" t="str">
        <f ca="1">IFERROR(VLOOKUP(AA$2,Rango_Admin_DailyPred,MATCH($F27,Rango_Admin_DailyPred_Primera,0)+1,0),"-")</f>
        <v>-</v>
      </c>
      <c r="AB27" s="429" t="str">
        <f ca="1">IFERROR(VLOOKUP(AB$2,Rango_Admin_DailyPred,MATCH($F27,Rango_Admin_DailyPred_Primera,0)+1,0),"-")</f>
        <v>-</v>
      </c>
      <c r="AC27" s="429" t="str">
        <f ca="1">IFERROR(VLOOKUP(AC$2,Rango_Admin_DailyPred,MATCH($F27,Rango_Admin_DailyPred_Primera,0)+1,0),"-")</f>
        <v>-</v>
      </c>
      <c r="AD27" s="429" t="str">
        <f ca="1">IFERROR(VLOOKUP(AD$2,Rango_Admin_DailyPred,MATCH($F27,Rango_Admin_DailyPred_Primera,0)+1,0),"-")</f>
        <v>-</v>
      </c>
      <c r="AE27" s="429" t="str">
        <f ca="1">IFERROR(VLOOKUP(AE$2,Rango_Admin_DailyPred,MATCH($F27,Rango_Admin_DailyPred_Primera,0)+1,0),"-")</f>
        <v>-</v>
      </c>
      <c r="AF27" s="429" t="str">
        <f ca="1">IFERROR(VLOOKUP(AF$2,Rango_Admin_DailyPred,MATCH($F27,Rango_Admin_DailyPred_Primera,0)+1,0),"-")</f>
        <v>-</v>
      </c>
      <c r="AG27" s="429" t="str">
        <f ca="1">IFERROR(VLOOKUP(AG$2,Rango_Admin_DailyPred,MATCH($F27,Rango_Admin_DailyPred_Primera,0)+1,0),"-")</f>
        <v>-</v>
      </c>
      <c r="AH27" s="429" t="str">
        <f ca="1">IFERROR(VLOOKUP(AH$2,Rango_Admin_DailyPred,MATCH($F27,Rango_Admin_DailyPred_Primera,0)+1,0),"-")</f>
        <v>-</v>
      </c>
      <c r="AI27" s="429" t="str">
        <f ca="1">IFERROR(VLOOKUP(AI$2,Rango_Admin_DailyPred,MATCH($F27,Rango_Admin_DailyPred_Primera,0)+1,0),"-")</f>
        <v>-</v>
      </c>
      <c r="AJ27" s="429" t="str">
        <f ca="1">IFERROR(VLOOKUP(AJ$2,Rango_Admin_DailyPred,MATCH($F27,Rango_Admin_DailyPred_Primera,0)+1,0),"-")</f>
        <v>-</v>
      </c>
      <c r="AK27" s="429" t="str">
        <f ca="1">IFERROR(VLOOKUP(AK$2,Rango_Admin_DailyPred,MATCH($F27,Rango_Admin_DailyPred_Primera,0)+1,0),"-")</f>
        <v>-</v>
      </c>
      <c r="AL27" s="429" t="str">
        <f ca="1">IFERROR(VLOOKUP(AL$2,Rango_Admin_DailyPred,MATCH($F27,Rango_Admin_DailyPred_Primera,0)+1,0),"-")</f>
        <v>-</v>
      </c>
      <c r="AM27" s="429" t="str">
        <f ca="1">IFERROR(VLOOKUP(AM$2,Rango_Admin_DailyPred,MATCH($F27,Rango_Admin_DailyPred_Primera,0)+1,0),"-")</f>
        <v>-</v>
      </c>
      <c r="AN27" s="297"/>
    </row>
    <row r="28" spans="1:40">
      <c r="A28" s="8" t="str" cm="1">
        <f t="array" aca="1" ref="A28" ca="1">IFERROR(INDEX(ADMIN!$K$6:$K$258,SMALL(IF(ADMIN!$G$6:$G$258=$K$1,ROW(ADMIN!$G$6:$G$258)-ROW(ADMIN!$G$6)+1),ROWS($A$1:A25))),"")</f>
        <v/>
      </c>
      <c r="B28" s="8"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C28" s="8">
        <v>25</v>
      </c>
      <c r="D28" s="19"/>
      <c r="E28" s="409">
        <f ca="1">IFERROR(HLOOKUP(C28,Rango_Admin_DailyClas,3,FALSE),"-")</f>
        <v>24</v>
      </c>
      <c r="F28" s="448" t="str">
        <f ca="1">IFERROR(HLOOKUP(C28,Rango_Admin_DailyClas,5,FALSE),"-")</f>
        <v>Luis B</v>
      </c>
      <c r="G28" s="22">
        <f ca="1">IFERROR(HLOOKUP(C28,Rango_Admin_DailyClas,4,FALSE),"-")</f>
        <v>1</v>
      </c>
      <c r="H28" s="429">
        <f ca="1">IFERROR(VLOOKUP(H$2,Rango_Admin_DailyPred,MATCH($F28,Rango_Admin_DailyPred_Primera,0)+1,0),"-")</f>
        <v>1</v>
      </c>
      <c r="I28" s="429" t="str">
        <f ca="1">IFERROR(VLOOKUP(I$2,Rango_Admin_DailyPred,MATCH($F28,Rango_Admin_DailyPred_Primera,0)+1,0),"-")</f>
        <v>-</v>
      </c>
      <c r="J28" s="429" t="str">
        <f ca="1">IFERROR(VLOOKUP(J$2,Rango_Admin_DailyPred,MATCH($F28,Rango_Admin_DailyPred_Primera,0)+1,0),"-")</f>
        <v>-</v>
      </c>
      <c r="K28" s="429" t="str">
        <f ca="1">IFERROR(VLOOKUP(K$2,Rango_Admin_DailyPred,MATCH($F28,Rango_Admin_DailyPred_Primera,0)+1,0),"-")</f>
        <v>-</v>
      </c>
      <c r="L28" s="429" t="str">
        <f ca="1">IFERROR(VLOOKUP(L$2,Rango_Admin_DailyPred,MATCH($F28,Rango_Admin_DailyPred_Primera,0)+1,0),"-")</f>
        <v>-</v>
      </c>
      <c r="M28" s="429" t="str">
        <f ca="1">IFERROR(VLOOKUP(M$2,Rango_Admin_DailyPred,MATCH($F28,Rango_Admin_DailyPred_Primera,0)+1,0),"-")</f>
        <v>-</v>
      </c>
      <c r="N28" s="429" t="str">
        <f ca="1">IFERROR(VLOOKUP(N$2,Rango_Admin_DailyPred,MATCH($F28,Rango_Admin_DailyPred_Primera,0)+1,0),"-")</f>
        <v>-</v>
      </c>
      <c r="O28" s="429" t="str">
        <f ca="1">IFERROR(VLOOKUP(O$2,Rango_Admin_DailyPred,MATCH($F28,Rango_Admin_DailyPred_Primera,0)+1,0),"-")</f>
        <v>-</v>
      </c>
      <c r="P28" s="429" t="str">
        <f ca="1">IFERROR(VLOOKUP(P$2,Rango_Admin_DailyPred,MATCH($F28,Rango_Admin_DailyPred_Primera,0)+1,0),"-")</f>
        <v>-</v>
      </c>
      <c r="Q28" s="429" t="str">
        <f ca="1">IFERROR(VLOOKUP(Q$2,Rango_Admin_DailyPred,MATCH($F28,Rango_Admin_DailyPred_Primera,0)+1,0),"-")</f>
        <v>-</v>
      </c>
      <c r="R28" s="429" t="str">
        <f ca="1">IFERROR(VLOOKUP(R$2,Rango_Admin_DailyPred,MATCH($F28,Rango_Admin_DailyPred_Primera,0)+1,0),"-")</f>
        <v>-</v>
      </c>
      <c r="S28" s="429" t="str">
        <f ca="1">IFERROR(VLOOKUP(S$2,Rango_Admin_DailyPred,MATCH($F28,Rango_Admin_DailyPred_Primera,0)+1,0),"-")</f>
        <v>-</v>
      </c>
      <c r="T28" s="429" t="str">
        <f ca="1">IFERROR(VLOOKUP(T$2,Rango_Admin_DailyPred,MATCH($F28,Rango_Admin_DailyPred_Primera,0)+1,0),"-")</f>
        <v>-</v>
      </c>
      <c r="U28" s="429" t="str">
        <f ca="1">IFERROR(VLOOKUP(U$2,Rango_Admin_DailyPred,MATCH($F28,Rango_Admin_DailyPred_Primera,0)+1,0),"-")</f>
        <v>-</v>
      </c>
      <c r="V28" s="429" t="str">
        <f ca="1">IFERROR(VLOOKUP(V$2,Rango_Admin_DailyPred,MATCH($F28,Rango_Admin_DailyPred_Primera,0)+1,0),"-")</f>
        <v>-</v>
      </c>
      <c r="W28" s="429" t="str">
        <f ca="1">IFERROR(VLOOKUP(W$2,Rango_Admin_DailyPred,MATCH($F28,Rango_Admin_DailyPred_Primera,0)+1,0),"-")</f>
        <v>-</v>
      </c>
      <c r="X28" s="429" t="str">
        <f ca="1">IFERROR(VLOOKUP(X$2,Rango_Admin_DailyPred,MATCH($F28,Rango_Admin_DailyPred_Primera,0)+1,0),"-")</f>
        <v>-</v>
      </c>
      <c r="Y28" s="429" t="str">
        <f ca="1">IFERROR(VLOOKUP(Y$2,Rango_Admin_DailyPred,MATCH($F28,Rango_Admin_DailyPred_Primera,0)+1,0),"-")</f>
        <v>-</v>
      </c>
      <c r="Z28" s="429" t="str">
        <f ca="1">IFERROR(VLOOKUP(Z$2,Rango_Admin_DailyPred,MATCH($F28,Rango_Admin_DailyPred_Primera,0)+1,0),"-")</f>
        <v>-</v>
      </c>
      <c r="AA28" s="429" t="str">
        <f ca="1">IFERROR(VLOOKUP(AA$2,Rango_Admin_DailyPred,MATCH($F28,Rango_Admin_DailyPred_Primera,0)+1,0),"-")</f>
        <v>-</v>
      </c>
      <c r="AB28" s="429" t="str">
        <f ca="1">IFERROR(VLOOKUP(AB$2,Rango_Admin_DailyPred,MATCH($F28,Rango_Admin_DailyPred_Primera,0)+1,0),"-")</f>
        <v>-</v>
      </c>
      <c r="AC28" s="429" t="str">
        <f ca="1">IFERROR(VLOOKUP(AC$2,Rango_Admin_DailyPred,MATCH($F28,Rango_Admin_DailyPred_Primera,0)+1,0),"-")</f>
        <v>-</v>
      </c>
      <c r="AD28" s="429" t="str">
        <f ca="1">IFERROR(VLOOKUP(AD$2,Rango_Admin_DailyPred,MATCH($F28,Rango_Admin_DailyPred_Primera,0)+1,0),"-")</f>
        <v>-</v>
      </c>
      <c r="AE28" s="429" t="str">
        <f ca="1">IFERROR(VLOOKUP(AE$2,Rango_Admin_DailyPred,MATCH($F28,Rango_Admin_DailyPred_Primera,0)+1,0),"-")</f>
        <v>-</v>
      </c>
      <c r="AF28" s="429" t="str">
        <f ca="1">IFERROR(VLOOKUP(AF$2,Rango_Admin_DailyPred,MATCH($F28,Rango_Admin_DailyPred_Primera,0)+1,0),"-")</f>
        <v>-</v>
      </c>
      <c r="AG28" s="429" t="str">
        <f ca="1">IFERROR(VLOOKUP(AG$2,Rango_Admin_DailyPred,MATCH($F28,Rango_Admin_DailyPred_Primera,0)+1,0),"-")</f>
        <v>-</v>
      </c>
      <c r="AH28" s="429" t="str">
        <f ca="1">IFERROR(VLOOKUP(AH$2,Rango_Admin_DailyPred,MATCH($F28,Rango_Admin_DailyPred_Primera,0)+1,0),"-")</f>
        <v>-</v>
      </c>
      <c r="AI28" s="429" t="str">
        <f ca="1">IFERROR(VLOOKUP(AI$2,Rango_Admin_DailyPred,MATCH($F28,Rango_Admin_DailyPred_Primera,0)+1,0),"-")</f>
        <v>-</v>
      </c>
      <c r="AJ28" s="429" t="str">
        <f ca="1">IFERROR(VLOOKUP(AJ$2,Rango_Admin_DailyPred,MATCH($F28,Rango_Admin_DailyPred_Primera,0)+1,0),"-")</f>
        <v>-</v>
      </c>
      <c r="AK28" s="429" t="str">
        <f ca="1">IFERROR(VLOOKUP(AK$2,Rango_Admin_DailyPred,MATCH($F28,Rango_Admin_DailyPred_Primera,0)+1,0),"-")</f>
        <v>-</v>
      </c>
      <c r="AL28" s="429" t="str">
        <f ca="1">IFERROR(VLOOKUP(AL$2,Rango_Admin_DailyPred,MATCH($F28,Rango_Admin_DailyPred_Primera,0)+1,0),"-")</f>
        <v>-</v>
      </c>
      <c r="AM28" s="429" t="str">
        <f ca="1">IFERROR(VLOOKUP(AM$2,Rango_Admin_DailyPred,MATCH($F28,Rango_Admin_DailyPred_Primera,0)+1,0),"-")</f>
        <v>-</v>
      </c>
      <c r="AN28" s="297"/>
    </row>
    <row r="29" spans="1:40">
      <c r="A29" s="8" t="str" cm="1">
        <f t="array" aca="1" ref="A29" ca="1">IFERROR(INDEX(ADMIN!$K$6:$K$258,SMALL(IF(ADMIN!$G$6:$G$258=$K$1,ROW(ADMIN!$G$6:$G$258)-ROW(ADMIN!$G$6)+1),ROWS($A$1:A26))),"")</f>
        <v/>
      </c>
      <c r="B29" s="8"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C29" s="8">
        <v>26</v>
      </c>
      <c r="D29" s="19"/>
      <c r="E29" s="409">
        <f ca="1">IFERROR(HLOOKUP(C29,Rango_Admin_DailyClas,3,FALSE),"-")</f>
        <v>24</v>
      </c>
      <c r="F29" s="448" t="str">
        <f ca="1">IFERROR(HLOOKUP(C29,Rango_Admin_DailyClas,5,FALSE),"-")</f>
        <v>Nacho Novo</v>
      </c>
      <c r="G29" s="22">
        <f ca="1">IFERROR(HLOOKUP(C29,Rango_Admin_DailyClas,4,FALSE),"-")</f>
        <v>1</v>
      </c>
      <c r="H29" s="429">
        <f ca="1">IFERROR(VLOOKUP(H$2,Rango_Admin_DailyPred,MATCH($F29,Rango_Admin_DailyPred_Primera,0)+1,0),"-")</f>
        <v>1</v>
      </c>
      <c r="I29" s="429" t="str">
        <f ca="1">IFERROR(VLOOKUP(I$2,Rango_Admin_DailyPred,MATCH($F29,Rango_Admin_DailyPred_Primera,0)+1,0),"-")</f>
        <v>-</v>
      </c>
      <c r="J29" s="429" t="str">
        <f ca="1">IFERROR(VLOOKUP(J$2,Rango_Admin_DailyPred,MATCH($F29,Rango_Admin_DailyPred_Primera,0)+1,0),"-")</f>
        <v>-</v>
      </c>
      <c r="K29" s="429" t="str">
        <f ca="1">IFERROR(VLOOKUP(K$2,Rango_Admin_DailyPred,MATCH($F29,Rango_Admin_DailyPred_Primera,0)+1,0),"-")</f>
        <v>-</v>
      </c>
      <c r="L29" s="429" t="str">
        <f ca="1">IFERROR(VLOOKUP(L$2,Rango_Admin_DailyPred,MATCH($F29,Rango_Admin_DailyPred_Primera,0)+1,0),"-")</f>
        <v>-</v>
      </c>
      <c r="M29" s="429" t="str">
        <f ca="1">IFERROR(VLOOKUP(M$2,Rango_Admin_DailyPred,MATCH($F29,Rango_Admin_DailyPred_Primera,0)+1,0),"-")</f>
        <v>-</v>
      </c>
      <c r="N29" s="429" t="str">
        <f ca="1">IFERROR(VLOOKUP(N$2,Rango_Admin_DailyPred,MATCH($F29,Rango_Admin_DailyPred_Primera,0)+1,0),"-")</f>
        <v>-</v>
      </c>
      <c r="O29" s="429" t="str">
        <f ca="1">IFERROR(VLOOKUP(O$2,Rango_Admin_DailyPred,MATCH($F29,Rango_Admin_DailyPred_Primera,0)+1,0),"-")</f>
        <v>-</v>
      </c>
      <c r="P29" s="429" t="str">
        <f ca="1">IFERROR(VLOOKUP(P$2,Rango_Admin_DailyPred,MATCH($F29,Rango_Admin_DailyPred_Primera,0)+1,0),"-")</f>
        <v>-</v>
      </c>
      <c r="Q29" s="429" t="str">
        <f ca="1">IFERROR(VLOOKUP(Q$2,Rango_Admin_DailyPred,MATCH($F29,Rango_Admin_DailyPred_Primera,0)+1,0),"-")</f>
        <v>-</v>
      </c>
      <c r="R29" s="429" t="str">
        <f ca="1">IFERROR(VLOOKUP(R$2,Rango_Admin_DailyPred,MATCH($F29,Rango_Admin_DailyPred_Primera,0)+1,0),"-")</f>
        <v>-</v>
      </c>
      <c r="S29" s="429" t="str">
        <f ca="1">IFERROR(VLOOKUP(S$2,Rango_Admin_DailyPred,MATCH($F29,Rango_Admin_DailyPred_Primera,0)+1,0),"-")</f>
        <v>-</v>
      </c>
      <c r="T29" s="429" t="str">
        <f ca="1">IFERROR(VLOOKUP(T$2,Rango_Admin_DailyPred,MATCH($F29,Rango_Admin_DailyPred_Primera,0)+1,0),"-")</f>
        <v>-</v>
      </c>
      <c r="U29" s="429" t="str">
        <f ca="1">IFERROR(VLOOKUP(U$2,Rango_Admin_DailyPred,MATCH($F29,Rango_Admin_DailyPred_Primera,0)+1,0),"-")</f>
        <v>-</v>
      </c>
      <c r="V29" s="429" t="str">
        <f ca="1">IFERROR(VLOOKUP(V$2,Rango_Admin_DailyPred,MATCH($F29,Rango_Admin_DailyPred_Primera,0)+1,0),"-")</f>
        <v>-</v>
      </c>
      <c r="W29" s="429" t="str">
        <f ca="1">IFERROR(VLOOKUP(W$2,Rango_Admin_DailyPred,MATCH($F29,Rango_Admin_DailyPred_Primera,0)+1,0),"-")</f>
        <v>-</v>
      </c>
      <c r="X29" s="429" t="str">
        <f ca="1">IFERROR(VLOOKUP(X$2,Rango_Admin_DailyPred,MATCH($F29,Rango_Admin_DailyPred_Primera,0)+1,0),"-")</f>
        <v>-</v>
      </c>
      <c r="Y29" s="429" t="str">
        <f ca="1">IFERROR(VLOOKUP(Y$2,Rango_Admin_DailyPred,MATCH($F29,Rango_Admin_DailyPred_Primera,0)+1,0),"-")</f>
        <v>-</v>
      </c>
      <c r="Z29" s="429" t="str">
        <f ca="1">IFERROR(VLOOKUP(Z$2,Rango_Admin_DailyPred,MATCH($F29,Rango_Admin_DailyPred_Primera,0)+1,0),"-")</f>
        <v>-</v>
      </c>
      <c r="AA29" s="429" t="str">
        <f ca="1">IFERROR(VLOOKUP(AA$2,Rango_Admin_DailyPred,MATCH($F29,Rango_Admin_DailyPred_Primera,0)+1,0),"-")</f>
        <v>-</v>
      </c>
      <c r="AB29" s="429" t="str">
        <f ca="1">IFERROR(VLOOKUP(AB$2,Rango_Admin_DailyPred,MATCH($F29,Rango_Admin_DailyPred_Primera,0)+1,0),"-")</f>
        <v>-</v>
      </c>
      <c r="AC29" s="429" t="str">
        <f ca="1">IFERROR(VLOOKUP(AC$2,Rango_Admin_DailyPred,MATCH($F29,Rango_Admin_DailyPred_Primera,0)+1,0),"-")</f>
        <v>-</v>
      </c>
      <c r="AD29" s="429" t="str">
        <f ca="1">IFERROR(VLOOKUP(AD$2,Rango_Admin_DailyPred,MATCH($F29,Rango_Admin_DailyPred_Primera,0)+1,0),"-")</f>
        <v>-</v>
      </c>
      <c r="AE29" s="429" t="str">
        <f ca="1">IFERROR(VLOOKUP(AE$2,Rango_Admin_DailyPred,MATCH($F29,Rango_Admin_DailyPred_Primera,0)+1,0),"-")</f>
        <v>-</v>
      </c>
      <c r="AF29" s="429" t="str">
        <f ca="1">IFERROR(VLOOKUP(AF$2,Rango_Admin_DailyPred,MATCH($F29,Rango_Admin_DailyPred_Primera,0)+1,0),"-")</f>
        <v>-</v>
      </c>
      <c r="AG29" s="429" t="str">
        <f ca="1">IFERROR(VLOOKUP(AG$2,Rango_Admin_DailyPred,MATCH($F29,Rango_Admin_DailyPred_Primera,0)+1,0),"-")</f>
        <v>-</v>
      </c>
      <c r="AH29" s="429" t="str">
        <f ca="1">IFERROR(VLOOKUP(AH$2,Rango_Admin_DailyPred,MATCH($F29,Rango_Admin_DailyPred_Primera,0)+1,0),"-")</f>
        <v>-</v>
      </c>
      <c r="AI29" s="429" t="str">
        <f ca="1">IFERROR(VLOOKUP(AI$2,Rango_Admin_DailyPred,MATCH($F29,Rango_Admin_DailyPred_Primera,0)+1,0),"-")</f>
        <v>-</v>
      </c>
      <c r="AJ29" s="429" t="str">
        <f ca="1">IFERROR(VLOOKUP(AJ$2,Rango_Admin_DailyPred,MATCH($F29,Rango_Admin_DailyPred_Primera,0)+1,0),"-")</f>
        <v>-</v>
      </c>
      <c r="AK29" s="429" t="str">
        <f ca="1">IFERROR(VLOOKUP(AK$2,Rango_Admin_DailyPred,MATCH($F29,Rango_Admin_DailyPred_Primera,0)+1,0),"-")</f>
        <v>-</v>
      </c>
      <c r="AL29" s="429" t="str">
        <f ca="1">IFERROR(VLOOKUP(AL$2,Rango_Admin_DailyPred,MATCH($F29,Rango_Admin_DailyPred_Primera,0)+1,0),"-")</f>
        <v>-</v>
      </c>
      <c r="AM29" s="429" t="str">
        <f ca="1">IFERROR(VLOOKUP(AM$2,Rango_Admin_DailyPred,MATCH($F29,Rango_Admin_DailyPred_Primera,0)+1,0),"-")</f>
        <v>-</v>
      </c>
      <c r="AN29" s="297"/>
    </row>
    <row r="30" spans="1:40">
      <c r="A30" s="8" t="str" cm="1">
        <f t="array" aca="1" ref="A30" ca="1">IFERROR(INDEX(ADMIN!$K$6:$K$258,SMALL(IF(ADMIN!$G$6:$G$258=$K$1,ROW(ADMIN!$G$6:$G$258)-ROW(ADMIN!$G$6)+1),ROWS($A$1:A27))),"")</f>
        <v/>
      </c>
      <c r="B30" s="8"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C30" s="8">
        <v>27</v>
      </c>
      <c r="D30" s="19"/>
      <c r="E30" s="409">
        <f ca="1">IFERROR(HLOOKUP(C30,Rango_Admin_DailyClas,3,FALSE),"-")</f>
        <v>24</v>
      </c>
      <c r="F30" s="448" t="str">
        <f ca="1">IFERROR(HLOOKUP(C30,Rango_Admin_DailyClas,5,FALSE),"-")</f>
        <v>Chente Muñoz</v>
      </c>
      <c r="G30" s="22">
        <f ca="1">IFERROR(HLOOKUP(C30,Rango_Admin_DailyClas,4,FALSE),"-")</f>
        <v>1</v>
      </c>
      <c r="H30" s="429">
        <f ca="1">IFERROR(VLOOKUP(H$2,Rango_Admin_DailyPred,MATCH($F30,Rango_Admin_DailyPred_Primera,0)+1,0),"-")</f>
        <v>1</v>
      </c>
      <c r="I30" s="429" t="str">
        <f ca="1">IFERROR(VLOOKUP(I$2,Rango_Admin_DailyPred,MATCH($F30,Rango_Admin_DailyPred_Primera,0)+1,0),"-")</f>
        <v>-</v>
      </c>
      <c r="J30" s="429" t="str">
        <f ca="1">IFERROR(VLOOKUP(J$2,Rango_Admin_DailyPred,MATCH($F30,Rango_Admin_DailyPred_Primera,0)+1,0),"-")</f>
        <v>-</v>
      </c>
      <c r="K30" s="429" t="str">
        <f ca="1">IFERROR(VLOOKUP(K$2,Rango_Admin_DailyPred,MATCH($F30,Rango_Admin_DailyPred_Primera,0)+1,0),"-")</f>
        <v>-</v>
      </c>
      <c r="L30" s="429" t="str">
        <f ca="1">IFERROR(VLOOKUP(L$2,Rango_Admin_DailyPred,MATCH($F30,Rango_Admin_DailyPred_Primera,0)+1,0),"-")</f>
        <v>-</v>
      </c>
      <c r="M30" s="429" t="str">
        <f ca="1">IFERROR(VLOOKUP(M$2,Rango_Admin_DailyPred,MATCH($F30,Rango_Admin_DailyPred_Primera,0)+1,0),"-")</f>
        <v>-</v>
      </c>
      <c r="N30" s="429" t="str">
        <f ca="1">IFERROR(VLOOKUP(N$2,Rango_Admin_DailyPred,MATCH($F30,Rango_Admin_DailyPred_Primera,0)+1,0),"-")</f>
        <v>-</v>
      </c>
      <c r="O30" s="429" t="str">
        <f ca="1">IFERROR(VLOOKUP(O$2,Rango_Admin_DailyPred,MATCH($F30,Rango_Admin_DailyPred_Primera,0)+1,0),"-")</f>
        <v>-</v>
      </c>
      <c r="P30" s="429" t="str">
        <f ca="1">IFERROR(VLOOKUP(P$2,Rango_Admin_DailyPred,MATCH($F30,Rango_Admin_DailyPred_Primera,0)+1,0),"-")</f>
        <v>-</v>
      </c>
      <c r="Q30" s="429" t="str">
        <f ca="1">IFERROR(VLOOKUP(Q$2,Rango_Admin_DailyPred,MATCH($F30,Rango_Admin_DailyPred_Primera,0)+1,0),"-")</f>
        <v>-</v>
      </c>
      <c r="R30" s="429" t="str">
        <f ca="1">IFERROR(VLOOKUP(R$2,Rango_Admin_DailyPred,MATCH($F30,Rango_Admin_DailyPred_Primera,0)+1,0),"-")</f>
        <v>-</v>
      </c>
      <c r="S30" s="429" t="str">
        <f ca="1">IFERROR(VLOOKUP(S$2,Rango_Admin_DailyPred,MATCH($F30,Rango_Admin_DailyPred_Primera,0)+1,0),"-")</f>
        <v>-</v>
      </c>
      <c r="T30" s="429" t="str">
        <f ca="1">IFERROR(VLOOKUP(T$2,Rango_Admin_DailyPred,MATCH($F30,Rango_Admin_DailyPred_Primera,0)+1,0),"-")</f>
        <v>-</v>
      </c>
      <c r="U30" s="429" t="str">
        <f ca="1">IFERROR(VLOOKUP(U$2,Rango_Admin_DailyPred,MATCH($F30,Rango_Admin_DailyPred_Primera,0)+1,0),"-")</f>
        <v>-</v>
      </c>
      <c r="V30" s="429" t="str">
        <f ca="1">IFERROR(VLOOKUP(V$2,Rango_Admin_DailyPred,MATCH($F30,Rango_Admin_DailyPred_Primera,0)+1,0),"-")</f>
        <v>-</v>
      </c>
      <c r="W30" s="429" t="str">
        <f ca="1">IFERROR(VLOOKUP(W$2,Rango_Admin_DailyPred,MATCH($F30,Rango_Admin_DailyPred_Primera,0)+1,0),"-")</f>
        <v>-</v>
      </c>
      <c r="X30" s="429" t="str">
        <f ca="1">IFERROR(VLOOKUP(X$2,Rango_Admin_DailyPred,MATCH($F30,Rango_Admin_DailyPred_Primera,0)+1,0),"-")</f>
        <v>-</v>
      </c>
      <c r="Y30" s="429" t="str">
        <f ca="1">IFERROR(VLOOKUP(Y$2,Rango_Admin_DailyPred,MATCH($F30,Rango_Admin_DailyPred_Primera,0)+1,0),"-")</f>
        <v>-</v>
      </c>
      <c r="Z30" s="429" t="str">
        <f ca="1">IFERROR(VLOOKUP(Z$2,Rango_Admin_DailyPred,MATCH($F30,Rango_Admin_DailyPred_Primera,0)+1,0),"-")</f>
        <v>-</v>
      </c>
      <c r="AA30" s="429" t="str">
        <f ca="1">IFERROR(VLOOKUP(AA$2,Rango_Admin_DailyPred,MATCH($F30,Rango_Admin_DailyPred_Primera,0)+1,0),"-")</f>
        <v>-</v>
      </c>
      <c r="AB30" s="429" t="str">
        <f ca="1">IFERROR(VLOOKUP(AB$2,Rango_Admin_DailyPred,MATCH($F30,Rango_Admin_DailyPred_Primera,0)+1,0),"-")</f>
        <v>-</v>
      </c>
      <c r="AC30" s="429" t="str">
        <f ca="1">IFERROR(VLOOKUP(AC$2,Rango_Admin_DailyPred,MATCH($F30,Rango_Admin_DailyPred_Primera,0)+1,0),"-")</f>
        <v>-</v>
      </c>
      <c r="AD30" s="429" t="str">
        <f ca="1">IFERROR(VLOOKUP(AD$2,Rango_Admin_DailyPred,MATCH($F30,Rango_Admin_DailyPred_Primera,0)+1,0),"-")</f>
        <v>-</v>
      </c>
      <c r="AE30" s="429" t="str">
        <f ca="1">IFERROR(VLOOKUP(AE$2,Rango_Admin_DailyPred,MATCH($F30,Rango_Admin_DailyPred_Primera,0)+1,0),"-")</f>
        <v>-</v>
      </c>
      <c r="AF30" s="429" t="str">
        <f ca="1">IFERROR(VLOOKUP(AF$2,Rango_Admin_DailyPred,MATCH($F30,Rango_Admin_DailyPred_Primera,0)+1,0),"-")</f>
        <v>-</v>
      </c>
      <c r="AG30" s="429" t="str">
        <f ca="1">IFERROR(VLOOKUP(AG$2,Rango_Admin_DailyPred,MATCH($F30,Rango_Admin_DailyPred_Primera,0)+1,0),"-")</f>
        <v>-</v>
      </c>
      <c r="AH30" s="429" t="str">
        <f ca="1">IFERROR(VLOOKUP(AH$2,Rango_Admin_DailyPred,MATCH($F30,Rango_Admin_DailyPred_Primera,0)+1,0),"-")</f>
        <v>-</v>
      </c>
      <c r="AI30" s="429" t="str">
        <f ca="1">IFERROR(VLOOKUP(AI$2,Rango_Admin_DailyPred,MATCH($F30,Rango_Admin_DailyPred_Primera,0)+1,0),"-")</f>
        <v>-</v>
      </c>
      <c r="AJ30" s="429" t="str">
        <f ca="1">IFERROR(VLOOKUP(AJ$2,Rango_Admin_DailyPred,MATCH($F30,Rango_Admin_DailyPred_Primera,0)+1,0),"-")</f>
        <v>-</v>
      </c>
      <c r="AK30" s="429" t="str">
        <f ca="1">IFERROR(VLOOKUP(AK$2,Rango_Admin_DailyPred,MATCH($F30,Rango_Admin_DailyPred_Primera,0)+1,0),"-")</f>
        <v>-</v>
      </c>
      <c r="AL30" s="429" t="str">
        <f ca="1">IFERROR(VLOOKUP(AL$2,Rango_Admin_DailyPred,MATCH($F30,Rango_Admin_DailyPred_Primera,0)+1,0),"-")</f>
        <v>-</v>
      </c>
      <c r="AM30" s="429" t="str">
        <f ca="1">IFERROR(VLOOKUP(AM$2,Rango_Admin_DailyPred,MATCH($F30,Rango_Admin_DailyPred_Primera,0)+1,0),"-")</f>
        <v>-</v>
      </c>
      <c r="AN30" s="297"/>
    </row>
    <row r="31" spans="1:40">
      <c r="A31" s="8" t="str" cm="1">
        <f t="array" aca="1" ref="A31" ca="1">IFERROR(INDEX(ADMIN!$K$6:$K$258,SMALL(IF(ADMIN!$G$6:$G$258=$K$1,ROW(ADMIN!$G$6:$G$258)-ROW(ADMIN!$G$6)+1),ROWS($A$1:A28))),"")</f>
        <v/>
      </c>
      <c r="B31" s="8"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C31" s="8">
        <v>28</v>
      </c>
      <c r="D31" s="19"/>
      <c r="E31" s="409">
        <f ca="1">IFERROR(HLOOKUP(C31,Rango_Admin_DailyClas,3,FALSE),"-")</f>
        <v>24</v>
      </c>
      <c r="F31" s="448" t="str">
        <f ca="1">IFERROR(HLOOKUP(C31,Rango_Admin_DailyClas,5,FALSE),"-")</f>
        <v>Guillermo Murciano</v>
      </c>
      <c r="G31" s="22">
        <f ca="1">IFERROR(HLOOKUP(C31,Rango_Admin_DailyClas,4,FALSE),"-")</f>
        <v>1</v>
      </c>
      <c r="H31" s="429">
        <f ca="1">IFERROR(VLOOKUP(H$2,Rango_Admin_DailyPred,MATCH($F31,Rango_Admin_DailyPred_Primera,0)+1,0),"-")</f>
        <v>1</v>
      </c>
      <c r="I31" s="429" t="str">
        <f ca="1">IFERROR(VLOOKUP(I$2,Rango_Admin_DailyPred,MATCH($F31,Rango_Admin_DailyPred_Primera,0)+1,0),"-")</f>
        <v>-</v>
      </c>
      <c r="J31" s="429" t="str">
        <f ca="1">IFERROR(VLOOKUP(J$2,Rango_Admin_DailyPred,MATCH($F31,Rango_Admin_DailyPred_Primera,0)+1,0),"-")</f>
        <v>-</v>
      </c>
      <c r="K31" s="429" t="str">
        <f ca="1">IFERROR(VLOOKUP(K$2,Rango_Admin_DailyPred,MATCH($F31,Rango_Admin_DailyPred_Primera,0)+1,0),"-")</f>
        <v>-</v>
      </c>
      <c r="L31" s="429" t="str">
        <f ca="1">IFERROR(VLOOKUP(L$2,Rango_Admin_DailyPred,MATCH($F31,Rango_Admin_DailyPred_Primera,0)+1,0),"-")</f>
        <v>-</v>
      </c>
      <c r="M31" s="429" t="str">
        <f ca="1">IFERROR(VLOOKUP(M$2,Rango_Admin_DailyPred,MATCH($F31,Rango_Admin_DailyPred_Primera,0)+1,0),"-")</f>
        <v>-</v>
      </c>
      <c r="N31" s="429" t="str">
        <f ca="1">IFERROR(VLOOKUP(N$2,Rango_Admin_DailyPred,MATCH($F31,Rango_Admin_DailyPred_Primera,0)+1,0),"-")</f>
        <v>-</v>
      </c>
      <c r="O31" s="429" t="str">
        <f ca="1">IFERROR(VLOOKUP(O$2,Rango_Admin_DailyPred,MATCH($F31,Rango_Admin_DailyPred_Primera,0)+1,0),"-")</f>
        <v>-</v>
      </c>
      <c r="P31" s="429" t="str">
        <f ca="1">IFERROR(VLOOKUP(P$2,Rango_Admin_DailyPred,MATCH($F31,Rango_Admin_DailyPred_Primera,0)+1,0),"-")</f>
        <v>-</v>
      </c>
      <c r="Q31" s="429" t="str">
        <f ca="1">IFERROR(VLOOKUP(Q$2,Rango_Admin_DailyPred,MATCH($F31,Rango_Admin_DailyPred_Primera,0)+1,0),"-")</f>
        <v>-</v>
      </c>
      <c r="R31" s="429" t="str">
        <f ca="1">IFERROR(VLOOKUP(R$2,Rango_Admin_DailyPred,MATCH($F31,Rango_Admin_DailyPred_Primera,0)+1,0),"-")</f>
        <v>-</v>
      </c>
      <c r="S31" s="429" t="str">
        <f ca="1">IFERROR(VLOOKUP(S$2,Rango_Admin_DailyPred,MATCH($F31,Rango_Admin_DailyPred_Primera,0)+1,0),"-")</f>
        <v>-</v>
      </c>
      <c r="T31" s="429" t="str">
        <f ca="1">IFERROR(VLOOKUP(T$2,Rango_Admin_DailyPred,MATCH($F31,Rango_Admin_DailyPred_Primera,0)+1,0),"-")</f>
        <v>-</v>
      </c>
      <c r="U31" s="429" t="str">
        <f ca="1">IFERROR(VLOOKUP(U$2,Rango_Admin_DailyPred,MATCH($F31,Rango_Admin_DailyPred_Primera,0)+1,0),"-")</f>
        <v>-</v>
      </c>
      <c r="V31" s="429" t="str">
        <f ca="1">IFERROR(VLOOKUP(V$2,Rango_Admin_DailyPred,MATCH($F31,Rango_Admin_DailyPred_Primera,0)+1,0),"-")</f>
        <v>-</v>
      </c>
      <c r="W31" s="429" t="str">
        <f ca="1">IFERROR(VLOOKUP(W$2,Rango_Admin_DailyPred,MATCH($F31,Rango_Admin_DailyPred_Primera,0)+1,0),"-")</f>
        <v>-</v>
      </c>
      <c r="X31" s="429" t="str">
        <f ca="1">IFERROR(VLOOKUP(X$2,Rango_Admin_DailyPred,MATCH($F31,Rango_Admin_DailyPred_Primera,0)+1,0),"-")</f>
        <v>-</v>
      </c>
      <c r="Y31" s="429" t="str">
        <f ca="1">IFERROR(VLOOKUP(Y$2,Rango_Admin_DailyPred,MATCH($F31,Rango_Admin_DailyPred_Primera,0)+1,0),"-")</f>
        <v>-</v>
      </c>
      <c r="Z31" s="429" t="str">
        <f ca="1">IFERROR(VLOOKUP(Z$2,Rango_Admin_DailyPred,MATCH($F31,Rango_Admin_DailyPred_Primera,0)+1,0),"-")</f>
        <v>-</v>
      </c>
      <c r="AA31" s="429" t="str">
        <f ca="1">IFERROR(VLOOKUP(AA$2,Rango_Admin_DailyPred,MATCH($F31,Rango_Admin_DailyPred_Primera,0)+1,0),"-")</f>
        <v>-</v>
      </c>
      <c r="AB31" s="429" t="str">
        <f ca="1">IFERROR(VLOOKUP(AB$2,Rango_Admin_DailyPred,MATCH($F31,Rango_Admin_DailyPred_Primera,0)+1,0),"-")</f>
        <v>-</v>
      </c>
      <c r="AC31" s="429" t="str">
        <f ca="1">IFERROR(VLOOKUP(AC$2,Rango_Admin_DailyPred,MATCH($F31,Rango_Admin_DailyPred_Primera,0)+1,0),"-")</f>
        <v>-</v>
      </c>
      <c r="AD31" s="429" t="str">
        <f ca="1">IFERROR(VLOOKUP(AD$2,Rango_Admin_DailyPred,MATCH($F31,Rango_Admin_DailyPred_Primera,0)+1,0),"-")</f>
        <v>-</v>
      </c>
      <c r="AE31" s="429" t="str">
        <f ca="1">IFERROR(VLOOKUP(AE$2,Rango_Admin_DailyPred,MATCH($F31,Rango_Admin_DailyPred_Primera,0)+1,0),"-")</f>
        <v>-</v>
      </c>
      <c r="AF31" s="429" t="str">
        <f ca="1">IFERROR(VLOOKUP(AF$2,Rango_Admin_DailyPred,MATCH($F31,Rango_Admin_DailyPred_Primera,0)+1,0),"-")</f>
        <v>-</v>
      </c>
      <c r="AG31" s="429" t="str">
        <f ca="1">IFERROR(VLOOKUP(AG$2,Rango_Admin_DailyPred,MATCH($F31,Rango_Admin_DailyPred_Primera,0)+1,0),"-")</f>
        <v>-</v>
      </c>
      <c r="AH31" s="429" t="str">
        <f ca="1">IFERROR(VLOOKUP(AH$2,Rango_Admin_DailyPred,MATCH($F31,Rango_Admin_DailyPred_Primera,0)+1,0),"-")</f>
        <v>-</v>
      </c>
      <c r="AI31" s="429" t="str">
        <f ca="1">IFERROR(VLOOKUP(AI$2,Rango_Admin_DailyPred,MATCH($F31,Rango_Admin_DailyPred_Primera,0)+1,0),"-")</f>
        <v>-</v>
      </c>
      <c r="AJ31" s="429" t="str">
        <f ca="1">IFERROR(VLOOKUP(AJ$2,Rango_Admin_DailyPred,MATCH($F31,Rango_Admin_DailyPred_Primera,0)+1,0),"-")</f>
        <v>-</v>
      </c>
      <c r="AK31" s="429" t="str">
        <f ca="1">IFERROR(VLOOKUP(AK$2,Rango_Admin_DailyPred,MATCH($F31,Rango_Admin_DailyPred_Primera,0)+1,0),"-")</f>
        <v>-</v>
      </c>
      <c r="AL31" s="429" t="str">
        <f ca="1">IFERROR(VLOOKUP(AL$2,Rango_Admin_DailyPred,MATCH($F31,Rango_Admin_DailyPred_Primera,0)+1,0),"-")</f>
        <v>-</v>
      </c>
      <c r="AM31" s="429" t="str">
        <f ca="1">IFERROR(VLOOKUP(AM$2,Rango_Admin_DailyPred,MATCH($F31,Rango_Admin_DailyPred_Primera,0)+1,0),"-")</f>
        <v>-</v>
      </c>
      <c r="AN31" s="297"/>
    </row>
    <row r="32" spans="1:40">
      <c r="A32" s="8" t="str" cm="1">
        <f t="array" aca="1" ref="A32" ca="1">IFERROR(INDEX(ADMIN!$K$6:$K$258,SMALL(IF(ADMIN!$G$6:$G$258=$K$1,ROW(ADMIN!$G$6:$G$258)-ROW(ADMIN!$G$6)+1),ROWS($A$1:A29))),"")</f>
        <v/>
      </c>
      <c r="B32" s="8"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C32" s="8">
        <v>29</v>
      </c>
      <c r="D32" s="19"/>
      <c r="E32" s="409">
        <f ca="1">IFERROR(HLOOKUP(C32,Rango_Admin_DailyClas,3,FALSE),"-")</f>
        <v>24</v>
      </c>
      <c r="F32" s="448" t="str">
        <f ca="1">IFERROR(HLOOKUP(C32,Rango_Admin_DailyClas,5,FALSE),"-")</f>
        <v>Ignacio de Lecea</v>
      </c>
      <c r="G32" s="22">
        <f ca="1">IFERROR(HLOOKUP(C32,Rango_Admin_DailyClas,4,FALSE),"-")</f>
        <v>1</v>
      </c>
      <c r="H32" s="429">
        <f ca="1">IFERROR(VLOOKUP(H$2,Rango_Admin_DailyPred,MATCH($F32,Rango_Admin_DailyPred_Primera,0)+1,0),"-")</f>
        <v>1</v>
      </c>
      <c r="I32" s="429" t="str">
        <f ca="1">IFERROR(VLOOKUP(I$2,Rango_Admin_DailyPred,MATCH($F32,Rango_Admin_DailyPred_Primera,0)+1,0),"-")</f>
        <v>-</v>
      </c>
      <c r="J32" s="429" t="str">
        <f ca="1">IFERROR(VLOOKUP(J$2,Rango_Admin_DailyPred,MATCH($F32,Rango_Admin_DailyPred_Primera,0)+1,0),"-")</f>
        <v>-</v>
      </c>
      <c r="K32" s="429" t="str">
        <f ca="1">IFERROR(VLOOKUP(K$2,Rango_Admin_DailyPred,MATCH($F32,Rango_Admin_DailyPred_Primera,0)+1,0),"-")</f>
        <v>-</v>
      </c>
      <c r="L32" s="429" t="str">
        <f ca="1">IFERROR(VLOOKUP(L$2,Rango_Admin_DailyPred,MATCH($F32,Rango_Admin_DailyPred_Primera,0)+1,0),"-")</f>
        <v>-</v>
      </c>
      <c r="M32" s="429" t="str">
        <f ca="1">IFERROR(VLOOKUP(M$2,Rango_Admin_DailyPred,MATCH($F32,Rango_Admin_DailyPred_Primera,0)+1,0),"-")</f>
        <v>-</v>
      </c>
      <c r="N32" s="429" t="str">
        <f ca="1">IFERROR(VLOOKUP(N$2,Rango_Admin_DailyPred,MATCH($F32,Rango_Admin_DailyPred_Primera,0)+1,0),"-")</f>
        <v>-</v>
      </c>
      <c r="O32" s="429" t="str">
        <f ca="1">IFERROR(VLOOKUP(O$2,Rango_Admin_DailyPred,MATCH($F32,Rango_Admin_DailyPred_Primera,0)+1,0),"-")</f>
        <v>-</v>
      </c>
      <c r="P32" s="429" t="str">
        <f ca="1">IFERROR(VLOOKUP(P$2,Rango_Admin_DailyPred,MATCH($F32,Rango_Admin_DailyPred_Primera,0)+1,0),"-")</f>
        <v>-</v>
      </c>
      <c r="Q32" s="429" t="str">
        <f ca="1">IFERROR(VLOOKUP(Q$2,Rango_Admin_DailyPred,MATCH($F32,Rango_Admin_DailyPred_Primera,0)+1,0),"-")</f>
        <v>-</v>
      </c>
      <c r="R32" s="429" t="str">
        <f ca="1">IFERROR(VLOOKUP(R$2,Rango_Admin_DailyPred,MATCH($F32,Rango_Admin_DailyPred_Primera,0)+1,0),"-")</f>
        <v>-</v>
      </c>
      <c r="S32" s="429" t="str">
        <f ca="1">IFERROR(VLOOKUP(S$2,Rango_Admin_DailyPred,MATCH($F32,Rango_Admin_DailyPred_Primera,0)+1,0),"-")</f>
        <v>-</v>
      </c>
      <c r="T32" s="429" t="str">
        <f ca="1">IFERROR(VLOOKUP(T$2,Rango_Admin_DailyPred,MATCH($F32,Rango_Admin_DailyPred_Primera,0)+1,0),"-")</f>
        <v>-</v>
      </c>
      <c r="U32" s="429" t="str">
        <f ca="1">IFERROR(VLOOKUP(U$2,Rango_Admin_DailyPred,MATCH($F32,Rango_Admin_DailyPred_Primera,0)+1,0),"-")</f>
        <v>-</v>
      </c>
      <c r="V32" s="429" t="str">
        <f ca="1">IFERROR(VLOOKUP(V$2,Rango_Admin_DailyPred,MATCH($F32,Rango_Admin_DailyPred_Primera,0)+1,0),"-")</f>
        <v>-</v>
      </c>
      <c r="W32" s="429" t="str">
        <f ca="1">IFERROR(VLOOKUP(W$2,Rango_Admin_DailyPred,MATCH($F32,Rango_Admin_DailyPred_Primera,0)+1,0),"-")</f>
        <v>-</v>
      </c>
      <c r="X32" s="429" t="str">
        <f ca="1">IFERROR(VLOOKUP(X$2,Rango_Admin_DailyPred,MATCH($F32,Rango_Admin_DailyPred_Primera,0)+1,0),"-")</f>
        <v>-</v>
      </c>
      <c r="Y32" s="429" t="str">
        <f ca="1">IFERROR(VLOOKUP(Y$2,Rango_Admin_DailyPred,MATCH($F32,Rango_Admin_DailyPred_Primera,0)+1,0),"-")</f>
        <v>-</v>
      </c>
      <c r="Z32" s="429" t="str">
        <f ca="1">IFERROR(VLOOKUP(Z$2,Rango_Admin_DailyPred,MATCH($F32,Rango_Admin_DailyPred_Primera,0)+1,0),"-")</f>
        <v>-</v>
      </c>
      <c r="AA32" s="429" t="str">
        <f ca="1">IFERROR(VLOOKUP(AA$2,Rango_Admin_DailyPred,MATCH($F32,Rango_Admin_DailyPred_Primera,0)+1,0),"-")</f>
        <v>-</v>
      </c>
      <c r="AB32" s="429" t="str">
        <f ca="1">IFERROR(VLOOKUP(AB$2,Rango_Admin_DailyPred,MATCH($F32,Rango_Admin_DailyPred_Primera,0)+1,0),"-")</f>
        <v>-</v>
      </c>
      <c r="AC32" s="429" t="str">
        <f ca="1">IFERROR(VLOOKUP(AC$2,Rango_Admin_DailyPred,MATCH($F32,Rango_Admin_DailyPred_Primera,0)+1,0),"-")</f>
        <v>-</v>
      </c>
      <c r="AD32" s="429" t="str">
        <f ca="1">IFERROR(VLOOKUP(AD$2,Rango_Admin_DailyPred,MATCH($F32,Rango_Admin_DailyPred_Primera,0)+1,0),"-")</f>
        <v>-</v>
      </c>
      <c r="AE32" s="429" t="str">
        <f ca="1">IFERROR(VLOOKUP(AE$2,Rango_Admin_DailyPred,MATCH($F32,Rango_Admin_DailyPred_Primera,0)+1,0),"-")</f>
        <v>-</v>
      </c>
      <c r="AF32" s="429" t="str">
        <f ca="1">IFERROR(VLOOKUP(AF$2,Rango_Admin_DailyPred,MATCH($F32,Rango_Admin_DailyPred_Primera,0)+1,0),"-")</f>
        <v>-</v>
      </c>
      <c r="AG32" s="429" t="str">
        <f ca="1">IFERROR(VLOOKUP(AG$2,Rango_Admin_DailyPred,MATCH($F32,Rango_Admin_DailyPred_Primera,0)+1,0),"-")</f>
        <v>-</v>
      </c>
      <c r="AH32" s="429" t="str">
        <f ca="1">IFERROR(VLOOKUP(AH$2,Rango_Admin_DailyPred,MATCH($F32,Rango_Admin_DailyPred_Primera,0)+1,0),"-")</f>
        <v>-</v>
      </c>
      <c r="AI32" s="429" t="str">
        <f ca="1">IFERROR(VLOOKUP(AI$2,Rango_Admin_DailyPred,MATCH($F32,Rango_Admin_DailyPred_Primera,0)+1,0),"-")</f>
        <v>-</v>
      </c>
      <c r="AJ32" s="429" t="str">
        <f ca="1">IFERROR(VLOOKUP(AJ$2,Rango_Admin_DailyPred,MATCH($F32,Rango_Admin_DailyPred_Primera,0)+1,0),"-")</f>
        <v>-</v>
      </c>
      <c r="AK32" s="429" t="str">
        <f ca="1">IFERROR(VLOOKUP(AK$2,Rango_Admin_DailyPred,MATCH($F32,Rango_Admin_DailyPred_Primera,0)+1,0),"-")</f>
        <v>-</v>
      </c>
      <c r="AL32" s="429" t="str">
        <f ca="1">IFERROR(VLOOKUP(AL$2,Rango_Admin_DailyPred,MATCH($F32,Rango_Admin_DailyPred_Primera,0)+1,0),"-")</f>
        <v>-</v>
      </c>
      <c r="AM32" s="429" t="str">
        <f ca="1">IFERROR(VLOOKUP(AM$2,Rango_Admin_DailyPred,MATCH($F32,Rango_Admin_DailyPred_Primera,0)+1,0),"-")</f>
        <v>-</v>
      </c>
      <c r="AN32" s="297"/>
    </row>
    <row r="33" spans="1:40">
      <c r="A33" s="8" t="str" cm="1">
        <f t="array" aca="1" ref="A33" ca="1">IFERROR(INDEX(ADMIN!$K$6:$K$258,SMALL(IF(ADMIN!$G$6:$G$258=$K$1,ROW(ADMIN!$G$6:$G$258)-ROW(ADMIN!$G$6)+1),ROWS($A$1:A30))),"")</f>
        <v/>
      </c>
      <c r="B33" s="8"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C33" s="8">
        <v>30</v>
      </c>
      <c r="D33" s="19"/>
      <c r="E33" s="409">
        <f ca="1">IFERROR(HLOOKUP(C33,Rango_Admin_DailyClas,3,FALSE),"-")</f>
        <v>24</v>
      </c>
      <c r="F33" s="448" t="str">
        <f ca="1">IFERROR(HLOOKUP(C33,Rango_Admin_DailyClas,5,FALSE),"-")</f>
        <v>Hulk Rexach</v>
      </c>
      <c r="G33" s="22">
        <f ca="1">IFERROR(HLOOKUP(C33,Rango_Admin_DailyClas,4,FALSE),"-")</f>
        <v>1</v>
      </c>
      <c r="H33" s="429">
        <f ca="1">IFERROR(VLOOKUP(H$2,Rango_Admin_DailyPred,MATCH($F33,Rango_Admin_DailyPred_Primera,0)+1,0),"-")</f>
        <v>1</v>
      </c>
      <c r="I33" s="429" t="str">
        <f ca="1">IFERROR(VLOOKUP(I$2,Rango_Admin_DailyPred,MATCH($F33,Rango_Admin_DailyPred_Primera,0)+1,0),"-")</f>
        <v>-</v>
      </c>
      <c r="J33" s="429" t="str">
        <f ca="1">IFERROR(VLOOKUP(J$2,Rango_Admin_DailyPred,MATCH($F33,Rango_Admin_DailyPred_Primera,0)+1,0),"-")</f>
        <v>-</v>
      </c>
      <c r="K33" s="429" t="str">
        <f ca="1">IFERROR(VLOOKUP(K$2,Rango_Admin_DailyPred,MATCH($F33,Rango_Admin_DailyPred_Primera,0)+1,0),"-")</f>
        <v>-</v>
      </c>
      <c r="L33" s="429" t="str">
        <f ca="1">IFERROR(VLOOKUP(L$2,Rango_Admin_DailyPred,MATCH($F33,Rango_Admin_DailyPred_Primera,0)+1,0),"-")</f>
        <v>-</v>
      </c>
      <c r="M33" s="429" t="str">
        <f ca="1">IFERROR(VLOOKUP(M$2,Rango_Admin_DailyPred,MATCH($F33,Rango_Admin_DailyPred_Primera,0)+1,0),"-")</f>
        <v>-</v>
      </c>
      <c r="N33" s="429" t="str">
        <f ca="1">IFERROR(VLOOKUP(N$2,Rango_Admin_DailyPred,MATCH($F33,Rango_Admin_DailyPred_Primera,0)+1,0),"-")</f>
        <v>-</v>
      </c>
      <c r="O33" s="429" t="str">
        <f ca="1">IFERROR(VLOOKUP(O$2,Rango_Admin_DailyPred,MATCH($F33,Rango_Admin_DailyPred_Primera,0)+1,0),"-")</f>
        <v>-</v>
      </c>
      <c r="P33" s="429" t="str">
        <f ca="1">IFERROR(VLOOKUP(P$2,Rango_Admin_DailyPred,MATCH($F33,Rango_Admin_DailyPred_Primera,0)+1,0),"-")</f>
        <v>-</v>
      </c>
      <c r="Q33" s="429" t="str">
        <f ca="1">IFERROR(VLOOKUP(Q$2,Rango_Admin_DailyPred,MATCH($F33,Rango_Admin_DailyPred_Primera,0)+1,0),"-")</f>
        <v>-</v>
      </c>
      <c r="R33" s="429" t="str">
        <f ca="1">IFERROR(VLOOKUP(R$2,Rango_Admin_DailyPred,MATCH($F33,Rango_Admin_DailyPred_Primera,0)+1,0),"-")</f>
        <v>-</v>
      </c>
      <c r="S33" s="429" t="str">
        <f ca="1">IFERROR(VLOOKUP(S$2,Rango_Admin_DailyPred,MATCH($F33,Rango_Admin_DailyPred_Primera,0)+1,0),"-")</f>
        <v>-</v>
      </c>
      <c r="T33" s="429" t="str">
        <f ca="1">IFERROR(VLOOKUP(T$2,Rango_Admin_DailyPred,MATCH($F33,Rango_Admin_DailyPred_Primera,0)+1,0),"-")</f>
        <v>-</v>
      </c>
      <c r="U33" s="429" t="str">
        <f ca="1">IFERROR(VLOOKUP(U$2,Rango_Admin_DailyPred,MATCH($F33,Rango_Admin_DailyPred_Primera,0)+1,0),"-")</f>
        <v>-</v>
      </c>
      <c r="V33" s="429" t="str">
        <f ca="1">IFERROR(VLOOKUP(V$2,Rango_Admin_DailyPred,MATCH($F33,Rango_Admin_DailyPred_Primera,0)+1,0),"-")</f>
        <v>-</v>
      </c>
      <c r="W33" s="429" t="str">
        <f ca="1">IFERROR(VLOOKUP(W$2,Rango_Admin_DailyPred,MATCH($F33,Rango_Admin_DailyPred_Primera,0)+1,0),"-")</f>
        <v>-</v>
      </c>
      <c r="X33" s="429" t="str">
        <f ca="1">IFERROR(VLOOKUP(X$2,Rango_Admin_DailyPred,MATCH($F33,Rango_Admin_DailyPred_Primera,0)+1,0),"-")</f>
        <v>-</v>
      </c>
      <c r="Y33" s="429" t="str">
        <f ca="1">IFERROR(VLOOKUP(Y$2,Rango_Admin_DailyPred,MATCH($F33,Rango_Admin_DailyPred_Primera,0)+1,0),"-")</f>
        <v>-</v>
      </c>
      <c r="Z33" s="429" t="str">
        <f ca="1">IFERROR(VLOOKUP(Z$2,Rango_Admin_DailyPred,MATCH($F33,Rango_Admin_DailyPred_Primera,0)+1,0),"-")</f>
        <v>-</v>
      </c>
      <c r="AA33" s="429" t="str">
        <f ca="1">IFERROR(VLOOKUP(AA$2,Rango_Admin_DailyPred,MATCH($F33,Rango_Admin_DailyPred_Primera,0)+1,0),"-")</f>
        <v>-</v>
      </c>
      <c r="AB33" s="429" t="str">
        <f ca="1">IFERROR(VLOOKUP(AB$2,Rango_Admin_DailyPred,MATCH($F33,Rango_Admin_DailyPred_Primera,0)+1,0),"-")</f>
        <v>-</v>
      </c>
      <c r="AC33" s="429" t="str">
        <f ca="1">IFERROR(VLOOKUP(AC$2,Rango_Admin_DailyPred,MATCH($F33,Rango_Admin_DailyPred_Primera,0)+1,0),"-")</f>
        <v>-</v>
      </c>
      <c r="AD33" s="429" t="str">
        <f ca="1">IFERROR(VLOOKUP(AD$2,Rango_Admin_DailyPred,MATCH($F33,Rango_Admin_DailyPred_Primera,0)+1,0),"-")</f>
        <v>-</v>
      </c>
      <c r="AE33" s="429" t="str">
        <f ca="1">IFERROR(VLOOKUP(AE$2,Rango_Admin_DailyPred,MATCH($F33,Rango_Admin_DailyPred_Primera,0)+1,0),"-")</f>
        <v>-</v>
      </c>
      <c r="AF33" s="429" t="str">
        <f ca="1">IFERROR(VLOOKUP(AF$2,Rango_Admin_DailyPred,MATCH($F33,Rango_Admin_DailyPred_Primera,0)+1,0),"-")</f>
        <v>-</v>
      </c>
      <c r="AG33" s="429" t="str">
        <f ca="1">IFERROR(VLOOKUP(AG$2,Rango_Admin_DailyPred,MATCH($F33,Rango_Admin_DailyPred_Primera,0)+1,0),"-")</f>
        <v>-</v>
      </c>
      <c r="AH33" s="429" t="str">
        <f ca="1">IFERROR(VLOOKUP(AH$2,Rango_Admin_DailyPred,MATCH($F33,Rango_Admin_DailyPred_Primera,0)+1,0),"-")</f>
        <v>-</v>
      </c>
      <c r="AI33" s="429" t="str">
        <f ca="1">IFERROR(VLOOKUP(AI$2,Rango_Admin_DailyPred,MATCH($F33,Rango_Admin_DailyPred_Primera,0)+1,0),"-")</f>
        <v>-</v>
      </c>
      <c r="AJ33" s="429" t="str">
        <f ca="1">IFERROR(VLOOKUP(AJ$2,Rango_Admin_DailyPred,MATCH($F33,Rango_Admin_DailyPred_Primera,0)+1,0),"-")</f>
        <v>-</v>
      </c>
      <c r="AK33" s="429" t="str">
        <f ca="1">IFERROR(VLOOKUP(AK$2,Rango_Admin_DailyPred,MATCH($F33,Rango_Admin_DailyPred_Primera,0)+1,0),"-")</f>
        <v>-</v>
      </c>
      <c r="AL33" s="429" t="str">
        <f ca="1">IFERROR(VLOOKUP(AL$2,Rango_Admin_DailyPred,MATCH($F33,Rango_Admin_DailyPred_Primera,0)+1,0),"-")</f>
        <v>-</v>
      </c>
      <c r="AM33" s="429" t="str">
        <f ca="1">IFERROR(VLOOKUP(AM$2,Rango_Admin_DailyPred,MATCH($F33,Rango_Admin_DailyPred_Primera,0)+1,0),"-")</f>
        <v>-</v>
      </c>
      <c r="AN33" s="297"/>
    </row>
    <row r="34" spans="1:40">
      <c r="A34" s="8" t="str" cm="1">
        <f t="array" aca="1" ref="A34" ca="1">IFERROR(INDEX(ADMIN!$K$6:$K$258,SMALL(IF(ADMIN!$G$6:$G$258=$K$1,ROW(ADMIN!$G$6:$G$258)-ROW(ADMIN!$G$6)+1),ROWS($A$1:A31))),"")</f>
        <v/>
      </c>
      <c r="B34" s="8"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C34" s="8">
        <v>31</v>
      </c>
      <c r="D34" s="19"/>
      <c r="E34" s="409">
        <f ca="1">IFERROR(HLOOKUP(C34,Rango_Admin_DailyClas,3,FALSE),"-")</f>
        <v>24</v>
      </c>
      <c r="F34" s="448" t="str">
        <f ca="1">IFERROR(HLOOKUP(C34,Rango_Admin_DailyClas,5,FALSE),"-")</f>
        <v>bau</v>
      </c>
      <c r="G34" s="22">
        <f ca="1">IFERROR(HLOOKUP(C34,Rango_Admin_DailyClas,4,FALSE),"-")</f>
        <v>1</v>
      </c>
      <c r="H34" s="429">
        <f ca="1">IFERROR(VLOOKUP(H$2,Rango_Admin_DailyPred,MATCH($F34,Rango_Admin_DailyPred_Primera,0)+1,0),"-")</f>
        <v>1</v>
      </c>
      <c r="I34" s="429" t="str">
        <f ca="1">IFERROR(VLOOKUP(I$2,Rango_Admin_DailyPred,MATCH($F34,Rango_Admin_DailyPred_Primera,0)+1,0),"-")</f>
        <v>-</v>
      </c>
      <c r="J34" s="429" t="str">
        <f ca="1">IFERROR(VLOOKUP(J$2,Rango_Admin_DailyPred,MATCH($F34,Rango_Admin_DailyPred_Primera,0)+1,0),"-")</f>
        <v>-</v>
      </c>
      <c r="K34" s="429" t="str">
        <f ca="1">IFERROR(VLOOKUP(K$2,Rango_Admin_DailyPred,MATCH($F34,Rango_Admin_DailyPred_Primera,0)+1,0),"-")</f>
        <v>-</v>
      </c>
      <c r="L34" s="429" t="str">
        <f ca="1">IFERROR(VLOOKUP(L$2,Rango_Admin_DailyPred,MATCH($F34,Rango_Admin_DailyPred_Primera,0)+1,0),"-")</f>
        <v>-</v>
      </c>
      <c r="M34" s="429" t="str">
        <f ca="1">IFERROR(VLOOKUP(M$2,Rango_Admin_DailyPred,MATCH($F34,Rango_Admin_DailyPred_Primera,0)+1,0),"-")</f>
        <v>-</v>
      </c>
      <c r="N34" s="429" t="str">
        <f ca="1">IFERROR(VLOOKUP(N$2,Rango_Admin_DailyPred,MATCH($F34,Rango_Admin_DailyPred_Primera,0)+1,0),"-")</f>
        <v>-</v>
      </c>
      <c r="O34" s="429" t="str">
        <f ca="1">IFERROR(VLOOKUP(O$2,Rango_Admin_DailyPred,MATCH($F34,Rango_Admin_DailyPred_Primera,0)+1,0),"-")</f>
        <v>-</v>
      </c>
      <c r="P34" s="429" t="str">
        <f ca="1">IFERROR(VLOOKUP(P$2,Rango_Admin_DailyPred,MATCH($F34,Rango_Admin_DailyPred_Primera,0)+1,0),"-")</f>
        <v>-</v>
      </c>
      <c r="Q34" s="429" t="str">
        <f ca="1">IFERROR(VLOOKUP(Q$2,Rango_Admin_DailyPred,MATCH($F34,Rango_Admin_DailyPred_Primera,0)+1,0),"-")</f>
        <v>-</v>
      </c>
      <c r="R34" s="429" t="str">
        <f ca="1">IFERROR(VLOOKUP(R$2,Rango_Admin_DailyPred,MATCH($F34,Rango_Admin_DailyPred_Primera,0)+1,0),"-")</f>
        <v>-</v>
      </c>
      <c r="S34" s="429" t="str">
        <f ca="1">IFERROR(VLOOKUP(S$2,Rango_Admin_DailyPred,MATCH($F34,Rango_Admin_DailyPred_Primera,0)+1,0),"-")</f>
        <v>-</v>
      </c>
      <c r="T34" s="429" t="str">
        <f ca="1">IFERROR(VLOOKUP(T$2,Rango_Admin_DailyPred,MATCH($F34,Rango_Admin_DailyPred_Primera,0)+1,0),"-")</f>
        <v>-</v>
      </c>
      <c r="U34" s="429" t="str">
        <f ca="1">IFERROR(VLOOKUP(U$2,Rango_Admin_DailyPred,MATCH($F34,Rango_Admin_DailyPred_Primera,0)+1,0),"-")</f>
        <v>-</v>
      </c>
      <c r="V34" s="429" t="str">
        <f ca="1">IFERROR(VLOOKUP(V$2,Rango_Admin_DailyPred,MATCH($F34,Rango_Admin_DailyPred_Primera,0)+1,0),"-")</f>
        <v>-</v>
      </c>
      <c r="W34" s="429" t="str">
        <f ca="1">IFERROR(VLOOKUP(W$2,Rango_Admin_DailyPred,MATCH($F34,Rango_Admin_DailyPred_Primera,0)+1,0),"-")</f>
        <v>-</v>
      </c>
      <c r="X34" s="429" t="str">
        <f ca="1">IFERROR(VLOOKUP(X$2,Rango_Admin_DailyPred,MATCH($F34,Rango_Admin_DailyPred_Primera,0)+1,0),"-")</f>
        <v>-</v>
      </c>
      <c r="Y34" s="429" t="str">
        <f ca="1">IFERROR(VLOOKUP(Y$2,Rango_Admin_DailyPred,MATCH($F34,Rango_Admin_DailyPred_Primera,0)+1,0),"-")</f>
        <v>-</v>
      </c>
      <c r="Z34" s="429" t="str">
        <f ca="1">IFERROR(VLOOKUP(Z$2,Rango_Admin_DailyPred,MATCH($F34,Rango_Admin_DailyPred_Primera,0)+1,0),"-")</f>
        <v>-</v>
      </c>
      <c r="AA34" s="429" t="str">
        <f ca="1">IFERROR(VLOOKUP(AA$2,Rango_Admin_DailyPred,MATCH($F34,Rango_Admin_DailyPred_Primera,0)+1,0),"-")</f>
        <v>-</v>
      </c>
      <c r="AB34" s="429" t="str">
        <f ca="1">IFERROR(VLOOKUP(AB$2,Rango_Admin_DailyPred,MATCH($F34,Rango_Admin_DailyPred_Primera,0)+1,0),"-")</f>
        <v>-</v>
      </c>
      <c r="AC34" s="429" t="str">
        <f ca="1">IFERROR(VLOOKUP(AC$2,Rango_Admin_DailyPred,MATCH($F34,Rango_Admin_DailyPred_Primera,0)+1,0),"-")</f>
        <v>-</v>
      </c>
      <c r="AD34" s="429" t="str">
        <f ca="1">IFERROR(VLOOKUP(AD$2,Rango_Admin_DailyPred,MATCH($F34,Rango_Admin_DailyPred_Primera,0)+1,0),"-")</f>
        <v>-</v>
      </c>
      <c r="AE34" s="429" t="str">
        <f ca="1">IFERROR(VLOOKUP(AE$2,Rango_Admin_DailyPred,MATCH($F34,Rango_Admin_DailyPred_Primera,0)+1,0),"-")</f>
        <v>-</v>
      </c>
      <c r="AF34" s="429" t="str">
        <f ca="1">IFERROR(VLOOKUP(AF$2,Rango_Admin_DailyPred,MATCH($F34,Rango_Admin_DailyPred_Primera,0)+1,0),"-")</f>
        <v>-</v>
      </c>
      <c r="AG34" s="429" t="str">
        <f ca="1">IFERROR(VLOOKUP(AG$2,Rango_Admin_DailyPred,MATCH($F34,Rango_Admin_DailyPred_Primera,0)+1,0),"-")</f>
        <v>-</v>
      </c>
      <c r="AH34" s="429" t="str">
        <f ca="1">IFERROR(VLOOKUP(AH$2,Rango_Admin_DailyPred,MATCH($F34,Rango_Admin_DailyPred_Primera,0)+1,0),"-")</f>
        <v>-</v>
      </c>
      <c r="AI34" s="429" t="str">
        <f ca="1">IFERROR(VLOOKUP(AI$2,Rango_Admin_DailyPred,MATCH($F34,Rango_Admin_DailyPred_Primera,0)+1,0),"-")</f>
        <v>-</v>
      </c>
      <c r="AJ34" s="429" t="str">
        <f ca="1">IFERROR(VLOOKUP(AJ$2,Rango_Admin_DailyPred,MATCH($F34,Rango_Admin_DailyPred_Primera,0)+1,0),"-")</f>
        <v>-</v>
      </c>
      <c r="AK34" s="429" t="str">
        <f ca="1">IFERROR(VLOOKUP(AK$2,Rango_Admin_DailyPred,MATCH($F34,Rango_Admin_DailyPred_Primera,0)+1,0),"-")</f>
        <v>-</v>
      </c>
      <c r="AL34" s="429" t="str">
        <f ca="1">IFERROR(VLOOKUP(AL$2,Rango_Admin_DailyPred,MATCH($F34,Rango_Admin_DailyPred_Primera,0)+1,0),"-")</f>
        <v>-</v>
      </c>
      <c r="AM34" s="429" t="str">
        <f ca="1">IFERROR(VLOOKUP(AM$2,Rango_Admin_DailyPred,MATCH($F34,Rango_Admin_DailyPred_Primera,0)+1,0),"-")</f>
        <v>-</v>
      </c>
      <c r="AN34" s="297"/>
    </row>
    <row r="35" spans="1:40">
      <c r="A35" s="8" t="str" cm="1">
        <f t="array" aca="1" ref="A35" ca="1">IFERROR(INDEX(ADMIN!$K$6:$K$258,SMALL(IF(ADMIN!$G$6:$G$258=$K$1,ROW(ADMIN!$G$6:$G$258)-ROW(ADMIN!$G$6)+1),ROWS($A$1:A32))),"")</f>
        <v/>
      </c>
      <c r="B35" s="8"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C35" s="8">
        <v>32</v>
      </c>
      <c r="D35" s="19"/>
      <c r="E35" s="409">
        <f ca="1">IFERROR(HLOOKUP(C35,Rango_Admin_DailyClas,3,FALSE),"-")</f>
        <v>24</v>
      </c>
      <c r="F35" s="448" t="str">
        <f ca="1">IFERROR(HLOOKUP(C35,Rango_Admin_DailyClas,5,FALSE),"-")</f>
        <v>William Hartley</v>
      </c>
      <c r="G35" s="22">
        <f ca="1">IFERROR(HLOOKUP(C35,Rango_Admin_DailyClas,4,FALSE),"-")</f>
        <v>1</v>
      </c>
      <c r="H35" s="429">
        <f ca="1">IFERROR(VLOOKUP(H$2,Rango_Admin_DailyPred,MATCH($F35,Rango_Admin_DailyPred_Primera,0)+1,0),"-")</f>
        <v>1</v>
      </c>
      <c r="I35" s="429" t="str">
        <f ca="1">IFERROR(VLOOKUP(I$2,Rango_Admin_DailyPred,MATCH($F35,Rango_Admin_DailyPred_Primera,0)+1,0),"-")</f>
        <v>-</v>
      </c>
      <c r="J35" s="429" t="str">
        <f ca="1">IFERROR(VLOOKUP(J$2,Rango_Admin_DailyPred,MATCH($F35,Rango_Admin_DailyPred_Primera,0)+1,0),"-")</f>
        <v>-</v>
      </c>
      <c r="K35" s="429" t="str">
        <f ca="1">IFERROR(VLOOKUP(K$2,Rango_Admin_DailyPred,MATCH($F35,Rango_Admin_DailyPred_Primera,0)+1,0),"-")</f>
        <v>-</v>
      </c>
      <c r="L35" s="429" t="str">
        <f ca="1">IFERROR(VLOOKUP(L$2,Rango_Admin_DailyPred,MATCH($F35,Rango_Admin_DailyPred_Primera,0)+1,0),"-")</f>
        <v>-</v>
      </c>
      <c r="M35" s="429" t="str">
        <f ca="1">IFERROR(VLOOKUP(M$2,Rango_Admin_DailyPred,MATCH($F35,Rango_Admin_DailyPred_Primera,0)+1,0),"-")</f>
        <v>-</v>
      </c>
      <c r="N35" s="429" t="str">
        <f ca="1">IFERROR(VLOOKUP(N$2,Rango_Admin_DailyPred,MATCH($F35,Rango_Admin_DailyPred_Primera,0)+1,0),"-")</f>
        <v>-</v>
      </c>
      <c r="O35" s="429" t="str">
        <f ca="1">IFERROR(VLOOKUP(O$2,Rango_Admin_DailyPred,MATCH($F35,Rango_Admin_DailyPred_Primera,0)+1,0),"-")</f>
        <v>-</v>
      </c>
      <c r="P35" s="429" t="str">
        <f ca="1">IFERROR(VLOOKUP(P$2,Rango_Admin_DailyPred,MATCH($F35,Rango_Admin_DailyPred_Primera,0)+1,0),"-")</f>
        <v>-</v>
      </c>
      <c r="Q35" s="429" t="str">
        <f ca="1">IFERROR(VLOOKUP(Q$2,Rango_Admin_DailyPred,MATCH($F35,Rango_Admin_DailyPred_Primera,0)+1,0),"-")</f>
        <v>-</v>
      </c>
      <c r="R35" s="429" t="str">
        <f ca="1">IFERROR(VLOOKUP(R$2,Rango_Admin_DailyPred,MATCH($F35,Rango_Admin_DailyPred_Primera,0)+1,0),"-")</f>
        <v>-</v>
      </c>
      <c r="S35" s="429" t="str">
        <f ca="1">IFERROR(VLOOKUP(S$2,Rango_Admin_DailyPred,MATCH($F35,Rango_Admin_DailyPred_Primera,0)+1,0),"-")</f>
        <v>-</v>
      </c>
      <c r="T35" s="429" t="str">
        <f ca="1">IFERROR(VLOOKUP(T$2,Rango_Admin_DailyPred,MATCH($F35,Rango_Admin_DailyPred_Primera,0)+1,0),"-")</f>
        <v>-</v>
      </c>
      <c r="U35" s="429" t="str">
        <f ca="1">IFERROR(VLOOKUP(U$2,Rango_Admin_DailyPred,MATCH($F35,Rango_Admin_DailyPred_Primera,0)+1,0),"-")</f>
        <v>-</v>
      </c>
      <c r="V35" s="429" t="str">
        <f ca="1">IFERROR(VLOOKUP(V$2,Rango_Admin_DailyPred,MATCH($F35,Rango_Admin_DailyPred_Primera,0)+1,0),"-")</f>
        <v>-</v>
      </c>
      <c r="W35" s="429" t="str">
        <f ca="1">IFERROR(VLOOKUP(W$2,Rango_Admin_DailyPred,MATCH($F35,Rango_Admin_DailyPred_Primera,0)+1,0),"-")</f>
        <v>-</v>
      </c>
      <c r="X35" s="429" t="str">
        <f ca="1">IFERROR(VLOOKUP(X$2,Rango_Admin_DailyPred,MATCH($F35,Rango_Admin_DailyPred_Primera,0)+1,0),"-")</f>
        <v>-</v>
      </c>
      <c r="Y35" s="429" t="str">
        <f ca="1">IFERROR(VLOOKUP(Y$2,Rango_Admin_DailyPred,MATCH($F35,Rango_Admin_DailyPred_Primera,0)+1,0),"-")</f>
        <v>-</v>
      </c>
      <c r="Z35" s="429" t="str">
        <f ca="1">IFERROR(VLOOKUP(Z$2,Rango_Admin_DailyPred,MATCH($F35,Rango_Admin_DailyPred_Primera,0)+1,0),"-")</f>
        <v>-</v>
      </c>
      <c r="AA35" s="429" t="str">
        <f ca="1">IFERROR(VLOOKUP(AA$2,Rango_Admin_DailyPred,MATCH($F35,Rango_Admin_DailyPred_Primera,0)+1,0),"-")</f>
        <v>-</v>
      </c>
      <c r="AB35" s="429" t="str">
        <f ca="1">IFERROR(VLOOKUP(AB$2,Rango_Admin_DailyPred,MATCH($F35,Rango_Admin_DailyPred_Primera,0)+1,0),"-")</f>
        <v>-</v>
      </c>
      <c r="AC35" s="429" t="str">
        <f ca="1">IFERROR(VLOOKUP(AC$2,Rango_Admin_DailyPred,MATCH($F35,Rango_Admin_DailyPred_Primera,0)+1,0),"-")</f>
        <v>-</v>
      </c>
      <c r="AD35" s="429" t="str">
        <f ca="1">IFERROR(VLOOKUP(AD$2,Rango_Admin_DailyPred,MATCH($F35,Rango_Admin_DailyPred_Primera,0)+1,0),"-")</f>
        <v>-</v>
      </c>
      <c r="AE35" s="429" t="str">
        <f ca="1">IFERROR(VLOOKUP(AE$2,Rango_Admin_DailyPred,MATCH($F35,Rango_Admin_DailyPred_Primera,0)+1,0),"-")</f>
        <v>-</v>
      </c>
      <c r="AF35" s="429" t="str">
        <f ca="1">IFERROR(VLOOKUP(AF$2,Rango_Admin_DailyPred,MATCH($F35,Rango_Admin_DailyPred_Primera,0)+1,0),"-")</f>
        <v>-</v>
      </c>
      <c r="AG35" s="429" t="str">
        <f ca="1">IFERROR(VLOOKUP(AG$2,Rango_Admin_DailyPred,MATCH($F35,Rango_Admin_DailyPred_Primera,0)+1,0),"-")</f>
        <v>-</v>
      </c>
      <c r="AH35" s="429" t="str">
        <f ca="1">IFERROR(VLOOKUP(AH$2,Rango_Admin_DailyPred,MATCH($F35,Rango_Admin_DailyPred_Primera,0)+1,0),"-")</f>
        <v>-</v>
      </c>
      <c r="AI35" s="429" t="str">
        <f ca="1">IFERROR(VLOOKUP(AI$2,Rango_Admin_DailyPred,MATCH($F35,Rango_Admin_DailyPred_Primera,0)+1,0),"-")</f>
        <v>-</v>
      </c>
      <c r="AJ35" s="429" t="str">
        <f ca="1">IFERROR(VLOOKUP(AJ$2,Rango_Admin_DailyPred,MATCH($F35,Rango_Admin_DailyPred_Primera,0)+1,0),"-")</f>
        <v>-</v>
      </c>
      <c r="AK35" s="429" t="str">
        <f ca="1">IFERROR(VLOOKUP(AK$2,Rango_Admin_DailyPred,MATCH($F35,Rango_Admin_DailyPred_Primera,0)+1,0),"-")</f>
        <v>-</v>
      </c>
      <c r="AL35" s="429" t="str">
        <f ca="1">IFERROR(VLOOKUP(AL$2,Rango_Admin_DailyPred,MATCH($F35,Rango_Admin_DailyPred_Primera,0)+1,0),"-")</f>
        <v>-</v>
      </c>
      <c r="AM35" s="429" t="str">
        <f ca="1">IFERROR(VLOOKUP(AM$2,Rango_Admin_DailyPred,MATCH($F35,Rango_Admin_DailyPred_Primera,0)+1,0),"-")</f>
        <v>-</v>
      </c>
      <c r="AN35" s="297"/>
    </row>
    <row r="36" spans="1:40">
      <c r="A36" s="8"/>
      <c r="B36" s="8"/>
      <c r="C36" s="8">
        <v>33</v>
      </c>
      <c r="D36" s="19"/>
      <c r="E36" s="409">
        <f ca="1">IFERROR(HLOOKUP(C36,Rango_Admin_DailyClas,3,FALSE),"-")</f>
        <v>24</v>
      </c>
      <c r="F36" s="448" t="str">
        <f ca="1">IFERROR(HLOOKUP(C36,Rango_Admin_DailyClas,5,FALSE),"-")</f>
        <v>KIRICOCHO</v>
      </c>
      <c r="G36" s="22">
        <f ca="1">IFERROR(HLOOKUP(C36,Rango_Admin_DailyClas,4,FALSE),"-")</f>
        <v>1</v>
      </c>
      <c r="H36" s="429">
        <f ca="1">IFERROR(VLOOKUP(H$2,Rango_Admin_DailyPred,MATCH($F36,Rango_Admin_DailyPred_Primera,0)+1,0),"-")</f>
        <v>1</v>
      </c>
      <c r="I36" s="429" t="str">
        <f ca="1">IFERROR(VLOOKUP(I$2,Rango_Admin_DailyPred,MATCH($F36,Rango_Admin_DailyPred_Primera,0)+1,0),"-")</f>
        <v>-</v>
      </c>
      <c r="J36" s="429" t="str">
        <f ca="1">IFERROR(VLOOKUP(J$2,Rango_Admin_DailyPred,MATCH($F36,Rango_Admin_DailyPred_Primera,0)+1,0),"-")</f>
        <v>-</v>
      </c>
      <c r="K36" s="429" t="str">
        <f ca="1">IFERROR(VLOOKUP(K$2,Rango_Admin_DailyPred,MATCH($F36,Rango_Admin_DailyPred_Primera,0)+1,0),"-")</f>
        <v>-</v>
      </c>
      <c r="L36" s="429" t="str">
        <f ca="1">IFERROR(VLOOKUP(L$2,Rango_Admin_DailyPred,MATCH($F36,Rango_Admin_DailyPred_Primera,0)+1,0),"-")</f>
        <v>-</v>
      </c>
      <c r="M36" s="429" t="str">
        <f ca="1">IFERROR(VLOOKUP(M$2,Rango_Admin_DailyPred,MATCH($F36,Rango_Admin_DailyPred_Primera,0)+1,0),"-")</f>
        <v>-</v>
      </c>
      <c r="N36" s="429" t="str">
        <f ca="1">IFERROR(VLOOKUP(N$2,Rango_Admin_DailyPred,MATCH($F36,Rango_Admin_DailyPred_Primera,0)+1,0),"-")</f>
        <v>-</v>
      </c>
      <c r="O36" s="429" t="str">
        <f ca="1">IFERROR(VLOOKUP(O$2,Rango_Admin_DailyPred,MATCH($F36,Rango_Admin_DailyPred_Primera,0)+1,0),"-")</f>
        <v>-</v>
      </c>
      <c r="P36" s="429" t="str">
        <f ca="1">IFERROR(VLOOKUP(P$2,Rango_Admin_DailyPred,MATCH($F36,Rango_Admin_DailyPred_Primera,0)+1,0),"-")</f>
        <v>-</v>
      </c>
      <c r="Q36" s="429" t="str">
        <f ca="1">IFERROR(VLOOKUP(Q$2,Rango_Admin_DailyPred,MATCH($F36,Rango_Admin_DailyPred_Primera,0)+1,0),"-")</f>
        <v>-</v>
      </c>
      <c r="R36" s="429" t="str">
        <f ca="1">IFERROR(VLOOKUP(R$2,Rango_Admin_DailyPred,MATCH($F36,Rango_Admin_DailyPred_Primera,0)+1,0),"-")</f>
        <v>-</v>
      </c>
      <c r="S36" s="429" t="str">
        <f ca="1">IFERROR(VLOOKUP(S$2,Rango_Admin_DailyPred,MATCH($F36,Rango_Admin_DailyPred_Primera,0)+1,0),"-")</f>
        <v>-</v>
      </c>
      <c r="T36" s="429" t="str">
        <f ca="1">IFERROR(VLOOKUP(T$2,Rango_Admin_DailyPred,MATCH($F36,Rango_Admin_DailyPred_Primera,0)+1,0),"-")</f>
        <v>-</v>
      </c>
      <c r="U36" s="429" t="str">
        <f ca="1">IFERROR(VLOOKUP(U$2,Rango_Admin_DailyPred,MATCH($F36,Rango_Admin_DailyPred_Primera,0)+1,0),"-")</f>
        <v>-</v>
      </c>
      <c r="V36" s="429" t="str">
        <f ca="1">IFERROR(VLOOKUP(V$2,Rango_Admin_DailyPred,MATCH($F36,Rango_Admin_DailyPred_Primera,0)+1,0),"-")</f>
        <v>-</v>
      </c>
      <c r="W36" s="429" t="str">
        <f ca="1">IFERROR(VLOOKUP(W$2,Rango_Admin_DailyPred,MATCH($F36,Rango_Admin_DailyPred_Primera,0)+1,0),"-")</f>
        <v>-</v>
      </c>
      <c r="X36" s="429" t="str">
        <f ca="1">IFERROR(VLOOKUP(X$2,Rango_Admin_DailyPred,MATCH($F36,Rango_Admin_DailyPred_Primera,0)+1,0),"-")</f>
        <v>-</v>
      </c>
      <c r="Y36" s="429" t="str">
        <f ca="1">IFERROR(VLOOKUP(Y$2,Rango_Admin_DailyPred,MATCH($F36,Rango_Admin_DailyPred_Primera,0)+1,0),"-")</f>
        <v>-</v>
      </c>
      <c r="Z36" s="429" t="str">
        <f ca="1">IFERROR(VLOOKUP(Z$2,Rango_Admin_DailyPred,MATCH($F36,Rango_Admin_DailyPred_Primera,0)+1,0),"-")</f>
        <v>-</v>
      </c>
      <c r="AA36" s="429" t="str">
        <f ca="1">IFERROR(VLOOKUP(AA$2,Rango_Admin_DailyPred,MATCH($F36,Rango_Admin_DailyPred_Primera,0)+1,0),"-")</f>
        <v>-</v>
      </c>
      <c r="AB36" s="429" t="str">
        <f ca="1">IFERROR(VLOOKUP(AB$2,Rango_Admin_DailyPred,MATCH($F36,Rango_Admin_DailyPred_Primera,0)+1,0),"-")</f>
        <v>-</v>
      </c>
      <c r="AC36" s="429" t="str">
        <f ca="1">IFERROR(VLOOKUP(AC$2,Rango_Admin_DailyPred,MATCH($F36,Rango_Admin_DailyPred_Primera,0)+1,0),"-")</f>
        <v>-</v>
      </c>
      <c r="AD36" s="429" t="str">
        <f ca="1">IFERROR(VLOOKUP(AD$2,Rango_Admin_DailyPred,MATCH($F36,Rango_Admin_DailyPred_Primera,0)+1,0),"-")</f>
        <v>-</v>
      </c>
      <c r="AE36" s="429" t="str">
        <f ca="1">IFERROR(VLOOKUP(AE$2,Rango_Admin_DailyPred,MATCH($F36,Rango_Admin_DailyPred_Primera,0)+1,0),"-")</f>
        <v>-</v>
      </c>
      <c r="AF36" s="429" t="str">
        <f ca="1">IFERROR(VLOOKUP(AF$2,Rango_Admin_DailyPred,MATCH($F36,Rango_Admin_DailyPred_Primera,0)+1,0),"-")</f>
        <v>-</v>
      </c>
      <c r="AG36" s="429" t="str">
        <f ca="1">IFERROR(VLOOKUP(AG$2,Rango_Admin_DailyPred,MATCH($F36,Rango_Admin_DailyPred_Primera,0)+1,0),"-")</f>
        <v>-</v>
      </c>
      <c r="AH36" s="429" t="str">
        <f ca="1">IFERROR(VLOOKUP(AH$2,Rango_Admin_DailyPred,MATCH($F36,Rango_Admin_DailyPred_Primera,0)+1,0),"-")</f>
        <v>-</v>
      </c>
      <c r="AI36" s="429" t="str">
        <f ca="1">IFERROR(VLOOKUP(AI$2,Rango_Admin_DailyPred,MATCH($F36,Rango_Admin_DailyPred_Primera,0)+1,0),"-")</f>
        <v>-</v>
      </c>
      <c r="AJ36" s="429" t="str">
        <f ca="1">IFERROR(VLOOKUP(AJ$2,Rango_Admin_DailyPred,MATCH($F36,Rango_Admin_DailyPred_Primera,0)+1,0),"-")</f>
        <v>-</v>
      </c>
      <c r="AK36" s="429" t="str">
        <f ca="1">IFERROR(VLOOKUP(AK$2,Rango_Admin_DailyPred,MATCH($F36,Rango_Admin_DailyPred_Primera,0)+1,0),"-")</f>
        <v>-</v>
      </c>
      <c r="AL36" s="429" t="str">
        <f ca="1">IFERROR(VLOOKUP(AL$2,Rango_Admin_DailyPred,MATCH($F36,Rango_Admin_DailyPred_Primera,0)+1,0),"-")</f>
        <v>-</v>
      </c>
      <c r="AM36" s="429" t="str">
        <f ca="1">IFERROR(VLOOKUP(AM$2,Rango_Admin_DailyPred,MATCH($F36,Rango_Admin_DailyPred_Primera,0)+1,0),"-")</f>
        <v>-</v>
      </c>
      <c r="AN36" s="297"/>
    </row>
    <row r="37" spans="1:40">
      <c r="A37" s="8"/>
      <c r="B37" s="8"/>
      <c r="C37" s="8">
        <v>34</v>
      </c>
      <c r="D37" s="19"/>
      <c r="E37" s="409">
        <f ca="1">IFERROR(HLOOKUP(C37,Rango_Admin_DailyClas,3,FALSE),"-")</f>
        <v>24</v>
      </c>
      <c r="F37" s="448" t="str">
        <f ca="1">IFERROR(HLOOKUP(C37,Rango_Admin_DailyClas,5,FALSE),"-")</f>
        <v>BeliBeltrán</v>
      </c>
      <c r="G37" s="22">
        <f ca="1">IFERROR(HLOOKUP(C37,Rango_Admin_DailyClas,4,FALSE),"-")</f>
        <v>1</v>
      </c>
      <c r="H37" s="429">
        <f ca="1">IFERROR(VLOOKUP(H$2,Rango_Admin_DailyPred,MATCH($F37,Rango_Admin_DailyPred_Primera,0)+1,0),"-")</f>
        <v>1</v>
      </c>
      <c r="I37" s="429" t="str">
        <f ca="1">IFERROR(VLOOKUP(I$2,Rango_Admin_DailyPred,MATCH($F37,Rango_Admin_DailyPred_Primera,0)+1,0),"-")</f>
        <v>-</v>
      </c>
      <c r="J37" s="429" t="str">
        <f ca="1">IFERROR(VLOOKUP(J$2,Rango_Admin_DailyPred,MATCH($F37,Rango_Admin_DailyPred_Primera,0)+1,0),"-")</f>
        <v>-</v>
      </c>
      <c r="K37" s="429" t="str">
        <f ca="1">IFERROR(VLOOKUP(K$2,Rango_Admin_DailyPred,MATCH($F37,Rango_Admin_DailyPred_Primera,0)+1,0),"-")</f>
        <v>-</v>
      </c>
      <c r="L37" s="429" t="str">
        <f ca="1">IFERROR(VLOOKUP(L$2,Rango_Admin_DailyPred,MATCH($F37,Rango_Admin_DailyPred_Primera,0)+1,0),"-")</f>
        <v>-</v>
      </c>
      <c r="M37" s="429" t="str">
        <f ca="1">IFERROR(VLOOKUP(M$2,Rango_Admin_DailyPred,MATCH($F37,Rango_Admin_DailyPred_Primera,0)+1,0),"-")</f>
        <v>-</v>
      </c>
      <c r="N37" s="429" t="str">
        <f ca="1">IFERROR(VLOOKUP(N$2,Rango_Admin_DailyPred,MATCH($F37,Rango_Admin_DailyPred_Primera,0)+1,0),"-")</f>
        <v>-</v>
      </c>
      <c r="O37" s="429" t="str">
        <f ca="1">IFERROR(VLOOKUP(O$2,Rango_Admin_DailyPred,MATCH($F37,Rango_Admin_DailyPred_Primera,0)+1,0),"-")</f>
        <v>-</v>
      </c>
      <c r="P37" s="429" t="str">
        <f ca="1">IFERROR(VLOOKUP(P$2,Rango_Admin_DailyPred,MATCH($F37,Rango_Admin_DailyPred_Primera,0)+1,0),"-")</f>
        <v>-</v>
      </c>
      <c r="Q37" s="429" t="str">
        <f ca="1">IFERROR(VLOOKUP(Q$2,Rango_Admin_DailyPred,MATCH($F37,Rango_Admin_DailyPred_Primera,0)+1,0),"-")</f>
        <v>-</v>
      </c>
      <c r="R37" s="429" t="str">
        <f ca="1">IFERROR(VLOOKUP(R$2,Rango_Admin_DailyPred,MATCH($F37,Rango_Admin_DailyPred_Primera,0)+1,0),"-")</f>
        <v>-</v>
      </c>
      <c r="S37" s="429" t="str">
        <f ca="1">IFERROR(VLOOKUP(S$2,Rango_Admin_DailyPred,MATCH($F37,Rango_Admin_DailyPred_Primera,0)+1,0),"-")</f>
        <v>-</v>
      </c>
      <c r="T37" s="429" t="str">
        <f ca="1">IFERROR(VLOOKUP(T$2,Rango_Admin_DailyPred,MATCH($F37,Rango_Admin_DailyPred_Primera,0)+1,0),"-")</f>
        <v>-</v>
      </c>
      <c r="U37" s="429" t="str">
        <f ca="1">IFERROR(VLOOKUP(U$2,Rango_Admin_DailyPred,MATCH($F37,Rango_Admin_DailyPred_Primera,0)+1,0),"-")</f>
        <v>-</v>
      </c>
      <c r="V37" s="429" t="str">
        <f ca="1">IFERROR(VLOOKUP(V$2,Rango_Admin_DailyPred,MATCH($F37,Rango_Admin_DailyPred_Primera,0)+1,0),"-")</f>
        <v>-</v>
      </c>
      <c r="W37" s="429" t="str">
        <f ca="1">IFERROR(VLOOKUP(W$2,Rango_Admin_DailyPred,MATCH($F37,Rango_Admin_DailyPred_Primera,0)+1,0),"-")</f>
        <v>-</v>
      </c>
      <c r="X37" s="429" t="str">
        <f ca="1">IFERROR(VLOOKUP(X$2,Rango_Admin_DailyPred,MATCH($F37,Rango_Admin_DailyPred_Primera,0)+1,0),"-")</f>
        <v>-</v>
      </c>
      <c r="Y37" s="429" t="str">
        <f ca="1">IFERROR(VLOOKUP(Y$2,Rango_Admin_DailyPred,MATCH($F37,Rango_Admin_DailyPred_Primera,0)+1,0),"-")</f>
        <v>-</v>
      </c>
      <c r="Z37" s="429" t="str">
        <f ca="1">IFERROR(VLOOKUP(Z$2,Rango_Admin_DailyPred,MATCH($F37,Rango_Admin_DailyPred_Primera,0)+1,0),"-")</f>
        <v>-</v>
      </c>
      <c r="AA37" s="429" t="str">
        <f ca="1">IFERROR(VLOOKUP(AA$2,Rango_Admin_DailyPred,MATCH($F37,Rango_Admin_DailyPred_Primera,0)+1,0),"-")</f>
        <v>-</v>
      </c>
      <c r="AB37" s="429" t="str">
        <f ca="1">IFERROR(VLOOKUP(AB$2,Rango_Admin_DailyPred,MATCH($F37,Rango_Admin_DailyPred_Primera,0)+1,0),"-")</f>
        <v>-</v>
      </c>
      <c r="AC37" s="429" t="str">
        <f ca="1">IFERROR(VLOOKUP(AC$2,Rango_Admin_DailyPred,MATCH($F37,Rango_Admin_DailyPred_Primera,0)+1,0),"-")</f>
        <v>-</v>
      </c>
      <c r="AD37" s="429" t="str">
        <f ca="1">IFERROR(VLOOKUP(AD$2,Rango_Admin_DailyPred,MATCH($F37,Rango_Admin_DailyPred_Primera,0)+1,0),"-")</f>
        <v>-</v>
      </c>
      <c r="AE37" s="429" t="str">
        <f ca="1">IFERROR(VLOOKUP(AE$2,Rango_Admin_DailyPred,MATCH($F37,Rango_Admin_DailyPred_Primera,0)+1,0),"-")</f>
        <v>-</v>
      </c>
      <c r="AF37" s="429" t="str">
        <f ca="1">IFERROR(VLOOKUP(AF$2,Rango_Admin_DailyPred,MATCH($F37,Rango_Admin_DailyPred_Primera,0)+1,0),"-")</f>
        <v>-</v>
      </c>
      <c r="AG37" s="429" t="str">
        <f ca="1">IFERROR(VLOOKUP(AG$2,Rango_Admin_DailyPred,MATCH($F37,Rango_Admin_DailyPred_Primera,0)+1,0),"-")</f>
        <v>-</v>
      </c>
      <c r="AH37" s="429" t="str">
        <f ca="1">IFERROR(VLOOKUP(AH$2,Rango_Admin_DailyPred,MATCH($F37,Rango_Admin_DailyPred_Primera,0)+1,0),"-")</f>
        <v>-</v>
      </c>
      <c r="AI37" s="429" t="str">
        <f ca="1">IFERROR(VLOOKUP(AI$2,Rango_Admin_DailyPred,MATCH($F37,Rango_Admin_DailyPred_Primera,0)+1,0),"-")</f>
        <v>-</v>
      </c>
      <c r="AJ37" s="429" t="str">
        <f ca="1">IFERROR(VLOOKUP(AJ$2,Rango_Admin_DailyPred,MATCH($F37,Rango_Admin_DailyPred_Primera,0)+1,0),"-")</f>
        <v>-</v>
      </c>
      <c r="AK37" s="429" t="str">
        <f ca="1">IFERROR(VLOOKUP(AK$2,Rango_Admin_DailyPred,MATCH($F37,Rango_Admin_DailyPred_Primera,0)+1,0),"-")</f>
        <v>-</v>
      </c>
      <c r="AL37" s="429" t="str">
        <f ca="1">IFERROR(VLOOKUP(AL$2,Rango_Admin_DailyPred,MATCH($F37,Rango_Admin_DailyPred_Primera,0)+1,0),"-")</f>
        <v>-</v>
      </c>
      <c r="AM37" s="429" t="str">
        <f ca="1">IFERROR(VLOOKUP(AM$2,Rango_Admin_DailyPred,MATCH($F37,Rango_Admin_DailyPred_Primera,0)+1,0),"-")</f>
        <v>-</v>
      </c>
      <c r="AN37" s="297"/>
    </row>
    <row r="38" spans="1:40">
      <c r="A38" s="8"/>
      <c r="B38" s="8"/>
      <c r="C38" s="8">
        <v>35</v>
      </c>
      <c r="D38" s="19"/>
      <c r="E38" s="409">
        <f ca="1">IFERROR(HLOOKUP(C38,Rango_Admin_DailyClas,3,FALSE),"-")</f>
        <v>24</v>
      </c>
      <c r="F38" s="448" t="str">
        <f ca="1">IFERROR(HLOOKUP(C38,Rango_Admin_DailyClas,5,FALSE),"-")</f>
        <v>Vicuinho</v>
      </c>
      <c r="G38" s="22">
        <f ca="1">IFERROR(HLOOKUP(C38,Rango_Admin_DailyClas,4,FALSE),"-")</f>
        <v>1</v>
      </c>
      <c r="H38" s="429">
        <f ca="1">IFERROR(VLOOKUP(H$2,Rango_Admin_DailyPred,MATCH($F38,Rango_Admin_DailyPred_Primera,0)+1,0),"-")</f>
        <v>1</v>
      </c>
      <c r="I38" s="429" t="str">
        <f ca="1">IFERROR(VLOOKUP(I$2,Rango_Admin_DailyPred,MATCH($F38,Rango_Admin_DailyPred_Primera,0)+1,0),"-")</f>
        <v>-</v>
      </c>
      <c r="J38" s="429" t="str">
        <f ca="1">IFERROR(VLOOKUP(J$2,Rango_Admin_DailyPred,MATCH($F38,Rango_Admin_DailyPred_Primera,0)+1,0),"-")</f>
        <v>-</v>
      </c>
      <c r="K38" s="429" t="str">
        <f ca="1">IFERROR(VLOOKUP(K$2,Rango_Admin_DailyPred,MATCH($F38,Rango_Admin_DailyPred_Primera,0)+1,0),"-")</f>
        <v>-</v>
      </c>
      <c r="L38" s="429" t="str">
        <f ca="1">IFERROR(VLOOKUP(L$2,Rango_Admin_DailyPred,MATCH($F38,Rango_Admin_DailyPred_Primera,0)+1,0),"-")</f>
        <v>-</v>
      </c>
      <c r="M38" s="429" t="str">
        <f ca="1">IFERROR(VLOOKUP(M$2,Rango_Admin_DailyPred,MATCH($F38,Rango_Admin_DailyPred_Primera,0)+1,0),"-")</f>
        <v>-</v>
      </c>
      <c r="N38" s="429" t="str">
        <f ca="1">IFERROR(VLOOKUP(N$2,Rango_Admin_DailyPred,MATCH($F38,Rango_Admin_DailyPred_Primera,0)+1,0),"-")</f>
        <v>-</v>
      </c>
      <c r="O38" s="429" t="str">
        <f ca="1">IFERROR(VLOOKUP(O$2,Rango_Admin_DailyPred,MATCH($F38,Rango_Admin_DailyPred_Primera,0)+1,0),"-")</f>
        <v>-</v>
      </c>
      <c r="P38" s="429" t="str">
        <f ca="1">IFERROR(VLOOKUP(P$2,Rango_Admin_DailyPred,MATCH($F38,Rango_Admin_DailyPred_Primera,0)+1,0),"-")</f>
        <v>-</v>
      </c>
      <c r="Q38" s="429" t="str">
        <f ca="1">IFERROR(VLOOKUP(Q$2,Rango_Admin_DailyPred,MATCH($F38,Rango_Admin_DailyPred_Primera,0)+1,0),"-")</f>
        <v>-</v>
      </c>
      <c r="R38" s="429" t="str">
        <f ca="1">IFERROR(VLOOKUP(R$2,Rango_Admin_DailyPred,MATCH($F38,Rango_Admin_DailyPred_Primera,0)+1,0),"-")</f>
        <v>-</v>
      </c>
      <c r="S38" s="429" t="str">
        <f ca="1">IFERROR(VLOOKUP(S$2,Rango_Admin_DailyPred,MATCH($F38,Rango_Admin_DailyPred_Primera,0)+1,0),"-")</f>
        <v>-</v>
      </c>
      <c r="T38" s="429" t="str">
        <f ca="1">IFERROR(VLOOKUP(T$2,Rango_Admin_DailyPred,MATCH($F38,Rango_Admin_DailyPred_Primera,0)+1,0),"-")</f>
        <v>-</v>
      </c>
      <c r="U38" s="429" t="str">
        <f ca="1">IFERROR(VLOOKUP(U$2,Rango_Admin_DailyPred,MATCH($F38,Rango_Admin_DailyPred_Primera,0)+1,0),"-")</f>
        <v>-</v>
      </c>
      <c r="V38" s="429" t="str">
        <f ca="1">IFERROR(VLOOKUP(V$2,Rango_Admin_DailyPred,MATCH($F38,Rango_Admin_DailyPred_Primera,0)+1,0),"-")</f>
        <v>-</v>
      </c>
      <c r="W38" s="429" t="str">
        <f ca="1">IFERROR(VLOOKUP(W$2,Rango_Admin_DailyPred,MATCH($F38,Rango_Admin_DailyPred_Primera,0)+1,0),"-")</f>
        <v>-</v>
      </c>
      <c r="X38" s="429" t="str">
        <f ca="1">IFERROR(VLOOKUP(X$2,Rango_Admin_DailyPred,MATCH($F38,Rango_Admin_DailyPred_Primera,0)+1,0),"-")</f>
        <v>-</v>
      </c>
      <c r="Y38" s="429" t="str">
        <f ca="1">IFERROR(VLOOKUP(Y$2,Rango_Admin_DailyPred,MATCH($F38,Rango_Admin_DailyPred_Primera,0)+1,0),"-")</f>
        <v>-</v>
      </c>
      <c r="Z38" s="429" t="str">
        <f ca="1">IFERROR(VLOOKUP(Z$2,Rango_Admin_DailyPred,MATCH($F38,Rango_Admin_DailyPred_Primera,0)+1,0),"-")</f>
        <v>-</v>
      </c>
      <c r="AA38" s="429" t="str">
        <f ca="1">IFERROR(VLOOKUP(AA$2,Rango_Admin_DailyPred,MATCH($F38,Rango_Admin_DailyPred_Primera,0)+1,0),"-")</f>
        <v>-</v>
      </c>
      <c r="AB38" s="429" t="str">
        <f ca="1">IFERROR(VLOOKUP(AB$2,Rango_Admin_DailyPred,MATCH($F38,Rango_Admin_DailyPred_Primera,0)+1,0),"-")</f>
        <v>-</v>
      </c>
      <c r="AC38" s="429" t="str">
        <f ca="1">IFERROR(VLOOKUP(AC$2,Rango_Admin_DailyPred,MATCH($F38,Rango_Admin_DailyPred_Primera,0)+1,0),"-")</f>
        <v>-</v>
      </c>
      <c r="AD38" s="429" t="str">
        <f ca="1">IFERROR(VLOOKUP(AD$2,Rango_Admin_DailyPred,MATCH($F38,Rango_Admin_DailyPred_Primera,0)+1,0),"-")</f>
        <v>-</v>
      </c>
      <c r="AE38" s="429" t="str">
        <f ca="1">IFERROR(VLOOKUP(AE$2,Rango_Admin_DailyPred,MATCH($F38,Rango_Admin_DailyPred_Primera,0)+1,0),"-")</f>
        <v>-</v>
      </c>
      <c r="AF38" s="429" t="str">
        <f ca="1">IFERROR(VLOOKUP(AF$2,Rango_Admin_DailyPred,MATCH($F38,Rango_Admin_DailyPred_Primera,0)+1,0),"-")</f>
        <v>-</v>
      </c>
      <c r="AG38" s="429" t="str">
        <f ca="1">IFERROR(VLOOKUP(AG$2,Rango_Admin_DailyPred,MATCH($F38,Rango_Admin_DailyPred_Primera,0)+1,0),"-")</f>
        <v>-</v>
      </c>
      <c r="AH38" s="429" t="str">
        <f ca="1">IFERROR(VLOOKUP(AH$2,Rango_Admin_DailyPred,MATCH($F38,Rango_Admin_DailyPred_Primera,0)+1,0),"-")</f>
        <v>-</v>
      </c>
      <c r="AI38" s="429" t="str">
        <f ca="1">IFERROR(VLOOKUP(AI$2,Rango_Admin_DailyPred,MATCH($F38,Rango_Admin_DailyPred_Primera,0)+1,0),"-")</f>
        <v>-</v>
      </c>
      <c r="AJ38" s="429" t="str">
        <f ca="1">IFERROR(VLOOKUP(AJ$2,Rango_Admin_DailyPred,MATCH($F38,Rango_Admin_DailyPred_Primera,0)+1,0),"-")</f>
        <v>-</v>
      </c>
      <c r="AK38" s="429" t="str">
        <f ca="1">IFERROR(VLOOKUP(AK$2,Rango_Admin_DailyPred,MATCH($F38,Rango_Admin_DailyPred_Primera,0)+1,0),"-")</f>
        <v>-</v>
      </c>
      <c r="AL38" s="429" t="str">
        <f ca="1">IFERROR(VLOOKUP(AL$2,Rango_Admin_DailyPred,MATCH($F38,Rango_Admin_DailyPred_Primera,0)+1,0),"-")</f>
        <v>-</v>
      </c>
      <c r="AM38" s="429" t="str">
        <f ca="1">IFERROR(VLOOKUP(AM$2,Rango_Admin_DailyPred,MATCH($F38,Rango_Admin_DailyPred_Primera,0)+1,0),"-")</f>
        <v>-</v>
      </c>
      <c r="AN38" s="297"/>
    </row>
    <row r="39" spans="1:40">
      <c r="A39" s="8"/>
      <c r="B39" s="8"/>
      <c r="C39" s="8">
        <v>36</v>
      </c>
      <c r="D39" s="19"/>
      <c r="E39" s="409">
        <f ca="1">IFERROR(HLOOKUP(C39,Rango_Admin_DailyClas,3,FALSE),"-")</f>
        <v>24</v>
      </c>
      <c r="F39" s="448" t="str">
        <f ca="1">IFERROR(HLOOKUP(C39,Rango_Admin_DailyClas,5,FALSE),"-")</f>
        <v>Miguel Suárez-Zuloaga</v>
      </c>
      <c r="G39" s="22">
        <f ca="1">IFERROR(HLOOKUP(C39,Rango_Admin_DailyClas,4,FALSE),"-")</f>
        <v>1</v>
      </c>
      <c r="H39" s="429">
        <f ca="1">IFERROR(VLOOKUP(H$2,Rango_Admin_DailyPred,MATCH($F39,Rango_Admin_DailyPred_Primera,0)+1,0),"-")</f>
        <v>1</v>
      </c>
      <c r="I39" s="429" t="str">
        <f ca="1">IFERROR(VLOOKUP(I$2,Rango_Admin_DailyPred,MATCH($F39,Rango_Admin_DailyPred_Primera,0)+1,0),"-")</f>
        <v>-</v>
      </c>
      <c r="J39" s="429" t="str">
        <f ca="1">IFERROR(VLOOKUP(J$2,Rango_Admin_DailyPred,MATCH($F39,Rango_Admin_DailyPred_Primera,0)+1,0),"-")</f>
        <v>-</v>
      </c>
      <c r="K39" s="429" t="str">
        <f ca="1">IFERROR(VLOOKUP(K$2,Rango_Admin_DailyPred,MATCH($F39,Rango_Admin_DailyPred_Primera,0)+1,0),"-")</f>
        <v>-</v>
      </c>
      <c r="L39" s="429" t="str">
        <f ca="1">IFERROR(VLOOKUP(L$2,Rango_Admin_DailyPred,MATCH($F39,Rango_Admin_DailyPred_Primera,0)+1,0),"-")</f>
        <v>-</v>
      </c>
      <c r="M39" s="429" t="str">
        <f ca="1">IFERROR(VLOOKUP(M$2,Rango_Admin_DailyPred,MATCH($F39,Rango_Admin_DailyPred_Primera,0)+1,0),"-")</f>
        <v>-</v>
      </c>
      <c r="N39" s="429" t="str">
        <f ca="1">IFERROR(VLOOKUP(N$2,Rango_Admin_DailyPred,MATCH($F39,Rango_Admin_DailyPred_Primera,0)+1,0),"-")</f>
        <v>-</v>
      </c>
      <c r="O39" s="429" t="str">
        <f ca="1">IFERROR(VLOOKUP(O$2,Rango_Admin_DailyPred,MATCH($F39,Rango_Admin_DailyPred_Primera,0)+1,0),"-")</f>
        <v>-</v>
      </c>
      <c r="P39" s="429" t="str">
        <f ca="1">IFERROR(VLOOKUP(P$2,Rango_Admin_DailyPred,MATCH($F39,Rango_Admin_DailyPred_Primera,0)+1,0),"-")</f>
        <v>-</v>
      </c>
      <c r="Q39" s="429" t="str">
        <f ca="1">IFERROR(VLOOKUP(Q$2,Rango_Admin_DailyPred,MATCH($F39,Rango_Admin_DailyPred_Primera,0)+1,0),"-")</f>
        <v>-</v>
      </c>
      <c r="R39" s="429" t="str">
        <f ca="1">IFERROR(VLOOKUP(R$2,Rango_Admin_DailyPred,MATCH($F39,Rango_Admin_DailyPred_Primera,0)+1,0),"-")</f>
        <v>-</v>
      </c>
      <c r="S39" s="429" t="str">
        <f ca="1">IFERROR(VLOOKUP(S$2,Rango_Admin_DailyPred,MATCH($F39,Rango_Admin_DailyPred_Primera,0)+1,0),"-")</f>
        <v>-</v>
      </c>
      <c r="T39" s="429" t="str">
        <f ca="1">IFERROR(VLOOKUP(T$2,Rango_Admin_DailyPred,MATCH($F39,Rango_Admin_DailyPred_Primera,0)+1,0),"-")</f>
        <v>-</v>
      </c>
      <c r="U39" s="429" t="str">
        <f ca="1">IFERROR(VLOOKUP(U$2,Rango_Admin_DailyPred,MATCH($F39,Rango_Admin_DailyPred_Primera,0)+1,0),"-")</f>
        <v>-</v>
      </c>
      <c r="V39" s="429" t="str">
        <f ca="1">IFERROR(VLOOKUP(V$2,Rango_Admin_DailyPred,MATCH($F39,Rango_Admin_DailyPred_Primera,0)+1,0),"-")</f>
        <v>-</v>
      </c>
      <c r="W39" s="429" t="str">
        <f ca="1">IFERROR(VLOOKUP(W$2,Rango_Admin_DailyPred,MATCH($F39,Rango_Admin_DailyPred_Primera,0)+1,0),"-")</f>
        <v>-</v>
      </c>
      <c r="X39" s="429" t="str">
        <f ca="1">IFERROR(VLOOKUP(X$2,Rango_Admin_DailyPred,MATCH($F39,Rango_Admin_DailyPred_Primera,0)+1,0),"-")</f>
        <v>-</v>
      </c>
      <c r="Y39" s="429" t="str">
        <f ca="1">IFERROR(VLOOKUP(Y$2,Rango_Admin_DailyPred,MATCH($F39,Rango_Admin_DailyPred_Primera,0)+1,0),"-")</f>
        <v>-</v>
      </c>
      <c r="Z39" s="429" t="str">
        <f ca="1">IFERROR(VLOOKUP(Z$2,Rango_Admin_DailyPred,MATCH($F39,Rango_Admin_DailyPred_Primera,0)+1,0),"-")</f>
        <v>-</v>
      </c>
      <c r="AA39" s="429" t="str">
        <f ca="1">IFERROR(VLOOKUP(AA$2,Rango_Admin_DailyPred,MATCH($F39,Rango_Admin_DailyPred_Primera,0)+1,0),"-")</f>
        <v>-</v>
      </c>
      <c r="AB39" s="429" t="str">
        <f ca="1">IFERROR(VLOOKUP(AB$2,Rango_Admin_DailyPred,MATCH($F39,Rango_Admin_DailyPred_Primera,0)+1,0),"-")</f>
        <v>-</v>
      </c>
      <c r="AC39" s="429" t="str">
        <f ca="1">IFERROR(VLOOKUP(AC$2,Rango_Admin_DailyPred,MATCH($F39,Rango_Admin_DailyPred_Primera,0)+1,0),"-")</f>
        <v>-</v>
      </c>
      <c r="AD39" s="429" t="str">
        <f ca="1">IFERROR(VLOOKUP(AD$2,Rango_Admin_DailyPred,MATCH($F39,Rango_Admin_DailyPred_Primera,0)+1,0),"-")</f>
        <v>-</v>
      </c>
      <c r="AE39" s="429" t="str">
        <f ca="1">IFERROR(VLOOKUP(AE$2,Rango_Admin_DailyPred,MATCH($F39,Rango_Admin_DailyPred_Primera,0)+1,0),"-")</f>
        <v>-</v>
      </c>
      <c r="AF39" s="429" t="str">
        <f ca="1">IFERROR(VLOOKUP(AF$2,Rango_Admin_DailyPred,MATCH($F39,Rango_Admin_DailyPred_Primera,0)+1,0),"-")</f>
        <v>-</v>
      </c>
      <c r="AG39" s="429" t="str">
        <f ca="1">IFERROR(VLOOKUP(AG$2,Rango_Admin_DailyPred,MATCH($F39,Rango_Admin_DailyPred_Primera,0)+1,0),"-")</f>
        <v>-</v>
      </c>
      <c r="AH39" s="429" t="str">
        <f ca="1">IFERROR(VLOOKUP(AH$2,Rango_Admin_DailyPred,MATCH($F39,Rango_Admin_DailyPred_Primera,0)+1,0),"-")</f>
        <v>-</v>
      </c>
      <c r="AI39" s="429" t="str">
        <f ca="1">IFERROR(VLOOKUP(AI$2,Rango_Admin_DailyPred,MATCH($F39,Rango_Admin_DailyPred_Primera,0)+1,0),"-")</f>
        <v>-</v>
      </c>
      <c r="AJ39" s="429" t="str">
        <f ca="1">IFERROR(VLOOKUP(AJ$2,Rango_Admin_DailyPred,MATCH($F39,Rango_Admin_DailyPred_Primera,0)+1,0),"-")</f>
        <v>-</v>
      </c>
      <c r="AK39" s="429" t="str">
        <f ca="1">IFERROR(VLOOKUP(AK$2,Rango_Admin_DailyPred,MATCH($F39,Rango_Admin_DailyPred_Primera,0)+1,0),"-")</f>
        <v>-</v>
      </c>
      <c r="AL39" s="429" t="str">
        <f ca="1">IFERROR(VLOOKUP(AL$2,Rango_Admin_DailyPred,MATCH($F39,Rango_Admin_DailyPred_Primera,0)+1,0),"-")</f>
        <v>-</v>
      </c>
      <c r="AM39" s="429" t="str">
        <f ca="1">IFERROR(VLOOKUP(AM$2,Rango_Admin_DailyPred,MATCH($F39,Rango_Admin_DailyPred_Primera,0)+1,0),"-")</f>
        <v>-</v>
      </c>
      <c r="AN39" s="297"/>
    </row>
    <row r="40" spans="1:40">
      <c r="A40" s="8"/>
      <c r="B40" s="8"/>
      <c r="C40" s="8">
        <v>37</v>
      </c>
      <c r="D40" s="19"/>
      <c r="E40" s="409">
        <f ca="1">IFERROR(HLOOKUP(C40,Rango_Admin_DailyClas,3,FALSE),"-")</f>
        <v>24</v>
      </c>
      <c r="F40" s="448" t="str">
        <f ca="1">IFERROR(HLOOKUP(C40,Rango_Admin_DailyClas,5,FALSE),"-")</f>
        <v>JUAN SOLAS</v>
      </c>
      <c r="G40" s="22">
        <f ca="1">IFERROR(HLOOKUP(C40,Rango_Admin_DailyClas,4,FALSE),"-")</f>
        <v>1</v>
      </c>
      <c r="H40" s="429">
        <f ca="1">IFERROR(VLOOKUP(H$2,Rango_Admin_DailyPred,MATCH($F40,Rango_Admin_DailyPred_Primera,0)+1,0),"-")</f>
        <v>1</v>
      </c>
      <c r="I40" s="429" t="str">
        <f ca="1">IFERROR(VLOOKUP(I$2,Rango_Admin_DailyPred,MATCH($F40,Rango_Admin_DailyPred_Primera,0)+1,0),"-")</f>
        <v>-</v>
      </c>
      <c r="J40" s="429" t="str">
        <f ca="1">IFERROR(VLOOKUP(J$2,Rango_Admin_DailyPred,MATCH($F40,Rango_Admin_DailyPred_Primera,0)+1,0),"-")</f>
        <v>-</v>
      </c>
      <c r="K40" s="429" t="str">
        <f ca="1">IFERROR(VLOOKUP(K$2,Rango_Admin_DailyPred,MATCH($F40,Rango_Admin_DailyPred_Primera,0)+1,0),"-")</f>
        <v>-</v>
      </c>
      <c r="L40" s="429" t="str">
        <f ca="1">IFERROR(VLOOKUP(L$2,Rango_Admin_DailyPred,MATCH($F40,Rango_Admin_DailyPred_Primera,0)+1,0),"-")</f>
        <v>-</v>
      </c>
      <c r="M40" s="429" t="str">
        <f ca="1">IFERROR(VLOOKUP(M$2,Rango_Admin_DailyPred,MATCH($F40,Rango_Admin_DailyPred_Primera,0)+1,0),"-")</f>
        <v>-</v>
      </c>
      <c r="N40" s="429" t="str">
        <f ca="1">IFERROR(VLOOKUP(N$2,Rango_Admin_DailyPred,MATCH($F40,Rango_Admin_DailyPred_Primera,0)+1,0),"-")</f>
        <v>-</v>
      </c>
      <c r="O40" s="429" t="str">
        <f ca="1">IFERROR(VLOOKUP(O$2,Rango_Admin_DailyPred,MATCH($F40,Rango_Admin_DailyPred_Primera,0)+1,0),"-")</f>
        <v>-</v>
      </c>
      <c r="P40" s="429" t="str">
        <f ca="1">IFERROR(VLOOKUP(P$2,Rango_Admin_DailyPred,MATCH($F40,Rango_Admin_DailyPred_Primera,0)+1,0),"-")</f>
        <v>-</v>
      </c>
      <c r="Q40" s="429" t="str">
        <f ca="1">IFERROR(VLOOKUP(Q$2,Rango_Admin_DailyPred,MATCH($F40,Rango_Admin_DailyPred_Primera,0)+1,0),"-")</f>
        <v>-</v>
      </c>
      <c r="R40" s="429" t="str">
        <f ca="1">IFERROR(VLOOKUP(R$2,Rango_Admin_DailyPred,MATCH($F40,Rango_Admin_DailyPred_Primera,0)+1,0),"-")</f>
        <v>-</v>
      </c>
      <c r="S40" s="429" t="str">
        <f ca="1">IFERROR(VLOOKUP(S$2,Rango_Admin_DailyPred,MATCH($F40,Rango_Admin_DailyPred_Primera,0)+1,0),"-")</f>
        <v>-</v>
      </c>
      <c r="T40" s="429" t="str">
        <f ca="1">IFERROR(VLOOKUP(T$2,Rango_Admin_DailyPred,MATCH($F40,Rango_Admin_DailyPred_Primera,0)+1,0),"-")</f>
        <v>-</v>
      </c>
      <c r="U40" s="429" t="str">
        <f ca="1">IFERROR(VLOOKUP(U$2,Rango_Admin_DailyPred,MATCH($F40,Rango_Admin_DailyPred_Primera,0)+1,0),"-")</f>
        <v>-</v>
      </c>
      <c r="V40" s="429" t="str">
        <f ca="1">IFERROR(VLOOKUP(V$2,Rango_Admin_DailyPred,MATCH($F40,Rango_Admin_DailyPred_Primera,0)+1,0),"-")</f>
        <v>-</v>
      </c>
      <c r="W40" s="429" t="str">
        <f ca="1">IFERROR(VLOOKUP(W$2,Rango_Admin_DailyPred,MATCH($F40,Rango_Admin_DailyPred_Primera,0)+1,0),"-")</f>
        <v>-</v>
      </c>
      <c r="X40" s="429" t="str">
        <f ca="1">IFERROR(VLOOKUP(X$2,Rango_Admin_DailyPred,MATCH($F40,Rango_Admin_DailyPred_Primera,0)+1,0),"-")</f>
        <v>-</v>
      </c>
      <c r="Y40" s="429" t="str">
        <f ca="1">IFERROR(VLOOKUP(Y$2,Rango_Admin_DailyPred,MATCH($F40,Rango_Admin_DailyPred_Primera,0)+1,0),"-")</f>
        <v>-</v>
      </c>
      <c r="Z40" s="429" t="str">
        <f ca="1">IFERROR(VLOOKUP(Z$2,Rango_Admin_DailyPred,MATCH($F40,Rango_Admin_DailyPred_Primera,0)+1,0),"-")</f>
        <v>-</v>
      </c>
      <c r="AA40" s="429" t="str">
        <f ca="1">IFERROR(VLOOKUP(AA$2,Rango_Admin_DailyPred,MATCH($F40,Rango_Admin_DailyPred_Primera,0)+1,0),"-")</f>
        <v>-</v>
      </c>
      <c r="AB40" s="429" t="str">
        <f ca="1">IFERROR(VLOOKUP(AB$2,Rango_Admin_DailyPred,MATCH($F40,Rango_Admin_DailyPred_Primera,0)+1,0),"-")</f>
        <v>-</v>
      </c>
      <c r="AC40" s="429" t="str">
        <f ca="1">IFERROR(VLOOKUP(AC$2,Rango_Admin_DailyPred,MATCH($F40,Rango_Admin_DailyPred_Primera,0)+1,0),"-")</f>
        <v>-</v>
      </c>
      <c r="AD40" s="429" t="str">
        <f ca="1">IFERROR(VLOOKUP(AD$2,Rango_Admin_DailyPred,MATCH($F40,Rango_Admin_DailyPred_Primera,0)+1,0),"-")</f>
        <v>-</v>
      </c>
      <c r="AE40" s="429" t="str">
        <f ca="1">IFERROR(VLOOKUP(AE$2,Rango_Admin_DailyPred,MATCH($F40,Rango_Admin_DailyPred_Primera,0)+1,0),"-")</f>
        <v>-</v>
      </c>
      <c r="AF40" s="429" t="str">
        <f ca="1">IFERROR(VLOOKUP(AF$2,Rango_Admin_DailyPred,MATCH($F40,Rango_Admin_DailyPred_Primera,0)+1,0),"-")</f>
        <v>-</v>
      </c>
      <c r="AG40" s="429" t="str">
        <f ca="1">IFERROR(VLOOKUP(AG$2,Rango_Admin_DailyPred,MATCH($F40,Rango_Admin_DailyPred_Primera,0)+1,0),"-")</f>
        <v>-</v>
      </c>
      <c r="AH40" s="429" t="str">
        <f ca="1">IFERROR(VLOOKUP(AH$2,Rango_Admin_DailyPred,MATCH($F40,Rango_Admin_DailyPred_Primera,0)+1,0),"-")</f>
        <v>-</v>
      </c>
      <c r="AI40" s="429" t="str">
        <f ca="1">IFERROR(VLOOKUP(AI$2,Rango_Admin_DailyPred,MATCH($F40,Rango_Admin_DailyPred_Primera,0)+1,0),"-")</f>
        <v>-</v>
      </c>
      <c r="AJ40" s="429" t="str">
        <f ca="1">IFERROR(VLOOKUP(AJ$2,Rango_Admin_DailyPred,MATCH($F40,Rango_Admin_DailyPred_Primera,0)+1,0),"-")</f>
        <v>-</v>
      </c>
      <c r="AK40" s="429" t="str">
        <f ca="1">IFERROR(VLOOKUP(AK$2,Rango_Admin_DailyPred,MATCH($F40,Rango_Admin_DailyPred_Primera,0)+1,0),"-")</f>
        <v>-</v>
      </c>
      <c r="AL40" s="429" t="str">
        <f ca="1">IFERROR(VLOOKUP(AL$2,Rango_Admin_DailyPred,MATCH($F40,Rango_Admin_DailyPred_Primera,0)+1,0),"-")</f>
        <v>-</v>
      </c>
      <c r="AM40" s="429" t="str">
        <f ca="1">IFERROR(VLOOKUP(AM$2,Rango_Admin_DailyPred,MATCH($F40,Rango_Admin_DailyPred_Primera,0)+1,0),"-")</f>
        <v>-</v>
      </c>
      <c r="AN40" s="297"/>
    </row>
    <row r="41" spans="1:40">
      <c r="A41" s="8"/>
      <c r="B41" s="8"/>
      <c r="C41" s="8">
        <v>38</v>
      </c>
      <c r="D41" s="19"/>
      <c r="E41" s="409">
        <f ca="1">IFERROR(HLOOKUP(C41,Rango_Admin_DailyClas,3,FALSE),"-")</f>
        <v>24</v>
      </c>
      <c r="F41" s="448" t="str">
        <f ca="1">IFERROR(HLOOKUP(C41,Rango_Admin_DailyClas,5,FALSE),"-")</f>
        <v>Ricardo Soto</v>
      </c>
      <c r="G41" s="22">
        <f ca="1">IFERROR(HLOOKUP(C41,Rango_Admin_DailyClas,4,FALSE),"-")</f>
        <v>1</v>
      </c>
      <c r="H41" s="429">
        <f ca="1">IFERROR(VLOOKUP(H$2,Rango_Admin_DailyPred,MATCH($F41,Rango_Admin_DailyPred_Primera,0)+1,0),"-")</f>
        <v>1</v>
      </c>
      <c r="I41" s="429" t="str">
        <f ca="1">IFERROR(VLOOKUP(I$2,Rango_Admin_DailyPred,MATCH($F41,Rango_Admin_DailyPred_Primera,0)+1,0),"-")</f>
        <v>-</v>
      </c>
      <c r="J41" s="429" t="str">
        <f ca="1">IFERROR(VLOOKUP(J$2,Rango_Admin_DailyPred,MATCH($F41,Rango_Admin_DailyPred_Primera,0)+1,0),"-")</f>
        <v>-</v>
      </c>
      <c r="K41" s="429" t="str">
        <f ca="1">IFERROR(VLOOKUP(K$2,Rango_Admin_DailyPred,MATCH($F41,Rango_Admin_DailyPred_Primera,0)+1,0),"-")</f>
        <v>-</v>
      </c>
      <c r="L41" s="429" t="str">
        <f ca="1">IFERROR(VLOOKUP(L$2,Rango_Admin_DailyPred,MATCH($F41,Rango_Admin_DailyPred_Primera,0)+1,0),"-")</f>
        <v>-</v>
      </c>
      <c r="M41" s="429" t="str">
        <f ca="1">IFERROR(VLOOKUP(M$2,Rango_Admin_DailyPred,MATCH($F41,Rango_Admin_DailyPred_Primera,0)+1,0),"-")</f>
        <v>-</v>
      </c>
      <c r="N41" s="429" t="str">
        <f ca="1">IFERROR(VLOOKUP(N$2,Rango_Admin_DailyPred,MATCH($F41,Rango_Admin_DailyPred_Primera,0)+1,0),"-")</f>
        <v>-</v>
      </c>
      <c r="O41" s="429" t="str">
        <f ca="1">IFERROR(VLOOKUP(O$2,Rango_Admin_DailyPred,MATCH($F41,Rango_Admin_DailyPred_Primera,0)+1,0),"-")</f>
        <v>-</v>
      </c>
      <c r="P41" s="429" t="str">
        <f ca="1">IFERROR(VLOOKUP(P$2,Rango_Admin_DailyPred,MATCH($F41,Rango_Admin_DailyPred_Primera,0)+1,0),"-")</f>
        <v>-</v>
      </c>
      <c r="Q41" s="429" t="str">
        <f ca="1">IFERROR(VLOOKUP(Q$2,Rango_Admin_DailyPred,MATCH($F41,Rango_Admin_DailyPred_Primera,0)+1,0),"-")</f>
        <v>-</v>
      </c>
      <c r="R41" s="429" t="str">
        <f ca="1">IFERROR(VLOOKUP(R$2,Rango_Admin_DailyPred,MATCH($F41,Rango_Admin_DailyPred_Primera,0)+1,0),"-")</f>
        <v>-</v>
      </c>
      <c r="S41" s="429" t="str">
        <f ca="1">IFERROR(VLOOKUP(S$2,Rango_Admin_DailyPred,MATCH($F41,Rango_Admin_DailyPred_Primera,0)+1,0),"-")</f>
        <v>-</v>
      </c>
      <c r="T41" s="429" t="str">
        <f ca="1">IFERROR(VLOOKUP(T$2,Rango_Admin_DailyPred,MATCH($F41,Rango_Admin_DailyPred_Primera,0)+1,0),"-")</f>
        <v>-</v>
      </c>
      <c r="U41" s="429" t="str">
        <f ca="1">IFERROR(VLOOKUP(U$2,Rango_Admin_DailyPred,MATCH($F41,Rango_Admin_DailyPred_Primera,0)+1,0),"-")</f>
        <v>-</v>
      </c>
      <c r="V41" s="429" t="str">
        <f ca="1">IFERROR(VLOOKUP(V$2,Rango_Admin_DailyPred,MATCH($F41,Rango_Admin_DailyPred_Primera,0)+1,0),"-")</f>
        <v>-</v>
      </c>
      <c r="W41" s="429" t="str">
        <f ca="1">IFERROR(VLOOKUP(W$2,Rango_Admin_DailyPred,MATCH($F41,Rango_Admin_DailyPred_Primera,0)+1,0),"-")</f>
        <v>-</v>
      </c>
      <c r="X41" s="429" t="str">
        <f ca="1">IFERROR(VLOOKUP(X$2,Rango_Admin_DailyPred,MATCH($F41,Rango_Admin_DailyPred_Primera,0)+1,0),"-")</f>
        <v>-</v>
      </c>
      <c r="Y41" s="429" t="str">
        <f ca="1">IFERROR(VLOOKUP(Y$2,Rango_Admin_DailyPred,MATCH($F41,Rango_Admin_DailyPred_Primera,0)+1,0),"-")</f>
        <v>-</v>
      </c>
      <c r="Z41" s="429" t="str">
        <f ca="1">IFERROR(VLOOKUP(Z$2,Rango_Admin_DailyPred,MATCH($F41,Rango_Admin_DailyPred_Primera,0)+1,0),"-")</f>
        <v>-</v>
      </c>
      <c r="AA41" s="429" t="str">
        <f ca="1">IFERROR(VLOOKUP(AA$2,Rango_Admin_DailyPred,MATCH($F41,Rango_Admin_DailyPred_Primera,0)+1,0),"-")</f>
        <v>-</v>
      </c>
      <c r="AB41" s="429" t="str">
        <f ca="1">IFERROR(VLOOKUP(AB$2,Rango_Admin_DailyPred,MATCH($F41,Rango_Admin_DailyPred_Primera,0)+1,0),"-")</f>
        <v>-</v>
      </c>
      <c r="AC41" s="429" t="str">
        <f ca="1">IFERROR(VLOOKUP(AC$2,Rango_Admin_DailyPred,MATCH($F41,Rango_Admin_DailyPred_Primera,0)+1,0),"-")</f>
        <v>-</v>
      </c>
      <c r="AD41" s="429" t="str">
        <f ca="1">IFERROR(VLOOKUP(AD$2,Rango_Admin_DailyPred,MATCH($F41,Rango_Admin_DailyPred_Primera,0)+1,0),"-")</f>
        <v>-</v>
      </c>
      <c r="AE41" s="429" t="str">
        <f ca="1">IFERROR(VLOOKUP(AE$2,Rango_Admin_DailyPred,MATCH($F41,Rango_Admin_DailyPred_Primera,0)+1,0),"-")</f>
        <v>-</v>
      </c>
      <c r="AF41" s="429" t="str">
        <f ca="1">IFERROR(VLOOKUP(AF$2,Rango_Admin_DailyPred,MATCH($F41,Rango_Admin_DailyPred_Primera,0)+1,0),"-")</f>
        <v>-</v>
      </c>
      <c r="AG41" s="429" t="str">
        <f ca="1">IFERROR(VLOOKUP(AG$2,Rango_Admin_DailyPred,MATCH($F41,Rango_Admin_DailyPred_Primera,0)+1,0),"-")</f>
        <v>-</v>
      </c>
      <c r="AH41" s="429" t="str">
        <f ca="1">IFERROR(VLOOKUP(AH$2,Rango_Admin_DailyPred,MATCH($F41,Rango_Admin_DailyPred_Primera,0)+1,0),"-")</f>
        <v>-</v>
      </c>
      <c r="AI41" s="429" t="str">
        <f ca="1">IFERROR(VLOOKUP(AI$2,Rango_Admin_DailyPred,MATCH($F41,Rango_Admin_DailyPred_Primera,0)+1,0),"-")</f>
        <v>-</v>
      </c>
      <c r="AJ41" s="429" t="str">
        <f ca="1">IFERROR(VLOOKUP(AJ$2,Rango_Admin_DailyPred,MATCH($F41,Rango_Admin_DailyPred_Primera,0)+1,0),"-")</f>
        <v>-</v>
      </c>
      <c r="AK41" s="429" t="str">
        <f ca="1">IFERROR(VLOOKUP(AK$2,Rango_Admin_DailyPred,MATCH($F41,Rango_Admin_DailyPred_Primera,0)+1,0),"-")</f>
        <v>-</v>
      </c>
      <c r="AL41" s="429" t="str">
        <f ca="1">IFERROR(VLOOKUP(AL$2,Rango_Admin_DailyPred,MATCH($F41,Rango_Admin_DailyPred_Primera,0)+1,0),"-")</f>
        <v>-</v>
      </c>
      <c r="AM41" s="429" t="str">
        <f ca="1">IFERROR(VLOOKUP(AM$2,Rango_Admin_DailyPred,MATCH($F41,Rango_Admin_DailyPred_Primera,0)+1,0),"-")</f>
        <v>-</v>
      </c>
      <c r="AN41" s="297"/>
    </row>
    <row r="42" spans="1:40">
      <c r="A42" s="8"/>
      <c r="B42" s="8"/>
      <c r="C42" s="8">
        <v>39</v>
      </c>
      <c r="D42" s="19"/>
      <c r="E42" s="409">
        <f ca="1">IFERROR(HLOOKUP(C42,Rango_Admin_DailyClas,3,FALSE),"-")</f>
        <v>24</v>
      </c>
      <c r="F42" s="448" t="str">
        <f ca="1">IFERROR(HLOOKUP(C42,Rango_Admin_DailyClas,5,FALSE),"-")</f>
        <v>Alexander Schulte</v>
      </c>
      <c r="G42" s="22">
        <f ca="1">IFERROR(HLOOKUP(C42,Rango_Admin_DailyClas,4,FALSE),"-")</f>
        <v>1</v>
      </c>
      <c r="H42" s="429">
        <f ca="1">IFERROR(VLOOKUP(H$2,Rango_Admin_DailyPred,MATCH($F42,Rango_Admin_DailyPred_Primera,0)+1,0),"-")</f>
        <v>1</v>
      </c>
      <c r="I42" s="429" t="str">
        <f ca="1">IFERROR(VLOOKUP(I$2,Rango_Admin_DailyPred,MATCH($F42,Rango_Admin_DailyPred_Primera,0)+1,0),"-")</f>
        <v>-</v>
      </c>
      <c r="J42" s="429" t="str">
        <f ca="1">IFERROR(VLOOKUP(J$2,Rango_Admin_DailyPred,MATCH($F42,Rango_Admin_DailyPred_Primera,0)+1,0),"-")</f>
        <v>-</v>
      </c>
      <c r="K42" s="429" t="str">
        <f ca="1">IFERROR(VLOOKUP(K$2,Rango_Admin_DailyPred,MATCH($F42,Rango_Admin_DailyPred_Primera,0)+1,0),"-")</f>
        <v>-</v>
      </c>
      <c r="L42" s="429" t="str">
        <f ca="1">IFERROR(VLOOKUP(L$2,Rango_Admin_DailyPred,MATCH($F42,Rango_Admin_DailyPred_Primera,0)+1,0),"-")</f>
        <v>-</v>
      </c>
      <c r="M42" s="429" t="str">
        <f ca="1">IFERROR(VLOOKUP(M$2,Rango_Admin_DailyPred,MATCH($F42,Rango_Admin_DailyPred_Primera,0)+1,0),"-")</f>
        <v>-</v>
      </c>
      <c r="N42" s="429" t="str">
        <f ca="1">IFERROR(VLOOKUP(N$2,Rango_Admin_DailyPred,MATCH($F42,Rango_Admin_DailyPred_Primera,0)+1,0),"-")</f>
        <v>-</v>
      </c>
      <c r="O42" s="429" t="str">
        <f ca="1">IFERROR(VLOOKUP(O$2,Rango_Admin_DailyPred,MATCH($F42,Rango_Admin_DailyPred_Primera,0)+1,0),"-")</f>
        <v>-</v>
      </c>
      <c r="P42" s="429" t="str">
        <f ca="1">IFERROR(VLOOKUP(P$2,Rango_Admin_DailyPred,MATCH($F42,Rango_Admin_DailyPred_Primera,0)+1,0),"-")</f>
        <v>-</v>
      </c>
      <c r="Q42" s="429" t="str">
        <f ca="1">IFERROR(VLOOKUP(Q$2,Rango_Admin_DailyPred,MATCH($F42,Rango_Admin_DailyPred_Primera,0)+1,0),"-")</f>
        <v>-</v>
      </c>
      <c r="R42" s="429" t="str">
        <f ca="1">IFERROR(VLOOKUP(R$2,Rango_Admin_DailyPred,MATCH($F42,Rango_Admin_DailyPred_Primera,0)+1,0),"-")</f>
        <v>-</v>
      </c>
      <c r="S42" s="429" t="str">
        <f ca="1">IFERROR(VLOOKUP(S$2,Rango_Admin_DailyPred,MATCH($F42,Rango_Admin_DailyPred_Primera,0)+1,0),"-")</f>
        <v>-</v>
      </c>
      <c r="T42" s="429" t="str">
        <f ca="1">IFERROR(VLOOKUP(T$2,Rango_Admin_DailyPred,MATCH($F42,Rango_Admin_DailyPred_Primera,0)+1,0),"-")</f>
        <v>-</v>
      </c>
      <c r="U42" s="429" t="str">
        <f ca="1">IFERROR(VLOOKUP(U$2,Rango_Admin_DailyPred,MATCH($F42,Rango_Admin_DailyPred_Primera,0)+1,0),"-")</f>
        <v>-</v>
      </c>
      <c r="V42" s="429" t="str">
        <f ca="1">IFERROR(VLOOKUP(V$2,Rango_Admin_DailyPred,MATCH($F42,Rango_Admin_DailyPred_Primera,0)+1,0),"-")</f>
        <v>-</v>
      </c>
      <c r="W42" s="429" t="str">
        <f ca="1">IFERROR(VLOOKUP(W$2,Rango_Admin_DailyPred,MATCH($F42,Rango_Admin_DailyPred_Primera,0)+1,0),"-")</f>
        <v>-</v>
      </c>
      <c r="X42" s="429" t="str">
        <f ca="1">IFERROR(VLOOKUP(X$2,Rango_Admin_DailyPred,MATCH($F42,Rango_Admin_DailyPred_Primera,0)+1,0),"-")</f>
        <v>-</v>
      </c>
      <c r="Y42" s="429" t="str">
        <f ca="1">IFERROR(VLOOKUP(Y$2,Rango_Admin_DailyPred,MATCH($F42,Rango_Admin_DailyPred_Primera,0)+1,0),"-")</f>
        <v>-</v>
      </c>
      <c r="Z42" s="429" t="str">
        <f ca="1">IFERROR(VLOOKUP(Z$2,Rango_Admin_DailyPred,MATCH($F42,Rango_Admin_DailyPred_Primera,0)+1,0),"-")</f>
        <v>-</v>
      </c>
      <c r="AA42" s="429" t="str">
        <f ca="1">IFERROR(VLOOKUP(AA$2,Rango_Admin_DailyPred,MATCH($F42,Rango_Admin_DailyPred_Primera,0)+1,0),"-")</f>
        <v>-</v>
      </c>
      <c r="AB42" s="429" t="str">
        <f ca="1">IFERROR(VLOOKUP(AB$2,Rango_Admin_DailyPred,MATCH($F42,Rango_Admin_DailyPred_Primera,0)+1,0),"-")</f>
        <v>-</v>
      </c>
      <c r="AC42" s="429" t="str">
        <f ca="1">IFERROR(VLOOKUP(AC$2,Rango_Admin_DailyPred,MATCH($F42,Rango_Admin_DailyPred_Primera,0)+1,0),"-")</f>
        <v>-</v>
      </c>
      <c r="AD42" s="429" t="str">
        <f ca="1">IFERROR(VLOOKUP(AD$2,Rango_Admin_DailyPred,MATCH($F42,Rango_Admin_DailyPred_Primera,0)+1,0),"-")</f>
        <v>-</v>
      </c>
      <c r="AE42" s="429" t="str">
        <f ca="1">IFERROR(VLOOKUP(AE$2,Rango_Admin_DailyPred,MATCH($F42,Rango_Admin_DailyPred_Primera,0)+1,0),"-")</f>
        <v>-</v>
      </c>
      <c r="AF42" s="429" t="str">
        <f ca="1">IFERROR(VLOOKUP(AF$2,Rango_Admin_DailyPred,MATCH($F42,Rango_Admin_DailyPred_Primera,0)+1,0),"-")</f>
        <v>-</v>
      </c>
      <c r="AG42" s="429" t="str">
        <f ca="1">IFERROR(VLOOKUP(AG$2,Rango_Admin_DailyPred,MATCH($F42,Rango_Admin_DailyPred_Primera,0)+1,0),"-")</f>
        <v>-</v>
      </c>
      <c r="AH42" s="429" t="str">
        <f ca="1">IFERROR(VLOOKUP(AH$2,Rango_Admin_DailyPred,MATCH($F42,Rango_Admin_DailyPred_Primera,0)+1,0),"-")</f>
        <v>-</v>
      </c>
      <c r="AI42" s="429" t="str">
        <f ca="1">IFERROR(VLOOKUP(AI$2,Rango_Admin_DailyPred,MATCH($F42,Rango_Admin_DailyPred_Primera,0)+1,0),"-")</f>
        <v>-</v>
      </c>
      <c r="AJ42" s="429" t="str">
        <f ca="1">IFERROR(VLOOKUP(AJ$2,Rango_Admin_DailyPred,MATCH($F42,Rango_Admin_DailyPred_Primera,0)+1,0),"-")</f>
        <v>-</v>
      </c>
      <c r="AK42" s="429" t="str">
        <f ca="1">IFERROR(VLOOKUP(AK$2,Rango_Admin_DailyPred,MATCH($F42,Rango_Admin_DailyPred_Primera,0)+1,0),"-")</f>
        <v>-</v>
      </c>
      <c r="AL42" s="429" t="str">
        <f ca="1">IFERROR(VLOOKUP(AL$2,Rango_Admin_DailyPred,MATCH($F42,Rango_Admin_DailyPred_Primera,0)+1,0),"-")</f>
        <v>-</v>
      </c>
      <c r="AM42" s="429" t="str">
        <f ca="1">IFERROR(VLOOKUP(AM$2,Rango_Admin_DailyPred,MATCH($F42,Rango_Admin_DailyPred_Primera,0)+1,0),"-")</f>
        <v>-</v>
      </c>
      <c r="AN42" s="297"/>
    </row>
    <row r="43" spans="1:40">
      <c r="A43" s="8"/>
      <c r="B43" s="8"/>
      <c r="C43" s="8">
        <v>40</v>
      </c>
      <c r="D43" s="19"/>
      <c r="E43" s="409">
        <f ca="1">IFERROR(HLOOKUP(C43,Rango_Admin_DailyClas,3,FALSE),"-")</f>
        <v>40</v>
      </c>
      <c r="F43" s="448" t="str">
        <f ca="1">IFERROR(HLOOKUP(C43,Rango_Admin_DailyClas,5,FALSE),"-")</f>
        <v>Migay Marcos</v>
      </c>
      <c r="G43" s="22">
        <f ca="1">IFERROR(HLOOKUP(C43,Rango_Admin_DailyClas,4,FALSE),"-")</f>
        <v>0</v>
      </c>
      <c r="H43" s="429">
        <f ca="1">IFERROR(VLOOKUP(H$2,Rango_Admin_DailyPred,MATCH($F43,Rango_Admin_DailyPred_Primera,0)+1,0),"-")</f>
        <v>0</v>
      </c>
      <c r="I43" s="429" t="str">
        <f ca="1">IFERROR(VLOOKUP(I$2,Rango_Admin_DailyPred,MATCH($F43,Rango_Admin_DailyPred_Primera,0)+1,0),"-")</f>
        <v>-</v>
      </c>
      <c r="J43" s="429" t="str">
        <f ca="1">IFERROR(VLOOKUP(J$2,Rango_Admin_DailyPred,MATCH($F43,Rango_Admin_DailyPred_Primera,0)+1,0),"-")</f>
        <v>-</v>
      </c>
      <c r="K43" s="429" t="str">
        <f ca="1">IFERROR(VLOOKUP(K$2,Rango_Admin_DailyPred,MATCH($F43,Rango_Admin_DailyPred_Primera,0)+1,0),"-")</f>
        <v>-</v>
      </c>
      <c r="L43" s="429" t="str">
        <f ca="1">IFERROR(VLOOKUP(L$2,Rango_Admin_DailyPred,MATCH($F43,Rango_Admin_DailyPred_Primera,0)+1,0),"-")</f>
        <v>-</v>
      </c>
      <c r="M43" s="429" t="str">
        <f ca="1">IFERROR(VLOOKUP(M$2,Rango_Admin_DailyPred,MATCH($F43,Rango_Admin_DailyPred_Primera,0)+1,0),"-")</f>
        <v>-</v>
      </c>
      <c r="N43" s="429" t="str">
        <f ca="1">IFERROR(VLOOKUP(N$2,Rango_Admin_DailyPred,MATCH($F43,Rango_Admin_DailyPred_Primera,0)+1,0),"-")</f>
        <v>-</v>
      </c>
      <c r="O43" s="429" t="str">
        <f ca="1">IFERROR(VLOOKUP(O$2,Rango_Admin_DailyPred,MATCH($F43,Rango_Admin_DailyPred_Primera,0)+1,0),"-")</f>
        <v>-</v>
      </c>
      <c r="P43" s="429" t="str">
        <f ca="1">IFERROR(VLOOKUP(P$2,Rango_Admin_DailyPred,MATCH($F43,Rango_Admin_DailyPred_Primera,0)+1,0),"-")</f>
        <v>-</v>
      </c>
      <c r="Q43" s="429" t="str">
        <f ca="1">IFERROR(VLOOKUP(Q$2,Rango_Admin_DailyPred,MATCH($F43,Rango_Admin_DailyPred_Primera,0)+1,0),"-")</f>
        <v>-</v>
      </c>
      <c r="R43" s="429" t="str">
        <f ca="1">IFERROR(VLOOKUP(R$2,Rango_Admin_DailyPred,MATCH($F43,Rango_Admin_DailyPred_Primera,0)+1,0),"-")</f>
        <v>-</v>
      </c>
      <c r="S43" s="429" t="str">
        <f ca="1">IFERROR(VLOOKUP(S$2,Rango_Admin_DailyPred,MATCH($F43,Rango_Admin_DailyPred_Primera,0)+1,0),"-")</f>
        <v>-</v>
      </c>
      <c r="T43" s="429" t="str">
        <f ca="1">IFERROR(VLOOKUP(T$2,Rango_Admin_DailyPred,MATCH($F43,Rango_Admin_DailyPred_Primera,0)+1,0),"-")</f>
        <v>-</v>
      </c>
      <c r="U43" s="429" t="str">
        <f ca="1">IFERROR(VLOOKUP(U$2,Rango_Admin_DailyPred,MATCH($F43,Rango_Admin_DailyPred_Primera,0)+1,0),"-")</f>
        <v>-</v>
      </c>
      <c r="V43" s="429" t="str">
        <f ca="1">IFERROR(VLOOKUP(V$2,Rango_Admin_DailyPred,MATCH($F43,Rango_Admin_DailyPred_Primera,0)+1,0),"-")</f>
        <v>-</v>
      </c>
      <c r="W43" s="429" t="str">
        <f ca="1">IFERROR(VLOOKUP(W$2,Rango_Admin_DailyPred,MATCH($F43,Rango_Admin_DailyPred_Primera,0)+1,0),"-")</f>
        <v>-</v>
      </c>
      <c r="X43" s="429" t="str">
        <f ca="1">IFERROR(VLOOKUP(X$2,Rango_Admin_DailyPred,MATCH($F43,Rango_Admin_DailyPred_Primera,0)+1,0),"-")</f>
        <v>-</v>
      </c>
      <c r="Y43" s="429" t="str">
        <f ca="1">IFERROR(VLOOKUP(Y$2,Rango_Admin_DailyPred,MATCH($F43,Rango_Admin_DailyPred_Primera,0)+1,0),"-")</f>
        <v>-</v>
      </c>
      <c r="Z43" s="429" t="str">
        <f ca="1">IFERROR(VLOOKUP(Z$2,Rango_Admin_DailyPred,MATCH($F43,Rango_Admin_DailyPred_Primera,0)+1,0),"-")</f>
        <v>-</v>
      </c>
      <c r="AA43" s="429" t="str">
        <f ca="1">IFERROR(VLOOKUP(AA$2,Rango_Admin_DailyPred,MATCH($F43,Rango_Admin_DailyPred_Primera,0)+1,0),"-")</f>
        <v>-</v>
      </c>
      <c r="AB43" s="429" t="str">
        <f ca="1">IFERROR(VLOOKUP(AB$2,Rango_Admin_DailyPred,MATCH($F43,Rango_Admin_DailyPred_Primera,0)+1,0),"-")</f>
        <v>-</v>
      </c>
      <c r="AC43" s="429" t="str">
        <f ca="1">IFERROR(VLOOKUP(AC$2,Rango_Admin_DailyPred,MATCH($F43,Rango_Admin_DailyPred_Primera,0)+1,0),"-")</f>
        <v>-</v>
      </c>
      <c r="AD43" s="429" t="str">
        <f ca="1">IFERROR(VLOOKUP(AD$2,Rango_Admin_DailyPred,MATCH($F43,Rango_Admin_DailyPred_Primera,0)+1,0),"-")</f>
        <v>-</v>
      </c>
      <c r="AE43" s="429" t="str">
        <f ca="1">IFERROR(VLOOKUP(AE$2,Rango_Admin_DailyPred,MATCH($F43,Rango_Admin_DailyPred_Primera,0)+1,0),"-")</f>
        <v>-</v>
      </c>
      <c r="AF43" s="429" t="str">
        <f ca="1">IFERROR(VLOOKUP(AF$2,Rango_Admin_DailyPred,MATCH($F43,Rango_Admin_DailyPred_Primera,0)+1,0),"-")</f>
        <v>-</v>
      </c>
      <c r="AG43" s="429" t="str">
        <f ca="1">IFERROR(VLOOKUP(AG$2,Rango_Admin_DailyPred,MATCH($F43,Rango_Admin_DailyPred_Primera,0)+1,0),"-")</f>
        <v>-</v>
      </c>
      <c r="AH43" s="429" t="str">
        <f ca="1">IFERROR(VLOOKUP(AH$2,Rango_Admin_DailyPred,MATCH($F43,Rango_Admin_DailyPred_Primera,0)+1,0),"-")</f>
        <v>-</v>
      </c>
      <c r="AI43" s="429" t="str">
        <f ca="1">IFERROR(VLOOKUP(AI$2,Rango_Admin_DailyPred,MATCH($F43,Rango_Admin_DailyPred_Primera,0)+1,0),"-")</f>
        <v>-</v>
      </c>
      <c r="AJ43" s="429" t="str">
        <f ca="1">IFERROR(VLOOKUP(AJ$2,Rango_Admin_DailyPred,MATCH($F43,Rango_Admin_DailyPred_Primera,0)+1,0),"-")</f>
        <v>-</v>
      </c>
      <c r="AK43" s="429" t="str">
        <f ca="1">IFERROR(VLOOKUP(AK$2,Rango_Admin_DailyPred,MATCH($F43,Rango_Admin_DailyPred_Primera,0)+1,0),"-")</f>
        <v>-</v>
      </c>
      <c r="AL43" s="429" t="str">
        <f ca="1">IFERROR(VLOOKUP(AL$2,Rango_Admin_DailyPred,MATCH($F43,Rango_Admin_DailyPred_Primera,0)+1,0),"-")</f>
        <v>-</v>
      </c>
      <c r="AM43" s="429" t="str">
        <f ca="1">IFERROR(VLOOKUP(AM$2,Rango_Admin_DailyPred,MATCH($F43,Rango_Admin_DailyPred_Primera,0)+1,0),"-")</f>
        <v>-</v>
      </c>
      <c r="AN43" s="297"/>
    </row>
    <row r="44" spans="1:40">
      <c r="A44" s="8"/>
      <c r="B44" s="8"/>
      <c r="C44" s="8">
        <v>41</v>
      </c>
      <c r="D44" s="19"/>
      <c r="E44" s="409">
        <f ca="1">IFERROR(HLOOKUP(C44,Rango_Admin_DailyClas,3,FALSE),"-")</f>
        <v>40</v>
      </c>
      <c r="F44" s="448" t="str">
        <f ca="1">IFERROR(HLOOKUP(C44,Rango_Admin_DailyClas,5,FALSE),"-")</f>
        <v>Pablo C</v>
      </c>
      <c r="G44" s="22">
        <f ca="1">IFERROR(HLOOKUP(C44,Rango_Admin_DailyClas,4,FALSE),"-")</f>
        <v>0</v>
      </c>
      <c r="H44" s="429">
        <f ca="1">IFERROR(VLOOKUP(H$2,Rango_Admin_DailyPred,MATCH($F44,Rango_Admin_DailyPred_Primera,0)+1,0),"-")</f>
        <v>0</v>
      </c>
      <c r="I44" s="429" t="str">
        <f ca="1">IFERROR(VLOOKUP(I$2,Rango_Admin_DailyPred,MATCH($F44,Rango_Admin_DailyPred_Primera,0)+1,0),"-")</f>
        <v>-</v>
      </c>
      <c r="J44" s="429" t="str">
        <f ca="1">IFERROR(VLOOKUP(J$2,Rango_Admin_DailyPred,MATCH($F44,Rango_Admin_DailyPred_Primera,0)+1,0),"-")</f>
        <v>-</v>
      </c>
      <c r="K44" s="429" t="str">
        <f ca="1">IFERROR(VLOOKUP(K$2,Rango_Admin_DailyPred,MATCH($F44,Rango_Admin_DailyPred_Primera,0)+1,0),"-")</f>
        <v>-</v>
      </c>
      <c r="L44" s="429" t="str">
        <f ca="1">IFERROR(VLOOKUP(L$2,Rango_Admin_DailyPred,MATCH($F44,Rango_Admin_DailyPred_Primera,0)+1,0),"-")</f>
        <v>-</v>
      </c>
      <c r="M44" s="429" t="str">
        <f ca="1">IFERROR(VLOOKUP(M$2,Rango_Admin_DailyPred,MATCH($F44,Rango_Admin_DailyPred_Primera,0)+1,0),"-")</f>
        <v>-</v>
      </c>
      <c r="N44" s="429" t="str">
        <f ca="1">IFERROR(VLOOKUP(N$2,Rango_Admin_DailyPred,MATCH($F44,Rango_Admin_DailyPred_Primera,0)+1,0),"-")</f>
        <v>-</v>
      </c>
      <c r="O44" s="429" t="str">
        <f ca="1">IFERROR(VLOOKUP(O$2,Rango_Admin_DailyPred,MATCH($F44,Rango_Admin_DailyPred_Primera,0)+1,0),"-")</f>
        <v>-</v>
      </c>
      <c r="P44" s="429" t="str">
        <f ca="1">IFERROR(VLOOKUP(P$2,Rango_Admin_DailyPred,MATCH($F44,Rango_Admin_DailyPred_Primera,0)+1,0),"-")</f>
        <v>-</v>
      </c>
      <c r="Q44" s="429" t="str">
        <f ca="1">IFERROR(VLOOKUP(Q$2,Rango_Admin_DailyPred,MATCH($F44,Rango_Admin_DailyPred_Primera,0)+1,0),"-")</f>
        <v>-</v>
      </c>
      <c r="R44" s="429" t="str">
        <f ca="1">IFERROR(VLOOKUP(R$2,Rango_Admin_DailyPred,MATCH($F44,Rango_Admin_DailyPred_Primera,0)+1,0),"-")</f>
        <v>-</v>
      </c>
      <c r="S44" s="429" t="str">
        <f ca="1">IFERROR(VLOOKUP(S$2,Rango_Admin_DailyPred,MATCH($F44,Rango_Admin_DailyPred_Primera,0)+1,0),"-")</f>
        <v>-</v>
      </c>
      <c r="T44" s="429" t="str">
        <f ca="1">IFERROR(VLOOKUP(T$2,Rango_Admin_DailyPred,MATCH($F44,Rango_Admin_DailyPred_Primera,0)+1,0),"-")</f>
        <v>-</v>
      </c>
      <c r="U44" s="429" t="str">
        <f ca="1">IFERROR(VLOOKUP(U$2,Rango_Admin_DailyPred,MATCH($F44,Rango_Admin_DailyPred_Primera,0)+1,0),"-")</f>
        <v>-</v>
      </c>
      <c r="V44" s="429" t="str">
        <f ca="1">IFERROR(VLOOKUP(V$2,Rango_Admin_DailyPred,MATCH($F44,Rango_Admin_DailyPred_Primera,0)+1,0),"-")</f>
        <v>-</v>
      </c>
      <c r="W44" s="429" t="str">
        <f ca="1">IFERROR(VLOOKUP(W$2,Rango_Admin_DailyPred,MATCH($F44,Rango_Admin_DailyPred_Primera,0)+1,0),"-")</f>
        <v>-</v>
      </c>
      <c r="X44" s="429" t="str">
        <f ca="1">IFERROR(VLOOKUP(X$2,Rango_Admin_DailyPred,MATCH($F44,Rango_Admin_DailyPred_Primera,0)+1,0),"-")</f>
        <v>-</v>
      </c>
      <c r="Y44" s="429" t="str">
        <f ca="1">IFERROR(VLOOKUP(Y$2,Rango_Admin_DailyPred,MATCH($F44,Rango_Admin_DailyPred_Primera,0)+1,0),"-")</f>
        <v>-</v>
      </c>
      <c r="Z44" s="429" t="str">
        <f ca="1">IFERROR(VLOOKUP(Z$2,Rango_Admin_DailyPred,MATCH($F44,Rango_Admin_DailyPred_Primera,0)+1,0),"-")</f>
        <v>-</v>
      </c>
      <c r="AA44" s="429" t="str">
        <f ca="1">IFERROR(VLOOKUP(AA$2,Rango_Admin_DailyPred,MATCH($F44,Rango_Admin_DailyPred_Primera,0)+1,0),"-")</f>
        <v>-</v>
      </c>
      <c r="AB44" s="429" t="str">
        <f ca="1">IFERROR(VLOOKUP(AB$2,Rango_Admin_DailyPred,MATCH($F44,Rango_Admin_DailyPred_Primera,0)+1,0),"-")</f>
        <v>-</v>
      </c>
      <c r="AC44" s="429" t="str">
        <f ca="1">IFERROR(VLOOKUP(AC$2,Rango_Admin_DailyPred,MATCH($F44,Rango_Admin_DailyPred_Primera,0)+1,0),"-")</f>
        <v>-</v>
      </c>
      <c r="AD44" s="429" t="str">
        <f ca="1">IFERROR(VLOOKUP(AD$2,Rango_Admin_DailyPred,MATCH($F44,Rango_Admin_DailyPred_Primera,0)+1,0),"-")</f>
        <v>-</v>
      </c>
      <c r="AE44" s="429" t="str">
        <f ca="1">IFERROR(VLOOKUP(AE$2,Rango_Admin_DailyPred,MATCH($F44,Rango_Admin_DailyPred_Primera,0)+1,0),"-")</f>
        <v>-</v>
      </c>
      <c r="AF44" s="429" t="str">
        <f ca="1">IFERROR(VLOOKUP(AF$2,Rango_Admin_DailyPred,MATCH($F44,Rango_Admin_DailyPred_Primera,0)+1,0),"-")</f>
        <v>-</v>
      </c>
      <c r="AG44" s="429" t="str">
        <f ca="1">IFERROR(VLOOKUP(AG$2,Rango_Admin_DailyPred,MATCH($F44,Rango_Admin_DailyPred_Primera,0)+1,0),"-")</f>
        <v>-</v>
      </c>
      <c r="AH44" s="429" t="str">
        <f ca="1">IFERROR(VLOOKUP(AH$2,Rango_Admin_DailyPred,MATCH($F44,Rango_Admin_DailyPred_Primera,0)+1,0),"-")</f>
        <v>-</v>
      </c>
      <c r="AI44" s="429" t="str">
        <f ca="1">IFERROR(VLOOKUP(AI$2,Rango_Admin_DailyPred,MATCH($F44,Rango_Admin_DailyPred_Primera,0)+1,0),"-")</f>
        <v>-</v>
      </c>
      <c r="AJ44" s="429" t="str">
        <f ca="1">IFERROR(VLOOKUP(AJ$2,Rango_Admin_DailyPred,MATCH($F44,Rango_Admin_DailyPred_Primera,0)+1,0),"-")</f>
        <v>-</v>
      </c>
      <c r="AK44" s="429" t="str">
        <f ca="1">IFERROR(VLOOKUP(AK$2,Rango_Admin_DailyPred,MATCH($F44,Rango_Admin_DailyPred_Primera,0)+1,0),"-")</f>
        <v>-</v>
      </c>
      <c r="AL44" s="429" t="str">
        <f ca="1">IFERROR(VLOOKUP(AL$2,Rango_Admin_DailyPred,MATCH($F44,Rango_Admin_DailyPred_Primera,0)+1,0),"-")</f>
        <v>-</v>
      </c>
      <c r="AM44" s="429" t="str">
        <f ca="1">IFERROR(VLOOKUP(AM$2,Rango_Admin_DailyPred,MATCH($F44,Rango_Admin_DailyPred_Primera,0)+1,0),"-")</f>
        <v>-</v>
      </c>
      <c r="AN44" s="297"/>
    </row>
    <row r="45" spans="1:40">
      <c r="A45" s="8"/>
      <c r="B45" s="8"/>
      <c r="C45" s="8">
        <v>42</v>
      </c>
      <c r="D45" s="19"/>
      <c r="E45" s="409">
        <f ca="1">IFERROR(HLOOKUP(C45,Rango_Admin_DailyClas,3,FALSE),"-")</f>
        <v>40</v>
      </c>
      <c r="F45" s="448" t="str">
        <f ca="1">IFERROR(HLOOKUP(C45,Rango_Admin_DailyClas,5,FALSE),"-")</f>
        <v>Pegar Valores Nombre J42</v>
      </c>
      <c r="G45" s="22">
        <f ca="1">IFERROR(HLOOKUP(C45,Rango_Admin_DailyClas,4,FALSE),"-")</f>
        <v>0</v>
      </c>
      <c r="H45" s="429">
        <f ca="1">IFERROR(VLOOKUP(H$2,Rango_Admin_DailyPred,MATCH($F45,Rango_Admin_DailyPred_Primera,0)+1,0),"-")</f>
        <v>0</v>
      </c>
      <c r="I45" s="429" t="str">
        <f ca="1">IFERROR(VLOOKUP(I$2,Rango_Admin_DailyPred,MATCH($F45,Rango_Admin_DailyPred_Primera,0)+1,0),"-")</f>
        <v>-</v>
      </c>
      <c r="J45" s="429" t="str">
        <f ca="1">IFERROR(VLOOKUP(J$2,Rango_Admin_DailyPred,MATCH($F45,Rango_Admin_DailyPred_Primera,0)+1,0),"-")</f>
        <v>-</v>
      </c>
      <c r="K45" s="429" t="str">
        <f ca="1">IFERROR(VLOOKUP(K$2,Rango_Admin_DailyPred,MATCH($F45,Rango_Admin_DailyPred_Primera,0)+1,0),"-")</f>
        <v>-</v>
      </c>
      <c r="L45" s="429" t="str">
        <f ca="1">IFERROR(VLOOKUP(L$2,Rango_Admin_DailyPred,MATCH($F45,Rango_Admin_DailyPred_Primera,0)+1,0),"-")</f>
        <v>-</v>
      </c>
      <c r="M45" s="429" t="str">
        <f ca="1">IFERROR(VLOOKUP(M$2,Rango_Admin_DailyPred,MATCH($F45,Rango_Admin_DailyPred_Primera,0)+1,0),"-")</f>
        <v>-</v>
      </c>
      <c r="N45" s="429" t="str">
        <f ca="1">IFERROR(VLOOKUP(N$2,Rango_Admin_DailyPred,MATCH($F45,Rango_Admin_DailyPred_Primera,0)+1,0),"-")</f>
        <v>-</v>
      </c>
      <c r="O45" s="429" t="str">
        <f ca="1">IFERROR(VLOOKUP(O$2,Rango_Admin_DailyPred,MATCH($F45,Rango_Admin_DailyPred_Primera,0)+1,0),"-")</f>
        <v>-</v>
      </c>
      <c r="P45" s="429" t="str">
        <f ca="1">IFERROR(VLOOKUP(P$2,Rango_Admin_DailyPred,MATCH($F45,Rango_Admin_DailyPred_Primera,0)+1,0),"-")</f>
        <v>-</v>
      </c>
      <c r="Q45" s="429" t="str">
        <f ca="1">IFERROR(VLOOKUP(Q$2,Rango_Admin_DailyPred,MATCH($F45,Rango_Admin_DailyPred_Primera,0)+1,0),"-")</f>
        <v>-</v>
      </c>
      <c r="R45" s="429" t="str">
        <f ca="1">IFERROR(VLOOKUP(R$2,Rango_Admin_DailyPred,MATCH($F45,Rango_Admin_DailyPred_Primera,0)+1,0),"-")</f>
        <v>-</v>
      </c>
      <c r="S45" s="429" t="str">
        <f ca="1">IFERROR(VLOOKUP(S$2,Rango_Admin_DailyPred,MATCH($F45,Rango_Admin_DailyPred_Primera,0)+1,0),"-")</f>
        <v>-</v>
      </c>
      <c r="T45" s="429" t="str">
        <f ca="1">IFERROR(VLOOKUP(T$2,Rango_Admin_DailyPred,MATCH($F45,Rango_Admin_DailyPred_Primera,0)+1,0),"-")</f>
        <v>-</v>
      </c>
      <c r="U45" s="429" t="str">
        <f ca="1">IFERROR(VLOOKUP(U$2,Rango_Admin_DailyPred,MATCH($F45,Rango_Admin_DailyPred_Primera,0)+1,0),"-")</f>
        <v>-</v>
      </c>
      <c r="V45" s="429" t="str">
        <f ca="1">IFERROR(VLOOKUP(V$2,Rango_Admin_DailyPred,MATCH($F45,Rango_Admin_DailyPred_Primera,0)+1,0),"-")</f>
        <v>-</v>
      </c>
      <c r="W45" s="429" t="str">
        <f ca="1">IFERROR(VLOOKUP(W$2,Rango_Admin_DailyPred,MATCH($F45,Rango_Admin_DailyPred_Primera,0)+1,0),"-")</f>
        <v>-</v>
      </c>
      <c r="X45" s="429" t="str">
        <f ca="1">IFERROR(VLOOKUP(X$2,Rango_Admin_DailyPred,MATCH($F45,Rango_Admin_DailyPred_Primera,0)+1,0),"-")</f>
        <v>-</v>
      </c>
      <c r="Y45" s="429" t="str">
        <f ca="1">IFERROR(VLOOKUP(Y$2,Rango_Admin_DailyPred,MATCH($F45,Rango_Admin_DailyPred_Primera,0)+1,0),"-")</f>
        <v>-</v>
      </c>
      <c r="Z45" s="429" t="str">
        <f ca="1">IFERROR(VLOOKUP(Z$2,Rango_Admin_DailyPred,MATCH($F45,Rango_Admin_DailyPred_Primera,0)+1,0),"-")</f>
        <v>-</v>
      </c>
      <c r="AA45" s="429" t="str">
        <f ca="1">IFERROR(VLOOKUP(AA$2,Rango_Admin_DailyPred,MATCH($F45,Rango_Admin_DailyPred_Primera,0)+1,0),"-")</f>
        <v>-</v>
      </c>
      <c r="AB45" s="429" t="str">
        <f ca="1">IFERROR(VLOOKUP(AB$2,Rango_Admin_DailyPred,MATCH($F45,Rango_Admin_DailyPred_Primera,0)+1,0),"-")</f>
        <v>-</v>
      </c>
      <c r="AC45" s="429" t="str">
        <f ca="1">IFERROR(VLOOKUP(AC$2,Rango_Admin_DailyPred,MATCH($F45,Rango_Admin_DailyPred_Primera,0)+1,0),"-")</f>
        <v>-</v>
      </c>
      <c r="AD45" s="429" t="str">
        <f ca="1">IFERROR(VLOOKUP(AD$2,Rango_Admin_DailyPred,MATCH($F45,Rango_Admin_DailyPred_Primera,0)+1,0),"-")</f>
        <v>-</v>
      </c>
      <c r="AE45" s="429" t="str">
        <f ca="1">IFERROR(VLOOKUP(AE$2,Rango_Admin_DailyPred,MATCH($F45,Rango_Admin_DailyPred_Primera,0)+1,0),"-")</f>
        <v>-</v>
      </c>
      <c r="AF45" s="429" t="str">
        <f ca="1">IFERROR(VLOOKUP(AF$2,Rango_Admin_DailyPred,MATCH($F45,Rango_Admin_DailyPred_Primera,0)+1,0),"-")</f>
        <v>-</v>
      </c>
      <c r="AG45" s="429" t="str">
        <f ca="1">IFERROR(VLOOKUP(AG$2,Rango_Admin_DailyPred,MATCH($F45,Rango_Admin_DailyPred_Primera,0)+1,0),"-")</f>
        <v>-</v>
      </c>
      <c r="AH45" s="429" t="str">
        <f ca="1">IFERROR(VLOOKUP(AH$2,Rango_Admin_DailyPred,MATCH($F45,Rango_Admin_DailyPred_Primera,0)+1,0),"-")</f>
        <v>-</v>
      </c>
      <c r="AI45" s="429" t="str">
        <f ca="1">IFERROR(VLOOKUP(AI$2,Rango_Admin_DailyPred,MATCH($F45,Rango_Admin_DailyPred_Primera,0)+1,0),"-")</f>
        <v>-</v>
      </c>
      <c r="AJ45" s="429" t="str">
        <f ca="1">IFERROR(VLOOKUP(AJ$2,Rango_Admin_DailyPred,MATCH($F45,Rango_Admin_DailyPred_Primera,0)+1,0),"-")</f>
        <v>-</v>
      </c>
      <c r="AK45" s="429" t="str">
        <f ca="1">IFERROR(VLOOKUP(AK$2,Rango_Admin_DailyPred,MATCH($F45,Rango_Admin_DailyPred_Primera,0)+1,0),"-")</f>
        <v>-</v>
      </c>
      <c r="AL45" s="429" t="str">
        <f ca="1">IFERROR(VLOOKUP(AL$2,Rango_Admin_DailyPred,MATCH($F45,Rango_Admin_DailyPred_Primera,0)+1,0),"-")</f>
        <v>-</v>
      </c>
      <c r="AM45" s="429" t="str">
        <f ca="1">IFERROR(VLOOKUP(AM$2,Rango_Admin_DailyPred,MATCH($F45,Rango_Admin_DailyPred_Primera,0)+1,0),"-")</f>
        <v>-</v>
      </c>
      <c r="AN45" s="297"/>
    </row>
    <row r="46" spans="1:40">
      <c r="A46" s="8"/>
      <c r="B46" s="8"/>
      <c r="C46" s="8">
        <v>43</v>
      </c>
      <c r="D46" s="19"/>
      <c r="E46" s="409">
        <f ca="1">IFERROR(HLOOKUP(C46,Rango_Admin_DailyClas,3,FALSE),"-")</f>
        <v>40</v>
      </c>
      <c r="F46" s="448" t="str">
        <f ca="1">IFERROR(HLOOKUP(C46,Rango_Admin_DailyClas,5,FALSE),"-")</f>
        <v>Pegar Valores Nombre J43</v>
      </c>
      <c r="G46" s="22">
        <f ca="1">IFERROR(HLOOKUP(C46,Rango_Admin_DailyClas,4,FALSE),"-")</f>
        <v>0</v>
      </c>
      <c r="H46" s="429">
        <f ca="1">IFERROR(VLOOKUP(H$2,Rango_Admin_DailyPred,MATCH($F46,Rango_Admin_DailyPred_Primera,0)+1,0),"-")</f>
        <v>0</v>
      </c>
      <c r="I46" s="429" t="str">
        <f ca="1">IFERROR(VLOOKUP(I$2,Rango_Admin_DailyPred,MATCH($F46,Rango_Admin_DailyPred_Primera,0)+1,0),"-")</f>
        <v>-</v>
      </c>
      <c r="J46" s="429" t="str">
        <f ca="1">IFERROR(VLOOKUP(J$2,Rango_Admin_DailyPred,MATCH($F46,Rango_Admin_DailyPred_Primera,0)+1,0),"-")</f>
        <v>-</v>
      </c>
      <c r="K46" s="429" t="str">
        <f ca="1">IFERROR(VLOOKUP(K$2,Rango_Admin_DailyPred,MATCH($F46,Rango_Admin_DailyPred_Primera,0)+1,0),"-")</f>
        <v>-</v>
      </c>
      <c r="L46" s="429" t="str">
        <f ca="1">IFERROR(VLOOKUP(L$2,Rango_Admin_DailyPred,MATCH($F46,Rango_Admin_DailyPred_Primera,0)+1,0),"-")</f>
        <v>-</v>
      </c>
      <c r="M46" s="429" t="str">
        <f ca="1">IFERROR(VLOOKUP(M$2,Rango_Admin_DailyPred,MATCH($F46,Rango_Admin_DailyPred_Primera,0)+1,0),"-")</f>
        <v>-</v>
      </c>
      <c r="N46" s="429" t="str">
        <f ca="1">IFERROR(VLOOKUP(N$2,Rango_Admin_DailyPred,MATCH($F46,Rango_Admin_DailyPred_Primera,0)+1,0),"-")</f>
        <v>-</v>
      </c>
      <c r="O46" s="429" t="str">
        <f ca="1">IFERROR(VLOOKUP(O$2,Rango_Admin_DailyPred,MATCH($F46,Rango_Admin_DailyPred_Primera,0)+1,0),"-")</f>
        <v>-</v>
      </c>
      <c r="P46" s="429" t="str">
        <f ca="1">IFERROR(VLOOKUP(P$2,Rango_Admin_DailyPred,MATCH($F46,Rango_Admin_DailyPred_Primera,0)+1,0),"-")</f>
        <v>-</v>
      </c>
      <c r="Q46" s="429" t="str">
        <f ca="1">IFERROR(VLOOKUP(Q$2,Rango_Admin_DailyPred,MATCH($F46,Rango_Admin_DailyPred_Primera,0)+1,0),"-")</f>
        <v>-</v>
      </c>
      <c r="R46" s="429" t="str">
        <f ca="1">IFERROR(VLOOKUP(R$2,Rango_Admin_DailyPred,MATCH($F46,Rango_Admin_DailyPred_Primera,0)+1,0),"-")</f>
        <v>-</v>
      </c>
      <c r="S46" s="429" t="str">
        <f ca="1">IFERROR(VLOOKUP(S$2,Rango_Admin_DailyPred,MATCH($F46,Rango_Admin_DailyPred_Primera,0)+1,0),"-")</f>
        <v>-</v>
      </c>
      <c r="T46" s="429" t="str">
        <f ca="1">IFERROR(VLOOKUP(T$2,Rango_Admin_DailyPred,MATCH($F46,Rango_Admin_DailyPred_Primera,0)+1,0),"-")</f>
        <v>-</v>
      </c>
      <c r="U46" s="429" t="str">
        <f ca="1">IFERROR(VLOOKUP(U$2,Rango_Admin_DailyPred,MATCH($F46,Rango_Admin_DailyPred_Primera,0)+1,0),"-")</f>
        <v>-</v>
      </c>
      <c r="V46" s="429" t="str">
        <f ca="1">IFERROR(VLOOKUP(V$2,Rango_Admin_DailyPred,MATCH($F46,Rango_Admin_DailyPred_Primera,0)+1,0),"-")</f>
        <v>-</v>
      </c>
      <c r="W46" s="429" t="str">
        <f ca="1">IFERROR(VLOOKUP(W$2,Rango_Admin_DailyPred,MATCH($F46,Rango_Admin_DailyPred_Primera,0)+1,0),"-")</f>
        <v>-</v>
      </c>
      <c r="X46" s="429" t="str">
        <f ca="1">IFERROR(VLOOKUP(X$2,Rango_Admin_DailyPred,MATCH($F46,Rango_Admin_DailyPred_Primera,0)+1,0),"-")</f>
        <v>-</v>
      </c>
      <c r="Y46" s="429" t="str">
        <f ca="1">IFERROR(VLOOKUP(Y$2,Rango_Admin_DailyPred,MATCH($F46,Rango_Admin_DailyPred_Primera,0)+1,0),"-")</f>
        <v>-</v>
      </c>
      <c r="Z46" s="429" t="str">
        <f ca="1">IFERROR(VLOOKUP(Z$2,Rango_Admin_DailyPred,MATCH($F46,Rango_Admin_DailyPred_Primera,0)+1,0),"-")</f>
        <v>-</v>
      </c>
      <c r="AA46" s="429" t="str">
        <f ca="1">IFERROR(VLOOKUP(AA$2,Rango_Admin_DailyPred,MATCH($F46,Rango_Admin_DailyPred_Primera,0)+1,0),"-")</f>
        <v>-</v>
      </c>
      <c r="AB46" s="429" t="str">
        <f ca="1">IFERROR(VLOOKUP(AB$2,Rango_Admin_DailyPred,MATCH($F46,Rango_Admin_DailyPred_Primera,0)+1,0),"-")</f>
        <v>-</v>
      </c>
      <c r="AC46" s="429" t="str">
        <f ca="1">IFERROR(VLOOKUP(AC$2,Rango_Admin_DailyPred,MATCH($F46,Rango_Admin_DailyPred_Primera,0)+1,0),"-")</f>
        <v>-</v>
      </c>
      <c r="AD46" s="429" t="str">
        <f ca="1">IFERROR(VLOOKUP(AD$2,Rango_Admin_DailyPred,MATCH($F46,Rango_Admin_DailyPred_Primera,0)+1,0),"-")</f>
        <v>-</v>
      </c>
      <c r="AE46" s="429" t="str">
        <f ca="1">IFERROR(VLOOKUP(AE$2,Rango_Admin_DailyPred,MATCH($F46,Rango_Admin_DailyPred_Primera,0)+1,0),"-")</f>
        <v>-</v>
      </c>
      <c r="AF46" s="429" t="str">
        <f ca="1">IFERROR(VLOOKUP(AF$2,Rango_Admin_DailyPred,MATCH($F46,Rango_Admin_DailyPred_Primera,0)+1,0),"-")</f>
        <v>-</v>
      </c>
      <c r="AG46" s="429" t="str">
        <f ca="1">IFERROR(VLOOKUP(AG$2,Rango_Admin_DailyPred,MATCH($F46,Rango_Admin_DailyPred_Primera,0)+1,0),"-")</f>
        <v>-</v>
      </c>
      <c r="AH46" s="429" t="str">
        <f ca="1">IFERROR(VLOOKUP(AH$2,Rango_Admin_DailyPred,MATCH($F46,Rango_Admin_DailyPred_Primera,0)+1,0),"-")</f>
        <v>-</v>
      </c>
      <c r="AI46" s="429" t="str">
        <f ca="1">IFERROR(VLOOKUP(AI$2,Rango_Admin_DailyPred,MATCH($F46,Rango_Admin_DailyPred_Primera,0)+1,0),"-")</f>
        <v>-</v>
      </c>
      <c r="AJ46" s="429" t="str">
        <f ca="1">IFERROR(VLOOKUP(AJ$2,Rango_Admin_DailyPred,MATCH($F46,Rango_Admin_DailyPred_Primera,0)+1,0),"-")</f>
        <v>-</v>
      </c>
      <c r="AK46" s="429" t="str">
        <f ca="1">IFERROR(VLOOKUP(AK$2,Rango_Admin_DailyPred,MATCH($F46,Rango_Admin_DailyPred_Primera,0)+1,0),"-")</f>
        <v>-</v>
      </c>
      <c r="AL46" s="429" t="str">
        <f ca="1">IFERROR(VLOOKUP(AL$2,Rango_Admin_DailyPred,MATCH($F46,Rango_Admin_DailyPred_Primera,0)+1,0),"-")</f>
        <v>-</v>
      </c>
      <c r="AM46" s="429" t="str">
        <f ca="1">IFERROR(VLOOKUP(AM$2,Rango_Admin_DailyPred,MATCH($F46,Rango_Admin_DailyPred_Primera,0)+1,0),"-")</f>
        <v>-</v>
      </c>
      <c r="AN46" s="297"/>
    </row>
    <row r="47" spans="1:40">
      <c r="A47" s="8"/>
      <c r="B47" s="8"/>
      <c r="C47" s="8">
        <v>44</v>
      </c>
      <c r="D47" s="19"/>
      <c r="E47" s="409">
        <f ca="1">IFERROR(HLOOKUP(C47,Rango_Admin_DailyClas,3,FALSE),"-")</f>
        <v>40</v>
      </c>
      <c r="F47" s="448" t="str">
        <f ca="1">IFERROR(HLOOKUP(C47,Rango_Admin_DailyClas,5,FALSE),"-")</f>
        <v>Pegar Valores Nombre J44</v>
      </c>
      <c r="G47" s="22">
        <f ca="1">IFERROR(HLOOKUP(C47,Rango_Admin_DailyClas,4,FALSE),"-")</f>
        <v>0</v>
      </c>
      <c r="H47" s="429">
        <f ca="1">IFERROR(VLOOKUP(H$2,Rango_Admin_DailyPred,MATCH($F47,Rango_Admin_DailyPred_Primera,0)+1,0),"-")</f>
        <v>0</v>
      </c>
      <c r="I47" s="429" t="str">
        <f ca="1">IFERROR(VLOOKUP(I$2,Rango_Admin_DailyPred,MATCH($F47,Rango_Admin_DailyPred_Primera,0)+1,0),"-")</f>
        <v>-</v>
      </c>
      <c r="J47" s="429" t="str">
        <f ca="1">IFERROR(VLOOKUP(J$2,Rango_Admin_DailyPred,MATCH($F47,Rango_Admin_DailyPred_Primera,0)+1,0),"-")</f>
        <v>-</v>
      </c>
      <c r="K47" s="429" t="str">
        <f ca="1">IFERROR(VLOOKUP(K$2,Rango_Admin_DailyPred,MATCH($F47,Rango_Admin_DailyPred_Primera,0)+1,0),"-")</f>
        <v>-</v>
      </c>
      <c r="L47" s="429" t="str">
        <f ca="1">IFERROR(VLOOKUP(L$2,Rango_Admin_DailyPred,MATCH($F47,Rango_Admin_DailyPred_Primera,0)+1,0),"-")</f>
        <v>-</v>
      </c>
      <c r="M47" s="429" t="str">
        <f ca="1">IFERROR(VLOOKUP(M$2,Rango_Admin_DailyPred,MATCH($F47,Rango_Admin_DailyPred_Primera,0)+1,0),"-")</f>
        <v>-</v>
      </c>
      <c r="N47" s="429" t="str">
        <f ca="1">IFERROR(VLOOKUP(N$2,Rango_Admin_DailyPred,MATCH($F47,Rango_Admin_DailyPred_Primera,0)+1,0),"-")</f>
        <v>-</v>
      </c>
      <c r="O47" s="429" t="str">
        <f ca="1">IFERROR(VLOOKUP(O$2,Rango_Admin_DailyPred,MATCH($F47,Rango_Admin_DailyPred_Primera,0)+1,0),"-")</f>
        <v>-</v>
      </c>
      <c r="P47" s="429" t="str">
        <f ca="1">IFERROR(VLOOKUP(P$2,Rango_Admin_DailyPred,MATCH($F47,Rango_Admin_DailyPred_Primera,0)+1,0),"-")</f>
        <v>-</v>
      </c>
      <c r="Q47" s="429" t="str">
        <f ca="1">IFERROR(VLOOKUP(Q$2,Rango_Admin_DailyPred,MATCH($F47,Rango_Admin_DailyPred_Primera,0)+1,0),"-")</f>
        <v>-</v>
      </c>
      <c r="R47" s="429" t="str">
        <f ca="1">IFERROR(VLOOKUP(R$2,Rango_Admin_DailyPred,MATCH($F47,Rango_Admin_DailyPred_Primera,0)+1,0),"-")</f>
        <v>-</v>
      </c>
      <c r="S47" s="429" t="str">
        <f ca="1">IFERROR(VLOOKUP(S$2,Rango_Admin_DailyPred,MATCH($F47,Rango_Admin_DailyPred_Primera,0)+1,0),"-")</f>
        <v>-</v>
      </c>
      <c r="T47" s="429" t="str">
        <f ca="1">IFERROR(VLOOKUP(T$2,Rango_Admin_DailyPred,MATCH($F47,Rango_Admin_DailyPred_Primera,0)+1,0),"-")</f>
        <v>-</v>
      </c>
      <c r="U47" s="429" t="str">
        <f ca="1">IFERROR(VLOOKUP(U$2,Rango_Admin_DailyPred,MATCH($F47,Rango_Admin_DailyPred_Primera,0)+1,0),"-")</f>
        <v>-</v>
      </c>
      <c r="V47" s="429" t="str">
        <f ca="1">IFERROR(VLOOKUP(V$2,Rango_Admin_DailyPred,MATCH($F47,Rango_Admin_DailyPred_Primera,0)+1,0),"-")</f>
        <v>-</v>
      </c>
      <c r="W47" s="429" t="str">
        <f ca="1">IFERROR(VLOOKUP(W$2,Rango_Admin_DailyPred,MATCH($F47,Rango_Admin_DailyPred_Primera,0)+1,0),"-")</f>
        <v>-</v>
      </c>
      <c r="X47" s="429" t="str">
        <f ca="1">IFERROR(VLOOKUP(X$2,Rango_Admin_DailyPred,MATCH($F47,Rango_Admin_DailyPred_Primera,0)+1,0),"-")</f>
        <v>-</v>
      </c>
      <c r="Y47" s="429" t="str">
        <f ca="1">IFERROR(VLOOKUP(Y$2,Rango_Admin_DailyPred,MATCH($F47,Rango_Admin_DailyPred_Primera,0)+1,0),"-")</f>
        <v>-</v>
      </c>
      <c r="Z47" s="429" t="str">
        <f ca="1">IFERROR(VLOOKUP(Z$2,Rango_Admin_DailyPred,MATCH($F47,Rango_Admin_DailyPred_Primera,0)+1,0),"-")</f>
        <v>-</v>
      </c>
      <c r="AA47" s="429" t="str">
        <f ca="1">IFERROR(VLOOKUP(AA$2,Rango_Admin_DailyPred,MATCH($F47,Rango_Admin_DailyPred_Primera,0)+1,0),"-")</f>
        <v>-</v>
      </c>
      <c r="AB47" s="429" t="str">
        <f ca="1">IFERROR(VLOOKUP(AB$2,Rango_Admin_DailyPred,MATCH($F47,Rango_Admin_DailyPred_Primera,0)+1,0),"-")</f>
        <v>-</v>
      </c>
      <c r="AC47" s="429" t="str">
        <f ca="1">IFERROR(VLOOKUP(AC$2,Rango_Admin_DailyPred,MATCH($F47,Rango_Admin_DailyPred_Primera,0)+1,0),"-")</f>
        <v>-</v>
      </c>
      <c r="AD47" s="429" t="str">
        <f ca="1">IFERROR(VLOOKUP(AD$2,Rango_Admin_DailyPred,MATCH($F47,Rango_Admin_DailyPred_Primera,0)+1,0),"-")</f>
        <v>-</v>
      </c>
      <c r="AE47" s="429" t="str">
        <f ca="1">IFERROR(VLOOKUP(AE$2,Rango_Admin_DailyPred,MATCH($F47,Rango_Admin_DailyPred_Primera,0)+1,0),"-")</f>
        <v>-</v>
      </c>
      <c r="AF47" s="429" t="str">
        <f ca="1">IFERROR(VLOOKUP(AF$2,Rango_Admin_DailyPred,MATCH($F47,Rango_Admin_DailyPred_Primera,0)+1,0),"-")</f>
        <v>-</v>
      </c>
      <c r="AG47" s="429" t="str">
        <f ca="1">IFERROR(VLOOKUP(AG$2,Rango_Admin_DailyPred,MATCH($F47,Rango_Admin_DailyPred_Primera,0)+1,0),"-")</f>
        <v>-</v>
      </c>
      <c r="AH47" s="429" t="str">
        <f ca="1">IFERROR(VLOOKUP(AH$2,Rango_Admin_DailyPred,MATCH($F47,Rango_Admin_DailyPred_Primera,0)+1,0),"-")</f>
        <v>-</v>
      </c>
      <c r="AI47" s="429" t="str">
        <f ca="1">IFERROR(VLOOKUP(AI$2,Rango_Admin_DailyPred,MATCH($F47,Rango_Admin_DailyPred_Primera,0)+1,0),"-")</f>
        <v>-</v>
      </c>
      <c r="AJ47" s="429" t="str">
        <f ca="1">IFERROR(VLOOKUP(AJ$2,Rango_Admin_DailyPred,MATCH($F47,Rango_Admin_DailyPred_Primera,0)+1,0),"-")</f>
        <v>-</v>
      </c>
      <c r="AK47" s="429" t="str">
        <f ca="1">IFERROR(VLOOKUP(AK$2,Rango_Admin_DailyPred,MATCH($F47,Rango_Admin_DailyPred_Primera,0)+1,0),"-")</f>
        <v>-</v>
      </c>
      <c r="AL47" s="429" t="str">
        <f ca="1">IFERROR(VLOOKUP(AL$2,Rango_Admin_DailyPred,MATCH($F47,Rango_Admin_DailyPred_Primera,0)+1,0),"-")</f>
        <v>-</v>
      </c>
      <c r="AM47" s="429" t="str">
        <f ca="1">IFERROR(VLOOKUP(AM$2,Rango_Admin_DailyPred,MATCH($F47,Rango_Admin_DailyPred_Primera,0)+1,0),"-")</f>
        <v>-</v>
      </c>
      <c r="AN47" s="297"/>
    </row>
    <row r="48" spans="1:40">
      <c r="A48" s="8"/>
      <c r="B48" s="8"/>
      <c r="C48" s="8">
        <v>45</v>
      </c>
      <c r="D48" s="19"/>
      <c r="E48" s="409">
        <f ca="1">IFERROR(HLOOKUP(C48,Rango_Admin_DailyClas,3,FALSE),"-")</f>
        <v>40</v>
      </c>
      <c r="F48" s="448" t="str">
        <f ca="1">IFERROR(HLOOKUP(C48,Rango_Admin_DailyClas,5,FALSE),"-")</f>
        <v>Pegar Valores Nombre J45</v>
      </c>
      <c r="G48" s="22">
        <f ca="1">IFERROR(HLOOKUP(C48,Rango_Admin_DailyClas,4,FALSE),"-")</f>
        <v>0</v>
      </c>
      <c r="H48" s="429">
        <f ca="1">IFERROR(VLOOKUP(H$2,Rango_Admin_DailyPred,MATCH($F48,Rango_Admin_DailyPred_Primera,0)+1,0),"-")</f>
        <v>0</v>
      </c>
      <c r="I48" s="429" t="str">
        <f ca="1">IFERROR(VLOOKUP(I$2,Rango_Admin_DailyPred,MATCH($F48,Rango_Admin_DailyPred_Primera,0)+1,0),"-")</f>
        <v>-</v>
      </c>
      <c r="J48" s="429" t="str">
        <f ca="1">IFERROR(VLOOKUP(J$2,Rango_Admin_DailyPred,MATCH($F48,Rango_Admin_DailyPred_Primera,0)+1,0),"-")</f>
        <v>-</v>
      </c>
      <c r="K48" s="429" t="str">
        <f ca="1">IFERROR(VLOOKUP(K$2,Rango_Admin_DailyPred,MATCH($F48,Rango_Admin_DailyPred_Primera,0)+1,0),"-")</f>
        <v>-</v>
      </c>
      <c r="L48" s="429" t="str">
        <f ca="1">IFERROR(VLOOKUP(L$2,Rango_Admin_DailyPred,MATCH($F48,Rango_Admin_DailyPred_Primera,0)+1,0),"-")</f>
        <v>-</v>
      </c>
      <c r="M48" s="429" t="str">
        <f ca="1">IFERROR(VLOOKUP(M$2,Rango_Admin_DailyPred,MATCH($F48,Rango_Admin_DailyPred_Primera,0)+1,0),"-")</f>
        <v>-</v>
      </c>
      <c r="N48" s="429" t="str">
        <f ca="1">IFERROR(VLOOKUP(N$2,Rango_Admin_DailyPred,MATCH($F48,Rango_Admin_DailyPred_Primera,0)+1,0),"-")</f>
        <v>-</v>
      </c>
      <c r="O48" s="429" t="str">
        <f ca="1">IFERROR(VLOOKUP(O$2,Rango_Admin_DailyPred,MATCH($F48,Rango_Admin_DailyPred_Primera,0)+1,0),"-")</f>
        <v>-</v>
      </c>
      <c r="P48" s="429" t="str">
        <f ca="1">IFERROR(VLOOKUP(P$2,Rango_Admin_DailyPred,MATCH($F48,Rango_Admin_DailyPred_Primera,0)+1,0),"-")</f>
        <v>-</v>
      </c>
      <c r="Q48" s="429" t="str">
        <f ca="1">IFERROR(VLOOKUP(Q$2,Rango_Admin_DailyPred,MATCH($F48,Rango_Admin_DailyPred_Primera,0)+1,0),"-")</f>
        <v>-</v>
      </c>
      <c r="R48" s="429" t="str">
        <f ca="1">IFERROR(VLOOKUP(R$2,Rango_Admin_DailyPred,MATCH($F48,Rango_Admin_DailyPred_Primera,0)+1,0),"-")</f>
        <v>-</v>
      </c>
      <c r="S48" s="429" t="str">
        <f ca="1">IFERROR(VLOOKUP(S$2,Rango_Admin_DailyPred,MATCH($F48,Rango_Admin_DailyPred_Primera,0)+1,0),"-")</f>
        <v>-</v>
      </c>
      <c r="T48" s="429" t="str">
        <f ca="1">IFERROR(VLOOKUP(T$2,Rango_Admin_DailyPred,MATCH($F48,Rango_Admin_DailyPred_Primera,0)+1,0),"-")</f>
        <v>-</v>
      </c>
      <c r="U48" s="429" t="str">
        <f ca="1">IFERROR(VLOOKUP(U$2,Rango_Admin_DailyPred,MATCH($F48,Rango_Admin_DailyPred_Primera,0)+1,0),"-")</f>
        <v>-</v>
      </c>
      <c r="V48" s="429" t="str">
        <f ca="1">IFERROR(VLOOKUP(V$2,Rango_Admin_DailyPred,MATCH($F48,Rango_Admin_DailyPred_Primera,0)+1,0),"-")</f>
        <v>-</v>
      </c>
      <c r="W48" s="429" t="str">
        <f ca="1">IFERROR(VLOOKUP(W$2,Rango_Admin_DailyPred,MATCH($F48,Rango_Admin_DailyPred_Primera,0)+1,0),"-")</f>
        <v>-</v>
      </c>
      <c r="X48" s="429" t="str">
        <f ca="1">IFERROR(VLOOKUP(X$2,Rango_Admin_DailyPred,MATCH($F48,Rango_Admin_DailyPred_Primera,0)+1,0),"-")</f>
        <v>-</v>
      </c>
      <c r="Y48" s="429" t="str">
        <f ca="1">IFERROR(VLOOKUP(Y$2,Rango_Admin_DailyPred,MATCH($F48,Rango_Admin_DailyPred_Primera,0)+1,0),"-")</f>
        <v>-</v>
      </c>
      <c r="Z48" s="429" t="str">
        <f ca="1">IFERROR(VLOOKUP(Z$2,Rango_Admin_DailyPred,MATCH($F48,Rango_Admin_DailyPred_Primera,0)+1,0),"-")</f>
        <v>-</v>
      </c>
      <c r="AA48" s="429" t="str">
        <f ca="1">IFERROR(VLOOKUP(AA$2,Rango_Admin_DailyPred,MATCH($F48,Rango_Admin_DailyPred_Primera,0)+1,0),"-")</f>
        <v>-</v>
      </c>
      <c r="AB48" s="429" t="str">
        <f ca="1">IFERROR(VLOOKUP(AB$2,Rango_Admin_DailyPred,MATCH($F48,Rango_Admin_DailyPred_Primera,0)+1,0),"-")</f>
        <v>-</v>
      </c>
      <c r="AC48" s="429" t="str">
        <f ca="1">IFERROR(VLOOKUP(AC$2,Rango_Admin_DailyPred,MATCH($F48,Rango_Admin_DailyPred_Primera,0)+1,0),"-")</f>
        <v>-</v>
      </c>
      <c r="AD48" s="429" t="str">
        <f ca="1">IFERROR(VLOOKUP(AD$2,Rango_Admin_DailyPred,MATCH($F48,Rango_Admin_DailyPred_Primera,0)+1,0),"-")</f>
        <v>-</v>
      </c>
      <c r="AE48" s="429" t="str">
        <f ca="1">IFERROR(VLOOKUP(AE$2,Rango_Admin_DailyPred,MATCH($F48,Rango_Admin_DailyPred_Primera,0)+1,0),"-")</f>
        <v>-</v>
      </c>
      <c r="AF48" s="429" t="str">
        <f ca="1">IFERROR(VLOOKUP(AF$2,Rango_Admin_DailyPred,MATCH($F48,Rango_Admin_DailyPred_Primera,0)+1,0),"-")</f>
        <v>-</v>
      </c>
      <c r="AG48" s="429" t="str">
        <f ca="1">IFERROR(VLOOKUP(AG$2,Rango_Admin_DailyPred,MATCH($F48,Rango_Admin_DailyPred_Primera,0)+1,0),"-")</f>
        <v>-</v>
      </c>
      <c r="AH48" s="429" t="str">
        <f ca="1">IFERROR(VLOOKUP(AH$2,Rango_Admin_DailyPred,MATCH($F48,Rango_Admin_DailyPred_Primera,0)+1,0),"-")</f>
        <v>-</v>
      </c>
      <c r="AI48" s="429" t="str">
        <f ca="1">IFERROR(VLOOKUP(AI$2,Rango_Admin_DailyPred,MATCH($F48,Rango_Admin_DailyPred_Primera,0)+1,0),"-")</f>
        <v>-</v>
      </c>
      <c r="AJ48" s="429" t="str">
        <f ca="1">IFERROR(VLOOKUP(AJ$2,Rango_Admin_DailyPred,MATCH($F48,Rango_Admin_DailyPred_Primera,0)+1,0),"-")</f>
        <v>-</v>
      </c>
      <c r="AK48" s="429" t="str">
        <f ca="1">IFERROR(VLOOKUP(AK$2,Rango_Admin_DailyPred,MATCH($F48,Rango_Admin_DailyPred_Primera,0)+1,0),"-")</f>
        <v>-</v>
      </c>
      <c r="AL48" s="429" t="str">
        <f ca="1">IFERROR(VLOOKUP(AL$2,Rango_Admin_DailyPred,MATCH($F48,Rango_Admin_DailyPred_Primera,0)+1,0),"-")</f>
        <v>-</v>
      </c>
      <c r="AM48" s="429" t="str">
        <f ca="1">IFERROR(VLOOKUP(AM$2,Rango_Admin_DailyPred,MATCH($F48,Rango_Admin_DailyPred_Primera,0)+1,0),"-")</f>
        <v>-</v>
      </c>
      <c r="AN48" s="297"/>
    </row>
    <row r="49" spans="1:40">
      <c r="A49" s="8"/>
      <c r="B49" s="8"/>
      <c r="C49" s="8">
        <v>46</v>
      </c>
      <c r="D49" s="19"/>
      <c r="E49" s="409">
        <f ca="1">IFERROR(HLOOKUP(C49,Rango_Admin_DailyClas,3,FALSE),"-")</f>
        <v>40</v>
      </c>
      <c r="F49" s="448" t="str">
        <f ca="1">IFERROR(HLOOKUP(C49,Rango_Admin_DailyClas,5,FALSE),"-")</f>
        <v>Pegar Valores Nombre J46</v>
      </c>
      <c r="G49" s="22">
        <f ca="1">IFERROR(HLOOKUP(C49,Rango_Admin_DailyClas,4,FALSE),"-")</f>
        <v>0</v>
      </c>
      <c r="H49" s="429">
        <f ca="1">IFERROR(VLOOKUP(H$2,Rango_Admin_DailyPred,MATCH($F49,Rango_Admin_DailyPred_Primera,0)+1,0),"-")</f>
        <v>0</v>
      </c>
      <c r="I49" s="429" t="str">
        <f ca="1">IFERROR(VLOOKUP(I$2,Rango_Admin_DailyPred,MATCH($F49,Rango_Admin_DailyPred_Primera,0)+1,0),"-")</f>
        <v>-</v>
      </c>
      <c r="J49" s="429" t="str">
        <f ca="1">IFERROR(VLOOKUP(J$2,Rango_Admin_DailyPred,MATCH($F49,Rango_Admin_DailyPred_Primera,0)+1,0),"-")</f>
        <v>-</v>
      </c>
      <c r="K49" s="429" t="str">
        <f ca="1">IFERROR(VLOOKUP(K$2,Rango_Admin_DailyPred,MATCH($F49,Rango_Admin_DailyPred_Primera,0)+1,0),"-")</f>
        <v>-</v>
      </c>
      <c r="L49" s="429" t="str">
        <f ca="1">IFERROR(VLOOKUP(L$2,Rango_Admin_DailyPred,MATCH($F49,Rango_Admin_DailyPred_Primera,0)+1,0),"-")</f>
        <v>-</v>
      </c>
      <c r="M49" s="429" t="str">
        <f ca="1">IFERROR(VLOOKUP(M$2,Rango_Admin_DailyPred,MATCH($F49,Rango_Admin_DailyPred_Primera,0)+1,0),"-")</f>
        <v>-</v>
      </c>
      <c r="N49" s="429" t="str">
        <f ca="1">IFERROR(VLOOKUP(N$2,Rango_Admin_DailyPred,MATCH($F49,Rango_Admin_DailyPred_Primera,0)+1,0),"-")</f>
        <v>-</v>
      </c>
      <c r="O49" s="429" t="str">
        <f ca="1">IFERROR(VLOOKUP(O$2,Rango_Admin_DailyPred,MATCH($F49,Rango_Admin_DailyPred_Primera,0)+1,0),"-")</f>
        <v>-</v>
      </c>
      <c r="P49" s="429" t="str">
        <f ca="1">IFERROR(VLOOKUP(P$2,Rango_Admin_DailyPred,MATCH($F49,Rango_Admin_DailyPred_Primera,0)+1,0),"-")</f>
        <v>-</v>
      </c>
      <c r="Q49" s="429" t="str">
        <f ca="1">IFERROR(VLOOKUP(Q$2,Rango_Admin_DailyPred,MATCH($F49,Rango_Admin_DailyPred_Primera,0)+1,0),"-")</f>
        <v>-</v>
      </c>
      <c r="R49" s="429" t="str">
        <f ca="1">IFERROR(VLOOKUP(R$2,Rango_Admin_DailyPred,MATCH($F49,Rango_Admin_DailyPred_Primera,0)+1,0),"-")</f>
        <v>-</v>
      </c>
      <c r="S49" s="429" t="str">
        <f ca="1">IFERROR(VLOOKUP(S$2,Rango_Admin_DailyPred,MATCH($F49,Rango_Admin_DailyPred_Primera,0)+1,0),"-")</f>
        <v>-</v>
      </c>
      <c r="T49" s="429" t="str">
        <f ca="1">IFERROR(VLOOKUP(T$2,Rango_Admin_DailyPred,MATCH($F49,Rango_Admin_DailyPred_Primera,0)+1,0),"-")</f>
        <v>-</v>
      </c>
      <c r="U49" s="429" t="str">
        <f ca="1">IFERROR(VLOOKUP(U$2,Rango_Admin_DailyPred,MATCH($F49,Rango_Admin_DailyPred_Primera,0)+1,0),"-")</f>
        <v>-</v>
      </c>
      <c r="V49" s="429" t="str">
        <f ca="1">IFERROR(VLOOKUP(V$2,Rango_Admin_DailyPred,MATCH($F49,Rango_Admin_DailyPred_Primera,0)+1,0),"-")</f>
        <v>-</v>
      </c>
      <c r="W49" s="429" t="str">
        <f ca="1">IFERROR(VLOOKUP(W$2,Rango_Admin_DailyPred,MATCH($F49,Rango_Admin_DailyPred_Primera,0)+1,0),"-")</f>
        <v>-</v>
      </c>
      <c r="X49" s="429" t="str">
        <f ca="1">IFERROR(VLOOKUP(X$2,Rango_Admin_DailyPred,MATCH($F49,Rango_Admin_DailyPred_Primera,0)+1,0),"-")</f>
        <v>-</v>
      </c>
      <c r="Y49" s="429" t="str">
        <f ca="1">IFERROR(VLOOKUP(Y$2,Rango_Admin_DailyPred,MATCH($F49,Rango_Admin_DailyPred_Primera,0)+1,0),"-")</f>
        <v>-</v>
      </c>
      <c r="Z49" s="429" t="str">
        <f ca="1">IFERROR(VLOOKUP(Z$2,Rango_Admin_DailyPred,MATCH($F49,Rango_Admin_DailyPred_Primera,0)+1,0),"-")</f>
        <v>-</v>
      </c>
      <c r="AA49" s="429" t="str">
        <f ca="1">IFERROR(VLOOKUP(AA$2,Rango_Admin_DailyPred,MATCH($F49,Rango_Admin_DailyPred_Primera,0)+1,0),"-")</f>
        <v>-</v>
      </c>
      <c r="AB49" s="429" t="str">
        <f ca="1">IFERROR(VLOOKUP(AB$2,Rango_Admin_DailyPred,MATCH($F49,Rango_Admin_DailyPred_Primera,0)+1,0),"-")</f>
        <v>-</v>
      </c>
      <c r="AC49" s="429" t="str">
        <f ca="1">IFERROR(VLOOKUP(AC$2,Rango_Admin_DailyPred,MATCH($F49,Rango_Admin_DailyPred_Primera,0)+1,0),"-")</f>
        <v>-</v>
      </c>
      <c r="AD49" s="429" t="str">
        <f ca="1">IFERROR(VLOOKUP(AD$2,Rango_Admin_DailyPred,MATCH($F49,Rango_Admin_DailyPred_Primera,0)+1,0),"-")</f>
        <v>-</v>
      </c>
      <c r="AE49" s="429" t="str">
        <f ca="1">IFERROR(VLOOKUP(AE$2,Rango_Admin_DailyPred,MATCH($F49,Rango_Admin_DailyPred_Primera,0)+1,0),"-")</f>
        <v>-</v>
      </c>
      <c r="AF49" s="429" t="str">
        <f ca="1">IFERROR(VLOOKUP(AF$2,Rango_Admin_DailyPred,MATCH($F49,Rango_Admin_DailyPred_Primera,0)+1,0),"-")</f>
        <v>-</v>
      </c>
      <c r="AG49" s="429" t="str">
        <f ca="1">IFERROR(VLOOKUP(AG$2,Rango_Admin_DailyPred,MATCH($F49,Rango_Admin_DailyPred_Primera,0)+1,0),"-")</f>
        <v>-</v>
      </c>
      <c r="AH49" s="429" t="str">
        <f ca="1">IFERROR(VLOOKUP(AH$2,Rango_Admin_DailyPred,MATCH($F49,Rango_Admin_DailyPred_Primera,0)+1,0),"-")</f>
        <v>-</v>
      </c>
      <c r="AI49" s="429" t="str">
        <f ca="1">IFERROR(VLOOKUP(AI$2,Rango_Admin_DailyPred,MATCH($F49,Rango_Admin_DailyPred_Primera,0)+1,0),"-")</f>
        <v>-</v>
      </c>
      <c r="AJ49" s="429" t="str">
        <f ca="1">IFERROR(VLOOKUP(AJ$2,Rango_Admin_DailyPred,MATCH($F49,Rango_Admin_DailyPred_Primera,0)+1,0),"-")</f>
        <v>-</v>
      </c>
      <c r="AK49" s="429" t="str">
        <f ca="1">IFERROR(VLOOKUP(AK$2,Rango_Admin_DailyPred,MATCH($F49,Rango_Admin_DailyPred_Primera,0)+1,0),"-")</f>
        <v>-</v>
      </c>
      <c r="AL49" s="429" t="str">
        <f ca="1">IFERROR(VLOOKUP(AL$2,Rango_Admin_DailyPred,MATCH($F49,Rango_Admin_DailyPred_Primera,0)+1,0),"-")</f>
        <v>-</v>
      </c>
      <c r="AM49" s="429" t="str">
        <f ca="1">IFERROR(VLOOKUP(AM$2,Rango_Admin_DailyPred,MATCH($F49,Rango_Admin_DailyPred_Primera,0)+1,0),"-")</f>
        <v>-</v>
      </c>
      <c r="AN49" s="297"/>
    </row>
    <row r="50" spans="1:40">
      <c r="A50" s="8"/>
      <c r="B50" s="8"/>
      <c r="C50" s="8">
        <v>47</v>
      </c>
      <c r="D50" s="19"/>
      <c r="E50" s="409">
        <f ca="1">IFERROR(HLOOKUP(C50,Rango_Admin_DailyClas,3,FALSE),"-")</f>
        <v>40</v>
      </c>
      <c r="F50" s="448" t="str">
        <f ca="1">IFERROR(HLOOKUP(C50,Rango_Admin_DailyClas,5,FALSE),"-")</f>
        <v>Pegar Valores Nombre J47</v>
      </c>
      <c r="G50" s="22">
        <f ca="1">IFERROR(HLOOKUP(C50,Rango_Admin_DailyClas,4,FALSE),"-")</f>
        <v>0</v>
      </c>
      <c r="H50" s="429">
        <f ca="1">IFERROR(VLOOKUP(H$2,Rango_Admin_DailyPred,MATCH($F50,Rango_Admin_DailyPred_Primera,0)+1,0),"-")</f>
        <v>0</v>
      </c>
      <c r="I50" s="429" t="str">
        <f ca="1">IFERROR(VLOOKUP(I$2,Rango_Admin_DailyPred,MATCH($F50,Rango_Admin_DailyPred_Primera,0)+1,0),"-")</f>
        <v>-</v>
      </c>
      <c r="J50" s="429" t="str">
        <f ca="1">IFERROR(VLOOKUP(J$2,Rango_Admin_DailyPred,MATCH($F50,Rango_Admin_DailyPred_Primera,0)+1,0),"-")</f>
        <v>-</v>
      </c>
      <c r="K50" s="429" t="str">
        <f ca="1">IFERROR(VLOOKUP(K$2,Rango_Admin_DailyPred,MATCH($F50,Rango_Admin_DailyPred_Primera,0)+1,0),"-")</f>
        <v>-</v>
      </c>
      <c r="L50" s="429" t="str">
        <f ca="1">IFERROR(VLOOKUP(L$2,Rango_Admin_DailyPred,MATCH($F50,Rango_Admin_DailyPred_Primera,0)+1,0),"-")</f>
        <v>-</v>
      </c>
      <c r="M50" s="429" t="str">
        <f ca="1">IFERROR(VLOOKUP(M$2,Rango_Admin_DailyPred,MATCH($F50,Rango_Admin_DailyPred_Primera,0)+1,0),"-")</f>
        <v>-</v>
      </c>
      <c r="N50" s="429" t="str">
        <f ca="1">IFERROR(VLOOKUP(N$2,Rango_Admin_DailyPred,MATCH($F50,Rango_Admin_DailyPred_Primera,0)+1,0),"-")</f>
        <v>-</v>
      </c>
      <c r="O50" s="429" t="str">
        <f ca="1">IFERROR(VLOOKUP(O$2,Rango_Admin_DailyPred,MATCH($F50,Rango_Admin_DailyPred_Primera,0)+1,0),"-")</f>
        <v>-</v>
      </c>
      <c r="P50" s="429" t="str">
        <f ca="1">IFERROR(VLOOKUP(P$2,Rango_Admin_DailyPred,MATCH($F50,Rango_Admin_DailyPred_Primera,0)+1,0),"-")</f>
        <v>-</v>
      </c>
      <c r="Q50" s="429" t="str">
        <f ca="1">IFERROR(VLOOKUP(Q$2,Rango_Admin_DailyPred,MATCH($F50,Rango_Admin_DailyPred_Primera,0)+1,0),"-")</f>
        <v>-</v>
      </c>
      <c r="R50" s="429" t="str">
        <f ca="1">IFERROR(VLOOKUP(R$2,Rango_Admin_DailyPred,MATCH($F50,Rango_Admin_DailyPred_Primera,0)+1,0),"-")</f>
        <v>-</v>
      </c>
      <c r="S50" s="429" t="str">
        <f ca="1">IFERROR(VLOOKUP(S$2,Rango_Admin_DailyPred,MATCH($F50,Rango_Admin_DailyPred_Primera,0)+1,0),"-")</f>
        <v>-</v>
      </c>
      <c r="T50" s="429" t="str">
        <f ca="1">IFERROR(VLOOKUP(T$2,Rango_Admin_DailyPred,MATCH($F50,Rango_Admin_DailyPred_Primera,0)+1,0),"-")</f>
        <v>-</v>
      </c>
      <c r="U50" s="429" t="str">
        <f ca="1">IFERROR(VLOOKUP(U$2,Rango_Admin_DailyPred,MATCH($F50,Rango_Admin_DailyPred_Primera,0)+1,0),"-")</f>
        <v>-</v>
      </c>
      <c r="V50" s="429" t="str">
        <f ca="1">IFERROR(VLOOKUP(V$2,Rango_Admin_DailyPred,MATCH($F50,Rango_Admin_DailyPred_Primera,0)+1,0),"-")</f>
        <v>-</v>
      </c>
      <c r="W50" s="429" t="str">
        <f ca="1">IFERROR(VLOOKUP(W$2,Rango_Admin_DailyPred,MATCH($F50,Rango_Admin_DailyPred_Primera,0)+1,0),"-")</f>
        <v>-</v>
      </c>
      <c r="X50" s="429" t="str">
        <f ca="1">IFERROR(VLOOKUP(X$2,Rango_Admin_DailyPred,MATCH($F50,Rango_Admin_DailyPred_Primera,0)+1,0),"-")</f>
        <v>-</v>
      </c>
      <c r="Y50" s="429" t="str">
        <f ca="1">IFERROR(VLOOKUP(Y$2,Rango_Admin_DailyPred,MATCH($F50,Rango_Admin_DailyPred_Primera,0)+1,0),"-")</f>
        <v>-</v>
      </c>
      <c r="Z50" s="429" t="str">
        <f ca="1">IFERROR(VLOOKUP(Z$2,Rango_Admin_DailyPred,MATCH($F50,Rango_Admin_DailyPred_Primera,0)+1,0),"-")</f>
        <v>-</v>
      </c>
      <c r="AA50" s="429" t="str">
        <f ca="1">IFERROR(VLOOKUP(AA$2,Rango_Admin_DailyPred,MATCH($F50,Rango_Admin_DailyPred_Primera,0)+1,0),"-")</f>
        <v>-</v>
      </c>
      <c r="AB50" s="429" t="str">
        <f ca="1">IFERROR(VLOOKUP(AB$2,Rango_Admin_DailyPred,MATCH($F50,Rango_Admin_DailyPred_Primera,0)+1,0),"-")</f>
        <v>-</v>
      </c>
      <c r="AC50" s="429" t="str">
        <f ca="1">IFERROR(VLOOKUP(AC$2,Rango_Admin_DailyPred,MATCH($F50,Rango_Admin_DailyPred_Primera,0)+1,0),"-")</f>
        <v>-</v>
      </c>
      <c r="AD50" s="429" t="str">
        <f ca="1">IFERROR(VLOOKUP(AD$2,Rango_Admin_DailyPred,MATCH($F50,Rango_Admin_DailyPred_Primera,0)+1,0),"-")</f>
        <v>-</v>
      </c>
      <c r="AE50" s="429" t="str">
        <f ca="1">IFERROR(VLOOKUP(AE$2,Rango_Admin_DailyPred,MATCH($F50,Rango_Admin_DailyPred_Primera,0)+1,0),"-")</f>
        <v>-</v>
      </c>
      <c r="AF50" s="429" t="str">
        <f ca="1">IFERROR(VLOOKUP(AF$2,Rango_Admin_DailyPred,MATCH($F50,Rango_Admin_DailyPred_Primera,0)+1,0),"-")</f>
        <v>-</v>
      </c>
      <c r="AG50" s="429" t="str">
        <f ca="1">IFERROR(VLOOKUP(AG$2,Rango_Admin_DailyPred,MATCH($F50,Rango_Admin_DailyPred_Primera,0)+1,0),"-")</f>
        <v>-</v>
      </c>
      <c r="AH50" s="429" t="str">
        <f ca="1">IFERROR(VLOOKUP(AH$2,Rango_Admin_DailyPred,MATCH($F50,Rango_Admin_DailyPred_Primera,0)+1,0),"-")</f>
        <v>-</v>
      </c>
      <c r="AI50" s="429" t="str">
        <f ca="1">IFERROR(VLOOKUP(AI$2,Rango_Admin_DailyPred,MATCH($F50,Rango_Admin_DailyPred_Primera,0)+1,0),"-")</f>
        <v>-</v>
      </c>
      <c r="AJ50" s="429" t="str">
        <f ca="1">IFERROR(VLOOKUP(AJ$2,Rango_Admin_DailyPred,MATCH($F50,Rango_Admin_DailyPred_Primera,0)+1,0),"-")</f>
        <v>-</v>
      </c>
      <c r="AK50" s="429" t="str">
        <f ca="1">IFERROR(VLOOKUP(AK$2,Rango_Admin_DailyPred,MATCH($F50,Rango_Admin_DailyPred_Primera,0)+1,0),"-")</f>
        <v>-</v>
      </c>
      <c r="AL50" s="429" t="str">
        <f ca="1">IFERROR(VLOOKUP(AL$2,Rango_Admin_DailyPred,MATCH($F50,Rango_Admin_DailyPred_Primera,0)+1,0),"-")</f>
        <v>-</v>
      </c>
      <c r="AM50" s="429" t="str">
        <f ca="1">IFERROR(VLOOKUP(AM$2,Rango_Admin_DailyPred,MATCH($F50,Rango_Admin_DailyPred_Primera,0)+1,0),"-")</f>
        <v>-</v>
      </c>
      <c r="AN50" s="297"/>
    </row>
    <row r="51" spans="1:40">
      <c r="A51" s="8"/>
      <c r="B51" s="8"/>
      <c r="C51" s="8">
        <v>48</v>
      </c>
      <c r="D51" s="19"/>
      <c r="E51" s="409">
        <f ca="1">IFERROR(HLOOKUP(C51,Rango_Admin_DailyClas,3,FALSE),"-")</f>
        <v>40</v>
      </c>
      <c r="F51" s="448" t="str">
        <f ca="1">IFERROR(HLOOKUP(C51,Rango_Admin_DailyClas,5,FALSE),"-")</f>
        <v>Pegar Valores Nombre J48</v>
      </c>
      <c r="G51" s="22">
        <f ca="1">IFERROR(HLOOKUP(C51,Rango_Admin_DailyClas,4,FALSE),"-")</f>
        <v>0</v>
      </c>
      <c r="H51" s="429">
        <f ca="1">IFERROR(VLOOKUP(H$2,Rango_Admin_DailyPred,MATCH($F51,Rango_Admin_DailyPred_Primera,0)+1,0),"-")</f>
        <v>0</v>
      </c>
      <c r="I51" s="429" t="str">
        <f ca="1">IFERROR(VLOOKUP(I$2,Rango_Admin_DailyPred,MATCH($F51,Rango_Admin_DailyPred_Primera,0)+1,0),"-")</f>
        <v>-</v>
      </c>
      <c r="J51" s="429" t="str">
        <f ca="1">IFERROR(VLOOKUP(J$2,Rango_Admin_DailyPred,MATCH($F51,Rango_Admin_DailyPred_Primera,0)+1,0),"-")</f>
        <v>-</v>
      </c>
      <c r="K51" s="429" t="str">
        <f ca="1">IFERROR(VLOOKUP(K$2,Rango_Admin_DailyPred,MATCH($F51,Rango_Admin_DailyPred_Primera,0)+1,0),"-")</f>
        <v>-</v>
      </c>
      <c r="L51" s="429" t="str">
        <f ca="1">IFERROR(VLOOKUP(L$2,Rango_Admin_DailyPred,MATCH($F51,Rango_Admin_DailyPred_Primera,0)+1,0),"-")</f>
        <v>-</v>
      </c>
      <c r="M51" s="429" t="str">
        <f ca="1">IFERROR(VLOOKUP(M$2,Rango_Admin_DailyPred,MATCH($F51,Rango_Admin_DailyPred_Primera,0)+1,0),"-")</f>
        <v>-</v>
      </c>
      <c r="N51" s="429" t="str">
        <f ca="1">IFERROR(VLOOKUP(N$2,Rango_Admin_DailyPred,MATCH($F51,Rango_Admin_DailyPred_Primera,0)+1,0),"-")</f>
        <v>-</v>
      </c>
      <c r="O51" s="429" t="str">
        <f ca="1">IFERROR(VLOOKUP(O$2,Rango_Admin_DailyPred,MATCH($F51,Rango_Admin_DailyPred_Primera,0)+1,0),"-")</f>
        <v>-</v>
      </c>
      <c r="P51" s="429" t="str">
        <f ca="1">IFERROR(VLOOKUP(P$2,Rango_Admin_DailyPred,MATCH($F51,Rango_Admin_DailyPred_Primera,0)+1,0),"-")</f>
        <v>-</v>
      </c>
      <c r="Q51" s="429" t="str">
        <f ca="1">IFERROR(VLOOKUP(Q$2,Rango_Admin_DailyPred,MATCH($F51,Rango_Admin_DailyPred_Primera,0)+1,0),"-")</f>
        <v>-</v>
      </c>
      <c r="R51" s="429" t="str">
        <f ca="1">IFERROR(VLOOKUP(R$2,Rango_Admin_DailyPred,MATCH($F51,Rango_Admin_DailyPred_Primera,0)+1,0),"-")</f>
        <v>-</v>
      </c>
      <c r="S51" s="429" t="str">
        <f ca="1">IFERROR(VLOOKUP(S$2,Rango_Admin_DailyPred,MATCH($F51,Rango_Admin_DailyPred_Primera,0)+1,0),"-")</f>
        <v>-</v>
      </c>
      <c r="T51" s="429" t="str">
        <f ca="1">IFERROR(VLOOKUP(T$2,Rango_Admin_DailyPred,MATCH($F51,Rango_Admin_DailyPred_Primera,0)+1,0),"-")</f>
        <v>-</v>
      </c>
      <c r="U51" s="429" t="str">
        <f ca="1">IFERROR(VLOOKUP(U$2,Rango_Admin_DailyPred,MATCH($F51,Rango_Admin_DailyPred_Primera,0)+1,0),"-")</f>
        <v>-</v>
      </c>
      <c r="V51" s="429" t="str">
        <f ca="1">IFERROR(VLOOKUP(V$2,Rango_Admin_DailyPred,MATCH($F51,Rango_Admin_DailyPred_Primera,0)+1,0),"-")</f>
        <v>-</v>
      </c>
      <c r="W51" s="429" t="str">
        <f ca="1">IFERROR(VLOOKUP(W$2,Rango_Admin_DailyPred,MATCH($F51,Rango_Admin_DailyPred_Primera,0)+1,0),"-")</f>
        <v>-</v>
      </c>
      <c r="X51" s="429" t="str">
        <f ca="1">IFERROR(VLOOKUP(X$2,Rango_Admin_DailyPred,MATCH($F51,Rango_Admin_DailyPred_Primera,0)+1,0),"-")</f>
        <v>-</v>
      </c>
      <c r="Y51" s="429" t="str">
        <f ca="1">IFERROR(VLOOKUP(Y$2,Rango_Admin_DailyPred,MATCH($F51,Rango_Admin_DailyPred_Primera,0)+1,0),"-")</f>
        <v>-</v>
      </c>
      <c r="Z51" s="429" t="str">
        <f ca="1">IFERROR(VLOOKUP(Z$2,Rango_Admin_DailyPred,MATCH($F51,Rango_Admin_DailyPred_Primera,0)+1,0),"-")</f>
        <v>-</v>
      </c>
      <c r="AA51" s="429" t="str">
        <f ca="1">IFERROR(VLOOKUP(AA$2,Rango_Admin_DailyPred,MATCH($F51,Rango_Admin_DailyPred_Primera,0)+1,0),"-")</f>
        <v>-</v>
      </c>
      <c r="AB51" s="429" t="str">
        <f ca="1">IFERROR(VLOOKUP(AB$2,Rango_Admin_DailyPred,MATCH($F51,Rango_Admin_DailyPred_Primera,0)+1,0),"-")</f>
        <v>-</v>
      </c>
      <c r="AC51" s="429" t="str">
        <f ca="1">IFERROR(VLOOKUP(AC$2,Rango_Admin_DailyPred,MATCH($F51,Rango_Admin_DailyPred_Primera,0)+1,0),"-")</f>
        <v>-</v>
      </c>
      <c r="AD51" s="429" t="str">
        <f ca="1">IFERROR(VLOOKUP(AD$2,Rango_Admin_DailyPred,MATCH($F51,Rango_Admin_DailyPred_Primera,0)+1,0),"-")</f>
        <v>-</v>
      </c>
      <c r="AE51" s="429" t="str">
        <f ca="1">IFERROR(VLOOKUP(AE$2,Rango_Admin_DailyPred,MATCH($F51,Rango_Admin_DailyPred_Primera,0)+1,0),"-")</f>
        <v>-</v>
      </c>
      <c r="AF51" s="429" t="str">
        <f ca="1">IFERROR(VLOOKUP(AF$2,Rango_Admin_DailyPred,MATCH($F51,Rango_Admin_DailyPred_Primera,0)+1,0),"-")</f>
        <v>-</v>
      </c>
      <c r="AG51" s="429" t="str">
        <f ca="1">IFERROR(VLOOKUP(AG$2,Rango_Admin_DailyPred,MATCH($F51,Rango_Admin_DailyPred_Primera,0)+1,0),"-")</f>
        <v>-</v>
      </c>
      <c r="AH51" s="429" t="str">
        <f ca="1">IFERROR(VLOOKUP(AH$2,Rango_Admin_DailyPred,MATCH($F51,Rango_Admin_DailyPred_Primera,0)+1,0),"-")</f>
        <v>-</v>
      </c>
      <c r="AI51" s="429" t="str">
        <f ca="1">IFERROR(VLOOKUP(AI$2,Rango_Admin_DailyPred,MATCH($F51,Rango_Admin_DailyPred_Primera,0)+1,0),"-")</f>
        <v>-</v>
      </c>
      <c r="AJ51" s="429" t="str">
        <f ca="1">IFERROR(VLOOKUP(AJ$2,Rango_Admin_DailyPred,MATCH($F51,Rango_Admin_DailyPred_Primera,0)+1,0),"-")</f>
        <v>-</v>
      </c>
      <c r="AK51" s="429" t="str">
        <f ca="1">IFERROR(VLOOKUP(AK$2,Rango_Admin_DailyPred,MATCH($F51,Rango_Admin_DailyPred_Primera,0)+1,0),"-")</f>
        <v>-</v>
      </c>
      <c r="AL51" s="429" t="str">
        <f ca="1">IFERROR(VLOOKUP(AL$2,Rango_Admin_DailyPred,MATCH($F51,Rango_Admin_DailyPred_Primera,0)+1,0),"-")</f>
        <v>-</v>
      </c>
      <c r="AM51" s="429" t="str">
        <f ca="1">IFERROR(VLOOKUP(AM$2,Rango_Admin_DailyPred,MATCH($F51,Rango_Admin_DailyPred_Primera,0)+1,0),"-")</f>
        <v>-</v>
      </c>
      <c r="AN51" s="297"/>
    </row>
    <row r="52" spans="1:40">
      <c r="A52" s="8"/>
      <c r="B52" s="8"/>
      <c r="C52" s="8">
        <v>49</v>
      </c>
      <c r="D52" s="19"/>
      <c r="E52" s="409">
        <f ca="1">IFERROR(HLOOKUP(C52,Rango_Admin_DailyClas,3,FALSE),"-")</f>
        <v>40</v>
      </c>
      <c r="F52" s="448" t="str">
        <f ca="1">IFERROR(HLOOKUP(C52,Rango_Admin_DailyClas,5,FALSE),"-")</f>
        <v>Pegar Valores Nombre J49</v>
      </c>
      <c r="G52" s="22">
        <f ca="1">IFERROR(HLOOKUP(C52,Rango_Admin_DailyClas,4,FALSE),"-")</f>
        <v>0</v>
      </c>
      <c r="H52" s="429">
        <f ca="1">IFERROR(VLOOKUP(H$2,Rango_Admin_DailyPred,MATCH($F52,Rango_Admin_DailyPred_Primera,0)+1,0),"-")</f>
        <v>0</v>
      </c>
      <c r="I52" s="429" t="str">
        <f ca="1">IFERROR(VLOOKUP(I$2,Rango_Admin_DailyPred,MATCH($F52,Rango_Admin_DailyPred_Primera,0)+1,0),"-")</f>
        <v>-</v>
      </c>
      <c r="J52" s="429" t="str">
        <f ca="1">IFERROR(VLOOKUP(J$2,Rango_Admin_DailyPred,MATCH($F52,Rango_Admin_DailyPred_Primera,0)+1,0),"-")</f>
        <v>-</v>
      </c>
      <c r="K52" s="429" t="str">
        <f ca="1">IFERROR(VLOOKUP(K$2,Rango_Admin_DailyPred,MATCH($F52,Rango_Admin_DailyPred_Primera,0)+1,0),"-")</f>
        <v>-</v>
      </c>
      <c r="L52" s="429" t="str">
        <f ca="1">IFERROR(VLOOKUP(L$2,Rango_Admin_DailyPred,MATCH($F52,Rango_Admin_DailyPred_Primera,0)+1,0),"-")</f>
        <v>-</v>
      </c>
      <c r="M52" s="429" t="str">
        <f ca="1">IFERROR(VLOOKUP(M$2,Rango_Admin_DailyPred,MATCH($F52,Rango_Admin_DailyPred_Primera,0)+1,0),"-")</f>
        <v>-</v>
      </c>
      <c r="N52" s="429" t="str">
        <f ca="1">IFERROR(VLOOKUP(N$2,Rango_Admin_DailyPred,MATCH($F52,Rango_Admin_DailyPred_Primera,0)+1,0),"-")</f>
        <v>-</v>
      </c>
      <c r="O52" s="429" t="str">
        <f ca="1">IFERROR(VLOOKUP(O$2,Rango_Admin_DailyPred,MATCH($F52,Rango_Admin_DailyPred_Primera,0)+1,0),"-")</f>
        <v>-</v>
      </c>
      <c r="P52" s="429" t="str">
        <f ca="1">IFERROR(VLOOKUP(P$2,Rango_Admin_DailyPred,MATCH($F52,Rango_Admin_DailyPred_Primera,0)+1,0),"-")</f>
        <v>-</v>
      </c>
      <c r="Q52" s="429" t="str">
        <f ca="1">IFERROR(VLOOKUP(Q$2,Rango_Admin_DailyPred,MATCH($F52,Rango_Admin_DailyPred_Primera,0)+1,0),"-")</f>
        <v>-</v>
      </c>
      <c r="R52" s="429" t="str">
        <f ca="1">IFERROR(VLOOKUP(R$2,Rango_Admin_DailyPred,MATCH($F52,Rango_Admin_DailyPred_Primera,0)+1,0),"-")</f>
        <v>-</v>
      </c>
      <c r="S52" s="429" t="str">
        <f ca="1">IFERROR(VLOOKUP(S$2,Rango_Admin_DailyPred,MATCH($F52,Rango_Admin_DailyPred_Primera,0)+1,0),"-")</f>
        <v>-</v>
      </c>
      <c r="T52" s="429" t="str">
        <f ca="1">IFERROR(VLOOKUP(T$2,Rango_Admin_DailyPred,MATCH($F52,Rango_Admin_DailyPred_Primera,0)+1,0),"-")</f>
        <v>-</v>
      </c>
      <c r="U52" s="429" t="str">
        <f ca="1">IFERROR(VLOOKUP(U$2,Rango_Admin_DailyPred,MATCH($F52,Rango_Admin_DailyPred_Primera,0)+1,0),"-")</f>
        <v>-</v>
      </c>
      <c r="V52" s="429" t="str">
        <f ca="1">IFERROR(VLOOKUP(V$2,Rango_Admin_DailyPred,MATCH($F52,Rango_Admin_DailyPred_Primera,0)+1,0),"-")</f>
        <v>-</v>
      </c>
      <c r="W52" s="429" t="str">
        <f ca="1">IFERROR(VLOOKUP(W$2,Rango_Admin_DailyPred,MATCH($F52,Rango_Admin_DailyPred_Primera,0)+1,0),"-")</f>
        <v>-</v>
      </c>
      <c r="X52" s="429" t="str">
        <f ca="1">IFERROR(VLOOKUP(X$2,Rango_Admin_DailyPred,MATCH($F52,Rango_Admin_DailyPred_Primera,0)+1,0),"-")</f>
        <v>-</v>
      </c>
      <c r="Y52" s="429" t="str">
        <f ca="1">IFERROR(VLOOKUP(Y$2,Rango_Admin_DailyPred,MATCH($F52,Rango_Admin_DailyPred_Primera,0)+1,0),"-")</f>
        <v>-</v>
      </c>
      <c r="Z52" s="429" t="str">
        <f ca="1">IFERROR(VLOOKUP(Z$2,Rango_Admin_DailyPred,MATCH($F52,Rango_Admin_DailyPred_Primera,0)+1,0),"-")</f>
        <v>-</v>
      </c>
      <c r="AA52" s="429" t="str">
        <f ca="1">IFERROR(VLOOKUP(AA$2,Rango_Admin_DailyPred,MATCH($F52,Rango_Admin_DailyPred_Primera,0)+1,0),"-")</f>
        <v>-</v>
      </c>
      <c r="AB52" s="429" t="str">
        <f ca="1">IFERROR(VLOOKUP(AB$2,Rango_Admin_DailyPred,MATCH($F52,Rango_Admin_DailyPred_Primera,0)+1,0),"-")</f>
        <v>-</v>
      </c>
      <c r="AC52" s="429" t="str">
        <f ca="1">IFERROR(VLOOKUP(AC$2,Rango_Admin_DailyPred,MATCH($F52,Rango_Admin_DailyPred_Primera,0)+1,0),"-")</f>
        <v>-</v>
      </c>
      <c r="AD52" s="429" t="str">
        <f ca="1">IFERROR(VLOOKUP(AD$2,Rango_Admin_DailyPred,MATCH($F52,Rango_Admin_DailyPred_Primera,0)+1,0),"-")</f>
        <v>-</v>
      </c>
      <c r="AE52" s="429" t="str">
        <f ca="1">IFERROR(VLOOKUP(AE$2,Rango_Admin_DailyPred,MATCH($F52,Rango_Admin_DailyPred_Primera,0)+1,0),"-")</f>
        <v>-</v>
      </c>
      <c r="AF52" s="429" t="str">
        <f ca="1">IFERROR(VLOOKUP(AF$2,Rango_Admin_DailyPred,MATCH($F52,Rango_Admin_DailyPred_Primera,0)+1,0),"-")</f>
        <v>-</v>
      </c>
      <c r="AG52" s="429" t="str">
        <f ca="1">IFERROR(VLOOKUP(AG$2,Rango_Admin_DailyPred,MATCH($F52,Rango_Admin_DailyPred_Primera,0)+1,0),"-")</f>
        <v>-</v>
      </c>
      <c r="AH52" s="429" t="str">
        <f ca="1">IFERROR(VLOOKUP(AH$2,Rango_Admin_DailyPred,MATCH($F52,Rango_Admin_DailyPred_Primera,0)+1,0),"-")</f>
        <v>-</v>
      </c>
      <c r="AI52" s="429" t="str">
        <f ca="1">IFERROR(VLOOKUP(AI$2,Rango_Admin_DailyPred,MATCH($F52,Rango_Admin_DailyPred_Primera,0)+1,0),"-")</f>
        <v>-</v>
      </c>
      <c r="AJ52" s="429" t="str">
        <f ca="1">IFERROR(VLOOKUP(AJ$2,Rango_Admin_DailyPred,MATCH($F52,Rango_Admin_DailyPred_Primera,0)+1,0),"-")</f>
        <v>-</v>
      </c>
      <c r="AK52" s="429" t="str">
        <f ca="1">IFERROR(VLOOKUP(AK$2,Rango_Admin_DailyPred,MATCH($F52,Rango_Admin_DailyPred_Primera,0)+1,0),"-")</f>
        <v>-</v>
      </c>
      <c r="AL52" s="429" t="str">
        <f ca="1">IFERROR(VLOOKUP(AL$2,Rango_Admin_DailyPred,MATCH($F52,Rango_Admin_DailyPred_Primera,0)+1,0),"-")</f>
        <v>-</v>
      </c>
      <c r="AM52" s="429" t="str">
        <f ca="1">IFERROR(VLOOKUP(AM$2,Rango_Admin_DailyPred,MATCH($F52,Rango_Admin_DailyPred_Primera,0)+1,0),"-")</f>
        <v>-</v>
      </c>
      <c r="AN52" s="297"/>
    </row>
    <row r="53" spans="1:40">
      <c r="A53" s="8"/>
      <c r="B53" s="8"/>
      <c r="C53" s="8">
        <v>50</v>
      </c>
      <c r="D53" s="19"/>
      <c r="E53" s="409">
        <f ca="1">IFERROR(HLOOKUP(C53,Rango_Admin_DailyClas,3,FALSE),"-")</f>
        <v>40</v>
      </c>
      <c r="F53" s="448" t="str">
        <f ca="1">IFERROR(HLOOKUP(C53,Rango_Admin_DailyClas,5,FALSE),"-")</f>
        <v>Pegar Valores Nombre J50</v>
      </c>
      <c r="G53" s="22">
        <f ca="1">IFERROR(HLOOKUP(C53,Rango_Admin_DailyClas,4,FALSE),"-")</f>
        <v>0</v>
      </c>
      <c r="H53" s="429">
        <f ca="1">IFERROR(VLOOKUP(H$2,Rango_Admin_DailyPred,MATCH($F53,Rango_Admin_DailyPred_Primera,0)+1,0),"-")</f>
        <v>0</v>
      </c>
      <c r="I53" s="429" t="str">
        <f ca="1">IFERROR(VLOOKUP(I$2,Rango_Admin_DailyPred,MATCH($F53,Rango_Admin_DailyPred_Primera,0)+1,0),"-")</f>
        <v>-</v>
      </c>
      <c r="J53" s="429" t="str">
        <f ca="1">IFERROR(VLOOKUP(J$2,Rango_Admin_DailyPred,MATCH($F53,Rango_Admin_DailyPred_Primera,0)+1,0),"-")</f>
        <v>-</v>
      </c>
      <c r="K53" s="429" t="str">
        <f ca="1">IFERROR(VLOOKUP(K$2,Rango_Admin_DailyPred,MATCH($F53,Rango_Admin_DailyPred_Primera,0)+1,0),"-")</f>
        <v>-</v>
      </c>
      <c r="L53" s="429" t="str">
        <f ca="1">IFERROR(VLOOKUP(L$2,Rango_Admin_DailyPred,MATCH($F53,Rango_Admin_DailyPred_Primera,0)+1,0),"-")</f>
        <v>-</v>
      </c>
      <c r="M53" s="429" t="str">
        <f ca="1">IFERROR(VLOOKUP(M$2,Rango_Admin_DailyPred,MATCH($F53,Rango_Admin_DailyPred_Primera,0)+1,0),"-")</f>
        <v>-</v>
      </c>
      <c r="N53" s="429" t="str">
        <f ca="1">IFERROR(VLOOKUP(N$2,Rango_Admin_DailyPred,MATCH($F53,Rango_Admin_DailyPred_Primera,0)+1,0),"-")</f>
        <v>-</v>
      </c>
      <c r="O53" s="429" t="str">
        <f ca="1">IFERROR(VLOOKUP(O$2,Rango_Admin_DailyPred,MATCH($F53,Rango_Admin_DailyPred_Primera,0)+1,0),"-")</f>
        <v>-</v>
      </c>
      <c r="P53" s="429" t="str">
        <f ca="1">IFERROR(VLOOKUP(P$2,Rango_Admin_DailyPred,MATCH($F53,Rango_Admin_DailyPred_Primera,0)+1,0),"-")</f>
        <v>-</v>
      </c>
      <c r="Q53" s="429" t="str">
        <f ca="1">IFERROR(VLOOKUP(Q$2,Rango_Admin_DailyPred,MATCH($F53,Rango_Admin_DailyPred_Primera,0)+1,0),"-")</f>
        <v>-</v>
      </c>
      <c r="R53" s="429" t="str">
        <f ca="1">IFERROR(VLOOKUP(R$2,Rango_Admin_DailyPred,MATCH($F53,Rango_Admin_DailyPred_Primera,0)+1,0),"-")</f>
        <v>-</v>
      </c>
      <c r="S53" s="429" t="str">
        <f ca="1">IFERROR(VLOOKUP(S$2,Rango_Admin_DailyPred,MATCH($F53,Rango_Admin_DailyPred_Primera,0)+1,0),"-")</f>
        <v>-</v>
      </c>
      <c r="T53" s="429" t="str">
        <f ca="1">IFERROR(VLOOKUP(T$2,Rango_Admin_DailyPred,MATCH($F53,Rango_Admin_DailyPred_Primera,0)+1,0),"-")</f>
        <v>-</v>
      </c>
      <c r="U53" s="429" t="str">
        <f ca="1">IFERROR(VLOOKUP(U$2,Rango_Admin_DailyPred,MATCH($F53,Rango_Admin_DailyPred_Primera,0)+1,0),"-")</f>
        <v>-</v>
      </c>
      <c r="V53" s="429" t="str">
        <f ca="1">IFERROR(VLOOKUP(V$2,Rango_Admin_DailyPred,MATCH($F53,Rango_Admin_DailyPred_Primera,0)+1,0),"-")</f>
        <v>-</v>
      </c>
      <c r="W53" s="429" t="str">
        <f ca="1">IFERROR(VLOOKUP(W$2,Rango_Admin_DailyPred,MATCH($F53,Rango_Admin_DailyPred_Primera,0)+1,0),"-")</f>
        <v>-</v>
      </c>
      <c r="X53" s="429" t="str">
        <f ca="1">IFERROR(VLOOKUP(X$2,Rango_Admin_DailyPred,MATCH($F53,Rango_Admin_DailyPred_Primera,0)+1,0),"-")</f>
        <v>-</v>
      </c>
      <c r="Y53" s="429" t="str">
        <f ca="1">IFERROR(VLOOKUP(Y$2,Rango_Admin_DailyPred,MATCH($F53,Rango_Admin_DailyPred_Primera,0)+1,0),"-")</f>
        <v>-</v>
      </c>
      <c r="Z53" s="429" t="str">
        <f ca="1">IFERROR(VLOOKUP(Z$2,Rango_Admin_DailyPred,MATCH($F53,Rango_Admin_DailyPred_Primera,0)+1,0),"-")</f>
        <v>-</v>
      </c>
      <c r="AA53" s="429" t="str">
        <f ca="1">IFERROR(VLOOKUP(AA$2,Rango_Admin_DailyPred,MATCH($F53,Rango_Admin_DailyPred_Primera,0)+1,0),"-")</f>
        <v>-</v>
      </c>
      <c r="AB53" s="429" t="str">
        <f ca="1">IFERROR(VLOOKUP(AB$2,Rango_Admin_DailyPred,MATCH($F53,Rango_Admin_DailyPred_Primera,0)+1,0),"-")</f>
        <v>-</v>
      </c>
      <c r="AC53" s="429" t="str">
        <f ca="1">IFERROR(VLOOKUP(AC$2,Rango_Admin_DailyPred,MATCH($F53,Rango_Admin_DailyPred_Primera,0)+1,0),"-")</f>
        <v>-</v>
      </c>
      <c r="AD53" s="429" t="str">
        <f ca="1">IFERROR(VLOOKUP(AD$2,Rango_Admin_DailyPred,MATCH($F53,Rango_Admin_DailyPred_Primera,0)+1,0),"-")</f>
        <v>-</v>
      </c>
      <c r="AE53" s="429" t="str">
        <f ca="1">IFERROR(VLOOKUP(AE$2,Rango_Admin_DailyPred,MATCH($F53,Rango_Admin_DailyPred_Primera,0)+1,0),"-")</f>
        <v>-</v>
      </c>
      <c r="AF53" s="429" t="str">
        <f ca="1">IFERROR(VLOOKUP(AF$2,Rango_Admin_DailyPred,MATCH($F53,Rango_Admin_DailyPred_Primera,0)+1,0),"-")</f>
        <v>-</v>
      </c>
      <c r="AG53" s="429" t="str">
        <f ca="1">IFERROR(VLOOKUP(AG$2,Rango_Admin_DailyPred,MATCH($F53,Rango_Admin_DailyPred_Primera,0)+1,0),"-")</f>
        <v>-</v>
      </c>
      <c r="AH53" s="429" t="str">
        <f ca="1">IFERROR(VLOOKUP(AH$2,Rango_Admin_DailyPred,MATCH($F53,Rango_Admin_DailyPred_Primera,0)+1,0),"-")</f>
        <v>-</v>
      </c>
      <c r="AI53" s="429" t="str">
        <f ca="1">IFERROR(VLOOKUP(AI$2,Rango_Admin_DailyPred,MATCH($F53,Rango_Admin_DailyPred_Primera,0)+1,0),"-")</f>
        <v>-</v>
      </c>
      <c r="AJ53" s="429" t="str">
        <f ca="1">IFERROR(VLOOKUP(AJ$2,Rango_Admin_DailyPred,MATCH($F53,Rango_Admin_DailyPred_Primera,0)+1,0),"-")</f>
        <v>-</v>
      </c>
      <c r="AK53" s="429" t="str">
        <f ca="1">IFERROR(VLOOKUP(AK$2,Rango_Admin_DailyPred,MATCH($F53,Rango_Admin_DailyPred_Primera,0)+1,0),"-")</f>
        <v>-</v>
      </c>
      <c r="AL53" s="429" t="str">
        <f ca="1">IFERROR(VLOOKUP(AL$2,Rango_Admin_DailyPred,MATCH($F53,Rango_Admin_DailyPred_Primera,0)+1,0),"-")</f>
        <v>-</v>
      </c>
      <c r="AM53" s="429" t="str">
        <f ca="1">IFERROR(VLOOKUP(AM$2,Rango_Admin_DailyPred,MATCH($F53,Rango_Admin_DailyPred_Primera,0)+1,0),"-")</f>
        <v>-</v>
      </c>
      <c r="AN53" s="297"/>
    </row>
    <row r="54" spans="1:40">
      <c r="D54" s="19"/>
      <c r="E54" s="448"/>
      <c r="F54" s="429"/>
      <c r="G54" s="429"/>
      <c r="H54" s="429"/>
      <c r="I54" s="429"/>
      <c r="J54" s="429"/>
      <c r="K54" s="429"/>
      <c r="L54" s="429"/>
      <c r="M54" s="429"/>
      <c r="N54" s="429"/>
      <c r="O54" s="429"/>
      <c r="P54" s="429"/>
      <c r="Q54" s="429"/>
      <c r="R54" s="429"/>
      <c r="S54" s="429"/>
      <c r="T54" s="429"/>
      <c r="U54" s="429"/>
      <c r="V54" s="429"/>
      <c r="W54" s="429"/>
      <c r="X54" s="429"/>
      <c r="Y54" s="429"/>
      <c r="Z54" s="429"/>
      <c r="AA54" s="429"/>
      <c r="AB54" s="429"/>
      <c r="AC54" s="429"/>
      <c r="AD54" s="429"/>
      <c r="AE54" s="429"/>
      <c r="AF54" s="429"/>
      <c r="AG54" s="429"/>
      <c r="AH54" s="429"/>
      <c r="AI54" s="429"/>
      <c r="AJ54" s="429"/>
      <c r="AK54" s="429"/>
      <c r="AL54" s="429"/>
      <c r="AM54" s="429"/>
      <c r="AN54" s="297"/>
    </row>
    <row r="55" spans="1:40">
      <c r="D55" s="19"/>
      <c r="E55" s="448"/>
      <c r="F55" s="429"/>
      <c r="G55" s="429"/>
      <c r="H55" s="429"/>
      <c r="I55" s="429"/>
      <c r="J55" s="429"/>
      <c r="K55" s="429"/>
      <c r="L55" s="429"/>
      <c r="M55" s="429"/>
      <c r="N55" s="429"/>
      <c r="O55" s="429"/>
      <c r="P55" s="429"/>
      <c r="Q55" s="429"/>
      <c r="R55" s="429"/>
      <c r="S55" s="429"/>
      <c r="T55" s="429"/>
      <c r="U55" s="429"/>
      <c r="V55" s="429"/>
      <c r="W55" s="429"/>
      <c r="X55" s="429"/>
      <c r="Y55" s="429"/>
      <c r="Z55" s="429"/>
      <c r="AA55" s="429"/>
      <c r="AB55" s="429"/>
      <c r="AC55" s="429"/>
      <c r="AD55" s="429"/>
      <c r="AE55" s="429"/>
      <c r="AF55" s="429"/>
      <c r="AG55" s="429"/>
      <c r="AH55" s="429"/>
      <c r="AI55" s="429"/>
      <c r="AJ55" s="429"/>
      <c r="AK55" s="429"/>
      <c r="AL55" s="429"/>
      <c r="AM55" s="429"/>
      <c r="AN55" s="297"/>
    </row>
    <row r="56" spans="1:40">
      <c r="D56" s="19"/>
      <c r="E56" s="448"/>
      <c r="F56" s="429"/>
      <c r="G56" s="429"/>
      <c r="H56" s="429"/>
      <c r="I56" s="429"/>
      <c r="J56" s="429"/>
      <c r="K56" s="429"/>
      <c r="L56" s="429"/>
      <c r="M56" s="429"/>
      <c r="N56" s="429"/>
      <c r="O56" s="429"/>
      <c r="P56" s="429"/>
      <c r="Q56" s="429"/>
      <c r="R56" s="429"/>
      <c r="S56" s="429"/>
      <c r="T56" s="429"/>
      <c r="U56" s="429"/>
      <c r="V56" s="429"/>
      <c r="W56" s="429"/>
      <c r="X56" s="429"/>
      <c r="Y56" s="429"/>
      <c r="Z56" s="429"/>
      <c r="AA56" s="429"/>
      <c r="AB56" s="429"/>
      <c r="AC56" s="429"/>
      <c r="AD56" s="429"/>
      <c r="AE56" s="429"/>
      <c r="AF56" s="429"/>
      <c r="AG56" s="429"/>
      <c r="AH56" s="429"/>
      <c r="AI56" s="429"/>
      <c r="AJ56" s="429"/>
      <c r="AK56" s="429"/>
      <c r="AL56" s="429"/>
      <c r="AM56" s="429"/>
      <c r="AN56" s="297"/>
    </row>
    <row r="57" spans="1:40">
      <c r="D57" s="19"/>
      <c r="E57" s="448"/>
      <c r="F57" s="429"/>
      <c r="G57" s="429"/>
      <c r="H57" s="429"/>
      <c r="I57" s="429"/>
      <c r="J57" s="429"/>
      <c r="K57" s="429"/>
      <c r="L57" s="429"/>
      <c r="M57" s="429"/>
      <c r="N57" s="429"/>
      <c r="O57" s="429"/>
      <c r="P57" s="429"/>
      <c r="Q57" s="429"/>
      <c r="R57" s="429"/>
      <c r="S57" s="429"/>
      <c r="T57" s="429"/>
      <c r="U57" s="429"/>
      <c r="V57" s="429"/>
      <c r="W57" s="429"/>
      <c r="X57" s="429"/>
      <c r="Y57" s="429"/>
      <c r="Z57" s="429"/>
      <c r="AA57" s="429"/>
      <c r="AB57" s="429"/>
      <c r="AC57" s="429"/>
      <c r="AD57" s="429"/>
      <c r="AE57" s="429"/>
      <c r="AF57" s="429"/>
      <c r="AG57" s="429"/>
      <c r="AH57" s="429"/>
      <c r="AI57" s="429"/>
      <c r="AJ57" s="429"/>
      <c r="AK57" s="429"/>
      <c r="AL57" s="429"/>
      <c r="AM57" s="429"/>
      <c r="AN57" s="297"/>
    </row>
    <row r="58" spans="1:40">
      <c r="D58" s="19"/>
      <c r="E58" s="448"/>
      <c r="F58" s="429"/>
      <c r="G58" s="429"/>
      <c r="H58" s="429"/>
      <c r="I58" s="429"/>
      <c r="J58" s="429"/>
      <c r="K58" s="429"/>
      <c r="L58" s="429"/>
      <c r="M58" s="429"/>
      <c r="N58" s="429"/>
      <c r="O58" s="429"/>
      <c r="P58" s="429"/>
      <c r="Q58" s="429"/>
      <c r="R58" s="429"/>
      <c r="S58" s="429"/>
      <c r="T58" s="429"/>
      <c r="U58" s="429"/>
      <c r="V58" s="429"/>
      <c r="W58" s="429"/>
      <c r="X58" s="429"/>
      <c r="Y58" s="429"/>
      <c r="Z58" s="429"/>
      <c r="AA58" s="429"/>
      <c r="AB58" s="429"/>
      <c r="AC58" s="429"/>
      <c r="AD58" s="429"/>
      <c r="AE58" s="429"/>
      <c r="AF58" s="429"/>
      <c r="AG58" s="429"/>
      <c r="AH58" s="429"/>
      <c r="AI58" s="429"/>
      <c r="AJ58" s="429"/>
      <c r="AK58" s="429"/>
      <c r="AL58" s="429"/>
      <c r="AM58" s="429"/>
      <c r="AN58" s="297"/>
    </row>
    <row r="59" spans="1:40">
      <c r="D59" s="19"/>
      <c r="E59" s="448"/>
      <c r="F59" s="429"/>
      <c r="G59" s="429"/>
      <c r="H59" s="429"/>
      <c r="I59" s="429"/>
      <c r="J59" s="429"/>
      <c r="K59" s="429"/>
      <c r="L59" s="429"/>
      <c r="M59" s="429"/>
      <c r="N59" s="429"/>
      <c r="O59" s="429"/>
      <c r="P59" s="429"/>
      <c r="Q59" s="429"/>
      <c r="R59" s="429"/>
      <c r="S59" s="429"/>
      <c r="T59" s="429"/>
      <c r="U59" s="429"/>
      <c r="V59" s="429"/>
      <c r="W59" s="429"/>
      <c r="X59" s="429"/>
      <c r="Y59" s="429"/>
      <c r="Z59" s="429"/>
      <c r="AA59" s="429"/>
      <c r="AB59" s="429"/>
      <c r="AC59" s="429"/>
      <c r="AD59" s="429"/>
      <c r="AE59" s="429"/>
      <c r="AF59" s="429"/>
      <c r="AG59" s="429"/>
      <c r="AH59" s="429"/>
      <c r="AI59" s="429"/>
      <c r="AJ59" s="429"/>
      <c r="AK59" s="429"/>
      <c r="AL59" s="429"/>
      <c r="AM59" s="429"/>
      <c r="AN59" s="297"/>
    </row>
    <row r="60" spans="1:40">
      <c r="D60" s="19"/>
      <c r="E60" s="448"/>
      <c r="F60" s="429"/>
      <c r="G60" s="429"/>
      <c r="H60" s="429"/>
      <c r="I60" s="429"/>
      <c r="J60" s="429"/>
      <c r="K60" s="429"/>
      <c r="L60" s="429"/>
      <c r="M60" s="429"/>
      <c r="N60" s="429"/>
      <c r="O60" s="429"/>
      <c r="P60" s="429"/>
      <c r="Q60" s="429"/>
      <c r="R60" s="429"/>
      <c r="S60" s="429"/>
      <c r="T60" s="429"/>
      <c r="U60" s="429"/>
      <c r="V60" s="429"/>
      <c r="W60" s="429"/>
      <c r="X60" s="429"/>
      <c r="Y60" s="429"/>
      <c r="Z60" s="429"/>
      <c r="AA60" s="429"/>
      <c r="AB60" s="429"/>
      <c r="AC60" s="429"/>
      <c r="AD60" s="429"/>
      <c r="AE60" s="429"/>
      <c r="AF60" s="429"/>
      <c r="AG60" s="429"/>
      <c r="AH60" s="429"/>
      <c r="AI60" s="429"/>
      <c r="AJ60" s="429"/>
      <c r="AK60" s="429"/>
      <c r="AL60" s="429"/>
      <c r="AM60" s="429"/>
      <c r="AN60" s="297"/>
    </row>
    <row r="61" spans="1:40">
      <c r="D61" s="19"/>
      <c r="E61" s="448"/>
      <c r="F61" s="429"/>
      <c r="G61" s="429"/>
      <c r="H61" s="429"/>
      <c r="I61" s="429"/>
      <c r="J61" s="429"/>
      <c r="K61" s="429"/>
      <c r="L61" s="429"/>
      <c r="M61" s="429"/>
      <c r="N61" s="429"/>
      <c r="O61" s="429"/>
      <c r="P61" s="429"/>
      <c r="Q61" s="429"/>
      <c r="R61" s="429"/>
      <c r="S61" s="429"/>
      <c r="T61" s="429"/>
      <c r="U61" s="429"/>
      <c r="V61" s="429"/>
      <c r="W61" s="429"/>
      <c r="X61" s="429"/>
      <c r="Y61" s="429"/>
      <c r="Z61" s="429"/>
      <c r="AA61" s="429"/>
      <c r="AB61" s="429"/>
      <c r="AC61" s="429"/>
      <c r="AD61" s="429"/>
      <c r="AE61" s="429"/>
      <c r="AF61" s="429"/>
      <c r="AG61" s="429"/>
      <c r="AH61" s="429"/>
      <c r="AI61" s="429"/>
      <c r="AJ61" s="429"/>
      <c r="AK61" s="429"/>
      <c r="AL61" s="429"/>
      <c r="AM61" s="429"/>
      <c r="AN61" s="297"/>
    </row>
    <row r="62" spans="1:40">
      <c r="D62" s="19"/>
      <c r="E62" s="448"/>
      <c r="F62" s="429"/>
      <c r="G62" s="429"/>
      <c r="H62" s="429"/>
      <c r="I62" s="429"/>
      <c r="J62" s="429"/>
      <c r="K62" s="429"/>
      <c r="L62" s="429"/>
      <c r="M62" s="429"/>
      <c r="N62" s="429"/>
      <c r="O62" s="429"/>
      <c r="P62" s="429"/>
      <c r="Q62" s="429"/>
      <c r="R62" s="429"/>
      <c r="S62" s="429"/>
      <c r="T62" s="429"/>
      <c r="U62" s="429"/>
      <c r="V62" s="429"/>
      <c r="W62" s="429"/>
      <c r="X62" s="429"/>
      <c r="Y62" s="429"/>
      <c r="Z62" s="429"/>
      <c r="AA62" s="429"/>
      <c r="AB62" s="429"/>
      <c r="AC62" s="429"/>
      <c r="AD62" s="429"/>
      <c r="AE62" s="429"/>
      <c r="AF62" s="429"/>
      <c r="AG62" s="429"/>
      <c r="AH62" s="429"/>
      <c r="AI62" s="429"/>
      <c r="AJ62" s="429"/>
      <c r="AK62" s="429"/>
      <c r="AL62" s="429"/>
      <c r="AM62" s="429"/>
      <c r="AN62" s="297"/>
    </row>
    <row r="63" spans="1:40">
      <c r="D63" s="19"/>
      <c r="E63" s="448"/>
      <c r="F63" s="429"/>
      <c r="G63" s="429"/>
      <c r="H63" s="429"/>
      <c r="I63" s="429"/>
      <c r="J63" s="429"/>
      <c r="K63" s="429"/>
      <c r="L63" s="429"/>
      <c r="M63" s="429"/>
      <c r="N63" s="429"/>
      <c r="O63" s="429"/>
      <c r="P63" s="429"/>
      <c r="Q63" s="429"/>
      <c r="R63" s="429"/>
      <c r="S63" s="429"/>
      <c r="T63" s="429"/>
      <c r="U63" s="429"/>
      <c r="V63" s="429"/>
      <c r="W63" s="429"/>
      <c r="X63" s="429"/>
      <c r="Y63" s="429"/>
      <c r="Z63" s="429"/>
      <c r="AA63" s="429"/>
      <c r="AB63" s="429"/>
      <c r="AC63" s="429"/>
      <c r="AD63" s="429"/>
      <c r="AE63" s="429"/>
      <c r="AF63" s="429"/>
      <c r="AG63" s="429"/>
      <c r="AH63" s="429"/>
      <c r="AI63" s="429"/>
      <c r="AJ63" s="429"/>
      <c r="AK63" s="429"/>
      <c r="AL63" s="429"/>
      <c r="AM63" s="429"/>
      <c r="AN63" s="297"/>
    </row>
    <row r="64" spans="1:40">
      <c r="D64" s="19"/>
      <c r="E64" s="448"/>
      <c r="F64" s="429"/>
      <c r="G64" s="429"/>
      <c r="H64" s="429"/>
      <c r="I64" s="429"/>
      <c r="J64" s="429"/>
      <c r="K64" s="429"/>
      <c r="L64" s="429"/>
      <c r="M64" s="429"/>
      <c r="N64" s="429"/>
      <c r="O64" s="429"/>
      <c r="P64" s="429"/>
      <c r="Q64" s="429"/>
      <c r="R64" s="429"/>
      <c r="S64" s="429"/>
      <c r="T64" s="429"/>
      <c r="U64" s="429"/>
      <c r="V64" s="429"/>
      <c r="W64" s="429"/>
      <c r="X64" s="429"/>
      <c r="Y64" s="429"/>
      <c r="Z64" s="429"/>
      <c r="AA64" s="429"/>
      <c r="AB64" s="429"/>
      <c r="AC64" s="429"/>
      <c r="AD64" s="429"/>
      <c r="AE64" s="429"/>
      <c r="AF64" s="429"/>
      <c r="AG64" s="429"/>
      <c r="AH64" s="429"/>
      <c r="AI64" s="429"/>
      <c r="AJ64" s="429"/>
      <c r="AK64" s="429"/>
      <c r="AL64" s="429"/>
      <c r="AM64" s="429"/>
      <c r="AN64" s="297"/>
    </row>
    <row r="65" spans="4:40">
      <c r="D65" s="19"/>
      <c r="E65" s="448"/>
      <c r="F65" s="429"/>
      <c r="G65" s="429"/>
      <c r="H65" s="429"/>
      <c r="I65" s="429"/>
      <c r="J65" s="429"/>
      <c r="K65" s="429"/>
      <c r="L65" s="429"/>
      <c r="M65" s="429"/>
      <c r="N65" s="429"/>
      <c r="O65" s="429"/>
      <c r="P65" s="429"/>
      <c r="Q65" s="429"/>
      <c r="R65" s="429"/>
      <c r="S65" s="429"/>
      <c r="T65" s="429"/>
      <c r="U65" s="429"/>
      <c r="V65" s="429"/>
      <c r="W65" s="429"/>
      <c r="X65" s="429"/>
      <c r="Y65" s="429"/>
      <c r="Z65" s="429"/>
      <c r="AA65" s="429"/>
      <c r="AB65" s="429"/>
      <c r="AC65" s="429"/>
      <c r="AD65" s="429"/>
      <c r="AE65" s="429"/>
      <c r="AF65" s="429"/>
      <c r="AG65" s="429"/>
      <c r="AH65" s="429"/>
      <c r="AI65" s="429"/>
      <c r="AJ65" s="429"/>
      <c r="AK65" s="429"/>
      <c r="AL65" s="429"/>
      <c r="AM65" s="429"/>
      <c r="AN65" s="297"/>
    </row>
    <row r="66" spans="4:40">
      <c r="D66" s="19"/>
      <c r="E66" s="448"/>
      <c r="F66" s="429"/>
      <c r="G66" s="429"/>
      <c r="H66" s="429"/>
      <c r="I66" s="429"/>
      <c r="J66" s="429"/>
      <c r="K66" s="429"/>
      <c r="L66" s="429"/>
      <c r="M66" s="429"/>
      <c r="N66" s="429"/>
      <c r="O66" s="429"/>
      <c r="P66" s="429"/>
      <c r="Q66" s="429"/>
      <c r="R66" s="429"/>
      <c r="S66" s="429"/>
      <c r="T66" s="429"/>
      <c r="U66" s="429"/>
      <c r="V66" s="429"/>
      <c r="W66" s="429"/>
      <c r="X66" s="429"/>
      <c r="Y66" s="429"/>
      <c r="Z66" s="429"/>
      <c r="AA66" s="429"/>
      <c r="AB66" s="429"/>
      <c r="AC66" s="429"/>
      <c r="AD66" s="429"/>
      <c r="AE66" s="429"/>
      <c r="AF66" s="429"/>
      <c r="AG66" s="429"/>
      <c r="AH66" s="429"/>
      <c r="AI66" s="429"/>
      <c r="AJ66" s="429"/>
      <c r="AK66" s="429"/>
      <c r="AL66" s="429"/>
      <c r="AM66" s="429"/>
      <c r="AN66" s="297"/>
    </row>
    <row r="67" spans="4:40">
      <c r="D67" s="19"/>
      <c r="E67" s="448"/>
      <c r="F67" s="429"/>
      <c r="G67" s="429"/>
      <c r="H67" s="429"/>
      <c r="I67" s="429"/>
      <c r="J67" s="429"/>
      <c r="K67" s="429"/>
      <c r="L67" s="429"/>
      <c r="M67" s="429"/>
      <c r="N67" s="429"/>
      <c r="O67" s="429"/>
      <c r="P67" s="429"/>
      <c r="Q67" s="429"/>
      <c r="R67" s="429"/>
      <c r="S67" s="429"/>
      <c r="T67" s="429"/>
      <c r="U67" s="429"/>
      <c r="V67" s="429"/>
      <c r="W67" s="429"/>
      <c r="X67" s="429"/>
      <c r="Y67" s="429"/>
      <c r="Z67" s="429"/>
      <c r="AA67" s="429"/>
      <c r="AB67" s="429"/>
      <c r="AC67" s="429"/>
      <c r="AD67" s="429"/>
      <c r="AE67" s="429"/>
      <c r="AF67" s="429"/>
      <c r="AG67" s="429"/>
      <c r="AH67" s="429"/>
      <c r="AI67" s="429"/>
      <c r="AJ67" s="429"/>
      <c r="AK67" s="429"/>
      <c r="AL67" s="429"/>
      <c r="AM67" s="429"/>
      <c r="AN67" s="297"/>
    </row>
    <row r="68" spans="4:40">
      <c r="D68" s="19"/>
      <c r="E68" s="448"/>
      <c r="F68" s="429"/>
      <c r="G68" s="429"/>
      <c r="H68" s="429"/>
      <c r="I68" s="429"/>
      <c r="J68" s="429"/>
      <c r="K68" s="429"/>
      <c r="L68" s="429"/>
      <c r="M68" s="429"/>
      <c r="N68" s="429"/>
      <c r="O68" s="429"/>
      <c r="P68" s="429"/>
      <c r="Q68" s="429"/>
      <c r="R68" s="429"/>
      <c r="S68" s="429"/>
      <c r="T68" s="429"/>
      <c r="U68" s="429"/>
      <c r="V68" s="429"/>
      <c r="W68" s="429"/>
      <c r="X68" s="429"/>
      <c r="Y68" s="429"/>
      <c r="Z68" s="429"/>
      <c r="AA68" s="429"/>
      <c r="AB68" s="429"/>
      <c r="AC68" s="429"/>
      <c r="AD68" s="429"/>
      <c r="AE68" s="429"/>
      <c r="AF68" s="429"/>
      <c r="AG68" s="429"/>
      <c r="AH68" s="429"/>
      <c r="AI68" s="429"/>
      <c r="AJ68" s="429"/>
      <c r="AK68" s="429"/>
      <c r="AL68" s="429"/>
      <c r="AM68" s="429"/>
      <c r="AN68" s="297"/>
    </row>
    <row r="69" spans="4:40">
      <c r="D69" s="19"/>
      <c r="E69" s="448"/>
      <c r="F69" s="429"/>
      <c r="G69" s="429"/>
      <c r="H69" s="429"/>
      <c r="I69" s="429"/>
      <c r="J69" s="429"/>
      <c r="K69" s="429"/>
      <c r="L69" s="429"/>
      <c r="M69" s="429"/>
      <c r="N69" s="429"/>
      <c r="O69" s="429"/>
      <c r="P69" s="429"/>
      <c r="Q69" s="429"/>
      <c r="R69" s="429"/>
      <c r="S69" s="429"/>
      <c r="T69" s="429"/>
      <c r="U69" s="429"/>
      <c r="V69" s="429"/>
      <c r="W69" s="429"/>
      <c r="X69" s="429"/>
      <c r="Y69" s="429"/>
      <c r="Z69" s="429"/>
      <c r="AA69" s="429"/>
      <c r="AB69" s="429"/>
      <c r="AC69" s="429"/>
      <c r="AD69" s="429"/>
      <c r="AE69" s="429"/>
      <c r="AF69" s="429"/>
      <c r="AG69" s="429"/>
      <c r="AH69" s="429"/>
      <c r="AI69" s="429"/>
      <c r="AJ69" s="429"/>
      <c r="AK69" s="429"/>
      <c r="AL69" s="429"/>
      <c r="AM69" s="429"/>
      <c r="AN69" s="297"/>
    </row>
    <row r="70" spans="4:40">
      <c r="D70" s="19"/>
      <c r="E70" s="448"/>
      <c r="F70" s="429"/>
      <c r="G70" s="429"/>
      <c r="H70" s="429"/>
      <c r="I70" s="429"/>
      <c r="J70" s="429"/>
      <c r="K70" s="429"/>
      <c r="L70" s="429"/>
      <c r="M70" s="429"/>
      <c r="N70" s="429"/>
      <c r="O70" s="429"/>
      <c r="P70" s="429"/>
      <c r="Q70" s="429"/>
      <c r="R70" s="429"/>
      <c r="S70" s="429"/>
      <c r="T70" s="429"/>
      <c r="U70" s="429"/>
      <c r="V70" s="429"/>
      <c r="W70" s="429"/>
      <c r="X70" s="429"/>
      <c r="Y70" s="429"/>
      <c r="Z70" s="429"/>
      <c r="AA70" s="429"/>
      <c r="AB70" s="429"/>
      <c r="AC70" s="429"/>
      <c r="AD70" s="429"/>
      <c r="AE70" s="429"/>
      <c r="AF70" s="429"/>
      <c r="AG70" s="429"/>
      <c r="AH70" s="429"/>
      <c r="AI70" s="429"/>
      <c r="AJ70" s="429"/>
      <c r="AK70" s="429"/>
      <c r="AL70" s="429"/>
      <c r="AM70" s="429"/>
      <c r="AN70" s="297"/>
    </row>
    <row r="71" spans="4:40">
      <c r="D71" s="19"/>
      <c r="E71" s="448"/>
      <c r="F71" s="429"/>
      <c r="G71" s="429"/>
      <c r="H71" s="429"/>
      <c r="I71" s="429"/>
      <c r="J71" s="429"/>
      <c r="K71" s="429"/>
      <c r="L71" s="429"/>
      <c r="M71" s="429"/>
      <c r="N71" s="429"/>
      <c r="O71" s="429"/>
      <c r="P71" s="429"/>
      <c r="Q71" s="429"/>
      <c r="R71" s="429"/>
      <c r="S71" s="429"/>
      <c r="T71" s="429"/>
      <c r="U71" s="429"/>
      <c r="V71" s="429"/>
      <c r="W71" s="429"/>
      <c r="X71" s="429"/>
      <c r="Y71" s="429"/>
      <c r="Z71" s="429"/>
      <c r="AA71" s="429"/>
      <c r="AB71" s="429"/>
      <c r="AC71" s="429"/>
      <c r="AD71" s="429"/>
      <c r="AE71" s="429"/>
      <c r="AF71" s="429"/>
      <c r="AG71" s="429"/>
      <c r="AH71" s="429"/>
      <c r="AI71" s="429"/>
      <c r="AJ71" s="429"/>
      <c r="AK71" s="429"/>
      <c r="AL71" s="429"/>
      <c r="AM71" s="429"/>
      <c r="AN71" s="297"/>
    </row>
    <row r="72" spans="4:40">
      <c r="D72" s="19"/>
      <c r="E72" s="448"/>
      <c r="F72" s="429"/>
      <c r="G72" s="429"/>
      <c r="H72" s="429"/>
      <c r="I72" s="429"/>
      <c r="J72" s="429"/>
      <c r="K72" s="429"/>
      <c r="L72" s="429"/>
      <c r="M72" s="429"/>
      <c r="N72" s="429"/>
      <c r="O72" s="429"/>
      <c r="P72" s="429"/>
      <c r="Q72" s="429"/>
      <c r="R72" s="429"/>
      <c r="S72" s="429"/>
      <c r="T72" s="429"/>
      <c r="U72" s="429"/>
      <c r="V72" s="429"/>
      <c r="W72" s="429"/>
      <c r="X72" s="429"/>
      <c r="Y72" s="429"/>
      <c r="Z72" s="429"/>
      <c r="AA72" s="429"/>
      <c r="AB72" s="429"/>
      <c r="AC72" s="429"/>
      <c r="AD72" s="429"/>
      <c r="AE72" s="429"/>
      <c r="AF72" s="429"/>
      <c r="AG72" s="429"/>
      <c r="AH72" s="429"/>
      <c r="AI72" s="429"/>
      <c r="AJ72" s="429"/>
      <c r="AK72" s="429"/>
      <c r="AL72" s="429"/>
      <c r="AM72" s="429"/>
      <c r="AN72" s="297"/>
    </row>
  </sheetData>
  <sheetProtection algorithmName="SHA-512" hashValue="lwvZacmB6Mj8Yv1BI60AkRtiXGaz7zSgc/lS29ycyPht11ieq+xcfTcZ7evSDQnpdnl2cELReXJjo5WtjCgEJQ==" saltValue="l9wS86kl/bglBRW0R9ES3w==" spinCount="100000" sheet="1" objects="1" scenarios="1" formatColumns="0"/>
  <pageMargins left="0.7" right="0.7" top="0.75" bottom="0.75" header="0.3" footer="0.3"/>
  <headerFooter>
    <oddFooter>&amp;L_x000D_&amp;1#&amp;"Aptos"&amp;8&amp;K000000 Clasificación: Interna</oddFooter>
  </headerFooter>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E4:AM53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GC1919" zoomScaleNormal="100" workbookViewId="0">
      <selection activeCell="GC1919" sqref="GC1919"/>
    </sheetView>
  </sheetViews>
  <sheetFormatPr defaultColWidth="11.5546875" defaultRowHeight="14.4"/>
  <cols>
    <col min="4" max="4" width="19.6640625" customWidth="1"/>
    <col min="7" max="7" width="17.33203125" style="9" bestFit="1" customWidth="1"/>
    <col min="8" max="8" width="13" style="9" bestFit="1" customWidth="1"/>
    <col min="9" max="10" width="13" bestFit="1" customWidth="1"/>
    <col min="11" max="12" width="12.332031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2"/>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2"/>
      <c r="C6" s="11"/>
      <c r="D6" s="11" t="str">
        <f t="shared" si="0"/>
        <v>Predictor Equipos</v>
      </c>
      <c r="E6" s="11"/>
      <c r="F6" s="11"/>
      <c r="G6" s="688" t="s">
        <v>1297</v>
      </c>
      <c r="H6" s="688"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2"/>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3"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88" t="s">
        <v>1232</v>
      </c>
      <c r="H69" s="688" t="s">
        <v>1233</v>
      </c>
      <c r="I69" s="11"/>
    </row>
    <row r="70" spans="1:9">
      <c r="A70" s="11"/>
      <c r="B70" s="11"/>
      <c r="C70" s="11"/>
      <c r="D70" s="11" t="str">
        <f t="shared" si="2"/>
        <v xml:space="preserve">Grupos mejores 3ºs: </v>
      </c>
      <c r="E70" s="11"/>
      <c r="F70" s="11"/>
      <c r="G70" s="688" t="s">
        <v>1331</v>
      </c>
      <c r="H70" s="688"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3"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4"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75"/>
      <c r="K116" s="733"/>
      <c r="L116" s="733"/>
      <c r="M116" s="733"/>
      <c r="N116" s="733"/>
      <c r="O116" s="733"/>
      <c r="P116" s="733"/>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3" t="s">
        <v>1939</v>
      </c>
      <c r="H117" s="11" t="s">
        <v>1346</v>
      </c>
      <c r="I117" s="775"/>
      <c r="K117" s="733"/>
      <c r="L117" s="733"/>
      <c r="M117" s="733"/>
      <c r="N117" s="733"/>
      <c r="O117" s="733"/>
      <c r="P117" s="733"/>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76"/>
      <c r="K119" s="734"/>
      <c r="L119" s="734"/>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88" t="s">
        <v>1373</v>
      </c>
      <c r="H131" s="688" t="s">
        <v>1372</v>
      </c>
      <c r="I131" s="11"/>
    </row>
    <row r="132" spans="1:9">
      <c r="A132" s="11"/>
      <c r="B132" s="11"/>
      <c r="C132" s="11"/>
      <c r="D132" s="11" t="str">
        <f t="shared" si="6"/>
        <v>J1</v>
      </c>
      <c r="E132" s="11" t="s">
        <v>433</v>
      </c>
      <c r="F132" s="11" t="s">
        <v>252</v>
      </c>
      <c r="G132" s="11" t="s">
        <v>26</v>
      </c>
      <c r="H132" s="11" t="s">
        <v>273</v>
      </c>
      <c r="I132" s="688"/>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32"/>
      <c r="K207" s="735"/>
    </row>
    <row r="208" spans="1:11">
      <c r="A208" s="11"/>
      <c r="B208" s="11"/>
      <c r="C208" s="11"/>
      <c r="D208" s="11"/>
      <c r="E208" s="11"/>
      <c r="F208" s="11"/>
      <c r="G208" s="11"/>
      <c r="H208" s="11"/>
      <c r="I208" s="11"/>
    </row>
    <row r="209" spans="1:16">
      <c r="A209" s="11"/>
      <c r="B209" s="11"/>
      <c r="C209" s="11"/>
      <c r="D209" s="11"/>
      <c r="E209" s="11"/>
      <c r="F209" s="11"/>
      <c r="G209" s="11"/>
      <c r="H209" s="11"/>
      <c r="I209" s="11"/>
      <c r="J209" s="732"/>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32"/>
      <c r="O211" s="736" t="s">
        <v>1934</v>
      </c>
      <c r="P211" s="736"/>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36" t="str">
        <f ca="1">IF(Home!$K$23=$D$1419,O212,
IF(AND(Home!$K$23&lt;&gt;$D$1419,TODAY()&lt;=Horarios!$A$4),O212,$D$1420))</f>
        <v>Alemania</v>
      </c>
      <c r="K212" s="736" t="str">
        <f ca="1">IF(Home!$K$23=$D$1419,P212,
IF(AND(Home!$K$23&lt;&gt;$D$1419,TODAY()&lt;=Horarios!$A$4),P212,$D$1420))</f>
        <v>Germany</v>
      </c>
      <c r="O212" s="737" t="s">
        <v>77</v>
      </c>
      <c r="P212" s="737"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36" t="str">
        <f ca="1">IF(Home!$K$23=$D$1419,O213,
IF(AND(Home!$K$23&lt;&gt;$D$1419,TODAY()&lt;=Horarios!$A$4),O213,$D$1420))</f>
        <v>Arabia Saudita</v>
      </c>
      <c r="K213" s="736" t="str">
        <f ca="1">IF(Home!$K$23=$D$1419,P213,
IF(AND(Home!$K$23&lt;&gt;$D$1419,TODAY()&lt;=Horarios!$A$4),P213,$D$1420))</f>
        <v>Saudi Arabia</v>
      </c>
      <c r="O213" s="737" t="s">
        <v>1632</v>
      </c>
      <c r="P213" s="737"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36" t="str">
        <f ca="1">IF(Home!$K$23=$D$1419,O214,
IF(AND(Home!$K$23&lt;&gt;$D$1419,TODAY()&lt;=Horarios!$A$4),O214,$D$1420))</f>
        <v>Argelia</v>
      </c>
      <c r="K214" s="736" t="str">
        <f ca="1">IF(Home!$K$23=$D$1419,P214,
IF(AND(Home!$K$23&lt;&gt;$D$1419,TODAY()&lt;=Horarios!$A$4),P214,$D$1420))</f>
        <v>Algeria</v>
      </c>
      <c r="O214" s="737" t="s">
        <v>1558</v>
      </c>
      <c r="P214" s="737"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36" t="str">
        <f ca="1">IF(Home!$K$23=$D$1419,O215,
IF(AND(Home!$K$23&lt;&gt;$D$1419,TODAY()&lt;=Horarios!$A$4),O215,$D$1420))</f>
        <v>Argentina</v>
      </c>
      <c r="K215" s="736" t="str">
        <f ca="1">IF(Home!$K$23=$D$1419,P215,
IF(AND(Home!$K$23&lt;&gt;$D$1419,TODAY()&lt;=Horarios!$A$4),P215,$D$1420))</f>
        <v>Argentina</v>
      </c>
      <c r="O215" s="737" t="s">
        <v>1256</v>
      </c>
      <c r="P215" s="737"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36" t="str">
        <f ca="1">IF(Home!$K$23=$D$1419,O216,
IF(AND(Home!$K$23&lt;&gt;$D$1419,TODAY()&lt;=Horarios!$A$4),O216,$D$1420))</f>
        <v>Australia</v>
      </c>
      <c r="K216" s="736" t="str">
        <f ca="1">IF(Home!$K$23=$D$1419,P216,
IF(AND(Home!$K$23&lt;&gt;$D$1419,TODAY()&lt;=Horarios!$A$4),P216,$D$1420))</f>
        <v>Australia</v>
      </c>
      <c r="O216" s="737" t="s">
        <v>1257</v>
      </c>
      <c r="P216" s="737"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36" t="str">
        <f ca="1">IF(Home!$K$23=$D$1419,O217,
IF(AND(Home!$K$23&lt;&gt;$D$1419,TODAY()&lt;=Horarios!$A$4),O217,$D$1420))</f>
        <v>Austria</v>
      </c>
      <c r="K217" s="736" t="str">
        <f ca="1">IF(Home!$K$23=$D$1419,P217,
IF(AND(Home!$K$23&lt;&gt;$D$1419,TODAY()&lt;=Horarios!$A$4),P217,$D$1420))</f>
        <v>Austria</v>
      </c>
      <c r="O217" s="737" t="s">
        <v>80</v>
      </c>
      <c r="P217" s="737"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36" t="str">
        <f ca="1">IF(Home!$K$23=$D$1419,O218,
IF(AND(Home!$K$23&lt;&gt;$D$1419,TODAY()&lt;=Horarios!$A$4),O218,$D$1420))</f>
        <v>Bélgica</v>
      </c>
      <c r="K218" s="736" t="str">
        <f ca="1">IF(Home!$K$23=$D$1419,P218,
IF(AND(Home!$K$23&lt;&gt;$D$1419,TODAY()&lt;=Horarios!$A$4),P218,$D$1420))</f>
        <v>Belgium</v>
      </c>
      <c r="O218" s="737" t="s">
        <v>110</v>
      </c>
      <c r="P218" s="737"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36" t="str">
        <f ca="1">IF(Home!$K$23=$D$1419,O219,
IF(AND(Home!$K$23&lt;&gt;$D$1419,TODAY()&lt;=Horarios!$A$4),O219,$D$1420))</f>
        <v>Brasil</v>
      </c>
      <c r="K219" s="736" t="str">
        <f ca="1">IF(Home!$K$23=$D$1419,P219,
IF(AND(Home!$K$23&lt;&gt;$D$1419,TODAY()&lt;=Horarios!$A$4),P219,$D$1420))</f>
        <v>Brazil</v>
      </c>
      <c r="O219" s="737" t="s">
        <v>1258</v>
      </c>
      <c r="P219" s="737"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36" t="str">
        <f ca="1">IF(Home!$K$23=$D$1419,O220,
IF(AND(Home!$K$23&lt;&gt;$D$1419,TODAY()&lt;=Horarios!$A$4),O220,$D$1420))</f>
        <v>Cabo Verde</v>
      </c>
      <c r="K220" s="736" t="str">
        <f ca="1">IF(Home!$K$23=$D$1419,P220,
IF(AND(Home!$K$23&lt;&gt;$D$1419,TODAY()&lt;=Horarios!$A$4),P220,$D$1420))</f>
        <v>Cape Verde</v>
      </c>
      <c r="O220" s="737" t="s">
        <v>1552</v>
      </c>
      <c r="P220" s="737"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36" t="str">
        <f ca="1">IF(Home!$K$23=$D$1419,O221,
IF(AND(Home!$K$23&lt;&gt;$D$1419,TODAY()&lt;=Horarios!$A$4),O221,$D$1420))</f>
        <v>Canadá</v>
      </c>
      <c r="K221" s="736" t="str">
        <f ca="1">IF(Home!$K$23=$D$1419,P221,
IF(AND(Home!$K$23&lt;&gt;$D$1419,TODAY()&lt;=Horarios!$A$4),P221,$D$1420))</f>
        <v>Canada</v>
      </c>
      <c r="O221" s="737" t="s">
        <v>1259</v>
      </c>
      <c r="P221" s="737"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36" t="str">
        <f ca="1">IF(Home!$K$23=$D$1419,O222,
IF(AND(Home!$K$23&lt;&gt;$D$1419,TODAY()&lt;=Horarios!$A$4),O222,$D$1420))</f>
        <v>Catar</v>
      </c>
      <c r="K222" s="736" t="str">
        <f ca="1">IF(Home!$K$23=$D$1419,P222,
IF(AND(Home!$K$23&lt;&gt;$D$1419,TODAY()&lt;=Horarios!$A$4),P222,$D$1420))</f>
        <v>Qatar</v>
      </c>
      <c r="O222" s="737" t="s">
        <v>1631</v>
      </c>
      <c r="P222" s="737"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36" t="str">
        <f ca="1">IF(Home!$K$23=$D$1419,O223,
IF(AND(Home!$K$23&lt;&gt;$D$1419,TODAY()&lt;=Horarios!$A$4),O223,$D$1420))</f>
        <v>Colombia</v>
      </c>
      <c r="K223" s="736" t="str">
        <f ca="1">IF(Home!$K$23=$D$1419,P223,
IF(AND(Home!$K$23&lt;&gt;$D$1419,TODAY()&lt;=Horarios!$A$4),P223,$D$1420))</f>
        <v>Colombia</v>
      </c>
      <c r="O223" s="737" t="s">
        <v>1320</v>
      </c>
      <c r="P223" s="737"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36" t="str">
        <f ca="1">IF(Home!$K$23=$D$1419,O224,
IF(AND(Home!$K$23&lt;&gt;$D$1419,TODAY()&lt;=Horarios!$A$4),O224,$D$1420))</f>
        <v>Corea del Sur</v>
      </c>
      <c r="K224" s="736" t="str">
        <f ca="1">IF(Home!$K$23=$D$1419,P224,
IF(AND(Home!$K$23&lt;&gt;$D$1419,TODAY()&lt;=Horarios!$A$4),P224,$D$1420))</f>
        <v>South Korea</v>
      </c>
      <c r="O224" s="737" t="s">
        <v>1260</v>
      </c>
      <c r="P224" s="737"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36" t="str">
        <f ca="1">IF(Home!$K$23=$D$1419,O225,
IF(AND(Home!$K$23&lt;&gt;$D$1419,TODAY()&lt;=Horarios!$A$4),O225,$D$1420))</f>
        <v>Costa de Marfil</v>
      </c>
      <c r="K225" s="736" t="str">
        <f ca="1">IF(Home!$K$23=$D$1419,P225,
IF(AND(Home!$K$23&lt;&gt;$D$1419,TODAY()&lt;=Horarios!$A$4),P225,$D$1420))</f>
        <v>Ivory Coast</v>
      </c>
      <c r="O225" s="738" t="s">
        <v>1633</v>
      </c>
      <c r="P225" s="737"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36" t="str">
        <f ca="1">IF(Home!$K$23=$D$1419,O226,
IF(AND(Home!$K$23&lt;&gt;$D$1419,TODAY()&lt;=Horarios!$A$4),O226,$D$1420))</f>
        <v>Croacia</v>
      </c>
      <c r="K226" s="736" t="str">
        <f ca="1">IF(Home!$K$23=$D$1419,P226,
IF(AND(Home!$K$23&lt;&gt;$D$1419,TODAY()&lt;=Horarios!$A$4),P226,$D$1420))</f>
        <v>Croatia</v>
      </c>
      <c r="O226" s="737" t="s">
        <v>78</v>
      </c>
      <c r="P226" s="737"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36" t="str">
        <f ca="1">IF(Home!$K$23=$D$1419,O227,
IF(AND(Home!$K$23&lt;&gt;$D$1419,TODAY()&lt;=Horarios!$A$4),O227,$D$1420))</f>
        <v>Curazao</v>
      </c>
      <c r="K227" s="736" t="str">
        <f ca="1">IF(Home!$K$23=$D$1419,P227,
IF(AND(Home!$K$23&lt;&gt;$D$1419,TODAY()&lt;=Horarios!$A$4),P227,$D$1420))</f>
        <v>Curaçao</v>
      </c>
      <c r="O227" s="737" t="s">
        <v>1726</v>
      </c>
      <c r="P227" s="737"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36" t="str">
        <f ca="1">IF(Home!$K$23=$D$1419,O228,
IF(AND(Home!$K$23&lt;&gt;$D$1419,TODAY()&lt;=Horarios!$A$4),O228,$D$1420))</f>
        <v>Ecuador</v>
      </c>
      <c r="K228" s="736" t="str">
        <f ca="1">IF(Home!$K$23=$D$1419,P228,
IF(AND(Home!$K$23&lt;&gt;$D$1419,TODAY()&lt;=Horarios!$A$4),P228,$D$1420))</f>
        <v>Ecuador</v>
      </c>
      <c r="O228" s="737" t="s">
        <v>1261</v>
      </c>
      <c r="P228" s="737"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36" t="str">
        <f ca="1">IF(Home!$K$23=$D$1419,O229,
IF(AND(Home!$K$23&lt;&gt;$D$1419,TODAY()&lt;=Horarios!$A$4),O229,$D$1420))</f>
        <v>Egipto</v>
      </c>
      <c r="K229" s="736" t="str">
        <f ca="1">IF(Home!$K$23=$D$1419,P229,
IF(AND(Home!$K$23&lt;&gt;$D$1419,TODAY()&lt;=Horarios!$A$4),P229,$D$1420))</f>
        <v>Egypt</v>
      </c>
      <c r="O229" s="737" t="s">
        <v>1550</v>
      </c>
      <c r="P229" s="737"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36" t="str">
        <f ca="1">IF(Home!$K$23=$D$1419,O230,
IF(AND(Home!$K$23&lt;&gt;$D$1419,TODAY()&lt;=Horarios!$A$4),O230,$D$1420))</f>
        <v>Escocia</v>
      </c>
      <c r="K230" s="736" t="str">
        <f ca="1">IF(Home!$K$23=$D$1419,P230,
IF(AND(Home!$K$23&lt;&gt;$D$1419,TODAY()&lt;=Horarios!$A$4),P230,$D$1420))</f>
        <v>Scotland</v>
      </c>
      <c r="O230" s="737" t="s">
        <v>134</v>
      </c>
      <c r="P230" s="737"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36" t="str">
        <f ca="1">IF(Home!$K$23=$D$1419,O231,
IF(AND(Home!$K$23&lt;&gt;$D$1419,TODAY()&lt;=Horarios!$A$4),O231,$D$1420))</f>
        <v>España</v>
      </c>
      <c r="K231" s="736" t="str">
        <f ca="1">IF(Home!$K$23=$D$1419,P231,
IF(AND(Home!$K$23&lt;&gt;$D$1419,TODAY()&lt;=Horarios!$A$4),P231,$D$1420))</f>
        <v>Spain</v>
      </c>
      <c r="O231" s="737" t="s">
        <v>38</v>
      </c>
      <c r="P231" s="737"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36" t="str">
        <f ca="1">IF(Home!$K$23=$D$1419,O232,
IF(AND(Home!$K$23&lt;&gt;$D$1419,TODAY()&lt;=Horarios!$A$4),O232,$D$1420))</f>
        <v>Estados Unidos</v>
      </c>
      <c r="K232" s="736" t="str">
        <f ca="1">IF(Home!$K$23=$D$1419,P232,
IF(AND(Home!$K$23&lt;&gt;$D$1419,TODAY()&lt;=Horarios!$A$4),P232,$D$1420))</f>
        <v>United States</v>
      </c>
      <c r="O232" s="737" t="s">
        <v>497</v>
      </c>
      <c r="P232" s="737"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36" t="str">
        <f ca="1">IF(Home!$K$23=$D$1419,O233,
IF(AND(Home!$K$23&lt;&gt;$D$1419,TODAY()&lt;=Horarios!$A$4),O233,$D$1420))</f>
        <v>Francia</v>
      </c>
      <c r="K233" s="736" t="str">
        <f ca="1">IF(Home!$K$23=$D$1419,P233,
IF(AND(Home!$K$23&lt;&gt;$D$1419,TODAY()&lt;=Horarios!$A$4),P233,$D$1420))</f>
        <v>France</v>
      </c>
      <c r="O233" s="737" t="s">
        <v>74</v>
      </c>
      <c r="P233" s="737"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36" t="str">
        <f ca="1">IF(Home!$K$23=$D$1419,O234,
IF(AND(Home!$K$23&lt;&gt;$D$1419,TODAY()&lt;=Horarios!$A$4),O234,$D$1420))</f>
        <v>Ghana</v>
      </c>
      <c r="K234" s="736" t="str">
        <f ca="1">IF(Home!$K$23=$D$1419,P234,
IF(AND(Home!$K$23&lt;&gt;$D$1419,TODAY()&lt;=Horarios!$A$4),P234,$D$1420))</f>
        <v>Ghana</v>
      </c>
      <c r="O234" s="737" t="s">
        <v>1551</v>
      </c>
      <c r="P234" s="737"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36" t="str">
        <f ca="1">IF(Home!$K$23=$D$1419,O235,
IF(AND(Home!$K$23&lt;&gt;$D$1419,TODAY()&lt;=Horarios!$A$4),O235,$D$1420))</f>
        <v>Haití</v>
      </c>
      <c r="K235" s="736" t="str">
        <f ca="1">IF(Home!$K$23=$D$1419,P235,
IF(AND(Home!$K$23&lt;&gt;$D$1419,TODAY()&lt;=Horarios!$A$4),P235,$D$1420))</f>
        <v>Haiti</v>
      </c>
      <c r="O235" s="737" t="s">
        <v>1728</v>
      </c>
      <c r="P235" s="737"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36" t="str">
        <f ca="1">IF(Home!$K$23=$D$1419,O236,
IF(AND(Home!$K$23&lt;&gt;$D$1419,TODAY()&lt;=Horarios!$A$4),O236,$D$1420))</f>
        <v>Inglaterra</v>
      </c>
      <c r="K236" s="736" t="str">
        <f ca="1">IF(Home!$K$23=$D$1419,P236,
IF(AND(Home!$K$23&lt;&gt;$D$1419,TODAY()&lt;=Horarios!$A$4),P236,$D$1420))</f>
        <v>England</v>
      </c>
      <c r="O236" s="737" t="s">
        <v>76</v>
      </c>
      <c r="P236" s="737"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36" t="str">
        <f ca="1">IF(Home!$K$23=$D$1419,O237,
IF(AND(Home!$K$23&lt;&gt;$D$1419,TODAY()&lt;=Horarios!$A$4),O237,$D$1420))</f>
        <v>Irán</v>
      </c>
      <c r="K237" s="736" t="str">
        <f ca="1">IF(Home!$K$23=$D$1419,P237,
IF(AND(Home!$K$23&lt;&gt;$D$1419,TODAY()&lt;=Horarios!$A$4),P237,$D$1420))</f>
        <v>Iran</v>
      </c>
      <c r="O237" s="737" t="str">
        <f>Credits!N87</f>
        <v>Irán</v>
      </c>
      <c r="P237" s="737"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36" t="str">
        <f ca="1">IF(Home!$K$23=$D$1419,O238,
IF(AND(Home!$K$23&lt;&gt;$D$1419,TODAY()&lt;=Horarios!$A$4),O238,$D$1420))</f>
        <v>Japón</v>
      </c>
      <c r="K238" s="736" t="str">
        <f ca="1">IF(Home!$K$23=$D$1419,P238,
IF(AND(Home!$K$23&lt;&gt;$D$1419,TODAY()&lt;=Horarios!$A$4),P238,$D$1420))</f>
        <v>Japan</v>
      </c>
      <c r="O238" s="737" t="s">
        <v>1263</v>
      </c>
      <c r="P238" s="737"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36" t="str">
        <f ca="1">IF(Home!$K$23=$D$1419,O239,
IF(AND(Home!$K$23&lt;&gt;$D$1419,TODAY()&lt;=Horarios!$A$4),O239,$D$1420))</f>
        <v>Jordania</v>
      </c>
      <c r="K239" s="736" t="str">
        <f ca="1">IF(Home!$K$23=$D$1419,P239,
IF(AND(Home!$K$23&lt;&gt;$D$1419,TODAY()&lt;=Horarios!$A$4),P239,$D$1420))</f>
        <v>Jordan</v>
      </c>
      <c r="O239" s="737" t="s">
        <v>1264</v>
      </c>
      <c r="P239" s="737"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36" t="str">
        <f ca="1">IF(Home!$K$23=$D$1419,O240,
IF(AND(Home!$K$23&lt;&gt;$D$1419,TODAY()&lt;=Horarios!$A$4),O240,$D$1420))</f>
        <v>Marruecos</v>
      </c>
      <c r="K240" s="736" t="str">
        <f ca="1">IF(Home!$K$23=$D$1419,P240,
IF(AND(Home!$K$23&lt;&gt;$D$1419,TODAY()&lt;=Horarios!$A$4),P240,$D$1420))</f>
        <v>Morocco</v>
      </c>
      <c r="O240" s="737" t="s">
        <v>1321</v>
      </c>
      <c r="P240" s="737"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36" t="str">
        <f ca="1">IF(Home!$K$23=$D$1419,O241,
IF(AND(Home!$K$23&lt;&gt;$D$1419,TODAY()&lt;=Horarios!$A$4),O241,$D$1420))</f>
        <v>México</v>
      </c>
      <c r="K241" s="736" t="str">
        <f ca="1">IF(Home!$K$23=$D$1419,P241,
IF(AND(Home!$K$23&lt;&gt;$D$1419,TODAY()&lt;=Horarios!$A$4),P241,$D$1420))</f>
        <v>Mexico</v>
      </c>
      <c r="O241" s="737" t="s">
        <v>1265</v>
      </c>
      <c r="P241" s="737"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36" t="str">
        <f ca="1">IF(Home!$K$23=$D$1419,O242,
IF(AND(Home!$K$23&lt;&gt;$D$1419,TODAY()&lt;=Horarios!$A$4),O242,$D$1420))</f>
        <v>Noruega</v>
      </c>
      <c r="K242" s="736" t="str">
        <f ca="1">IF(Home!$K$23=$D$1419,P242,
IF(AND(Home!$K$23&lt;&gt;$D$1419,TODAY()&lt;=Horarios!$A$4),P242,$D$1420))</f>
        <v>Norway</v>
      </c>
      <c r="O242" s="737" t="s">
        <v>135</v>
      </c>
      <c r="P242" s="737"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36" t="str">
        <f ca="1">IF(Home!$K$23=$D$1419,O243,
IF(AND(Home!$K$23&lt;&gt;$D$1419,TODAY()&lt;=Horarios!$A$4),O243,$D$1420))</f>
        <v>Nueva Zelanda</v>
      </c>
      <c r="K243" s="736" t="str">
        <f ca="1">IF(Home!$K$23=$D$1419,P243,
IF(AND(Home!$K$23&lt;&gt;$D$1419,TODAY()&lt;=Horarios!$A$4),P243,$D$1420))</f>
        <v>New Zealand</v>
      </c>
      <c r="O243" s="737" t="s">
        <v>1266</v>
      </c>
      <c r="P243" s="737"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36" t="str">
        <f ca="1">IF(Home!$K$23=$D$1419,O244,
IF(AND(Home!$K$23&lt;&gt;$D$1419,TODAY()&lt;=Horarios!$A$4),O244,$D$1420))</f>
        <v>Países Bajos</v>
      </c>
      <c r="K244" s="736" t="str">
        <f ca="1">IF(Home!$K$23=$D$1419,P244,
IF(AND(Home!$K$23&lt;&gt;$D$1419,TODAY()&lt;=Horarios!$A$4),P244,$D$1420))</f>
        <v>Netherlands</v>
      </c>
      <c r="O244" s="737" t="s">
        <v>111</v>
      </c>
      <c r="P244" s="737"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36" t="str">
        <f ca="1">IF(Home!$K$23=$D$1419,O245,
IF(AND(Home!$K$23&lt;&gt;$D$1419,TODAY()&lt;=Horarios!$A$4),O245,$D$1420))</f>
        <v>Panamá</v>
      </c>
      <c r="K245" s="736" t="str">
        <f ca="1">IF(Home!$K$23=$D$1419,P245,
IF(AND(Home!$K$23&lt;&gt;$D$1419,TODAY()&lt;=Horarios!$A$4),P245,$D$1420))</f>
        <v>Panama</v>
      </c>
      <c r="O245" s="737" t="s">
        <v>1730</v>
      </c>
      <c r="P245" s="737"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36" t="str">
        <f ca="1">IF(Home!$K$23=$D$1419,O246,
IF(AND(Home!$K$23&lt;&gt;$D$1419,TODAY()&lt;=Horarios!$A$4),O246,$D$1420))</f>
        <v>Paraguay</v>
      </c>
      <c r="K246" s="736" t="str">
        <f ca="1">IF(Home!$K$23=$D$1419,P246,
IF(AND(Home!$K$23&lt;&gt;$D$1419,TODAY()&lt;=Horarios!$A$4),P246,$D$1420))</f>
        <v>Paraguay</v>
      </c>
      <c r="O246" s="737" t="s">
        <v>1319</v>
      </c>
      <c r="P246" s="737"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36" t="str">
        <f ca="1">IF(Home!$K$23=$D$1419,O247,
IF(AND(Home!$K$23&lt;&gt;$D$1419,TODAY()&lt;=Horarios!$A$4),O247,$D$1420))</f>
        <v>Portugal</v>
      </c>
      <c r="K247" s="736" t="str">
        <f ca="1">IF(Home!$K$23=$D$1419,P247,
IF(AND(Home!$K$23&lt;&gt;$D$1419,TODAY()&lt;=Horarios!$A$4),P247,$D$1420))</f>
        <v>Portugal</v>
      </c>
      <c r="O247" s="737" t="s">
        <v>79</v>
      </c>
      <c r="P247" s="737"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36" t="str">
        <f ca="1">IF(Home!$K$23=$D$1419,O248,
IF(AND(Home!$K$23&lt;&gt;$D$1419,TODAY()&lt;=Horarios!$A$4),O248,$D$1420))</f>
        <v>Senegal</v>
      </c>
      <c r="K248" s="736" t="str">
        <f ca="1">IF(Home!$K$23=$D$1419,P248,
IF(AND(Home!$K$23&lt;&gt;$D$1419,TODAY()&lt;=Horarios!$A$4),P248,$D$1420))</f>
        <v>Senegal</v>
      </c>
      <c r="O248" s="737" t="s">
        <v>1634</v>
      </c>
      <c r="P248" s="737"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36" t="str">
        <f ca="1">IF(Home!$K$23=$D$1419,O249,
IF(AND(Home!$K$23&lt;&gt;$D$1419,TODAY()&lt;=Horarios!$A$4),O249,$D$1420))</f>
        <v>Sudáfrica</v>
      </c>
      <c r="K249" s="736" t="str">
        <f ca="1">IF(Home!$K$23=$D$1419,P249,
IF(AND(Home!$K$23&lt;&gt;$D$1419,TODAY()&lt;=Horarios!$A$4),P249,$D$1420))</f>
        <v>South Africa</v>
      </c>
      <c r="O249" s="737" t="s">
        <v>1630</v>
      </c>
      <c r="P249" s="737"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36" t="str">
        <f ca="1">IF(Home!$K$23=$D$1419,O250,
IF(AND(Home!$K$23&lt;&gt;$D$1419,TODAY()&lt;=Horarios!$A$4),O250,$D$1420))</f>
        <v>Suiza</v>
      </c>
      <c r="K250" s="736" t="str">
        <f ca="1">IF(Home!$K$23=$D$1419,P250,
IF(AND(Home!$K$23&lt;&gt;$D$1419,TODAY()&lt;=Horarios!$A$4),P250,$D$1420))</f>
        <v>Switzerland</v>
      </c>
      <c r="O250" s="737" t="s">
        <v>75</v>
      </c>
      <c r="P250" s="737"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36" t="str">
        <f ca="1">IF(Home!$K$23=$D$1419,O251,
IF(AND(Home!$K$23&lt;&gt;$D$1419,TODAY()&lt;=Horarios!$A$4),O251,$D$1420))</f>
        <v>Túnez</v>
      </c>
      <c r="K251" s="736" t="str">
        <f ca="1">IF(Home!$K$23=$D$1419,P251,
IF(AND(Home!$K$23&lt;&gt;$D$1419,TODAY()&lt;=Horarios!$A$4),P251,$D$1420))</f>
        <v>Tunisia</v>
      </c>
      <c r="O251" s="737" t="s">
        <v>1322</v>
      </c>
      <c r="P251" s="737"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36" t="str">
        <f ca="1">IF(Home!$K$23=$D$1419,O252,
IF(AND(Home!$K$23&lt;&gt;$D$1419,TODAY()&lt;=Horarios!$A$4),O252,$D$1420))</f>
        <v>Uruguay</v>
      </c>
      <c r="K252" s="736" t="str">
        <f ca="1">IF(Home!$K$23=$D$1419,P252,
IF(AND(Home!$K$23&lt;&gt;$D$1419,TODAY()&lt;=Horarios!$A$4),P252,$D$1420))</f>
        <v>Uruguay</v>
      </c>
      <c r="O252" s="737" t="s">
        <v>1318</v>
      </c>
      <c r="P252" s="737"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36" t="str">
        <f ca="1">IF(Home!$K$23=$D$1419,O253,
IF(AND(Home!$K$23&lt;&gt;$D$1419,TODAY()&lt;=Horarios!$A$4),O253,$D$1420))</f>
        <v>Uzbekistán</v>
      </c>
      <c r="K253" s="736" t="str">
        <f ca="1">IF(Home!$K$23=$D$1419,P253,
IF(AND(Home!$K$23&lt;&gt;$D$1419,TODAY()&lt;=Horarios!$A$4),P253,$D$1420))</f>
        <v>Uzbekistan</v>
      </c>
      <c r="O253" s="737" t="s">
        <v>1267</v>
      </c>
      <c r="P253" s="737"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36" t="str">
        <f ca="1">IF(Home!$K$23=$D$1419,O254,
IF(AND(Home!$K$23&lt;&gt;$D$1419,TODAY()&lt;=Horarios!$A$4),O254,$D$1420))</f>
        <v>RD Congo</v>
      </c>
      <c r="K254" s="736" t="str">
        <f ca="1">IF(Home!$K$23=$D$1419,P254,
IF(AND(Home!$K$23&lt;&gt;$D$1419,TODAY()&lt;=Horarios!$A$4),P254,$D$1420))</f>
        <v>DR Congo</v>
      </c>
      <c r="O254" s="738" t="s">
        <v>1839</v>
      </c>
      <c r="P254" s="738"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36" t="str">
        <f ca="1">IF(Home!$K$23=$D$1419,O255,
IF(AND(Home!$K$23&lt;&gt;$D$1419,TODAY()&lt;=Horarios!$A$4),O255,$D$1420))</f>
        <v>Irak</v>
      </c>
      <c r="K255" s="736" t="str">
        <f ca="1">IF(Home!$K$23=$D$1419,P255,
IF(AND(Home!$K$23&lt;&gt;$D$1419,TODAY()&lt;=Horarios!$A$4),P255,$D$1420))</f>
        <v>Iraq</v>
      </c>
      <c r="O255" s="738" t="s">
        <v>1757</v>
      </c>
      <c r="P255" s="738"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36" t="str">
        <f ca="1">IF(Home!$K$23=$D$1419,O256,
IF(AND(Home!$K$23&lt;&gt;$D$1419,TODAY()&lt;=Horarios!$A$4),O256,$D$1420))</f>
        <v>Bosnia y Herzegovina</v>
      </c>
      <c r="K256" s="736" t="str">
        <f ca="1">IF(Home!$K$23=$D$1419,P256,
IF(AND(Home!$K$23&lt;&gt;$D$1419,TODAY()&lt;=Horarios!$A$4),P256,$D$1420))</f>
        <v>Bosnia and Herzegovina</v>
      </c>
      <c r="O256" s="738" t="s">
        <v>1841</v>
      </c>
      <c r="P256" s="738"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36" t="str">
        <f ca="1">IF(Home!$K$23=$D$1419,O257,
IF(AND(Home!$K$23&lt;&gt;$D$1419,TODAY()&lt;=Horarios!$A$4),O257,$D$1420))</f>
        <v>Suecia</v>
      </c>
      <c r="K257" s="736" t="str">
        <f ca="1">IF(Home!$K$23=$D$1419,P257,
IF(AND(Home!$K$23&lt;&gt;$D$1419,TODAY()&lt;=Horarios!$A$4),P257,$D$1420))</f>
        <v>Sweden</v>
      </c>
      <c r="O257" s="738" t="s">
        <v>1833</v>
      </c>
      <c r="P257" s="738"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36" t="str">
        <f ca="1">IF(Home!$K$23=$D$1419,O258,
IF(AND(Home!$K$23&lt;&gt;$D$1419,TODAY()&lt;=Horarios!$A$4),O258,$D$1420))</f>
        <v>Turquía</v>
      </c>
      <c r="K258" s="736" t="str">
        <f ca="1">IF(Home!$K$23=$D$1419,P258,
IF(AND(Home!$K$23&lt;&gt;$D$1419,TODAY()&lt;=Horarios!$A$4),P258,$D$1420))</f>
        <v>Turkey</v>
      </c>
      <c r="O258" s="738" t="s">
        <v>1835</v>
      </c>
      <c r="P258" s="738"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36" t="str">
        <f ca="1">IF(Home!$K$23=$D$1419,O259,
IF(AND(Home!$K$23&lt;&gt;$D$1419,TODAY()&lt;=Horarios!$A$4),O259,$D$1420))</f>
        <v>República Checa</v>
      </c>
      <c r="K259" s="736" t="str">
        <f ca="1">IF(Home!$K$23=$D$1419,P259,
IF(AND(Home!$K$23&lt;&gt;$D$1419,TODAY()&lt;=Horarios!$A$4),P259,$D$1420))</f>
        <v>Czech Republic</v>
      </c>
      <c r="O259" s="738" t="s">
        <v>1843</v>
      </c>
      <c r="P259" s="738" t="s">
        <v>1844</v>
      </c>
    </row>
    <row r="260" spans="1:16">
      <c r="A260" s="11"/>
      <c r="B260" s="11"/>
      <c r="C260" s="11"/>
      <c r="D260" s="11" t="str">
        <f t="shared" ref="D260:D264" si="12">IF($B$2,G260,H260)</f>
        <v>Dieciseisavos de final</v>
      </c>
      <c r="E260" s="11"/>
      <c r="F260" s="11"/>
      <c r="G260" s="11" t="s">
        <v>481</v>
      </c>
      <c r="H260" s="11" t="s">
        <v>482</v>
      </c>
      <c r="I260" s="11"/>
    </row>
    <row r="261" spans="1:16">
      <c r="A261" s="11"/>
      <c r="B261" s="11"/>
      <c r="C261" s="11"/>
      <c r="D261" s="11" t="str">
        <f t="shared" si="12"/>
        <v>Octavos de final</v>
      </c>
      <c r="E261" s="11"/>
      <c r="F261" s="11"/>
      <c r="G261" s="11" t="s">
        <v>87</v>
      </c>
      <c r="H261" s="11" t="s">
        <v>1452</v>
      </c>
      <c r="I261" s="11"/>
    </row>
    <row r="262" spans="1:16">
      <c r="A262" s="11"/>
      <c r="B262" s="11"/>
      <c r="C262" s="11"/>
      <c r="D262" s="11" t="str">
        <f t="shared" si="12"/>
        <v>Cuartos de final</v>
      </c>
      <c r="E262" s="11"/>
      <c r="F262" s="11"/>
      <c r="G262" s="11" t="s">
        <v>69</v>
      </c>
      <c r="H262" s="11" t="s">
        <v>219</v>
      </c>
      <c r="I262" s="11"/>
    </row>
    <row r="263" spans="1:16">
      <c r="A263" s="11"/>
      <c r="B263" s="11"/>
      <c r="C263" s="11"/>
      <c r="D263" s="11" t="str">
        <f t="shared" si="12"/>
        <v>Semifinales</v>
      </c>
      <c r="E263" s="11"/>
      <c r="F263" s="11"/>
      <c r="G263" s="11" t="s">
        <v>36</v>
      </c>
      <c r="H263" s="11" t="s">
        <v>220</v>
      </c>
      <c r="I263" s="11"/>
    </row>
    <row r="264" spans="1:16">
      <c r="A264" s="11"/>
      <c r="B264" s="11"/>
      <c r="C264" s="11"/>
      <c r="D264" s="11" t="str">
        <f t="shared" si="12"/>
        <v>3-4 &amp; Final</v>
      </c>
      <c r="E264" s="11"/>
      <c r="F264" s="11"/>
      <c r="G264" s="11" t="s">
        <v>1629</v>
      </c>
      <c r="H264" s="11" t="s">
        <v>1629</v>
      </c>
      <c r="I264" s="11"/>
    </row>
    <row r="265" spans="1:16">
      <c r="A265" s="11"/>
      <c r="B265" s="11"/>
      <c r="C265" s="11"/>
      <c r="D265" s="11"/>
      <c r="E265" s="11"/>
      <c r="F265" s="11"/>
      <c r="G265" s="11"/>
      <c r="H265" s="11"/>
      <c r="I265" s="11"/>
    </row>
    <row r="266" spans="1:16">
      <c r="A266" s="11" t="s">
        <v>375</v>
      </c>
      <c r="B266" s="11"/>
      <c r="C266" s="11"/>
      <c r="D266" s="11" t="str">
        <f t="shared" ref="D266" si="13">IF($B$2,G266,H266)</f>
        <v>Estados Unidos</v>
      </c>
      <c r="E266" s="11" t="s">
        <v>373</v>
      </c>
      <c r="F266" s="11" t="s">
        <v>374</v>
      </c>
      <c r="G266" s="11" t="s">
        <v>497</v>
      </c>
      <c r="H266" s="11" t="s">
        <v>498</v>
      </c>
      <c r="I266" s="11"/>
    </row>
    <row r="267" spans="1:16">
      <c r="A267" s="11"/>
      <c r="B267" s="11"/>
      <c r="C267" s="11"/>
      <c r="D267" s="11"/>
      <c r="E267" s="11"/>
      <c r="F267" s="11"/>
      <c r="G267" s="11"/>
      <c r="H267" s="11"/>
      <c r="I267" s="11"/>
    </row>
    <row r="268" spans="1:16">
      <c r="A268" s="11"/>
      <c r="B268" s="11"/>
      <c r="C268" s="11"/>
      <c r="D268" s="11"/>
      <c r="E268" s="11"/>
      <c r="F268" s="11"/>
      <c r="G268" s="11"/>
      <c r="H268" s="11"/>
      <c r="I268" s="11"/>
    </row>
    <row r="269" spans="1:16">
      <c r="A269" s="11"/>
      <c r="B269" s="11"/>
      <c r="C269" s="11"/>
      <c r="D269" s="11" t="str">
        <f t="shared" ref="D269:D284" si="14">IF($B$2,G269,H269)</f>
        <v>Campeón</v>
      </c>
      <c r="E269" s="11" t="s">
        <v>1242</v>
      </c>
      <c r="F269" s="11"/>
      <c r="G269" s="11" t="s">
        <v>18</v>
      </c>
      <c r="H269" s="688" t="s">
        <v>222</v>
      </c>
      <c r="I269" s="11"/>
    </row>
    <row r="270" spans="1:16">
      <c r="A270" s="11"/>
      <c r="B270" s="11"/>
      <c r="C270" s="11"/>
      <c r="D270" s="11" t="str">
        <f t="shared" si="14"/>
        <v>Subcampeón</v>
      </c>
      <c r="E270" s="11" t="s">
        <v>1242</v>
      </c>
      <c r="F270" s="11"/>
      <c r="G270" s="11" t="s">
        <v>19</v>
      </c>
      <c r="H270" s="11" t="s">
        <v>223</v>
      </c>
      <c r="I270" s="11"/>
    </row>
    <row r="271" spans="1:16">
      <c r="A271" s="11"/>
      <c r="B271" s="11"/>
      <c r="C271" s="11"/>
      <c r="D271" s="11" t="str">
        <f t="shared" si="14"/>
        <v>3º puesto</v>
      </c>
      <c r="E271" s="11" t="s">
        <v>1242</v>
      </c>
      <c r="F271" s="11"/>
      <c r="G271" s="11" t="s">
        <v>1234</v>
      </c>
      <c r="H271" s="11" t="s">
        <v>1235</v>
      </c>
      <c r="I271" s="11"/>
    </row>
    <row r="272" spans="1:16">
      <c r="A272" s="11"/>
      <c r="B272" s="11"/>
      <c r="C272" s="11"/>
      <c r="D272" s="11" t="str">
        <f t="shared" si="14"/>
        <v>Semifinales</v>
      </c>
      <c r="E272" s="11" t="s">
        <v>1242</v>
      </c>
      <c r="F272" s="11"/>
      <c r="G272" s="11" t="s">
        <v>36</v>
      </c>
      <c r="H272" s="688" t="s">
        <v>220</v>
      </c>
      <c r="I272" s="11"/>
    </row>
    <row r="273" spans="1:9">
      <c r="A273" s="11"/>
      <c r="B273" s="11"/>
      <c r="C273" s="11"/>
      <c r="D273" s="11" t="str">
        <f t="shared" si="14"/>
        <v>Cuartos de final</v>
      </c>
      <c r="E273" s="11" t="s">
        <v>1242</v>
      </c>
      <c r="F273" s="11"/>
      <c r="G273" s="11" t="s">
        <v>69</v>
      </c>
      <c r="H273" s="688" t="s">
        <v>219</v>
      </c>
      <c r="I273" s="11"/>
    </row>
    <row r="274" spans="1:9">
      <c r="A274" s="11"/>
      <c r="B274" s="11"/>
      <c r="C274" s="11"/>
      <c r="D274" s="11" t="str">
        <f t="shared" si="14"/>
        <v>Octavos de final</v>
      </c>
      <c r="E274" s="11" t="s">
        <v>1242</v>
      </c>
      <c r="F274" s="11"/>
      <c r="G274" s="11" t="s">
        <v>87</v>
      </c>
      <c r="H274" s="688" t="s">
        <v>218</v>
      </c>
      <c r="I274" s="11"/>
    </row>
    <row r="275" spans="1:9">
      <c r="A275" s="11"/>
      <c r="B275" s="11"/>
      <c r="C275" s="11"/>
      <c r="D275" s="11" t="str">
        <f t="shared" si="14"/>
        <v>Dieciseisavos de final</v>
      </c>
      <c r="E275" s="11" t="s">
        <v>1242</v>
      </c>
      <c r="F275" s="11"/>
      <c r="G275" s="11" t="s">
        <v>481</v>
      </c>
      <c r="H275" s="11" t="s">
        <v>482</v>
      </c>
      <c r="I275" s="11"/>
    </row>
    <row r="276" spans="1:9">
      <c r="A276" s="11"/>
      <c r="B276" s="11"/>
      <c r="C276" s="11"/>
      <c r="D276" s="11" t="str">
        <f t="shared" si="14"/>
        <v>Fase de grupos</v>
      </c>
      <c r="E276" s="11" t="s">
        <v>1242</v>
      </c>
      <c r="F276" s="11"/>
      <c r="G276" s="11" t="s">
        <v>1243</v>
      </c>
      <c r="H276" s="688" t="s">
        <v>1244</v>
      </c>
      <c r="I276" s="11"/>
    </row>
    <row r="277" spans="1:9">
      <c r="A277" s="11"/>
      <c r="B277" s="11"/>
      <c r="C277" s="11"/>
      <c r="D277" s="11" t="str">
        <f t="shared" si="14"/>
        <v>Pronóstica la ronda</v>
      </c>
      <c r="E277" s="11" t="s">
        <v>1242</v>
      </c>
      <c r="F277" s="11"/>
      <c r="G277" s="688" t="s">
        <v>1236</v>
      </c>
      <c r="H277" s="688" t="s">
        <v>1237</v>
      </c>
      <c r="I277" s="11"/>
    </row>
    <row r="278" spans="1:9">
      <c r="A278" s="11"/>
      <c r="B278" s="11"/>
      <c r="C278" s="11"/>
      <c r="D278" s="11" t="str">
        <f t="shared" si="14"/>
        <v>Predice la selección</v>
      </c>
      <c r="E278" s="11" t="s">
        <v>1242</v>
      </c>
      <c r="F278" s="11"/>
      <c r="G278" s="688" t="s">
        <v>1245</v>
      </c>
      <c r="H278" s="688" t="s">
        <v>1246</v>
      </c>
      <c r="I278" s="11"/>
    </row>
    <row r="279" spans="1:9">
      <c r="A279" s="11"/>
      <c r="B279" s="11"/>
      <c r="C279" s="11"/>
      <c r="D279" s="11" t="str">
        <f t="shared" si="14"/>
        <v>Ronda</v>
      </c>
      <c r="E279" s="11" t="s">
        <v>1242</v>
      </c>
      <c r="F279" s="11"/>
      <c r="G279" s="688" t="s">
        <v>1238</v>
      </c>
      <c r="H279" s="688" t="s">
        <v>1239</v>
      </c>
      <c r="I279" s="11"/>
    </row>
    <row r="280" spans="1:9">
      <c r="A280" s="11"/>
      <c r="B280" s="11"/>
      <c r="C280" s="11"/>
      <c r="D280" s="11" t="str">
        <f t="shared" si="14"/>
        <v>·Selecciona para cada ronda el la selección o selecciones que crees que van a llegar hasta esa ronda.</v>
      </c>
      <c r="E280" s="11" t="s">
        <v>1242</v>
      </c>
      <c r="F280" s="11"/>
      <c r="G280" s="11" t="s">
        <v>1247</v>
      </c>
      <c r="H280" s="688" t="s">
        <v>1253</v>
      </c>
      <c r="I280" s="11"/>
    </row>
    <row r="281" spans="1:9">
      <c r="A281" s="11"/>
      <c r="B281" s="11"/>
      <c r="C281" s="11"/>
      <c r="D281" s="11" t="str">
        <f t="shared" si="14"/>
        <v>·Una vez elijas una selección, dejará de aparecer en la lista</v>
      </c>
      <c r="E281" s="11" t="s">
        <v>1242</v>
      </c>
      <c r="F281" s="11"/>
      <c r="G281" s="11" t="s">
        <v>1254</v>
      </c>
      <c r="H281" s="688" t="s">
        <v>1252</v>
      </c>
      <c r="I281" s="11"/>
    </row>
    <row r="282" spans="1:9">
      <c r="A282" s="11"/>
      <c r="B282" s="11"/>
      <c r="C282" s="11"/>
      <c r="D282" s="11" t="str">
        <f t="shared" si="14"/>
        <v xml:space="preserve">·Si has rellenado todos y quieres hacer un cambio, </v>
      </c>
      <c r="E282" s="11" t="s">
        <v>1242</v>
      </c>
      <c r="F282" s="11"/>
      <c r="G282" s="11" t="s">
        <v>1240</v>
      </c>
      <c r="H282" s="688" t="s">
        <v>1241</v>
      </c>
      <c r="I282" s="11"/>
    </row>
    <row r="283" spans="1:9">
      <c r="A283" s="11"/>
      <c r="B283" s="11"/>
      <c r="C283" s="11"/>
      <c r="D283" s="11" t="str">
        <f t="shared" si="14"/>
        <v xml:space="preserve"> borra las selecciones que quieras cambiar y podrás volver a elegirlas</v>
      </c>
      <c r="E283" s="11" t="s">
        <v>1242</v>
      </c>
      <c r="F283" s="11"/>
      <c r="G283" s="11" t="s">
        <v>1248</v>
      </c>
      <c r="H283" s="688" t="s">
        <v>1251</v>
      </c>
      <c r="I283" s="11"/>
    </row>
    <row r="284" spans="1:9">
      <c r="A284" s="11"/>
      <c r="B284" s="11"/>
      <c r="C284" s="11"/>
      <c r="D284" s="11" t="str">
        <f t="shared" si="14"/>
        <v>Rellenar antes del comienzo del Mundial</v>
      </c>
      <c r="E284" s="11" t="s">
        <v>1242</v>
      </c>
      <c r="F284" s="11"/>
      <c r="G284" s="11" t="s">
        <v>1249</v>
      </c>
      <c r="H284" s="688" t="s">
        <v>1250</v>
      </c>
      <c r="I284" s="11"/>
    </row>
    <row r="285" spans="1:9">
      <c r="A285" s="11"/>
      <c r="B285" s="11"/>
      <c r="C285" s="11"/>
      <c r="D285" s="11" t="str">
        <f t="shared" ref="D285" si="15">IF($B$2,G285,H285)</f>
        <v>·Si en tu grupo no vais a usar el predictor, puedes dejarlo sin rellenar</v>
      </c>
      <c r="E285" s="11" t="s">
        <v>1242</v>
      </c>
      <c r="F285" s="11"/>
      <c r="G285" s="11" t="s">
        <v>1363</v>
      </c>
      <c r="H285" s="11" t="s">
        <v>1364</v>
      </c>
      <c r="I285" s="11"/>
    </row>
    <row r="286" spans="1:9">
      <c r="A286" s="11"/>
      <c r="B286" s="11"/>
      <c r="C286" s="11"/>
      <c r="D286" s="11"/>
      <c r="E286" s="11"/>
      <c r="F286" s="11"/>
      <c r="G286" s="11"/>
      <c r="H286" s="11"/>
      <c r="I286" s="11"/>
    </row>
    <row r="287" spans="1:9">
      <c r="A287" s="11"/>
      <c r="B287" s="11"/>
      <c r="C287" s="11"/>
      <c r="D287" s="11"/>
      <c r="E287" s="11"/>
      <c r="F287" s="11"/>
      <c r="G287" s="11"/>
      <c r="H287" s="11"/>
      <c r="I287" s="11"/>
    </row>
    <row r="288" spans="1:9">
      <c r="A288" s="11"/>
      <c r="B288" s="11"/>
      <c r="C288" s="11"/>
      <c r="D288" s="11"/>
      <c r="E288" s="11"/>
      <c r="F288" s="11"/>
      <c r="G288" s="11"/>
      <c r="H288" s="11"/>
      <c r="I288" s="11"/>
    </row>
    <row r="289" spans="1:9">
      <c r="A289" s="11"/>
      <c r="B289" s="11"/>
      <c r="C289" s="11"/>
      <c r="D289" s="11"/>
      <c r="E289" s="11"/>
      <c r="F289" s="11"/>
      <c r="G289" s="11"/>
      <c r="H289" s="11"/>
      <c r="I289" s="11"/>
    </row>
    <row r="290" spans="1:9">
      <c r="A290" s="11"/>
      <c r="B290" s="11"/>
      <c r="C290" s="11"/>
      <c r="D290" s="11"/>
      <c r="E290" s="11"/>
      <c r="F290" s="11"/>
      <c r="G290" s="11"/>
      <c r="H290" s="11"/>
      <c r="I290" s="11"/>
    </row>
    <row r="291" spans="1:9">
      <c r="A291" s="11"/>
      <c r="B291" s="11"/>
      <c r="C291" s="11"/>
      <c r="D291" s="11"/>
      <c r="E291" s="11"/>
      <c r="F291" s="11"/>
      <c r="G291" s="11"/>
      <c r="H291" s="11"/>
      <c r="I291" s="11"/>
    </row>
    <row r="292" spans="1:9">
      <c r="A292" s="11"/>
      <c r="B292" s="11"/>
      <c r="C292" s="11"/>
      <c r="D292" s="11"/>
      <c r="E292" s="11"/>
      <c r="F292" s="11"/>
      <c r="G292" s="11"/>
      <c r="H292" s="11"/>
      <c r="I292" s="11"/>
    </row>
    <row r="293" spans="1:9">
      <c r="A293" s="11"/>
      <c r="B293" s="11"/>
      <c r="C293" s="11"/>
      <c r="D293" s="11"/>
      <c r="E293" s="11"/>
      <c r="F293" s="11"/>
      <c r="G293" s="11"/>
      <c r="H293" s="11"/>
      <c r="I293" s="11"/>
    </row>
    <row r="294" spans="1:9">
      <c r="A294" s="11"/>
      <c r="B294" s="11"/>
      <c r="C294" s="11"/>
      <c r="D294" s="11"/>
      <c r="E294" s="11"/>
      <c r="F294" s="11"/>
      <c r="G294" s="11"/>
      <c r="H294" s="11"/>
      <c r="I294" s="11"/>
    </row>
    <row r="295" spans="1:9">
      <c r="A295" s="11"/>
      <c r="B295" s="11"/>
      <c r="C295" s="11"/>
      <c r="D295" s="11"/>
      <c r="E295" s="11"/>
      <c r="F295" s="11"/>
      <c r="G295" s="11"/>
      <c r="H295" s="11"/>
      <c r="I295" s="11"/>
    </row>
    <row r="296" spans="1:9">
      <c r="A296" s="11"/>
      <c r="B296" s="11"/>
      <c r="C296" s="11"/>
      <c r="D296" s="11"/>
      <c r="E296" s="11"/>
      <c r="F296" s="11"/>
      <c r="G296" s="11"/>
      <c r="H296" s="11"/>
      <c r="I296" s="11"/>
    </row>
    <row r="297" spans="1:9">
      <c r="A297" s="11"/>
      <c r="B297" s="11"/>
      <c r="C297" s="11"/>
      <c r="D297" s="11"/>
      <c r="E297" s="11"/>
      <c r="F297" s="11"/>
      <c r="G297" s="11"/>
      <c r="H297" s="11"/>
      <c r="I297" s="11"/>
    </row>
    <row r="298" spans="1:9">
      <c r="A298" s="11"/>
      <c r="B298" s="11"/>
      <c r="C298" s="11"/>
      <c r="D298" s="11"/>
      <c r="E298" s="11"/>
      <c r="F298" s="11"/>
      <c r="G298" s="11"/>
      <c r="H298" s="11"/>
      <c r="I298" s="11"/>
    </row>
    <row r="299" spans="1:9">
      <c r="A299" s="11"/>
      <c r="B299" s="11"/>
      <c r="C299" s="11"/>
      <c r="D299" s="11" t="str">
        <f t="shared" ref="D299:D363" si="16">IF($B$2,G299,H299)</f>
        <v>Selecciona el Nº de Jugadores</v>
      </c>
      <c r="E299" s="777" t="s">
        <v>1375</v>
      </c>
      <c r="F299" s="777" t="s">
        <v>126</v>
      </c>
      <c r="G299" s="777" t="s">
        <v>1376</v>
      </c>
      <c r="H299" s="777" t="s">
        <v>1516</v>
      </c>
      <c r="I299" s="11"/>
    </row>
    <row r="300" spans="1:9">
      <c r="A300" s="11"/>
      <c r="B300" s="11"/>
      <c r="C300" s="11"/>
      <c r="D300" s="11" t="str">
        <f t="shared" si="16"/>
        <v>↓↓ Resultados reales ↓↓</v>
      </c>
      <c r="E300" s="777" t="s">
        <v>1375</v>
      </c>
      <c r="F300" s="777" t="s">
        <v>181</v>
      </c>
      <c r="G300" s="777" t="s">
        <v>1377</v>
      </c>
      <c r="H300" s="777" t="s">
        <v>1378</v>
      </c>
      <c r="I300" s="11"/>
    </row>
    <row r="301" spans="1:9">
      <c r="A301" s="11"/>
      <c r="B301" s="11"/>
      <c r="C301" s="11"/>
      <c r="D301" s="11" t="str">
        <f t="shared" si="16"/>
        <v>Regla* (Click para ver la explicación)</v>
      </c>
      <c r="E301" s="777" t="s">
        <v>1375</v>
      </c>
      <c r="F301" s="777" t="s">
        <v>1379</v>
      </c>
      <c r="G301" s="777" t="s">
        <v>1829</v>
      </c>
      <c r="H301" s="777" t="s">
        <v>1830</v>
      </c>
      <c r="I301" s="11"/>
    </row>
    <row r="302" spans="1:9">
      <c r="A302" s="11"/>
      <c r="B302" s="11"/>
      <c r="C302" s="11"/>
      <c r="D302" s="11" t="str">
        <f t="shared" si="16"/>
        <v>https://matejero.es/puntuaciones-excel-mundial-2026/</v>
      </c>
      <c r="E302" s="777" t="s">
        <v>1375</v>
      </c>
      <c r="F302" s="777"/>
      <c r="G302" s="778" t="s">
        <v>1828</v>
      </c>
      <c r="H302" s="778" t="s">
        <v>1917</v>
      </c>
      <c r="I302" s="11"/>
    </row>
    <row r="303" spans="1:9">
      <c r="A303" s="11"/>
      <c r="B303" s="11"/>
      <c r="C303" s="11"/>
      <c r="D303" s="11" t="str">
        <f t="shared" si="16"/>
        <v>Puntos</v>
      </c>
      <c r="E303" s="777" t="s">
        <v>1375</v>
      </c>
      <c r="F303" s="777" t="s">
        <v>1380</v>
      </c>
      <c r="G303" s="777" t="s">
        <v>1381</v>
      </c>
      <c r="H303" s="777" t="s">
        <v>1382</v>
      </c>
      <c r="I303" s="11"/>
    </row>
    <row r="304" spans="1:9">
      <c r="A304" s="11"/>
      <c r="B304" s="11"/>
      <c r="C304" s="11"/>
      <c r="D304" s="11" t="str">
        <f t="shared" si="16"/>
        <v>FASE DE GRUPOS - Signo 1X2 (local, empate, visitante)</v>
      </c>
      <c r="E304" s="777" t="s">
        <v>1375</v>
      </c>
      <c r="F304" s="777" t="s">
        <v>1383</v>
      </c>
      <c r="G304" s="777" t="s">
        <v>1774</v>
      </c>
      <c r="H304" s="777" t="s">
        <v>1775</v>
      </c>
      <c r="I304" s="11"/>
    </row>
    <row r="305" spans="1:9">
      <c r="A305" s="11"/>
      <c r="B305" s="11"/>
      <c r="C305" s="11"/>
      <c r="D305" s="11" t="str">
        <f t="shared" si="16"/>
        <v>FASE DE GRUPOS - Diferencia/Distancia de goles (Con 1X2 acertado)</v>
      </c>
      <c r="E305" s="777" t="s">
        <v>1375</v>
      </c>
      <c r="F305" s="777" t="s">
        <v>1384</v>
      </c>
      <c r="G305" s="777" t="s">
        <v>1766</v>
      </c>
      <c r="H305" s="777" t="s">
        <v>1385</v>
      </c>
      <c r="I305" s="11"/>
    </row>
    <row r="306" spans="1:9">
      <c r="A306" s="11"/>
      <c r="B306" s="11"/>
      <c r="C306" s="11"/>
      <c r="D306" s="11" t="str">
        <f t="shared" si="16"/>
        <v>FASE DE GRUPOS - Resultado exacto</v>
      </c>
      <c r="E306" s="777" t="s">
        <v>1375</v>
      </c>
      <c r="F306" s="777" t="s">
        <v>1386</v>
      </c>
      <c r="G306" s="777" t="s">
        <v>1387</v>
      </c>
      <c r="H306" s="777" t="s">
        <v>1388</v>
      </c>
      <c r="I306" s="11"/>
    </row>
    <row r="307" spans="1:9">
      <c r="A307" s="11"/>
      <c r="B307" s="11"/>
      <c r="C307" s="11"/>
      <c r="D307" s="11" t="str">
        <f t="shared" si="16"/>
        <v>FASE DE GRUPOS - Posición exacta (1º)</v>
      </c>
      <c r="E307" s="777" t="s">
        <v>1375</v>
      </c>
      <c r="F307" s="777" t="s">
        <v>1389</v>
      </c>
      <c r="G307" s="777" t="s">
        <v>1390</v>
      </c>
      <c r="H307" s="777" t="s">
        <v>1391</v>
      </c>
      <c r="I307" s="11"/>
    </row>
    <row r="308" spans="1:9">
      <c r="A308" s="11"/>
      <c r="B308" s="11"/>
      <c r="C308" s="11"/>
      <c r="D308" s="11" t="str">
        <f t="shared" si="16"/>
        <v>FASE DE GRUPOS - Posición exacta (2º)</v>
      </c>
      <c r="E308" s="777" t="s">
        <v>1375</v>
      </c>
      <c r="F308" s="777" t="s">
        <v>1398</v>
      </c>
      <c r="G308" s="777" t="s">
        <v>1392</v>
      </c>
      <c r="H308" s="777" t="s">
        <v>1393</v>
      </c>
      <c r="I308" s="11"/>
    </row>
    <row r="309" spans="1:9">
      <c r="A309" s="11"/>
      <c r="B309" s="11"/>
      <c r="C309" s="11"/>
      <c r="D309" s="11" t="str">
        <f t="shared" si="16"/>
        <v>FASE DE GRUPOS - Posición exacta (3º)</v>
      </c>
      <c r="E309" s="777" t="s">
        <v>1375</v>
      </c>
      <c r="F309" s="777" t="s">
        <v>1398</v>
      </c>
      <c r="G309" s="777" t="s">
        <v>1394</v>
      </c>
      <c r="H309" s="777" t="s">
        <v>1395</v>
      </c>
      <c r="I309" s="11"/>
    </row>
    <row r="310" spans="1:9">
      <c r="A310" s="11"/>
      <c r="B310" s="11"/>
      <c r="C310" s="11"/>
      <c r="D310" s="11" t="str">
        <f t="shared" si="16"/>
        <v>FASE DE GRUPOS - Posición exacta (4º)</v>
      </c>
      <c r="E310" s="777" t="s">
        <v>1375</v>
      </c>
      <c r="F310" s="777" t="s">
        <v>1400</v>
      </c>
      <c r="G310" s="777" t="s">
        <v>1396</v>
      </c>
      <c r="H310" s="777" t="s">
        <v>1397</v>
      </c>
      <c r="I310" s="11"/>
    </row>
    <row r="311" spans="1:9">
      <c r="A311" s="11"/>
      <c r="B311" s="11"/>
      <c r="C311" s="11"/>
      <c r="D311" s="11" t="str">
        <f t="shared" si="16"/>
        <v>Equipo clasificado para DIECISEISAVOS</v>
      </c>
      <c r="E311" s="777" t="s">
        <v>1375</v>
      </c>
      <c r="F311" s="777" t="s">
        <v>1403</v>
      </c>
      <c r="G311" s="777" t="s">
        <v>1540</v>
      </c>
      <c r="H311" s="777" t="s">
        <v>1572</v>
      </c>
      <c r="I311" s="11"/>
    </row>
    <row r="312" spans="1:9">
      <c r="A312" s="11"/>
      <c r="B312" s="11"/>
      <c r="C312" s="11"/>
      <c r="D312" s="11" t="str">
        <f t="shared" si="16"/>
        <v>DIECISEISAVOS - Signo 1X2 (local, empate, visitante)</v>
      </c>
      <c r="E312" s="777" t="s">
        <v>1375</v>
      </c>
      <c r="F312" s="777" t="s">
        <v>1405</v>
      </c>
      <c r="G312" s="777" t="s">
        <v>1542</v>
      </c>
      <c r="H312" s="777" t="s">
        <v>1547</v>
      </c>
      <c r="I312" s="11"/>
    </row>
    <row r="313" spans="1:9">
      <c r="A313" s="11"/>
      <c r="B313" s="11"/>
      <c r="C313" s="11"/>
      <c r="D313" s="11" t="str">
        <f t="shared" si="16"/>
        <v>DIECISEISAVOS - Diferencia/Distancia de goles (Con 1X2 acertado)</v>
      </c>
      <c r="E313" s="777" t="s">
        <v>1375</v>
      </c>
      <c r="F313" s="777" t="s">
        <v>1400</v>
      </c>
      <c r="G313" s="777" t="s">
        <v>1767</v>
      </c>
      <c r="H313" s="777" t="s">
        <v>1548</v>
      </c>
      <c r="I313" s="11"/>
    </row>
    <row r="314" spans="1:9">
      <c r="A314" s="11"/>
      <c r="B314" s="11"/>
      <c r="C314" s="11"/>
      <c r="D314" s="11" t="str">
        <f t="shared" si="16"/>
        <v>DIECISEISAVOS - Resultado exacto</v>
      </c>
      <c r="E314" s="777" t="s">
        <v>1375</v>
      </c>
      <c r="F314" s="777" t="s">
        <v>1403</v>
      </c>
      <c r="G314" s="777" t="s">
        <v>1541</v>
      </c>
      <c r="H314" s="777" t="s">
        <v>1549</v>
      </c>
      <c r="I314" s="11"/>
    </row>
    <row r="315" spans="1:9">
      <c r="A315" s="11"/>
      <c r="B315" s="11"/>
      <c r="C315" s="11"/>
      <c r="D315" s="11" t="str">
        <f t="shared" si="16"/>
        <v>Equipo clasificado para OCTAVOS</v>
      </c>
      <c r="E315" s="777" t="s">
        <v>1375</v>
      </c>
      <c r="F315" s="777" t="s">
        <v>1405</v>
      </c>
      <c r="G315" s="777" t="s">
        <v>1399</v>
      </c>
      <c r="H315" s="777" t="s">
        <v>1561</v>
      </c>
      <c r="I315" s="11"/>
    </row>
    <row r="316" spans="1:9">
      <c r="A316" s="11"/>
      <c r="B316" s="11"/>
      <c r="C316" s="11"/>
      <c r="D316" s="11" t="str">
        <f t="shared" si="16"/>
        <v>OCTAVOS - Signo 1X2  (local, empate, visitante)</v>
      </c>
      <c r="E316" s="777" t="s">
        <v>1375</v>
      </c>
      <c r="F316" s="777" t="s">
        <v>1407</v>
      </c>
      <c r="G316" s="777" t="s">
        <v>1401</v>
      </c>
      <c r="H316" s="777" t="s">
        <v>1402</v>
      </c>
      <c r="I316" s="11"/>
    </row>
    <row r="317" spans="1:9">
      <c r="A317" s="11"/>
      <c r="B317" s="11"/>
      <c r="C317" s="11"/>
      <c r="D317" s="11" t="str">
        <f t="shared" si="16"/>
        <v>OCTAVOS -Diferencia/Distancia de goles (Con 1X2 acertado)</v>
      </c>
      <c r="E317" s="777" t="s">
        <v>1375</v>
      </c>
      <c r="F317" s="777" t="s">
        <v>1409</v>
      </c>
      <c r="G317" s="777" t="s">
        <v>1768</v>
      </c>
      <c r="H317" s="777" t="s">
        <v>1404</v>
      </c>
      <c r="I317" s="11"/>
    </row>
    <row r="318" spans="1:9">
      <c r="A318" s="11"/>
      <c r="B318" s="11"/>
      <c r="C318" s="11"/>
      <c r="D318" s="11" t="str">
        <f t="shared" si="16"/>
        <v>OCTAVOS - Resultado exacto</v>
      </c>
      <c r="E318" s="777" t="s">
        <v>1375</v>
      </c>
      <c r="F318" s="777" t="s">
        <v>1412</v>
      </c>
      <c r="G318" s="777" t="s">
        <v>1406</v>
      </c>
      <c r="H318" s="777" t="s">
        <v>1517</v>
      </c>
      <c r="I318" s="11"/>
    </row>
    <row r="319" spans="1:9">
      <c r="A319" s="11"/>
      <c r="B319" s="11"/>
      <c r="C319" s="11"/>
      <c r="D319" s="11" t="str">
        <f t="shared" si="16"/>
        <v>Equipo clasificado para CUARTOS</v>
      </c>
      <c r="E319" s="777" t="s">
        <v>1375</v>
      </c>
      <c r="F319" s="777" t="s">
        <v>1414</v>
      </c>
      <c r="G319" s="777" t="s">
        <v>1408</v>
      </c>
      <c r="H319" s="777" t="s">
        <v>1518</v>
      </c>
      <c r="I319" s="11"/>
    </row>
    <row r="320" spans="1:9">
      <c r="A320" s="11"/>
      <c r="B320" s="11"/>
      <c r="C320" s="11"/>
      <c r="D320" s="11" t="str">
        <f t="shared" si="16"/>
        <v>CUARTOS - Signo 1X2  (local, empate, visitante)</v>
      </c>
      <c r="E320" s="777" t="s">
        <v>1375</v>
      </c>
      <c r="F320" s="777" t="s">
        <v>1416</v>
      </c>
      <c r="G320" s="777" t="s">
        <v>1410</v>
      </c>
      <c r="H320" s="777" t="s">
        <v>1411</v>
      </c>
      <c r="I320" s="11"/>
    </row>
    <row r="321" spans="1:9">
      <c r="A321" s="11"/>
      <c r="B321" s="11"/>
      <c r="C321" s="11"/>
      <c r="D321" s="11" t="str">
        <f t="shared" si="16"/>
        <v>CUARTOS -Diferencia/Distancia de goles (Con 1X2 acertado)</v>
      </c>
      <c r="E321" s="777" t="s">
        <v>1375</v>
      </c>
      <c r="F321" s="777" t="s">
        <v>1418</v>
      </c>
      <c r="G321" s="777" t="s">
        <v>1769</v>
      </c>
      <c r="H321" s="777" t="s">
        <v>1413</v>
      </c>
      <c r="I321" s="11"/>
    </row>
    <row r="322" spans="1:9">
      <c r="A322" s="11"/>
      <c r="B322" s="11"/>
      <c r="C322" s="11"/>
      <c r="D322" s="11" t="str">
        <f t="shared" si="16"/>
        <v>CUARTOS - Resultado exacto</v>
      </c>
      <c r="E322" s="777" t="s">
        <v>1375</v>
      </c>
      <c r="F322" s="777" t="s">
        <v>1421</v>
      </c>
      <c r="G322" s="777" t="s">
        <v>1415</v>
      </c>
      <c r="H322" s="777" t="s">
        <v>1519</v>
      </c>
      <c r="I322" s="11"/>
    </row>
    <row r="323" spans="1:9">
      <c r="A323" s="11"/>
      <c r="B323" s="11"/>
      <c r="C323" s="11"/>
      <c r="D323" s="11" t="str">
        <f t="shared" si="16"/>
        <v>Equipo clasificado para SEMIFINALES</v>
      </c>
      <c r="E323" s="777" t="s">
        <v>1375</v>
      </c>
      <c r="F323" s="777" t="s">
        <v>1423</v>
      </c>
      <c r="G323" s="777" t="s">
        <v>1417</v>
      </c>
      <c r="H323" s="777" t="s">
        <v>1562</v>
      </c>
      <c r="I323" s="11"/>
    </row>
    <row r="324" spans="1:9">
      <c r="A324" s="11"/>
      <c r="B324" s="11"/>
      <c r="C324" s="11"/>
      <c r="D324" s="11" t="str">
        <f t="shared" si="16"/>
        <v>SEMIFINALES - Signo 1X2  (local, empate, visitante)</v>
      </c>
      <c r="E324" s="777" t="s">
        <v>1375</v>
      </c>
      <c r="F324" s="777" t="s">
        <v>1426</v>
      </c>
      <c r="G324" s="777" t="s">
        <v>1419</v>
      </c>
      <c r="H324" s="777" t="s">
        <v>1420</v>
      </c>
      <c r="I324" s="11"/>
    </row>
    <row r="325" spans="1:9">
      <c r="A325" s="11"/>
      <c r="B325" s="11"/>
      <c r="C325" s="11"/>
      <c r="D325" s="11" t="str">
        <f t="shared" si="16"/>
        <v>SEMIFINALES -Diferencia/Distancia de goles (Con 1X2 acertado)</v>
      </c>
      <c r="E325" s="777" t="s">
        <v>1375</v>
      </c>
      <c r="F325" s="777" t="s">
        <v>1426</v>
      </c>
      <c r="G325" s="777" t="s">
        <v>1770</v>
      </c>
      <c r="H325" s="777" t="s">
        <v>1422</v>
      </c>
      <c r="I325" s="11"/>
    </row>
    <row r="326" spans="1:9">
      <c r="A326" s="11"/>
      <c r="B326" s="11"/>
      <c r="C326" s="11"/>
      <c r="D326" s="11" t="str">
        <f t="shared" si="16"/>
        <v>SEMIFINALES - Resultado exacto</v>
      </c>
      <c r="E326" s="777" t="s">
        <v>1375</v>
      </c>
      <c r="F326" s="777" t="s">
        <v>1427</v>
      </c>
      <c r="G326" s="777" t="s">
        <v>1424</v>
      </c>
      <c r="H326" s="777" t="s">
        <v>1425</v>
      </c>
      <c r="I326" s="11"/>
    </row>
    <row r="327" spans="1:9">
      <c r="A327" s="11"/>
      <c r="B327" s="11"/>
      <c r="C327" s="11"/>
      <c r="D327" s="11" t="str">
        <f t="shared" si="16"/>
        <v>Equipo clasificado para 3º y 4º puesto</v>
      </c>
      <c r="E327" s="777" t="s">
        <v>1375</v>
      </c>
      <c r="F327" s="777" t="s">
        <v>1430</v>
      </c>
      <c r="G327" s="777" t="s">
        <v>1544</v>
      </c>
      <c r="H327" s="777" t="s">
        <v>1710</v>
      </c>
      <c r="I327" s="11"/>
    </row>
    <row r="328" spans="1:9">
      <c r="A328" s="11"/>
      <c r="B328" s="11"/>
      <c r="C328" s="11"/>
      <c r="D328" s="11" t="str">
        <f t="shared" si="16"/>
        <v>Equipo clasificado para FINAL</v>
      </c>
      <c r="E328" s="777" t="s">
        <v>1375</v>
      </c>
      <c r="F328" s="777" t="s">
        <v>1432</v>
      </c>
      <c r="G328" s="777" t="s">
        <v>1543</v>
      </c>
      <c r="H328" s="777" t="s">
        <v>1520</v>
      </c>
      <c r="I328" s="11"/>
    </row>
    <row r="329" spans="1:9">
      <c r="A329" s="11"/>
      <c r="B329" s="11"/>
      <c r="C329" s="11"/>
      <c r="D329" s="11" t="str">
        <f t="shared" si="16"/>
        <v>3ºy4º PUESTO - Signo 1X2  (local, empate, visitante)</v>
      </c>
      <c r="E329" s="777" t="s">
        <v>1375</v>
      </c>
      <c r="F329" s="777" t="s">
        <v>1435</v>
      </c>
      <c r="G329" s="777" t="s">
        <v>1545</v>
      </c>
      <c r="H329" s="777" t="s">
        <v>1563</v>
      </c>
      <c r="I329" s="11"/>
    </row>
    <row r="330" spans="1:9">
      <c r="A330" s="11"/>
      <c r="B330" s="11"/>
      <c r="C330" s="11"/>
      <c r="D330" s="11" t="str">
        <f t="shared" si="16"/>
        <v>3ºy4º PUESTO - Diferencia/Distancia de goles (Con 1X2 acertado)</v>
      </c>
      <c r="E330" s="777" t="s">
        <v>1375</v>
      </c>
      <c r="F330" s="777" t="s">
        <v>1436</v>
      </c>
      <c r="G330" s="777" t="s">
        <v>1771</v>
      </c>
      <c r="H330" s="777" t="s">
        <v>1564</v>
      </c>
      <c r="I330" s="11"/>
    </row>
    <row r="331" spans="1:9">
      <c r="A331" s="11"/>
      <c r="B331" s="11"/>
      <c r="C331" s="11"/>
      <c r="D331" s="11" t="str">
        <f t="shared" si="16"/>
        <v>3ºy4º PUESTO - Resultado exacto</v>
      </c>
      <c r="E331" s="777" t="s">
        <v>1375</v>
      </c>
      <c r="F331" s="777" t="s">
        <v>1437</v>
      </c>
      <c r="G331" s="777" t="s">
        <v>1546</v>
      </c>
      <c r="H331" s="777" t="s">
        <v>1565</v>
      </c>
      <c r="I331" s="11"/>
    </row>
    <row r="332" spans="1:9">
      <c r="A332" s="11"/>
      <c r="B332" s="11"/>
      <c r="C332" s="11"/>
      <c r="D332" s="11" t="str">
        <f t="shared" si="16"/>
        <v>FINAL - Signo 1X2  (local, empate, visitante)</v>
      </c>
      <c r="E332" s="777" t="s">
        <v>1375</v>
      </c>
      <c r="F332" s="777" t="s">
        <v>1439</v>
      </c>
      <c r="G332" s="777" t="s">
        <v>1428</v>
      </c>
      <c r="H332" s="777" t="s">
        <v>1429</v>
      </c>
      <c r="I332" s="11"/>
    </row>
    <row r="333" spans="1:9">
      <c r="A333" s="11"/>
      <c r="B333" s="11"/>
      <c r="C333" s="11"/>
      <c r="D333" s="11" t="str">
        <f t="shared" si="16"/>
        <v>FINAL - Diferencia/Distancia de goles (Con 1X2 acertado)</v>
      </c>
      <c r="E333" s="777" t="s">
        <v>1375</v>
      </c>
      <c r="F333" s="777" t="s">
        <v>1441</v>
      </c>
      <c r="G333" s="777" t="s">
        <v>1772</v>
      </c>
      <c r="H333" s="777" t="s">
        <v>1431</v>
      </c>
      <c r="I333" s="11"/>
    </row>
    <row r="334" spans="1:9">
      <c r="A334" s="11"/>
      <c r="B334" s="11"/>
      <c r="C334" s="11"/>
      <c r="D334" s="11" t="str">
        <f t="shared" si="16"/>
        <v>FINAL - Resultado exacto</v>
      </c>
      <c r="E334" s="777" t="s">
        <v>1375</v>
      </c>
      <c r="F334" s="777" t="s">
        <v>1443</v>
      </c>
      <c r="G334" s="777" t="s">
        <v>1433</v>
      </c>
      <c r="H334" s="777" t="s">
        <v>1434</v>
      </c>
      <c r="I334" s="11"/>
    </row>
    <row r="335" spans="1:9">
      <c r="A335" s="11"/>
      <c r="B335" s="11"/>
      <c r="C335" s="11"/>
      <c r="D335" s="11" t="str">
        <f t="shared" si="16"/>
        <v>Campeón</v>
      </c>
      <c r="E335" s="777"/>
      <c r="F335" s="777"/>
      <c r="G335" s="777" t="s">
        <v>18</v>
      </c>
      <c r="H335" s="777" t="s">
        <v>222</v>
      </c>
      <c r="I335" s="11"/>
    </row>
    <row r="336" spans="1:9">
      <c r="A336" s="11"/>
      <c r="B336" s="11"/>
      <c r="C336" s="11"/>
      <c r="D336" s="11" t="str">
        <f t="shared" si="16"/>
        <v>Subcampeón</v>
      </c>
      <c r="E336" s="777"/>
      <c r="F336" s="777"/>
      <c r="G336" s="777" t="s">
        <v>19</v>
      </c>
      <c r="H336" s="777" t="s">
        <v>223</v>
      </c>
      <c r="I336" s="11"/>
    </row>
    <row r="337" spans="1:9">
      <c r="A337" s="11"/>
      <c r="B337" s="11"/>
      <c r="C337" s="11"/>
      <c r="D337" s="11" t="str">
        <f t="shared" si="16"/>
        <v>3º puesto</v>
      </c>
      <c r="E337" s="777"/>
      <c r="F337" s="777"/>
      <c r="G337" s="777" t="s">
        <v>1234</v>
      </c>
      <c r="H337" s="777" t="s">
        <v>1235</v>
      </c>
      <c r="I337" s="11"/>
    </row>
    <row r="338" spans="1:9">
      <c r="A338" s="11"/>
      <c r="B338" s="11"/>
      <c r="C338" s="11"/>
      <c r="D338" s="11" t="str">
        <f t="shared" si="16"/>
        <v>Bota de Oro  (máximo goleador)</v>
      </c>
      <c r="E338" s="777" t="s">
        <v>1375</v>
      </c>
      <c r="F338" s="777" t="s">
        <v>1446</v>
      </c>
      <c r="G338" s="777" t="s">
        <v>499</v>
      </c>
      <c r="H338" s="777" t="s">
        <v>1566</v>
      </c>
      <c r="I338" s="11"/>
    </row>
    <row r="339" spans="1:9">
      <c r="A339" s="11"/>
      <c r="B339" s="11"/>
      <c r="C339" s="11"/>
      <c r="D339" s="11" t="str">
        <f t="shared" si="16"/>
        <v>Bota de Plata (2º máximo goleador)</v>
      </c>
      <c r="E339" s="777" t="s">
        <v>1449</v>
      </c>
      <c r="F339" s="777" t="s">
        <v>1450</v>
      </c>
      <c r="G339" s="777" t="s">
        <v>500</v>
      </c>
      <c r="H339" s="777" t="s">
        <v>1567</v>
      </c>
      <c r="I339" s="11"/>
    </row>
    <row r="340" spans="1:9">
      <c r="A340" s="11"/>
      <c r="B340" s="11"/>
      <c r="C340" s="11"/>
      <c r="D340" s="11" t="str">
        <f t="shared" si="16"/>
        <v>Bota de Bronce (3º máximo goleador)</v>
      </c>
      <c r="E340" s="777" t="s">
        <v>1375</v>
      </c>
      <c r="F340" s="777" t="s">
        <v>1458</v>
      </c>
      <c r="G340" s="777" t="s">
        <v>501</v>
      </c>
      <c r="H340" s="777" t="s">
        <v>1568</v>
      </c>
      <c r="I340" s="11"/>
    </row>
    <row r="341" spans="1:9">
      <c r="A341" s="11"/>
      <c r="B341" s="11"/>
      <c r="C341" s="11"/>
      <c r="D341" s="11" t="str">
        <f t="shared" si="16"/>
        <v>Balón de Oro  (mejor jugador)</v>
      </c>
      <c r="E341" s="777" t="s">
        <v>1375</v>
      </c>
      <c r="F341" s="777" t="s">
        <v>1453</v>
      </c>
      <c r="G341" s="777" t="s">
        <v>502</v>
      </c>
      <c r="H341" s="777" t="s">
        <v>1569</v>
      </c>
      <c r="I341" s="11"/>
    </row>
    <row r="342" spans="1:9">
      <c r="A342" s="11"/>
      <c r="B342" s="11"/>
      <c r="C342" s="11"/>
      <c r="D342" s="11" t="str">
        <f t="shared" si="16"/>
        <v>Balón de Plata (2º mejor jugador)</v>
      </c>
      <c r="E342" s="777" t="s">
        <v>1449</v>
      </c>
      <c r="F342" s="777" t="s">
        <v>1456</v>
      </c>
      <c r="G342" s="777" t="s">
        <v>503</v>
      </c>
      <c r="H342" s="777" t="s">
        <v>1570</v>
      </c>
      <c r="I342" s="11"/>
    </row>
    <row r="343" spans="1:9">
      <c r="A343" s="11"/>
      <c r="B343" s="11"/>
      <c r="C343" s="11"/>
      <c r="D343" s="11" t="str">
        <f t="shared" si="16"/>
        <v>Balón de Bronce (3º mejor jugador)</v>
      </c>
      <c r="E343" s="777" t="s">
        <v>1375</v>
      </c>
      <c r="F343" s="777" t="s">
        <v>1458</v>
      </c>
      <c r="G343" s="777" t="s">
        <v>504</v>
      </c>
      <c r="H343" s="777" t="s">
        <v>1571</v>
      </c>
      <c r="I343" s="11"/>
    </row>
    <row r="344" spans="1:9">
      <c r="A344" s="11"/>
      <c r="B344" s="11"/>
      <c r="C344" s="11"/>
      <c r="D344" s="11" t="str">
        <f t="shared" si="16"/>
        <v>Fase de grupos</v>
      </c>
      <c r="E344" s="777" t="s">
        <v>1449</v>
      </c>
      <c r="F344" s="777" t="s">
        <v>1461</v>
      </c>
      <c r="G344" s="777" t="s">
        <v>1243</v>
      </c>
      <c r="H344" s="777" t="s">
        <v>1442</v>
      </c>
      <c r="I344" s="11"/>
    </row>
    <row r="345" spans="1:9">
      <c r="A345" s="11"/>
      <c r="B345" s="11"/>
      <c r="C345" s="11"/>
      <c r="D345" s="11" t="str">
        <f t="shared" si="16"/>
        <v>Posición grupos</v>
      </c>
      <c r="E345" s="777" t="s">
        <v>1375</v>
      </c>
      <c r="F345" s="777" t="s">
        <v>1463</v>
      </c>
      <c r="G345" s="777" t="s">
        <v>1444</v>
      </c>
      <c r="H345" s="777" t="s">
        <v>1445</v>
      </c>
      <c r="I345" s="11"/>
    </row>
    <row r="346" spans="1:9">
      <c r="A346" s="11"/>
      <c r="B346" s="11"/>
      <c r="C346" s="11"/>
      <c r="D346" s="11" t="str">
        <f t="shared" si="16"/>
        <v>CLASIFICADOS PARA PLAYOFFS</v>
      </c>
      <c r="E346" s="777" t="s">
        <v>1449</v>
      </c>
      <c r="F346" s="777" t="s">
        <v>1466</v>
      </c>
      <c r="G346" s="777" t="s">
        <v>1521</v>
      </c>
      <c r="H346" s="777" t="s">
        <v>1522</v>
      </c>
      <c r="I346" s="11"/>
    </row>
    <row r="347" spans="1:9">
      <c r="A347" s="11"/>
      <c r="B347" s="11"/>
      <c r="C347" s="11"/>
      <c r="D347" s="11" t="str">
        <f t="shared" si="16"/>
        <v>CLASIFICADOS PARA OCTAVOS (Desde Fase Liga)</v>
      </c>
      <c r="E347" s="777" t="s">
        <v>1375</v>
      </c>
      <c r="F347" s="777" t="s">
        <v>1468</v>
      </c>
      <c r="G347" s="777" t="s">
        <v>1523</v>
      </c>
      <c r="H347" s="777" t="s">
        <v>1524</v>
      </c>
      <c r="I347" s="11"/>
    </row>
    <row r="348" spans="1:9">
      <c r="A348" s="11"/>
      <c r="B348" s="11"/>
      <c r="C348" s="11"/>
      <c r="D348" s="11" t="str">
        <f t="shared" si="16"/>
        <v>CLASIFICADOS PARA OCTAVOS (DESDE PLAYOFFS)</v>
      </c>
      <c r="E348" s="777" t="s">
        <v>1375</v>
      </c>
      <c r="F348" s="777" t="s">
        <v>1470</v>
      </c>
      <c r="G348" s="777" t="s">
        <v>1525</v>
      </c>
      <c r="H348" s="777" t="s">
        <v>1526</v>
      </c>
      <c r="I348" s="11"/>
    </row>
    <row r="349" spans="1:9">
      <c r="A349" s="11"/>
      <c r="B349" s="11"/>
      <c r="C349" s="11"/>
      <c r="D349" s="11" t="str">
        <f t="shared" si="16"/>
        <v>Clasificados para Octavos de Final</v>
      </c>
      <c r="E349" s="777" t="s">
        <v>1375</v>
      </c>
      <c r="F349" s="777" t="s">
        <v>1471</v>
      </c>
      <c r="G349" s="777" t="s">
        <v>1447</v>
      </c>
      <c r="H349" s="777" t="s">
        <v>1448</v>
      </c>
      <c r="I349" s="11"/>
    </row>
    <row r="350" spans="1:9">
      <c r="A350" s="11"/>
      <c r="B350" s="11"/>
      <c r="C350" s="11"/>
      <c r="D350" s="11" t="str">
        <f t="shared" si="16"/>
        <v>Enfrentamientos Octavos de Final</v>
      </c>
      <c r="E350" s="777" t="s">
        <v>1375</v>
      </c>
      <c r="F350" s="777" t="s">
        <v>1472</v>
      </c>
      <c r="G350" s="777" t="s">
        <v>1451</v>
      </c>
      <c r="H350" s="777" t="s">
        <v>1452</v>
      </c>
      <c r="I350" s="11"/>
    </row>
    <row r="351" spans="1:9">
      <c r="A351" s="11"/>
      <c r="B351" s="11"/>
      <c r="C351" s="11"/>
      <c r="D351" s="11" t="str">
        <f t="shared" si="16"/>
        <v>Clasificados para Cuartos de Final</v>
      </c>
      <c r="E351" s="777" t="s">
        <v>1375</v>
      </c>
      <c r="F351" s="777" t="s">
        <v>1474</v>
      </c>
      <c r="G351" s="777" t="s">
        <v>1454</v>
      </c>
      <c r="H351" s="777" t="s">
        <v>1527</v>
      </c>
      <c r="I351" s="11"/>
    </row>
    <row r="352" spans="1:9">
      <c r="A352" s="11"/>
      <c r="B352" s="11"/>
      <c r="C352" s="11"/>
      <c r="D352" s="11" t="str">
        <f t="shared" si="16"/>
        <v>Clasificados para Cuartos de Final</v>
      </c>
      <c r="E352" s="777" t="s">
        <v>1375</v>
      </c>
      <c r="F352" s="777" t="s">
        <v>28</v>
      </c>
      <c r="G352" s="777" t="s">
        <v>1454</v>
      </c>
      <c r="H352" s="777" t="s">
        <v>1455</v>
      </c>
      <c r="I352" s="11"/>
    </row>
    <row r="353" spans="1:9">
      <c r="A353" s="11"/>
      <c r="B353" s="11"/>
      <c r="C353" s="11"/>
      <c r="D353" s="11" t="str">
        <f t="shared" si="16"/>
        <v>Enfrentamientos Cuartos de Final</v>
      </c>
      <c r="E353" s="777" t="s">
        <v>1375</v>
      </c>
      <c r="F353" s="777"/>
      <c r="G353" s="777" t="s">
        <v>1457</v>
      </c>
      <c r="H353" s="777" t="s">
        <v>219</v>
      </c>
      <c r="I353" s="11"/>
    </row>
    <row r="354" spans="1:9">
      <c r="A354" s="11"/>
      <c r="B354" s="11"/>
      <c r="C354" s="11"/>
      <c r="D354" s="11" t="str">
        <f t="shared" si="16"/>
        <v>Clasificados para Semifinales</v>
      </c>
      <c r="E354" s="777" t="s">
        <v>1375</v>
      </c>
      <c r="F354" s="777"/>
      <c r="G354" s="777" t="s">
        <v>1459</v>
      </c>
      <c r="H354" s="777" t="s">
        <v>1460</v>
      </c>
      <c r="I354" s="11"/>
    </row>
    <row r="355" spans="1:9">
      <c r="A355" s="11"/>
      <c r="B355" s="11"/>
      <c r="C355" s="11"/>
      <c r="D355" s="11" t="str">
        <f t="shared" si="16"/>
        <v>Enfrentamientos Semifinales</v>
      </c>
      <c r="E355" s="777" t="s">
        <v>1375</v>
      </c>
      <c r="F355" s="777"/>
      <c r="G355" s="777" t="s">
        <v>1462</v>
      </c>
      <c r="H355" s="777" t="s">
        <v>220</v>
      </c>
      <c r="I355" s="11"/>
    </row>
    <row r="356" spans="1:9">
      <c r="A356" s="11"/>
      <c r="B356" s="11"/>
      <c r="C356" s="11"/>
      <c r="D356" s="11" t="str">
        <f t="shared" si="16"/>
        <v>Clasificados para la Final</v>
      </c>
      <c r="E356" s="777" t="s">
        <v>1375</v>
      </c>
      <c r="F356" s="777"/>
      <c r="G356" s="777" t="s">
        <v>1464</v>
      </c>
      <c r="H356" s="777" t="s">
        <v>1465</v>
      </c>
      <c r="I356" s="11"/>
    </row>
    <row r="357" spans="1:9">
      <c r="A357" s="11"/>
      <c r="B357" s="11"/>
      <c r="C357" s="11"/>
      <c r="D357" s="11" t="str">
        <f t="shared" si="16"/>
        <v>Partido Final</v>
      </c>
      <c r="E357" s="777" t="s">
        <v>1375</v>
      </c>
      <c r="F357" s="777"/>
      <c r="G357" s="777" t="s">
        <v>1467</v>
      </c>
      <c r="H357" s="777" t="s">
        <v>37</v>
      </c>
      <c r="I357" s="11"/>
    </row>
    <row r="358" spans="1:9">
      <c r="A358" s="11"/>
      <c r="B358" s="11"/>
      <c r="C358" s="11"/>
      <c r="D358" s="11" t="str">
        <f t="shared" si="16"/>
        <v>Cuadro de honor</v>
      </c>
      <c r="E358" s="777" t="s">
        <v>1375</v>
      </c>
      <c r="F358" s="777"/>
      <c r="G358" s="777" t="s">
        <v>1310</v>
      </c>
      <c r="H358" s="777" t="s">
        <v>1469</v>
      </c>
      <c r="I358" s="11"/>
    </row>
    <row r="359" spans="1:9">
      <c r="A359" s="11"/>
      <c r="B359" s="11"/>
      <c r="C359" s="11"/>
      <c r="D359" s="11" t="str">
        <f t="shared" si="16"/>
        <v>Campeón</v>
      </c>
      <c r="E359" s="777" t="s">
        <v>1375</v>
      </c>
      <c r="F359" s="777"/>
      <c r="G359" s="777" t="s">
        <v>18</v>
      </c>
      <c r="H359" s="777" t="s">
        <v>222</v>
      </c>
      <c r="I359" s="11"/>
    </row>
    <row r="360" spans="1:9">
      <c r="A360" s="11"/>
      <c r="B360" s="11"/>
      <c r="C360" s="11"/>
      <c r="D360" s="11" t="str">
        <f t="shared" si="16"/>
        <v>Subcampeón</v>
      </c>
      <c r="E360" s="777" t="s">
        <v>1375</v>
      </c>
      <c r="F360" s="777"/>
      <c r="G360" s="777" t="s">
        <v>19</v>
      </c>
      <c r="H360" s="777" t="s">
        <v>223</v>
      </c>
      <c r="I360" s="11"/>
    </row>
    <row r="361" spans="1:9">
      <c r="A361" s="11"/>
      <c r="B361" s="11"/>
      <c r="C361" s="11"/>
      <c r="D361" s="11" t="str">
        <f t="shared" si="16"/>
        <v>Goleador del torneo</v>
      </c>
      <c r="E361" s="777" t="s">
        <v>1375</v>
      </c>
      <c r="F361" s="777"/>
      <c r="G361" s="777" t="s">
        <v>1438</v>
      </c>
      <c r="H361" s="777" t="s">
        <v>1473</v>
      </c>
      <c r="I361" s="11"/>
    </row>
    <row r="362" spans="1:9">
      <c r="A362" s="11"/>
      <c r="B362" s="11"/>
      <c r="C362" s="11"/>
      <c r="D362" s="11" t="str">
        <f t="shared" si="16"/>
        <v>Mejor jugador del torneo</v>
      </c>
      <c r="E362" s="777" t="s">
        <v>1375</v>
      </c>
      <c r="F362" s="777"/>
      <c r="G362" s="777" t="s">
        <v>1440</v>
      </c>
      <c r="H362" s="777" t="s">
        <v>1475</v>
      </c>
      <c r="I362" s="11"/>
    </row>
    <row r="363" spans="1:9">
      <c r="A363" s="11"/>
      <c r="B363" s="11"/>
      <c r="C363" s="11"/>
      <c r="D363" s="11" t="str">
        <f t="shared" si="16"/>
        <v>Pegar Valores Nombre J</v>
      </c>
      <c r="E363" s="777" t="s">
        <v>1375</v>
      </c>
      <c r="F363" s="777"/>
      <c r="G363" s="777" t="s">
        <v>1925</v>
      </c>
      <c r="H363" s="777" t="s">
        <v>1926</v>
      </c>
      <c r="I363" s="11"/>
    </row>
    <row r="364" spans="1:9">
      <c r="A364" s="11"/>
      <c r="B364" s="11"/>
      <c r="C364" s="11"/>
      <c r="D364" s="11" t="str">
        <f t="shared" ref="D364:D423" si="17">IF($B$2,G364,H364)</f>
        <v>Pegar Valores (J1)</v>
      </c>
      <c r="E364" s="777" t="s">
        <v>1375</v>
      </c>
      <c r="F364" s="777"/>
      <c r="G364" s="777" t="s">
        <v>1476</v>
      </c>
      <c r="H364" s="777" t="s">
        <v>1477</v>
      </c>
      <c r="I364" s="11"/>
    </row>
    <row r="365" spans="1:9">
      <c r="A365" s="11"/>
      <c r="B365" s="11"/>
      <c r="C365" s="11"/>
      <c r="D365" s="11" t="str">
        <f t="shared" si="17"/>
        <v>Pegar Valores (J2)</v>
      </c>
      <c r="E365" s="777" t="s">
        <v>1375</v>
      </c>
      <c r="F365" s="777"/>
      <c r="G365" s="777" t="s">
        <v>1478</v>
      </c>
      <c r="H365" s="777" t="s">
        <v>1479</v>
      </c>
      <c r="I365" s="11"/>
    </row>
    <row r="366" spans="1:9">
      <c r="A366" s="11"/>
      <c r="B366" s="11"/>
      <c r="C366" s="11"/>
      <c r="D366" s="11" t="str">
        <f t="shared" si="17"/>
        <v>Pegar Valores (J3)</v>
      </c>
      <c r="E366" s="777" t="s">
        <v>1375</v>
      </c>
      <c r="F366" s="777"/>
      <c r="G366" s="777" t="s">
        <v>1480</v>
      </c>
      <c r="H366" s="777" t="s">
        <v>1481</v>
      </c>
      <c r="I366" s="11"/>
    </row>
    <row r="367" spans="1:9">
      <c r="A367" s="11"/>
      <c r="B367" s="11"/>
      <c r="C367" s="11"/>
      <c r="D367" s="11" t="str">
        <f t="shared" si="17"/>
        <v>Pegar Valores Dieciseisavos</v>
      </c>
      <c r="E367" s="777" t="s">
        <v>1375</v>
      </c>
      <c r="F367" s="777" t="s">
        <v>1488</v>
      </c>
      <c r="G367" s="777" t="s">
        <v>1583</v>
      </c>
      <c r="H367" s="777" t="s">
        <v>1584</v>
      </c>
      <c r="I367" s="11"/>
    </row>
    <row r="368" spans="1:9">
      <c r="A368" s="11"/>
      <c r="B368" s="11"/>
      <c r="C368" s="11"/>
      <c r="D368" s="11" t="str">
        <f t="shared" si="17"/>
        <v>Pegar Valores Octavos</v>
      </c>
      <c r="E368" s="777" t="s">
        <v>1375</v>
      </c>
      <c r="F368" s="777" t="s">
        <v>1489</v>
      </c>
      <c r="G368" s="777" t="s">
        <v>1482</v>
      </c>
      <c r="H368" s="777" t="s">
        <v>1483</v>
      </c>
      <c r="I368" s="11"/>
    </row>
    <row r="369" spans="1:9">
      <c r="A369" s="11"/>
      <c r="B369" s="11"/>
      <c r="C369" s="11"/>
      <c r="D369" s="11" t="str">
        <f t="shared" si="17"/>
        <v>Pegar valores Cuartos</v>
      </c>
      <c r="E369" s="777" t="s">
        <v>1375</v>
      </c>
      <c r="F369" s="777" t="s">
        <v>1490</v>
      </c>
      <c r="G369" s="777" t="s">
        <v>1484</v>
      </c>
      <c r="H369" s="777" t="s">
        <v>1485</v>
      </c>
      <c r="I369" s="11"/>
    </row>
    <row r="370" spans="1:9">
      <c r="A370" s="11"/>
      <c r="B370" s="11"/>
      <c r="C370" s="11"/>
      <c r="D370" s="11" t="str">
        <f t="shared" si="17"/>
        <v>Pegar valores Semifinales</v>
      </c>
      <c r="E370" s="777" t="s">
        <v>1375</v>
      </c>
      <c r="F370" s="777" t="s">
        <v>1491</v>
      </c>
      <c r="G370" s="777" t="s">
        <v>1486</v>
      </c>
      <c r="H370" s="777" t="s">
        <v>1487</v>
      </c>
      <c r="I370" s="11"/>
    </row>
    <row r="371" spans="1:9">
      <c r="A371" s="11"/>
      <c r="B371" s="11"/>
      <c r="C371" s="11"/>
      <c r="D371" s="11" t="str">
        <f t="shared" si="17"/>
        <v>Pegar valores 3º-4º puesto y Final</v>
      </c>
      <c r="E371" s="777" t="s">
        <v>1375</v>
      </c>
      <c r="F371" s="777" t="s">
        <v>1492</v>
      </c>
      <c r="G371" s="777" t="s">
        <v>1585</v>
      </c>
      <c r="H371" s="777" t="s">
        <v>1586</v>
      </c>
      <c r="I371" s="11"/>
    </row>
    <row r="372" spans="1:9">
      <c r="A372" s="11"/>
      <c r="B372" s="11"/>
      <c r="C372" s="11"/>
      <c r="D372" s="11" t="str">
        <f t="shared" si="17"/>
        <v>Pegar valores Predictor</v>
      </c>
      <c r="E372" s="777" t="s">
        <v>1375</v>
      </c>
      <c r="F372" s="777" t="s">
        <v>1493</v>
      </c>
      <c r="G372" s="777" t="s">
        <v>1528</v>
      </c>
      <c r="H372" s="777" t="s">
        <v>1529</v>
      </c>
      <c r="I372" s="11"/>
    </row>
    <row r="373" spans="1:9">
      <c r="A373" s="11"/>
      <c r="B373" s="11"/>
      <c r="C373" s="11"/>
      <c r="D373" s="11" t="str">
        <f t="shared" si="17"/>
        <v>Pegar Valores Cuadro de Honor</v>
      </c>
      <c r="E373" s="777"/>
      <c r="F373" s="777"/>
      <c r="G373" s="777" t="s">
        <v>1587</v>
      </c>
      <c r="H373" s="777" t="s">
        <v>1588</v>
      </c>
      <c r="I373" s="11"/>
    </row>
    <row r="374" spans="1:9">
      <c r="A374" s="11"/>
      <c r="B374" s="11"/>
      <c r="C374" s="11"/>
      <c r="D374" s="11" t="str">
        <f t="shared" si="17"/>
        <v>1º GRUPO A</v>
      </c>
      <c r="E374" s="777" t="s">
        <v>1375</v>
      </c>
      <c r="F374" s="777" t="s">
        <v>1494</v>
      </c>
      <c r="G374" s="777" t="s">
        <v>45</v>
      </c>
      <c r="H374" s="777" t="s">
        <v>377</v>
      </c>
      <c r="I374" s="11"/>
    </row>
    <row r="375" spans="1:9">
      <c r="A375" s="11"/>
      <c r="B375" s="11"/>
      <c r="C375" s="11"/>
      <c r="D375" s="11" t="str">
        <f t="shared" si="17"/>
        <v>2º GRUPO A</v>
      </c>
      <c r="E375" s="777" t="s">
        <v>1375</v>
      </c>
      <c r="F375" s="777" t="s">
        <v>1495</v>
      </c>
      <c r="G375" s="777" t="s">
        <v>46</v>
      </c>
      <c r="H375" s="777" t="s">
        <v>378</v>
      </c>
      <c r="I375" s="11"/>
    </row>
    <row r="376" spans="1:9">
      <c r="A376" s="11"/>
      <c r="B376" s="11"/>
      <c r="C376" s="11"/>
      <c r="D376" s="11" t="str">
        <f t="shared" si="17"/>
        <v>3º GRUPO A</v>
      </c>
      <c r="E376" s="777" t="s">
        <v>1375</v>
      </c>
      <c r="F376" s="777" t="s">
        <v>1496</v>
      </c>
      <c r="G376" s="777" t="s">
        <v>47</v>
      </c>
      <c r="H376" s="777" t="s">
        <v>379</v>
      </c>
      <c r="I376" s="11"/>
    </row>
    <row r="377" spans="1:9">
      <c r="A377" s="11"/>
      <c r="B377" s="11"/>
      <c r="C377" s="11"/>
      <c r="D377" s="11" t="str">
        <f t="shared" si="17"/>
        <v>4º GRUPO A</v>
      </c>
      <c r="E377" s="777" t="s">
        <v>1375</v>
      </c>
      <c r="F377" s="777" t="s">
        <v>1497</v>
      </c>
      <c r="G377" s="777" t="s">
        <v>48</v>
      </c>
      <c r="H377" s="777" t="s">
        <v>380</v>
      </c>
      <c r="I377" s="11"/>
    </row>
    <row r="378" spans="1:9">
      <c r="A378" s="11"/>
      <c r="B378" s="11"/>
      <c r="C378" s="11"/>
      <c r="D378" s="11" t="str">
        <f t="shared" si="17"/>
        <v>1º GRUPO B</v>
      </c>
      <c r="E378" s="777" t="s">
        <v>1375</v>
      </c>
      <c r="F378" s="777" t="s">
        <v>1498</v>
      </c>
      <c r="G378" s="777" t="s">
        <v>49</v>
      </c>
      <c r="H378" s="777" t="s">
        <v>381</v>
      </c>
      <c r="I378" s="11"/>
    </row>
    <row r="379" spans="1:9">
      <c r="A379" s="11"/>
      <c r="B379" s="11"/>
      <c r="C379" s="11"/>
      <c r="D379" s="11" t="str">
        <f t="shared" si="17"/>
        <v>2º GRUPO B</v>
      </c>
      <c r="E379" s="777" t="s">
        <v>1375</v>
      </c>
      <c r="F379" s="777" t="s">
        <v>1499</v>
      </c>
      <c r="G379" s="777" t="s">
        <v>50</v>
      </c>
      <c r="H379" s="777" t="s">
        <v>382</v>
      </c>
      <c r="I379" s="11"/>
    </row>
    <row r="380" spans="1:9">
      <c r="A380" s="11"/>
      <c r="B380" s="11"/>
      <c r="C380" s="11"/>
      <c r="D380" s="11" t="str">
        <f t="shared" si="17"/>
        <v>3º GRUPO B</v>
      </c>
      <c r="E380" s="777" t="s">
        <v>1375</v>
      </c>
      <c r="F380" s="777" t="s">
        <v>1500</v>
      </c>
      <c r="G380" s="777" t="s">
        <v>51</v>
      </c>
      <c r="H380" s="777" t="s">
        <v>383</v>
      </c>
      <c r="I380" s="11"/>
    </row>
    <row r="381" spans="1:9">
      <c r="A381" s="11"/>
      <c r="B381" s="11"/>
      <c r="C381" s="11"/>
      <c r="D381" s="11" t="str">
        <f t="shared" si="17"/>
        <v>4º GRUPO B</v>
      </c>
      <c r="E381" s="777" t="s">
        <v>1375</v>
      </c>
      <c r="F381" s="777" t="s">
        <v>1501</v>
      </c>
      <c r="G381" s="777" t="s">
        <v>52</v>
      </c>
      <c r="H381" s="777" t="s">
        <v>384</v>
      </c>
      <c r="I381" s="11"/>
    </row>
    <row r="382" spans="1:9">
      <c r="A382" s="11"/>
      <c r="B382" s="11"/>
      <c r="C382" s="11"/>
      <c r="D382" s="11" t="str">
        <f t="shared" si="17"/>
        <v>1º GRUPO C</v>
      </c>
      <c r="E382" s="777" t="s">
        <v>1375</v>
      </c>
      <c r="F382" s="777" t="s">
        <v>1502</v>
      </c>
      <c r="G382" s="777" t="s">
        <v>53</v>
      </c>
      <c r="H382" s="777" t="s">
        <v>385</v>
      </c>
      <c r="I382" s="11"/>
    </row>
    <row r="383" spans="1:9">
      <c r="A383" s="11"/>
      <c r="B383" s="11"/>
      <c r="C383" s="11"/>
      <c r="D383" s="11" t="str">
        <f t="shared" si="17"/>
        <v>2º GRUPO C</v>
      </c>
      <c r="E383" s="777" t="s">
        <v>1375</v>
      </c>
      <c r="F383" s="777" t="s">
        <v>1503</v>
      </c>
      <c r="G383" s="777" t="s">
        <v>54</v>
      </c>
      <c r="H383" s="777" t="s">
        <v>386</v>
      </c>
      <c r="I383" s="11"/>
    </row>
    <row r="384" spans="1:9">
      <c r="A384" s="11"/>
      <c r="B384" s="11"/>
      <c r="C384" s="11"/>
      <c r="D384" s="11" t="str">
        <f t="shared" si="17"/>
        <v>3º GRUPO C</v>
      </c>
      <c r="E384" s="777" t="s">
        <v>1375</v>
      </c>
      <c r="F384" s="777" t="s">
        <v>1504</v>
      </c>
      <c r="G384" s="777" t="s">
        <v>55</v>
      </c>
      <c r="H384" s="777" t="s">
        <v>387</v>
      </c>
      <c r="I384" s="11"/>
    </row>
    <row r="385" spans="1:9">
      <c r="A385" s="11"/>
      <c r="B385" s="11"/>
      <c r="C385" s="11"/>
      <c r="D385" s="11" t="str">
        <f t="shared" si="17"/>
        <v>4º GRUPO C</v>
      </c>
      <c r="E385" s="777" t="s">
        <v>1375</v>
      </c>
      <c r="F385" s="777" t="s">
        <v>1505</v>
      </c>
      <c r="G385" s="777" t="s">
        <v>56</v>
      </c>
      <c r="H385" s="777" t="s">
        <v>388</v>
      </c>
      <c r="I385" s="11"/>
    </row>
    <row r="386" spans="1:9">
      <c r="A386" s="11"/>
      <c r="B386" s="11"/>
      <c r="C386" s="11"/>
      <c r="D386" s="11" t="str">
        <f t="shared" si="17"/>
        <v>1º GRUPO D</v>
      </c>
      <c r="E386" s="777" t="s">
        <v>1375</v>
      </c>
      <c r="F386" s="777" t="s">
        <v>1506</v>
      </c>
      <c r="G386" s="777" t="s">
        <v>96</v>
      </c>
      <c r="H386" s="777" t="s">
        <v>389</v>
      </c>
      <c r="I386" s="11"/>
    </row>
    <row r="387" spans="1:9">
      <c r="A387" s="11"/>
      <c r="B387" s="11"/>
      <c r="C387" s="11"/>
      <c r="D387" s="11" t="str">
        <f t="shared" si="17"/>
        <v>2º GRUPO D</v>
      </c>
      <c r="E387" s="777" t="s">
        <v>1375</v>
      </c>
      <c r="F387" s="777" t="s">
        <v>1507</v>
      </c>
      <c r="G387" s="777" t="s">
        <v>97</v>
      </c>
      <c r="H387" s="777" t="s">
        <v>390</v>
      </c>
      <c r="I387" s="11"/>
    </row>
    <row r="388" spans="1:9">
      <c r="A388" s="11"/>
      <c r="B388" s="11"/>
      <c r="C388" s="11"/>
      <c r="D388" s="11" t="str">
        <f t="shared" si="17"/>
        <v>3º GRUPO D</v>
      </c>
      <c r="E388" s="777" t="s">
        <v>1375</v>
      </c>
      <c r="F388" s="777" t="s">
        <v>1508</v>
      </c>
      <c r="G388" s="777" t="s">
        <v>98</v>
      </c>
      <c r="H388" s="777" t="s">
        <v>391</v>
      </c>
      <c r="I388" s="11"/>
    </row>
    <row r="389" spans="1:9">
      <c r="A389" s="11"/>
      <c r="B389" s="11"/>
      <c r="C389" s="11"/>
      <c r="D389" s="11" t="str">
        <f t="shared" si="17"/>
        <v>4º GRUPO D</v>
      </c>
      <c r="E389" s="777" t="s">
        <v>1375</v>
      </c>
      <c r="F389" s="777" t="s">
        <v>1509</v>
      </c>
      <c r="G389" s="777" t="s">
        <v>99</v>
      </c>
      <c r="H389" s="777" t="s">
        <v>392</v>
      </c>
      <c r="I389" s="11"/>
    </row>
    <row r="390" spans="1:9">
      <c r="A390" s="11"/>
      <c r="B390" s="11"/>
      <c r="C390" s="11"/>
      <c r="D390" s="11" t="str">
        <f t="shared" si="17"/>
        <v>1º GRUPO E</v>
      </c>
      <c r="E390" s="777" t="s">
        <v>1375</v>
      </c>
      <c r="F390" s="777" t="s">
        <v>1510</v>
      </c>
      <c r="G390" s="777" t="s">
        <v>100</v>
      </c>
      <c r="H390" s="777" t="s">
        <v>393</v>
      </c>
      <c r="I390" s="11"/>
    </row>
    <row r="391" spans="1:9">
      <c r="A391" s="11"/>
      <c r="B391" s="11"/>
      <c r="C391" s="11"/>
      <c r="D391" s="11" t="str">
        <f t="shared" si="17"/>
        <v>2º GRUPO E</v>
      </c>
      <c r="E391" s="777" t="s">
        <v>1375</v>
      </c>
      <c r="F391" s="777" t="s">
        <v>1511</v>
      </c>
      <c r="G391" s="777" t="s">
        <v>101</v>
      </c>
      <c r="H391" s="777" t="s">
        <v>394</v>
      </c>
      <c r="I391" s="11"/>
    </row>
    <row r="392" spans="1:9">
      <c r="A392" s="11"/>
      <c r="B392" s="11"/>
      <c r="C392" s="11"/>
      <c r="D392" s="11" t="str">
        <f t="shared" si="17"/>
        <v>3º GRUPO E</v>
      </c>
      <c r="E392" s="777" t="s">
        <v>1375</v>
      </c>
      <c r="F392" s="777" t="s">
        <v>1512</v>
      </c>
      <c r="G392" s="777" t="s">
        <v>102</v>
      </c>
      <c r="H392" s="777" t="s">
        <v>395</v>
      </c>
      <c r="I392" s="11"/>
    </row>
    <row r="393" spans="1:9">
      <c r="A393" s="11"/>
      <c r="B393" s="11"/>
      <c r="C393" s="11"/>
      <c r="D393" s="11" t="str">
        <f t="shared" si="17"/>
        <v>4º GRUPO E</v>
      </c>
      <c r="E393" s="777" t="s">
        <v>1375</v>
      </c>
      <c r="F393" s="777" t="s">
        <v>1513</v>
      </c>
      <c r="G393" s="777" t="s">
        <v>103</v>
      </c>
      <c r="H393" s="777" t="s">
        <v>396</v>
      </c>
      <c r="I393" s="11"/>
    </row>
    <row r="394" spans="1:9">
      <c r="A394" s="11"/>
      <c r="B394" s="11"/>
      <c r="C394" s="11"/>
      <c r="D394" s="11" t="str">
        <f t="shared" si="17"/>
        <v>1º GRUPO F</v>
      </c>
      <c r="E394" s="777" t="s">
        <v>1375</v>
      </c>
      <c r="F394" s="777" t="s">
        <v>1514</v>
      </c>
      <c r="G394" s="777" t="s">
        <v>104</v>
      </c>
      <c r="H394" s="777" t="s">
        <v>397</v>
      </c>
      <c r="I394" s="11"/>
    </row>
    <row r="395" spans="1:9">
      <c r="A395" s="11"/>
      <c r="B395" s="11"/>
      <c r="C395" s="11"/>
      <c r="D395" s="11" t="str">
        <f t="shared" si="17"/>
        <v>2º GRUPO F</v>
      </c>
      <c r="E395" s="777" t="s">
        <v>1375</v>
      </c>
      <c r="F395" s="777" t="s">
        <v>1515</v>
      </c>
      <c r="G395" s="777" t="s">
        <v>105</v>
      </c>
      <c r="H395" s="777" t="s">
        <v>398</v>
      </c>
      <c r="I395" s="11"/>
    </row>
    <row r="396" spans="1:9">
      <c r="A396" s="11"/>
      <c r="B396" s="11"/>
      <c r="C396" s="11"/>
      <c r="D396" s="11" t="str">
        <f t="shared" si="17"/>
        <v>3º GRUPO F</v>
      </c>
      <c r="E396" s="777" t="s">
        <v>1375</v>
      </c>
      <c r="F396" s="777"/>
      <c r="G396" s="777" t="s">
        <v>106</v>
      </c>
      <c r="H396" s="777" t="s">
        <v>399</v>
      </c>
      <c r="I396" s="11"/>
    </row>
    <row r="397" spans="1:9">
      <c r="A397" s="11"/>
      <c r="B397" s="11"/>
      <c r="C397" s="11"/>
      <c r="D397" s="11" t="str">
        <f t="shared" si="17"/>
        <v>4º GRUPO F</v>
      </c>
      <c r="E397" s="777" t="s">
        <v>1375</v>
      </c>
      <c r="F397" s="777"/>
      <c r="G397" s="777" t="s">
        <v>107</v>
      </c>
      <c r="H397" s="777" t="s">
        <v>400</v>
      </c>
      <c r="I397" s="11"/>
    </row>
    <row r="398" spans="1:9">
      <c r="A398" s="11"/>
      <c r="B398" s="11"/>
      <c r="C398" s="11"/>
      <c r="D398" s="11" t="str">
        <f t="shared" si="17"/>
        <v>1º GRUPO G</v>
      </c>
      <c r="E398" s="777" t="s">
        <v>1375</v>
      </c>
      <c r="F398" s="777"/>
      <c r="G398" s="777" t="s">
        <v>516</v>
      </c>
      <c r="H398" s="777" t="s">
        <v>520</v>
      </c>
      <c r="I398" s="11"/>
    </row>
    <row r="399" spans="1:9">
      <c r="A399" s="11"/>
      <c r="B399" s="11"/>
      <c r="C399" s="11"/>
      <c r="D399" s="11" t="str">
        <f t="shared" si="17"/>
        <v>2º GRUPO G</v>
      </c>
      <c r="E399" s="777" t="s">
        <v>1375</v>
      </c>
      <c r="F399" s="777"/>
      <c r="G399" s="777" t="s">
        <v>517</v>
      </c>
      <c r="H399" s="777" t="s">
        <v>521</v>
      </c>
      <c r="I399" s="11"/>
    </row>
    <row r="400" spans="1:9">
      <c r="A400" s="11"/>
      <c r="B400" s="11"/>
      <c r="C400" s="11"/>
      <c r="D400" s="11" t="str">
        <f t="shared" si="17"/>
        <v>3º GRUPO G</v>
      </c>
      <c r="E400" s="777" t="s">
        <v>1375</v>
      </c>
      <c r="F400" s="777"/>
      <c r="G400" s="777" t="s">
        <v>518</v>
      </c>
      <c r="H400" s="777" t="s">
        <v>522</v>
      </c>
      <c r="I400" s="11"/>
    </row>
    <row r="401" spans="1:9">
      <c r="A401" s="11"/>
      <c r="B401" s="11"/>
      <c r="C401" s="11"/>
      <c r="D401" s="11" t="str">
        <f t="shared" si="17"/>
        <v>4º GRUPO G</v>
      </c>
      <c r="E401" s="777" t="s">
        <v>1375</v>
      </c>
      <c r="F401" s="777"/>
      <c r="G401" s="777" t="s">
        <v>519</v>
      </c>
      <c r="H401" s="777" t="s">
        <v>523</v>
      </c>
      <c r="I401" s="11"/>
    </row>
    <row r="402" spans="1:9">
      <c r="A402" s="11"/>
      <c r="B402" s="11"/>
      <c r="C402" s="11"/>
      <c r="D402" s="11" t="str">
        <f t="shared" si="17"/>
        <v>1º GRUPO H</v>
      </c>
      <c r="E402" s="777" t="s">
        <v>1375</v>
      </c>
      <c r="F402" s="777"/>
      <c r="G402" s="777" t="s">
        <v>524</v>
      </c>
      <c r="H402" s="777" t="s">
        <v>528</v>
      </c>
      <c r="I402" s="11"/>
    </row>
    <row r="403" spans="1:9">
      <c r="A403" s="11"/>
      <c r="B403" s="11"/>
      <c r="C403" s="11"/>
      <c r="D403" s="11" t="str">
        <f t="shared" si="17"/>
        <v>2º GRUPO H</v>
      </c>
      <c r="E403" s="777" t="s">
        <v>1375</v>
      </c>
      <c r="F403" s="11"/>
      <c r="G403" s="777" t="s">
        <v>525</v>
      </c>
      <c r="H403" s="777" t="s">
        <v>529</v>
      </c>
      <c r="I403" s="11"/>
    </row>
    <row r="404" spans="1:9">
      <c r="A404" s="11"/>
      <c r="B404" s="11"/>
      <c r="C404" s="11"/>
      <c r="D404" s="11" t="str">
        <f t="shared" si="17"/>
        <v>3º GRUPO H</v>
      </c>
      <c r="E404" s="777" t="s">
        <v>1375</v>
      </c>
      <c r="F404" s="11"/>
      <c r="G404" s="777" t="s">
        <v>526</v>
      </c>
      <c r="H404" s="777" t="s">
        <v>530</v>
      </c>
      <c r="I404" s="11"/>
    </row>
    <row r="405" spans="1:9">
      <c r="A405" s="11"/>
      <c r="B405" s="11"/>
      <c r="C405" s="11"/>
      <c r="D405" s="11" t="str">
        <f t="shared" si="17"/>
        <v>4º GRUPO H</v>
      </c>
      <c r="E405" s="777" t="s">
        <v>1375</v>
      </c>
      <c r="F405" s="11"/>
      <c r="G405" s="777" t="s">
        <v>527</v>
      </c>
      <c r="H405" s="777" t="s">
        <v>531</v>
      </c>
      <c r="I405" s="11"/>
    </row>
    <row r="406" spans="1:9">
      <c r="A406" s="11"/>
      <c r="B406" s="11"/>
      <c r="C406" s="11"/>
      <c r="D406" s="11" t="str">
        <f t="shared" si="17"/>
        <v>1º GRUPO I</v>
      </c>
      <c r="E406" s="777" t="s">
        <v>1375</v>
      </c>
      <c r="F406" s="11"/>
      <c r="G406" s="777" t="s">
        <v>532</v>
      </c>
      <c r="H406" s="777" t="s">
        <v>536</v>
      </c>
      <c r="I406" s="11"/>
    </row>
    <row r="407" spans="1:9">
      <c r="A407" s="11"/>
      <c r="B407" s="11"/>
      <c r="C407" s="11"/>
      <c r="D407" s="11" t="str">
        <f t="shared" si="17"/>
        <v>2º GRUPO I</v>
      </c>
      <c r="E407" s="777" t="s">
        <v>1375</v>
      </c>
      <c r="F407" s="11"/>
      <c r="G407" s="777" t="s">
        <v>533</v>
      </c>
      <c r="H407" s="777" t="s">
        <v>537</v>
      </c>
      <c r="I407" s="11"/>
    </row>
    <row r="408" spans="1:9">
      <c r="A408" s="11"/>
      <c r="B408" s="11"/>
      <c r="C408" s="11"/>
      <c r="D408" s="11" t="str">
        <f t="shared" si="17"/>
        <v>3º GRUPO I</v>
      </c>
      <c r="E408" s="777" t="s">
        <v>1375</v>
      </c>
      <c r="F408" s="11"/>
      <c r="G408" s="777" t="s">
        <v>534</v>
      </c>
      <c r="H408" s="777" t="s">
        <v>538</v>
      </c>
      <c r="I408" s="11"/>
    </row>
    <row r="409" spans="1:9">
      <c r="A409" s="11"/>
      <c r="B409" s="11"/>
      <c r="C409" s="11"/>
      <c r="D409" s="11" t="str">
        <f t="shared" si="17"/>
        <v>4º GRUPO I</v>
      </c>
      <c r="E409" s="777" t="s">
        <v>1375</v>
      </c>
      <c r="F409" s="11"/>
      <c r="G409" s="777" t="s">
        <v>535</v>
      </c>
      <c r="H409" s="777" t="s">
        <v>539</v>
      </c>
      <c r="I409" s="11"/>
    </row>
    <row r="410" spans="1:9">
      <c r="A410" s="11"/>
      <c r="B410" s="11"/>
      <c r="C410" s="11"/>
      <c r="D410" s="11" t="str">
        <f t="shared" si="17"/>
        <v>1º GRUPO J</v>
      </c>
      <c r="E410" s="777" t="s">
        <v>1375</v>
      </c>
      <c r="F410" s="11"/>
      <c r="G410" s="777" t="s">
        <v>540</v>
      </c>
      <c r="H410" s="777" t="s">
        <v>544</v>
      </c>
      <c r="I410" s="11"/>
    </row>
    <row r="411" spans="1:9">
      <c r="A411" s="11"/>
      <c r="B411" s="11"/>
      <c r="C411" s="11"/>
      <c r="D411" s="11" t="str">
        <f t="shared" si="17"/>
        <v>2º GRUPO J</v>
      </c>
      <c r="E411" s="777" t="s">
        <v>1375</v>
      </c>
      <c r="F411" s="11"/>
      <c r="G411" s="777" t="s">
        <v>541</v>
      </c>
      <c r="H411" s="777" t="s">
        <v>545</v>
      </c>
      <c r="I411" s="11"/>
    </row>
    <row r="412" spans="1:9">
      <c r="A412" s="11"/>
      <c r="B412" s="11"/>
      <c r="C412" s="11"/>
      <c r="D412" s="11" t="str">
        <f t="shared" si="17"/>
        <v>3º GRUPO J</v>
      </c>
      <c r="E412" s="777" t="s">
        <v>1375</v>
      </c>
      <c r="F412" s="11"/>
      <c r="G412" s="777" t="s">
        <v>542</v>
      </c>
      <c r="H412" s="777" t="s">
        <v>546</v>
      </c>
      <c r="I412" s="11"/>
    </row>
    <row r="413" spans="1:9">
      <c r="A413" s="11"/>
      <c r="B413" s="11"/>
      <c r="C413" s="11"/>
      <c r="D413" s="11" t="str">
        <f t="shared" si="17"/>
        <v>4º GRUPO J</v>
      </c>
      <c r="E413" s="777" t="s">
        <v>1375</v>
      </c>
      <c r="F413" s="11"/>
      <c r="G413" s="777" t="s">
        <v>543</v>
      </c>
      <c r="H413" s="777" t="s">
        <v>547</v>
      </c>
      <c r="I413" s="11"/>
    </row>
    <row r="414" spans="1:9">
      <c r="A414" s="11"/>
      <c r="B414" s="11"/>
      <c r="C414" s="11"/>
      <c r="D414" s="11" t="str">
        <f t="shared" si="17"/>
        <v>1º GRUPO K</v>
      </c>
      <c r="E414" s="777" t="s">
        <v>1375</v>
      </c>
      <c r="F414" s="11"/>
      <c r="G414" s="777" t="s">
        <v>548</v>
      </c>
      <c r="H414" s="777" t="s">
        <v>552</v>
      </c>
      <c r="I414" s="11"/>
    </row>
    <row r="415" spans="1:9">
      <c r="A415" s="11"/>
      <c r="B415" s="11"/>
      <c r="C415" s="11"/>
      <c r="D415" s="11" t="str">
        <f t="shared" si="17"/>
        <v>2º GRUPO K</v>
      </c>
      <c r="E415" s="777" t="s">
        <v>1375</v>
      </c>
      <c r="F415" s="11"/>
      <c r="G415" s="777" t="s">
        <v>549</v>
      </c>
      <c r="H415" s="777" t="s">
        <v>553</v>
      </c>
      <c r="I415" s="11"/>
    </row>
    <row r="416" spans="1:9">
      <c r="A416" s="11"/>
      <c r="B416" s="11"/>
      <c r="C416" s="11"/>
      <c r="D416" s="11" t="str">
        <f t="shared" si="17"/>
        <v>3º GRUPO K</v>
      </c>
      <c r="E416" s="777" t="s">
        <v>1375</v>
      </c>
      <c r="F416" s="11"/>
      <c r="G416" s="777" t="s">
        <v>550</v>
      </c>
      <c r="H416" s="777" t="s">
        <v>554</v>
      </c>
      <c r="I416" s="11"/>
    </row>
    <row r="417" spans="1:9">
      <c r="A417" s="11"/>
      <c r="B417" s="11"/>
      <c r="C417" s="11"/>
      <c r="D417" s="11" t="str">
        <f t="shared" si="17"/>
        <v>4º GRUPO K</v>
      </c>
      <c r="E417" s="777" t="s">
        <v>1375</v>
      </c>
      <c r="F417" s="11"/>
      <c r="G417" s="777" t="s">
        <v>551</v>
      </c>
      <c r="H417" s="777" t="s">
        <v>555</v>
      </c>
      <c r="I417" s="11"/>
    </row>
    <row r="418" spans="1:9">
      <c r="A418" s="11"/>
      <c r="B418" s="11"/>
      <c r="C418" s="11"/>
      <c r="D418" s="11" t="str">
        <f t="shared" si="17"/>
        <v>1º GRUPO L</v>
      </c>
      <c r="E418" s="777" t="s">
        <v>1375</v>
      </c>
      <c r="F418" s="11"/>
      <c r="G418" s="777" t="s">
        <v>556</v>
      </c>
      <c r="H418" s="777" t="s">
        <v>560</v>
      </c>
      <c r="I418" s="11"/>
    </row>
    <row r="419" spans="1:9">
      <c r="A419" s="11"/>
      <c r="B419" s="11"/>
      <c r="C419" s="11"/>
      <c r="D419" s="11" t="str">
        <f t="shared" si="17"/>
        <v>2º GRUPO L</v>
      </c>
      <c r="E419" s="777" t="s">
        <v>1375</v>
      </c>
      <c r="F419" s="11"/>
      <c r="G419" s="777" t="s">
        <v>557</v>
      </c>
      <c r="H419" s="777" t="s">
        <v>561</v>
      </c>
      <c r="I419" s="11"/>
    </row>
    <row r="420" spans="1:9">
      <c r="A420" s="11"/>
      <c r="B420" s="11"/>
      <c r="C420" s="11"/>
      <c r="D420" s="11" t="str">
        <f t="shared" si="17"/>
        <v>3º GRUPO L</v>
      </c>
      <c r="E420" s="777" t="s">
        <v>1375</v>
      </c>
      <c r="F420" s="11"/>
      <c r="G420" s="777" t="s">
        <v>558</v>
      </c>
      <c r="H420" s="777" t="s">
        <v>562</v>
      </c>
      <c r="I420" s="11"/>
    </row>
    <row r="421" spans="1:9">
      <c r="A421" s="11"/>
      <c r="B421" s="11"/>
      <c r="C421" s="11"/>
      <c r="D421" s="11" t="str">
        <f t="shared" si="17"/>
        <v>4º GRUPO L</v>
      </c>
      <c r="E421" s="777" t="s">
        <v>1375</v>
      </c>
      <c r="F421" s="11"/>
      <c r="G421" s="777" t="s">
        <v>559</v>
      </c>
      <c r="H421" s="777" t="s">
        <v>563</v>
      </c>
      <c r="I421" s="11"/>
    </row>
    <row r="422" spans="1:9">
      <c r="A422" s="11"/>
      <c r="B422" s="11"/>
      <c r="C422" s="11"/>
      <c r="D422" s="11" t="str">
        <f t="shared" si="17"/>
        <v>Dieciseisavofinalista</v>
      </c>
      <c r="E422" s="777" t="s">
        <v>1375</v>
      </c>
      <c r="F422" s="11"/>
      <c r="G422" s="777" t="s">
        <v>566</v>
      </c>
      <c r="H422" s="777" t="s">
        <v>567</v>
      </c>
      <c r="I422" s="11"/>
    </row>
    <row r="423" spans="1:9">
      <c r="A423" s="11"/>
      <c r="B423" s="11"/>
      <c r="C423" s="11"/>
      <c r="D423" s="11" t="str">
        <f t="shared" si="17"/>
        <v>Octavofinalista</v>
      </c>
      <c r="E423" s="777" t="s">
        <v>1375</v>
      </c>
      <c r="F423" s="11"/>
      <c r="G423" s="777" t="s">
        <v>1296</v>
      </c>
      <c r="H423" s="777" t="s">
        <v>401</v>
      </c>
      <c r="I423" s="11"/>
    </row>
    <row r="424" spans="1:9">
      <c r="A424" s="11"/>
      <c r="B424" s="11"/>
      <c r="C424" s="11"/>
      <c r="D424" s="11" t="str">
        <f t="shared" ref="D424:D446" si="18">IF($B$2,G424,H424)</f>
        <v>Cuartofinalista</v>
      </c>
      <c r="E424" s="777" t="s">
        <v>1375</v>
      </c>
      <c r="F424" s="11"/>
      <c r="G424" s="777" t="s">
        <v>58</v>
      </c>
      <c r="H424" s="777" t="s">
        <v>402</v>
      </c>
      <c r="I424" s="11"/>
    </row>
    <row r="425" spans="1:9">
      <c r="A425" s="11"/>
      <c r="B425" s="11"/>
      <c r="C425" s="11"/>
      <c r="D425" s="11" t="str">
        <f t="shared" si="18"/>
        <v>Semifinalista</v>
      </c>
      <c r="E425" s="777" t="s">
        <v>1375</v>
      </c>
      <c r="F425" s="11"/>
      <c r="G425" s="777" t="s">
        <v>61</v>
      </c>
      <c r="H425" s="777" t="s">
        <v>403</v>
      </c>
      <c r="I425" s="11"/>
    </row>
    <row r="426" spans="1:9">
      <c r="A426" s="11"/>
      <c r="B426" s="11"/>
      <c r="C426" s="11"/>
      <c r="D426" s="11" t="str">
        <f t="shared" si="18"/>
        <v>3º y 4º puesto</v>
      </c>
      <c r="E426" s="777" t="s">
        <v>1375</v>
      </c>
      <c r="F426" s="11"/>
      <c r="G426" s="777" t="s">
        <v>491</v>
      </c>
      <c r="H426" s="777" t="s">
        <v>492</v>
      </c>
      <c r="I426" s="11"/>
    </row>
    <row r="427" spans="1:9">
      <c r="A427" s="11"/>
      <c r="B427" s="11"/>
      <c r="C427" s="11"/>
      <c r="D427" s="11" t="str">
        <f t="shared" si="18"/>
        <v>Finalista</v>
      </c>
      <c r="E427" s="777" t="s">
        <v>1375</v>
      </c>
      <c r="F427" s="11"/>
      <c r="G427" s="777" t="s">
        <v>64</v>
      </c>
      <c r="H427" s="777" t="s">
        <v>404</v>
      </c>
      <c r="I427" s="11"/>
    </row>
    <row r="428" spans="1:9">
      <c r="A428" s="11"/>
      <c r="B428" s="11"/>
      <c r="C428" s="11"/>
      <c r="D428" s="11" t="str">
        <f t="shared" si="18"/>
        <v>J1</v>
      </c>
      <c r="E428" s="777" t="s">
        <v>1375</v>
      </c>
      <c r="F428" s="11"/>
      <c r="G428" s="777" t="s">
        <v>26</v>
      </c>
      <c r="H428" s="777" t="s">
        <v>273</v>
      </c>
      <c r="I428" s="11"/>
    </row>
    <row r="429" spans="1:9">
      <c r="A429" s="11"/>
      <c r="B429" s="11"/>
      <c r="C429" s="11"/>
      <c r="D429" s="11" t="str">
        <f t="shared" si="18"/>
        <v>J2</v>
      </c>
      <c r="E429" s="777" t="s">
        <v>1375</v>
      </c>
      <c r="F429" s="11"/>
      <c r="G429" s="777" t="s">
        <v>27</v>
      </c>
      <c r="H429" s="777" t="s">
        <v>274</v>
      </c>
      <c r="I429" s="11"/>
    </row>
    <row r="430" spans="1:9">
      <c r="A430" s="11"/>
      <c r="B430" s="11"/>
      <c r="C430" s="11"/>
      <c r="D430" s="11" t="str">
        <f t="shared" si="18"/>
        <v>J3</v>
      </c>
      <c r="E430" s="777" t="s">
        <v>1375</v>
      </c>
      <c r="F430" s="11"/>
      <c r="G430" s="777" t="s">
        <v>28</v>
      </c>
      <c r="H430" s="777" t="s">
        <v>275</v>
      </c>
      <c r="I430" s="11"/>
    </row>
    <row r="431" spans="1:9">
      <c r="A431" s="11"/>
      <c r="B431" s="11"/>
      <c r="C431" s="11"/>
      <c r="D431" s="11" t="str">
        <f t="shared" si="18"/>
        <v>Sistema de puntuación</v>
      </c>
      <c r="E431" s="777" t="s">
        <v>1375</v>
      </c>
      <c r="F431" s="11"/>
      <c r="G431" s="777" t="s">
        <v>1936</v>
      </c>
      <c r="H431" s="777" t="s">
        <v>1937</v>
      </c>
      <c r="I431" s="11"/>
    </row>
    <row r="432" spans="1:9">
      <c r="A432" s="11"/>
      <c r="B432" s="11"/>
      <c r="C432" s="11"/>
      <c r="D432" s="11">
        <f t="shared" si="18"/>
        <v>0</v>
      </c>
      <c r="E432" s="777" t="s">
        <v>1375</v>
      </c>
      <c r="F432" s="11"/>
      <c r="G432" s="777"/>
      <c r="H432" s="777"/>
      <c r="I432" s="11"/>
    </row>
    <row r="433" spans="1:9">
      <c r="A433" s="11"/>
      <c r="B433" s="11"/>
      <c r="C433" s="11"/>
      <c r="D433" s="11" t="str">
        <f t="shared" si="18"/>
        <v>PREDICTOR - Campeón</v>
      </c>
      <c r="E433" s="777" t="s">
        <v>1375</v>
      </c>
      <c r="F433" s="11"/>
      <c r="G433" s="777" t="s">
        <v>1530</v>
      </c>
      <c r="H433" s="777" t="s">
        <v>1531</v>
      </c>
      <c r="I433" s="11"/>
    </row>
    <row r="434" spans="1:9">
      <c r="A434" s="11"/>
      <c r="B434" s="11"/>
      <c r="C434" s="11"/>
      <c r="D434" s="11" t="str">
        <f t="shared" si="18"/>
        <v>PREDICTOR - Subcampeón</v>
      </c>
      <c r="E434" s="777" t="s">
        <v>1375</v>
      </c>
      <c r="F434" s="11"/>
      <c r="G434" s="777" t="s">
        <v>1581</v>
      </c>
      <c r="H434" s="777" t="s">
        <v>1582</v>
      </c>
      <c r="I434" s="11"/>
    </row>
    <row r="435" spans="1:9">
      <c r="A435" s="11"/>
      <c r="B435" s="11"/>
      <c r="C435" s="11"/>
      <c r="D435" s="11" t="str">
        <f t="shared" ref="D435" si="19">IF($B$2,G435,H435)</f>
        <v>PREDICTOR- 3º puesto</v>
      </c>
      <c r="E435" s="777" t="s">
        <v>1375</v>
      </c>
      <c r="F435" s="11"/>
      <c r="G435" s="777" t="s">
        <v>1579</v>
      </c>
      <c r="H435" s="777" t="s">
        <v>1580</v>
      </c>
      <c r="I435" s="11"/>
    </row>
    <row r="436" spans="1:9">
      <c r="A436" s="11"/>
      <c r="B436" s="11"/>
      <c r="C436" s="11"/>
      <c r="D436" s="11" t="str">
        <f t="shared" si="18"/>
        <v>PREDICTOR - Semifinales</v>
      </c>
      <c r="E436" s="777" t="s">
        <v>1375</v>
      </c>
      <c r="F436" s="11"/>
      <c r="G436" s="777" t="s">
        <v>1532</v>
      </c>
      <c r="H436" s="777" t="s">
        <v>1533</v>
      </c>
      <c r="I436" s="11"/>
    </row>
    <row r="437" spans="1:9">
      <c r="A437" s="11"/>
      <c r="B437" s="11"/>
      <c r="C437" s="11"/>
      <c r="D437" s="11" t="str">
        <f t="shared" si="18"/>
        <v>PREDICTOR - Cuartos de final</v>
      </c>
      <c r="E437" s="777" t="s">
        <v>1375</v>
      </c>
      <c r="F437" s="11"/>
      <c r="G437" s="777" t="s">
        <v>1534</v>
      </c>
      <c r="H437" s="777" t="s">
        <v>1535</v>
      </c>
      <c r="I437" s="11"/>
    </row>
    <row r="438" spans="1:9">
      <c r="A438" s="11"/>
      <c r="B438" s="11"/>
      <c r="C438" s="11"/>
      <c r="D438" s="11" t="str">
        <f t="shared" si="18"/>
        <v>PREDICTOR - Octavos de final</v>
      </c>
      <c r="E438" s="777" t="s">
        <v>1375</v>
      </c>
      <c r="F438" s="11"/>
      <c r="G438" s="777" t="s">
        <v>1536</v>
      </c>
      <c r="H438" s="777" t="s">
        <v>1537</v>
      </c>
      <c r="I438" s="11"/>
    </row>
    <row r="439" spans="1:9">
      <c r="A439" s="11"/>
      <c r="B439" s="11"/>
      <c r="C439" s="11"/>
      <c r="D439" s="11" t="str">
        <f t="shared" si="18"/>
        <v>PREDICTOR - Dieciseisavos de final</v>
      </c>
      <c r="E439" s="777" t="s">
        <v>1375</v>
      </c>
      <c r="F439" s="11"/>
      <c r="G439" s="777" t="s">
        <v>1573</v>
      </c>
      <c r="H439" s="777" t="s">
        <v>1574</v>
      </c>
      <c r="I439" s="11"/>
    </row>
    <row r="440" spans="1:9">
      <c r="A440" s="11"/>
      <c r="B440" s="11"/>
      <c r="C440" s="11"/>
      <c r="D440" s="11" t="str">
        <f t="shared" si="18"/>
        <v>PREDICTOR- Fase de Liga</v>
      </c>
      <c r="E440" s="777" t="s">
        <v>1375</v>
      </c>
      <c r="F440" s="11"/>
      <c r="G440" s="777" t="s">
        <v>1538</v>
      </c>
      <c r="H440" s="777" t="s">
        <v>1539</v>
      </c>
      <c r="I440" s="11"/>
    </row>
    <row r="441" spans="1:9">
      <c r="A441" s="11"/>
      <c r="B441" s="11"/>
      <c r="C441" s="11"/>
      <c r="D441" s="11" t="str">
        <f t="shared" si="18"/>
        <v>% Ajuste por desvío en Diferencia/Distancia de goles</v>
      </c>
      <c r="E441" s="777" t="s">
        <v>1375</v>
      </c>
      <c r="F441" s="11"/>
      <c r="G441" s="777" t="s">
        <v>1739</v>
      </c>
      <c r="H441" s="777" t="s">
        <v>1776</v>
      </c>
      <c r="I441" s="11"/>
    </row>
    <row r="442" spans="1:9">
      <c r="A442" s="11"/>
      <c r="B442" s="11"/>
      <c r="C442" s="11"/>
      <c r="D442" s="11" t="str">
        <f t="shared" si="18"/>
        <v>None</v>
      </c>
      <c r="E442" s="777" t="s">
        <v>1449</v>
      </c>
      <c r="F442" s="11"/>
      <c r="G442" s="777" t="s">
        <v>1927</v>
      </c>
      <c r="H442" s="11" t="s">
        <v>1927</v>
      </c>
      <c r="I442" s="11"/>
    </row>
    <row r="443" spans="1:9">
      <c r="A443" s="11"/>
      <c r="B443" s="11"/>
      <c r="C443" s="11"/>
      <c r="D443" s="11" t="str">
        <f t="shared" si="18"/>
        <v>**¿Qué es esto y cómo funciona?</v>
      </c>
      <c r="E443" s="777" t="s">
        <v>1375</v>
      </c>
      <c r="F443" s="11"/>
      <c r="G443" s="777" t="s">
        <v>1826</v>
      </c>
      <c r="H443" s="777" t="s">
        <v>1827</v>
      </c>
      <c r="I443" s="11"/>
    </row>
    <row r="444" spans="1:9">
      <c r="A444" s="11"/>
      <c r="B444" s="11"/>
      <c r="C444" s="11"/>
      <c r="D444" s="11" t="str">
        <f t="shared" si="18"/>
        <v>https://matejero.es/puntuaciones-excel-mundial-2026/#%C2%BFQue_es_y_como_funciona_el_ajuste_por_desvio_en_diferenciadistancia_de_goles</v>
      </c>
      <c r="E444" s="777" t="s">
        <v>1375</v>
      </c>
      <c r="F444" s="11"/>
      <c r="G444" s="779" t="s">
        <v>1825</v>
      </c>
      <c r="H444" s="779" t="s">
        <v>1929</v>
      </c>
      <c r="I444" s="11"/>
    </row>
    <row r="445" spans="1:9">
      <c r="A445" s="11"/>
      <c r="B445" s="11"/>
      <c r="C445" s="11"/>
      <c r="D445" s="11" t="str">
        <f t="shared" si="18"/>
        <v>?</v>
      </c>
      <c r="E445" s="777" t="s">
        <v>1375</v>
      </c>
      <c r="F445" s="11"/>
      <c r="G445" s="777" t="s">
        <v>1831</v>
      </c>
      <c r="H445" s="777" t="s">
        <v>1831</v>
      </c>
      <c r="I445" s="11"/>
    </row>
    <row r="446" spans="1:9">
      <c r="A446" s="11"/>
      <c r="B446" s="11"/>
      <c r="C446" s="11"/>
      <c r="D446" s="11" t="str">
        <f t="shared" si="18"/>
        <v>https://matejero.es/puntuaciones-excel-mundial-2026/#%C2%BFQue_es_un_BONUS</v>
      </c>
      <c r="E446" s="777" t="s">
        <v>1375</v>
      </c>
      <c r="F446" s="11"/>
      <c r="G446" s="779" t="s">
        <v>1832</v>
      </c>
      <c r="H446" s="779" t="s">
        <v>1928</v>
      </c>
      <c r="I446" s="11"/>
    </row>
    <row r="447" spans="1:9">
      <c r="A447" s="11"/>
      <c r="B447" s="11"/>
      <c r="C447" s="11"/>
      <c r="D447" s="11"/>
      <c r="E447" s="777"/>
      <c r="F447" s="11"/>
      <c r="G447" s="778"/>
      <c r="H447" s="778"/>
      <c r="I447" s="11"/>
    </row>
    <row r="448" spans="1:9">
      <c r="A448" s="11"/>
      <c r="B448" s="11"/>
      <c r="C448" s="11"/>
      <c r="D448" s="11"/>
      <c r="E448" s="777"/>
      <c r="F448" s="11"/>
      <c r="G448" s="778"/>
      <c r="H448" s="778"/>
      <c r="I448" s="11"/>
    </row>
    <row r="449" spans="1:9">
      <c r="A449" s="11"/>
      <c r="B449" s="11"/>
      <c r="C449" s="11"/>
      <c r="D449" s="11"/>
      <c r="E449" s="11"/>
      <c r="F449" s="11"/>
      <c r="G449" s="11"/>
      <c r="H449" s="11"/>
      <c r="I449" s="11"/>
    </row>
    <row r="450" spans="1:9">
      <c r="A450" s="11"/>
      <c r="B450" s="11"/>
      <c r="C450" s="11"/>
      <c r="D450" s="11"/>
      <c r="E450" s="11"/>
      <c r="F450" s="11"/>
      <c r="G450" s="11"/>
      <c r="H450" s="11"/>
      <c r="I450" s="11"/>
    </row>
    <row r="451" spans="1:9">
      <c r="A451" s="11"/>
      <c r="B451" s="11"/>
      <c r="C451" s="11"/>
      <c r="D451" s="11" t="str">
        <f t="shared" ref="D451:D470" si="20">IF($B$2,G451,H451)</f>
        <v>CLASIFICACIÓN MUNDIAL 2026</v>
      </c>
      <c r="E451" s="11" t="s">
        <v>1589</v>
      </c>
      <c r="F451" s="11" t="s">
        <v>1590</v>
      </c>
      <c r="G451" s="780" t="s">
        <v>1610</v>
      </c>
      <c r="H451" s="780" t="s">
        <v>1611</v>
      </c>
      <c r="I451" s="11"/>
    </row>
    <row r="452" spans="1:9">
      <c r="A452" s="11"/>
      <c r="B452" s="11"/>
      <c r="C452" s="11"/>
      <c r="D452" s="11" t="str">
        <f t="shared" si="20"/>
        <v>Pos</v>
      </c>
      <c r="E452" s="11" t="s">
        <v>1589</v>
      </c>
      <c r="F452" s="11" t="s">
        <v>125</v>
      </c>
      <c r="G452" s="780" t="s">
        <v>14</v>
      </c>
      <c r="H452" s="780" t="s">
        <v>14</v>
      </c>
      <c r="I452" s="11"/>
    </row>
    <row r="453" spans="1:9">
      <c r="A453" s="11"/>
      <c r="B453" s="11"/>
      <c r="C453" s="11"/>
      <c r="D453" s="11" t="str">
        <f t="shared" si="20"/>
        <v>Jugador</v>
      </c>
      <c r="E453" s="11" t="s">
        <v>1589</v>
      </c>
      <c r="F453" s="11" t="s">
        <v>126</v>
      </c>
      <c r="G453" s="780" t="s">
        <v>1591</v>
      </c>
      <c r="H453" s="780" t="s">
        <v>1592</v>
      </c>
      <c r="I453" s="11"/>
    </row>
    <row r="454" spans="1:9">
      <c r="A454" s="11"/>
      <c r="B454" s="11"/>
      <c r="C454" s="11"/>
      <c r="D454" s="11" t="str">
        <f t="shared" si="20"/>
        <v>Puntos Totales</v>
      </c>
      <c r="E454" s="11" t="s">
        <v>1589</v>
      </c>
      <c r="F454" s="11" t="s">
        <v>127</v>
      </c>
      <c r="G454" s="780" t="s">
        <v>1593</v>
      </c>
      <c r="H454" s="780" t="s">
        <v>1594</v>
      </c>
      <c r="I454" s="11"/>
    </row>
    <row r="455" spans="1:9">
      <c r="A455" s="11"/>
      <c r="B455" s="11"/>
      <c r="C455" s="11"/>
      <c r="D455" s="11" t="str">
        <f t="shared" si="20"/>
        <v>F. Grupos</v>
      </c>
      <c r="E455" s="11" t="s">
        <v>1589</v>
      </c>
      <c r="F455" s="11" t="s">
        <v>128</v>
      </c>
      <c r="G455" s="780" t="s">
        <v>1595</v>
      </c>
      <c r="H455" s="780" t="s">
        <v>1627</v>
      </c>
      <c r="I455" s="11"/>
    </row>
    <row r="456" spans="1:9">
      <c r="A456" s="11"/>
      <c r="B456" s="11"/>
      <c r="C456" s="11"/>
      <c r="D456" s="11" t="str">
        <f t="shared" si="20"/>
        <v>Pos. Grupos</v>
      </c>
      <c r="E456" s="11" t="s">
        <v>1589</v>
      </c>
      <c r="F456" s="11" t="s">
        <v>129</v>
      </c>
      <c r="G456" s="780" t="s">
        <v>1596</v>
      </c>
      <c r="H456" s="780" t="s">
        <v>1628</v>
      </c>
      <c r="I456" s="11"/>
    </row>
    <row r="457" spans="1:9">
      <c r="A457" s="11"/>
      <c r="B457" s="11"/>
      <c r="C457" s="11"/>
      <c r="D457" s="11" t="str">
        <f t="shared" ref="D457:D458" si="21">IF($B$2,G457,H457)</f>
        <v>Equipos 1/16</v>
      </c>
      <c r="E457" s="11" t="s">
        <v>1589</v>
      </c>
      <c r="F457" s="11" t="s">
        <v>180</v>
      </c>
      <c r="G457" s="780" t="s">
        <v>1612</v>
      </c>
      <c r="H457" s="780" t="s">
        <v>1617</v>
      </c>
      <c r="I457" s="11"/>
    </row>
    <row r="458" spans="1:9">
      <c r="A458" s="11"/>
      <c r="B458" s="11"/>
      <c r="C458" s="11"/>
      <c r="D458" s="11" t="str">
        <f t="shared" si="21"/>
        <v>Partidos 1/16</v>
      </c>
      <c r="E458" s="11" t="s">
        <v>1589</v>
      </c>
      <c r="F458" s="11" t="s">
        <v>181</v>
      </c>
      <c r="G458" s="780" t="s">
        <v>1613</v>
      </c>
      <c r="H458" s="780" t="s">
        <v>1614</v>
      </c>
      <c r="I458" s="11"/>
    </row>
    <row r="459" spans="1:9">
      <c r="A459" s="11"/>
      <c r="B459" s="11"/>
      <c r="C459" s="11"/>
      <c r="D459" s="11" t="str">
        <f t="shared" si="20"/>
        <v>Equipos 1/8</v>
      </c>
      <c r="E459" s="11" t="s">
        <v>1589</v>
      </c>
      <c r="F459" s="11" t="s">
        <v>180</v>
      </c>
      <c r="G459" s="780" t="s">
        <v>1597</v>
      </c>
      <c r="H459" s="780" t="s">
        <v>1618</v>
      </c>
      <c r="I459" s="11"/>
    </row>
    <row r="460" spans="1:9">
      <c r="A460" s="11"/>
      <c r="B460" s="11"/>
      <c r="C460" s="11"/>
      <c r="D460" s="11" t="str">
        <f t="shared" si="20"/>
        <v>Partidos 1/8</v>
      </c>
      <c r="E460" s="11" t="s">
        <v>1589</v>
      </c>
      <c r="F460" s="11" t="s">
        <v>181</v>
      </c>
      <c r="G460" s="780" t="s">
        <v>1598</v>
      </c>
      <c r="H460" s="780" t="s">
        <v>1599</v>
      </c>
      <c r="I460" s="11"/>
    </row>
    <row r="461" spans="1:9">
      <c r="A461" s="11"/>
      <c r="B461" s="11"/>
      <c r="C461" s="11"/>
      <c r="D461" s="11" t="str">
        <f t="shared" si="20"/>
        <v>Equipos 1/4</v>
      </c>
      <c r="E461" s="11" t="s">
        <v>1589</v>
      </c>
      <c r="F461" s="11" t="s">
        <v>182</v>
      </c>
      <c r="G461" s="780" t="s">
        <v>1600</v>
      </c>
      <c r="H461" s="780" t="s">
        <v>1619</v>
      </c>
      <c r="I461" s="11"/>
    </row>
    <row r="462" spans="1:9">
      <c r="A462" s="11"/>
      <c r="B462" s="11"/>
      <c r="C462" s="11"/>
      <c r="D462" s="11" t="str">
        <f t="shared" si="20"/>
        <v>Partidos 1/4</v>
      </c>
      <c r="E462" s="11" t="s">
        <v>1589</v>
      </c>
      <c r="F462" s="11" t="s">
        <v>28</v>
      </c>
      <c r="G462" s="780" t="s">
        <v>1601</v>
      </c>
      <c r="H462" s="780" t="s">
        <v>1602</v>
      </c>
      <c r="I462" s="11"/>
    </row>
    <row r="463" spans="1:9">
      <c r="A463" s="11"/>
      <c r="B463" s="11"/>
      <c r="C463" s="11"/>
      <c r="D463" s="11" t="str">
        <f t="shared" si="20"/>
        <v>Equipos 1/2</v>
      </c>
      <c r="E463" s="11" t="s">
        <v>1589</v>
      </c>
      <c r="F463" s="11" t="s">
        <v>188</v>
      </c>
      <c r="G463" s="780" t="s">
        <v>1603</v>
      </c>
      <c r="H463" s="780" t="s">
        <v>1620</v>
      </c>
      <c r="I463" s="11"/>
    </row>
    <row r="464" spans="1:9">
      <c r="A464" s="11"/>
      <c r="B464" s="11"/>
      <c r="C464" s="11"/>
      <c r="D464" s="11" t="str">
        <f t="shared" si="20"/>
        <v>Partidos 1/2</v>
      </c>
      <c r="E464" s="11" t="s">
        <v>1589</v>
      </c>
      <c r="F464" s="11" t="s">
        <v>1198</v>
      </c>
      <c r="G464" s="780" t="s">
        <v>1604</v>
      </c>
      <c r="H464" s="780" t="s">
        <v>1605</v>
      </c>
      <c r="I464" s="11"/>
    </row>
    <row r="465" spans="1:9">
      <c r="A465" s="11"/>
      <c r="B465" s="11"/>
      <c r="C465" s="11"/>
      <c r="D465" s="11" t="str">
        <f t="shared" si="20"/>
        <v>Equipos 3-4</v>
      </c>
      <c r="E465" s="11" t="s">
        <v>1589</v>
      </c>
      <c r="F465" s="11"/>
      <c r="G465" s="780" t="s">
        <v>1615</v>
      </c>
      <c r="H465" s="780" t="s">
        <v>1616</v>
      </c>
      <c r="I465" s="11"/>
    </row>
    <row r="466" spans="1:9">
      <c r="A466" s="11"/>
      <c r="B466" s="11"/>
      <c r="C466" s="11"/>
      <c r="D466" s="11" t="str">
        <f t="shared" si="20"/>
        <v>Equipos Final</v>
      </c>
      <c r="E466" s="11" t="s">
        <v>1589</v>
      </c>
      <c r="F466" s="11" t="s">
        <v>1606</v>
      </c>
      <c r="G466" s="780" t="s">
        <v>1607</v>
      </c>
      <c r="H466" s="780" t="s">
        <v>1621</v>
      </c>
      <c r="I466" s="11"/>
    </row>
    <row r="467" spans="1:9">
      <c r="A467" s="11"/>
      <c r="B467" s="11"/>
      <c r="C467" s="11"/>
      <c r="D467" s="11" t="str">
        <f t="shared" ref="D467" si="22">IF($B$2,G467,H467)</f>
        <v>Partido 3-4</v>
      </c>
      <c r="E467" s="11" t="s">
        <v>1589</v>
      </c>
      <c r="F467" s="11"/>
      <c r="G467" s="780" t="s">
        <v>1622</v>
      </c>
      <c r="H467" s="780" t="s">
        <v>1623</v>
      </c>
      <c r="I467" s="11"/>
    </row>
    <row r="468" spans="1:9">
      <c r="A468" s="11"/>
      <c r="B468" s="11"/>
      <c r="C468" s="11"/>
      <c r="D468" s="11" t="str">
        <f t="shared" si="20"/>
        <v>Partido Final</v>
      </c>
      <c r="E468" s="11" t="s">
        <v>1589</v>
      </c>
      <c r="F468" s="11" t="s">
        <v>190</v>
      </c>
      <c r="G468" s="780" t="s">
        <v>1467</v>
      </c>
      <c r="H468" s="780" t="s">
        <v>1608</v>
      </c>
      <c r="I468" s="11"/>
    </row>
    <row r="469" spans="1:9">
      <c r="A469" s="11"/>
      <c r="B469" s="11"/>
      <c r="C469" s="11"/>
      <c r="D469" s="11" t="str">
        <f t="shared" ref="D469" si="23">IF($B$2,G469,H469)</f>
        <v xml:space="preserve">Cuadro de Honor </v>
      </c>
      <c r="E469" s="11" t="s">
        <v>1589</v>
      </c>
      <c r="F469" s="11" t="s">
        <v>1609</v>
      </c>
      <c r="G469" s="780" t="s">
        <v>1624</v>
      </c>
      <c r="H469" s="780" t="s">
        <v>1626</v>
      </c>
      <c r="I469" s="11"/>
    </row>
    <row r="470" spans="1:9">
      <c r="A470" s="11"/>
      <c r="B470" s="11"/>
      <c r="C470" s="11"/>
      <c r="D470" s="11" t="str">
        <f t="shared" si="20"/>
        <v xml:space="preserve">Predictor </v>
      </c>
      <c r="E470" s="11" t="s">
        <v>1589</v>
      </c>
      <c r="F470" s="11" t="s">
        <v>1609</v>
      </c>
      <c r="G470" s="780" t="s">
        <v>1625</v>
      </c>
      <c r="H470" s="780" t="s">
        <v>1625</v>
      </c>
      <c r="I470" s="11"/>
    </row>
    <row r="471" spans="1:9">
      <c r="A471" s="11"/>
      <c r="B471" s="11"/>
      <c r="C471" s="11"/>
      <c r="D471" s="11"/>
      <c r="E471" s="11"/>
      <c r="F471" s="11"/>
      <c r="G471" s="11"/>
      <c r="H471" s="11"/>
      <c r="I471" s="11"/>
    </row>
    <row r="472" spans="1:9">
      <c r="A472" s="11"/>
      <c r="B472" s="11"/>
      <c r="C472" s="11"/>
      <c r="D472" s="11"/>
      <c r="E472" s="11"/>
      <c r="F472" s="11"/>
      <c r="G472" s="11"/>
      <c r="H472" s="11"/>
      <c r="I472" s="11"/>
    </row>
    <row r="473" spans="1:9">
      <c r="A473" s="11"/>
      <c r="B473" s="11"/>
      <c r="C473" s="11"/>
      <c r="D473" s="11"/>
      <c r="E473" s="11"/>
      <c r="F473" s="11"/>
      <c r="G473" s="11"/>
      <c r="H473" s="11"/>
      <c r="I473" s="11"/>
    </row>
    <row r="474" spans="1:9">
      <c r="A474" s="11"/>
      <c r="B474" s="11"/>
      <c r="C474" s="11"/>
      <c r="D474" s="11" t="str">
        <f t="shared" ref="D474:D475" si="24">IF($B$2,G474,H474)</f>
        <v>Selecciona día:</v>
      </c>
      <c r="E474" s="11" t="s">
        <v>1650</v>
      </c>
      <c r="F474" s="11" t="s">
        <v>115</v>
      </c>
      <c r="G474" s="11" t="s">
        <v>1651</v>
      </c>
      <c r="H474" s="11" t="s">
        <v>1652</v>
      </c>
      <c r="I474" s="11"/>
    </row>
    <row r="475" spans="1:9">
      <c r="A475" s="11"/>
      <c r="B475" s="11"/>
      <c r="C475" s="11"/>
      <c r="D475" s="11" t="str">
        <f t="shared" si="24"/>
        <v>Nombre</v>
      </c>
      <c r="E475" s="11" t="s">
        <v>1650</v>
      </c>
      <c r="F475" s="11" t="s">
        <v>126</v>
      </c>
      <c r="G475" s="11" t="s">
        <v>42</v>
      </c>
      <c r="H475" s="11" t="s">
        <v>268</v>
      </c>
      <c r="I475" s="11"/>
    </row>
    <row r="476" spans="1:9">
      <c r="A476" s="11"/>
      <c r="B476" s="11"/>
      <c r="C476" s="11"/>
      <c r="D476" s="11"/>
      <c r="E476" s="11"/>
      <c r="F476" s="11"/>
      <c r="G476" s="11"/>
      <c r="H476" s="11"/>
      <c r="I476" s="11"/>
    </row>
    <row r="477" spans="1:9">
      <c r="A477" s="11"/>
      <c r="B477" s="11"/>
      <c r="C477" s="11"/>
      <c r="D477" s="11"/>
      <c r="E477" s="11"/>
      <c r="F477" s="11"/>
      <c r="G477" s="11"/>
      <c r="H477" s="11"/>
      <c r="I477" s="11"/>
    </row>
    <row r="478" spans="1:9">
      <c r="A478" s="11"/>
      <c r="B478" s="11"/>
      <c r="C478" s="11"/>
      <c r="D478" s="11" t="str">
        <f t="shared" ref="D478:D481" si="25">IF($B$2,G478,H478)</f>
        <v>Selecciona día:</v>
      </c>
      <c r="E478" s="11" t="s">
        <v>1653</v>
      </c>
      <c r="F478" s="11" t="s">
        <v>512</v>
      </c>
      <c r="G478" s="11" t="s">
        <v>1651</v>
      </c>
      <c r="H478" s="11" t="s">
        <v>1652</v>
      </c>
      <c r="I478" s="11"/>
    </row>
    <row r="479" spans="1:9">
      <c r="A479" s="11"/>
      <c r="B479" s="11"/>
      <c r="C479" s="11"/>
      <c r="D479" s="11" t="str">
        <f t="shared" si="25"/>
        <v>Pos</v>
      </c>
      <c r="E479" s="11" t="s">
        <v>1653</v>
      </c>
      <c r="F479" s="11" t="s">
        <v>128</v>
      </c>
      <c r="G479" s="11" t="s">
        <v>14</v>
      </c>
      <c r="H479" s="11" t="s">
        <v>14</v>
      </c>
      <c r="I479" s="11"/>
    </row>
    <row r="480" spans="1:9">
      <c r="A480" s="11"/>
      <c r="B480" s="11"/>
      <c r="C480" s="11"/>
      <c r="D480" s="11" t="str">
        <f t="shared" si="25"/>
        <v>Nombre</v>
      </c>
      <c r="E480" s="11" t="s">
        <v>1653</v>
      </c>
      <c r="F480" s="11" t="s">
        <v>129</v>
      </c>
      <c r="G480" s="11" t="s">
        <v>42</v>
      </c>
      <c r="H480" s="11" t="s">
        <v>268</v>
      </c>
      <c r="I480" s="11"/>
    </row>
    <row r="481" spans="1:9">
      <c r="A481" s="11"/>
      <c r="B481" s="11"/>
      <c r="C481" s="11"/>
      <c r="D481" s="11" t="str">
        <f t="shared" si="25"/>
        <v>Puntos Día / Eliminatoria</v>
      </c>
      <c r="E481" s="11" t="s">
        <v>1653</v>
      </c>
      <c r="F481" s="11" t="s">
        <v>180</v>
      </c>
      <c r="G481" s="11" t="s">
        <v>1654</v>
      </c>
      <c r="H481" s="11" t="s">
        <v>1655</v>
      </c>
      <c r="I481" s="11"/>
    </row>
    <row r="482" spans="1:9">
      <c r="A482" s="11"/>
      <c r="B482" s="11"/>
      <c r="C482" s="11"/>
      <c r="D482" s="11"/>
      <c r="E482" s="11"/>
      <c r="F482" s="11"/>
      <c r="G482" s="11"/>
      <c r="H482" s="11"/>
      <c r="I482" s="11"/>
    </row>
    <row r="483" spans="1:9">
      <c r="A483" s="11"/>
      <c r="B483" s="11"/>
      <c r="C483" s="11"/>
      <c r="D483" s="11"/>
      <c r="E483" s="11"/>
      <c r="F483" s="11"/>
      <c r="G483" s="11"/>
      <c r="H483" s="11"/>
      <c r="I483" s="11"/>
    </row>
    <row r="484" spans="1:9">
      <c r="A484" s="11"/>
      <c r="B484" s="11"/>
      <c r="C484" s="11"/>
      <c r="D484" s="11" t="str">
        <f>IF($B$2,G484,H484)</f>
        <v xml:space="preserve">Puntos en juego </v>
      </c>
      <c r="E484" s="11" t="s">
        <v>1656</v>
      </c>
      <c r="F484" s="11"/>
      <c r="G484" s="11" t="s">
        <v>1657</v>
      </c>
      <c r="H484" s="8" t="s">
        <v>1658</v>
      </c>
      <c r="I484" s="11"/>
    </row>
    <row r="485" spans="1:9">
      <c r="A485" s="11"/>
      <c r="B485" s="11"/>
      <c r="C485" s="11"/>
      <c r="D485" s="11" t="str">
        <f t="shared" ref="D485:D515" si="26">IF($B$2,G485,H485)</f>
        <v xml:space="preserve">Máximo de puntos hasta </v>
      </c>
      <c r="E485" s="11" t="s">
        <v>1656</v>
      </c>
      <c r="F485" s="11"/>
      <c r="G485" s="11" t="s">
        <v>1659</v>
      </c>
      <c r="H485" s="8" t="s">
        <v>1660</v>
      </c>
      <c r="I485" s="11"/>
    </row>
    <row r="486" spans="1:9">
      <c r="A486" s="11"/>
      <c r="B486" s="11"/>
      <c r="C486" s="11"/>
      <c r="D486" s="11" t="str">
        <f t="shared" si="26"/>
        <v xml:space="preserve">Máximo de puntos incluido </v>
      </c>
      <c r="E486" s="11" t="s">
        <v>1656</v>
      </c>
      <c r="F486" s="11"/>
      <c r="G486" s="11" t="s">
        <v>1661</v>
      </c>
      <c r="H486" s="8" t="s">
        <v>1662</v>
      </c>
      <c r="I486" s="11"/>
    </row>
    <row r="487" spans="1:9">
      <c r="A487" s="11"/>
      <c r="B487" s="11"/>
      <c r="C487" s="11"/>
      <c r="D487" s="11" t="str">
        <f t="shared" si="26"/>
        <v xml:space="preserve">Quedan por repartir: </v>
      </c>
      <c r="E487" s="11" t="s">
        <v>1656</v>
      </c>
      <c r="F487" s="11"/>
      <c r="G487" s="11" t="s">
        <v>1663</v>
      </c>
      <c r="H487" s="8" t="s">
        <v>1664</v>
      </c>
      <c r="I487" s="11"/>
    </row>
    <row r="488" spans="1:9">
      <c r="A488" s="11"/>
      <c r="B488" s="11"/>
      <c r="C488" s="11"/>
      <c r="D488" s="11" t="str">
        <f t="shared" si="26"/>
        <v>Puntos máximos totales a repartir hoy (Global):</v>
      </c>
      <c r="E488" s="11" t="s">
        <v>1656</v>
      </c>
      <c r="F488" s="11"/>
      <c r="G488" s="11" t="s">
        <v>1665</v>
      </c>
      <c r="H488" s="8" t="s">
        <v>1666</v>
      </c>
      <c r="I488" s="11"/>
    </row>
    <row r="489" spans="1:9">
      <c r="A489" s="11"/>
      <c r="B489" s="11"/>
      <c r="C489" s="11"/>
      <c r="D489" s="11" t="str">
        <f t="shared" si="26"/>
        <v>Puntos repartidos hoy (Global)</v>
      </c>
      <c r="E489" s="11" t="s">
        <v>1656</v>
      </c>
      <c r="F489" s="11"/>
      <c r="G489" s="11" t="s">
        <v>1667</v>
      </c>
      <c r="H489" s="8" t="s">
        <v>1668</v>
      </c>
      <c r="I489" s="11"/>
    </row>
    <row r="490" spans="1:9">
      <c r="A490" s="11"/>
      <c r="B490" s="11"/>
      <c r="C490" s="11"/>
      <c r="D490" s="11" t="str">
        <f t="shared" si="26"/>
        <v xml:space="preserve">¿Cúantos han acertado el máximo de puntos </v>
      </c>
      <c r="E490" s="11" t="s">
        <v>1656</v>
      </c>
      <c r="F490" s="11"/>
      <c r="G490" s="11" t="s">
        <v>1669</v>
      </c>
      <c r="H490" s="8" t="s">
        <v>1670</v>
      </c>
      <c r="I490" s="11"/>
    </row>
    <row r="491" spans="1:9">
      <c r="A491" s="11"/>
      <c r="B491" s="11"/>
      <c r="C491" s="11"/>
      <c r="D491" s="11" t="str">
        <f>IF($B$2,G491,H491)</f>
        <v xml:space="preserve">¿Cúantos se han llevado algún punto </v>
      </c>
      <c r="E491" s="11" t="s">
        <v>1656</v>
      </c>
      <c r="F491" s="11"/>
      <c r="G491" s="11" t="s">
        <v>1671</v>
      </c>
      <c r="H491" s="8" t="s">
        <v>1672</v>
      </c>
      <c r="I491" s="11"/>
    </row>
    <row r="492" spans="1:9">
      <c r="A492" s="11"/>
      <c r="B492" s="11"/>
      <c r="C492" s="11"/>
      <c r="D492" s="11" t="str">
        <f t="shared" si="26"/>
        <v xml:space="preserve">¿Cúantos no han acertado nada </v>
      </c>
      <c r="E492" s="11" t="s">
        <v>1656</v>
      </c>
      <c r="F492" s="11"/>
      <c r="G492" s="11" t="s">
        <v>1673</v>
      </c>
      <c r="H492" s="8" t="s">
        <v>1674</v>
      </c>
      <c r="I492" s="11"/>
    </row>
    <row r="493" spans="1:9">
      <c r="A493" s="11"/>
      <c r="B493" s="11"/>
      <c r="C493" s="11"/>
      <c r="D493" s="11" t="str">
        <f t="shared" si="26"/>
        <v xml:space="preserve">Media de puntos sumados </v>
      </c>
      <c r="E493" s="11" t="s">
        <v>1656</v>
      </c>
      <c r="F493" s="11"/>
      <c r="G493" s="11" t="s">
        <v>1675</v>
      </c>
      <c r="H493" s="8" t="s">
        <v>1676</v>
      </c>
      <c r="I493" s="11"/>
    </row>
    <row r="494" spans="1:9">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c r="I494" s="11"/>
    </row>
    <row r="495" spans="1:9">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c r="I495" s="11"/>
    </row>
    <row r="496" spans="1:9">
      <c r="A496" s="11"/>
      <c r="B496" s="11"/>
      <c r="C496" s="11"/>
      <c r="D496" s="11" t="str">
        <f t="shared" si="26"/>
        <v>Dia seleccionado en "Daily Prediction"</v>
      </c>
      <c r="E496" s="11" t="s">
        <v>1656</v>
      </c>
      <c r="F496" s="11"/>
      <c r="G496" s="11" t="s">
        <v>1680</v>
      </c>
      <c r="H496" s="8" t="s">
        <v>1681</v>
      </c>
      <c r="I496" s="11"/>
    </row>
    <row r="497" spans="1:9">
      <c r="A497" s="11"/>
      <c r="B497" s="11"/>
      <c r="C497" s="11"/>
      <c r="D497" s="11" t="str">
        <f t="shared" si="26"/>
        <v>Puntos</v>
      </c>
      <c r="E497" s="11" t="s">
        <v>1656</v>
      </c>
      <c r="F497" s="11"/>
      <c r="G497" s="11" t="s">
        <v>1381</v>
      </c>
      <c r="H497" s="8" t="s">
        <v>1382</v>
      </c>
      <c r="I497" s="11"/>
    </row>
    <row r="498" spans="1:9">
      <c r="A498" s="11"/>
      <c r="B498" s="11"/>
      <c r="C498" s="11"/>
      <c r="D498" s="11" t="str">
        <f t="shared" si="26"/>
        <v>Resultados más pronósticados</v>
      </c>
      <c r="E498" s="11" t="s">
        <v>1656</v>
      </c>
      <c r="F498" s="11"/>
      <c r="G498" s="11" t="s">
        <v>1682</v>
      </c>
      <c r="H498" s="8" t="s">
        <v>1683</v>
      </c>
      <c r="I498" s="11"/>
    </row>
    <row r="499" spans="1:9">
      <c r="A499" s="11"/>
      <c r="B499" s="11"/>
      <c r="C499" s="11"/>
      <c r="D499" s="11" t="str">
        <f t="shared" si="26"/>
        <v>Resultado</v>
      </c>
      <c r="E499" s="11" t="s">
        <v>1656</v>
      </c>
      <c r="F499" s="11"/>
      <c r="G499" s="11" t="s">
        <v>1684</v>
      </c>
      <c r="H499" s="8" t="s">
        <v>1685</v>
      </c>
      <c r="I499" s="11"/>
    </row>
    <row r="500" spans="1:9">
      <c r="A500" s="11"/>
      <c r="B500" s="11"/>
      <c r="C500" s="11"/>
      <c r="D500" s="11" t="str">
        <f t="shared" si="26"/>
        <v>Nº de veces</v>
      </c>
      <c r="E500" s="11" t="s">
        <v>1656</v>
      </c>
      <c r="F500" s="11"/>
      <c r="G500" s="11" t="s">
        <v>1686</v>
      </c>
      <c r="H500" s="8" t="s">
        <v>1687</v>
      </c>
      <c r="I500" s="11"/>
    </row>
    <row r="501" spans="1:9">
      <c r="A501" s="11"/>
      <c r="B501" s="11"/>
      <c r="C501" s="11"/>
      <c r="D501" s="11" t="str">
        <f t="shared" si="26"/>
        <v>Selecciona un partido de hoy:↗</v>
      </c>
      <c r="E501" s="11" t="s">
        <v>1656</v>
      </c>
      <c r="F501" s="11"/>
      <c r="G501" s="11" t="s">
        <v>1923</v>
      </c>
      <c r="H501" s="8" t="s">
        <v>1924</v>
      </c>
      <c r="I501" s="11"/>
    </row>
    <row r="502" spans="1:9">
      <c r="A502" s="11"/>
      <c r="B502" s="11"/>
      <c r="C502" s="11"/>
      <c r="D502" s="11" t="str">
        <f t="shared" si="26"/>
        <v>(No cuentan los resultados no predichos)*</v>
      </c>
      <c r="E502" s="11" t="s">
        <v>1656</v>
      </c>
      <c r="F502" s="11"/>
      <c r="G502" s="11" t="s">
        <v>1688</v>
      </c>
      <c r="H502" s="8" t="s">
        <v>1689</v>
      </c>
      <c r="I502" s="11"/>
    </row>
    <row r="503" spans="1:9">
      <c r="A503" s="11"/>
      <c r="B503" s="11"/>
      <c r="C503" s="11"/>
      <c r="D503" s="11" t="str">
        <f t="shared" si="26"/>
        <v>*Si alguno de los participantes no ha predicho este resultado, no se cuenta ni en la tabla ni en el gráfico</v>
      </c>
      <c r="E503" s="11" t="s">
        <v>1656</v>
      </c>
      <c r="F503" s="11"/>
      <c r="G503" s="11" t="s">
        <v>1690</v>
      </c>
      <c r="H503" s="8" t="s">
        <v>1691</v>
      </c>
      <c r="I503" s="11"/>
    </row>
    <row r="504" spans="1:9">
      <c r="A504" s="11"/>
      <c r="B504" s="11"/>
      <c r="C504" s="11"/>
      <c r="D504" s="11" t="str">
        <f t="shared" si="26"/>
        <v>Este gráfico de abajo solo aparece en los partidos de la fase de grupos</v>
      </c>
      <c r="E504" s="11" t="s">
        <v>1656</v>
      </c>
      <c r="F504" s="11"/>
      <c r="G504" s="11" t="s">
        <v>1692</v>
      </c>
      <c r="H504" s="11" t="s">
        <v>1693</v>
      </c>
      <c r="I504" s="11"/>
    </row>
    <row r="505" spans="1:9">
      <c r="A505" s="11"/>
      <c r="B505" s="11"/>
      <c r="C505" s="11"/>
      <c r="D505" s="11" t="str">
        <f t="shared" si="26"/>
        <v>Faltan</v>
      </c>
      <c r="E505" s="11" t="s">
        <v>1656</v>
      </c>
      <c r="F505" s="11"/>
      <c r="G505" s="8" t="s">
        <v>1694</v>
      </c>
      <c r="H505" s="8" t="s">
        <v>1695</v>
      </c>
      <c r="I505" s="11"/>
    </row>
    <row r="506" spans="1:9">
      <c r="A506" s="11"/>
      <c r="B506" s="11"/>
      <c r="C506" s="11"/>
      <c r="D506" s="11" t="str">
        <f t="shared" si="26"/>
        <v>días para que empiece el Mundial 2026</v>
      </c>
      <c r="E506" s="11" t="s">
        <v>1656</v>
      </c>
      <c r="F506" s="11"/>
      <c r="G506" s="8" t="s">
        <v>1780</v>
      </c>
      <c r="H506" s="8" t="s">
        <v>1785</v>
      </c>
      <c r="I506" s="11"/>
    </row>
    <row r="507" spans="1:9">
      <c r="A507" s="11"/>
      <c r="B507" s="11"/>
      <c r="C507" s="11"/>
      <c r="D507" s="11" t="str">
        <f t="shared" si="26"/>
        <v>Es el día</v>
      </c>
      <c r="E507" s="11" t="s">
        <v>1656</v>
      </c>
      <c r="F507" s="11"/>
      <c r="G507" s="8" t="s">
        <v>1696</v>
      </c>
      <c r="H507" s="8" t="s">
        <v>1697</v>
      </c>
      <c r="I507" s="11"/>
    </row>
    <row r="508" spans="1:9">
      <c r="A508" s="11"/>
      <c r="B508" s="11"/>
      <c r="C508" s="11"/>
      <c r="D508" s="11" t="str">
        <f t="shared" si="26"/>
        <v>del Mundial 2026</v>
      </c>
      <c r="E508" s="11" t="s">
        <v>1656</v>
      </c>
      <c r="F508" s="11"/>
      <c r="G508" s="8" t="s">
        <v>1779</v>
      </c>
      <c r="H508" s="8" t="s">
        <v>1304</v>
      </c>
      <c r="I508" s="11"/>
    </row>
    <row r="509" spans="1:9">
      <c r="A509" s="11"/>
      <c r="B509" s="11"/>
      <c r="C509" s="11"/>
      <c r="D509" s="11" t="str">
        <f t="shared" si="26"/>
        <v>Quedan</v>
      </c>
      <c r="E509" s="11" t="s">
        <v>1656</v>
      </c>
      <c r="F509" s="11"/>
      <c r="G509" s="8" t="s">
        <v>1698</v>
      </c>
      <c r="H509" s="8" t="s">
        <v>1699</v>
      </c>
      <c r="I509" s="11"/>
    </row>
    <row r="510" spans="1:9">
      <c r="A510" s="11"/>
      <c r="B510" s="11"/>
      <c r="C510" s="11"/>
      <c r="D510" s="11" t="str">
        <f t="shared" si="26"/>
        <v>días para que acabe el Mundial 2026</v>
      </c>
      <c r="E510" s="11" t="s">
        <v>1656</v>
      </c>
      <c r="F510" s="11"/>
      <c r="G510" s="8" t="s">
        <v>1777</v>
      </c>
      <c r="H510" s="8" t="s">
        <v>1778</v>
      </c>
      <c r="I510" s="11"/>
    </row>
    <row r="511" spans="1:9">
      <c r="A511" s="11"/>
      <c r="B511" s="11"/>
      <c r="C511" s="11"/>
      <c r="D511" s="11" t="str">
        <f t="shared" si="26"/>
        <v>Se han marcado un total de</v>
      </c>
      <c r="E511" s="11" t="s">
        <v>1656</v>
      </c>
      <c r="F511" s="11"/>
      <c r="G511" s="8" t="s">
        <v>1700</v>
      </c>
      <c r="H511" s="8" t="s">
        <v>1701</v>
      </c>
      <c r="I511" s="11"/>
    </row>
    <row r="512" spans="1:9">
      <c r="A512" s="11"/>
      <c r="B512" s="11"/>
      <c r="C512" s="11"/>
      <c r="D512" s="11" t="str">
        <f t="shared" si="26"/>
        <v>goles en el Mundial de Clubes sin contar tandas de penalti</v>
      </c>
      <c r="E512" s="11" t="s">
        <v>1656</v>
      </c>
      <c r="F512" s="11"/>
      <c r="G512" s="8" t="s">
        <v>1702</v>
      </c>
      <c r="H512" s="8" t="s">
        <v>1703</v>
      </c>
      <c r="I512" s="11"/>
    </row>
    <row r="513" spans="1:9">
      <c r="A513" s="11"/>
      <c r="B513" s="11"/>
      <c r="C513" s="11"/>
      <c r="D513" s="11" t="str">
        <f t="shared" si="26"/>
        <v>Espero que disfrutéis del Excel del Mundial de Clubes</v>
      </c>
      <c r="E513" s="11" t="s">
        <v>1656</v>
      </c>
      <c r="F513" s="11"/>
      <c r="G513" s="8" t="s">
        <v>1704</v>
      </c>
      <c r="H513" s="8" t="s">
        <v>1705</v>
      </c>
      <c r="I513" s="11"/>
    </row>
    <row r="514" spans="1:9">
      <c r="A514" s="11"/>
      <c r="B514" s="11"/>
      <c r="C514" s="11"/>
      <c r="D514" s="11"/>
      <c r="E514" s="11"/>
      <c r="F514" s="11"/>
      <c r="G514" s="11"/>
      <c r="H514" s="11"/>
      <c r="I514" s="11"/>
    </row>
    <row r="515" spans="1:9">
      <c r="A515" s="11"/>
      <c r="B515" s="11"/>
      <c r="C515" s="11"/>
      <c r="D515" s="11" t="str">
        <f t="shared" si="26"/>
        <v>Gráfico solo en fase de grupos</v>
      </c>
      <c r="E515" s="11" t="s">
        <v>1656</v>
      </c>
      <c r="F515" s="11"/>
      <c r="G515" s="8" t="s">
        <v>1905</v>
      </c>
      <c r="H515" s="11" t="s">
        <v>1904</v>
      </c>
      <c r="I515" s="11"/>
    </row>
    <row r="1419" spans="4:4">
      <c r="D1419" s="11" t="s">
        <v>1317</v>
      </c>
    </row>
    <row r="1420" spans="4:4">
      <c r="D1420" s="11" t="s">
        <v>1333</v>
      </c>
    </row>
  </sheetData>
  <sheetProtection algorithmName="SHA-512" hashValue="hS3IQOrtH3yr3R+vrxNcoAznTkvyoYSUmRpRi1IeSoUcMqu4P+A0Gijn9GF7ErVwqYt6ow0mXlvYb8HUGL7n3w==" saltValue="+i2Fj3v/DxclgpvtcCeW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headerFooter>
    <oddFooter>&amp;L_x000D_&amp;1#&amp;"Aptos"&amp;8&amp;K000000 Clasificación: Interna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defaultColWidth="0" defaultRowHeight="14.4"/>
  <cols>
    <col min="1" max="2" width="10.77734375" style="21" hidden="1" customWidth="1"/>
    <col min="3" max="3" width="2.33203125" customWidth="1"/>
    <col min="4" max="4" width="46.109375" customWidth="1"/>
    <col min="5" max="6" width="12.77734375" customWidth="1"/>
    <col min="7" max="7" width="3.77734375" customWidth="1"/>
    <col min="8" max="8" width="32.109375" customWidth="1"/>
    <col min="9" max="9" width="26.6640625" bestFit="1" customWidth="1"/>
    <col min="10" max="11" width="2.33203125" customWidth="1"/>
    <col min="12" max="12" width="19" bestFit="1" customWidth="1"/>
    <col min="13" max="20" width="11.33203125" customWidth="1"/>
    <col min="21" max="21" width="10.77734375" customWidth="1"/>
    <col min="22" max="22" width="10.77734375" hidden="1" customWidth="1"/>
    <col min="23" max="23" width="23.77734375" hidden="1" customWidth="1"/>
    <col min="24" max="24" width="21.33203125" hidden="1" customWidth="1"/>
    <col min="25" max="25" width="24.44140625" hidden="1" customWidth="1"/>
    <col min="26" max="26" width="17.77734375" hidden="1" customWidth="1"/>
    <col min="27" max="16384" width="10.77734375" hidden="1"/>
  </cols>
  <sheetData>
    <row r="1" spans="1:53">
      <c r="A1" s="25"/>
      <c r="B1" s="25"/>
      <c r="C1" s="17"/>
      <c r="D1" s="453"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53"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53"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05" customHeight="1" thickBot="1">
      <c r="A5" s="25"/>
      <c r="B5" s="25"/>
      <c r="C5" s="17"/>
      <c r="D5" s="477" t="str">
        <f>Idiomas!D496</f>
        <v>Dia seleccionado en "Daily Prediction"</v>
      </c>
      <c r="E5" s="763">
        <f>DailyPrediction!H1</f>
        <v>46184</v>
      </c>
      <c r="F5" s="404">
        <f ca="1">VLOOKUP($E$5,Equipos!$Q$2:$R$37,2,0)</f>
        <v>1</v>
      </c>
      <c r="G5" s="17"/>
      <c r="H5" s="476" t="str">
        <f>Idiomas!D501</f>
        <v>Selecciona un partido de hoy:↗</v>
      </c>
      <c r="I5" s="450" t="s">
        <v>1938</v>
      </c>
      <c r="J5" s="17"/>
      <c r="K5" s="17"/>
      <c r="L5" s="855">
        <f>SUM(WORLDCUP!AG4:AG147)/104</f>
        <v>0.30769230769230771</v>
      </c>
      <c r="M5" s="856"/>
      <c r="N5" s="856"/>
      <c r="O5" s="856"/>
      <c r="P5" s="856"/>
      <c r="Q5" s="856"/>
      <c r="R5" s="856"/>
      <c r="S5" s="856"/>
      <c r="T5" s="857"/>
      <c r="U5" s="25"/>
      <c r="V5" s="11">
        <f>ADMIN!$D$5</f>
        <v>50</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53"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28" t="s">
        <v>1933</v>
      </c>
      <c r="E7" s="129" t="str">
        <f>Idiomas!D497</f>
        <v>Puntos</v>
      </c>
      <c r="F7" s="130" t="s">
        <v>1711</v>
      </c>
      <c r="G7" s="17"/>
      <c r="H7" s="128" t="str">
        <f>Idiomas!D499</f>
        <v>Resultado</v>
      </c>
      <c r="I7" s="129" t="str">
        <f>Idiomas!D500</f>
        <v>Nº de veces</v>
      </c>
      <c r="J7" s="703" t="s">
        <v>1725</v>
      </c>
      <c r="K7" s="25"/>
      <c r="L7" s="134"/>
      <c r="M7" s="461" t="str">
        <f>Idiomas!D344</f>
        <v>Fase de grupos</v>
      </c>
      <c r="N7" s="462" t="s">
        <v>1782</v>
      </c>
      <c r="O7" s="463" t="s">
        <v>1781</v>
      </c>
      <c r="P7" s="464" t="s">
        <v>1783</v>
      </c>
      <c r="Q7" s="465" t="s">
        <v>1784</v>
      </c>
      <c r="R7" s="466" t="str">
        <f>Idiomas!D337</f>
        <v>3º puesto</v>
      </c>
      <c r="S7" s="467" t="str">
        <f>Idiomas!D336</f>
        <v>Subcampeón</v>
      </c>
      <c r="T7" s="468"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54" t="str">
        <f>Idiomas!D484&amp;TEXT($E$5,"dd/mm/aa")&amp;" (Individual)"</f>
        <v>Puntos en juego 11/06/26 (Individual)</v>
      </c>
      <c r="E8" s="455">
        <f ca="1">IFERROR(SUMIF(ADMIN!$G$6:$G$258,$F$5,ADMIN!$F$6:$F$258),"")</f>
        <v>4</v>
      </c>
      <c r="F8" s="456">
        <f ca="1">IFERROR(E8/$B$46,0)</f>
        <v>4.5819014891179842E-3</v>
      </c>
      <c r="G8" s="17"/>
      <c r="H8" s="454" t="str" cm="1">
        <f t="array" aca="1" ref="H8:I15" ca="1">_xlfn.SORTBY(OFFSET($Y$35,0,0,COUNTA(_xlfn.ANCHORARRAY($Y$35)),2),OFFSET(Z35,0,0,COUNTA(_xlfn.ANCHORARRAY($Y$35))),-1)</f>
        <v>1|2-0</v>
      </c>
      <c r="I8" s="704">
        <f ca="1"/>
        <v>20</v>
      </c>
      <c r="J8" s="706" cm="1">
        <f t="array" aca="1" ref="J8:J1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20</v>
      </c>
      <c r="K8" s="404" cm="1">
        <f t="array" aca="1" ref="K8:K1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1" t="str">
        <f ca="1">Horarios!Q3</f>
        <v>Alemania</v>
      </c>
      <c r="M8" s="469">
        <f ca="1">ADMIN!$D$5-SUM(N8:T8)</f>
        <v>9</v>
      </c>
      <c r="N8" s="469">
        <f ca="1">IFERROR(COUNTIF(ADMIN!$S$130:INDEX(ADMIN!$S$130:$KI$161,32,ADMIN!$D$5*3-1),Stats!$L8)-SUM(O8:T8),0)</f>
        <v>2</v>
      </c>
      <c r="O8" s="469">
        <f ca="1">COUNTIF(ADMIN!$S$182:INDEX(ADMIN!$S$182:$KI$197,16,ADMIN!$D$5*3-1),Stats!$L8)-SUM(P8:T8)</f>
        <v>31</v>
      </c>
      <c r="P8" s="469">
        <f ca="1">COUNTIF(ADMIN!$S$210:INDEX(ADMIN!$S$210:$KI$217,8,ADMIN!$D$5*3-1),Stats!$L8)-SUM(Q8:T8)</f>
        <v>1</v>
      </c>
      <c r="Q8" s="469">
        <f ca="1">COUNTIF(ADMIN!$S$226:INDEX(ADMIN!$S$226:$KI$229,4,ADMIN!$D$5*3-1),Stats!$L8)-SUM(R8:T8)</f>
        <v>3</v>
      </c>
      <c r="R8" s="469">
        <f ca="1">IFERROR(COUNTIF(ADMIN!$S$252:INDEX(ADMIN!$S$252:$KI$252,1,ADMIN!$D$5*3-1),Stats!$L8),0)</f>
        <v>2</v>
      </c>
      <c r="S8" s="469">
        <f ca="1">IFERROR(COUNTIF(ADMIN!$S$251:INDEX(ADMIN!$S$251:$KI$251,1,ADMIN!$D$5*3-1),Stats!$L8),0)</f>
        <v>1</v>
      </c>
      <c r="T8" s="470">
        <f ca="1">IFERROR(COUNTIF(ADMIN!$S$250:INDEX(ADMIN!$S$250:$KI$250,1,ADMIN!$D$5*3-1),Stats!$L8),0)</f>
        <v>1</v>
      </c>
      <c r="U8" s="25"/>
      <c r="V8" s="11">
        <f t="shared" ref="V8:V55" ca="1" si="0">SUM(M8:T8)</f>
        <v>50</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57" t="str">
        <f>Idiomas!D485&amp;TEXT($E$5,"dd/mm/aa")&amp;" (Individual)"</f>
        <v>Máximo de puntos hasta 11/06/26 (Individual)</v>
      </c>
      <c r="E9" s="455">
        <f ca="1">IFERROR(SUMIF($A$22:$A$45,"&lt;"&amp;$F$5,$B$22:$B$45),"")</f>
        <v>0</v>
      </c>
      <c r="F9" s="456">
        <f ca="1">IFERROR(E9/$B$46,0)</f>
        <v>0</v>
      </c>
      <c r="G9" s="17"/>
      <c r="H9" s="457" t="str">
        <f ca="1"/>
        <v>1|2-1</v>
      </c>
      <c r="I9" s="704">
        <f ca="1"/>
        <v>9</v>
      </c>
      <c r="J9" s="706">
        <f ca="1"/>
        <v>0</v>
      </c>
      <c r="K9" s="404">
        <f ca="1"/>
        <v>0</v>
      </c>
      <c r="L9" s="132" t="str">
        <f ca="1">Horarios!Q4</f>
        <v>Arabia Saudita</v>
      </c>
      <c r="M9" s="471">
        <f ca="1">ADMIN!$D$5-SUM(N9:T9)</f>
        <v>30</v>
      </c>
      <c r="N9" s="471">
        <f ca="1">IFERROR(COUNTIF(ADMIN!$S$130:INDEX(ADMIN!$S$130:$KI$161,32,ADMIN!$D$5*3-1),Stats!$L9)-SUM(O9:T9),0)</f>
        <v>20</v>
      </c>
      <c r="O9" s="471">
        <f ca="1">COUNTIF(ADMIN!$S$182:INDEX(ADMIN!$S$182:$KI$197,16,ADMIN!$D$5*3-1),Stats!$L9)-SUM(P9:T9)</f>
        <v>0</v>
      </c>
      <c r="P9" s="471">
        <f ca="1">COUNTIF(ADMIN!$S$210:INDEX(ADMIN!$S$210:$KI$217,8,ADMIN!$D$5*3-1),Stats!$L9)-SUM(Q9:T9)</f>
        <v>0</v>
      </c>
      <c r="Q9" s="471">
        <f ca="1">COUNTIF(ADMIN!$S$226:INDEX(ADMIN!$S$226:$KI$229,4,ADMIN!$D$5*3-1),Stats!$L9)-SUM(R9:T9)</f>
        <v>0</v>
      </c>
      <c r="R9" s="471">
        <f ca="1">IFERROR(COUNTIF(ADMIN!$S$252:INDEX(ADMIN!$S$252:$KI$252,1,ADMIN!$D$5*3-1),Stats!$L9),0)</f>
        <v>0</v>
      </c>
      <c r="S9" s="471">
        <f ca="1">IFERROR(COUNTIF(ADMIN!$S$251:INDEX(ADMIN!$S$251:$KI$251,1,ADMIN!$D$5*3-1),Stats!$L9),0)</f>
        <v>0</v>
      </c>
      <c r="T9" s="472">
        <f ca="1">IFERROR(COUNTIF(ADMIN!$S$250:INDEX(ADMIN!$S$250:$KI$250,1,ADMIN!$D$5*3-1),Stats!$L9),0)</f>
        <v>0</v>
      </c>
      <c r="U9" s="25"/>
      <c r="V9" s="11">
        <f t="shared" ca="1" si="0"/>
        <v>50</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54" t="str">
        <f>Idiomas!D486&amp;TEXT($E$5,"dd/mm/aa")&amp;" (Individual)"</f>
        <v>Máximo de puntos incluido 11/06/26 (Individual)</v>
      </c>
      <c r="E10" s="455">
        <f ca="1">IFERROR(SUMIF($A$22:$A$45,"&lt;="&amp;$F$5,$B$22:$B$45),"")</f>
        <v>4</v>
      </c>
      <c r="F10" s="456">
        <f ca="1">IFERROR(E10/$B$46,0)</f>
        <v>4.5819014891179842E-3</v>
      </c>
      <c r="G10" s="17"/>
      <c r="H10" s="454" t="str">
        <f ca="1"/>
        <v>Pegar Valores (J1)</v>
      </c>
      <c r="I10" s="704">
        <f ca="1"/>
        <v>9</v>
      </c>
      <c r="J10" s="706">
        <f ca="1"/>
        <v>0</v>
      </c>
      <c r="K10" s="404">
        <f ca="1"/>
        <v>0</v>
      </c>
      <c r="L10" s="133" t="str">
        <f ca="1">Horarios!Q5</f>
        <v>Argelia</v>
      </c>
      <c r="M10" s="469">
        <f ca="1">ADMIN!$D$5-SUM(N10:T10)</f>
        <v>26</v>
      </c>
      <c r="N10" s="469">
        <f ca="1">IFERROR(COUNTIF(ADMIN!$S$130:INDEX(ADMIN!$S$130:$KI$161,32,ADMIN!$D$5*3-1),Stats!$L10)-SUM(O10:T10),0)</f>
        <v>22</v>
      </c>
      <c r="O10" s="469">
        <f ca="1">COUNTIF(ADMIN!$S$182:INDEX(ADMIN!$S$182:$KI$197,16,ADMIN!$D$5*3-1),Stats!$L10)-SUM(P10:T10)</f>
        <v>2</v>
      </c>
      <c r="P10" s="469">
        <f ca="1">COUNTIF(ADMIN!$S$210:INDEX(ADMIN!$S$210:$KI$217,8,ADMIN!$D$5*3-1),Stats!$L10)-SUM(Q10:T10)</f>
        <v>0</v>
      </c>
      <c r="Q10" s="469">
        <f ca="1">COUNTIF(ADMIN!$S$226:INDEX(ADMIN!$S$226:$KI$229,4,ADMIN!$D$5*3-1),Stats!$L10)-SUM(R10:T10)</f>
        <v>0</v>
      </c>
      <c r="R10" s="469">
        <f ca="1">IFERROR(COUNTIF(ADMIN!$S$252:INDEX(ADMIN!$S$252:$KI$252,1,ADMIN!$D$5*3-1),Stats!$L10),0)</f>
        <v>0</v>
      </c>
      <c r="S10" s="469">
        <f ca="1">IFERROR(COUNTIF(ADMIN!$S$251:INDEX(ADMIN!$S$251:$KI$251,1,ADMIN!$D$5*3-1),Stats!$L10),0)</f>
        <v>0</v>
      </c>
      <c r="T10" s="470">
        <f ca="1">IFERROR(COUNTIF(ADMIN!$S$250:INDEX(ADMIN!$S$250:$KI$250,1,ADMIN!$D$5*3-1),Stats!$L10),0)</f>
        <v>0</v>
      </c>
      <c r="U10" s="25"/>
      <c r="V10" s="11">
        <f t="shared" ca="1" si="0"/>
        <v>50</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57" t="str">
        <f>Idiomas!D487&amp;" (Individual)"</f>
        <v>Quedan por repartir:  (Individual)</v>
      </c>
      <c r="E11" s="455">
        <f ca="1">IFERROR(SUMIF($A$22:$A$45,"&gt;"&amp;$F$5,$B$22:$B$45),0)</f>
        <v>869</v>
      </c>
      <c r="F11" s="456">
        <f ca="1">IFERROR(1-F10,0)</f>
        <v>0.99541809851088203</v>
      </c>
      <c r="G11" s="17"/>
      <c r="H11" s="457" t="str">
        <f ca="1"/>
        <v>1|1-0</v>
      </c>
      <c r="I11" s="704">
        <f ca="1"/>
        <v>6</v>
      </c>
      <c r="J11" s="706">
        <f ca="1"/>
        <v>0</v>
      </c>
      <c r="K11" s="404">
        <f ca="1"/>
        <v>0</v>
      </c>
      <c r="L11" s="132" t="str">
        <f ca="1">Horarios!Q6</f>
        <v>Argentina</v>
      </c>
      <c r="M11" s="471">
        <f ca="1">ADMIN!$D$5-SUM(N11:T11)</f>
        <v>9</v>
      </c>
      <c r="N11" s="471">
        <f ca="1">IFERROR(COUNTIF(ADMIN!$S$130:INDEX(ADMIN!$S$130:$KI$161,32,ADMIN!$D$5*3-1),Stats!$L11)-SUM(O11:T11),0)</f>
        <v>4</v>
      </c>
      <c r="O11" s="471">
        <f ca="1">COUNTIF(ADMIN!$S$182:INDEX(ADMIN!$S$182:$KI$197,16,ADMIN!$D$5*3-1),Stats!$L11)-SUM(P11:T11)</f>
        <v>1</v>
      </c>
      <c r="P11" s="471">
        <f ca="1">COUNTIF(ADMIN!$S$210:INDEX(ADMIN!$S$210:$KI$217,8,ADMIN!$D$5*3-1),Stats!$L11)-SUM(Q11:T11)</f>
        <v>22</v>
      </c>
      <c r="Q11" s="471">
        <f ca="1">COUNTIF(ADMIN!$S$226:INDEX(ADMIN!$S$226:$KI$229,4,ADMIN!$D$5*3-1),Stats!$L11)-SUM(R11:T11)</f>
        <v>5</v>
      </c>
      <c r="R11" s="471">
        <f ca="1">IFERROR(COUNTIF(ADMIN!$S$252:INDEX(ADMIN!$S$252:$KI$252,1,ADMIN!$D$5*3-1),Stats!$L11),0)</f>
        <v>1</v>
      </c>
      <c r="S11" s="471">
        <f ca="1">IFERROR(COUNTIF(ADMIN!$S$251:INDEX(ADMIN!$S$251:$KI$251,1,ADMIN!$D$5*3-1),Stats!$L11),0)</f>
        <v>8</v>
      </c>
      <c r="T11" s="472">
        <f ca="1">IFERROR(COUNTIF(ADMIN!$S$250:INDEX(ADMIN!$S$250:$KI$250,1,ADMIN!$D$5*3-1),Stats!$L11),0)</f>
        <v>0</v>
      </c>
      <c r="U11" s="25"/>
      <c r="V11" s="11">
        <f t="shared" ca="1" si="0"/>
        <v>50</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54" t="str">
        <f>Idiomas!D488</f>
        <v>Puntos máximos totales a repartir hoy (Global):</v>
      </c>
      <c r="E12" s="455">
        <f ca="1">IFERROR($E$8*ADMIN!$D$5,0)</f>
        <v>200</v>
      </c>
      <c r="F12" s="456">
        <f ca="1">IFERROR(E12/B47,0)</f>
        <v>4.5819014891179842E-3</v>
      </c>
      <c r="G12" s="17"/>
      <c r="H12" s="454" t="str">
        <f ca="1"/>
        <v>1|3-1</v>
      </c>
      <c r="I12" s="704">
        <f ca="1"/>
        <v>3</v>
      </c>
      <c r="J12" s="706">
        <f ca="1"/>
        <v>0</v>
      </c>
      <c r="K12" s="404">
        <f ca="1"/>
        <v>0</v>
      </c>
      <c r="L12" s="133" t="str">
        <f ca="1">Horarios!Q7</f>
        <v>Australia</v>
      </c>
      <c r="M12" s="469">
        <f ca="1">ADMIN!$D$5-SUM(N12:T12)</f>
        <v>48</v>
      </c>
      <c r="N12" s="469">
        <f ca="1">IFERROR(COUNTIF(ADMIN!$S$130:INDEX(ADMIN!$S$130:$KI$161,32,ADMIN!$D$5*3-1),Stats!$L12)-SUM(O12:T12),0)</f>
        <v>2</v>
      </c>
      <c r="O12" s="469">
        <f ca="1">COUNTIF(ADMIN!$S$182:INDEX(ADMIN!$S$182:$KI$197,16,ADMIN!$D$5*3-1),Stats!$L12)-SUM(P12:T12)</f>
        <v>0</v>
      </c>
      <c r="P12" s="469">
        <f ca="1">COUNTIF(ADMIN!$S$210:INDEX(ADMIN!$S$210:$KI$217,8,ADMIN!$D$5*3-1),Stats!$L12)-SUM(Q12:T12)</f>
        <v>0</v>
      </c>
      <c r="Q12" s="469">
        <f ca="1">COUNTIF(ADMIN!$S$226:INDEX(ADMIN!$S$226:$KI$229,4,ADMIN!$D$5*3-1),Stats!$L12)-SUM(R12:T12)</f>
        <v>0</v>
      </c>
      <c r="R12" s="469">
        <f ca="1">IFERROR(COUNTIF(ADMIN!$S$252:INDEX(ADMIN!$S$252:$KI$252,1,ADMIN!$D$5*3-1),Stats!$L12),0)</f>
        <v>0</v>
      </c>
      <c r="S12" s="469">
        <f ca="1">IFERROR(COUNTIF(ADMIN!$S$251:INDEX(ADMIN!$S$251:$KI$251,1,ADMIN!$D$5*3-1),Stats!$L12),0)</f>
        <v>0</v>
      </c>
      <c r="T12" s="470">
        <f ca="1">IFERROR(COUNTIF(ADMIN!$S$250:INDEX(ADMIN!$S$250:$KI$250,1,ADMIN!$D$5*3-1),Stats!$L12),0)</f>
        <v>0</v>
      </c>
      <c r="U12" s="25"/>
      <c r="V12" s="11">
        <f t="shared" ca="1" si="0"/>
        <v>50</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57" t="str">
        <f>Idiomas!D489</f>
        <v>Puntos repartidos hoy (Global)</v>
      </c>
      <c r="E13" s="455">
        <f ca="1">IFERROR(SUM(DailyClas!$G$4:INDEX(DailyClas!$G$4:$G$100,ADMIN!$D$5)),0)</f>
        <v>102</v>
      </c>
      <c r="F13" s="456">
        <f ca="1">IFERROR(E13/E12,0)</f>
        <v>0.51</v>
      </c>
      <c r="G13" s="17"/>
      <c r="H13" s="457" t="str">
        <f ca="1"/>
        <v>1|3-0</v>
      </c>
      <c r="I13" s="704">
        <f ca="1"/>
        <v>1</v>
      </c>
      <c r="J13" s="706">
        <f ca="1"/>
        <v>0</v>
      </c>
      <c r="K13" s="404">
        <f ca="1"/>
        <v>0</v>
      </c>
      <c r="L13" s="132" t="str">
        <f ca="1">Horarios!Q8</f>
        <v>Austria</v>
      </c>
      <c r="M13" s="471">
        <f ca="1">ADMIN!$D$5-SUM(N13:T13)</f>
        <v>9</v>
      </c>
      <c r="N13" s="471">
        <f ca="1">IFERROR(COUNTIF(ADMIN!$S$130:INDEX(ADMIN!$S$130:$KI$161,32,ADMIN!$D$5*3-1),Stats!$L13)-SUM(O13:T13),0)</f>
        <v>39</v>
      </c>
      <c r="O13" s="471">
        <f ca="1">COUNTIF(ADMIN!$S$182:INDEX(ADMIN!$S$182:$KI$197,16,ADMIN!$D$5*3-1),Stats!$L13)-SUM(P13:T13)</f>
        <v>2</v>
      </c>
      <c r="P13" s="471">
        <f ca="1">COUNTIF(ADMIN!$S$210:INDEX(ADMIN!$S$210:$KI$217,8,ADMIN!$D$5*3-1),Stats!$L13)-SUM(Q13:T13)</f>
        <v>0</v>
      </c>
      <c r="Q13" s="471">
        <f ca="1">COUNTIF(ADMIN!$S$226:INDEX(ADMIN!$S$226:$KI$229,4,ADMIN!$D$5*3-1),Stats!$L13)-SUM(R13:T13)</f>
        <v>0</v>
      </c>
      <c r="R13" s="471">
        <f ca="1">IFERROR(COUNTIF(ADMIN!$S$252:INDEX(ADMIN!$S$252:$KI$252,1,ADMIN!$D$5*3-1),Stats!$L13),0)</f>
        <v>0</v>
      </c>
      <c r="S13" s="471">
        <f ca="1">IFERROR(COUNTIF(ADMIN!$S$251:INDEX(ADMIN!$S$251:$KI$251,1,ADMIN!$D$5*3-1),Stats!$L13),0)</f>
        <v>0</v>
      </c>
      <c r="T13" s="472">
        <f ca="1">IFERROR(COUNTIF(ADMIN!$S$250:INDEX(ADMIN!$S$250:$KI$250,1,ADMIN!$D$5*3-1),Stats!$L13),0)</f>
        <v>0</v>
      </c>
      <c r="U13" s="25"/>
      <c r="V13" s="11">
        <f t="shared" ca="1" si="0"/>
        <v>50</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54" t="str">
        <f>Idiomas!D490&amp;TEXT($E$5,"dd/mm/aa")&amp;"?"</f>
        <v>¿Cúantos han acertado el máximo de puntos 11/06/26?</v>
      </c>
      <c r="E14" s="455">
        <f ca="1">IFERROR(IF(SUM(ADMIN!$D$8:$D$47)=0,0,COUNTIF(DailyClas!$G$4:INDEX(DailyClas!$G:$G,ADMIN!$D$5+3),Stats!E8)),0)</f>
        <v>20</v>
      </c>
      <c r="F14" s="456">
        <f ca="1">IFERROR(E14/ADMIN!$D$5,0)</f>
        <v>0.4</v>
      </c>
      <c r="G14" s="17"/>
      <c r="H14" s="454" t="str">
        <f ca="1"/>
        <v>X|1-1</v>
      </c>
      <c r="I14" s="704">
        <f ca="1"/>
        <v>1</v>
      </c>
      <c r="J14" s="706">
        <f ca="1"/>
        <v>0</v>
      </c>
      <c r="K14" s="404">
        <f ca="1"/>
        <v>0</v>
      </c>
      <c r="L14" s="133" t="str">
        <f ca="1">Horarios!Q9</f>
        <v>Bélgica</v>
      </c>
      <c r="M14" s="469">
        <f ca="1">ADMIN!$D$5-SUM(N14:T14)</f>
        <v>9</v>
      </c>
      <c r="N14" s="469">
        <f ca="1">IFERROR(COUNTIF(ADMIN!$S$130:INDEX(ADMIN!$S$130:$KI$161,32,ADMIN!$D$5*3-1),Stats!$L14)-SUM(O14:T14),0)</f>
        <v>5</v>
      </c>
      <c r="O14" s="469">
        <f ca="1">COUNTIF(ADMIN!$S$182:INDEX(ADMIN!$S$182:$KI$197,16,ADMIN!$D$5*3-1),Stats!$L14)-SUM(P14:T14)</f>
        <v>19</v>
      </c>
      <c r="P14" s="469">
        <f ca="1">COUNTIF(ADMIN!$S$210:INDEX(ADMIN!$S$210:$KI$217,8,ADMIN!$D$5*3-1),Stats!$L14)-SUM(Q14:T14)</f>
        <v>17</v>
      </c>
      <c r="Q14" s="469">
        <f ca="1">COUNTIF(ADMIN!$S$226:INDEX(ADMIN!$S$226:$KI$229,4,ADMIN!$D$5*3-1),Stats!$L14)-SUM(R14:T14)</f>
        <v>0</v>
      </c>
      <c r="R14" s="469">
        <f ca="1">IFERROR(COUNTIF(ADMIN!$S$252:INDEX(ADMIN!$S$252:$KI$252,1,ADMIN!$D$5*3-1),Stats!$L14),0)</f>
        <v>0</v>
      </c>
      <c r="S14" s="469">
        <f ca="1">IFERROR(COUNTIF(ADMIN!$S$251:INDEX(ADMIN!$S$251:$KI$251,1,ADMIN!$D$5*3-1),Stats!$L14),0)</f>
        <v>0</v>
      </c>
      <c r="T14" s="470">
        <f ca="1">IFERROR(COUNTIF(ADMIN!$S$250:INDEX(ADMIN!$S$250:$KI$250,1,ADMIN!$D$5*3-1),Stats!$L14),0)</f>
        <v>0</v>
      </c>
      <c r="U14" s="25"/>
      <c r="V14" s="11">
        <f t="shared" ca="1" si="0"/>
        <v>50</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57" t="str">
        <f>Idiomas!D491&amp;TEXT($E$5,"dd/mm/aa")&amp;"?"</f>
        <v>¿Cúantos se han llevado algún punto 11/06/26?</v>
      </c>
      <c r="E15" s="455">
        <f ca="1">IFERROR(COUNTIF(DailyClas!$G$4:INDEX(DailyClas!$G$4:$G$100,ADMIN!$D$5),"&gt;0"),0)</f>
        <v>39</v>
      </c>
      <c r="F15" s="456">
        <f ca="1">IFERROR(E15/ADMIN!$D$5,0)</f>
        <v>0.78</v>
      </c>
      <c r="G15" s="17"/>
      <c r="H15" s="457" t="str">
        <f ca="1"/>
        <v>X|2-2</v>
      </c>
      <c r="I15" s="704">
        <f ca="1"/>
        <v>1</v>
      </c>
      <c r="J15" s="706">
        <f ca="1"/>
        <v>0</v>
      </c>
      <c r="K15" s="404">
        <f ca="1"/>
        <v>0</v>
      </c>
      <c r="L15" s="132" t="str">
        <f ca="1">Horarios!Q10</f>
        <v>Bosnia y Herzegovina</v>
      </c>
      <c r="M15" s="471">
        <f ca="1">ADMIN!$D$5-SUM(N15:T15)</f>
        <v>20</v>
      </c>
      <c r="N15" s="471">
        <f ca="1">IFERROR(COUNTIF(ADMIN!$S$130:INDEX(ADMIN!$S$130:$KI$161,32,ADMIN!$D$5*3-1),Stats!$L15)-SUM(O15:T15),0)</f>
        <v>26</v>
      </c>
      <c r="O15" s="471">
        <f ca="1">COUNTIF(ADMIN!$S$182:INDEX(ADMIN!$S$182:$KI$197,16,ADMIN!$D$5*3-1),Stats!$L15)-SUM(P15:T15)</f>
        <v>4</v>
      </c>
      <c r="P15" s="471">
        <f ca="1">COUNTIF(ADMIN!$S$210:INDEX(ADMIN!$S$210:$KI$217,8,ADMIN!$D$5*3-1),Stats!$L15)-SUM(Q15:T15)</f>
        <v>0</v>
      </c>
      <c r="Q15" s="471">
        <f ca="1">COUNTIF(ADMIN!$S$226:INDEX(ADMIN!$S$226:$KI$229,4,ADMIN!$D$5*3-1),Stats!$L15)-SUM(R15:T15)</f>
        <v>0</v>
      </c>
      <c r="R15" s="471">
        <f ca="1">IFERROR(COUNTIF(ADMIN!$S$252:INDEX(ADMIN!$S$252:$KI$252,1,ADMIN!$D$5*3-1),Stats!$L15),0)</f>
        <v>0</v>
      </c>
      <c r="S15" s="471">
        <f ca="1">IFERROR(COUNTIF(ADMIN!$S$251:INDEX(ADMIN!$S$251:$KI$251,1,ADMIN!$D$5*3-1),Stats!$L15),0)</f>
        <v>0</v>
      </c>
      <c r="T15" s="472">
        <f ca="1">IFERROR(COUNTIF(ADMIN!$S$250:INDEX(ADMIN!$S$250:$KI$250,1,ADMIN!$D$5*3-1),Stats!$L15),0)</f>
        <v>0</v>
      </c>
      <c r="U15" s="25"/>
      <c r="V15" s="11">
        <f t="shared" ca="1" si="0"/>
        <v>50</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54" t="str">
        <f>Idiomas!D492&amp;TEXT($E$5,"dd/mm/aa")&amp;"?"</f>
        <v>¿Cúantos no han acertado nada 11/06/26?</v>
      </c>
      <c r="E16" s="455">
        <f ca="1">IFERROR(IF(SUM(ADMIN!$D$8:$D$47)=0,0,COUNTIF(DailyClas!$G$4:INDEX(DailyClas!$G$4:$G$100,ADMIN!$D$5),0)),0)</f>
        <v>11</v>
      </c>
      <c r="F16" s="456">
        <f ca="1">IFERROR(E16/ADMIN!$D$5,0)</f>
        <v>0.22</v>
      </c>
      <c r="G16" s="17"/>
      <c r="H16" s="454"/>
      <c r="I16" s="704"/>
      <c r="J16" s="706"/>
      <c r="K16" s="404"/>
      <c r="L16" s="133" t="str">
        <f ca="1">Horarios!Q11</f>
        <v>Brasil</v>
      </c>
      <c r="M16" s="469">
        <f ca="1">ADMIN!$D$5-SUM(N16:T16)</f>
        <v>9</v>
      </c>
      <c r="N16" s="469">
        <f ca="1">IFERROR(COUNTIF(ADMIN!$S$130:INDEX(ADMIN!$S$130:$KI$161,32,ADMIN!$D$5*3-1),Stats!$L16)-SUM(O16:T16),0)</f>
        <v>0</v>
      </c>
      <c r="O16" s="469">
        <f ca="1">COUNTIF(ADMIN!$S$182:INDEX(ADMIN!$S$182:$KI$197,16,ADMIN!$D$5*3-1),Stats!$L16)-SUM(P16:T16)</f>
        <v>5</v>
      </c>
      <c r="P16" s="469">
        <f ca="1">COUNTIF(ADMIN!$S$210:INDEX(ADMIN!$S$210:$KI$217,8,ADMIN!$D$5*3-1),Stats!$L16)-SUM(Q16:T16)</f>
        <v>15</v>
      </c>
      <c r="Q16" s="469">
        <f ca="1">COUNTIF(ADMIN!$S$226:INDEX(ADMIN!$S$226:$KI$229,4,ADMIN!$D$5*3-1),Stats!$L16)-SUM(R16:T16)</f>
        <v>9</v>
      </c>
      <c r="R16" s="469">
        <f ca="1">IFERROR(COUNTIF(ADMIN!$S$252:INDEX(ADMIN!$S$252:$KI$252,1,ADMIN!$D$5*3-1),Stats!$L16),0)</f>
        <v>5</v>
      </c>
      <c r="S16" s="469">
        <f ca="1">IFERROR(COUNTIF(ADMIN!$S$251:INDEX(ADMIN!$S$251:$KI$251,1,ADMIN!$D$5*3-1),Stats!$L16),0)</f>
        <v>4</v>
      </c>
      <c r="T16" s="470">
        <f ca="1">IFERROR(COUNTIF(ADMIN!$S$250:INDEX(ADMIN!$S$250:$KI$250,1,ADMIN!$D$5*3-1),Stats!$L16),0)</f>
        <v>3</v>
      </c>
      <c r="U16" s="25"/>
      <c r="V16" s="11">
        <f t="shared" ca="1" si="0"/>
        <v>50</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58" t="str">
        <f>Idiomas!D493&amp;TEXT($E$5,"dd/mm/aa")&amp;"?"</f>
        <v>Media de puntos sumados 11/06/26?</v>
      </c>
      <c r="E17" s="459">
        <f ca="1">IFERROR(AVERAGE(DailyClas!$G$4:INDEX(DailyClas!$G$4:$G$100,ADMIN!$D$5)),0)</f>
        <v>2.04</v>
      </c>
      <c r="F17" s="460"/>
      <c r="G17" s="17"/>
      <c r="H17" s="457"/>
      <c r="I17" s="704"/>
      <c r="J17" s="707"/>
      <c r="K17" s="404"/>
      <c r="L17" s="132" t="str">
        <f ca="1">Horarios!Q12</f>
        <v>Cabo Verde</v>
      </c>
      <c r="M17" s="471">
        <f ca="1">ADMIN!$D$5-SUM(N17:T17)</f>
        <v>50</v>
      </c>
      <c r="N17" s="471">
        <f ca="1">IFERROR(COUNTIF(ADMIN!$S$130:INDEX(ADMIN!$S$130:$KI$161,32,ADMIN!$D$5*3-1),Stats!$L17)-SUM(O17:T17),0)</f>
        <v>0</v>
      </c>
      <c r="O17" s="471">
        <f ca="1">COUNTIF(ADMIN!$S$182:INDEX(ADMIN!$S$182:$KI$197,16,ADMIN!$D$5*3-1),Stats!$L17)-SUM(P17:T17)</f>
        <v>0</v>
      </c>
      <c r="P17" s="471">
        <f ca="1">COUNTIF(ADMIN!$S$210:INDEX(ADMIN!$S$210:$KI$217,8,ADMIN!$D$5*3-1),Stats!$L17)-SUM(Q17:T17)</f>
        <v>0</v>
      </c>
      <c r="Q17" s="471">
        <f ca="1">COUNTIF(ADMIN!$S$226:INDEX(ADMIN!$S$226:$KI$229,4,ADMIN!$D$5*3-1),Stats!$L17)-SUM(R17:T17)</f>
        <v>0</v>
      </c>
      <c r="R17" s="471">
        <f ca="1">IFERROR(COUNTIF(ADMIN!$S$252:INDEX(ADMIN!$S$252:$KI$252,1,ADMIN!$D$5*3-1),Stats!$L17),0)</f>
        <v>0</v>
      </c>
      <c r="S17" s="471">
        <f ca="1">IFERROR(COUNTIF(ADMIN!$S$251:INDEX(ADMIN!$S$251:$KI$251,1,ADMIN!$D$5*3-1),Stats!$L17),0)</f>
        <v>0</v>
      </c>
      <c r="T17" s="472">
        <f ca="1">IFERROR(COUNTIF(ADMIN!$S$250:INDEX(ADMIN!$S$250:$KI$250,1,ADMIN!$D$5*3-1),Stats!$L17),0)</f>
        <v>0</v>
      </c>
      <c r="U17" s="25"/>
      <c r="V17" s="11">
        <f t="shared" ca="1" si="0"/>
        <v>50</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454"/>
      <c r="I18" s="704"/>
      <c r="J18" s="404"/>
      <c r="K18" s="404"/>
      <c r="L18" s="133" t="str">
        <f ca="1">Horarios!Q13</f>
        <v>Canadá</v>
      </c>
      <c r="M18" s="469">
        <f ca="1">ADMIN!$D$5-SUM(N18:T18)</f>
        <v>16</v>
      </c>
      <c r="N18" s="469">
        <f ca="1">IFERROR(COUNTIF(ADMIN!$S$130:INDEX(ADMIN!$S$130:$KI$161,32,ADMIN!$D$5*3-1),Stats!$L18)-SUM(O18:T18),0)</f>
        <v>21</v>
      </c>
      <c r="O18" s="469">
        <f ca="1">COUNTIF(ADMIN!$S$182:INDEX(ADMIN!$S$182:$KI$197,16,ADMIN!$D$5*3-1),Stats!$L18)-SUM(P18:T18)</f>
        <v>13</v>
      </c>
      <c r="P18" s="469">
        <f ca="1">COUNTIF(ADMIN!$S$210:INDEX(ADMIN!$S$210:$KI$217,8,ADMIN!$D$5*3-1),Stats!$L18)-SUM(Q18:T18)</f>
        <v>0</v>
      </c>
      <c r="Q18" s="469">
        <f ca="1">COUNTIF(ADMIN!$S$226:INDEX(ADMIN!$S$226:$KI$229,4,ADMIN!$D$5*3-1),Stats!$L18)-SUM(R18:T18)</f>
        <v>0</v>
      </c>
      <c r="R18" s="469">
        <f ca="1">IFERROR(COUNTIF(ADMIN!$S$252:INDEX(ADMIN!$S$252:$KI$252,1,ADMIN!$D$5*3-1),Stats!$L18),0)</f>
        <v>0</v>
      </c>
      <c r="S18" s="469">
        <f ca="1">IFERROR(COUNTIF(ADMIN!$S$251:INDEX(ADMIN!$S$251:$KI$251,1,ADMIN!$D$5*3-1),Stats!$L18),0)</f>
        <v>0</v>
      </c>
      <c r="T18" s="470">
        <f ca="1">IFERROR(COUNTIF(ADMIN!$S$250:INDEX(ADMIN!$S$250:$KI$250,1,ADMIN!$D$5*3-1),Stats!$L18),0)</f>
        <v>0</v>
      </c>
      <c r="U18" s="25"/>
      <c r="V18" s="11">
        <f t="shared" ca="1" si="0"/>
        <v>50</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457"/>
      <c r="I19" s="704"/>
      <c r="J19" s="475"/>
      <c r="K19" s="475"/>
      <c r="L19" s="132" t="str">
        <f ca="1">Horarios!Q14</f>
        <v>Catar</v>
      </c>
      <c r="M19" s="471">
        <f ca="1">ADMIN!$D$5-SUM(N19:T19)</f>
        <v>45</v>
      </c>
      <c r="N19" s="471">
        <f ca="1">IFERROR(COUNTIF(ADMIN!$S$130:INDEX(ADMIN!$S$130:$KI$161,32,ADMIN!$D$5*3-1),Stats!$L19)-SUM(O19:T19),0)</f>
        <v>5</v>
      </c>
      <c r="O19" s="471">
        <f ca="1">COUNTIF(ADMIN!$S$182:INDEX(ADMIN!$S$182:$KI$197,16,ADMIN!$D$5*3-1),Stats!$L19)-SUM(P19:T19)</f>
        <v>0</v>
      </c>
      <c r="P19" s="471">
        <f ca="1">COUNTIF(ADMIN!$S$210:INDEX(ADMIN!$S$210:$KI$217,8,ADMIN!$D$5*3-1),Stats!$L19)-SUM(Q19:T19)</f>
        <v>0</v>
      </c>
      <c r="Q19" s="471">
        <f ca="1">COUNTIF(ADMIN!$S$226:INDEX(ADMIN!$S$226:$KI$229,4,ADMIN!$D$5*3-1),Stats!$L19)-SUM(R19:T19)</f>
        <v>0</v>
      </c>
      <c r="R19" s="471">
        <f ca="1">IFERROR(COUNTIF(ADMIN!$S$252:INDEX(ADMIN!$S$252:$KI$252,1,ADMIN!$D$5*3-1),Stats!$L19),0)</f>
        <v>0</v>
      </c>
      <c r="S19" s="471">
        <f ca="1">IFERROR(COUNTIF(ADMIN!$S$251:INDEX(ADMIN!$S$251:$KI$251,1,ADMIN!$D$5*3-1),Stats!$L19),0)</f>
        <v>0</v>
      </c>
      <c r="T19" s="472">
        <f ca="1">IFERROR(COUNTIF(ADMIN!$S$250:INDEX(ADMIN!$S$250:$KI$250,1,ADMIN!$D$5*3-1),Stats!$L19),0)</f>
        <v>0</v>
      </c>
      <c r="U19" s="25"/>
      <c r="V19" s="11">
        <f t="shared" ca="1" si="0"/>
        <v>50</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454"/>
      <c r="I20" s="704"/>
      <c r="J20" s="475"/>
      <c r="K20" s="475"/>
      <c r="L20" s="133" t="str">
        <f ca="1">Horarios!Q15</f>
        <v>Colombia</v>
      </c>
      <c r="M20" s="469">
        <f ca="1">ADMIN!$D$5-SUM(N20:T20)</f>
        <v>9</v>
      </c>
      <c r="N20" s="469">
        <f ca="1">IFERROR(COUNTIF(ADMIN!$S$130:INDEX(ADMIN!$S$130:$KI$161,32,ADMIN!$D$5*3-1),Stats!$L20)-SUM(O20:T20),0)</f>
        <v>16</v>
      </c>
      <c r="O20" s="469">
        <f ca="1">COUNTIF(ADMIN!$S$182:INDEX(ADMIN!$S$182:$KI$197,16,ADMIN!$D$5*3-1),Stats!$L20)-SUM(P20:T20)</f>
        <v>20</v>
      </c>
      <c r="P20" s="469">
        <f ca="1">COUNTIF(ADMIN!$S$210:INDEX(ADMIN!$S$210:$KI$217,8,ADMIN!$D$5*3-1),Stats!$L20)-SUM(Q20:T20)</f>
        <v>2</v>
      </c>
      <c r="Q20" s="469">
        <f ca="1">COUNTIF(ADMIN!$S$226:INDEX(ADMIN!$S$226:$KI$229,4,ADMIN!$D$5*3-1),Stats!$L20)-SUM(R20:T20)</f>
        <v>3</v>
      </c>
      <c r="R20" s="469">
        <f ca="1">IFERROR(COUNTIF(ADMIN!$S$252:INDEX(ADMIN!$S$252:$KI$252,1,ADMIN!$D$5*3-1),Stats!$L20),0)</f>
        <v>0</v>
      </c>
      <c r="S20" s="469">
        <f ca="1">IFERROR(COUNTIF(ADMIN!$S$251:INDEX(ADMIN!$S$251:$KI$251,1,ADMIN!$D$5*3-1),Stats!$L20),0)</f>
        <v>0</v>
      </c>
      <c r="T20" s="470">
        <f ca="1">IFERROR(COUNTIF(ADMIN!$S$250:INDEX(ADMIN!$S$250:$KI$250,1,ADMIN!$D$5*3-1),Stats!$L20),0)</f>
        <v>0</v>
      </c>
      <c r="U20" s="25"/>
      <c r="V20" s="11">
        <f ca="1">SUM(M20:T20)</f>
        <v>50</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457"/>
      <c r="I21" s="704"/>
      <c r="J21" s="475"/>
      <c r="K21" s="475"/>
      <c r="L21" s="132" t="str">
        <f ca="1">Horarios!Q16</f>
        <v>Corea del Sur</v>
      </c>
      <c r="M21" s="471">
        <f ca="1">ADMIN!$D$5-SUM(N21:T21)</f>
        <v>16</v>
      </c>
      <c r="N21" s="471">
        <f ca="1">IFERROR(COUNTIF(ADMIN!$S$130:INDEX(ADMIN!$S$130:$KI$161,32,ADMIN!$D$5*3-1),Stats!$L21)-SUM(O21:T21),0)</f>
        <v>17</v>
      </c>
      <c r="O21" s="471">
        <f ca="1">COUNTIF(ADMIN!$S$182:INDEX(ADMIN!$S$182:$KI$197,16,ADMIN!$D$5*3-1),Stats!$L21)-SUM(P21:T21)</f>
        <v>15</v>
      </c>
      <c r="P21" s="471">
        <f ca="1">COUNTIF(ADMIN!$S$210:INDEX(ADMIN!$S$210:$KI$217,8,ADMIN!$D$5*3-1),Stats!$L21)-SUM(Q21:T21)</f>
        <v>2</v>
      </c>
      <c r="Q21" s="471">
        <f ca="1">COUNTIF(ADMIN!$S$226:INDEX(ADMIN!$S$226:$KI$229,4,ADMIN!$D$5*3-1),Stats!$L21)-SUM(R21:T21)</f>
        <v>0</v>
      </c>
      <c r="R21" s="471">
        <f ca="1">IFERROR(COUNTIF(ADMIN!$S$252:INDEX(ADMIN!$S$252:$KI$252,1,ADMIN!$D$5*3-1),Stats!$L21),0)</f>
        <v>0</v>
      </c>
      <c r="S21" s="471">
        <f ca="1">IFERROR(COUNTIF(ADMIN!$S$251:INDEX(ADMIN!$S$251:$KI$251,1,ADMIN!$D$5*3-1),Stats!$L21),0)</f>
        <v>0</v>
      </c>
      <c r="T21" s="472">
        <f ca="1">IFERROR(COUNTIF(ADMIN!$S$250:INDEX(ADMIN!$S$250:$KI$250,1,ADMIN!$D$5*3-1),Stats!$L21),0)</f>
        <v>0</v>
      </c>
      <c r="U21" s="25"/>
      <c r="V21" s="11">
        <f t="shared" ca="1" si="0"/>
        <v>50</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4</v>
      </c>
      <c r="C22" s="17"/>
      <c r="D22" s="17"/>
      <c r="E22" s="17"/>
      <c r="F22" s="17"/>
      <c r="G22" s="17"/>
      <c r="H22" s="454"/>
      <c r="I22" s="704"/>
      <c r="J22" s="475"/>
      <c r="K22" s="475"/>
      <c r="L22" s="133" t="str">
        <f ca="1">Horarios!Q17</f>
        <v>Costa de Marfil</v>
      </c>
      <c r="M22" s="469">
        <f ca="1">ADMIN!$D$5-SUM(N22:T22)</f>
        <v>13</v>
      </c>
      <c r="N22" s="469">
        <f ca="1">IFERROR(COUNTIF(ADMIN!$S$130:INDEX(ADMIN!$S$130:$KI$161,32,ADMIN!$D$5*3-1),Stats!$L22)-SUM(O22:T22),0)</f>
        <v>27</v>
      </c>
      <c r="O22" s="469">
        <f ca="1">COUNTIF(ADMIN!$S$182:INDEX(ADMIN!$S$182:$KI$197,16,ADMIN!$D$5*3-1),Stats!$L22)-SUM(P22:T22)</f>
        <v>9</v>
      </c>
      <c r="P22" s="469">
        <f ca="1">COUNTIF(ADMIN!$S$210:INDEX(ADMIN!$S$210:$KI$217,8,ADMIN!$D$5*3-1),Stats!$L22)-SUM(Q22:T22)</f>
        <v>1</v>
      </c>
      <c r="Q22" s="469">
        <f ca="1">COUNTIF(ADMIN!$S$226:INDEX(ADMIN!$S$226:$KI$229,4,ADMIN!$D$5*3-1),Stats!$L22)-SUM(R22:T22)</f>
        <v>0</v>
      </c>
      <c r="R22" s="469">
        <f ca="1">IFERROR(COUNTIF(ADMIN!$S$252:INDEX(ADMIN!$S$252:$KI$252,1,ADMIN!$D$5*3-1),Stats!$L22),0)</f>
        <v>0</v>
      </c>
      <c r="S22" s="469">
        <f ca="1">IFERROR(COUNTIF(ADMIN!$S$251:INDEX(ADMIN!$S$251:$KI$251,1,ADMIN!$D$5*3-1),Stats!$L22),0)</f>
        <v>0</v>
      </c>
      <c r="T22" s="470">
        <f ca="1">IFERROR(COUNTIF(ADMIN!$S$250:INDEX(ADMIN!$S$250:$KI$250,1,ADMIN!$D$5*3-1),Stats!$L22),0)</f>
        <v>0</v>
      </c>
      <c r="U22" s="25"/>
      <c r="V22" s="11">
        <f t="shared" ca="1" si="0"/>
        <v>50</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8</v>
      </c>
      <c r="C23" s="17"/>
      <c r="D23" s="17"/>
      <c r="E23" s="17"/>
      <c r="F23" s="17"/>
      <c r="G23" s="17"/>
      <c r="H23" s="457"/>
      <c r="I23" s="704"/>
      <c r="J23" s="475"/>
      <c r="K23" s="475"/>
      <c r="L23" s="132" t="str">
        <f ca="1">Horarios!Q18</f>
        <v>Croacia</v>
      </c>
      <c r="M23" s="471">
        <f ca="1">ADMIN!$D$5-SUM(N23:T23)</f>
        <v>10</v>
      </c>
      <c r="N23" s="471">
        <f ca="1">IFERROR(COUNTIF(ADMIN!$S$130:INDEX(ADMIN!$S$130:$KI$161,32,ADMIN!$D$5*3-1),Stats!$L23)-SUM(O23:T23),0)</f>
        <v>24</v>
      </c>
      <c r="O23" s="471">
        <f ca="1">COUNTIF(ADMIN!$S$182:INDEX(ADMIN!$S$182:$KI$197,16,ADMIN!$D$5*3-1),Stats!$L23)-SUM(P23:T23)</f>
        <v>12</v>
      </c>
      <c r="P23" s="471">
        <f ca="1">COUNTIF(ADMIN!$S$210:INDEX(ADMIN!$S$210:$KI$217,8,ADMIN!$D$5*3-1),Stats!$L23)-SUM(Q23:T23)</f>
        <v>4</v>
      </c>
      <c r="Q23" s="471">
        <f ca="1">COUNTIF(ADMIN!$S$226:INDEX(ADMIN!$S$226:$KI$229,4,ADMIN!$D$5*3-1),Stats!$L23)-SUM(R23:T23)</f>
        <v>0</v>
      </c>
      <c r="R23" s="471">
        <f ca="1">IFERROR(COUNTIF(ADMIN!$S$252:INDEX(ADMIN!$S$252:$KI$252,1,ADMIN!$D$5*3-1),Stats!$L23),0)</f>
        <v>0</v>
      </c>
      <c r="S23" s="471">
        <f ca="1">IFERROR(COUNTIF(ADMIN!$S$251:INDEX(ADMIN!$S$251:$KI$251,1,ADMIN!$D$5*3-1),Stats!$L23),0)</f>
        <v>0</v>
      </c>
      <c r="T23" s="472">
        <f ca="1">IFERROR(COUNTIF(ADMIN!$S$250:INDEX(ADMIN!$S$250:$KI$250,1,ADMIN!$D$5*3-1),Stats!$L23),0)</f>
        <v>0</v>
      </c>
      <c r="U23" s="25"/>
      <c r="V23" s="11">
        <f t="shared" ca="1" si="0"/>
        <v>50</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8</v>
      </c>
      <c r="C24" s="17"/>
      <c r="D24" s="17"/>
      <c r="E24" s="17"/>
      <c r="F24" s="17"/>
      <c r="G24" s="17"/>
      <c r="H24" s="454"/>
      <c r="I24" s="704"/>
      <c r="J24" s="475"/>
      <c r="K24" s="475"/>
      <c r="L24" s="133" t="str">
        <f ca="1">Horarios!Q19</f>
        <v>Curazao</v>
      </c>
      <c r="M24" s="469">
        <f ca="1">ADMIN!$D$5-SUM(N24:T24)</f>
        <v>50</v>
      </c>
      <c r="N24" s="469">
        <f ca="1">IFERROR(COUNTIF(ADMIN!$S$130:INDEX(ADMIN!$S$130:$KI$161,32,ADMIN!$D$5*3-1),Stats!$L24)-SUM(O24:T24),0)</f>
        <v>0</v>
      </c>
      <c r="O24" s="469">
        <f ca="1">COUNTIF(ADMIN!$S$182:INDEX(ADMIN!$S$182:$KI$197,16,ADMIN!$D$5*3-1),Stats!$L24)-SUM(P24:T24)</f>
        <v>0</v>
      </c>
      <c r="P24" s="469">
        <f ca="1">COUNTIF(ADMIN!$S$210:INDEX(ADMIN!$S$210:$KI$217,8,ADMIN!$D$5*3-1),Stats!$L24)-SUM(Q24:T24)</f>
        <v>0</v>
      </c>
      <c r="Q24" s="469">
        <f ca="1">COUNTIF(ADMIN!$S$226:INDEX(ADMIN!$S$226:$KI$229,4,ADMIN!$D$5*3-1),Stats!$L24)-SUM(R24:T24)</f>
        <v>0</v>
      </c>
      <c r="R24" s="469">
        <f ca="1">IFERROR(COUNTIF(ADMIN!$S$252:INDEX(ADMIN!$S$252:$KI$252,1,ADMIN!$D$5*3-1),Stats!$L24),0)</f>
        <v>0</v>
      </c>
      <c r="S24" s="469">
        <f ca="1">IFERROR(COUNTIF(ADMIN!$S$251:INDEX(ADMIN!$S$251:$KI$251,1,ADMIN!$D$5*3-1),Stats!$L24),0)</f>
        <v>0</v>
      </c>
      <c r="T24" s="470">
        <f ca="1">IFERROR(COUNTIF(ADMIN!$S$250:INDEX(ADMIN!$S$250:$KI$250,1,ADMIN!$D$5*3-1),Stats!$L24),0)</f>
        <v>0</v>
      </c>
      <c r="U24" s="25"/>
      <c r="V24" s="11">
        <f t="shared" ca="1" si="0"/>
        <v>50</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16</v>
      </c>
      <c r="C25" s="17"/>
      <c r="D25" s="17"/>
      <c r="E25" s="17"/>
      <c r="F25" s="17"/>
      <c r="G25" s="17"/>
      <c r="H25" s="457"/>
      <c r="I25" s="704"/>
      <c r="J25" s="475"/>
      <c r="K25" s="475"/>
      <c r="L25" s="132" t="str">
        <f ca="1">Horarios!Q20</f>
        <v>Ecuador</v>
      </c>
      <c r="M25" s="471">
        <f ca="1">ADMIN!$D$5-SUM(N25:T25)</f>
        <v>10</v>
      </c>
      <c r="N25" s="471">
        <f ca="1">IFERROR(COUNTIF(ADMIN!$S$130:INDEX(ADMIN!$S$130:$KI$161,32,ADMIN!$D$5*3-1),Stats!$L25)-SUM(O25:T25),0)</f>
        <v>27</v>
      </c>
      <c r="O25" s="471">
        <f ca="1">COUNTIF(ADMIN!$S$182:INDEX(ADMIN!$S$182:$KI$197,16,ADMIN!$D$5*3-1),Stats!$L25)-SUM(P25:T25)</f>
        <v>11</v>
      </c>
      <c r="P25" s="471">
        <f ca="1">COUNTIF(ADMIN!$S$210:INDEX(ADMIN!$S$210:$KI$217,8,ADMIN!$D$5*3-1),Stats!$L25)-SUM(Q25:T25)</f>
        <v>1</v>
      </c>
      <c r="Q25" s="471">
        <f ca="1">COUNTIF(ADMIN!$S$226:INDEX(ADMIN!$S$226:$KI$229,4,ADMIN!$D$5*3-1),Stats!$L25)-SUM(R25:T25)</f>
        <v>0</v>
      </c>
      <c r="R25" s="471">
        <f ca="1">IFERROR(COUNTIF(ADMIN!$S$252:INDEX(ADMIN!$S$252:$KI$252,1,ADMIN!$D$5*3-1),Stats!$L25),0)</f>
        <v>1</v>
      </c>
      <c r="S25" s="471">
        <f ca="1">IFERROR(COUNTIF(ADMIN!$S$251:INDEX(ADMIN!$S$251:$KI$251,1,ADMIN!$D$5*3-1),Stats!$L25),0)</f>
        <v>0</v>
      </c>
      <c r="T25" s="472">
        <f ca="1">IFERROR(COUNTIF(ADMIN!$S$250:INDEX(ADMIN!$S$250:$KI$250,1,ADMIN!$D$5*3-1),Stats!$L25),0)</f>
        <v>0</v>
      </c>
      <c r="U25" s="25"/>
      <c r="V25" s="11">
        <f t="shared" ca="1" si="0"/>
        <v>50</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20</v>
      </c>
      <c r="C26" s="17"/>
      <c r="D26" s="17"/>
      <c r="E26" s="17"/>
      <c r="F26" s="17"/>
      <c r="G26" s="17"/>
      <c r="H26" s="454"/>
      <c r="I26" s="704"/>
      <c r="J26" s="475"/>
      <c r="K26" s="475"/>
      <c r="L26" s="133" t="str">
        <f ca="1">Horarios!Q21</f>
        <v>Egipto</v>
      </c>
      <c r="M26" s="469">
        <f ca="1">ADMIN!$D$5-SUM(N26:T26)</f>
        <v>11</v>
      </c>
      <c r="N26" s="469">
        <f ca="1">IFERROR(COUNTIF(ADMIN!$S$130:INDEX(ADMIN!$S$130:$KI$161,32,ADMIN!$D$5*3-1),Stats!$L26)-SUM(O26:T26),0)</f>
        <v>34</v>
      </c>
      <c r="O26" s="469">
        <f ca="1">COUNTIF(ADMIN!$S$182:INDEX(ADMIN!$S$182:$KI$197,16,ADMIN!$D$5*3-1),Stats!$L26)-SUM(P26:T26)</f>
        <v>5</v>
      </c>
      <c r="P26" s="469">
        <f ca="1">COUNTIF(ADMIN!$S$210:INDEX(ADMIN!$S$210:$KI$217,8,ADMIN!$D$5*3-1),Stats!$L26)-SUM(Q26:T26)</f>
        <v>0</v>
      </c>
      <c r="Q26" s="469">
        <f ca="1">COUNTIF(ADMIN!$S$226:INDEX(ADMIN!$S$226:$KI$229,4,ADMIN!$D$5*3-1),Stats!$L26)-SUM(R26:T26)</f>
        <v>0</v>
      </c>
      <c r="R26" s="469">
        <f ca="1">IFERROR(COUNTIF(ADMIN!$S$252:INDEX(ADMIN!$S$252:$KI$252,1,ADMIN!$D$5*3-1),Stats!$L26),0)</f>
        <v>0</v>
      </c>
      <c r="S26" s="469">
        <f ca="1">IFERROR(COUNTIF(ADMIN!$S$251:INDEX(ADMIN!$S$251:$KI$251,1,ADMIN!$D$5*3-1),Stats!$L26),0)</f>
        <v>0</v>
      </c>
      <c r="T26" s="470">
        <f ca="1">IFERROR(COUNTIF(ADMIN!$S$250:INDEX(ADMIN!$S$250:$KI$250,1,ADMIN!$D$5*3-1),Stats!$L26),0)</f>
        <v>0</v>
      </c>
      <c r="U26" s="25"/>
      <c r="V26" s="11">
        <f t="shared" ca="1" si="0"/>
        <v>50</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12</v>
      </c>
      <c r="C27" s="17"/>
      <c r="D27" s="17"/>
      <c r="E27" s="17"/>
      <c r="F27" s="17"/>
      <c r="G27" s="17"/>
      <c r="H27" s="457"/>
      <c r="I27" s="704"/>
      <c r="J27" s="475"/>
      <c r="K27" s="475"/>
      <c r="L27" s="132" t="str">
        <f ca="1">Horarios!Q22</f>
        <v>Escocia</v>
      </c>
      <c r="M27" s="471">
        <f ca="1">ADMIN!$D$5-SUM(N27:T27)</f>
        <v>15</v>
      </c>
      <c r="N27" s="471">
        <f ca="1">IFERROR(COUNTIF(ADMIN!$S$130:INDEX(ADMIN!$S$130:$KI$161,32,ADMIN!$D$5*3-1),Stats!$L27)-SUM(O27:T27),0)</f>
        <v>31</v>
      </c>
      <c r="O27" s="471">
        <f ca="1">COUNTIF(ADMIN!$S$182:INDEX(ADMIN!$S$182:$KI$197,16,ADMIN!$D$5*3-1),Stats!$L27)-SUM(P27:T27)</f>
        <v>2</v>
      </c>
      <c r="P27" s="471">
        <f ca="1">COUNTIF(ADMIN!$S$210:INDEX(ADMIN!$S$210:$KI$217,8,ADMIN!$D$5*3-1),Stats!$L27)-SUM(Q27:T27)</f>
        <v>2</v>
      </c>
      <c r="Q27" s="471">
        <f ca="1">COUNTIF(ADMIN!$S$226:INDEX(ADMIN!$S$226:$KI$229,4,ADMIN!$D$5*3-1),Stats!$L27)-SUM(R27:T27)</f>
        <v>0</v>
      </c>
      <c r="R27" s="471">
        <f ca="1">IFERROR(COUNTIF(ADMIN!$S$252:INDEX(ADMIN!$S$252:$KI$252,1,ADMIN!$D$5*3-1),Stats!$L27),0)</f>
        <v>0</v>
      </c>
      <c r="S27" s="471">
        <f ca="1">IFERROR(COUNTIF(ADMIN!$S$251:INDEX(ADMIN!$S$251:$KI$251,1,ADMIN!$D$5*3-1),Stats!$L27),0)</f>
        <v>0</v>
      </c>
      <c r="T27" s="472">
        <f ca="1">IFERROR(COUNTIF(ADMIN!$S$250:INDEX(ADMIN!$S$250:$KI$250,1,ADMIN!$D$5*3-1),Stats!$L27),0)</f>
        <v>0</v>
      </c>
      <c r="U27" s="25"/>
      <c r="V27" s="11">
        <f t="shared" ca="1" si="0"/>
        <v>50</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16</v>
      </c>
      <c r="C28" s="17"/>
      <c r="D28" s="17"/>
      <c r="E28" s="17"/>
      <c r="F28" s="17"/>
      <c r="G28" s="17"/>
      <c r="H28" s="454"/>
      <c r="I28" s="704"/>
      <c r="J28" s="475"/>
      <c r="K28" s="475"/>
      <c r="L28" s="133" t="str">
        <f ca="1">Horarios!Q23</f>
        <v>España</v>
      </c>
      <c r="M28" s="469">
        <f ca="1">ADMIN!$D$5-SUM(N28:T28)</f>
        <v>9</v>
      </c>
      <c r="N28" s="469">
        <f ca="1">IFERROR(COUNTIF(ADMIN!$S$130:INDEX(ADMIN!$S$130:$KI$161,32,ADMIN!$D$5*3-1),Stats!$L28)-SUM(O28:T28),0)</f>
        <v>0</v>
      </c>
      <c r="O28" s="469">
        <f ca="1">COUNTIF(ADMIN!$S$182:INDEX(ADMIN!$S$182:$KI$197,16,ADMIN!$D$5*3-1),Stats!$L28)-SUM(P28:T28)</f>
        <v>3</v>
      </c>
      <c r="P28" s="469">
        <f ca="1">COUNTIF(ADMIN!$S$210:INDEX(ADMIN!$S$210:$KI$217,8,ADMIN!$D$5*3-1),Stats!$L28)-SUM(Q28:T28)</f>
        <v>0</v>
      </c>
      <c r="Q28" s="469">
        <f ca="1">COUNTIF(ADMIN!$S$226:INDEX(ADMIN!$S$226:$KI$229,4,ADMIN!$D$5*3-1),Stats!$L28)-SUM(R28:T28)</f>
        <v>1</v>
      </c>
      <c r="R28" s="469">
        <f ca="1">IFERROR(COUNTIF(ADMIN!$S$252:INDEX(ADMIN!$S$252:$KI$252,1,ADMIN!$D$5*3-1),Stats!$L28),0)</f>
        <v>9</v>
      </c>
      <c r="S28" s="469">
        <f ca="1">IFERROR(COUNTIF(ADMIN!$S$251:INDEX(ADMIN!$S$251:$KI$251,1,ADMIN!$D$5*3-1),Stats!$L28),0)</f>
        <v>5</v>
      </c>
      <c r="T28" s="470">
        <f ca="1">IFERROR(COUNTIF(ADMIN!$S$250:INDEX(ADMIN!$S$250:$KI$250,1,ADMIN!$D$5*3-1),Stats!$L28),0)</f>
        <v>23</v>
      </c>
      <c r="U28" s="25"/>
      <c r="V28" s="11">
        <f t="shared" ca="1" si="0"/>
        <v>50</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20</v>
      </c>
      <c r="C29" s="17"/>
      <c r="D29" s="17"/>
      <c r="E29" s="17"/>
      <c r="F29" s="17"/>
      <c r="G29" s="17"/>
      <c r="H29" s="457"/>
      <c r="I29" s="704"/>
      <c r="J29" s="475"/>
      <c r="K29" s="475"/>
      <c r="L29" s="132" t="str">
        <f ca="1">Horarios!Q24</f>
        <v>Estados Unidos</v>
      </c>
      <c r="M29" s="471">
        <f ca="1">ADMIN!$D$5-SUM(N29:T29)</f>
        <v>9</v>
      </c>
      <c r="N29" s="471">
        <f ca="1">IFERROR(COUNTIF(ADMIN!$S$130:INDEX(ADMIN!$S$130:$KI$161,32,ADMIN!$D$5*3-1),Stats!$L29)-SUM(O29:T29),0)</f>
        <v>11</v>
      </c>
      <c r="O29" s="471">
        <f ca="1">COUNTIF(ADMIN!$S$182:INDEX(ADMIN!$S$182:$KI$197,16,ADMIN!$D$5*3-1),Stats!$L29)-SUM(P29:T29)</f>
        <v>27</v>
      </c>
      <c r="P29" s="471">
        <f ca="1">COUNTIF(ADMIN!$S$210:INDEX(ADMIN!$S$210:$KI$217,8,ADMIN!$D$5*3-1),Stats!$L29)-SUM(Q29:T29)</f>
        <v>3</v>
      </c>
      <c r="Q29" s="471">
        <f ca="1">COUNTIF(ADMIN!$S$226:INDEX(ADMIN!$S$226:$KI$229,4,ADMIN!$D$5*3-1),Stats!$L29)-SUM(R29:T29)</f>
        <v>0</v>
      </c>
      <c r="R29" s="471">
        <f ca="1">IFERROR(COUNTIF(ADMIN!$S$252:INDEX(ADMIN!$S$252:$KI$252,1,ADMIN!$D$5*3-1),Stats!$L29),0)</f>
        <v>0</v>
      </c>
      <c r="S29" s="471">
        <f ca="1">IFERROR(COUNTIF(ADMIN!$S$251:INDEX(ADMIN!$S$251:$KI$251,1,ADMIN!$D$5*3-1),Stats!$L29),0)</f>
        <v>0</v>
      </c>
      <c r="T29" s="472">
        <f ca="1">IFERROR(COUNTIF(ADMIN!$S$250:INDEX(ADMIN!$S$250:$KI$250,1,ADMIN!$D$5*3-1),Stats!$L29),0)</f>
        <v>0</v>
      </c>
      <c r="U29" s="25"/>
      <c r="V29" s="11">
        <f t="shared" ca="1" si="0"/>
        <v>50</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12</v>
      </c>
      <c r="C30" s="17"/>
      <c r="D30" s="17"/>
      <c r="E30" s="17"/>
      <c r="F30" s="17"/>
      <c r="G30" s="17"/>
      <c r="H30" s="454"/>
      <c r="I30" s="704"/>
      <c r="J30" s="475"/>
      <c r="K30" s="475"/>
      <c r="L30" s="133" t="str">
        <f ca="1">Horarios!Q25</f>
        <v>Francia</v>
      </c>
      <c r="M30" s="469">
        <f ca="1">ADMIN!$D$5-SUM(N30:T30)</f>
        <v>9</v>
      </c>
      <c r="N30" s="469">
        <f ca="1">IFERROR(COUNTIF(ADMIN!$S$130:INDEX(ADMIN!$S$130:$KI$161,32,ADMIN!$D$5*3-1),Stats!$L30)-SUM(O30:T30),0)</f>
        <v>1</v>
      </c>
      <c r="O30" s="469">
        <f ca="1">COUNTIF(ADMIN!$S$182:INDEX(ADMIN!$S$182:$KI$197,16,ADMIN!$D$5*3-1),Stats!$L30)-SUM(P30:T30)</f>
        <v>7</v>
      </c>
      <c r="P30" s="469">
        <f ca="1">COUNTIF(ADMIN!$S$210:INDEX(ADMIN!$S$210:$KI$217,8,ADMIN!$D$5*3-1),Stats!$L30)-SUM(Q30:T30)</f>
        <v>2</v>
      </c>
      <c r="Q30" s="469">
        <f ca="1">COUNTIF(ADMIN!$S$226:INDEX(ADMIN!$S$226:$KI$229,4,ADMIN!$D$5*3-1),Stats!$L30)-SUM(R30:T30)</f>
        <v>6</v>
      </c>
      <c r="R30" s="469">
        <f ca="1">IFERROR(COUNTIF(ADMIN!$S$252:INDEX(ADMIN!$S$252:$KI$252,1,ADMIN!$D$5*3-1),Stats!$L30),0)</f>
        <v>16</v>
      </c>
      <c r="S30" s="469">
        <f ca="1">IFERROR(COUNTIF(ADMIN!$S$251:INDEX(ADMIN!$S$251:$KI$251,1,ADMIN!$D$5*3-1),Stats!$L30),0)</f>
        <v>5</v>
      </c>
      <c r="T30" s="470">
        <f ca="1">IFERROR(COUNTIF(ADMIN!$S$250:INDEX(ADMIN!$S$250:$KI$250,1,ADMIN!$D$5*3-1),Stats!$L30),0)</f>
        <v>4</v>
      </c>
      <c r="U30" s="25"/>
      <c r="V30" s="11">
        <f t="shared" ca="1" si="0"/>
        <v>50</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16</v>
      </c>
      <c r="C31" s="17"/>
      <c r="D31" s="17"/>
      <c r="E31" s="17"/>
      <c r="F31" s="17"/>
      <c r="G31" s="17"/>
      <c r="H31" s="458"/>
      <c r="I31" s="705"/>
      <c r="J31" s="475"/>
      <c r="K31" s="475"/>
      <c r="L31" s="132" t="str">
        <f ca="1">Horarios!Q26</f>
        <v>Ghana</v>
      </c>
      <c r="M31" s="471">
        <f ca="1">ADMIN!$D$5-SUM(N31:T31)</f>
        <v>26</v>
      </c>
      <c r="N31" s="471">
        <f ca="1">IFERROR(COUNTIF(ADMIN!$S$130:INDEX(ADMIN!$S$130:$KI$161,32,ADMIN!$D$5*3-1),Stats!$L31)-SUM(O31:T31),0)</f>
        <v>23</v>
      </c>
      <c r="O31" s="471">
        <f ca="1">COUNTIF(ADMIN!$S$182:INDEX(ADMIN!$S$182:$KI$197,16,ADMIN!$D$5*3-1),Stats!$L31)-SUM(P31:T31)</f>
        <v>1</v>
      </c>
      <c r="P31" s="471">
        <f ca="1">COUNTIF(ADMIN!$S$210:INDEX(ADMIN!$S$210:$KI$217,8,ADMIN!$D$5*3-1),Stats!$L31)-SUM(Q31:T31)</f>
        <v>0</v>
      </c>
      <c r="Q31" s="471">
        <f ca="1">COUNTIF(ADMIN!$S$226:INDEX(ADMIN!$S$226:$KI$229,4,ADMIN!$D$5*3-1),Stats!$L31)-SUM(R31:T31)</f>
        <v>0</v>
      </c>
      <c r="R31" s="471">
        <f ca="1">IFERROR(COUNTIF(ADMIN!$S$252:INDEX(ADMIN!$S$252:$KI$252,1,ADMIN!$D$5*3-1),Stats!$L31),0)</f>
        <v>0</v>
      </c>
      <c r="S31" s="471">
        <f ca="1">IFERROR(COUNTIF(ADMIN!$S$251:INDEX(ADMIN!$S$251:$KI$251,1,ADMIN!$D$5*3-1),Stats!$L31),0)</f>
        <v>0</v>
      </c>
      <c r="T31" s="472">
        <f ca="1">IFERROR(COUNTIF(ADMIN!$S$250:INDEX(ADMIN!$S$250:$KI$250,1,ADMIN!$D$5*3-1),Stats!$L31),0)</f>
        <v>0</v>
      </c>
      <c r="U31" s="25"/>
      <c r="V31" s="11">
        <f t="shared" ca="1" si="0"/>
        <v>50</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20</v>
      </c>
      <c r="C32" s="17"/>
      <c r="D32" s="17"/>
      <c r="E32" s="17"/>
      <c r="F32" s="17"/>
      <c r="G32" s="17"/>
      <c r="H32" s="17"/>
      <c r="I32" s="17"/>
      <c r="J32" s="475"/>
      <c r="K32" s="475"/>
      <c r="L32" s="133" t="str">
        <f ca="1">Horarios!Q27</f>
        <v>Haití</v>
      </c>
      <c r="M32" s="469">
        <f ca="1">ADMIN!$D$5-SUM(N32:T32)</f>
        <v>50</v>
      </c>
      <c r="N32" s="469">
        <f ca="1">IFERROR(COUNTIF(ADMIN!$S$130:INDEX(ADMIN!$S$130:$KI$161,32,ADMIN!$D$5*3-1),Stats!$L32)-SUM(O32:T32),0)</f>
        <v>0</v>
      </c>
      <c r="O32" s="469">
        <f ca="1">COUNTIF(ADMIN!$S$182:INDEX(ADMIN!$S$182:$KI$197,16,ADMIN!$D$5*3-1),Stats!$L32)-SUM(P32:T32)</f>
        <v>0</v>
      </c>
      <c r="P32" s="469">
        <f ca="1">COUNTIF(ADMIN!$S$210:INDEX(ADMIN!$S$210:$KI$217,8,ADMIN!$D$5*3-1),Stats!$L32)-SUM(Q32:T32)</f>
        <v>0</v>
      </c>
      <c r="Q32" s="469">
        <f ca="1">COUNTIF(ADMIN!$S$226:INDEX(ADMIN!$S$226:$KI$229,4,ADMIN!$D$5*3-1),Stats!$L32)-SUM(R32:T32)</f>
        <v>0</v>
      </c>
      <c r="R32" s="469">
        <f ca="1">IFERROR(COUNTIF(ADMIN!$S$252:INDEX(ADMIN!$S$252:$KI$252,1,ADMIN!$D$5*3-1),Stats!$L32),0)</f>
        <v>0</v>
      </c>
      <c r="S32" s="469">
        <f ca="1">IFERROR(COUNTIF(ADMIN!$S$251:INDEX(ADMIN!$S$251:$KI$251,1,ADMIN!$D$5*3-1),Stats!$L32),0)</f>
        <v>0</v>
      </c>
      <c r="T32" s="470">
        <f ca="1">IFERROR(COUNTIF(ADMIN!$S$250:INDEX(ADMIN!$S$250:$KI$250,1,ADMIN!$D$5*3-1),Stats!$L32),0)</f>
        <v>0</v>
      </c>
      <c r="U32" s="25"/>
      <c r="V32" s="11">
        <f t="shared" ca="1" si="0"/>
        <v>50</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12</v>
      </c>
      <c r="C33" s="17"/>
      <c r="D33" s="17"/>
      <c r="E33" s="17"/>
      <c r="F33" s="17"/>
      <c r="G33" s="17"/>
      <c r="H33" s="17"/>
      <c r="I33" s="17"/>
      <c r="J33" s="475"/>
      <c r="K33" s="475"/>
      <c r="L33" s="132" t="str">
        <f ca="1">Horarios!Q28</f>
        <v>Inglaterra</v>
      </c>
      <c r="M33" s="471">
        <f ca="1">ADMIN!$D$5-SUM(N33:T33)</f>
        <v>9</v>
      </c>
      <c r="N33" s="471">
        <f ca="1">IFERROR(COUNTIF(ADMIN!$S$130:INDEX(ADMIN!$S$130:$KI$161,32,ADMIN!$D$5*3-1),Stats!$L33)-SUM(O33:T33),0)</f>
        <v>2</v>
      </c>
      <c r="O33" s="471">
        <f ca="1">COUNTIF(ADMIN!$S$182:INDEX(ADMIN!$S$182:$KI$197,16,ADMIN!$D$5*3-1),Stats!$L33)-SUM(P33:T33)</f>
        <v>7</v>
      </c>
      <c r="P33" s="471">
        <f ca="1">COUNTIF(ADMIN!$S$210:INDEX(ADMIN!$S$210:$KI$217,8,ADMIN!$D$5*3-1),Stats!$L33)-SUM(Q33:T33)</f>
        <v>14</v>
      </c>
      <c r="Q33" s="471">
        <f ca="1">COUNTIF(ADMIN!$S$226:INDEX(ADMIN!$S$226:$KI$229,4,ADMIN!$D$5*3-1),Stats!$L33)-SUM(R33:T33)</f>
        <v>10</v>
      </c>
      <c r="R33" s="471">
        <f ca="1">IFERROR(COUNTIF(ADMIN!$S$252:INDEX(ADMIN!$S$252:$KI$252,1,ADMIN!$D$5*3-1),Stats!$L33),0)</f>
        <v>3</v>
      </c>
      <c r="S33" s="471">
        <f ca="1">IFERROR(COUNTIF(ADMIN!$S$251:INDEX(ADMIN!$S$251:$KI$251,1,ADMIN!$D$5*3-1),Stats!$L33),0)</f>
        <v>4</v>
      </c>
      <c r="T33" s="472">
        <f ca="1">IFERROR(COUNTIF(ADMIN!$S$250:INDEX(ADMIN!$S$250:$KI$250,1,ADMIN!$D$5*3-1),Stats!$L33),0)</f>
        <v>1</v>
      </c>
      <c r="U33" s="25"/>
      <c r="V33" s="11">
        <f t="shared" ca="1" si="0"/>
        <v>50</v>
      </c>
      <c r="W33" s="11"/>
      <c r="X33" s="11"/>
      <c r="Y33" s="11"/>
      <c r="Z33" s="11" t="e" cm="1" vm="49">
        <f t="array" aca="1" ref="Z33" ca="1">IFERROR(IF(_xlfn.ANCHORARRAY(Z35)&lt;&gt;"",COUNTIF(INDEX(OFFSET(DailyPrediction!$F$4,0,0,ADMIN!$D$3,COUNTA(DailyPrediction!$A$4:$A$23)),,MATCH(Stats!$I$5,OFFSET(DailyPrediction!$F$2,0,0,1,COUNTA(DailyPrediction!$A$4:$A$23)),0)),_xlfn.ANCHORARRAY(Z35)),""),"")</f>
        <v>#VALUE!</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16</v>
      </c>
      <c r="C34" s="17"/>
      <c r="D34" s="25">
        <f ca="1">IFERROR(IF(OR(AND($F$5&lt;19,LEFT($H$8,1)="1"),AND($F$5&lt;19,LEFT($H$8,1)="2"),AND($F$5&lt;19,LEFT($H$8,1)="X")),1,0),0)</f>
        <v>1</v>
      </c>
      <c r="E34" s="25"/>
      <c r="F34" s="25"/>
      <c r="G34" s="17"/>
      <c r="H34" s="17"/>
      <c r="I34" s="17"/>
      <c r="J34" s="475"/>
      <c r="K34" s="475"/>
      <c r="L34" s="133" t="str">
        <f ca="1">Horarios!Q29</f>
        <v>Irak</v>
      </c>
      <c r="M34" s="469">
        <f ca="1">ADMIN!$D$5-SUM(N34:T34)</f>
        <v>49</v>
      </c>
      <c r="N34" s="469">
        <f ca="1">IFERROR(COUNTIF(ADMIN!$S$130:INDEX(ADMIN!$S$130:$KI$161,32,ADMIN!$D$5*3-1),Stats!$L34)-SUM(O34:T34),0)</f>
        <v>1</v>
      </c>
      <c r="O34" s="469">
        <f ca="1">COUNTIF(ADMIN!$S$182:INDEX(ADMIN!$S$182:$KI$197,16,ADMIN!$D$5*3-1),Stats!$L34)-SUM(P34:T34)</f>
        <v>0</v>
      </c>
      <c r="P34" s="469">
        <f ca="1">COUNTIF(ADMIN!$S$210:INDEX(ADMIN!$S$210:$KI$217,8,ADMIN!$D$5*3-1),Stats!$L34)-SUM(Q34:T34)</f>
        <v>0</v>
      </c>
      <c r="Q34" s="469">
        <f ca="1">COUNTIF(ADMIN!$S$226:INDEX(ADMIN!$S$226:$KI$229,4,ADMIN!$D$5*3-1),Stats!$L34)-SUM(R34:T34)</f>
        <v>0</v>
      </c>
      <c r="R34" s="469">
        <f ca="1">IFERROR(COUNTIF(ADMIN!$S$252:INDEX(ADMIN!$S$252:$KI$252,1,ADMIN!$D$5*3-1),Stats!$L34),0)</f>
        <v>0</v>
      </c>
      <c r="S34" s="469">
        <f ca="1">IFERROR(COUNTIF(ADMIN!$S$251:INDEX(ADMIN!$S$251:$KI$251,1,ADMIN!$D$5*3-1),Stats!$L34),0)</f>
        <v>0</v>
      </c>
      <c r="T34" s="470">
        <f ca="1">IFERROR(COUNTIF(ADMIN!$S$250:INDEX(ADMIN!$S$250:$KI$250,1,ADMIN!$D$5*3-1),Stats!$L34),0)</f>
        <v>0</v>
      </c>
      <c r="U34" s="25"/>
      <c r="V34" s="11">
        <f t="shared" ca="1" si="0"/>
        <v>50</v>
      </c>
      <c r="W34" s="11" t="s">
        <v>1754</v>
      </c>
      <c r="X34" s="11" t="s">
        <v>1753</v>
      </c>
      <c r="Y34" s="493" t="s">
        <v>1684</v>
      </c>
      <c r="Z34" s="493" t="s">
        <v>1686</v>
      </c>
      <c r="AA34" s="493" t="s">
        <v>1714</v>
      </c>
      <c r="AB34" s="493" t="s">
        <v>1715</v>
      </c>
      <c r="AC34" s="493" t="s">
        <v>1716</v>
      </c>
      <c r="AD34" s="493"/>
      <c r="AE34" s="8"/>
      <c r="AF34" s="8"/>
      <c r="AG34" s="493" t="s">
        <v>1717</v>
      </c>
      <c r="AH34" s="493" t="s">
        <v>1718</v>
      </c>
      <c r="AI34" s="493" t="s">
        <v>1719</v>
      </c>
      <c r="AJ34" s="8" t="s">
        <v>1720</v>
      </c>
      <c r="AK34" s="493" t="s">
        <v>1721</v>
      </c>
      <c r="AL34" s="8" t="s">
        <v>1722</v>
      </c>
      <c r="AM34" s="8"/>
      <c r="AN34" s="8"/>
      <c r="AO34" s="493" t="s">
        <v>1723</v>
      </c>
      <c r="AP34" s="493" t="s">
        <v>1724</v>
      </c>
      <c r="AQ34" s="11"/>
      <c r="AR34" s="11"/>
      <c r="AS34" s="11"/>
      <c r="AT34" s="11"/>
      <c r="AU34" s="11"/>
      <c r="AV34" s="11"/>
      <c r="AW34" s="11"/>
      <c r="AX34" s="11"/>
      <c r="AY34" s="11"/>
      <c r="AZ34" s="11"/>
      <c r="BA34" s="11"/>
    </row>
    <row r="35" spans="1:53" ht="15" customHeight="1">
      <c r="A35" s="25">
        <v>14</v>
      </c>
      <c r="B35" s="25">
        <f ca="1">IFERROR(SUMIF(ADMIN!$G$6:$G$258,A35,ADMIN!$F$6:$F$258),"")</f>
        <v>28</v>
      </c>
      <c r="C35" s="17"/>
      <c r="D35" s="25">
        <v>1</v>
      </c>
      <c r="E35" s="25">
        <f ca="1">SUMIFS(_xlfn.ANCHORARRAY($Z$35),_xlfn.ANCHORARRAY($AH$35),D35)</f>
        <v>39</v>
      </c>
      <c r="F35" s="25">
        <f ca="1">IFERROR(E35/SUM($E$35:E37),0)</f>
        <v>0.95121951219512191</v>
      </c>
      <c r="G35" s="17"/>
      <c r="H35" s="17"/>
      <c r="I35" s="17"/>
      <c r="J35" s="25"/>
      <c r="K35" s="25"/>
      <c r="L35" s="132" t="str">
        <f ca="1">Horarios!Q30</f>
        <v>Irán</v>
      </c>
      <c r="M35" s="471">
        <f ca="1">ADMIN!$D$5-SUM(N35:T35)</f>
        <v>29</v>
      </c>
      <c r="N35" s="471">
        <f ca="1">IFERROR(COUNTIF(ADMIN!$S$130:INDEX(ADMIN!$S$130:$KI$161,32,ADMIN!$D$5*3-1),Stats!$L35)-SUM(O35:T35),0)</f>
        <v>21</v>
      </c>
      <c r="O35" s="471">
        <f ca="1">COUNTIF(ADMIN!$S$182:INDEX(ADMIN!$S$182:$KI$197,16,ADMIN!$D$5*3-1),Stats!$L35)-SUM(P35:T35)</f>
        <v>0</v>
      </c>
      <c r="P35" s="471">
        <f ca="1">COUNTIF(ADMIN!$S$210:INDEX(ADMIN!$S$210:$KI$217,8,ADMIN!$D$5*3-1),Stats!$L35)-SUM(Q35:T35)</f>
        <v>0</v>
      </c>
      <c r="Q35" s="471">
        <f ca="1">COUNTIF(ADMIN!$S$226:INDEX(ADMIN!$S$226:$KI$229,4,ADMIN!$D$5*3-1),Stats!$L35)-SUM(R35:T35)</f>
        <v>0</v>
      </c>
      <c r="R35" s="471">
        <f ca="1">IFERROR(COUNTIF(ADMIN!$S$252:INDEX(ADMIN!$S$252:$KI$252,1,ADMIN!$D$5*3-1),Stats!$L35),0)</f>
        <v>0</v>
      </c>
      <c r="S35" s="471">
        <f ca="1">IFERROR(COUNTIF(ADMIN!$S$251:INDEX(ADMIN!$S$251:$KI$251,1,ADMIN!$D$5*3-1),Stats!$L35),0)</f>
        <v>0</v>
      </c>
      <c r="T35" s="472">
        <f ca="1">IFERROR(COUNTIF(ADMIN!$S$250:INDEX(ADMIN!$S$250:$KI$250,1,ADMIN!$D$5*3-1),Stats!$L35),0)</f>
        <v>0</v>
      </c>
      <c r="U35" s="25"/>
      <c r="V35" s="11">
        <f t="shared" ca="1" si="0"/>
        <v>50</v>
      </c>
      <c r="W35" s="11" cm="1">
        <f t="array" aca="1" ref="W35:W42" ca="1">IFERROR(IF(_xlfn.ANCHORARRAY(Y35)&lt;&gt;"",COUNTIF(INDEX(DailyPrediction!$G$4:$AQ$100,,MATCH(Stats!$I$5,DailyPrediction!$G$2:$AQ$2,0)),_xlfn.ANCHORARRAY(Y35)),""),"")</f>
        <v>6</v>
      </c>
      <c r="X35" s="11" t="str" cm="1">
        <f t="array" aca="1" ref="X35:X42" ca="1">IFERROR(_xlfn._xlws.SORT(_xlfn.UNIQUE(_xlfn._xlws.FILTER(INDEX(DailyPrediction!$G$4:$AQ$100,,MATCH(Stats!$I$5,DailyPrediction!$G$2:$AQ$2,0)),LEN(INDEX(DailyPrediction!$G$4:$AQ$100,,MATCH(Stats!$I$5,DailyPrediction!$G$2:$AQ$2,0)))&gt;1))),Idiomas!D501)</f>
        <v>1|1-0</v>
      </c>
      <c r="Y35" s="11" t="str" cm="1">
        <f t="array" aca="1" ref="Y35:Y42"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1|1-0</v>
      </c>
      <c r="Z35" s="11" cm="1">
        <f t="array" aca="1" ref="Z35:Z42" ca="1">IFERROR(IF(_xlfn.ANCHORARRAY(Y35)&lt;&gt;"",COUNTIF(INDEX(OFFSET(DailyPrediction!$G$4,0,0,ADMIN!$D$5,COUNTA(DailyPrediction!$A$4:$A$35)),,MATCH(Stats!$I$5,OFFSET(DailyPrediction!$G$2,0,0,1,COUNTA(DailyPrediction!$A$4:$A$35)),0)),_xlfn.ANCHORARRAY(Y35)),""),"")</f>
        <v>6</v>
      </c>
      <c r="AA35" s="11" cm="1">
        <f t="array" aca="1" ref="AA35:AA42"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20</v>
      </c>
      <c r="AB35" s="11" cm="1">
        <f t="array" aca="1" ref="AB35:AB42"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42" ca="1">_xlfn.SORTBY(OFFSET($Y$35,0,0,COUNTA(_xlfn.ANCHORARRAY($Y$35)),3),OFFSET(Z35,0,0,COUNTA(_xlfn.ANCHORARRAY($Y$35))),-1)</f>
        <v>1|2-0</v>
      </c>
      <c r="AD35" s="11">
        <f ca="1"/>
        <v>20</v>
      </c>
      <c r="AE35" s="11">
        <f ca="1"/>
        <v>0</v>
      </c>
      <c r="AF35" s="11"/>
      <c r="AG35" s="11" t="str" cm="1">
        <f t="array" aca="1" ref="AG35" ca="1">_xlfn.UNIQUE(_xlfn._xlws.FILTER(DailyPrediction!$A$4:$A$35,DailyPrediction!$A$4:$A$35&lt;&gt;""))</f>
        <v>México-Sudáfrica</v>
      </c>
      <c r="AH35" s="11" t="str" cm="1">
        <f t="array" aca="1" ref="AH35:AH42" ca="1">LEFT(OFFSET(_xlfn.ANCHORARRAY(Y35),0,0,COUNTA(_xlfn.ANCHORARRAY(Y35)),1))</f>
        <v>1</v>
      </c>
      <c r="AI35" s="11" t="str" cm="1">
        <f t="array" aca="1" ref="AI35:AI42"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1|1-0</v>
      </c>
      <c r="AJ35" s="11" t="str" cm="1">
        <f t="array" aca="1" ref="AJ35:AJ42" ca="1">IFERROR(_xlfn._xlws.SORT(_xlfn.UNIQUE(INDEX(OFFSET(DailyPrediction!$G$4,0,0,ADMIN!$D$5,COUNTA(_xlfn.ANCHORARRAY(DailyPrediction!$G$2))),,MATCH(Stats!$I$5,OFFSET(DailyPrediction!$G$2,0,0,1,COUNTA(_xlfn.ANCHORARRAY(DailyPrediction!$G$2))),0)),0)),Idiomas!D501)</f>
        <v>1|1-0</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32</v>
      </c>
      <c r="C36" s="17"/>
      <c r="D36" s="25" t="s">
        <v>13</v>
      </c>
      <c r="E36" s="25">
        <f ca="1">SUMIFS(_xlfn.ANCHORARRAY($Z$35),_xlfn.ANCHORARRAY($AH$35),D36)</f>
        <v>2</v>
      </c>
      <c r="F36" s="25">
        <f ca="1">IFERROR(E36/SUM($E$35:E38),0)</f>
        <v>4.878048780487805E-2</v>
      </c>
      <c r="G36" s="17"/>
      <c r="H36" s="17"/>
      <c r="I36" s="17"/>
      <c r="J36" s="25"/>
      <c r="K36" s="25"/>
      <c r="L36" s="133" t="str">
        <f ca="1">Horarios!Q31</f>
        <v>Japón</v>
      </c>
      <c r="M36" s="469">
        <f ca="1">ADMIN!$D$5-SUM(N36:T36)</f>
        <v>12</v>
      </c>
      <c r="N36" s="469">
        <f ca="1">IFERROR(COUNTIF(ADMIN!$S$130:INDEX(ADMIN!$S$130:$KI$161,32,ADMIN!$D$5*3-1),Stats!$L36)-SUM(O36:T36),0)</f>
        <v>36</v>
      </c>
      <c r="O36" s="469">
        <f ca="1">COUNTIF(ADMIN!$S$182:INDEX(ADMIN!$S$182:$KI$197,16,ADMIN!$D$5*3-1),Stats!$L36)-SUM(P36:T36)</f>
        <v>1</v>
      </c>
      <c r="P36" s="469">
        <f ca="1">COUNTIF(ADMIN!$S$210:INDEX(ADMIN!$S$210:$KI$217,8,ADMIN!$D$5*3-1),Stats!$L36)-SUM(Q36:T36)</f>
        <v>1</v>
      </c>
      <c r="Q36" s="469">
        <f ca="1">COUNTIF(ADMIN!$S$226:INDEX(ADMIN!$S$226:$KI$229,4,ADMIN!$D$5*3-1),Stats!$L36)-SUM(R36:T36)</f>
        <v>0</v>
      </c>
      <c r="R36" s="469">
        <f ca="1">IFERROR(COUNTIF(ADMIN!$S$252:INDEX(ADMIN!$S$252:$KI$252,1,ADMIN!$D$5*3-1),Stats!$L36),0)</f>
        <v>0</v>
      </c>
      <c r="S36" s="469">
        <f ca="1">IFERROR(COUNTIF(ADMIN!$S$251:INDEX(ADMIN!$S$251:$KI$251,1,ADMIN!$D$5*3-1),Stats!$L36),0)</f>
        <v>0</v>
      </c>
      <c r="T36" s="470">
        <f ca="1">IFERROR(COUNTIF(ADMIN!$S$250:INDEX(ADMIN!$S$250:$KI$250,1,ADMIN!$D$5*3-1),Stats!$L36),0)</f>
        <v>0</v>
      </c>
      <c r="U36" s="25"/>
      <c r="V36" s="11">
        <f t="shared" ca="1" si="0"/>
        <v>50</v>
      </c>
      <c r="W36" s="11">
        <f ca="1"/>
        <v>20</v>
      </c>
      <c r="X36" s="11" t="str">
        <f ca="1"/>
        <v>1|2-0</v>
      </c>
      <c r="Y36" s="11" t="str">
        <f ca="1"/>
        <v>1|2-0</v>
      </c>
      <c r="Z36" s="11">
        <f ca="1"/>
        <v>20</v>
      </c>
      <c r="AA36" s="11">
        <f ca="1"/>
        <v>0</v>
      </c>
      <c r="AB36" s="11">
        <f ca="1"/>
        <v>0</v>
      </c>
      <c r="AC36" s="11" t="str">
        <f ca="1"/>
        <v>1|2-1</v>
      </c>
      <c r="AD36" s="11">
        <f ca="1"/>
        <v>9</v>
      </c>
      <c r="AE36" s="11">
        <f ca="1"/>
        <v>0</v>
      </c>
      <c r="AF36" s="11"/>
      <c r="AG36" s="11"/>
      <c r="AH36" s="11" t="str">
        <f ca="1"/>
        <v>1</v>
      </c>
      <c r="AI36" s="11" t="str">
        <f ca="1"/>
        <v>1|2-0</v>
      </c>
      <c r="AJ36" s="11" t="str">
        <f ca="1"/>
        <v>1|2-0</v>
      </c>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64</v>
      </c>
      <c r="C37" s="17"/>
      <c r="D37" s="25">
        <v>2</v>
      </c>
      <c r="E37" s="25">
        <f ca="1">SUMIFS(_xlfn.ANCHORARRAY($Z$35),_xlfn.ANCHORARRAY($AH$35),D37)</f>
        <v>0</v>
      </c>
      <c r="F37" s="25">
        <f ca="1">IFERROR(E37/SUM($E$35:E39),0)</f>
        <v>0</v>
      </c>
      <c r="G37" s="17"/>
      <c r="H37" s="17"/>
      <c r="I37" s="17"/>
      <c r="J37" s="25"/>
      <c r="K37" s="25"/>
      <c r="L37" s="132" t="str">
        <f ca="1">Horarios!Q32</f>
        <v>Jordania</v>
      </c>
      <c r="M37" s="471">
        <f ca="1">ADMIN!$D$5-SUM(N37:T37)</f>
        <v>50</v>
      </c>
      <c r="N37" s="471">
        <f ca="1">IFERROR(COUNTIF(ADMIN!$S$130:INDEX(ADMIN!$S$130:$KI$161,32,ADMIN!$D$5*3-1),Stats!$L37)-SUM(O37:T37),0)</f>
        <v>0</v>
      </c>
      <c r="O37" s="471">
        <f ca="1">COUNTIF(ADMIN!$S$182:INDEX(ADMIN!$S$182:$KI$197,16,ADMIN!$D$5*3-1),Stats!$L37)-SUM(P37:T37)</f>
        <v>0</v>
      </c>
      <c r="P37" s="471">
        <f ca="1">COUNTIF(ADMIN!$S$210:INDEX(ADMIN!$S$210:$KI$217,8,ADMIN!$D$5*3-1),Stats!$L37)-SUM(Q37:T37)</f>
        <v>0</v>
      </c>
      <c r="Q37" s="471">
        <f ca="1">COUNTIF(ADMIN!$S$226:INDEX(ADMIN!$S$226:$KI$229,4,ADMIN!$D$5*3-1),Stats!$L37)-SUM(R37:T37)</f>
        <v>0</v>
      </c>
      <c r="R37" s="471">
        <f ca="1">IFERROR(COUNTIF(ADMIN!$S$252:INDEX(ADMIN!$S$252:$KI$252,1,ADMIN!$D$5*3-1),Stats!$L37),0)</f>
        <v>0</v>
      </c>
      <c r="S37" s="471">
        <f ca="1">IFERROR(COUNTIF(ADMIN!$S$251:INDEX(ADMIN!$S$251:$KI$251,1,ADMIN!$D$5*3-1),Stats!$L37),0)</f>
        <v>0</v>
      </c>
      <c r="T37" s="472">
        <f ca="1">IFERROR(COUNTIF(ADMIN!$S$250:INDEX(ADMIN!$S$250:$KI$250,1,ADMIN!$D$5*3-1),Stats!$L37),0)</f>
        <v>0</v>
      </c>
      <c r="U37" s="25"/>
      <c r="V37" s="11">
        <f t="shared" ca="1" si="0"/>
        <v>50</v>
      </c>
      <c r="W37" s="11">
        <f ca="1"/>
        <v>9</v>
      </c>
      <c r="X37" s="11" t="str">
        <f ca="1"/>
        <v>1|2-1</v>
      </c>
      <c r="Y37" s="11" t="str">
        <f ca="1"/>
        <v>1|2-1</v>
      </c>
      <c r="Z37" s="11">
        <f ca="1"/>
        <v>9</v>
      </c>
      <c r="AA37" s="11">
        <f ca="1"/>
        <v>0</v>
      </c>
      <c r="AB37" s="11">
        <f ca="1"/>
        <v>0</v>
      </c>
      <c r="AC37" s="11" t="str">
        <f ca="1"/>
        <v>Pegar Valores (J1)</v>
      </c>
      <c r="AD37" s="11">
        <f ca="1"/>
        <v>9</v>
      </c>
      <c r="AE37" s="11">
        <f ca="1"/>
        <v>0</v>
      </c>
      <c r="AF37" s="11"/>
      <c r="AG37" s="11"/>
      <c r="AH37" s="11" t="str">
        <f ca="1"/>
        <v>1</v>
      </c>
      <c r="AI37" s="11" t="str">
        <f ca="1"/>
        <v>1|2-1</v>
      </c>
      <c r="AJ37" s="11" t="str">
        <f ca="1"/>
        <v>1|2-1</v>
      </c>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32</v>
      </c>
      <c r="C38" s="17"/>
      <c r="D38" s="25"/>
      <c r="E38" s="25"/>
      <c r="F38" s="25"/>
      <c r="G38" s="17"/>
      <c r="H38" s="17"/>
      <c r="I38" s="17"/>
      <c r="J38" s="25"/>
      <c r="K38" s="25"/>
      <c r="L38" s="133" t="str">
        <f ca="1">Horarios!Q33</f>
        <v>Marruecos</v>
      </c>
      <c r="M38" s="469">
        <f ca="1">ADMIN!$D$5-SUM(N38:T38)</f>
        <v>9</v>
      </c>
      <c r="N38" s="469">
        <f ca="1">IFERROR(COUNTIF(ADMIN!$S$130:INDEX(ADMIN!$S$130:$KI$161,32,ADMIN!$D$5*3-1),Stats!$L38)-SUM(O38:T38),0)</f>
        <v>23</v>
      </c>
      <c r="O38" s="469">
        <f ca="1">COUNTIF(ADMIN!$S$182:INDEX(ADMIN!$S$182:$KI$197,16,ADMIN!$D$5*3-1),Stats!$L38)-SUM(P38:T38)</f>
        <v>4</v>
      </c>
      <c r="P38" s="469">
        <f ca="1">COUNTIF(ADMIN!$S$210:INDEX(ADMIN!$S$210:$KI$217,8,ADMIN!$D$5*3-1),Stats!$L38)-SUM(Q38:T38)</f>
        <v>13</v>
      </c>
      <c r="Q38" s="469">
        <f ca="1">COUNTIF(ADMIN!$S$226:INDEX(ADMIN!$S$226:$KI$229,4,ADMIN!$D$5*3-1),Stats!$L38)-SUM(R38:T38)</f>
        <v>1</v>
      </c>
      <c r="R38" s="469">
        <f ca="1">IFERROR(COUNTIF(ADMIN!$S$252:INDEX(ADMIN!$S$252:$KI$252,1,ADMIN!$D$5*3-1),Stats!$L38),0)</f>
        <v>0</v>
      </c>
      <c r="S38" s="469">
        <f ca="1">IFERROR(COUNTIF(ADMIN!$S$251:INDEX(ADMIN!$S$251:$KI$251,1,ADMIN!$D$5*3-1),Stats!$L38),0)</f>
        <v>0</v>
      </c>
      <c r="T38" s="470">
        <f ca="1">IFERROR(COUNTIF(ADMIN!$S$250:INDEX(ADMIN!$S$250:$KI$250,1,ADMIN!$D$5*3-1),Stats!$L38),0)</f>
        <v>0</v>
      </c>
      <c r="U38" s="25"/>
      <c r="V38" s="11">
        <f t="shared" ca="1" si="0"/>
        <v>50</v>
      </c>
      <c r="W38" s="11">
        <f ca="1"/>
        <v>1</v>
      </c>
      <c r="X38" s="11" t="str">
        <f ca="1"/>
        <v>1|3-0</v>
      </c>
      <c r="Y38" s="11" t="str">
        <f ca="1"/>
        <v>1|3-0</v>
      </c>
      <c r="Z38" s="11">
        <f ca="1"/>
        <v>1</v>
      </c>
      <c r="AA38" s="11">
        <f ca="1"/>
        <v>0</v>
      </c>
      <c r="AB38" s="11">
        <f ca="1"/>
        <v>0</v>
      </c>
      <c r="AC38" s="11" t="str">
        <f ca="1"/>
        <v>1|1-0</v>
      </c>
      <c r="AD38" s="11">
        <f ca="1"/>
        <v>6</v>
      </c>
      <c r="AE38" s="11">
        <f ca="1"/>
        <v>20</v>
      </c>
      <c r="AF38" s="11"/>
      <c r="AG38" s="11"/>
      <c r="AH38" s="11" t="str">
        <f ca="1"/>
        <v>1</v>
      </c>
      <c r="AI38" s="11" t="str">
        <f ca="1"/>
        <v>1|3-0</v>
      </c>
      <c r="AJ38" s="11" t="str">
        <f ca="1"/>
        <v>1|3-0</v>
      </c>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48</v>
      </c>
      <c r="C39" s="17"/>
      <c r="D39" s="453"/>
      <c r="E39" s="453"/>
      <c r="F39" s="453"/>
      <c r="G39" s="17"/>
      <c r="H39" s="17"/>
      <c r="I39" s="17"/>
      <c r="J39" s="25"/>
      <c r="K39" s="25"/>
      <c r="L39" s="132" t="str">
        <f ca="1">Horarios!Q34</f>
        <v>México</v>
      </c>
      <c r="M39" s="471">
        <f ca="1">ADMIN!$D$5-SUM(N39:T39)</f>
        <v>9</v>
      </c>
      <c r="N39" s="471">
        <f ca="1">IFERROR(COUNTIF(ADMIN!$S$130:INDEX(ADMIN!$S$130:$KI$161,32,ADMIN!$D$5*3-1),Stats!$L39)-SUM(O39:T39),0)</f>
        <v>9</v>
      </c>
      <c r="O39" s="471">
        <f ca="1">COUNTIF(ADMIN!$S$182:INDEX(ADMIN!$S$182:$KI$197,16,ADMIN!$D$5*3-1),Stats!$L39)-SUM(P39:T39)</f>
        <v>26</v>
      </c>
      <c r="P39" s="471">
        <f ca="1">COUNTIF(ADMIN!$S$210:INDEX(ADMIN!$S$210:$KI$217,8,ADMIN!$D$5*3-1),Stats!$L39)-SUM(Q39:T39)</f>
        <v>6</v>
      </c>
      <c r="Q39" s="471">
        <f ca="1">COUNTIF(ADMIN!$S$226:INDEX(ADMIN!$S$226:$KI$229,4,ADMIN!$D$5*3-1),Stats!$L39)-SUM(R39:T39)</f>
        <v>0</v>
      </c>
      <c r="R39" s="471">
        <f ca="1">IFERROR(COUNTIF(ADMIN!$S$252:INDEX(ADMIN!$S$252:$KI$252,1,ADMIN!$D$5*3-1),Stats!$L39),0)</f>
        <v>0</v>
      </c>
      <c r="S39" s="471">
        <f ca="1">IFERROR(COUNTIF(ADMIN!$S$251:INDEX(ADMIN!$S$251:$KI$251,1,ADMIN!$D$5*3-1),Stats!$L39),0)</f>
        <v>0</v>
      </c>
      <c r="T39" s="472">
        <f ca="1">IFERROR(COUNTIF(ADMIN!$S$250:INDEX(ADMIN!$S$250:$KI$250,1,ADMIN!$D$5*3-1),Stats!$L39),0)</f>
        <v>0</v>
      </c>
      <c r="U39" s="25"/>
      <c r="V39" s="11">
        <f t="shared" ca="1" si="0"/>
        <v>50</v>
      </c>
      <c r="W39" s="11">
        <f ca="1"/>
        <v>3</v>
      </c>
      <c r="X39" s="11" t="str">
        <f ca="1"/>
        <v>1|3-1</v>
      </c>
      <c r="Y39" s="11" t="str">
        <f ca="1"/>
        <v>1|3-1</v>
      </c>
      <c r="Z39" s="11">
        <f ca="1"/>
        <v>3</v>
      </c>
      <c r="AA39" s="11">
        <f ca="1"/>
        <v>0</v>
      </c>
      <c r="AB39" s="11">
        <f ca="1"/>
        <v>0</v>
      </c>
      <c r="AC39" s="11" t="str">
        <f ca="1"/>
        <v>1|3-1</v>
      </c>
      <c r="AD39" s="11">
        <f ca="1"/>
        <v>3</v>
      </c>
      <c r="AE39" s="11">
        <f ca="1"/>
        <v>0</v>
      </c>
      <c r="AF39" s="11"/>
      <c r="AG39" s="11"/>
      <c r="AH39" s="11" t="str">
        <f ca="1"/>
        <v>1</v>
      </c>
      <c r="AI39" s="11" t="str">
        <f ca="1"/>
        <v>1|3-1</v>
      </c>
      <c r="AJ39" s="11" t="str">
        <f ca="1"/>
        <v>1|3-1</v>
      </c>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96</v>
      </c>
      <c r="C40" s="17"/>
      <c r="D40" s="453"/>
      <c r="E40" s="453"/>
      <c r="F40" s="453"/>
      <c r="G40" s="17"/>
      <c r="H40" s="17"/>
      <c r="I40" s="17"/>
      <c r="J40" s="25"/>
      <c r="K40" s="25"/>
      <c r="L40" s="133" t="str">
        <f ca="1">Horarios!Q35</f>
        <v>Noruega</v>
      </c>
      <c r="M40" s="469">
        <f ca="1">ADMIN!$D$5-SUM(N40:T40)</f>
        <v>9</v>
      </c>
      <c r="N40" s="469">
        <f ca="1">IFERROR(COUNTIF(ADMIN!$S$130:INDEX(ADMIN!$S$130:$KI$161,32,ADMIN!$D$5*3-1),Stats!$L40)-SUM(O40:T40),0)</f>
        <v>15</v>
      </c>
      <c r="O40" s="469">
        <f ca="1">COUNTIF(ADMIN!$S$182:INDEX(ADMIN!$S$182:$KI$197,16,ADMIN!$D$5*3-1),Stats!$L40)-SUM(P40:T40)</f>
        <v>17</v>
      </c>
      <c r="P40" s="469">
        <f ca="1">COUNTIF(ADMIN!$S$210:INDEX(ADMIN!$S$210:$KI$217,8,ADMIN!$D$5*3-1),Stats!$L40)-SUM(Q40:T40)</f>
        <v>8</v>
      </c>
      <c r="Q40" s="469">
        <f ca="1">COUNTIF(ADMIN!$S$226:INDEX(ADMIN!$S$226:$KI$229,4,ADMIN!$D$5*3-1),Stats!$L40)-SUM(R40:T40)</f>
        <v>1</v>
      </c>
      <c r="R40" s="469">
        <f ca="1">IFERROR(COUNTIF(ADMIN!$S$252:INDEX(ADMIN!$S$252:$KI$252,1,ADMIN!$D$5*3-1),Stats!$L40),0)</f>
        <v>0</v>
      </c>
      <c r="S40" s="469">
        <f ca="1">IFERROR(COUNTIF(ADMIN!$S$251:INDEX(ADMIN!$S$251:$KI$251,1,ADMIN!$D$5*3-1),Stats!$L40),0)</f>
        <v>0</v>
      </c>
      <c r="T40" s="470">
        <f ca="1">IFERROR(COUNTIF(ADMIN!$S$250:INDEX(ADMIN!$S$250:$KI$250,1,ADMIN!$D$5*3-1),Stats!$L40),0)</f>
        <v>0</v>
      </c>
      <c r="U40" s="25"/>
      <c r="V40" s="11">
        <f t="shared" ca="1" si="0"/>
        <v>50</v>
      </c>
      <c r="W40" s="11">
        <f ca="1"/>
        <v>9</v>
      </c>
      <c r="X40" s="11" t="str">
        <f ca="1"/>
        <v>Pegar Valores (J1)</v>
      </c>
      <c r="Y40" s="11" t="str">
        <f ca="1"/>
        <v>Pegar Valores (J1)</v>
      </c>
      <c r="Z40" s="11">
        <f ca="1"/>
        <v>9</v>
      </c>
      <c r="AA40" s="11">
        <f ca="1"/>
        <v>0</v>
      </c>
      <c r="AB40" s="11">
        <f ca="1"/>
        <v>0</v>
      </c>
      <c r="AC40" s="11" t="str">
        <f ca="1"/>
        <v>1|3-0</v>
      </c>
      <c r="AD40" s="11">
        <f ca="1"/>
        <v>1</v>
      </c>
      <c r="AE40" s="11">
        <f ca="1"/>
        <v>0</v>
      </c>
      <c r="AF40" s="11"/>
      <c r="AG40" s="11"/>
      <c r="AH40" s="11" t="str">
        <f ca="1"/>
        <v>P</v>
      </c>
      <c r="AI40" s="11" t="str">
        <f ca="1"/>
        <v>Pegar Valores (J1)</v>
      </c>
      <c r="AJ40" s="11" t="str">
        <f ca="1"/>
        <v>Pegar Valores (J1)</v>
      </c>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128</v>
      </c>
      <c r="C41" s="17"/>
      <c r="D41" s="17"/>
      <c r="E41" s="17"/>
      <c r="F41" s="453"/>
      <c r="G41" s="17"/>
      <c r="H41" s="17"/>
      <c r="I41" s="17"/>
      <c r="J41" s="25"/>
      <c r="K41" s="25"/>
      <c r="L41" s="132" t="str">
        <f ca="1">Horarios!Q36</f>
        <v>Nueva Zelanda</v>
      </c>
      <c r="M41" s="471">
        <f ca="1">ADMIN!$D$5-SUM(N41:T41)</f>
        <v>45</v>
      </c>
      <c r="N41" s="471">
        <f ca="1">IFERROR(COUNTIF(ADMIN!$S$130:INDEX(ADMIN!$S$130:$KI$161,32,ADMIN!$D$5*3-1),Stats!$L41)-SUM(O41:T41),0)</f>
        <v>4</v>
      </c>
      <c r="O41" s="471">
        <f ca="1">COUNTIF(ADMIN!$S$182:INDEX(ADMIN!$S$182:$KI$197,16,ADMIN!$D$5*3-1),Stats!$L41)-SUM(P41:T41)</f>
        <v>1</v>
      </c>
      <c r="P41" s="471">
        <f ca="1">COUNTIF(ADMIN!$S$210:INDEX(ADMIN!$S$210:$KI$217,8,ADMIN!$D$5*3-1),Stats!$L41)-SUM(Q41:T41)</f>
        <v>0</v>
      </c>
      <c r="Q41" s="471">
        <f ca="1">COUNTIF(ADMIN!$S$226:INDEX(ADMIN!$S$226:$KI$229,4,ADMIN!$D$5*3-1),Stats!$L41)-SUM(R41:T41)</f>
        <v>0</v>
      </c>
      <c r="R41" s="471">
        <f ca="1">IFERROR(COUNTIF(ADMIN!$S$252:INDEX(ADMIN!$S$252:$KI$252,1,ADMIN!$D$5*3-1),Stats!$L41),0)</f>
        <v>0</v>
      </c>
      <c r="S41" s="471">
        <f ca="1">IFERROR(COUNTIF(ADMIN!$S$251:INDEX(ADMIN!$S$251:$KI$251,1,ADMIN!$D$5*3-1),Stats!$L41),0)</f>
        <v>0</v>
      </c>
      <c r="T41" s="472">
        <f ca="1">IFERROR(COUNTIF(ADMIN!$S$250:INDEX(ADMIN!$S$250:$KI$250,1,ADMIN!$D$5*3-1),Stats!$L41),0)</f>
        <v>0</v>
      </c>
      <c r="U41" s="25"/>
      <c r="V41" s="11">
        <f t="shared" ca="1" si="0"/>
        <v>50</v>
      </c>
      <c r="W41" s="11">
        <f ca="1"/>
        <v>1</v>
      </c>
      <c r="X41" s="11" t="str">
        <f ca="1"/>
        <v>X|1-1</v>
      </c>
      <c r="Y41" s="11" t="str">
        <f ca="1"/>
        <v>X|1-1</v>
      </c>
      <c r="Z41" s="11">
        <f ca="1"/>
        <v>1</v>
      </c>
      <c r="AA41" s="11">
        <f ca="1"/>
        <v>0</v>
      </c>
      <c r="AB41" s="11">
        <f ca="1"/>
        <v>0</v>
      </c>
      <c r="AC41" s="11" t="str">
        <f ca="1"/>
        <v>X|1-1</v>
      </c>
      <c r="AD41" s="11">
        <f ca="1"/>
        <v>1</v>
      </c>
      <c r="AE41" s="11">
        <f ca="1"/>
        <v>0</v>
      </c>
      <c r="AF41" s="11"/>
      <c r="AG41" s="11"/>
      <c r="AH41" s="11" t="str">
        <f ca="1"/>
        <v>X</v>
      </c>
      <c r="AI41" s="11" t="str">
        <f ca="1"/>
        <v>X|1-1</v>
      </c>
      <c r="AJ41" s="11" t="str">
        <f ca="1"/>
        <v>X|1-1</v>
      </c>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72</v>
      </c>
      <c r="C42" s="17"/>
      <c r="D42" s="17"/>
      <c r="E42" s="17"/>
      <c r="F42" s="453"/>
      <c r="G42" s="17"/>
      <c r="H42" s="17"/>
      <c r="I42" s="17"/>
      <c r="J42" s="25"/>
      <c r="K42" s="25"/>
      <c r="L42" s="133" t="str">
        <f ca="1">Horarios!Q37</f>
        <v>Países Bajos</v>
      </c>
      <c r="M42" s="469">
        <f ca="1">ADMIN!$D$5-SUM(N42:T42)</f>
        <v>9</v>
      </c>
      <c r="N42" s="469">
        <f ca="1">IFERROR(COUNTIF(ADMIN!$S$130:INDEX(ADMIN!$S$130:$KI$161,32,ADMIN!$D$5*3-1),Stats!$L42)-SUM(O42:T42),0)</f>
        <v>22</v>
      </c>
      <c r="O42" s="469">
        <f ca="1">COUNTIF(ADMIN!$S$182:INDEX(ADMIN!$S$182:$KI$197,16,ADMIN!$D$5*3-1),Stats!$L42)-SUM(P42:T42)</f>
        <v>0</v>
      </c>
      <c r="P42" s="469">
        <f ca="1">COUNTIF(ADMIN!$S$210:INDEX(ADMIN!$S$210:$KI$217,8,ADMIN!$D$5*3-1),Stats!$L42)-SUM(Q42:T42)</f>
        <v>16</v>
      </c>
      <c r="Q42" s="469">
        <f ca="1">COUNTIF(ADMIN!$S$226:INDEX(ADMIN!$S$226:$KI$229,4,ADMIN!$D$5*3-1),Stats!$L42)-SUM(R42:T42)</f>
        <v>1</v>
      </c>
      <c r="R42" s="469">
        <f ca="1">IFERROR(COUNTIF(ADMIN!$S$252:INDEX(ADMIN!$S$252:$KI$252,1,ADMIN!$D$5*3-1),Stats!$L42),0)</f>
        <v>1</v>
      </c>
      <c r="S42" s="469">
        <f ca="1">IFERROR(COUNTIF(ADMIN!$S$251:INDEX(ADMIN!$S$251:$KI$251,1,ADMIN!$D$5*3-1),Stats!$L42),0)</f>
        <v>1</v>
      </c>
      <c r="T42" s="470">
        <f ca="1">IFERROR(COUNTIF(ADMIN!$S$250:INDEX(ADMIN!$S$250:$KI$250,1,ADMIN!$D$5*3-1),Stats!$L42),0)</f>
        <v>0</v>
      </c>
      <c r="U42" s="25"/>
      <c r="V42" s="11">
        <f t="shared" ca="1" si="0"/>
        <v>50</v>
      </c>
      <c r="W42" s="11">
        <f ca="1"/>
        <v>1</v>
      </c>
      <c r="X42" s="11" t="str">
        <f ca="1"/>
        <v>X|2-2</v>
      </c>
      <c r="Y42" s="11" t="str">
        <f ca="1"/>
        <v>X|2-2</v>
      </c>
      <c r="Z42" s="11">
        <f ca="1"/>
        <v>1</v>
      </c>
      <c r="AA42" s="11">
        <f ca="1"/>
        <v>0</v>
      </c>
      <c r="AB42" s="11">
        <f ca="1"/>
        <v>0</v>
      </c>
      <c r="AC42" s="11" t="str">
        <f ca="1"/>
        <v>X|2-2</v>
      </c>
      <c r="AD42" s="11">
        <f ca="1"/>
        <v>1</v>
      </c>
      <c r="AE42" s="11">
        <f ca="1"/>
        <v>0</v>
      </c>
      <c r="AF42" s="11"/>
      <c r="AG42" s="11"/>
      <c r="AH42" s="11" t="str">
        <f ca="1"/>
        <v>X</v>
      </c>
      <c r="AI42" s="11" t="str">
        <f ca="1"/>
        <v>X|2-2</v>
      </c>
      <c r="AJ42" s="11" t="str">
        <f ca="1"/>
        <v>X|2-2</v>
      </c>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36</v>
      </c>
      <c r="C43" s="17"/>
      <c r="D43" s="17"/>
      <c r="E43" s="17"/>
      <c r="F43" s="453"/>
      <c r="G43" s="17"/>
      <c r="H43" s="17"/>
      <c r="I43" s="17"/>
      <c r="J43" s="25"/>
      <c r="K43" s="25"/>
      <c r="L43" s="132" t="str">
        <f ca="1">Horarios!Q38</f>
        <v>Panamá</v>
      </c>
      <c r="M43" s="471">
        <f ca="1">ADMIN!$D$5-SUM(N43:T43)</f>
        <v>46</v>
      </c>
      <c r="N43" s="471">
        <f ca="1">IFERROR(COUNTIF(ADMIN!$S$130:INDEX(ADMIN!$S$130:$KI$161,32,ADMIN!$D$5*3-1),Stats!$L43)-SUM(O43:T43),0)</f>
        <v>4</v>
      </c>
      <c r="O43" s="471">
        <f ca="1">COUNTIF(ADMIN!$S$182:INDEX(ADMIN!$S$182:$KI$197,16,ADMIN!$D$5*3-1),Stats!$L43)-SUM(P43:T43)</f>
        <v>0</v>
      </c>
      <c r="P43" s="471">
        <f ca="1">COUNTIF(ADMIN!$S$210:INDEX(ADMIN!$S$210:$KI$217,8,ADMIN!$D$5*3-1),Stats!$L43)-SUM(Q43:T43)</f>
        <v>0</v>
      </c>
      <c r="Q43" s="471">
        <f ca="1">COUNTIF(ADMIN!$S$226:INDEX(ADMIN!$S$226:$KI$229,4,ADMIN!$D$5*3-1),Stats!$L43)-SUM(R43:T43)</f>
        <v>0</v>
      </c>
      <c r="R43" s="471">
        <f ca="1">IFERROR(COUNTIF(ADMIN!$S$252:INDEX(ADMIN!$S$252:$KI$252,1,ADMIN!$D$5*3-1),Stats!$L43),0)</f>
        <v>0</v>
      </c>
      <c r="S43" s="471">
        <f ca="1">IFERROR(COUNTIF(ADMIN!$S$251:INDEX(ADMIN!$S$251:$KI$251,1,ADMIN!$D$5*3-1),Stats!$L43),0)</f>
        <v>0</v>
      </c>
      <c r="T43" s="472">
        <f ca="1">IFERROR(COUNTIF(ADMIN!$S$250:INDEX(ADMIN!$S$250:$KI$250,1,ADMIN!$D$5*3-1),Stats!$L43),0)</f>
        <v>0</v>
      </c>
      <c r="U43" s="25"/>
      <c r="V43" s="11">
        <f t="shared" ca="1" si="0"/>
        <v>50</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34</v>
      </c>
      <c r="C44" s="17"/>
      <c r="D44" s="453"/>
      <c r="E44" s="453"/>
      <c r="F44" s="453"/>
      <c r="G44" s="17"/>
      <c r="H44" s="17"/>
      <c r="I44" s="17"/>
      <c r="J44" s="25"/>
      <c r="K44" s="25"/>
      <c r="L44" s="133" t="str">
        <f ca="1">Horarios!Q39</f>
        <v>Paraguay</v>
      </c>
      <c r="M44" s="469">
        <f ca="1">ADMIN!$D$5-SUM(N44:T44)</f>
        <v>26</v>
      </c>
      <c r="N44" s="469">
        <f ca="1">IFERROR(COUNTIF(ADMIN!$S$130:INDEX(ADMIN!$S$130:$KI$161,32,ADMIN!$D$5*3-1),Stats!$L44)-SUM(O44:T44),0)</f>
        <v>17</v>
      </c>
      <c r="O44" s="469">
        <f ca="1">COUNTIF(ADMIN!$S$182:INDEX(ADMIN!$S$182:$KI$197,16,ADMIN!$D$5*3-1),Stats!$L44)-SUM(P44:T44)</f>
        <v>6</v>
      </c>
      <c r="P44" s="469">
        <f ca="1">COUNTIF(ADMIN!$S$210:INDEX(ADMIN!$S$210:$KI$217,8,ADMIN!$D$5*3-1),Stats!$L44)-SUM(Q44:T44)</f>
        <v>1</v>
      </c>
      <c r="Q44" s="469">
        <f ca="1">COUNTIF(ADMIN!$S$226:INDEX(ADMIN!$S$226:$KI$229,4,ADMIN!$D$5*3-1),Stats!$L44)-SUM(R44:T44)</f>
        <v>0</v>
      </c>
      <c r="R44" s="469">
        <f ca="1">IFERROR(COUNTIF(ADMIN!$S$252:INDEX(ADMIN!$S$252:$KI$252,1,ADMIN!$D$5*3-1),Stats!$L44),0)</f>
        <v>0</v>
      </c>
      <c r="S44" s="469">
        <f ca="1">IFERROR(COUNTIF(ADMIN!$S$251:INDEX(ADMIN!$S$251:$KI$251,1,ADMIN!$D$5*3-1),Stats!$L44),0)</f>
        <v>0</v>
      </c>
      <c r="T44" s="470">
        <f ca="1">IFERROR(COUNTIF(ADMIN!$S$250:INDEX(ADMIN!$S$250:$KI$250,1,ADMIN!$D$5*3-1),Stats!$L44),0)</f>
        <v>0</v>
      </c>
      <c r="U44" s="25"/>
      <c r="V44" s="11">
        <f t="shared" ca="1" si="0"/>
        <v>50</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123</v>
      </c>
      <c r="C45" s="17"/>
      <c r="D45" s="453"/>
      <c r="E45" s="453" t="str">
        <f ca="1">IF(Home!E41&lt;Home!E42,"",IF(Home!E41&gt;=Home!E42,Idiomas!D511&amp;" "&amp;SUM(WORLDCUP!$BJ$6:$BJ$53,WORLDCUP!$AC$101:$AD$147)&amp;" "&amp;Idiomas!D512,""))</f>
        <v>Se han marcado un total de 96 goles en el Mundial de Clubes sin contar tandas de penalti</v>
      </c>
      <c r="F45" s="453"/>
      <c r="G45" s="17"/>
      <c r="H45" s="17"/>
      <c r="I45" s="17"/>
      <c r="J45" s="25"/>
      <c r="K45" s="25"/>
      <c r="L45" s="132" t="str">
        <f ca="1">Horarios!Q40</f>
        <v>Portugal</v>
      </c>
      <c r="M45" s="471">
        <f ca="1">ADMIN!$D$5-SUM(N45:T45)</f>
        <v>9</v>
      </c>
      <c r="N45" s="471">
        <f ca="1">IFERROR(COUNTIF(ADMIN!$S$130:INDEX(ADMIN!$S$130:$KI$161,32,ADMIN!$D$5*3-1),Stats!$L45)-SUM(O45:T45),0)</f>
        <v>1</v>
      </c>
      <c r="O45" s="471">
        <f ca="1">COUNTIF(ADMIN!$S$182:INDEX(ADMIN!$S$182:$KI$197,16,ADMIN!$D$5*3-1),Stats!$L45)-SUM(P45:T45)</f>
        <v>4</v>
      </c>
      <c r="P45" s="471">
        <f ca="1">COUNTIF(ADMIN!$S$210:INDEX(ADMIN!$S$210:$KI$217,8,ADMIN!$D$5*3-1),Stats!$L45)-SUM(Q45:T45)</f>
        <v>12</v>
      </c>
      <c r="Q45" s="471">
        <f ca="1">COUNTIF(ADMIN!$S$226:INDEX(ADMIN!$S$226:$KI$229,4,ADMIN!$D$5*3-1),Stats!$L45)-SUM(R45:T45)</f>
        <v>0</v>
      </c>
      <c r="R45" s="471">
        <f ca="1">IFERROR(COUNTIF(ADMIN!$S$252:INDEX(ADMIN!$S$252:$KI$252,1,ADMIN!$D$5*3-1),Stats!$L45),0)</f>
        <v>2</v>
      </c>
      <c r="S45" s="471">
        <f ca="1">IFERROR(COUNTIF(ADMIN!$S$251:INDEX(ADMIN!$S$251:$KI$251,1,ADMIN!$D$5*3-1),Stats!$L45),0)</f>
        <v>13</v>
      </c>
      <c r="T45" s="472">
        <f ca="1">IFERROR(COUNTIF(ADMIN!$S$250:INDEX(ADMIN!$S$250:$KI$250,1,ADMIN!$D$5*3-1),Stats!$L45),0)</f>
        <v>9</v>
      </c>
      <c r="U45" s="25"/>
      <c r="V45" s="11">
        <f t="shared" ca="1" si="0"/>
        <v>50</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03">
        <f ca="1">SUM(B22:B45)</f>
        <v>873</v>
      </c>
      <c r="C46" s="17"/>
      <c r="D46" s="453"/>
      <c r="E46" s="453"/>
      <c r="F46" s="453"/>
      <c r="G46" s="17"/>
      <c r="H46" s="17"/>
      <c r="I46" s="17"/>
      <c r="J46" s="25"/>
      <c r="K46" s="25"/>
      <c r="L46" s="133" t="str">
        <f ca="1">Horarios!Q41</f>
        <v>RD Congo</v>
      </c>
      <c r="M46" s="469">
        <f ca="1">ADMIN!$D$5-SUM(N46:T46)</f>
        <v>39</v>
      </c>
      <c r="N46" s="469">
        <f ca="1">IFERROR(COUNTIF(ADMIN!$S$130:INDEX(ADMIN!$S$130:$KI$161,32,ADMIN!$D$5*3-1),Stats!$L46)-SUM(O46:T46),0)</f>
        <v>11</v>
      </c>
      <c r="O46" s="469">
        <f ca="1">COUNTIF(ADMIN!$S$182:INDEX(ADMIN!$S$182:$KI$197,16,ADMIN!$D$5*3-1),Stats!$L46)-SUM(P46:T46)</f>
        <v>0</v>
      </c>
      <c r="P46" s="469">
        <f ca="1">COUNTIF(ADMIN!$S$210:INDEX(ADMIN!$S$210:$KI$217,8,ADMIN!$D$5*3-1),Stats!$L46)-SUM(Q46:T46)</f>
        <v>0</v>
      </c>
      <c r="Q46" s="469">
        <f ca="1">COUNTIF(ADMIN!$S$226:INDEX(ADMIN!$S$226:$KI$229,4,ADMIN!$D$5*3-1),Stats!$L46)-SUM(R46:T46)</f>
        <v>0</v>
      </c>
      <c r="R46" s="469">
        <f ca="1">IFERROR(COUNTIF(ADMIN!$S$252:INDEX(ADMIN!$S$252:$KI$252,1,ADMIN!$D$5*3-1),Stats!$L46),0)</f>
        <v>0</v>
      </c>
      <c r="S46" s="469">
        <f ca="1">IFERROR(COUNTIF(ADMIN!$S$251:INDEX(ADMIN!$S$251:$KI$251,1,ADMIN!$D$5*3-1),Stats!$L46),0)</f>
        <v>0</v>
      </c>
      <c r="T46" s="470">
        <f ca="1">IFERROR(COUNTIF(ADMIN!$S$250:INDEX(ADMIN!$S$250:$KI$250,1,ADMIN!$D$5*3-1),Stats!$L46),0)</f>
        <v>0</v>
      </c>
      <c r="U46" s="25"/>
      <c r="V46" s="11">
        <f t="shared" ca="1" si="0"/>
        <v>50</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43650</v>
      </c>
      <c r="C47" s="17"/>
      <c r="D47" s="453"/>
      <c r="E47" s="453"/>
      <c r="F47" s="453"/>
      <c r="G47" s="17"/>
      <c r="H47" s="17"/>
      <c r="I47" s="17"/>
      <c r="J47" s="25"/>
      <c r="K47" s="25"/>
      <c r="L47" s="132" t="str">
        <f ca="1">Horarios!Q42</f>
        <v>República Checa</v>
      </c>
      <c r="M47" s="471">
        <f ca="1">ADMIN!$D$5-SUM(N47:T47)</f>
        <v>16</v>
      </c>
      <c r="N47" s="471">
        <f ca="1">IFERROR(COUNTIF(ADMIN!$S$130:INDEX(ADMIN!$S$130:$KI$161,32,ADMIN!$D$5*3-1),Stats!$L47)-SUM(O47:T47),0)</f>
        <v>25</v>
      </c>
      <c r="O47" s="471">
        <f ca="1">COUNTIF(ADMIN!$S$182:INDEX(ADMIN!$S$182:$KI$197,16,ADMIN!$D$5*3-1),Stats!$L47)-SUM(P47:T47)</f>
        <v>9</v>
      </c>
      <c r="P47" s="471">
        <f ca="1">COUNTIF(ADMIN!$S$210:INDEX(ADMIN!$S$210:$KI$217,8,ADMIN!$D$5*3-1),Stats!$L47)-SUM(Q47:T47)</f>
        <v>0</v>
      </c>
      <c r="Q47" s="471">
        <f ca="1">COUNTIF(ADMIN!$S$226:INDEX(ADMIN!$S$226:$KI$229,4,ADMIN!$D$5*3-1),Stats!$L47)-SUM(R47:T47)</f>
        <v>0</v>
      </c>
      <c r="R47" s="471">
        <f ca="1">IFERROR(COUNTIF(ADMIN!$S$252:INDEX(ADMIN!$S$252:$KI$252,1,ADMIN!$D$5*3-1),Stats!$L47),0)</f>
        <v>0</v>
      </c>
      <c r="S47" s="471">
        <f ca="1">IFERROR(COUNTIF(ADMIN!$S$251:INDEX(ADMIN!$S$251:$KI$251,1,ADMIN!$D$5*3-1),Stats!$L47),0)</f>
        <v>0</v>
      </c>
      <c r="T47" s="472">
        <f ca="1">IFERROR(COUNTIF(ADMIN!$S$250:INDEX(ADMIN!$S$250:$KI$250,1,ADMIN!$D$5*3-1),Stats!$L47),0)</f>
        <v>0</v>
      </c>
      <c r="U47" s="25"/>
      <c r="V47" s="11">
        <f t="shared" ca="1" si="0"/>
        <v>50</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3" t="str">
        <f ca="1">Horarios!Q43</f>
        <v>Senegal</v>
      </c>
      <c r="M48" s="469">
        <f ca="1">ADMIN!$D$5-SUM(N48:T48)</f>
        <v>13</v>
      </c>
      <c r="N48" s="469">
        <f ca="1">IFERROR(COUNTIF(ADMIN!$S$130:INDEX(ADMIN!$S$130:$KI$161,32,ADMIN!$D$5*3-1),Stats!$L48)-SUM(O48:T48),0)</f>
        <v>29</v>
      </c>
      <c r="O48" s="469">
        <f ca="1">COUNTIF(ADMIN!$S$182:INDEX(ADMIN!$S$182:$KI$197,16,ADMIN!$D$5*3-1),Stats!$L48)-SUM(P48:T48)</f>
        <v>7</v>
      </c>
      <c r="P48" s="469">
        <f ca="1">COUNTIF(ADMIN!$S$210:INDEX(ADMIN!$S$210:$KI$217,8,ADMIN!$D$5*3-1),Stats!$L48)-SUM(Q48:T48)</f>
        <v>1</v>
      </c>
      <c r="Q48" s="469">
        <f ca="1">COUNTIF(ADMIN!$S$226:INDEX(ADMIN!$S$226:$KI$229,4,ADMIN!$D$5*3-1),Stats!$L48)-SUM(R48:T48)</f>
        <v>0</v>
      </c>
      <c r="R48" s="469">
        <f ca="1">IFERROR(COUNTIF(ADMIN!$S$252:INDEX(ADMIN!$S$252:$KI$252,1,ADMIN!$D$5*3-1),Stats!$L48),0)</f>
        <v>0</v>
      </c>
      <c r="S48" s="469">
        <f ca="1">IFERROR(COUNTIF(ADMIN!$S$251:INDEX(ADMIN!$S$251:$KI$251,1,ADMIN!$D$5*3-1),Stats!$L48),0)</f>
        <v>0</v>
      </c>
      <c r="T48" s="470">
        <f ca="1">IFERROR(COUNTIF(ADMIN!$S$250:INDEX(ADMIN!$S$250:$KI$250,1,ADMIN!$D$5*3-1),Stats!$L48),0)</f>
        <v>0</v>
      </c>
      <c r="U48" s="25"/>
      <c r="V48" s="11">
        <f t="shared" ca="1" si="0"/>
        <v>50</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2" t="str">
        <f ca="1">Horarios!Q44</f>
        <v>Sudáfrica</v>
      </c>
      <c r="M49" s="471">
        <f ca="1">ADMIN!$D$5-SUM(N49:T49)</f>
        <v>46</v>
      </c>
      <c r="N49" s="471">
        <f ca="1">IFERROR(COUNTIF(ADMIN!$S$130:INDEX(ADMIN!$S$130:$KI$161,32,ADMIN!$D$5*3-1),Stats!$L49)-SUM(O49:T49),0)</f>
        <v>4</v>
      </c>
      <c r="O49" s="471">
        <f ca="1">COUNTIF(ADMIN!$S$182:INDEX(ADMIN!$S$182:$KI$197,16,ADMIN!$D$5*3-1),Stats!$L49)-SUM(P49:T49)</f>
        <v>0</v>
      </c>
      <c r="P49" s="471">
        <f ca="1">COUNTIF(ADMIN!$S$210:INDEX(ADMIN!$S$210:$KI$217,8,ADMIN!$D$5*3-1),Stats!$L49)-SUM(Q49:T49)</f>
        <v>0</v>
      </c>
      <c r="Q49" s="471">
        <f ca="1">COUNTIF(ADMIN!$S$226:INDEX(ADMIN!$S$226:$KI$229,4,ADMIN!$D$5*3-1),Stats!$L49)-SUM(R49:T49)</f>
        <v>0</v>
      </c>
      <c r="R49" s="471">
        <f ca="1">IFERROR(COUNTIF(ADMIN!$S$252:INDEX(ADMIN!$S$252:$KI$252,1,ADMIN!$D$5*3-1),Stats!$L49),0)</f>
        <v>0</v>
      </c>
      <c r="S49" s="471">
        <f ca="1">IFERROR(COUNTIF(ADMIN!$S$251:INDEX(ADMIN!$S$251:$KI$251,1,ADMIN!$D$5*3-1),Stats!$L49),0)</f>
        <v>0</v>
      </c>
      <c r="T49" s="472">
        <f ca="1">IFERROR(COUNTIF(ADMIN!$S$250:INDEX(ADMIN!$S$250:$KI$250,1,ADMIN!$D$5*3-1),Stats!$L49),0)</f>
        <v>0</v>
      </c>
      <c r="U49" s="25"/>
      <c r="V49" s="11">
        <f t="shared" ca="1" si="0"/>
        <v>50</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3" t="str">
        <f ca="1">Horarios!Q45</f>
        <v>Suecia</v>
      </c>
      <c r="M50" s="469">
        <f ca="1">ADMIN!$D$5-SUM(N50:T50)</f>
        <v>25</v>
      </c>
      <c r="N50" s="469">
        <f ca="1">IFERROR(COUNTIF(ADMIN!$S$130:INDEX(ADMIN!$S$130:$KI$161,32,ADMIN!$D$5*3-1),Stats!$L50)-SUM(O50:T50),0)</f>
        <v>24</v>
      </c>
      <c r="O50" s="469">
        <f ca="1">COUNTIF(ADMIN!$S$182:INDEX(ADMIN!$S$182:$KI$197,16,ADMIN!$D$5*3-1),Stats!$L50)-SUM(P50:T50)</f>
        <v>0</v>
      </c>
      <c r="P50" s="469">
        <f ca="1">COUNTIF(ADMIN!$S$210:INDEX(ADMIN!$S$210:$KI$217,8,ADMIN!$D$5*3-1),Stats!$L50)-SUM(Q50:T50)</f>
        <v>1</v>
      </c>
      <c r="Q50" s="469">
        <f ca="1">COUNTIF(ADMIN!$S$226:INDEX(ADMIN!$S$226:$KI$229,4,ADMIN!$D$5*3-1),Stats!$L50)-SUM(R50:T50)</f>
        <v>0</v>
      </c>
      <c r="R50" s="469">
        <f ca="1">IFERROR(COUNTIF(ADMIN!$S$252:INDEX(ADMIN!$S$252:$KI$252,1,ADMIN!$D$5*3-1),Stats!$L50),0)</f>
        <v>0</v>
      </c>
      <c r="S50" s="469">
        <f ca="1">IFERROR(COUNTIF(ADMIN!$S$251:INDEX(ADMIN!$S$251:$KI$251,1,ADMIN!$D$5*3-1),Stats!$L50),0)</f>
        <v>0</v>
      </c>
      <c r="T50" s="470">
        <f ca="1">IFERROR(COUNTIF(ADMIN!$S$250:INDEX(ADMIN!$S$250:$KI$250,1,ADMIN!$D$5*3-1),Stats!$L50),0)</f>
        <v>0</v>
      </c>
      <c r="U50" s="25"/>
      <c r="V50" s="11">
        <f t="shared" ca="1" si="0"/>
        <v>50</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2" t="str">
        <f ca="1">Horarios!Q46</f>
        <v>Suiza</v>
      </c>
      <c r="M51" s="471">
        <f ca="1">ADMIN!$D$5-SUM(N51:T51)</f>
        <v>9</v>
      </c>
      <c r="N51" s="471">
        <f ca="1">IFERROR(COUNTIF(ADMIN!$S$130:INDEX(ADMIN!$S$130:$KI$161,32,ADMIN!$D$5*3-1),Stats!$L51)-SUM(O51:T51),0)</f>
        <v>5</v>
      </c>
      <c r="O51" s="471">
        <f ca="1">COUNTIF(ADMIN!$S$182:INDEX(ADMIN!$S$182:$KI$197,16,ADMIN!$D$5*3-1),Stats!$L51)-SUM(P51:T51)</f>
        <v>35</v>
      </c>
      <c r="P51" s="471">
        <f ca="1">COUNTIF(ADMIN!$S$210:INDEX(ADMIN!$S$210:$KI$217,8,ADMIN!$D$5*3-1),Stats!$L51)-SUM(Q51:T51)</f>
        <v>1</v>
      </c>
      <c r="Q51" s="471">
        <f ca="1">COUNTIF(ADMIN!$S$226:INDEX(ADMIN!$S$226:$KI$229,4,ADMIN!$D$5*3-1),Stats!$L51)-SUM(R51:T51)</f>
        <v>0</v>
      </c>
      <c r="R51" s="471">
        <f ca="1">IFERROR(COUNTIF(ADMIN!$S$252:INDEX(ADMIN!$S$252:$KI$252,1,ADMIN!$D$5*3-1),Stats!$L51),0)</f>
        <v>0</v>
      </c>
      <c r="S51" s="471">
        <f ca="1">IFERROR(COUNTIF(ADMIN!$S$251:INDEX(ADMIN!$S$251:$KI$251,1,ADMIN!$D$5*3-1),Stats!$L51),0)</f>
        <v>0</v>
      </c>
      <c r="T51" s="472">
        <f ca="1">IFERROR(COUNTIF(ADMIN!$S$250:INDEX(ADMIN!$S$250:$KI$250,1,ADMIN!$D$5*3-1),Stats!$L51),0)</f>
        <v>0</v>
      </c>
      <c r="U51" s="25"/>
      <c r="V51" s="11">
        <f t="shared" ca="1" si="0"/>
        <v>50</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3" t="str">
        <f ca="1">Horarios!Q47</f>
        <v>Túnez</v>
      </c>
      <c r="M52" s="469">
        <f ca="1">ADMIN!$D$5-SUM(N52:T52)</f>
        <v>48</v>
      </c>
      <c r="N52" s="469">
        <f ca="1">IFERROR(COUNTIF(ADMIN!$S$130:INDEX(ADMIN!$S$130:$KI$161,32,ADMIN!$D$5*3-1),Stats!$L52)-SUM(O52:T52),0)</f>
        <v>2</v>
      </c>
      <c r="O52" s="469">
        <f ca="1">COUNTIF(ADMIN!$S$182:INDEX(ADMIN!$S$182:$KI$197,16,ADMIN!$D$5*3-1),Stats!$L52)-SUM(P52:T52)</f>
        <v>0</v>
      </c>
      <c r="P52" s="469">
        <f ca="1">COUNTIF(ADMIN!$S$210:INDEX(ADMIN!$S$210:$KI$217,8,ADMIN!$D$5*3-1),Stats!$L52)-SUM(Q52:T52)</f>
        <v>0</v>
      </c>
      <c r="Q52" s="469">
        <f ca="1">COUNTIF(ADMIN!$S$226:INDEX(ADMIN!$S$226:$KI$229,4,ADMIN!$D$5*3-1),Stats!$L52)-SUM(R52:T52)</f>
        <v>0</v>
      </c>
      <c r="R52" s="469">
        <f ca="1">IFERROR(COUNTIF(ADMIN!$S$252:INDEX(ADMIN!$S$252:$KI$252,1,ADMIN!$D$5*3-1),Stats!$L52),0)</f>
        <v>0</v>
      </c>
      <c r="S52" s="469">
        <f ca="1">IFERROR(COUNTIF(ADMIN!$S$251:INDEX(ADMIN!$S$251:$KI$251,1,ADMIN!$D$5*3-1),Stats!$L52),0)</f>
        <v>0</v>
      </c>
      <c r="T52" s="470">
        <f ca="1">IFERROR(COUNTIF(ADMIN!$S$250:INDEX(ADMIN!$S$250:$KI$250,1,ADMIN!$D$5*3-1),Stats!$L52),0)</f>
        <v>0</v>
      </c>
      <c r="U52" s="25"/>
      <c r="V52" s="11">
        <f t="shared" ca="1" si="0"/>
        <v>50</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2" t="str">
        <f ca="1">Horarios!Q48</f>
        <v>Turquía</v>
      </c>
      <c r="M53" s="471">
        <f ca="1">ADMIN!$D$5-SUM(N53:T53)</f>
        <v>9</v>
      </c>
      <c r="N53" s="471">
        <f ca="1">IFERROR(COUNTIF(ADMIN!$S$130:INDEX(ADMIN!$S$130:$KI$161,32,ADMIN!$D$5*3-1),Stats!$L53)-SUM(O53:T53),0)</f>
        <v>4</v>
      </c>
      <c r="O53" s="471">
        <f ca="1">COUNTIF(ADMIN!$S$182:INDEX(ADMIN!$S$182:$KI$197,16,ADMIN!$D$5*3-1),Stats!$L53)-SUM(P53:T53)</f>
        <v>20</v>
      </c>
      <c r="P53" s="471">
        <f ca="1">COUNTIF(ADMIN!$S$210:INDEX(ADMIN!$S$210:$KI$217,8,ADMIN!$D$5*3-1),Stats!$L53)-SUM(Q53:T53)</f>
        <v>16</v>
      </c>
      <c r="Q53" s="471">
        <f ca="1">COUNTIF(ADMIN!$S$226:INDEX(ADMIN!$S$226:$KI$229,4,ADMIN!$D$5*3-1),Stats!$L53)-SUM(R53:T53)</f>
        <v>1</v>
      </c>
      <c r="R53" s="471">
        <f ca="1">IFERROR(COUNTIF(ADMIN!$S$252:INDEX(ADMIN!$S$252:$KI$252,1,ADMIN!$D$5*3-1),Stats!$L53),0)</f>
        <v>0</v>
      </c>
      <c r="S53" s="471">
        <f ca="1">IFERROR(COUNTIF(ADMIN!$S$251:INDEX(ADMIN!$S$251:$KI$251,1,ADMIN!$D$5*3-1),Stats!$L53),0)</f>
        <v>0</v>
      </c>
      <c r="T53" s="472">
        <f ca="1">IFERROR(COUNTIF(ADMIN!$S$250:INDEX(ADMIN!$S$250:$KI$250,1,ADMIN!$D$5*3-1),Stats!$L53),0)</f>
        <v>0</v>
      </c>
      <c r="U53" s="25"/>
      <c r="V53" s="11">
        <f t="shared" ca="1" si="0"/>
        <v>50</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3" t="str">
        <f ca="1">Horarios!Q49</f>
        <v>Uruguay</v>
      </c>
      <c r="M54" s="469">
        <f ca="1">ADMIN!$D$5-SUM(N54:T54)</f>
        <v>9</v>
      </c>
      <c r="N54" s="469">
        <f ca="1">IFERROR(COUNTIF(ADMIN!$S$130:INDEX(ADMIN!$S$130:$KI$161,32,ADMIN!$D$5*3-1),Stats!$L54)-SUM(O54:T54),0)</f>
        <v>36</v>
      </c>
      <c r="O54" s="469">
        <f ca="1">COUNTIF(ADMIN!$S$182:INDEX(ADMIN!$S$182:$KI$197,16,ADMIN!$D$5*3-1),Stats!$L54)-SUM(P54:T54)</f>
        <v>2</v>
      </c>
      <c r="P54" s="469">
        <f ca="1">COUNTIF(ADMIN!$S$210:INDEX(ADMIN!$S$210:$KI$217,8,ADMIN!$D$5*3-1),Stats!$L54)-SUM(Q54:T54)</f>
        <v>2</v>
      </c>
      <c r="Q54" s="469">
        <f ca="1">COUNTIF(ADMIN!$S$226:INDEX(ADMIN!$S$226:$KI$229,4,ADMIN!$D$5*3-1),Stats!$L54)-SUM(R54:T54)</f>
        <v>0</v>
      </c>
      <c r="R54" s="469">
        <f ca="1">IFERROR(COUNTIF(ADMIN!$S$252:INDEX(ADMIN!$S$252:$KI$252,1,ADMIN!$D$5*3-1),Stats!$L54),0)</f>
        <v>1</v>
      </c>
      <c r="S54" s="469">
        <f ca="1">IFERROR(COUNTIF(ADMIN!$S$251:INDEX(ADMIN!$S$251:$KI$251,1,ADMIN!$D$5*3-1),Stats!$L54),0)</f>
        <v>0</v>
      </c>
      <c r="T54" s="470">
        <f ca="1">IFERROR(COUNTIF(ADMIN!$S$250:INDEX(ADMIN!$S$250:$KI$250,1,ADMIN!$D$5*3-1),Stats!$L54),0)</f>
        <v>0</v>
      </c>
      <c r="U54" s="25"/>
      <c r="V54" s="11">
        <f t="shared" ca="1" si="0"/>
        <v>50</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35" t="str">
        <f ca="1">Horarios!Q50</f>
        <v>Uzbekistán</v>
      </c>
      <c r="M55" s="473">
        <f ca="1">ADMIN!$D$5-SUM(N55:T55)</f>
        <v>46</v>
      </c>
      <c r="N55" s="473">
        <f ca="1">IFERROR(COUNTIF(ADMIN!$S$130:INDEX(ADMIN!$S$130:$KI$161,32,ADMIN!$D$5*3-1),Stats!$L55)-SUM(O55:T55),0)</f>
        <v>4</v>
      </c>
      <c r="O55" s="473">
        <f ca="1">COUNTIF(ADMIN!$S$182:INDEX(ADMIN!$S$182:$KI$197,16,ADMIN!$D$5*3-1),Stats!$L55)-SUM(P55:T55)</f>
        <v>0</v>
      </c>
      <c r="P55" s="473">
        <f ca="1">COUNTIF(ADMIN!$S$210:INDEX(ADMIN!$S$210:$KI$217,8,ADMIN!$D$5*3-1),Stats!$L55)-SUM(Q55:T55)</f>
        <v>0</v>
      </c>
      <c r="Q55" s="473">
        <f ca="1">COUNTIF(ADMIN!$S$226:INDEX(ADMIN!$S$226:$KI$229,4,ADMIN!$D$5*3-1),Stats!$L55)-SUM(R55:T55)</f>
        <v>0</v>
      </c>
      <c r="R55" s="473">
        <f ca="1">IFERROR(COUNTIF(ADMIN!$S$252:INDEX(ADMIN!$S$252:$KI$252,1,ADMIN!$D$5*3-1),Stats!$L55),0)</f>
        <v>0</v>
      </c>
      <c r="S55" s="473">
        <f ca="1">IFERROR(COUNTIF(ADMIN!$S$251:INDEX(ADMIN!$S$251:$KI$251,1,ADMIN!$D$5*3-1),Stats!$L55),0)</f>
        <v>0</v>
      </c>
      <c r="T55" s="474">
        <f ca="1">IFERROR(COUNTIF(ADMIN!$S$250:INDEX(ADMIN!$S$250:$KI$250,1,ADMIN!$D$5*3-1),Stats!$L55),0)</f>
        <v>0</v>
      </c>
      <c r="U55" s="25"/>
      <c r="V55" s="11">
        <f t="shared" ca="1" si="0"/>
        <v>50</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pA2WEVQcuSZVZJTS0ZJy+99aVR1Xl5awynrJpYahMp0O0279I0h3PbadUDse/ynjjA19p4Dcz/749W2S4pCMXw==" saltValue="FXLAFKtMkepkFIwKbshugg==" spinCount="100000" sheet="1" objects="1" scenarios="1" formatColumns="0"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headerFooter>
    <oddFooter>&amp;L_x000D_&amp;1#&amp;"Aptos"&amp;8&amp;K000000 Clasificación: Interna</oddFooter>
  </headerFooter>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C15" sqref="C15"/>
      <extLst>
        <ext xmlns:xlsdti="http://schemas.microsoft.com/office/spreadsheetml/2023/showDataTypeIcons" uri="{77bfe23e-c014-4d31-8a63-9c772dbf06b6}">
          <xlsdti:showDataTypeIcons visible="0"/>
        </ext>
      </extLst>
    </sheetView>
  </sheetViews>
  <sheetFormatPr defaultColWidth="10.77734375" defaultRowHeight="14.4"/>
  <cols>
    <col min="1" max="1" width="6" customWidth="1"/>
    <col min="2" max="2" width="13.33203125" customWidth="1"/>
    <col min="3" max="3" width="32.77734375" customWidth="1"/>
    <col min="4" max="4" width="0.44140625" customWidth="1"/>
    <col min="6" max="6" width="0.44140625" customWidth="1"/>
    <col min="10" max="10" width="10.77734375" customWidth="1"/>
    <col min="11" max="11" width="3.44140625" customWidth="1"/>
    <col min="14" max="17" width="15.77734375" customWidth="1"/>
    <col min="18" max="18" width="17.44140625" customWidth="1"/>
    <col min="19" max="22" width="10.77734375" style="11"/>
    <col min="23" max="24" width="10.77734375" style="11" hidden="1" customWidth="1"/>
    <col min="25" max="25" width="10.77734375" style="11"/>
    <col min="26" max="28" width="10.777343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88"/>
      <c r="T2" s="688"/>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74"/>
      <c r="M3" s="675"/>
      <c r="N3" s="675"/>
      <c r="O3" s="675"/>
      <c r="P3" s="675"/>
      <c r="Q3" s="675"/>
      <c r="R3" s="675"/>
      <c r="S3" s="689"/>
      <c r="T3" s="690"/>
    </row>
    <row r="4" spans="1:20">
      <c r="A4" s="26"/>
      <c r="B4" s="861"/>
      <c r="C4" s="862"/>
      <c r="D4" s="862"/>
      <c r="E4" s="862"/>
      <c r="F4" s="862"/>
      <c r="G4" s="862"/>
      <c r="H4" s="862"/>
      <c r="I4" s="862"/>
      <c r="J4" s="863"/>
      <c r="K4" s="27"/>
      <c r="L4" s="676" t="str">
        <f>Idiomas!D86</f>
        <v>· Selecciona el idioma en el que quieras hacer la porra y la zona horaria</v>
      </c>
      <c r="M4" s="141"/>
      <c r="N4" s="141"/>
      <c r="O4" s="141"/>
      <c r="P4" s="141"/>
      <c r="Q4" s="141"/>
      <c r="R4" s="141"/>
      <c r="S4" s="691"/>
      <c r="T4" s="692"/>
    </row>
    <row r="5" spans="1:20">
      <c r="A5" s="26"/>
      <c r="B5" s="861"/>
      <c r="C5" s="862"/>
      <c r="D5" s="862"/>
      <c r="E5" s="862"/>
      <c r="F5" s="862"/>
      <c r="G5" s="862"/>
      <c r="H5" s="862"/>
      <c r="I5" s="862"/>
      <c r="J5" s="863"/>
      <c r="K5" s="27"/>
      <c r="L5" s="676" t="str">
        <f>Idiomas!D87</f>
        <v>· Escribe el nombre del grupo de la porra/quiniela</v>
      </c>
      <c r="M5" s="141"/>
      <c r="N5" s="141"/>
      <c r="O5" s="141"/>
      <c r="P5" s="141"/>
      <c r="Q5" s="141"/>
      <c r="R5" s="141"/>
      <c r="S5" s="691"/>
      <c r="T5" s="692"/>
    </row>
    <row r="6" spans="1:20">
      <c r="A6" s="26"/>
      <c r="B6" s="861"/>
      <c r="C6" s="862"/>
      <c r="D6" s="862"/>
      <c r="E6" s="862"/>
      <c r="F6" s="862"/>
      <c r="G6" s="862"/>
      <c r="H6" s="862"/>
      <c r="I6" s="862"/>
      <c r="J6" s="863"/>
      <c r="K6" s="27"/>
      <c r="L6" s="869" t="str">
        <f>HYPERLINK(Idiomas!D103,Idiomas!D88)</f>
        <v>· El archivo de participante lo puedes descargar desde aquí</v>
      </c>
      <c r="M6" s="870"/>
      <c r="N6" s="870"/>
      <c r="O6" s="870"/>
      <c r="P6" s="141"/>
      <c r="Q6" s="141"/>
      <c r="R6" s="141"/>
      <c r="S6" s="691"/>
      <c r="T6" s="692"/>
    </row>
    <row r="7" spans="1:20">
      <c r="A7" s="26"/>
      <c r="B7" s="861"/>
      <c r="C7" s="862"/>
      <c r="D7" s="862"/>
      <c r="E7" s="862"/>
      <c r="F7" s="862"/>
      <c r="G7" s="862"/>
      <c r="H7" s="862"/>
      <c r="I7" s="862"/>
      <c r="J7" s="863"/>
      <c r="K7" s="27"/>
      <c r="L7" s="677"/>
      <c r="M7" s="678"/>
      <c r="N7" s="678"/>
      <c r="O7" s="678"/>
      <c r="P7" s="678"/>
      <c r="Q7" s="678"/>
      <c r="R7" s="678"/>
      <c r="S7" s="693"/>
      <c r="T7" s="694"/>
    </row>
    <row r="8" spans="1:20">
      <c r="A8" s="26"/>
      <c r="B8" s="861"/>
      <c r="C8" s="862"/>
      <c r="D8" s="862"/>
      <c r="E8" s="862"/>
      <c r="F8" s="862"/>
      <c r="G8" s="862"/>
      <c r="H8" s="862"/>
      <c r="I8" s="862"/>
      <c r="J8" s="863"/>
      <c r="K8" s="27"/>
      <c r="L8" s="4"/>
      <c r="M8" s="4"/>
      <c r="N8" s="4"/>
      <c r="O8" s="4"/>
      <c r="P8" s="4"/>
      <c r="Q8" s="4"/>
      <c r="R8" s="4"/>
      <c r="S8" s="688"/>
      <c r="T8" s="688"/>
    </row>
    <row r="9" spans="1:20">
      <c r="A9" s="26"/>
      <c r="B9" s="861"/>
      <c r="C9" s="862"/>
      <c r="D9" s="862"/>
      <c r="E9" s="862"/>
      <c r="F9" s="862"/>
      <c r="G9" s="862"/>
      <c r="H9" s="862"/>
      <c r="I9" s="862"/>
      <c r="J9" s="863"/>
      <c r="K9" s="27"/>
      <c r="L9" s="36" t="str">
        <f>"ADMIN"&amp;" "&amp;Idiomas!D89</f>
        <v>ADMIN (Antes de empezar el mundial)</v>
      </c>
      <c r="M9" s="683"/>
      <c r="N9" s="4"/>
      <c r="O9" s="4"/>
      <c r="P9" s="4"/>
      <c r="Q9" s="4"/>
      <c r="R9" s="4"/>
      <c r="S9" s="688"/>
      <c r="T9" s="688"/>
    </row>
    <row r="10" spans="1:20">
      <c r="A10" s="26"/>
      <c r="B10" s="861"/>
      <c r="C10" s="862"/>
      <c r="D10" s="862"/>
      <c r="E10" s="862"/>
      <c r="F10" s="862"/>
      <c r="G10" s="862"/>
      <c r="H10" s="862"/>
      <c r="I10" s="862"/>
      <c r="J10" s="863"/>
      <c r="K10" s="27"/>
      <c r="L10" s="674"/>
      <c r="M10" s="675"/>
      <c r="N10" s="675"/>
      <c r="O10" s="675"/>
      <c r="P10" s="675"/>
      <c r="Q10" s="675"/>
      <c r="R10" s="675"/>
      <c r="S10" s="689"/>
      <c r="T10" s="690"/>
    </row>
    <row r="11" spans="1:20">
      <c r="A11" s="26"/>
      <c r="B11" s="861"/>
      <c r="C11" s="862"/>
      <c r="D11" s="862"/>
      <c r="E11" s="862"/>
      <c r="F11" s="862"/>
      <c r="G11" s="862"/>
      <c r="H11" s="862"/>
      <c r="I11" s="862"/>
      <c r="J11" s="863"/>
      <c r="K11" s="27"/>
      <c r="L11" s="676" t="str">
        <f>Idiomas!D91</f>
        <v>· Esta hoja sirve para administrar la porra/quiniela</v>
      </c>
      <c r="M11" s="141"/>
      <c r="N11" s="141"/>
      <c r="O11" s="141"/>
      <c r="P11" s="141"/>
      <c r="Q11" s="141"/>
      <c r="R11" s="141"/>
      <c r="S11" s="691"/>
      <c r="T11" s="692"/>
    </row>
    <row r="12" spans="1:20">
      <c r="A12" s="26"/>
      <c r="B12" s="864"/>
      <c r="C12" s="865"/>
      <c r="D12" s="865"/>
      <c r="E12" s="865"/>
      <c r="F12" s="865"/>
      <c r="G12" s="865"/>
      <c r="H12" s="865"/>
      <c r="I12" s="865"/>
      <c r="J12" s="866"/>
      <c r="K12" s="27"/>
      <c r="L12" s="676" t="str">
        <f>Idiomas!D92</f>
        <v>· Lo primero, establece la puntuación para cada criterio y comparte la puntuación con los participantes</v>
      </c>
      <c r="M12" s="141"/>
      <c r="N12" s="141"/>
      <c r="O12" s="141"/>
      <c r="P12" s="141"/>
      <c r="Q12" s="141"/>
      <c r="R12" s="682"/>
      <c r="S12" s="691"/>
      <c r="T12" s="692"/>
    </row>
    <row r="13" spans="1:20">
      <c r="A13" s="26"/>
      <c r="B13" s="31"/>
      <c r="C13" s="31"/>
      <c r="D13" s="31"/>
      <c r="E13" s="31"/>
      <c r="F13" s="31"/>
      <c r="G13" s="31"/>
      <c r="H13" s="31"/>
      <c r="I13" s="31"/>
      <c r="J13" s="31"/>
      <c r="K13" s="27"/>
      <c r="L13" s="869" t="str">
        <f>HYPERLINK(Idiomas!D302,Idiomas!D93)</f>
        <v>· Aquí explicamos cada criterio de puntuación</v>
      </c>
      <c r="M13" s="870"/>
      <c r="N13" s="870"/>
      <c r="O13" s="870"/>
      <c r="P13" s="141"/>
      <c r="Q13" s="141"/>
      <c r="R13" s="141"/>
      <c r="S13" s="691"/>
      <c r="T13" s="692"/>
    </row>
    <row r="14" spans="1:20">
      <c r="A14" s="26"/>
      <c r="B14" s="136"/>
      <c r="C14" s="137"/>
      <c r="D14" s="137"/>
      <c r="E14" s="137"/>
      <c r="F14" s="137"/>
      <c r="G14" s="137"/>
      <c r="H14" s="137"/>
      <c r="I14" s="137"/>
      <c r="J14" s="138"/>
      <c r="K14" s="27"/>
      <c r="L14" s="679" t="str">
        <f>Idiomas!D94</f>
        <v>· Cuando los participantes te envíen su archivo, copia sus pronósticos de la hoja “Pool”, en esta hoja ADMIN</v>
      </c>
      <c r="M14" s="141"/>
      <c r="N14" s="141"/>
      <c r="O14" s="141"/>
      <c r="P14" s="141"/>
      <c r="Q14" s="141"/>
      <c r="R14" s="141"/>
      <c r="S14" s="691"/>
      <c r="T14" s="692"/>
    </row>
    <row r="15" spans="1:20">
      <c r="A15" s="26"/>
      <c r="B15" s="139" t="str">
        <f>Idiomas!D82</f>
        <v>Autor:</v>
      </c>
      <c r="C15" s="140" t="s">
        <v>25</v>
      </c>
      <c r="D15" s="140"/>
      <c r="E15" s="140" t="s">
        <v>1315</v>
      </c>
      <c r="F15" s="141"/>
      <c r="G15" s="140" t="s">
        <v>1316</v>
      </c>
      <c r="H15" s="141"/>
      <c r="I15" s="142"/>
      <c r="J15" s="143"/>
      <c r="K15" s="27"/>
      <c r="L15" s="676" t="str">
        <f>Idiomas!D95</f>
        <v>· Cuando tengas todos los pronósticos, selecciona el número de jugadores en la hoja ADMIN</v>
      </c>
      <c r="M15" s="141"/>
      <c r="N15" s="141"/>
      <c r="O15" s="141"/>
      <c r="P15" s="141"/>
      <c r="Q15" s="141"/>
      <c r="R15" s="141"/>
      <c r="S15" s="691"/>
      <c r="T15" s="692"/>
    </row>
    <row r="16" spans="1:20">
      <c r="A16" s="26"/>
      <c r="B16" s="144" t="str">
        <f>Idiomas!D83</f>
        <v>Útima versión</v>
      </c>
      <c r="C16" s="145">
        <v>46122</v>
      </c>
      <c r="D16" s="145"/>
      <c r="E16" s="146"/>
      <c r="F16" s="146"/>
      <c r="G16" s="146"/>
      <c r="H16" s="146"/>
      <c r="I16" s="147"/>
      <c r="J16" s="148"/>
      <c r="K16" s="27"/>
      <c r="L16" s="677"/>
      <c r="M16" s="678"/>
      <c r="N16" s="678"/>
      <c r="O16" s="678"/>
      <c r="P16" s="678"/>
      <c r="Q16" s="678"/>
      <c r="R16" s="678"/>
      <c r="S16" s="693"/>
      <c r="T16" s="694"/>
    </row>
    <row r="17" spans="1:20">
      <c r="A17" s="26"/>
      <c r="B17" s="149"/>
      <c r="C17" s="150"/>
      <c r="D17" s="150"/>
      <c r="E17" s="150"/>
      <c r="F17" s="150"/>
      <c r="G17" s="150"/>
      <c r="H17" s="150"/>
      <c r="I17" s="150"/>
      <c r="J17" s="151"/>
      <c r="K17" s="27"/>
      <c r="L17" s="27"/>
      <c r="M17" s="27"/>
      <c r="N17" s="27"/>
      <c r="O17" s="27"/>
      <c r="P17" s="27"/>
      <c r="Q17" s="27"/>
      <c r="R17" s="27"/>
      <c r="S17" s="688"/>
      <c r="T17" s="688"/>
    </row>
    <row r="18" spans="1:20">
      <c r="A18" s="26"/>
      <c r="B18" s="33"/>
      <c r="C18" s="33"/>
      <c r="D18" s="33"/>
      <c r="E18" s="34"/>
      <c r="F18" s="34"/>
      <c r="G18" s="26"/>
      <c r="H18" s="26"/>
      <c r="I18" s="26"/>
      <c r="J18" s="673"/>
      <c r="K18" s="27"/>
      <c r="L18" s="36" t="str">
        <f>"WORLDCUP"&amp;" "&amp;Idiomas!D96</f>
        <v>WORLDCUP (Una vez ha empezado el mundial)</v>
      </c>
      <c r="M18" s="683"/>
      <c r="N18" s="4"/>
      <c r="O18" s="4"/>
      <c r="P18" s="4"/>
      <c r="Q18" s="4"/>
      <c r="R18" s="4"/>
      <c r="S18" s="688"/>
      <c r="T18" s="688"/>
    </row>
    <row r="19" spans="1:20" ht="19.95" customHeight="1">
      <c r="A19" s="27"/>
      <c r="B19" s="152"/>
      <c r="C19" s="153" t="str">
        <f>Idiomas!D85</f>
        <v>PARA DESCARGAR, CLICK EN</v>
      </c>
      <c r="D19" s="153"/>
      <c r="E19" s="154">
        <v>2</v>
      </c>
      <c r="F19" s="155"/>
      <c r="G19" s="153"/>
      <c r="H19" s="156"/>
      <c r="I19" s="156"/>
      <c r="J19" s="157"/>
      <c r="K19" s="27"/>
      <c r="L19" s="674"/>
      <c r="M19" s="675"/>
      <c r="N19" s="675"/>
      <c r="O19" s="675"/>
      <c r="P19" s="675"/>
      <c r="Q19" s="675"/>
      <c r="R19" s="675"/>
      <c r="S19" s="689"/>
      <c r="T19" s="690"/>
    </row>
    <row r="20" spans="1:20">
      <c r="A20" s="27"/>
      <c r="B20" s="158"/>
      <c r="C20" s="159" t="s">
        <v>1370</v>
      </c>
      <c r="D20" s="159"/>
      <c r="E20" s="160" t="s">
        <v>216</v>
      </c>
      <c r="F20" s="160"/>
      <c r="G20" s="160" t="s">
        <v>348</v>
      </c>
      <c r="H20" s="161"/>
      <c r="I20" s="161"/>
      <c r="J20" s="148"/>
      <c r="K20" s="27"/>
      <c r="L20" s="676" t="str">
        <f>Idiomas!D97</f>
        <v>· Cuando empiece el mundial, rellena los cuadros grises con los resultados reales de la fase de grupos</v>
      </c>
      <c r="M20" s="141"/>
      <c r="N20" s="141"/>
      <c r="O20" s="141"/>
      <c r="P20" s="141"/>
      <c r="Q20" s="141"/>
      <c r="R20" s="141"/>
      <c r="S20" s="691"/>
      <c r="T20" s="692"/>
    </row>
    <row r="21" spans="1:20" ht="19.95" customHeight="1">
      <c r="A21" s="35"/>
      <c r="B21" s="162"/>
      <c r="C21" s="163" t="s">
        <v>1940</v>
      </c>
      <c r="D21" s="164"/>
      <c r="E21" s="37">
        <v>2</v>
      </c>
      <c r="F21" s="164"/>
      <c r="G21" s="37">
        <v>2</v>
      </c>
      <c r="H21" s="165"/>
      <c r="I21" s="161"/>
      <c r="J21" s="166"/>
      <c r="K21" s="35"/>
      <c r="L21" s="676" t="str">
        <f>Idiomas!D98</f>
        <v>· En caso de empate en la posición de un grupo o en los mejores terceros, selcciona el orden de los empatados</v>
      </c>
      <c r="M21" s="141"/>
      <c r="N21" s="141"/>
      <c r="O21" s="141"/>
      <c r="P21" s="141"/>
      <c r="Q21" s="141"/>
      <c r="R21" s="141"/>
      <c r="S21" s="691"/>
      <c r="T21" s="692"/>
    </row>
    <row r="22" spans="1:20" ht="1.95" customHeight="1">
      <c r="A22" s="35"/>
      <c r="B22" s="162"/>
      <c r="C22" s="165"/>
      <c r="D22" s="165"/>
      <c r="E22" s="165"/>
      <c r="F22" s="165"/>
      <c r="G22" s="165"/>
      <c r="H22" s="165"/>
      <c r="I22" s="161"/>
      <c r="J22" s="166"/>
      <c r="K22" s="35"/>
      <c r="L22" s="676"/>
      <c r="M22" s="141"/>
      <c r="N22" s="141"/>
      <c r="O22" s="141"/>
      <c r="P22" s="141"/>
      <c r="Q22" s="141"/>
      <c r="R22" s="141"/>
      <c r="S22" s="691"/>
      <c r="T22" s="692"/>
    </row>
    <row r="23" spans="1:20" ht="19.95" customHeight="1">
      <c r="A23" s="35"/>
      <c r="B23" s="162"/>
      <c r="C23" s="163" t="s">
        <v>1299</v>
      </c>
      <c r="D23" s="164"/>
      <c r="E23" s="38">
        <v>2</v>
      </c>
      <c r="F23" s="164"/>
      <c r="G23" s="38">
        <v>2</v>
      </c>
      <c r="H23" s="165"/>
      <c r="I23" s="165"/>
      <c r="J23" s="166"/>
      <c r="K23" s="35"/>
      <c r="L23" s="676" t="str">
        <f>Idiomas!D99</f>
        <v>· Las eliminatorias se establecen de forma automática</v>
      </c>
      <c r="M23" s="141"/>
      <c r="N23" s="141"/>
      <c r="O23" s="141"/>
      <c r="P23" s="141"/>
      <c r="Q23" s="141"/>
      <c r="R23" s="141"/>
      <c r="S23" s="691"/>
      <c r="T23" s="692"/>
    </row>
    <row r="24" spans="1:20" ht="1.95" customHeight="1">
      <c r="A24" s="35"/>
      <c r="B24" s="162"/>
      <c r="C24" s="165"/>
      <c r="D24" s="165"/>
      <c r="E24" s="165"/>
      <c r="F24" s="165"/>
      <c r="G24" s="165"/>
      <c r="H24" s="165"/>
      <c r="I24" s="165"/>
      <c r="J24" s="166"/>
      <c r="K24" s="35"/>
      <c r="L24" s="676"/>
      <c r="M24" s="141"/>
      <c r="N24" s="141"/>
      <c r="O24" s="141"/>
      <c r="P24" s="141"/>
      <c r="Q24" s="141"/>
      <c r="R24" s="141"/>
      <c r="S24" s="691"/>
      <c r="T24" s="692"/>
    </row>
    <row r="25" spans="1:20" ht="19.95" customHeight="1">
      <c r="A25" s="35"/>
      <c r="B25" s="162"/>
      <c r="C25" s="163" t="s">
        <v>1268</v>
      </c>
      <c r="D25" s="164"/>
      <c r="E25" s="38">
        <v>2</v>
      </c>
      <c r="F25" s="164"/>
      <c r="G25" s="39">
        <v>0</v>
      </c>
      <c r="H25" s="165"/>
      <c r="I25" s="165"/>
      <c r="J25" s="166"/>
      <c r="K25" s="35"/>
      <c r="L25" s="676" t="str">
        <f>Idiomas!D100</f>
        <v>· Rellena los resultados de las fases eliminatorias. En caso de empate, se abren dos celdas a los lados para poner el resultado de los penaltis</v>
      </c>
      <c r="M25" s="141"/>
      <c r="N25" s="141"/>
      <c r="O25" s="141"/>
      <c r="P25" s="141"/>
      <c r="Q25" s="141"/>
      <c r="R25" s="141"/>
      <c r="S25" s="691"/>
      <c r="T25" s="692"/>
    </row>
    <row r="26" spans="1:20" ht="1.95" customHeight="1">
      <c r="A26" s="35"/>
      <c r="B26" s="162"/>
      <c r="C26" s="165"/>
      <c r="D26" s="165"/>
      <c r="E26" s="165"/>
      <c r="F26" s="165"/>
      <c r="G26" s="165"/>
      <c r="H26" s="165"/>
      <c r="I26" s="165"/>
      <c r="J26" s="166"/>
      <c r="K26" s="35"/>
      <c r="L26" s="676"/>
      <c r="M26" s="141"/>
      <c r="N26" s="141"/>
      <c r="O26" s="141"/>
      <c r="P26" s="141"/>
      <c r="Q26" s="141"/>
      <c r="R26" s="141"/>
      <c r="S26" s="691"/>
      <c r="T26" s="692"/>
    </row>
    <row r="27" spans="1:20" ht="19.95" customHeight="1">
      <c r="A27" s="35"/>
      <c r="B27" s="162"/>
      <c r="C27" s="163" t="s">
        <v>1269</v>
      </c>
      <c r="D27" s="164"/>
      <c r="E27" s="38">
        <v>2</v>
      </c>
      <c r="F27" s="164"/>
      <c r="G27" s="39">
        <v>0</v>
      </c>
      <c r="H27" s="165"/>
      <c r="I27" s="165"/>
      <c r="J27" s="166"/>
      <c r="K27" s="35"/>
      <c r="L27" s="677" t="str">
        <f>Idiomas!D101</f>
        <v>· Rellenar los mejores jugadores y los máximos goleadores</v>
      </c>
      <c r="M27" s="678"/>
      <c r="N27" s="678"/>
      <c r="O27" s="678"/>
      <c r="P27" s="678"/>
      <c r="Q27" s="678"/>
      <c r="R27" s="678"/>
      <c r="S27" s="693"/>
      <c r="T27" s="694"/>
    </row>
    <row r="28" spans="1:20" ht="1.95" customHeight="1">
      <c r="A28" s="35"/>
      <c r="B28" s="162"/>
      <c r="C28" s="165"/>
      <c r="D28" s="165"/>
      <c r="E28" s="165"/>
      <c r="F28" s="165"/>
      <c r="G28" s="165"/>
      <c r="H28" s="165"/>
      <c r="I28" s="165"/>
      <c r="J28" s="166"/>
      <c r="K28" s="35"/>
    </row>
    <row r="29" spans="1:20" ht="19.95" customHeight="1">
      <c r="A29" s="35"/>
      <c r="B29" s="162"/>
      <c r="C29" s="163" t="s">
        <v>1270</v>
      </c>
      <c r="D29" s="164"/>
      <c r="E29" s="39">
        <v>0</v>
      </c>
      <c r="F29" s="164"/>
      <c r="G29" s="38">
        <v>2</v>
      </c>
      <c r="H29" s="165"/>
      <c r="I29" s="165"/>
      <c r="J29" s="166"/>
      <c r="K29" s="35"/>
    </row>
    <row r="30" spans="1:20" ht="1.95" customHeight="1">
      <c r="A30" s="35"/>
      <c r="B30" s="162"/>
      <c r="C30" s="165"/>
      <c r="D30" s="165"/>
      <c r="E30" s="165"/>
      <c r="F30" s="165"/>
      <c r="G30" s="165"/>
      <c r="H30" s="165"/>
      <c r="I30" s="165"/>
      <c r="J30" s="166"/>
      <c r="K30" s="35"/>
      <c r="L30" s="36"/>
    </row>
    <row r="31" spans="1:20" ht="19.95" customHeight="1">
      <c r="A31" s="35"/>
      <c r="B31" s="162"/>
      <c r="C31" s="163" t="s">
        <v>1271</v>
      </c>
      <c r="D31" s="164"/>
      <c r="E31" s="38">
        <v>2</v>
      </c>
      <c r="F31" s="164"/>
      <c r="G31" s="39">
        <v>0</v>
      </c>
      <c r="H31" s="165"/>
      <c r="I31" s="165"/>
      <c r="J31" s="166"/>
      <c r="K31" s="35"/>
      <c r="L31" s="680" t="s">
        <v>1916</v>
      </c>
    </row>
    <row r="32" spans="1:20" ht="18" customHeight="1">
      <c r="A32" s="27"/>
      <c r="B32" s="167"/>
      <c r="C32" s="168"/>
      <c r="D32" s="168"/>
      <c r="E32" s="168"/>
      <c r="F32" s="168"/>
      <c r="G32" s="168"/>
      <c r="H32" s="168"/>
      <c r="I32" s="168"/>
      <c r="J32" s="169"/>
      <c r="K32" s="27"/>
      <c r="L32" s="684" t="str">
        <f>Idiomas!D104</f>
        <v>· En esta hoja se puede ver la clasificación general según se vayan introduciendo los resultados de los partidos</v>
      </c>
      <c r="M32" s="685"/>
      <c r="N32" s="685"/>
      <c r="O32" s="685"/>
      <c r="P32" s="685"/>
      <c r="Q32" s="685"/>
      <c r="R32" s="685"/>
      <c r="S32" s="695"/>
      <c r="T32" s="696"/>
    </row>
    <row r="33" spans="1:20">
      <c r="A33" s="27"/>
      <c r="B33" s="3"/>
      <c r="C33" s="3"/>
      <c r="D33" s="3"/>
      <c r="E33" s="3"/>
      <c r="F33" s="3"/>
      <c r="G33" s="3"/>
      <c r="H33" s="3"/>
      <c r="I33" s="3"/>
      <c r="J33" s="3"/>
      <c r="K33" s="27"/>
      <c r="L33" s="27"/>
    </row>
    <row r="34" spans="1:20" ht="28.05" customHeight="1">
      <c r="A34" s="27"/>
      <c r="B34" s="867"/>
      <c r="C34" s="867"/>
      <c r="D34" s="867"/>
      <c r="E34" s="867"/>
      <c r="F34" s="867"/>
      <c r="G34" s="867"/>
      <c r="H34" s="867"/>
      <c r="I34" s="867"/>
      <c r="J34" s="867"/>
      <c r="K34" s="27"/>
      <c r="L34" s="680" t="s">
        <v>1878</v>
      </c>
    </row>
    <row r="35" spans="1:20" ht="18" customHeight="1" thickBot="1">
      <c r="A35" s="27"/>
      <c r="B35" s="4"/>
      <c r="C35" s="27"/>
      <c r="D35" s="27"/>
      <c r="E35" s="27"/>
      <c r="F35" s="27"/>
      <c r="G35" s="27"/>
      <c r="H35" s="27"/>
      <c r="I35" s="27"/>
      <c r="J35" s="27"/>
      <c r="K35" s="27"/>
      <c r="L35" s="684" t="str">
        <f>Idiomas!D105</f>
        <v>· Esta hoja permite filtrar los pronósticos por día de la fase de grupos o por eliminatoria.</v>
      </c>
      <c r="M35" s="685"/>
      <c r="N35" s="685"/>
      <c r="O35" s="685"/>
      <c r="P35" s="685"/>
      <c r="Q35" s="685"/>
      <c r="R35" s="685"/>
      <c r="S35" s="695"/>
      <c r="T35" s="696"/>
    </row>
    <row r="36" spans="1:20" ht="21" thickBot="1">
      <c r="A36" s="27"/>
      <c r="B36" s="4"/>
      <c r="C36" s="770" t="s">
        <v>1335</v>
      </c>
      <c r="D36" s="27"/>
      <c r="E36" s="27"/>
      <c r="F36" s="27"/>
      <c r="G36" s="27"/>
      <c r="H36" s="41" t="str">
        <f>HYPERLINK(Idiomas!D13,"FAQ")</f>
        <v>FAQ</v>
      </c>
      <c r="I36" s="27"/>
      <c r="J36" s="27"/>
      <c r="K36" s="27"/>
      <c r="L36" s="27"/>
      <c r="M36" s="26"/>
      <c r="N36" s="27"/>
    </row>
    <row r="37" spans="1:20" ht="15" customHeight="1">
      <c r="A37" s="27"/>
      <c r="B37" s="4"/>
      <c r="C37" s="4"/>
      <c r="D37" s="4"/>
      <c r="E37" s="4"/>
      <c r="F37" s="4"/>
      <c r="G37" s="4"/>
      <c r="H37" s="4"/>
      <c r="I37" s="4"/>
      <c r="J37" s="4"/>
      <c r="K37" s="27"/>
      <c r="L37" s="680" t="s">
        <v>1888</v>
      </c>
      <c r="M37" s="26"/>
      <c r="N37" s="27"/>
    </row>
    <row r="38" spans="1:20" ht="34.049999999999997" customHeight="1">
      <c r="A38" s="27"/>
      <c r="C38" s="27"/>
      <c r="D38" s="27"/>
      <c r="E38" s="27"/>
      <c r="F38" s="27"/>
      <c r="G38" s="27"/>
      <c r="H38" s="27"/>
      <c r="I38" s="27"/>
      <c r="J38" s="27"/>
      <c r="K38" s="27"/>
      <c r="L38" s="684" t="str">
        <f>Idiomas!D106</f>
        <v xml:space="preserve"> · Aquí puedes ver la clasificación del dia/ronda seleccionado en la hoja "DailyPredcition"</v>
      </c>
      <c r="M38" s="685"/>
      <c r="N38" s="685"/>
      <c r="O38" s="685"/>
      <c r="P38" s="685"/>
      <c r="Q38" s="685"/>
      <c r="R38" s="685"/>
      <c r="S38" s="695"/>
      <c r="T38" s="696"/>
    </row>
    <row r="40" spans="1:20">
      <c r="L40" s="680" t="s">
        <v>1656</v>
      </c>
      <c r="M40" s="681"/>
      <c r="N40" s="681"/>
      <c r="O40" s="681"/>
      <c r="P40" s="681"/>
      <c r="Q40" s="681"/>
      <c r="R40" s="681"/>
      <c r="S40" s="697"/>
      <c r="T40" s="697"/>
    </row>
    <row r="41" spans="1:20">
      <c r="L41" s="674" t="str">
        <f>Idiomas!D108</f>
        <v>· En estas hoja podrás ver diferentes estadísticas generales y por partido</v>
      </c>
      <c r="M41" s="675"/>
      <c r="N41" s="675"/>
      <c r="O41" s="675"/>
      <c r="P41" s="675"/>
      <c r="Q41" s="675"/>
      <c r="R41" s="675"/>
      <c r="S41" s="689"/>
      <c r="T41" s="690"/>
    </row>
    <row r="42" spans="1:20">
      <c r="L42" s="686" t="str">
        <f>Idiomas!D109</f>
        <v>· Para verlas correctamente necesitas una versión posterior a excel 2021</v>
      </c>
      <c r="M42" s="687"/>
      <c r="N42" s="687"/>
      <c r="O42" s="687"/>
      <c r="P42" s="687"/>
      <c r="Q42" s="687"/>
      <c r="R42" s="687"/>
      <c r="S42" s="698"/>
      <c r="T42" s="699"/>
    </row>
    <row r="44" spans="1:20">
      <c r="L44" s="680" t="s">
        <v>1305</v>
      </c>
      <c r="M44" s="681"/>
      <c r="N44" s="681"/>
      <c r="O44" s="681"/>
      <c r="P44" s="681"/>
      <c r="Q44" s="681"/>
      <c r="R44" s="681"/>
      <c r="S44" s="697"/>
      <c r="T44" s="697"/>
    </row>
    <row r="45" spans="1:20" ht="18" customHeight="1">
      <c r="L45" s="684" t="str">
        <f>Idiomas!D110</f>
        <v xml:space="preserve">· En esta hoja puedes ver de un vistazo el cuadro del mundial </v>
      </c>
      <c r="M45" s="685"/>
      <c r="N45" s="685"/>
      <c r="O45" s="685"/>
      <c r="P45" s="685"/>
      <c r="Q45" s="685"/>
      <c r="R45" s="685"/>
      <c r="S45" s="695"/>
      <c r="T45" s="696"/>
    </row>
    <row r="84" spans="13:25" ht="60" customHeight="1">
      <c r="M84" s="868" t="str">
        <f>Idiomas!D107</f>
        <v>Si Irán no participa en el mundial y le sustituye otra selección, selecciona el país sustituto en el desplegable. Si no aparece, elige 'Otro' e ingresa manualmente el nombre (español e inglés), su zona UTC y, opcionalmente, la imagen de su bandera.</v>
      </c>
      <c r="N84" s="868"/>
      <c r="O84" s="868"/>
      <c r="P84" s="868"/>
      <c r="Q84" s="868"/>
      <c r="R84" s="868"/>
    </row>
    <row r="86" spans="13:25">
      <c r="M86" s="493" t="s">
        <v>1791</v>
      </c>
      <c r="T86" s="493" t="s">
        <v>1795</v>
      </c>
      <c r="U86" s="493" t="s">
        <v>1792</v>
      </c>
      <c r="V86" s="493" t="s">
        <v>1793</v>
      </c>
      <c r="W86" s="493" t="s">
        <v>1800</v>
      </c>
      <c r="X86" s="493" t="s">
        <v>1801</v>
      </c>
      <c r="Y86" s="493" t="s">
        <v>1802</v>
      </c>
    </row>
    <row r="87" spans="13:25">
      <c r="M87" s="672" t="s">
        <v>1794</v>
      </c>
      <c r="N87" s="11" t="str">
        <f>IFERROR(IF(J18="",$U$87,INDEX($U$87:$U$91,MATCH(M87,$T$87:$T$91,0))),"")</f>
        <v>Irán</v>
      </c>
      <c r="O87" s="11" t="str">
        <f>IFERROR(IF(J18="",$V$87,INDEX($V$87:$V$91,MATCH(M87,$T$87:$T$91,0))),"")</f>
        <v>Iran</v>
      </c>
      <c r="T87" s="700" t="s">
        <v>1794</v>
      </c>
      <c r="U87" s="8" t="s">
        <v>1262</v>
      </c>
      <c r="V87" s="8" t="s">
        <v>1282</v>
      </c>
      <c r="W87" s="8" t="s">
        <v>1283</v>
      </c>
      <c r="X87" s="8" t="e" vm="50">
        <v>#VALUE!</v>
      </c>
      <c r="Y87" s="8">
        <v>3.5</v>
      </c>
    </row>
    <row r="88" spans="13:25">
      <c r="T88" s="700" t="s">
        <v>1796</v>
      </c>
      <c r="U88" s="8" t="s">
        <v>1755</v>
      </c>
      <c r="V88" s="8" t="s">
        <v>1756</v>
      </c>
      <c r="W88" s="8" t="s">
        <v>1760</v>
      </c>
      <c r="X88" s="700" t="e" vm="51">
        <v>#VALUE!</v>
      </c>
      <c r="Y88" s="8">
        <v>4</v>
      </c>
    </row>
    <row r="89" spans="13:25" ht="15.6">
      <c r="T89" s="700" t="s">
        <v>1797</v>
      </c>
      <c r="U89" s="8" t="s">
        <v>1786</v>
      </c>
      <c r="V89" s="8" t="s">
        <v>1786</v>
      </c>
      <c r="W89" s="701" t="s">
        <v>1787</v>
      </c>
      <c r="X89" s="700" t="e" vm="52">
        <v>#VALUE!</v>
      </c>
      <c r="Y89" s="8">
        <v>-4</v>
      </c>
    </row>
    <row r="90" spans="13:25" ht="15.6">
      <c r="T90" s="700" t="s">
        <v>1798</v>
      </c>
      <c r="U90" s="8" t="s">
        <v>1788</v>
      </c>
      <c r="V90" s="8" t="s">
        <v>1789</v>
      </c>
      <c r="W90" s="702" t="s">
        <v>1790</v>
      </c>
      <c r="X90" s="700" t="e" vm="53">
        <v>#VALUE!</v>
      </c>
      <c r="Y90" s="8">
        <v>-3</v>
      </c>
    </row>
    <row r="91" spans="13:25">
      <c r="T91" s="700" t="s">
        <v>1799</v>
      </c>
      <c r="U91" s="8" t="str">
        <f>N93</f>
        <v>Escribe la selección</v>
      </c>
      <c r="V91" s="8" t="str">
        <f>O93</f>
        <v>Write the nation</v>
      </c>
      <c r="W91" s="8" t="str">
        <f>IF(Q93="","",Q93)</f>
        <v/>
      </c>
      <c r="X91" s="8" t="str">
        <f>IF(R93="","",R93)</f>
        <v/>
      </c>
      <c r="Y91" s="8">
        <f>IF(P93="",-4,P93)</f>
        <v>-4</v>
      </c>
    </row>
    <row r="92" spans="13:25" ht="19.05" customHeight="1">
      <c r="N92" s="493" t="s">
        <v>1792</v>
      </c>
      <c r="O92" s="493" t="s">
        <v>1793</v>
      </c>
      <c r="P92" s="493" t="s">
        <v>1807</v>
      </c>
      <c r="Q92" s="493" t="s">
        <v>1804</v>
      </c>
      <c r="R92" s="493" t="s">
        <v>1801</v>
      </c>
    </row>
    <row r="93" spans="13:25" ht="25.05" customHeight="1">
      <c r="N93" s="494" t="s">
        <v>1848</v>
      </c>
      <c r="O93" s="494" t="s">
        <v>1803</v>
      </c>
      <c r="P93" s="494"/>
      <c r="Q93" s="494"/>
      <c r="R93" s="494"/>
    </row>
  </sheetData>
  <sheetProtection algorithmName="SHA-512" hashValue="TX3K0uzLPUc39a1whbBBXYsRlGmZ4nqAUg9cvqZXKYSpkpQy9nCtB748OicsBIruBoqLAX6vUsQxpuQJl71Suw==" saltValue="6srSHHzM6HLsf0h1ob4BuQ=="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11" priority="1">
      <formula>$J$18=1</formula>
    </cfRule>
  </conditionalFormatting>
  <conditionalFormatting sqref="M84:R84 M87">
    <cfRule type="expression" dxfId="10" priority="2">
      <formula>$J$18=1</formula>
    </cfRule>
  </conditionalFormatting>
  <conditionalFormatting sqref="N92:R93">
    <cfRule type="expression" dxfId="9" priority="937">
      <formula>IF($M$87=$T$91,1,0)</formula>
    </cfRule>
  </conditionalFormatting>
  <dataValidations disablePrompts="1"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645BD66C-730D-B747-A604-471400B58AAE}"/>
  </hyperlinks>
  <pageMargins left="0.75" right="0.75" top="1" bottom="1" header="0.5" footer="0.5"/>
  <headerFooter>
    <oddFooter>&amp;L_x000D_&amp;1#&amp;"Aptos"&amp;8&amp;K000000 Clasificación: Interna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4"/>
  <cols>
    <col min="1" max="1" width="3.33203125" style="20" customWidth="1"/>
    <col min="2" max="2" width="2.6640625" style="8" customWidth="1"/>
    <col min="3" max="3" width="5.6640625" style="1" bestFit="1" customWidth="1"/>
    <col min="4" max="5" width="3.33203125" style="1" customWidth="1"/>
    <col min="6" max="6" width="6.109375" style="1" customWidth="1"/>
    <col min="7" max="7" width="2.44140625" style="1" bestFit="1" customWidth="1"/>
    <col min="8" max="9" width="3.77734375" style="1" customWidth="1"/>
    <col min="10" max="10" width="4.44140625" style="1" customWidth="1"/>
    <col min="11" max="11" width="4.77734375" style="1" customWidth="1"/>
    <col min="12" max="12" width="3.33203125" style="1" hidden="1" customWidth="1"/>
    <col min="13" max="13" width="1.6640625" style="20" customWidth="1"/>
    <col min="14" max="14" width="2.6640625" style="8" customWidth="1"/>
    <col min="15" max="15" width="4.33203125" style="1" bestFit="1" customWidth="1"/>
    <col min="16" max="17" width="3.33203125" style="1" customWidth="1"/>
    <col min="18" max="18" width="5.109375" style="1" bestFit="1" customWidth="1"/>
    <col min="19" max="19" width="2.44140625" style="1" bestFit="1" customWidth="1"/>
    <col min="20" max="20" width="4.33203125" style="1" bestFit="1" customWidth="1"/>
    <col min="21" max="22" width="3.6640625" style="1" customWidth="1"/>
    <col min="23" max="23" width="4.77734375" style="1" customWidth="1"/>
    <col min="24" max="24" width="4.33203125" style="20" hidden="1" customWidth="1"/>
    <col min="25" max="25" width="2.77734375" style="8" customWidth="1"/>
    <col min="26" max="26" width="7.44140625" style="8" bestFit="1" customWidth="1"/>
    <col min="27" max="27" width="5.77734375" style="1" customWidth="1"/>
    <col min="28" max="29" width="4.33203125" style="1" customWidth="1"/>
    <col min="30" max="30" width="2.77734375" style="8" customWidth="1"/>
    <col min="31" max="31" width="5.77734375" style="1" customWidth="1"/>
    <col min="32" max="33" width="4.33203125" style="1" customWidth="1"/>
    <col min="34" max="34" width="2.77734375" style="8" customWidth="1"/>
    <col min="35" max="35" width="5.77734375" style="1" customWidth="1"/>
    <col min="36" max="37" width="4.33203125" style="1" customWidth="1"/>
    <col min="38" max="38" width="2.77734375" style="8" customWidth="1"/>
    <col min="39" max="39" width="5.77734375" style="1" customWidth="1"/>
    <col min="40" max="41" width="4.33203125" style="1" customWidth="1"/>
    <col min="42" max="42" width="2.77734375" style="8" customWidth="1"/>
    <col min="43" max="43" width="5.77734375" style="1" customWidth="1"/>
    <col min="44" max="45" width="4.33203125" style="1" customWidth="1"/>
    <col min="46" max="46" width="2.77734375" style="8" customWidth="1"/>
    <col min="47" max="47" width="5.77734375" style="1" customWidth="1"/>
    <col min="48" max="49" width="4.33203125" style="1" customWidth="1"/>
    <col min="50" max="50" width="4" style="1" bestFit="1" customWidth="1"/>
    <col min="51" max="51" width="3.33203125" style="1" customWidth="1"/>
    <col min="52" max="54" width="7.77734375" style="1" customWidth="1"/>
    <col min="55" max="55" width="3.33203125" style="1" customWidth="1"/>
    <col min="56" max="58" width="2.44140625" style="1" bestFit="1" customWidth="1"/>
    <col min="59" max="59" width="18.44140625" style="1" customWidth="1"/>
    <col min="60" max="67" width="4.77734375" style="1" customWidth="1"/>
    <col min="68" max="68" width="10.77734375" style="1" customWidth="1"/>
    <col min="69" max="16384" width="10.77734375" style="1" hidden="1"/>
  </cols>
  <sheetData>
    <row r="1" spans="1:67" ht="7.95" customHeight="1">
      <c r="A1" s="19"/>
      <c r="B1" s="247"/>
      <c r="C1" s="297"/>
      <c r="D1" s="297"/>
      <c r="E1" s="297"/>
      <c r="F1" s="297"/>
      <c r="G1" s="297"/>
      <c r="H1" s="297"/>
      <c r="I1" s="297"/>
      <c r="J1" s="297"/>
      <c r="K1" s="297"/>
      <c r="L1" s="297"/>
      <c r="M1" s="19"/>
      <c r="N1" s="247"/>
      <c r="O1" s="297"/>
      <c r="P1" s="297"/>
      <c r="Q1" s="297"/>
      <c r="R1" s="297"/>
      <c r="S1" s="297"/>
      <c r="T1" s="297"/>
      <c r="U1" s="297"/>
      <c r="V1" s="297"/>
      <c r="W1" s="297"/>
      <c r="X1" s="19"/>
      <c r="Y1" s="247"/>
      <c r="Z1" s="247"/>
      <c r="AA1" s="297"/>
      <c r="AB1" s="297"/>
      <c r="AC1" s="297"/>
      <c r="AD1" s="19"/>
      <c r="AE1" s="297"/>
      <c r="AF1" s="297"/>
      <c r="AG1" s="297"/>
      <c r="AH1" s="247"/>
      <c r="AI1" s="297"/>
      <c r="AJ1" s="297"/>
      <c r="AK1" s="297"/>
      <c r="AL1" s="19"/>
      <c r="AM1" s="297"/>
      <c r="AN1" s="297"/>
      <c r="AO1" s="297"/>
      <c r="AP1" s="247"/>
      <c r="AQ1" s="297"/>
      <c r="AR1" s="297"/>
      <c r="AS1" s="297"/>
      <c r="AT1" s="19"/>
      <c r="AU1" s="297"/>
      <c r="AV1" s="297"/>
      <c r="AW1" s="297"/>
      <c r="AX1" s="297"/>
      <c r="AY1" s="297"/>
      <c r="AZ1" s="297"/>
      <c r="BA1" s="297"/>
      <c r="BB1" s="297"/>
      <c r="BC1" s="297"/>
      <c r="BD1" s="297"/>
      <c r="BE1" s="297"/>
    </row>
    <row r="2" spans="1:67" ht="10.050000000000001" customHeight="1" thickBot="1">
      <c r="A2" s="19"/>
      <c r="B2" s="247"/>
      <c r="C2" s="175"/>
      <c r="D2" s="175"/>
      <c r="E2" s="175"/>
      <c r="F2" s="175"/>
      <c r="G2" s="175"/>
      <c r="H2" s="175"/>
      <c r="I2" s="175"/>
      <c r="J2" s="175"/>
      <c r="K2" s="175"/>
      <c r="L2" s="175"/>
      <c r="M2" s="18"/>
      <c r="N2" s="497"/>
      <c r="O2" s="498"/>
      <c r="P2" s="175"/>
      <c r="Q2" s="297"/>
      <c r="R2" s="297"/>
      <c r="S2" s="499"/>
      <c r="T2" s="297"/>
      <c r="U2" s="175"/>
      <c r="V2" s="175"/>
      <c r="W2" s="175"/>
      <c r="X2" s="18"/>
      <c r="Y2" s="497"/>
      <c r="Z2" s="497"/>
      <c r="AA2" s="297"/>
      <c r="AB2" s="297"/>
      <c r="AC2" s="297"/>
      <c r="AD2" s="18"/>
      <c r="AE2" s="297"/>
      <c r="AF2" s="297"/>
      <c r="AG2" s="297"/>
      <c r="AH2" s="247"/>
      <c r="AI2" s="500"/>
      <c r="AJ2" s="500"/>
      <c r="AK2" s="500"/>
      <c r="AL2" s="92"/>
      <c r="AM2" s="500"/>
      <c r="AN2" s="500"/>
      <c r="AO2" s="500"/>
      <c r="AP2" s="19"/>
      <c r="AQ2" s="500"/>
      <c r="AR2" s="500"/>
      <c r="AS2" s="500"/>
      <c r="AT2" s="19"/>
      <c r="AU2" s="500"/>
      <c r="AV2" s="500"/>
      <c r="AW2" s="500"/>
      <c r="AX2" s="297"/>
      <c r="AY2" s="297"/>
      <c r="AZ2" s="297"/>
      <c r="BA2" s="297"/>
      <c r="BB2" s="297"/>
      <c r="BC2" s="297"/>
      <c r="BD2" s="297"/>
      <c r="BE2" s="297"/>
    </row>
    <row r="3" spans="1:67" ht="15" thickBot="1">
      <c r="A3" s="19">
        <v>1</v>
      </c>
      <c r="B3" s="501" t="s">
        <v>0</v>
      </c>
      <c r="C3" s="502" t="str">
        <f ca="1">+MID(INDEX(WORLDCUP!$AA$4:$AA$147,MATCH(A3,WORLDCUP!$AH$4:$AH$147,0)),1,3)</f>
        <v>Méx</v>
      </c>
      <c r="D3" s="503">
        <f>IF(ISBLANK(INDEX(WORLDCUP!$AC$4:$AC$147,MATCH(A3,WORLDCUP!$AH$4:$AH$147,0))),"",INDEX(WORLDCUP!$AC$4:$AC$147,MATCH(A3,WORLDCUP!$AH$4:$AH$147,0)))</f>
        <v>2</v>
      </c>
      <c r="E3" s="503">
        <f>IF(ISBLANK(INDEX(WORLDCUP!$AD$4:$AD$147,MATCH(A3,WORLDCUP!$AH$4:$AH$147,0))),"",INDEX(WORLDCUP!$AD$4:$AD$147,MATCH(A3,WORLDCUP!$AH$4:$AH$147,0)))</f>
        <v>0</v>
      </c>
      <c r="F3" s="504" t="str">
        <f ca="1">+MID(INDEX(WORLDCUP!$AF$4:$AF$147,MATCH(A3,WORLDCUP!$AH$4:$AH$147,0)),1,3)</f>
        <v>Sud</v>
      </c>
      <c r="G3" s="505"/>
      <c r="H3" s="506" t="str">
        <f>MID(WORLDCUP!AL5,1,3)</f>
        <v>Sel</v>
      </c>
      <c r="I3" s="507" t="s">
        <v>32</v>
      </c>
      <c r="J3" s="507" t="str">
        <f>WORLDCUP!AT5</f>
        <v>DG</v>
      </c>
      <c r="K3" s="508" t="str">
        <f>WORLDCUP!AR5&amp;"-"&amp;WORLDCUP!AS5</f>
        <v>GF-GC</v>
      </c>
      <c r="L3" s="19"/>
      <c r="M3" s="19">
        <v>16</v>
      </c>
      <c r="N3" s="509" t="s">
        <v>6</v>
      </c>
      <c r="O3" s="502" t="str">
        <f ca="1">+MID(INDEX(WORLDCUP!$AA$4:$AA$147,MATCH(M3,WORLDCUP!$AH$4:$AH$147,0)),1,3)</f>
        <v>Bél</v>
      </c>
      <c r="P3" s="503">
        <f>IF(ISBLANK(INDEX(WORLDCUP!$AC$4:$AC$147,MATCH(M3,WORLDCUP!$AH$4:$AH$147,0))),"",INDEX(WORLDCUP!$AC$4:$AC$147,MATCH(M3,WORLDCUP!$AH$4:$AH$147,0)))</f>
        <v>1</v>
      </c>
      <c r="Q3" s="503">
        <f>IF(ISBLANK(INDEX(WORLDCUP!$AD$4:$AD$147,MATCH(M3,WORLDCUP!$AH$4:$AH$147,0))),"",INDEX(WORLDCUP!$AD$4:$AD$147,MATCH(M3,WORLDCUP!$AH$4:$AH$147,0)))</f>
        <v>1</v>
      </c>
      <c r="R3" s="504" t="str">
        <f ca="1">+MID(INDEX(WORLDCUP!$AF$4:$AF$147,MATCH(M3,WORLDCUP!$AH$4:$AH$147,0)),1,3)</f>
        <v>Egi</v>
      </c>
      <c r="S3" s="505"/>
      <c r="T3" s="506" t="str">
        <f>+H43</f>
        <v>Sel</v>
      </c>
      <c r="U3" s="507" t="str">
        <f>+I43</f>
        <v>Pts</v>
      </c>
      <c r="V3" s="507" t="str">
        <f>+J43</f>
        <v>DG</v>
      </c>
      <c r="W3" s="508" t="str">
        <f>+K43</f>
        <v>GF-GC</v>
      </c>
      <c r="X3" s="19"/>
      <c r="Y3" s="19">
        <v>74</v>
      </c>
      <c r="Z3" s="510" t="s">
        <v>661</v>
      </c>
      <c r="AA3" s="511" t="str">
        <f ca="1">+MID(INDEX(WORLDCUP!$AA$101:$AA$147,MATCH(Y3,WORLDCUP!$Z$101:$Z$147,0)),1,3)</f>
        <v>1E</v>
      </c>
      <c r="AB3" s="512" t="str">
        <f>+IF(ISBLANK(INDEX(WORLDCUP!$AC$101:$AC$147,MATCH(Y3,WORLDCUP!$Z$101:$Z$147,0))),"",INDEX(WORLDCUP!$AC$101:$AC$147,MATCH(Y3,WORLDCUP!$Z$101:$Z$147,0)))</f>
        <v/>
      </c>
      <c r="AC3" s="513" t="str">
        <f>+IF(ISBLANK(INDEX(WORLDCUP!$AB$101:$AB$147,MATCH(Y3,WORLDCUP!$Z$101:$Z$147,0))),"","( "&amp;INDEX(WORLDCUP!$AB$101:$AB$147,MATCH(Y3,WORLDCUP!$Z$101:$Z$147,0))&amp;" )")</f>
        <v/>
      </c>
      <c r="AD3" s="18"/>
      <c r="AE3" s="514"/>
      <c r="AF3" s="514"/>
      <c r="AG3" s="514"/>
      <c r="AH3" s="19"/>
      <c r="AI3" s="515"/>
      <c r="AJ3" s="515"/>
      <c r="AK3" s="515"/>
      <c r="AL3" s="92"/>
      <c r="AM3" s="516"/>
      <c r="AN3" s="516"/>
      <c r="AO3" s="516"/>
      <c r="AP3" s="19"/>
      <c r="AQ3" s="517"/>
      <c r="AR3" s="517"/>
      <c r="AS3" s="517"/>
      <c r="AT3" s="19"/>
      <c r="AU3" s="518"/>
      <c r="AV3" s="518"/>
      <c r="AW3" s="518"/>
      <c r="AX3" s="19"/>
      <c r="AY3" s="297"/>
      <c r="AZ3" s="297"/>
      <c r="BA3" s="297"/>
      <c r="BB3" s="297"/>
      <c r="BC3" s="297"/>
      <c r="BD3" s="297"/>
      <c r="BE3" s="297"/>
      <c r="BG3" s="519"/>
      <c r="BH3" s="520" t="s">
        <v>1339</v>
      </c>
      <c r="BI3" s="521" t="s">
        <v>483</v>
      </c>
      <c r="BJ3" s="522" t="s">
        <v>88</v>
      </c>
      <c r="BK3" s="523" t="s">
        <v>34</v>
      </c>
      <c r="BL3" s="524" t="s">
        <v>35</v>
      </c>
      <c r="BM3" s="525" t="s">
        <v>1340</v>
      </c>
      <c r="BN3" s="526" t="s">
        <v>1341</v>
      </c>
      <c r="BO3" s="527" t="s">
        <v>1342</v>
      </c>
    </row>
    <row r="4" spans="1:67" ht="15" thickBot="1">
      <c r="A4" s="19">
        <v>2</v>
      </c>
      <c r="B4" s="528"/>
      <c r="C4" s="529" t="str">
        <f ca="1">+MID(INDEX(WORLDCUP!$AA$4:$AA$147,MATCH(A4,WORLDCUP!$AH$4:$AH$147,0)),1,3)</f>
        <v>Cor</v>
      </c>
      <c r="D4" s="530">
        <f>IF(ISBLANK(INDEX(WORLDCUP!$AC$4:$AC$147,MATCH(A4,WORLDCUP!$AH$4:$AH$147,0))),"",INDEX(WORLDCUP!$AC$4:$AC$147,MATCH(A4,WORLDCUP!$AH$4:$AH$147,0)))</f>
        <v>2</v>
      </c>
      <c r="E4" s="530">
        <f>IF(ISBLANK(INDEX(WORLDCUP!$AD$4:$AD$147,MATCH(A4,WORLDCUP!$AH$4:$AH$147,0))),"",INDEX(WORLDCUP!$AD$4:$AD$147,MATCH(A4,WORLDCUP!$AH$4:$AH$147,0)))</f>
        <v>1</v>
      </c>
      <c r="F4" s="531" t="str">
        <f ca="1">+MID(INDEX(WORLDCUP!$AF$4:$AF$147,MATCH(A4,WORLDCUP!$AH$4:$AH$147,0)),1,3)</f>
        <v>Rep</v>
      </c>
      <c r="G4" s="532">
        <v>1</v>
      </c>
      <c r="H4" s="533" t="str">
        <f ca="1">+MID(INDEX(WORLDCUP!$AL$6:$AL$97,MATCH(L4,WORLDCUP!$AI$6:$AI$97,0)),1,3)</f>
        <v>Méx</v>
      </c>
      <c r="I4" s="534">
        <f ca="1">+INDEX(WORLDCUP!$AM$6:$AM$97,MATCH(L4,WORLDCUP!$AI$6:$AI$97,0))</f>
        <v>6</v>
      </c>
      <c r="J4" s="535">
        <f ca="1">+INDEX(WORLDCUP!$AT$6:$AT$97,MATCH(L4,WORLDCUP!$AI$6:$AI$97,0))</f>
        <v>3</v>
      </c>
      <c r="K4" s="536" t="str">
        <f ca="1">+INDEX(WORLDCUP!$AR$6:$AR$97,MATCH(L4,WORLDCUP!$AI$6:$AI$97,0))&amp;"-"&amp;INDEX(WORLDCUP!$AS$6:$AS$97,MATCH(L4,WORLDCUP!$AI$6:$AI$97,0))</f>
        <v>3-0</v>
      </c>
      <c r="L4" s="19" t="s">
        <v>645</v>
      </c>
      <c r="M4" s="19">
        <v>15</v>
      </c>
      <c r="N4" s="537"/>
      <c r="O4" s="529" t="str">
        <f ca="1">+MID(INDEX(WORLDCUP!$AA$4:$AA$147,MATCH(M4,WORLDCUP!$AH$4:$AH$147,0)),1,3)</f>
        <v>Irá</v>
      </c>
      <c r="P4" s="530">
        <f>IF(ISBLANK(INDEX(WORLDCUP!$AC$4:$AC$147,MATCH(M4,WORLDCUP!$AH$4:$AH$147,0))),"",INDEX(WORLDCUP!$AC$4:$AC$147,MATCH(M4,WORLDCUP!$AH$4:$AH$147,0)))</f>
        <v>2</v>
      </c>
      <c r="Q4" s="530">
        <f>IF(ISBLANK(INDEX(WORLDCUP!$AD$4:$AD$147,MATCH(M4,WORLDCUP!$AH$4:$AH$147,0))),"",INDEX(WORLDCUP!$AD$4:$AD$147,MATCH(M4,WORLDCUP!$AH$4:$AH$147,0)))</f>
        <v>2</v>
      </c>
      <c r="R4" s="531" t="str">
        <f ca="1">+MID(INDEX(WORLDCUP!$AF$4:$AF$147,MATCH(M4,WORLDCUP!$AH$4:$AH$147,0)),1,3)</f>
        <v>Nue</v>
      </c>
      <c r="S4" s="532">
        <v>1</v>
      </c>
      <c r="T4" s="533" t="str">
        <f ca="1">+MID(INDEX(WORLDCUP!$AL$6:$AL$97,MATCH(X4,WORLDCUP!$AI$6:$AI$97,0)),1,3)</f>
        <v>Irá</v>
      </c>
      <c r="U4" s="534">
        <f ca="1">+INDEX(WORLDCUP!$AM$6:$AM$97,MATCH(X4,WORLDCUP!$AI$6:$AI$97,0))</f>
        <v>1</v>
      </c>
      <c r="V4" s="535">
        <f ca="1">+INDEX(WORLDCUP!$AT$6:$AT$97,MATCH(X4,WORLDCUP!$AI$6:$AI$97,0))</f>
        <v>0</v>
      </c>
      <c r="W4" s="536" t="str">
        <f ca="1">+INDEX(WORLDCUP!$AR$6:$AR$97,MATCH(X4,WORLDCUP!$AI$6:$AI$97,0))&amp;"-"&amp;INDEX(WORLDCUP!$AS$6:$AS$97,MATCH(X4,WORLDCUP!$AI$6:$AI$97,0))</f>
        <v>2-2</v>
      </c>
      <c r="X4" s="19" t="s">
        <v>667</v>
      </c>
      <c r="Y4" s="19">
        <v>74</v>
      </c>
      <c r="Z4" s="510" t="s">
        <v>722</v>
      </c>
      <c r="AA4" s="511" t="str">
        <f ca="1">+MID(INDEX(WORLDCUP!$AF$101:$AF$147,MATCH(Y4,WORLDCUP!$Z$101:$Z$147,0)),1,IF(WORLDCUP!$H$113&lt;144,6,3))</f>
        <v>3ABCDF</v>
      </c>
      <c r="AB4" s="538" t="str">
        <f>+IF(ISBLANK(INDEX(WORLDCUP!$AD$101:$AD$147,MATCH(Y4,WORLDCUP!$Z$101:$Z$147,0))),"",INDEX(WORLDCUP!$AD$101:$AD$147,MATCH(Y4,WORLDCUP!$Z$101:$Z$147,0)))</f>
        <v/>
      </c>
      <c r="AC4" s="539" t="str">
        <f>+IF(ISBLANK(INDEX(WORLDCUP!$AE$101:$AE$147,MATCH(Y4,WORLDCUP!$Z$101:$Z$147,0))),"","( "&amp;INDEX(WORLDCUP!$AE$101:$AE$147,MATCH(Y4,WORLDCUP!$Z$101:$Z$147,0))&amp;" )")</f>
        <v/>
      </c>
      <c r="AD4" s="540">
        <v>89</v>
      </c>
      <c r="AE4" s="541" t="str">
        <f>+MID(INDEX(WORLDCUP!$AA$101:$AA$147,MATCH(AD4,WORLDCUP!$Z$101:$Z$147,0)),1,3)</f>
        <v>W74</v>
      </c>
      <c r="AF4" s="542" t="str">
        <f>+IF(ISBLANK(INDEX(WORLDCUP!$AC$101:$AC$147,MATCH(AD4,WORLDCUP!$Z$101:$Z$147,0))),"",INDEX(WORLDCUP!$AC$101:$AC$147,MATCH(AD4,WORLDCUP!$Z$101:$Z$147,0)))</f>
        <v/>
      </c>
      <c r="AG4" s="543" t="str">
        <f>+IF(ISBLANK(INDEX(WORLDCUP!$AB$101:$AB$147,MATCH(AD4,WORLDCUP!$Z$101:$Z$147,0))),"","( "&amp;INDEX(WORLDCUP!$AB$101:$AB$147,MATCH(AD4,WORLDCUP!$Z$101:$Z$147,0))&amp;" )")</f>
        <v/>
      </c>
      <c r="AH4" s="19"/>
      <c r="AI4" s="544"/>
      <c r="AJ4" s="544"/>
      <c r="AK4" s="544"/>
      <c r="AL4" s="92"/>
      <c r="AM4" s="516"/>
      <c r="AN4" s="516"/>
      <c r="AO4" s="516"/>
      <c r="AP4" s="19"/>
      <c r="AQ4" s="545"/>
      <c r="AR4" s="545"/>
      <c r="AS4" s="545"/>
      <c r="AT4" s="19"/>
      <c r="AU4" s="518"/>
      <c r="AV4" s="518"/>
      <c r="AW4" s="518"/>
      <c r="AX4" s="19"/>
      <c r="AY4" s="546"/>
      <c r="AZ4" s="297"/>
      <c r="BA4" s="297"/>
      <c r="BB4" s="297"/>
      <c r="BC4" s="297"/>
      <c r="BD4" s="297"/>
      <c r="BE4" s="297"/>
      <c r="BG4" s="547" t="str">
        <f ca="1">Horarios!Q3</f>
        <v>Alemania</v>
      </c>
      <c r="BH4" s="548">
        <f ca="1">1-SUM(BI4:BO4)</f>
        <v>1</v>
      </c>
      <c r="BI4" s="548">
        <f ca="1">COUNTIF(ADMIN!$M$130:$M$161,Fixture!BG4)-BJ4-BK4-BL4-BM4-BN4-BO4</f>
        <v>0</v>
      </c>
      <c r="BJ4" s="549">
        <f ca="1">COUNTIF(ADMIN!$M$182:$M$197,Fixture!BG4)-BK4-BL4-BM4-BN4-BO4</f>
        <v>0</v>
      </c>
      <c r="BK4" s="550">
        <f ca="1">COUNTIF(ADMIN!$M$210:$M$217,Fixture!BG4)-BL4-BM4-BN4-BO4</f>
        <v>0</v>
      </c>
      <c r="BL4" s="550">
        <f ca="1">COUNTIF(ADMIN!$M$226:$M$229,BG4)-BM4-BN4-BO4</f>
        <v>0</v>
      </c>
      <c r="BM4" s="548">
        <f ca="1">COUNTIF(ADMIN!$M$252,Fixture!BG4)</f>
        <v>0</v>
      </c>
      <c r="BN4" s="548">
        <f ca="1">COUNTIF(ADMIN!$M$251,Fixture!BG4)</f>
        <v>0</v>
      </c>
      <c r="BO4" s="551">
        <f ca="1">COUNTIF(ADMIN!$M$250,Fixture!BG4)</f>
        <v>0</v>
      </c>
    </row>
    <row r="5" spans="1:67">
      <c r="A5" s="19">
        <v>25</v>
      </c>
      <c r="B5" s="528"/>
      <c r="C5" s="529" t="str">
        <f ca="1">+MID(INDEX(WORLDCUP!$AA$4:$AA$147,MATCH(A5,WORLDCUP!$AH$4:$AH$147,0)),1,3)</f>
        <v>Rep</v>
      </c>
      <c r="D5" s="530">
        <f>IF(ISBLANK(INDEX(WORLDCUP!$AC$4:$AC$147,MATCH(A5,WORLDCUP!$AH$4:$AH$147,0))),"",INDEX(WORLDCUP!$AC$4:$AC$147,MATCH(A5,WORLDCUP!$AH$4:$AH$147,0)))</f>
        <v>1</v>
      </c>
      <c r="E5" s="530">
        <f>IF(ISBLANK(INDEX(WORLDCUP!$AD$4:$AD$147,MATCH(A5,WORLDCUP!$AH$4:$AH$147,0))),"",INDEX(WORLDCUP!$AD$4:$AD$147,MATCH(A5,WORLDCUP!$AH$4:$AH$147,0)))</f>
        <v>1</v>
      </c>
      <c r="F5" s="531" t="str">
        <f ca="1">+MID(INDEX(WORLDCUP!$AF$4:$AF$147,MATCH(A5,WORLDCUP!$AH$4:$AH$147,0)),1,3)</f>
        <v>Sud</v>
      </c>
      <c r="G5" s="552">
        <v>2</v>
      </c>
      <c r="H5" s="553" t="str">
        <f ca="1">+MID(INDEX(WORLDCUP!$AL$6:$AL$97,MATCH(L5,WORLDCUP!$AI$6:$AI$97,0)),1,3)</f>
        <v>Cor</v>
      </c>
      <c r="I5" s="223">
        <f ca="1">+INDEX(WORLDCUP!$AM$6:$AM$97,MATCH(L5,WORLDCUP!$AI$6:$AI$97,0))</f>
        <v>3</v>
      </c>
      <c r="J5" s="224">
        <f ca="1">+INDEX(WORLDCUP!$AT$6:$AT$97,MATCH(L5,WORLDCUP!$AI$6:$AI$97,0))</f>
        <v>0</v>
      </c>
      <c r="K5" s="225" t="str">
        <f ca="1">+INDEX(WORLDCUP!$AR$6:$AR$97,MATCH(L5,WORLDCUP!$AI$6:$AI$97,0))&amp;"-"&amp;INDEX(WORLDCUP!$AS$6:$AS$97,MATCH(L5,WORLDCUP!$AI$6:$AI$97,0))</f>
        <v>2-2</v>
      </c>
      <c r="L5" s="19" t="s">
        <v>646</v>
      </c>
      <c r="M5" s="19">
        <v>39</v>
      </c>
      <c r="N5" s="537"/>
      <c r="O5" s="529" t="str">
        <f ca="1">+MID(INDEX(WORLDCUP!$AA$4:$AA$147,MATCH(M5,WORLDCUP!$AH$4:$AH$147,0)),1,3)</f>
        <v>Bél</v>
      </c>
      <c r="P5" s="530" t="str">
        <f>IF(ISBLANK(INDEX(WORLDCUP!$AC$4:$AC$147,MATCH(M5,WORLDCUP!$AH$4:$AH$147,0))),"",INDEX(WORLDCUP!$AC$4:$AC$147,MATCH(M5,WORLDCUP!$AH$4:$AH$147,0)))</f>
        <v/>
      </c>
      <c r="Q5" s="530" t="str">
        <f>IF(ISBLANK(INDEX(WORLDCUP!$AD$4:$AD$147,MATCH(M5,WORLDCUP!$AH$4:$AH$147,0))),"",INDEX(WORLDCUP!$AD$4:$AD$147,MATCH(M5,WORLDCUP!$AH$4:$AH$147,0)))</f>
        <v/>
      </c>
      <c r="R5" s="531" t="str">
        <f ca="1">+MID(INDEX(WORLDCUP!$AF$4:$AF$147,MATCH(M5,WORLDCUP!$AH$4:$AH$147,0)),1,3)</f>
        <v>Irá</v>
      </c>
      <c r="S5" s="552">
        <v>2</v>
      </c>
      <c r="T5" s="553" t="str">
        <f ca="1">+MID(INDEX(WORLDCUP!$AL$6:$AL$97,MATCH(X5,WORLDCUP!$AI$6:$AI$97,0)),1,3)</f>
        <v>Nue</v>
      </c>
      <c r="U5" s="223">
        <f ca="1">+INDEX(WORLDCUP!$AM$6:$AM$97,MATCH(X5,WORLDCUP!$AI$6:$AI$97,0))</f>
        <v>1</v>
      </c>
      <c r="V5" s="224">
        <f ca="1">+INDEX(WORLDCUP!$AT$6:$AT$97,MATCH(X5,WORLDCUP!$AI$6:$AI$97,0))</f>
        <v>0</v>
      </c>
      <c r="W5" s="225" t="str">
        <f ca="1">+INDEX(WORLDCUP!$AR$6:$AR$97,MATCH(X5,WORLDCUP!$AI$6:$AI$97,0))&amp;"-"&amp;INDEX(WORLDCUP!$AS$6:$AS$97,MATCH(X5,WORLDCUP!$AI$6:$AI$97,0))</f>
        <v>2-2</v>
      </c>
      <c r="X5" s="19" t="s">
        <v>668</v>
      </c>
      <c r="Y5" s="19"/>
      <c r="Z5" s="510"/>
      <c r="AA5" s="554"/>
      <c r="AB5" s="554"/>
      <c r="AC5" s="555"/>
      <c r="AD5" s="19">
        <v>89</v>
      </c>
      <c r="AE5" s="541" t="str">
        <f>+MID(INDEX(WORLDCUP!$AF$101:$AF$147,MATCH(AD5,WORLDCUP!$Z$101:$Z$147,0)),1,3)</f>
        <v>W77</v>
      </c>
      <c r="AF5" s="542" t="str">
        <f>+IF(ISBLANK(INDEX(WORLDCUP!$AD$101:$AD$147,MATCH(AD5,WORLDCUP!$Z$101:$Z$147,0))),"",INDEX(WORLDCUP!$AD$101:$AD$147,MATCH(AD5,WORLDCUP!$Z$101:$Z$147,0)))</f>
        <v/>
      </c>
      <c r="AG5" s="556" t="str">
        <f>+IF(ISBLANK(INDEX(WORLDCUP!$AE$101:$AE$147,MATCH(AD5,WORLDCUP!$Z$101:$Z$147,0))),"","( "&amp;INDEX(WORLDCUP!$AE$101:$AE$147,MATCH(AD5,WORLDCUP!$Z$101:$Z$147,0))&amp;" )")</f>
        <v/>
      </c>
      <c r="AH5" s="19"/>
      <c r="AI5" s="544"/>
      <c r="AJ5" s="544"/>
      <c r="AK5" s="544"/>
      <c r="AL5" s="92"/>
      <c r="AM5" s="516"/>
      <c r="AN5" s="516"/>
      <c r="AO5" s="516"/>
      <c r="AP5" s="19"/>
      <c r="AQ5" s="545"/>
      <c r="AR5" s="545"/>
      <c r="AS5" s="545"/>
      <c r="AT5" s="19"/>
      <c r="AU5" s="518"/>
      <c r="AV5" s="518"/>
      <c r="AW5" s="518"/>
      <c r="AX5" s="19"/>
      <c r="AY5" s="297"/>
      <c r="AZ5" s="297"/>
      <c r="BA5" s="297"/>
      <c r="BB5" s="297"/>
      <c r="BC5" s="297"/>
      <c r="BD5" s="297"/>
      <c r="BE5" s="297"/>
      <c r="BG5" s="547" t="str">
        <f ca="1">Horarios!Q4</f>
        <v>Arabia Saudita</v>
      </c>
      <c r="BH5" s="548">
        <f t="shared" ref="BH5:BH51" ca="1" si="0">1-SUM(BI5:BO5)</f>
        <v>1</v>
      </c>
      <c r="BI5" s="548">
        <f ca="1">COUNTIF(ADMIN!$M$130:$M$161,Fixture!BG5)-BJ5-BK5-BL5-BM5-BN5-BO5</f>
        <v>0</v>
      </c>
      <c r="BJ5" s="549">
        <f ca="1">COUNTIF(ADMIN!$M$182:$M$197,Fixture!BG5)-BK5-BL5-BM5-BN5-BO5</f>
        <v>0</v>
      </c>
      <c r="BK5" s="550">
        <f ca="1">COUNTIF(ADMIN!$M$210:$M$217,Fixture!BG5)-BL5-BM5-BN5-BO5</f>
        <v>0</v>
      </c>
      <c r="BL5" s="550">
        <f ca="1">COUNTIF(ADMIN!$M$226:$M$229,BG5)-BM5-BN5-BO5</f>
        <v>0</v>
      </c>
      <c r="BM5" s="548">
        <f ca="1">COUNTIF(ADMIN!$M$252,Fixture!BG5)</f>
        <v>0</v>
      </c>
      <c r="BN5" s="548">
        <f ca="1">COUNTIF(ADMIN!$M$251,Fixture!BG5)</f>
        <v>0</v>
      </c>
      <c r="BO5" s="551">
        <f ca="1">COUNTIF(ADMIN!$M$250,Fixture!BG5)</f>
        <v>0</v>
      </c>
    </row>
    <row r="6" spans="1:67" ht="15" thickBot="1">
      <c r="A6" s="19">
        <v>28</v>
      </c>
      <c r="B6" s="528"/>
      <c r="C6" s="529" t="str">
        <f ca="1">+MID(INDEX(WORLDCUP!$AA$4:$AA$147,MATCH(A6,WORLDCUP!$AH$4:$AH$147,0)),1,3)</f>
        <v>Méx</v>
      </c>
      <c r="D6" s="530">
        <f>IF(ISBLANK(INDEX(WORLDCUP!$AC$4:$AC$147,MATCH(A6,WORLDCUP!$AH$4:$AH$147,0))),"",INDEX(WORLDCUP!$AC$4:$AC$147,MATCH(A6,WORLDCUP!$AH$4:$AH$147,0)))</f>
        <v>1</v>
      </c>
      <c r="E6" s="530">
        <f>IF(ISBLANK(INDEX(WORLDCUP!$AD$4:$AD$147,MATCH(A6,WORLDCUP!$AH$4:$AH$147,0))),"",INDEX(WORLDCUP!$AD$4:$AD$147,MATCH(A6,WORLDCUP!$AH$4:$AH$147,0)))</f>
        <v>0</v>
      </c>
      <c r="F6" s="531" t="str">
        <f ca="1">+MID(INDEX(WORLDCUP!$AF$4:$AF$147,MATCH(A6,WORLDCUP!$AH$4:$AH$147,0)),1,3)</f>
        <v>Cor</v>
      </c>
      <c r="G6" s="552">
        <v>3</v>
      </c>
      <c r="H6" s="553" t="str">
        <f ca="1">+MID(INDEX(WORLDCUP!$AL$6:$AL$97,MATCH(L6,WORLDCUP!$AI$6:$AI$97,0)),1,3)</f>
        <v>Rep</v>
      </c>
      <c r="I6" s="223">
        <f ca="1">+INDEX(WORLDCUP!$AM$6:$AM$97,MATCH(L6,WORLDCUP!$AI$6:$AI$97,0))</f>
        <v>1</v>
      </c>
      <c r="J6" s="224">
        <f ca="1">+INDEX(WORLDCUP!$AT$6:$AT$97,MATCH(L6,WORLDCUP!$AI$6:$AI$97,0))</f>
        <v>-1</v>
      </c>
      <c r="K6" s="225" t="str">
        <f ca="1">+INDEX(WORLDCUP!$AR$6:$AR$97,MATCH(L6,WORLDCUP!$AI$6:$AI$97,0))&amp;"-"&amp;INDEX(WORLDCUP!$AS$6:$AS$97,MATCH(L6,WORLDCUP!$AI$6:$AI$97,0))</f>
        <v>2-3</v>
      </c>
      <c r="L6" s="19" t="s">
        <v>89</v>
      </c>
      <c r="M6" s="19">
        <v>40</v>
      </c>
      <c r="N6" s="537"/>
      <c r="O6" s="529" t="str">
        <f ca="1">+MID(INDEX(WORLDCUP!$AA$4:$AA$147,MATCH(M6,WORLDCUP!$AH$4:$AH$147,0)),1,3)</f>
        <v>Nue</v>
      </c>
      <c r="P6" s="530" t="str">
        <f>IF(ISBLANK(INDEX(WORLDCUP!$AC$4:$AC$147,MATCH(M6,WORLDCUP!$AH$4:$AH$147,0))),"",INDEX(WORLDCUP!$AC$4:$AC$147,MATCH(M6,WORLDCUP!$AH$4:$AH$147,0)))</f>
        <v/>
      </c>
      <c r="Q6" s="530" t="str">
        <f>IF(ISBLANK(INDEX(WORLDCUP!$AD$4:$AD$147,MATCH(M6,WORLDCUP!$AH$4:$AH$147,0))),"",INDEX(WORLDCUP!$AD$4:$AD$147,MATCH(M6,WORLDCUP!$AH$4:$AH$147,0)))</f>
        <v/>
      </c>
      <c r="R6" s="531" t="str">
        <f ca="1">+MID(INDEX(WORLDCUP!$AF$4:$AF$147,MATCH(M6,WORLDCUP!$AH$4:$AH$147,0)),1,3)</f>
        <v>Egi</v>
      </c>
      <c r="S6" s="552">
        <v>3</v>
      </c>
      <c r="T6" s="553" t="str">
        <f ca="1">+MID(INDEX(WORLDCUP!$AL$6:$AL$97,MATCH(X6,WORLDCUP!$AI$6:$AI$97,0)),1,3)</f>
        <v>Bél</v>
      </c>
      <c r="U6" s="223">
        <f ca="1">+INDEX(WORLDCUP!$AM$6:$AM$97,MATCH(X6,WORLDCUP!$AI$6:$AI$97,0))</f>
        <v>1</v>
      </c>
      <c r="V6" s="224">
        <f ca="1">+INDEX(WORLDCUP!$AT$6:$AT$97,MATCH(X6,WORLDCUP!$AI$6:$AI$97,0))</f>
        <v>0</v>
      </c>
      <c r="W6" s="225" t="str">
        <f ca="1">+INDEX(WORLDCUP!$AR$6:$AR$97,MATCH(X6,WORLDCUP!$AI$6:$AI$97,0))&amp;"-"&amp;INDEX(WORLDCUP!$AS$6:$AS$97,MATCH(X6,WORLDCUP!$AI$6:$AI$97,0))</f>
        <v>1-1</v>
      </c>
      <c r="X6" s="19" t="s">
        <v>435</v>
      </c>
      <c r="Y6" s="19">
        <v>77</v>
      </c>
      <c r="Z6" s="510" t="s">
        <v>673</v>
      </c>
      <c r="AA6" s="511" t="str">
        <f ca="1">+MID(INDEX(WORLDCUP!$AA$101:$AA$147,MATCH(Y6,WORLDCUP!$Z$101:$Z$147,0)),1,3)</f>
        <v>1I</v>
      </c>
      <c r="AB6" s="557" t="str">
        <f>+IF(ISBLANK(INDEX(WORLDCUP!$AC$101:$AC$147,MATCH(Y6,WORLDCUP!$Z$101:$Z$147,0))),"",INDEX(WORLDCUP!$AC$101:$AC$147,MATCH(Y6,WORLDCUP!$Z$101:$Z$147,0)))</f>
        <v/>
      </c>
      <c r="AC6" s="558" t="str">
        <f>+IF(ISBLANK(INDEX(WORLDCUP!$AB$101:$AB$147,MATCH(Y6,WORLDCUP!$Z$101:$Z$147,0))),"","( "&amp;INDEX(WORLDCUP!$AB$101:$AB$147,MATCH(Y6,WORLDCUP!$Z$101:$Z$147,0))&amp;" )")</f>
        <v/>
      </c>
      <c r="AD6" s="19"/>
      <c r="AE6" s="559"/>
      <c r="AF6" s="559"/>
      <c r="AG6" s="560"/>
      <c r="AH6" s="19"/>
      <c r="AI6" s="544"/>
      <c r="AJ6" s="544"/>
      <c r="AK6" s="544"/>
      <c r="AL6" s="92"/>
      <c r="AM6" s="516"/>
      <c r="AN6" s="516"/>
      <c r="AO6" s="516"/>
      <c r="AP6" s="19"/>
      <c r="AQ6" s="545"/>
      <c r="AR6" s="545"/>
      <c r="AS6" s="545"/>
      <c r="AT6" s="19"/>
      <c r="AU6" s="518"/>
      <c r="AV6" s="518"/>
      <c r="AW6" s="518"/>
      <c r="AX6" s="19"/>
      <c r="AY6" s="297"/>
      <c r="AZ6" s="297"/>
      <c r="BA6" s="297"/>
      <c r="BB6" s="297"/>
      <c r="BC6" s="297"/>
      <c r="BD6" s="297"/>
      <c r="BE6" s="297"/>
      <c r="BG6" s="547" t="str">
        <f ca="1">Horarios!Q5</f>
        <v>Argelia</v>
      </c>
      <c r="BH6" s="548">
        <f t="shared" ca="1" si="0"/>
        <v>1</v>
      </c>
      <c r="BI6" s="548">
        <f ca="1">COUNTIF(ADMIN!$M$130:$M$161,Fixture!BG6)-BJ6-BK6-BL6-BM6-BN6-BO6</f>
        <v>0</v>
      </c>
      <c r="BJ6" s="549">
        <f ca="1">COUNTIF(ADMIN!$M$182:$M$197,Fixture!BG6)-BK6-BL6-BM6-BN6-BO6</f>
        <v>0</v>
      </c>
      <c r="BK6" s="550">
        <f ca="1">COUNTIF(ADMIN!$M$210:$M$217,Fixture!BG6)-BL6-BM6-BN6-BO6</f>
        <v>0</v>
      </c>
      <c r="BL6" s="550">
        <f ca="1">COUNTIF(ADMIN!$M$226:$M$229,BG6)-BM6-BN6-BO6</f>
        <v>0</v>
      </c>
      <c r="BM6" s="548">
        <f ca="1">COUNTIF(ADMIN!$M$252,Fixture!BG6)</f>
        <v>0</v>
      </c>
      <c r="BN6" s="548">
        <f ca="1">COUNTIF(ADMIN!$M$251,Fixture!BG6)</f>
        <v>0</v>
      </c>
      <c r="BO6" s="551">
        <f ca="1">COUNTIF(ADMIN!$M$250,Fixture!BG6)</f>
        <v>0</v>
      </c>
    </row>
    <row r="7" spans="1:67" ht="15" thickBot="1">
      <c r="A7" s="19">
        <v>53</v>
      </c>
      <c r="B7" s="528"/>
      <c r="C7" s="529" t="str">
        <f ca="1">+MID(INDEX(WORLDCUP!$AA$4:$AA$147,MATCH(A7,WORLDCUP!$AH$4:$AH$147,0)),1,3)</f>
        <v>Rep</v>
      </c>
      <c r="D7" s="530" t="str">
        <f>IF(ISBLANK(INDEX(WORLDCUP!$AC$4:$AC$147,MATCH(A7,WORLDCUP!$AH$4:$AH$147,0))),"",INDEX(WORLDCUP!$AC$4:$AC$147,MATCH(A7,WORLDCUP!$AH$4:$AH$147,0)))</f>
        <v/>
      </c>
      <c r="E7" s="530" t="str">
        <f>IF(ISBLANK(INDEX(WORLDCUP!$AD$4:$AD$147,MATCH(A7,WORLDCUP!$AH$4:$AH$147,0))),"",INDEX(WORLDCUP!$AD$4:$AD$147,MATCH(A7,WORLDCUP!$AH$4:$AH$147,0)))</f>
        <v/>
      </c>
      <c r="F7" s="531" t="str">
        <f ca="1">+MID(INDEX(WORLDCUP!$AF$4:$AF$147,MATCH(A7,WORLDCUP!$AH$4:$AH$147,0)),1,3)</f>
        <v>Méx</v>
      </c>
      <c r="G7" s="552">
        <v>4</v>
      </c>
      <c r="H7" s="561" t="str">
        <f ca="1">+MID(INDEX(WORLDCUP!$AL$6:$AL$97,MATCH(L7,WORLDCUP!$AI$6:$AI$97,0)),1,3)</f>
        <v>Sud</v>
      </c>
      <c r="I7" s="562">
        <f ca="1">+INDEX(WORLDCUP!$AM$6:$AM$97,MATCH(L7,WORLDCUP!$AI$6:$AI$97,0))</f>
        <v>1</v>
      </c>
      <c r="J7" s="563">
        <f ca="1">+INDEX(WORLDCUP!$AT$6:$AT$97,MATCH(L7,WORLDCUP!$AI$6:$AI$97,0))</f>
        <v>-2</v>
      </c>
      <c r="K7" s="564" t="str">
        <f ca="1">+INDEX(WORLDCUP!$AR$6:$AR$97,MATCH(L7,WORLDCUP!$AI$6:$AI$97,0))&amp;"-"&amp;INDEX(WORLDCUP!$AS$6:$AS$97,MATCH(L7,WORLDCUP!$AI$6:$AI$97,0))</f>
        <v>1-3</v>
      </c>
      <c r="L7" s="19" t="s">
        <v>647</v>
      </c>
      <c r="M7" s="19">
        <v>63</v>
      </c>
      <c r="N7" s="537"/>
      <c r="O7" s="529" t="str">
        <f ca="1">+MID(INDEX(WORLDCUP!$AA$4:$AA$147,MATCH(M7,WORLDCUP!$AH$4:$AH$147,0)),1,3)</f>
        <v>Egi</v>
      </c>
      <c r="P7" s="530" t="str">
        <f>IF(ISBLANK(INDEX(WORLDCUP!$AC$4:$AC$147,MATCH(M7,WORLDCUP!$AH$4:$AH$147,0))),"",INDEX(WORLDCUP!$AC$4:$AC$147,MATCH(M7,WORLDCUP!$AH$4:$AH$147,0)))</f>
        <v/>
      </c>
      <c r="Q7" s="530" t="str">
        <f>IF(ISBLANK(INDEX(WORLDCUP!$AD$4:$AD$147,MATCH(M7,WORLDCUP!$AH$4:$AH$147,0))),"",INDEX(WORLDCUP!$AD$4:$AD$147,MATCH(M7,WORLDCUP!$AH$4:$AH$147,0)))</f>
        <v/>
      </c>
      <c r="R7" s="531" t="str">
        <f ca="1">+MID(INDEX(WORLDCUP!$AF$4:$AF$147,MATCH(M7,WORLDCUP!$AH$4:$AH$147,0)),1,3)</f>
        <v>Irá</v>
      </c>
      <c r="S7" s="552">
        <v>4</v>
      </c>
      <c r="T7" s="561" t="str">
        <f ca="1">+MID(INDEX(WORLDCUP!$AL$6:$AL$97,MATCH(X7,WORLDCUP!$AI$6:$AI$97,0)),1,3)</f>
        <v>Egi</v>
      </c>
      <c r="U7" s="562">
        <f ca="1">+INDEX(WORLDCUP!$AM$6:$AM$97,MATCH(X7,WORLDCUP!$AI$6:$AI$97,0))</f>
        <v>1</v>
      </c>
      <c r="V7" s="563">
        <f ca="1">+INDEX(WORLDCUP!$AT$6:$AT$97,MATCH(X7,WORLDCUP!$AI$6:$AI$97,0))</f>
        <v>0</v>
      </c>
      <c r="W7" s="564" t="str">
        <f ca="1">+INDEX(WORLDCUP!$AR$6:$AR$97,MATCH(X7,WORLDCUP!$AI$6:$AI$97,0))&amp;"-"&amp;INDEX(WORLDCUP!$AS$6:$AS$97,MATCH(X7,WORLDCUP!$AI$6:$AI$97,0))</f>
        <v>1-1</v>
      </c>
      <c r="X7" s="19" t="s">
        <v>669</v>
      </c>
      <c r="Y7" s="19">
        <v>77</v>
      </c>
      <c r="Z7" s="510" t="s">
        <v>723</v>
      </c>
      <c r="AA7" s="565" t="str">
        <f ca="1">+MID(INDEX(WORLDCUP!$AF$101:$AF$147,MATCH(Y7,WORLDCUP!$Z$101:$Z$147,0)),1,IF(WORLDCUP!$H$113&lt;144,6,3))</f>
        <v>3CDFGH</v>
      </c>
      <c r="AB7" s="566" t="str">
        <f>+IF(ISBLANK(INDEX(WORLDCUP!$AD$101:$AD$147,MATCH(Y7,WORLDCUP!$Z$101:$Z$147,0))),"",INDEX(WORLDCUP!$AD$101:$AD$147,MATCH(Y7,WORLDCUP!$Z$101:$Z$147,0)))</f>
        <v/>
      </c>
      <c r="AC7" s="567" t="str">
        <f>+IF(ISBLANK(INDEX(WORLDCUP!$AE$101:$AE$147,MATCH(Y7,WORLDCUP!$Z$101:$Z$147,0))),"","( "&amp;INDEX(WORLDCUP!$AE$101:$AE$147,MATCH(Y7,WORLDCUP!$Z$101:$Z$147,0))&amp;" )")</f>
        <v/>
      </c>
      <c r="AD7" s="19"/>
      <c r="AE7" s="559"/>
      <c r="AF7" s="559"/>
      <c r="AG7" s="560"/>
      <c r="AH7" s="540">
        <v>97</v>
      </c>
      <c r="AI7" s="568" t="str">
        <f>+MID(INDEX(WORLDCUP!$AA$101:$AA$147,MATCH(AH7,WORLDCUP!$Z$101:$Z$147,0)),1,3)</f>
        <v>W89</v>
      </c>
      <c r="AJ7" s="569" t="str">
        <f>+IF(ISBLANK(INDEX(WORLDCUP!$AC$101:$AC$147,MATCH(AH7,WORLDCUP!$Z$101:$Z$147,0))),"",INDEX(WORLDCUP!$AC$101:$AC$147,MATCH(AH7,WORLDCUP!$Z$101:$Z$147,0)))</f>
        <v/>
      </c>
      <c r="AK7" s="570" t="str">
        <f>+IF(ISBLANK(INDEX(WORLDCUP!$AB$101:$AB$147,MATCH(AH7,WORLDCUP!$Z$101:$Z$147,0))),"","( "&amp;INDEX(WORLDCUP!$AB$101:$AB$147,MATCH(AH7,WORLDCUP!$Z$101:$Z$147,0))&amp;" )")</f>
        <v/>
      </c>
      <c r="AL7" s="92"/>
      <c r="AM7" s="516"/>
      <c r="AN7" s="516"/>
      <c r="AO7" s="516"/>
      <c r="AP7" s="19"/>
      <c r="AQ7" s="545"/>
      <c r="AR7" s="545"/>
      <c r="AS7" s="545"/>
      <c r="AT7" s="19"/>
      <c r="AU7" s="518"/>
      <c r="AV7" s="518"/>
      <c r="AW7" s="518"/>
      <c r="AX7" s="19"/>
      <c r="AY7" s="297"/>
      <c r="AZ7" s="297"/>
      <c r="BA7" s="297"/>
      <c r="BB7" s="297"/>
      <c r="BC7" s="297"/>
      <c r="BD7" s="297"/>
      <c r="BE7" s="297"/>
      <c r="BG7" s="547" t="str">
        <f ca="1">Horarios!Q6</f>
        <v>Argentina</v>
      </c>
      <c r="BH7" s="548">
        <f t="shared" ca="1" si="0"/>
        <v>1</v>
      </c>
      <c r="BI7" s="548">
        <f ca="1">COUNTIF(ADMIN!$M$130:$M$161,Fixture!BG7)-BJ7-BK7-BL7-BM7-BN7-BO7</f>
        <v>0</v>
      </c>
      <c r="BJ7" s="549">
        <f ca="1">COUNTIF(ADMIN!$M$182:$M$197,Fixture!BG7)-BK7-BL7-BM7-BN7-BO7</f>
        <v>0</v>
      </c>
      <c r="BK7" s="550">
        <f ca="1">COUNTIF(ADMIN!$M$210:$M$217,Fixture!BG7)-BL7-BM7-BN7-BO7</f>
        <v>0</v>
      </c>
      <c r="BL7" s="550">
        <f ca="1">COUNTIF(ADMIN!$M$226:$M$229,BG7)-BM7-BN7-BO7</f>
        <v>0</v>
      </c>
      <c r="BM7" s="548">
        <f ca="1">COUNTIF(ADMIN!$M$252,Fixture!BG7)</f>
        <v>0</v>
      </c>
      <c r="BN7" s="548">
        <f ca="1">COUNTIF(ADMIN!$M$251,Fixture!BG7)</f>
        <v>0</v>
      </c>
      <c r="BO7" s="551">
        <f ca="1">COUNTIF(ADMIN!$M$250,Fixture!BG7)</f>
        <v>0</v>
      </c>
    </row>
    <row r="8" spans="1:67" ht="15" thickBot="1">
      <c r="A8" s="19">
        <v>54</v>
      </c>
      <c r="B8" s="571"/>
      <c r="C8" s="572" t="str">
        <f ca="1">+MID(INDEX(WORLDCUP!$AA$4:$AA$147,MATCH(A8,WORLDCUP!$AH$4:$AH$147,0)),1,3)</f>
        <v>Sud</v>
      </c>
      <c r="D8" s="573" t="str">
        <f>IF(ISBLANK(INDEX(WORLDCUP!$AC$4:$AC$147,MATCH(A8,WORLDCUP!$AH$4:$AH$147,0))),"",INDEX(WORLDCUP!$AC$4:$AC$147,MATCH(A8,WORLDCUP!$AH$4:$AH$147,0)))</f>
        <v/>
      </c>
      <c r="E8" s="573" t="str">
        <f>IF(ISBLANK(INDEX(WORLDCUP!$AD$4:$AD$147,MATCH(A8,WORLDCUP!$AH$4:$AH$147,0))),"",INDEX(WORLDCUP!$AD$4:$AD$147,MATCH(A8,WORLDCUP!$AH$4:$AH$147,0)))</f>
        <v/>
      </c>
      <c r="F8" s="574" t="str">
        <f ca="1">+MID(INDEX(WORLDCUP!$AF$4:$AF$147,MATCH(A8,WORLDCUP!$AH$4:$AH$147,0)),1,3)</f>
        <v>Cor</v>
      </c>
      <c r="G8" s="575"/>
      <c r="H8" s="575"/>
      <c r="I8" s="576"/>
      <c r="J8" s="576"/>
      <c r="K8" s="577"/>
      <c r="L8" s="19"/>
      <c r="M8" s="19">
        <v>64</v>
      </c>
      <c r="N8" s="578"/>
      <c r="O8" s="572" t="str">
        <f ca="1">+MID(INDEX(WORLDCUP!$AA$4:$AA$147,MATCH(M8,WORLDCUP!$AH$4:$AH$147,0)),1,3)</f>
        <v>Nue</v>
      </c>
      <c r="P8" s="573" t="str">
        <f>IF(ISBLANK(INDEX(WORLDCUP!$AC$4:$AC$147,MATCH(M8,WORLDCUP!$AH$4:$AH$147,0))),"",INDEX(WORLDCUP!$AC$4:$AC$147,MATCH(M8,WORLDCUP!$AH$4:$AH$147,0)))</f>
        <v/>
      </c>
      <c r="Q8" s="573" t="str">
        <f>IF(ISBLANK(INDEX(WORLDCUP!$AD$4:$AD$147,MATCH(M8,WORLDCUP!$AH$4:$AH$147,0))),"",INDEX(WORLDCUP!$AD$4:$AD$147,MATCH(M8,WORLDCUP!$AH$4:$AH$147,0)))</f>
        <v/>
      </c>
      <c r="R8" s="574" t="str">
        <f ca="1">+MID(INDEX(WORLDCUP!$AF$4:$AF$147,MATCH(M8,WORLDCUP!$AH$4:$AH$147,0)),1,3)</f>
        <v>Bél</v>
      </c>
      <c r="S8" s="575"/>
      <c r="T8" s="575"/>
      <c r="U8" s="576"/>
      <c r="V8" s="576"/>
      <c r="W8" s="577"/>
      <c r="X8" s="19"/>
      <c r="Y8" s="19"/>
      <c r="Z8" s="510"/>
      <c r="AA8" s="579"/>
      <c r="AB8" s="579"/>
      <c r="AC8" s="579"/>
      <c r="AD8" s="19"/>
      <c r="AE8" s="514"/>
      <c r="AF8" s="514"/>
      <c r="AG8" s="560"/>
      <c r="AH8" s="19">
        <v>97</v>
      </c>
      <c r="AI8" s="568" t="str">
        <f>+MID(INDEX(WORLDCUP!$AF$101:$AF$147,MATCH(AH8,WORLDCUP!$Z$101:$Z$147,0)),1,3)</f>
        <v>W90</v>
      </c>
      <c r="AJ8" s="569" t="str">
        <f>+IF(ISBLANK(INDEX(WORLDCUP!$AD$101:$AD$147,MATCH(AH8,WORLDCUP!$Z$101:$Z$147,0))),"",INDEX(WORLDCUP!$AD$101:$AD$147,MATCH(AH8,WORLDCUP!$Z$101:$Z$147,0)))</f>
        <v/>
      </c>
      <c r="AK8" s="580" t="str">
        <f>+IF(ISBLANK(INDEX(WORLDCUP!$AE$101:$AE$147,MATCH(AH8,WORLDCUP!$Z$101:$Z$147,0))),"","( "&amp;INDEX(WORLDCUP!$AE$101:$AE$147,MATCH(AH8,WORLDCUP!$Z$101:$Z$147,0))&amp;" )")</f>
        <v/>
      </c>
      <c r="AL8" s="92"/>
      <c r="AM8" s="516"/>
      <c r="AN8" s="516"/>
      <c r="AO8" s="516"/>
      <c r="AP8" s="19"/>
      <c r="AQ8" s="545"/>
      <c r="AR8" s="545"/>
      <c r="AS8" s="545"/>
      <c r="AT8" s="19"/>
      <c r="AU8" s="518"/>
      <c r="AV8" s="518"/>
      <c r="AW8" s="518"/>
      <c r="AX8" s="19"/>
      <c r="AY8" s="297"/>
      <c r="AZ8" s="297"/>
      <c r="BA8" s="297"/>
      <c r="BB8" s="297"/>
      <c r="BC8" s="297"/>
      <c r="BD8" s="297"/>
      <c r="BE8" s="297"/>
      <c r="BG8" s="547" t="str">
        <f ca="1">Horarios!Q7</f>
        <v>Australia</v>
      </c>
      <c r="BH8" s="548">
        <f t="shared" ca="1" si="0"/>
        <v>1</v>
      </c>
      <c r="BI8" s="548">
        <f ca="1">COUNTIF(ADMIN!$M$130:$M$161,Fixture!BG8)-BJ8-BK8-BL8-BM8-BN8-BO8</f>
        <v>0</v>
      </c>
      <c r="BJ8" s="549">
        <f ca="1">COUNTIF(ADMIN!$M$182:$M$197,Fixture!BG8)-BK8-BL8-BM8-BN8-BO8</f>
        <v>0</v>
      </c>
      <c r="BK8" s="550">
        <f ca="1">COUNTIF(ADMIN!$M$210:$M$217,Fixture!BG8)-BL8-BM8-BN8-BO8</f>
        <v>0</v>
      </c>
      <c r="BL8" s="550">
        <f ca="1">COUNTIF(ADMIN!$M$226:$M$229,BG8)-BM8-BN8-BO8</f>
        <v>0</v>
      </c>
      <c r="BM8" s="548">
        <f ca="1">COUNTIF(ADMIN!$M$252,Fixture!BG8)</f>
        <v>0</v>
      </c>
      <c r="BN8" s="548">
        <f ca="1">COUNTIF(ADMIN!$M$251,Fixture!BG8)</f>
        <v>0</v>
      </c>
      <c r="BO8" s="551">
        <f ca="1">COUNTIF(ADMIN!$M$250,Fixture!BG8)</f>
        <v>0</v>
      </c>
    </row>
    <row r="9" spans="1:67" ht="15" thickBot="1">
      <c r="A9" s="19"/>
      <c r="B9" s="497"/>
      <c r="C9" s="581"/>
      <c r="D9" s="441"/>
      <c r="E9" s="441"/>
      <c r="F9" s="297"/>
      <c r="G9" s="297"/>
      <c r="H9" s="581"/>
      <c r="I9" s="297"/>
      <c r="J9" s="297"/>
      <c r="K9" s="297"/>
      <c r="L9" s="19"/>
      <c r="M9" s="19"/>
      <c r="N9" s="247"/>
      <c r="O9" s="581"/>
      <c r="P9" s="441"/>
      <c r="Q9" s="441"/>
      <c r="R9" s="297"/>
      <c r="S9" s="297"/>
      <c r="T9" s="581"/>
      <c r="U9" s="297"/>
      <c r="V9" s="297"/>
      <c r="W9" s="297"/>
      <c r="X9" s="19"/>
      <c r="Y9" s="19">
        <v>73</v>
      </c>
      <c r="Z9" s="510" t="s">
        <v>646</v>
      </c>
      <c r="AA9" s="511" t="str">
        <f ca="1">+MID(INDEX(WORLDCUP!$AA$101:$AA$147,MATCH(Y9,WORLDCUP!$Z$101:$Z$147,0)),1,3)</f>
        <v>2A</v>
      </c>
      <c r="AB9" s="512" t="str">
        <f>+IF(ISBLANK(INDEX(WORLDCUP!$AC$101:$AC$147,MATCH(Y9,WORLDCUP!$Z$101:$Z$147,0))),"",INDEX(WORLDCUP!$AC$101:$AC$147,MATCH(Y9,WORLDCUP!$Z$101:$Z$147,0)))</f>
        <v/>
      </c>
      <c r="AC9" s="582" t="str">
        <f>+IF(ISBLANK(INDEX(WORLDCUP!$AB$101:$AB$147,MATCH(Y9,WORLDCUP!$Z$101:$Z$147,0))),"","( "&amp;INDEX(WORLDCUP!$AB$101:$AB$147,MATCH(Y9,WORLDCUP!$Z$101:$Z$147,0))&amp;" )")</f>
        <v/>
      </c>
      <c r="AD9" s="18"/>
      <c r="AE9" s="514"/>
      <c r="AF9" s="514"/>
      <c r="AG9" s="560"/>
      <c r="AH9" s="19"/>
      <c r="AI9" s="544"/>
      <c r="AJ9" s="544"/>
      <c r="AK9" s="583"/>
      <c r="AL9" s="92"/>
      <c r="AM9" s="516"/>
      <c r="AN9" s="516"/>
      <c r="AO9" s="516"/>
      <c r="AP9" s="19"/>
      <c r="AQ9" s="545"/>
      <c r="AR9" s="545"/>
      <c r="AS9" s="545"/>
      <c r="AT9" s="19"/>
      <c r="AU9" s="518"/>
      <c r="AV9" s="518"/>
      <c r="AW9" s="518"/>
      <c r="AX9" s="19"/>
      <c r="AY9" s="297"/>
      <c r="AZ9" s="297"/>
      <c r="BA9" s="297"/>
      <c r="BB9" s="297"/>
      <c r="BC9" s="297"/>
      <c r="BD9" s="297"/>
      <c r="BE9" s="297"/>
      <c r="BG9" s="547" t="str">
        <f ca="1">Horarios!Q8</f>
        <v>Austria</v>
      </c>
      <c r="BH9" s="548">
        <f t="shared" ca="1" si="0"/>
        <v>1</v>
      </c>
      <c r="BI9" s="548">
        <f ca="1">COUNTIF(ADMIN!$M$130:$M$161,Fixture!BG9)-BJ9-BK9-BL9-BM9-BN9-BO9</f>
        <v>0</v>
      </c>
      <c r="BJ9" s="549">
        <f ca="1">COUNTIF(ADMIN!$M$182:$M$197,Fixture!BG9)-BK9-BL9-BM9-BN9-BO9</f>
        <v>0</v>
      </c>
      <c r="BK9" s="550">
        <f ca="1">COUNTIF(ADMIN!$M$210:$M$217,Fixture!BG9)-BL9-BM9-BN9-BO9</f>
        <v>0</v>
      </c>
      <c r="BL9" s="550">
        <f ca="1">COUNTIF(ADMIN!$M$226:$M$229,BG9)-BM9-BN9-BO9</f>
        <v>0</v>
      </c>
      <c r="BM9" s="548">
        <f ca="1">COUNTIF(ADMIN!$M$252,Fixture!BG9)</f>
        <v>0</v>
      </c>
      <c r="BN9" s="548">
        <f ca="1">COUNTIF(ADMIN!$M$251,Fixture!BG9)</f>
        <v>0</v>
      </c>
      <c r="BO9" s="551">
        <f ca="1">COUNTIF(ADMIN!$M$250,Fixture!BG9)</f>
        <v>0</v>
      </c>
    </row>
    <row r="10" spans="1:67" ht="15" thickBot="1">
      <c r="A10" s="19"/>
      <c r="B10" s="497"/>
      <c r="C10" s="581"/>
      <c r="D10" s="441"/>
      <c r="E10" s="441"/>
      <c r="F10" s="297"/>
      <c r="G10" s="297"/>
      <c r="H10" s="581"/>
      <c r="I10" s="297"/>
      <c r="J10" s="297"/>
      <c r="K10" s="297"/>
      <c r="L10" s="19"/>
      <c r="M10" s="19"/>
      <c r="N10" s="247"/>
      <c r="O10" s="581"/>
      <c r="P10" s="441"/>
      <c r="Q10" s="441"/>
      <c r="R10" s="297"/>
      <c r="S10" s="297"/>
      <c r="T10" s="581"/>
      <c r="U10" s="297"/>
      <c r="V10" s="297"/>
      <c r="W10" s="297"/>
      <c r="X10" s="19"/>
      <c r="Y10" s="19">
        <v>73</v>
      </c>
      <c r="Z10" s="510" t="s">
        <v>649</v>
      </c>
      <c r="AA10" s="511" t="str">
        <f ca="1">+MID(INDEX(WORLDCUP!$AF$101:$AF$147,MATCH(Y10,WORLDCUP!$Z$101:$Z$147,0)),1,3)</f>
        <v>2B</v>
      </c>
      <c r="AB10" s="538" t="str">
        <f>+IF(ISBLANK(INDEX(WORLDCUP!$AD$101:$AD$147,MATCH(Y10,WORLDCUP!$Z$101:$Z$147,0))),"",INDEX(WORLDCUP!$AD$101:$AD$147,MATCH(Y10,WORLDCUP!$Z$101:$Z$147,0)))</f>
        <v/>
      </c>
      <c r="AC10" s="539" t="str">
        <f>+IF(ISBLANK(INDEX(WORLDCUP!$AE$101:$AE$147,MATCH(Y10,WORLDCUP!$Z$101:$Z$147,0))),"","( "&amp;INDEX(WORLDCUP!$AE$101:$AE$147,MATCH(Y10,WORLDCUP!$Z$101:$Z$147,0))&amp;" )")</f>
        <v/>
      </c>
      <c r="AD10" s="584">
        <v>90</v>
      </c>
      <c r="AE10" s="541" t="str">
        <f>+MID(INDEX(WORLDCUP!$AA$101:$AA$147,MATCH(AD10,WORLDCUP!$Z$101:$Z$147,0)),1,3)</f>
        <v>W73</v>
      </c>
      <c r="AF10" s="542" t="str">
        <f>+IF(ISBLANK(INDEX(WORLDCUP!$AC$101:$AC$147,MATCH(AD10,WORLDCUP!$Z$101:$Z$147,0))),"",INDEX(WORLDCUP!$AC$101:$AC$147,MATCH(AD10,WORLDCUP!$Z$101:$Z$147,0)))</f>
        <v/>
      </c>
      <c r="AG10" s="585" t="str">
        <f>+IF(ISBLANK(INDEX(WORLDCUP!$AB$101:$AB$147,MATCH(AD10,WORLDCUP!$Z$101:$Z$147,0))),"","( "&amp;INDEX(WORLDCUP!$AB$101:$AB$147,MATCH(AD10,WORLDCUP!$Z$101:$Z$147,0))&amp;" )")</f>
        <v/>
      </c>
      <c r="AH10" s="19"/>
      <c r="AI10" s="544"/>
      <c r="AJ10" s="544"/>
      <c r="AK10" s="583"/>
      <c r="AL10" s="92"/>
      <c r="AM10" s="516"/>
      <c r="AN10" s="516"/>
      <c r="AO10" s="516"/>
      <c r="AP10" s="19"/>
      <c r="AQ10" s="545"/>
      <c r="AR10" s="545"/>
      <c r="AS10" s="545"/>
      <c r="AT10" s="19"/>
      <c r="AU10" s="518"/>
      <c r="AV10" s="518"/>
      <c r="AW10" s="518"/>
      <c r="AX10" s="19"/>
      <c r="AY10" s="297"/>
      <c r="AZ10" s="247"/>
      <c r="BA10" s="247"/>
      <c r="BB10" s="175"/>
      <c r="BC10" s="581"/>
      <c r="BD10" s="441"/>
      <c r="BE10" s="441"/>
      <c r="BF10" s="586"/>
      <c r="BG10" s="547" t="str">
        <f ca="1">Horarios!Q9</f>
        <v>Bélgica</v>
      </c>
      <c r="BH10" s="548">
        <f t="shared" ca="1" si="0"/>
        <v>1</v>
      </c>
      <c r="BI10" s="548">
        <f ca="1">COUNTIF(ADMIN!$M$130:$M$161,Fixture!BG10)-BJ10-BK10-BL10-BM10-BN10-BO10</f>
        <v>0</v>
      </c>
      <c r="BJ10" s="549">
        <f ca="1">COUNTIF(ADMIN!$M$182:$M$197,Fixture!BG10)-BK10-BL10-BM10-BN10-BO10</f>
        <v>0</v>
      </c>
      <c r="BK10" s="550">
        <f ca="1">COUNTIF(ADMIN!$M$210:$M$217,Fixture!BG10)-BL10-BM10-BN10-BO10</f>
        <v>0</v>
      </c>
      <c r="BL10" s="550">
        <f ca="1">COUNTIF(ADMIN!$M$226:$M$229,BG10)-BM10-BN10-BO10</f>
        <v>0</v>
      </c>
      <c r="BM10" s="548">
        <f ca="1">COUNTIF(ADMIN!$M$252,Fixture!BG10)</f>
        <v>0</v>
      </c>
      <c r="BN10" s="548">
        <f ca="1">COUNTIF(ADMIN!$M$251,Fixture!BG10)</f>
        <v>0</v>
      </c>
      <c r="BO10" s="551">
        <f ca="1">COUNTIF(ADMIN!$M$250,Fixture!BG10)</f>
        <v>0</v>
      </c>
    </row>
    <row r="11" spans="1:67">
      <c r="A11" s="19">
        <v>3</v>
      </c>
      <c r="B11" s="587" t="s">
        <v>1</v>
      </c>
      <c r="C11" s="502" t="str">
        <f ca="1">+MID(INDEX(WORLDCUP!$AA$4:$AA$147,MATCH(A11,WORLDCUP!$AH$4:$AH$147,0)),1,3)</f>
        <v>Can</v>
      </c>
      <c r="D11" s="503">
        <f>IF(ISBLANK(INDEX(WORLDCUP!$AC$4:$AC$147,MATCH(A11,WORLDCUP!$AH$4:$AH$147,0))),"",INDEX(WORLDCUP!$AC$4:$AC$147,MATCH(A11,WORLDCUP!$AH$4:$AH$147,0)))</f>
        <v>1</v>
      </c>
      <c r="E11" s="503">
        <f>IF(ISBLANK(INDEX(WORLDCUP!$AD$4:$AD$147,MATCH(A11,WORLDCUP!$AH$4:$AH$147,0))),"",INDEX(WORLDCUP!$AD$4:$AD$147,MATCH(A11,WORLDCUP!$AH$4:$AH$147,0)))</f>
        <v>1</v>
      </c>
      <c r="F11" s="504" t="str">
        <f ca="1">+MID(INDEX(WORLDCUP!$AF$4:$AF$147,MATCH(A11,WORLDCUP!$AH$4:$AH$147,0)),1,3)</f>
        <v>Bos</v>
      </c>
      <c r="G11" s="505"/>
      <c r="H11" s="506" t="str">
        <f>+H3</f>
        <v>Sel</v>
      </c>
      <c r="I11" s="507" t="str">
        <f>+I3</f>
        <v>Pts</v>
      </c>
      <c r="J11" s="507" t="str">
        <f>+J3</f>
        <v>DG</v>
      </c>
      <c r="K11" s="508" t="str">
        <f>+K3</f>
        <v>GF-GC</v>
      </c>
      <c r="L11" s="19"/>
      <c r="M11" s="19">
        <v>14</v>
      </c>
      <c r="N11" s="588" t="s">
        <v>437</v>
      </c>
      <c r="O11" s="502" t="str">
        <f ca="1">+MID(INDEX(WORLDCUP!$AA$4:$AA$147,MATCH(M11,WORLDCUP!$AH$4:$AH$147,0)),1,3)</f>
        <v>Esp</v>
      </c>
      <c r="P11" s="503">
        <f>IF(ISBLANK(INDEX(WORLDCUP!$AC$4:$AC$147,MATCH(M11,WORLDCUP!$AH$4:$AH$147,0))),"",INDEX(WORLDCUP!$AC$4:$AC$147,MATCH(M11,WORLDCUP!$AH$4:$AH$147,0)))</f>
        <v>0</v>
      </c>
      <c r="Q11" s="503">
        <f>IF(ISBLANK(INDEX(WORLDCUP!$AD$4:$AD$147,MATCH(M11,WORLDCUP!$AH$4:$AH$147,0))),"",INDEX(WORLDCUP!$AD$4:$AD$147,MATCH(M11,WORLDCUP!$AH$4:$AH$147,0)))</f>
        <v>0</v>
      </c>
      <c r="R11" s="504" t="str">
        <f ca="1">+MID(INDEX(WORLDCUP!$AF$4:$AF$147,MATCH(M11,WORLDCUP!$AH$4:$AH$147,0)),1,3)</f>
        <v>Cab</v>
      </c>
      <c r="S11" s="505"/>
      <c r="T11" s="506" t="str">
        <f>+T3</f>
        <v>Sel</v>
      </c>
      <c r="U11" s="507" t="str">
        <f t="shared" ref="U11:W11" si="1">+U3</f>
        <v>Pts</v>
      </c>
      <c r="V11" s="507" t="str">
        <f t="shared" si="1"/>
        <v>DG</v>
      </c>
      <c r="W11" s="508" t="str">
        <f t="shared" si="1"/>
        <v>GF-GC</v>
      </c>
      <c r="X11" s="19"/>
      <c r="Y11" s="19"/>
      <c r="Z11" s="510"/>
      <c r="AA11" s="554"/>
      <c r="AB11" s="554"/>
      <c r="AC11" s="555"/>
      <c r="AD11" s="19">
        <v>90</v>
      </c>
      <c r="AE11" s="541" t="str">
        <f>+MID(INDEX(WORLDCUP!$AF$101:$AF$147,MATCH(AD11,WORLDCUP!$Z$101:$Z$147,0)),1,3)</f>
        <v>W75</v>
      </c>
      <c r="AF11" s="542" t="str">
        <f>+IF(ISBLANK(INDEX(WORLDCUP!$AD$101:$AD$147,MATCH(AD11,WORLDCUP!$Z$101:$Z$147,0))),"",INDEX(WORLDCUP!$AD$101:$AD$147,MATCH(AD11,WORLDCUP!$Z$101:$Z$147,0)))</f>
        <v/>
      </c>
      <c r="AG11" s="559" t="str">
        <f>+IF(ISBLANK(INDEX(WORLDCUP!$AE$101:$AE$147,MATCH(AD11,WORLDCUP!$Z$101:$Z$147,0))),"","( "&amp;INDEX(WORLDCUP!$AE$101:$AE$147,MATCH(AD11,WORLDCUP!$Z$101:$Z$147,0))&amp;" )")</f>
        <v/>
      </c>
      <c r="AH11" s="19"/>
      <c r="AI11" s="544"/>
      <c r="AJ11" s="544"/>
      <c r="AK11" s="583"/>
      <c r="AL11" s="92"/>
      <c r="AM11" s="516"/>
      <c r="AN11" s="516"/>
      <c r="AO11" s="516"/>
      <c r="AP11" s="19"/>
      <c r="AQ11" s="545"/>
      <c r="AR11" s="545"/>
      <c r="AS11" s="545"/>
      <c r="AT11" s="19"/>
      <c r="AU11" s="518"/>
      <c r="AV11" s="518"/>
      <c r="AW11" s="518"/>
      <c r="AX11" s="19"/>
      <c r="AY11" s="297"/>
      <c r="AZ11" s="297"/>
      <c r="BA11" s="297"/>
      <c r="BB11" s="297"/>
      <c r="BC11" s="297"/>
      <c r="BD11" s="297"/>
      <c r="BE11" s="297"/>
      <c r="BG11" s="547" t="str">
        <f ca="1">Horarios!Q10</f>
        <v>Bosnia y Herzegovina</v>
      </c>
      <c r="BH11" s="548">
        <f t="shared" ca="1" si="0"/>
        <v>1</v>
      </c>
      <c r="BI11" s="548">
        <f ca="1">COUNTIF(ADMIN!$M$130:$M$161,Fixture!BG11)-BJ11-BK11-BL11-BM11-BN11-BO11</f>
        <v>0</v>
      </c>
      <c r="BJ11" s="549">
        <f ca="1">COUNTIF(ADMIN!$M$182:$M$197,Fixture!BG11)-BK11-BL11-BM11-BN11-BO11</f>
        <v>0</v>
      </c>
      <c r="BK11" s="550">
        <f ca="1">COUNTIF(ADMIN!$M$210:$M$217,Fixture!BG11)-BL11-BM11-BN11-BO11</f>
        <v>0</v>
      </c>
      <c r="BL11" s="550">
        <f ca="1">COUNTIF(ADMIN!$M$226:$M$229,BG11)-BM11-BN11-BO11</f>
        <v>0</v>
      </c>
      <c r="BM11" s="548">
        <f ca="1">COUNTIF(ADMIN!$M$252,Fixture!BG11)</f>
        <v>0</v>
      </c>
      <c r="BN11" s="548">
        <f ca="1">COUNTIF(ADMIN!$M$251,Fixture!BG11)</f>
        <v>0</v>
      </c>
      <c r="BO11" s="551">
        <f ca="1">COUNTIF(ADMIN!$M$250,Fixture!BG11)</f>
        <v>0</v>
      </c>
    </row>
    <row r="12" spans="1:67" ht="15" thickBot="1">
      <c r="A12" s="19">
        <v>8</v>
      </c>
      <c r="B12" s="589"/>
      <c r="C12" s="529" t="str">
        <f ca="1">+MID(INDEX(WORLDCUP!$AA$4:$AA$147,MATCH(A12,WORLDCUP!$AH$4:$AH$147,0)),1,3)</f>
        <v>Cat</v>
      </c>
      <c r="D12" s="530">
        <f>IF(ISBLANK(INDEX(WORLDCUP!$AC$4:$AC$147,MATCH(A12,WORLDCUP!$AH$4:$AH$147,0))),"",INDEX(WORLDCUP!$AC$4:$AC$147,MATCH(A12,WORLDCUP!$AH$4:$AH$147,0)))</f>
        <v>1</v>
      </c>
      <c r="E12" s="530">
        <f>IF(ISBLANK(INDEX(WORLDCUP!$AD$4:$AD$147,MATCH(A12,WORLDCUP!$AH$4:$AH$147,0))),"",INDEX(WORLDCUP!$AD$4:$AD$147,MATCH(A12,WORLDCUP!$AH$4:$AH$147,0)))</f>
        <v>1</v>
      </c>
      <c r="F12" s="531" t="str">
        <f ca="1">+MID(INDEX(WORLDCUP!$AF$4:$AF$147,MATCH(A12,WORLDCUP!$AH$4:$AH$147,0)),1,3)</f>
        <v>Sui</v>
      </c>
      <c r="G12" s="532">
        <v>1</v>
      </c>
      <c r="H12" s="533" t="str">
        <f ca="1">+MID(INDEX(WORLDCUP!$AL$6:$AL$97,MATCH(L12,WORLDCUP!$AI$6:$AI$97,0)),1,3)</f>
        <v>Can</v>
      </c>
      <c r="I12" s="534">
        <f ca="1">+INDEX(WORLDCUP!$AM$6:$AM$97,MATCH(L12,WORLDCUP!$AI$6:$AI$97,0))</f>
        <v>4</v>
      </c>
      <c r="J12" s="535">
        <f ca="1">+INDEX(WORLDCUP!$AT$6:$AT$97,MATCH(L12,WORLDCUP!$AI$6:$AI$97,0))</f>
        <v>6</v>
      </c>
      <c r="K12" s="536" t="str">
        <f ca="1">+INDEX(WORLDCUP!$AR$6:$AR$97,MATCH(L12,WORLDCUP!$AI$6:$AI$97,0))&amp;"-"&amp;INDEX(WORLDCUP!$AS$6:$AS$97,MATCH(L12,WORLDCUP!$AI$6:$AI$97,0))</f>
        <v>7-1</v>
      </c>
      <c r="L12" s="19" t="s">
        <v>648</v>
      </c>
      <c r="M12" s="19">
        <v>13</v>
      </c>
      <c r="N12" s="590"/>
      <c r="O12" s="529" t="str">
        <f ca="1">+MID(INDEX(WORLDCUP!$AA$4:$AA$147,MATCH(M12,WORLDCUP!$AH$4:$AH$147,0)),1,3)</f>
        <v>Ara</v>
      </c>
      <c r="P12" s="530">
        <f>IF(ISBLANK(INDEX(WORLDCUP!$AC$4:$AC$147,MATCH(M12,WORLDCUP!$AH$4:$AH$147,0))),"",INDEX(WORLDCUP!$AC$4:$AC$147,MATCH(M12,WORLDCUP!$AH$4:$AH$147,0)))</f>
        <v>1</v>
      </c>
      <c r="Q12" s="530">
        <f>IF(ISBLANK(INDEX(WORLDCUP!$AD$4:$AD$147,MATCH(M12,WORLDCUP!$AH$4:$AH$147,0))),"",INDEX(WORLDCUP!$AD$4:$AD$147,MATCH(M12,WORLDCUP!$AH$4:$AH$147,0)))</f>
        <v>1</v>
      </c>
      <c r="R12" s="531" t="str">
        <f ca="1">+MID(INDEX(WORLDCUP!$AF$4:$AF$147,MATCH(M12,WORLDCUP!$AH$4:$AH$147,0)),1,3)</f>
        <v>Uru</v>
      </c>
      <c r="S12" s="532">
        <v>1</v>
      </c>
      <c r="T12" s="533" t="str">
        <f ca="1">+MID(INDEX(WORLDCUP!$AL$6:$AL$97,MATCH(X12,WORLDCUP!$AI$6:$AI$97,0)),1,3)</f>
        <v>Ara</v>
      </c>
      <c r="U12" s="534">
        <f ca="1">+INDEX(WORLDCUP!$AM$6:$AM$97,MATCH(X12,WORLDCUP!$AI$6:$AI$97,0))</f>
        <v>1</v>
      </c>
      <c r="V12" s="535">
        <f ca="1">+INDEX(WORLDCUP!$AT$6:$AT$97,MATCH(X12,WORLDCUP!$AI$6:$AI$97,0))</f>
        <v>0</v>
      </c>
      <c r="W12" s="536" t="str">
        <f ca="1">+INDEX(WORLDCUP!$AR$6:$AR$97,MATCH(X12,WORLDCUP!$AI$6:$AI$97,0))&amp;"-"&amp;INDEX(WORLDCUP!$AS$6:$AS$97,MATCH(X12,WORLDCUP!$AI$6:$AI$97,0))</f>
        <v>1-1</v>
      </c>
      <c r="X12" s="19" t="s">
        <v>670</v>
      </c>
      <c r="Y12" s="19">
        <v>75</v>
      </c>
      <c r="Z12" s="510" t="s">
        <v>664</v>
      </c>
      <c r="AA12" s="511" t="str">
        <f ca="1">+MID(INDEX(WORLDCUP!$AA$101:$AA$147,MATCH(Y12,WORLDCUP!$Z$101:$Z$147,0)),1,3)</f>
        <v>1F</v>
      </c>
      <c r="AB12" s="557" t="str">
        <f>+IF(ISBLANK(INDEX(WORLDCUP!$AC$101:$AC$147,MATCH(Y12,WORLDCUP!$Z$101:$Z$147,0))),"",INDEX(WORLDCUP!$AC$101:$AC$147,MATCH(Y12,WORLDCUP!$Z$101:$Z$147,0)))</f>
        <v/>
      </c>
      <c r="AC12" s="591" t="str">
        <f>+IF(ISBLANK(INDEX(WORLDCUP!$AB$101:$AB$147,MATCH(Y12,WORLDCUP!$Z$101:$Z$147,0))),"","( "&amp;INDEX(WORLDCUP!$AB$101:$AB$147,MATCH(Y12,WORLDCUP!$Z$101:$Z$147,0))&amp;" )")</f>
        <v/>
      </c>
      <c r="AD12" s="19"/>
      <c r="AE12" s="514"/>
      <c r="AF12" s="514"/>
      <c r="AG12" s="514"/>
      <c r="AH12" s="19"/>
      <c r="AI12" s="544"/>
      <c r="AJ12" s="544"/>
      <c r="AK12" s="583"/>
      <c r="AL12" s="92"/>
      <c r="AM12" s="516"/>
      <c r="AN12" s="516"/>
      <c r="AO12" s="516"/>
      <c r="AP12" s="19"/>
      <c r="AQ12" s="545"/>
      <c r="AR12" s="545"/>
      <c r="AS12" s="545"/>
      <c r="AT12" s="19"/>
      <c r="AU12" s="518"/>
      <c r="AV12" s="518"/>
      <c r="AW12" s="518"/>
      <c r="AX12" s="19"/>
      <c r="AY12" s="297"/>
      <c r="AZ12" s="297"/>
      <c r="BA12" s="297"/>
      <c r="BB12" s="297"/>
      <c r="BC12" s="297"/>
      <c r="BD12" s="297"/>
      <c r="BE12" s="297"/>
      <c r="BG12" s="547" t="str">
        <f ca="1">Horarios!Q11</f>
        <v>Brasil</v>
      </c>
      <c r="BH12" s="548">
        <f t="shared" ca="1" si="0"/>
        <v>1</v>
      </c>
      <c r="BI12" s="548">
        <f ca="1">COUNTIF(ADMIN!$M$130:$M$161,Fixture!BG12)-BJ12-BK12-BL12-BM12-BN12-BO12</f>
        <v>0</v>
      </c>
      <c r="BJ12" s="549">
        <f ca="1">COUNTIF(ADMIN!$M$182:$M$197,Fixture!BG12)-BK12-BL12-BM12-BN12-BO12</f>
        <v>0</v>
      </c>
      <c r="BK12" s="550">
        <f ca="1">COUNTIF(ADMIN!$M$210:$M$217,Fixture!BG12)-BL12-BM12-BN12-BO12</f>
        <v>0</v>
      </c>
      <c r="BL12" s="550">
        <f ca="1">COUNTIF(ADMIN!$M$226:$M$229,BG12)-BM12-BN12-BO12</f>
        <v>0</v>
      </c>
      <c r="BM12" s="548">
        <f ca="1">COUNTIF(ADMIN!$M$252,Fixture!BG12)</f>
        <v>0</v>
      </c>
      <c r="BN12" s="548">
        <f ca="1">COUNTIF(ADMIN!$M$251,Fixture!BG12)</f>
        <v>0</v>
      </c>
      <c r="BO12" s="551">
        <f ca="1">COUNTIF(ADMIN!$M$250,Fixture!BG12)</f>
        <v>0</v>
      </c>
    </row>
    <row r="13" spans="1:67" ht="15" thickBot="1">
      <c r="A13" s="19">
        <v>26</v>
      </c>
      <c r="B13" s="589"/>
      <c r="C13" s="529" t="str">
        <f ca="1">+MID(INDEX(WORLDCUP!$AA$4:$AA$147,MATCH(A13,WORLDCUP!$AH$4:$AH$147,0)),1,3)</f>
        <v>Sui</v>
      </c>
      <c r="D13" s="530">
        <f>IF(ISBLANK(INDEX(WORLDCUP!$AC$4:$AC$147,MATCH(A13,WORLDCUP!$AH$4:$AH$147,0))),"",INDEX(WORLDCUP!$AC$4:$AC$147,MATCH(A13,WORLDCUP!$AH$4:$AH$147,0)))</f>
        <v>4</v>
      </c>
      <c r="E13" s="530">
        <f>IF(ISBLANK(INDEX(WORLDCUP!$AD$4:$AD$147,MATCH(A13,WORLDCUP!$AH$4:$AH$147,0))),"",INDEX(WORLDCUP!$AD$4:$AD$147,MATCH(A13,WORLDCUP!$AH$4:$AH$147,0)))</f>
        <v>1</v>
      </c>
      <c r="F13" s="531" t="str">
        <f ca="1">+MID(INDEX(WORLDCUP!$AF$4:$AF$147,MATCH(A13,WORLDCUP!$AH$4:$AH$147,0)),1,3)</f>
        <v>Bos</v>
      </c>
      <c r="G13" s="552">
        <v>2</v>
      </c>
      <c r="H13" s="553" t="str">
        <f ca="1">+MID(INDEX(WORLDCUP!$AL$6:$AL$97,MATCH(L13,WORLDCUP!$AI$6:$AI$97,0)),1,3)</f>
        <v>Sui</v>
      </c>
      <c r="I13" s="223">
        <f ca="1">+INDEX(WORLDCUP!$AM$6:$AM$97,MATCH(L13,WORLDCUP!$AI$6:$AI$97,0))</f>
        <v>4</v>
      </c>
      <c r="J13" s="224">
        <f ca="1">+INDEX(WORLDCUP!$AT$6:$AT$97,MATCH(L13,WORLDCUP!$AI$6:$AI$97,0))</f>
        <v>3</v>
      </c>
      <c r="K13" s="225" t="str">
        <f ca="1">+INDEX(WORLDCUP!$AR$6:$AR$97,MATCH(L13,WORLDCUP!$AI$6:$AI$97,0))&amp;"-"&amp;INDEX(WORLDCUP!$AS$6:$AS$97,MATCH(L13,WORLDCUP!$AI$6:$AI$97,0))</f>
        <v>5-2</v>
      </c>
      <c r="L13" s="19" t="s">
        <v>649</v>
      </c>
      <c r="M13" s="19">
        <v>38</v>
      </c>
      <c r="N13" s="590"/>
      <c r="O13" s="529" t="str">
        <f ca="1">+MID(INDEX(WORLDCUP!$AA$4:$AA$147,MATCH(M13,WORLDCUP!$AH$4:$AH$147,0)),1,3)</f>
        <v>Esp</v>
      </c>
      <c r="P13" s="530" t="str">
        <f>IF(ISBLANK(INDEX(WORLDCUP!$AC$4:$AC$147,MATCH(M13,WORLDCUP!$AH$4:$AH$147,0))),"",INDEX(WORLDCUP!$AC$4:$AC$147,MATCH(M13,WORLDCUP!$AH$4:$AH$147,0)))</f>
        <v/>
      </c>
      <c r="Q13" s="530" t="str">
        <f>IF(ISBLANK(INDEX(WORLDCUP!$AD$4:$AD$147,MATCH(M13,WORLDCUP!$AH$4:$AH$147,0))),"",INDEX(WORLDCUP!$AD$4:$AD$147,MATCH(M13,WORLDCUP!$AH$4:$AH$147,0)))</f>
        <v/>
      </c>
      <c r="R13" s="531" t="str">
        <f ca="1">+MID(INDEX(WORLDCUP!$AF$4:$AF$147,MATCH(M13,WORLDCUP!$AH$4:$AH$147,0)),1,3)</f>
        <v>Ara</v>
      </c>
      <c r="S13" s="552">
        <v>2</v>
      </c>
      <c r="T13" s="553" t="str">
        <f ca="1">+MID(INDEX(WORLDCUP!$AL$6:$AL$97,MATCH(X13,WORLDCUP!$AI$6:$AI$97,0)),1,3)</f>
        <v>Uru</v>
      </c>
      <c r="U13" s="223">
        <f ca="1">+INDEX(WORLDCUP!$AM$6:$AM$97,MATCH(X13,WORLDCUP!$AI$6:$AI$97,0))</f>
        <v>1</v>
      </c>
      <c r="V13" s="224">
        <f ca="1">+INDEX(WORLDCUP!$AT$6:$AT$97,MATCH(X13,WORLDCUP!$AI$6:$AI$97,0))</f>
        <v>0</v>
      </c>
      <c r="W13" s="225" t="str">
        <f ca="1">+INDEX(WORLDCUP!$AR$6:$AR$97,MATCH(X13,WORLDCUP!$AI$6:$AI$97,0))&amp;"-"&amp;INDEX(WORLDCUP!$AS$6:$AS$97,MATCH(X13,WORLDCUP!$AI$6:$AI$97,0))</f>
        <v>1-1</v>
      </c>
      <c r="X13" s="19" t="s">
        <v>671</v>
      </c>
      <c r="Y13" s="19">
        <v>75</v>
      </c>
      <c r="Z13" s="510" t="s">
        <v>656</v>
      </c>
      <c r="AA13" s="565" t="str">
        <f ca="1">+MID(INDEX(WORLDCUP!$AF$101:$AF$147,MATCH(Y13,WORLDCUP!$Z$101:$Z$147,0)),1,3)</f>
        <v>2C</v>
      </c>
      <c r="AB13" s="566" t="str">
        <f>+IF(ISBLANK(INDEX(WORLDCUP!$AD$101:$AD$147,MATCH(Y13,WORLDCUP!$Z$101:$Z$147,0))),"",INDEX(WORLDCUP!$AD$101:$AD$147,MATCH(Y13,WORLDCUP!$Z$101:$Z$147,0)))</f>
        <v/>
      </c>
      <c r="AC13" s="592" t="str">
        <f>+IF(ISBLANK(INDEX(WORLDCUP!$AE$101:$AE$147,MATCH(Y13,WORLDCUP!$Z$101:$Z$147,0))),"","( "&amp;INDEX(WORLDCUP!$AE$101:$AE$147,MATCH(Y13,WORLDCUP!$Z$101:$Z$147,0))&amp;" )")</f>
        <v/>
      </c>
      <c r="AD13" s="19"/>
      <c r="AE13" s="514"/>
      <c r="AF13" s="514"/>
      <c r="AG13" s="514"/>
      <c r="AH13" s="19"/>
      <c r="AI13" s="544"/>
      <c r="AJ13" s="544"/>
      <c r="AK13" s="583"/>
      <c r="AL13" s="584">
        <v>101</v>
      </c>
      <c r="AM13" s="593" t="str">
        <f>+MID(INDEX(WORLDCUP!$AA$101:$AA$147,MATCH(AL13,WORLDCUP!$Z$101:$Z$147,0)),1,3)</f>
        <v>W97</v>
      </c>
      <c r="AN13" s="594" t="str">
        <f>+IF(ISBLANK(INDEX(WORLDCUP!$AC$101:$AC$147,MATCH(AL13,WORLDCUP!$Z$101:$Z$147,0))),"",INDEX(WORLDCUP!$AC$101:$AC$147,MATCH(AL13,WORLDCUP!$Z$101:$Z$147,0)))</f>
        <v/>
      </c>
      <c r="AO13" s="595" t="str">
        <f>+IF(ISBLANK(INDEX(WORLDCUP!$AB$101:$AB$147,MATCH(AL13,WORLDCUP!$Z$101:$Z$147,0))),"","( "&amp;INDEX(WORLDCUP!$AB$101:$AB$147,MATCH(AL13,WORLDCUP!$Z$101:$Z$147,0))&amp;" )")</f>
        <v/>
      </c>
      <c r="AP13" s="19"/>
      <c r="AQ13" s="545"/>
      <c r="AR13" s="545"/>
      <c r="AS13" s="545"/>
      <c r="AT13" s="19"/>
      <c r="AU13" s="518"/>
      <c r="AV13" s="518"/>
      <c r="AW13" s="518"/>
      <c r="AX13" s="19"/>
      <c r="AY13" s="297"/>
      <c r="AZ13" s="297"/>
      <c r="BA13" s="297"/>
      <c r="BB13" s="297"/>
      <c r="BC13" s="297"/>
      <c r="BD13" s="297"/>
      <c r="BE13" s="297"/>
      <c r="BG13" s="547" t="str">
        <f ca="1">Horarios!Q12</f>
        <v>Cabo Verde</v>
      </c>
      <c r="BH13" s="548">
        <f t="shared" ca="1" si="0"/>
        <v>1</v>
      </c>
      <c r="BI13" s="548">
        <f ca="1">COUNTIF(ADMIN!$M$130:$M$161,Fixture!BG13)-BJ13-BK13-BL13-BM13-BN13-BO13</f>
        <v>0</v>
      </c>
      <c r="BJ13" s="549">
        <f ca="1">COUNTIF(ADMIN!$M$182:$M$197,Fixture!BG13)-BK13-BL13-BM13-BN13-BO13</f>
        <v>0</v>
      </c>
      <c r="BK13" s="550">
        <f ca="1">COUNTIF(ADMIN!$M$210:$M$217,Fixture!BG13)-BL13-BM13-BN13-BO13</f>
        <v>0</v>
      </c>
      <c r="BL13" s="550">
        <f ca="1">COUNTIF(ADMIN!$M$226:$M$229,BG13)-BM13-BN13-BO13</f>
        <v>0</v>
      </c>
      <c r="BM13" s="548">
        <f ca="1">COUNTIF(ADMIN!$M$252,Fixture!BG13)</f>
        <v>0</v>
      </c>
      <c r="BN13" s="548">
        <f ca="1">COUNTIF(ADMIN!$M$251,Fixture!BG13)</f>
        <v>0</v>
      </c>
      <c r="BO13" s="551">
        <f ca="1">COUNTIF(ADMIN!$M$250,Fixture!BG13)</f>
        <v>0</v>
      </c>
    </row>
    <row r="14" spans="1:67">
      <c r="A14" s="19">
        <v>27</v>
      </c>
      <c r="B14" s="589"/>
      <c r="C14" s="529" t="str">
        <f ca="1">+MID(INDEX(WORLDCUP!$AA$4:$AA$147,MATCH(A14,WORLDCUP!$AH$4:$AH$147,0)),1,3)</f>
        <v>Can</v>
      </c>
      <c r="D14" s="530">
        <f>IF(ISBLANK(INDEX(WORLDCUP!$AC$4:$AC$147,MATCH(A14,WORLDCUP!$AH$4:$AH$147,0))),"",INDEX(WORLDCUP!$AC$4:$AC$147,MATCH(A14,WORLDCUP!$AH$4:$AH$147,0)))</f>
        <v>6</v>
      </c>
      <c r="E14" s="530">
        <f>IF(ISBLANK(INDEX(WORLDCUP!$AD$4:$AD$147,MATCH(A14,WORLDCUP!$AH$4:$AH$147,0))),"",INDEX(WORLDCUP!$AD$4:$AD$147,MATCH(A14,WORLDCUP!$AH$4:$AH$147,0)))</f>
        <v>0</v>
      </c>
      <c r="F14" s="531" t="str">
        <f ca="1">+MID(INDEX(WORLDCUP!$AF$4:$AF$147,MATCH(A14,WORLDCUP!$AH$4:$AH$147,0)),1,3)</f>
        <v>Cat</v>
      </c>
      <c r="G14" s="552">
        <v>3</v>
      </c>
      <c r="H14" s="553" t="str">
        <f ca="1">+MID(INDEX(WORLDCUP!$AL$6:$AL$97,MATCH(L14,WORLDCUP!$AI$6:$AI$97,0)),1,3)</f>
        <v>Bos</v>
      </c>
      <c r="I14" s="223">
        <f ca="1">+INDEX(WORLDCUP!$AM$6:$AM$97,MATCH(L14,WORLDCUP!$AI$6:$AI$97,0))</f>
        <v>1</v>
      </c>
      <c r="J14" s="224">
        <f ca="1">+INDEX(WORLDCUP!$AT$6:$AT$97,MATCH(L14,WORLDCUP!$AI$6:$AI$97,0))</f>
        <v>-3</v>
      </c>
      <c r="K14" s="225" t="str">
        <f ca="1">+INDEX(WORLDCUP!$AR$6:$AR$97,MATCH(L14,WORLDCUP!$AI$6:$AI$97,0))&amp;"-"&amp;INDEX(WORLDCUP!$AS$6:$AS$97,MATCH(L14,WORLDCUP!$AI$6:$AI$97,0))</f>
        <v>2-5</v>
      </c>
      <c r="L14" s="19" t="s">
        <v>90</v>
      </c>
      <c r="M14" s="19">
        <v>37</v>
      </c>
      <c r="N14" s="590"/>
      <c r="O14" s="529" t="str">
        <f ca="1">+MID(INDEX(WORLDCUP!$AA$4:$AA$147,MATCH(M14,WORLDCUP!$AH$4:$AH$147,0)),1,3)</f>
        <v>Uru</v>
      </c>
      <c r="P14" s="530" t="str">
        <f>IF(ISBLANK(INDEX(WORLDCUP!$AC$4:$AC$147,MATCH(M14,WORLDCUP!$AH$4:$AH$147,0))),"",INDEX(WORLDCUP!$AC$4:$AC$147,MATCH(M14,WORLDCUP!$AH$4:$AH$147,0)))</f>
        <v/>
      </c>
      <c r="Q14" s="530" t="str">
        <f>IF(ISBLANK(INDEX(WORLDCUP!$AD$4:$AD$147,MATCH(M14,WORLDCUP!$AH$4:$AH$147,0))),"",INDEX(WORLDCUP!$AD$4:$AD$147,MATCH(M14,WORLDCUP!$AH$4:$AH$147,0)))</f>
        <v/>
      </c>
      <c r="R14" s="531" t="str">
        <f ca="1">+MID(INDEX(WORLDCUP!$AF$4:$AF$147,MATCH(M14,WORLDCUP!$AH$4:$AH$147,0)),1,3)</f>
        <v>Cab</v>
      </c>
      <c r="S14" s="552">
        <v>3</v>
      </c>
      <c r="T14" s="553" t="str">
        <f ca="1">+MID(INDEX(WORLDCUP!$AL$6:$AL$97,MATCH(X14,WORLDCUP!$AI$6:$AI$97,0)),1,3)</f>
        <v>Esp</v>
      </c>
      <c r="U14" s="223">
        <f ca="1">+INDEX(WORLDCUP!$AM$6:$AM$97,MATCH(X14,WORLDCUP!$AI$6:$AI$97,0))</f>
        <v>1</v>
      </c>
      <c r="V14" s="224">
        <f ca="1">+INDEX(WORLDCUP!$AT$6:$AT$97,MATCH(X14,WORLDCUP!$AI$6:$AI$97,0))</f>
        <v>0</v>
      </c>
      <c r="W14" s="225" t="str">
        <f ca="1">+INDEX(WORLDCUP!$AR$6:$AR$97,MATCH(X14,WORLDCUP!$AI$6:$AI$97,0))&amp;"-"&amp;INDEX(WORLDCUP!$AS$6:$AS$97,MATCH(X14,WORLDCUP!$AI$6:$AI$97,0))</f>
        <v>0-0</v>
      </c>
      <c r="X14" s="19" t="s">
        <v>436</v>
      </c>
      <c r="Y14" s="19"/>
      <c r="Z14" s="510"/>
      <c r="AA14" s="579"/>
      <c r="AB14" s="579"/>
      <c r="AC14" s="579"/>
      <c r="AD14" s="19"/>
      <c r="AE14" s="514"/>
      <c r="AF14" s="514"/>
      <c r="AG14" s="514"/>
      <c r="AH14" s="19"/>
      <c r="AI14" s="544"/>
      <c r="AJ14" s="544"/>
      <c r="AK14" s="583"/>
      <c r="AL14" s="19">
        <v>101</v>
      </c>
      <c r="AM14" s="593" t="str">
        <f>+MID(INDEX(WORLDCUP!$AF$101:$AF$147,MATCH(AL14,WORLDCUP!$Z$101:$Z$147,0)),1,3)</f>
        <v>W98</v>
      </c>
      <c r="AN14" s="594" t="str">
        <f>+IF(ISBLANK(INDEX(WORLDCUP!$AD$101:$AD$147,MATCH(AL14,WORLDCUP!$Z$101:$Z$147,0))),"",INDEX(WORLDCUP!$AD$101:$AD$147,MATCH(AL14,WORLDCUP!$Z$101:$Z$147,0)))</f>
        <v/>
      </c>
      <c r="AO14" s="596" t="str">
        <f>+IF(ISBLANK(INDEX(WORLDCUP!$AE$101:$AE$147,MATCH(AL14,WORLDCUP!$Z$101:$Z$147,0))),"","( "&amp;INDEX(WORLDCUP!$AE$101:$AE$147,MATCH(AL14,WORLDCUP!$Z$101:$Z$147,0))&amp;" )")</f>
        <v/>
      </c>
      <c r="AP14" s="19"/>
      <c r="AQ14" s="545"/>
      <c r="AR14" s="545"/>
      <c r="AS14" s="545"/>
      <c r="AT14" s="19"/>
      <c r="AU14" s="518"/>
      <c r="AV14" s="518"/>
      <c r="AW14" s="518"/>
      <c r="AX14" s="19"/>
      <c r="AY14" s="297"/>
      <c r="AZ14" s="297"/>
      <c r="BA14" s="297"/>
      <c r="BB14" s="297"/>
      <c r="BC14" s="297"/>
      <c r="BD14" s="297"/>
      <c r="BE14" s="297"/>
      <c r="BG14" s="547" t="str">
        <f ca="1">Horarios!Q13</f>
        <v>Canadá</v>
      </c>
      <c r="BH14" s="548">
        <f t="shared" ca="1" si="0"/>
        <v>1</v>
      </c>
      <c r="BI14" s="548">
        <f ca="1">COUNTIF(ADMIN!$M$130:$M$161,Fixture!BG14)-BJ14-BK14-BL14-BM14-BN14-BO14</f>
        <v>0</v>
      </c>
      <c r="BJ14" s="549">
        <f ca="1">COUNTIF(ADMIN!$M$182:$M$197,Fixture!BG14)-BK14-BL14-BM14-BN14-BO14</f>
        <v>0</v>
      </c>
      <c r="BK14" s="550">
        <f ca="1">COUNTIF(ADMIN!$M$210:$M$217,Fixture!BG14)-BL14-BM14-BN14-BO14</f>
        <v>0</v>
      </c>
      <c r="BL14" s="550">
        <f ca="1">COUNTIF(ADMIN!$M$226:$M$229,BG14)-BM14-BN14-BO14</f>
        <v>0</v>
      </c>
      <c r="BM14" s="548">
        <f ca="1">COUNTIF(ADMIN!$M$252,Fixture!BG14)</f>
        <v>0</v>
      </c>
      <c r="BN14" s="548">
        <f ca="1">COUNTIF(ADMIN!$M$251,Fixture!BG14)</f>
        <v>0</v>
      </c>
      <c r="BO14" s="551">
        <f ca="1">COUNTIF(ADMIN!$M$250,Fixture!BG14)</f>
        <v>0</v>
      </c>
    </row>
    <row r="15" spans="1:67" ht="15" thickBot="1">
      <c r="A15" s="19">
        <v>51</v>
      </c>
      <c r="B15" s="589"/>
      <c r="C15" s="529" t="str">
        <f ca="1">+MID(INDEX(WORLDCUP!$AA$4:$AA$147,MATCH(A15,WORLDCUP!$AH$4:$AH$147,0)),1,3)</f>
        <v>Sui</v>
      </c>
      <c r="D15" s="530" t="str">
        <f>IF(ISBLANK(INDEX(WORLDCUP!$AC$4:$AC$147,MATCH(A15,WORLDCUP!$AH$4:$AH$147,0))),"",INDEX(WORLDCUP!$AC$4:$AC$147,MATCH(A15,WORLDCUP!$AH$4:$AH$147,0)))</f>
        <v/>
      </c>
      <c r="E15" s="530" t="str">
        <f>IF(ISBLANK(INDEX(WORLDCUP!$AD$4:$AD$147,MATCH(A15,WORLDCUP!$AH$4:$AH$147,0))),"",INDEX(WORLDCUP!$AD$4:$AD$147,MATCH(A15,WORLDCUP!$AH$4:$AH$147,0)))</f>
        <v/>
      </c>
      <c r="F15" s="531" t="str">
        <f ca="1">+MID(INDEX(WORLDCUP!$AF$4:$AF$147,MATCH(A15,WORLDCUP!$AH$4:$AH$147,0)),1,3)</f>
        <v>Can</v>
      </c>
      <c r="G15" s="552">
        <v>4</v>
      </c>
      <c r="H15" s="561" t="str">
        <f ca="1">+MID(INDEX(WORLDCUP!$AL$6:$AL$97,MATCH(L15,WORLDCUP!$AI$6:$AI$97,0)),1,3)</f>
        <v>Cat</v>
      </c>
      <c r="I15" s="562">
        <f ca="1">+INDEX(WORLDCUP!$AM$6:$AM$97,MATCH(L15,WORLDCUP!$AI$6:$AI$97,0))</f>
        <v>1</v>
      </c>
      <c r="J15" s="563">
        <f ca="1">+INDEX(WORLDCUP!$AT$6:$AT$97,MATCH(L15,WORLDCUP!$AI$6:$AI$97,0))</f>
        <v>-6</v>
      </c>
      <c r="K15" s="564" t="str">
        <f ca="1">+INDEX(WORLDCUP!$AR$6:$AR$97,MATCH(L15,WORLDCUP!$AI$6:$AI$97,0))&amp;"-"&amp;INDEX(WORLDCUP!$AS$6:$AS$97,MATCH(L15,WORLDCUP!$AI$6:$AI$97,0))</f>
        <v>1-7</v>
      </c>
      <c r="L15" s="19" t="s">
        <v>650</v>
      </c>
      <c r="M15" s="19">
        <v>65</v>
      </c>
      <c r="N15" s="590"/>
      <c r="O15" s="529" t="str">
        <f ca="1">+MID(INDEX(WORLDCUP!$AA$4:$AA$147,MATCH(M15,WORLDCUP!$AH$4:$AH$147,0)),1,3)</f>
        <v>Cab</v>
      </c>
      <c r="P15" s="530" t="str">
        <f>IF(ISBLANK(INDEX(WORLDCUP!$AC$4:$AC$147,MATCH(M15,WORLDCUP!$AH$4:$AH$147,0))),"",INDEX(WORLDCUP!$AC$4:$AC$147,MATCH(M15,WORLDCUP!$AH$4:$AH$147,0)))</f>
        <v/>
      </c>
      <c r="Q15" s="530" t="str">
        <f>IF(ISBLANK(INDEX(WORLDCUP!$AD$4:$AD$147,MATCH(M15,WORLDCUP!$AH$4:$AH$147,0))),"",INDEX(WORLDCUP!$AD$4:$AD$147,MATCH(M15,WORLDCUP!$AH$4:$AH$147,0)))</f>
        <v/>
      </c>
      <c r="R15" s="531" t="str">
        <f ca="1">+MID(INDEX(WORLDCUP!$AF$4:$AF$147,MATCH(M15,WORLDCUP!$AH$4:$AH$147,0)),1,3)</f>
        <v>Ara</v>
      </c>
      <c r="S15" s="552">
        <v>4</v>
      </c>
      <c r="T15" s="561" t="str">
        <f ca="1">+MID(INDEX(WORLDCUP!$AL$6:$AL$97,MATCH(X15,WORLDCUP!$AI$6:$AI$97,0)),1,3)</f>
        <v>Cab</v>
      </c>
      <c r="U15" s="562">
        <f ca="1">+INDEX(WORLDCUP!$AM$6:$AM$97,MATCH(X15,WORLDCUP!$AI$6:$AI$97,0))</f>
        <v>1</v>
      </c>
      <c r="V15" s="563">
        <f ca="1">+INDEX(WORLDCUP!$AT$6:$AT$97,MATCH(X15,WORLDCUP!$AI$6:$AI$97,0))</f>
        <v>0</v>
      </c>
      <c r="W15" s="564" t="str">
        <f ca="1">+INDEX(WORLDCUP!$AR$6:$AR$97,MATCH(X15,WORLDCUP!$AI$6:$AI$97,0))&amp;"-"&amp;INDEX(WORLDCUP!$AS$6:$AS$97,MATCH(X15,WORLDCUP!$AI$6:$AI$97,0))</f>
        <v>0-0</v>
      </c>
      <c r="X15" s="19" t="s">
        <v>672</v>
      </c>
      <c r="Y15" s="19">
        <v>83</v>
      </c>
      <c r="Z15" s="510" t="s">
        <v>680</v>
      </c>
      <c r="AA15" s="511" t="str">
        <f ca="1">+MID(INDEX(WORLDCUP!$AA$101:$AA$147,MATCH(Y15,WORLDCUP!$Z$101:$Z$147,0)),1,3)</f>
        <v>2K</v>
      </c>
      <c r="AB15" s="512" t="str">
        <f>+IF(ISBLANK(INDEX(WORLDCUP!$AC$101:$AC$147,MATCH(Y15,WORLDCUP!$Z$101:$Z$147,0))),"",INDEX(WORLDCUP!$AC$101:$AC$147,MATCH(Y15,WORLDCUP!$Z$101:$Z$147,0)))</f>
        <v/>
      </c>
      <c r="AC15" s="582" t="str">
        <f>+IF(ISBLANK(INDEX(WORLDCUP!$AB$101:$AB$147,MATCH(Y15,WORLDCUP!$Z$101:$Z$147,0))),"","( "&amp;INDEX(WORLDCUP!$AB$101:$AB$147,MATCH(Y15,WORLDCUP!$Z$101:$Z$147,0))&amp;" )")</f>
        <v/>
      </c>
      <c r="AD15" s="18"/>
      <c r="AE15" s="514"/>
      <c r="AF15" s="514"/>
      <c r="AG15" s="514"/>
      <c r="AH15" s="19"/>
      <c r="AI15" s="544"/>
      <c r="AJ15" s="544"/>
      <c r="AK15" s="583"/>
      <c r="AL15" s="92"/>
      <c r="AM15" s="516"/>
      <c r="AN15" s="516"/>
      <c r="AO15" s="597"/>
      <c r="AP15" s="92"/>
      <c r="AQ15" s="545"/>
      <c r="AR15" s="545"/>
      <c r="AS15" s="545"/>
      <c r="AT15" s="19"/>
      <c r="AU15" s="518"/>
      <c r="AV15" s="518"/>
      <c r="AW15" s="518"/>
      <c r="AX15" s="19"/>
      <c r="AY15" s="297"/>
      <c r="AZ15" s="297"/>
      <c r="BA15" s="297"/>
      <c r="BB15" s="297"/>
      <c r="BC15" s="297"/>
      <c r="BD15" s="297"/>
      <c r="BE15" s="297"/>
      <c r="BG15" s="547" t="str">
        <f ca="1">Horarios!Q14</f>
        <v>Catar</v>
      </c>
      <c r="BH15" s="548">
        <f t="shared" ca="1" si="0"/>
        <v>1</v>
      </c>
      <c r="BI15" s="548">
        <f ca="1">COUNTIF(ADMIN!$M$130:$M$161,Fixture!BG15)-BJ15-BK15-BL15-BM15-BN15-BO15</f>
        <v>0</v>
      </c>
      <c r="BJ15" s="549">
        <f ca="1">COUNTIF(ADMIN!$M$182:$M$197,Fixture!BG15)-BK15-BL15-BM15-BN15-BO15</f>
        <v>0</v>
      </c>
      <c r="BK15" s="550">
        <f ca="1">COUNTIF(ADMIN!$M$210:$M$217,Fixture!BG15)-BL15-BM15-BN15-BO15</f>
        <v>0</v>
      </c>
      <c r="BL15" s="550">
        <f ca="1">COUNTIF(ADMIN!$M$226:$M$229,BG15)-BM15-BN15-BO15</f>
        <v>0</v>
      </c>
      <c r="BM15" s="548">
        <f ca="1">COUNTIF(ADMIN!$M$252,Fixture!BG15)</f>
        <v>0</v>
      </c>
      <c r="BN15" s="548">
        <f ca="1">COUNTIF(ADMIN!$M$251,Fixture!BG15)</f>
        <v>0</v>
      </c>
      <c r="BO15" s="551">
        <f ca="1">COUNTIF(ADMIN!$M$250,Fixture!BG15)</f>
        <v>0</v>
      </c>
    </row>
    <row r="16" spans="1:67" ht="15" thickBot="1">
      <c r="A16" s="19">
        <v>52</v>
      </c>
      <c r="B16" s="598"/>
      <c r="C16" s="572" t="str">
        <f ca="1">+MID(INDEX(WORLDCUP!$AA$4:$AA$147,MATCH(A16,WORLDCUP!$AH$4:$AH$147,0)),1,3)</f>
        <v>Bos</v>
      </c>
      <c r="D16" s="573" t="str">
        <f>IF(ISBLANK(INDEX(WORLDCUP!$AC$4:$AC$147,MATCH(A16,WORLDCUP!$AH$4:$AH$147,0))),"",INDEX(WORLDCUP!$AC$4:$AC$147,MATCH(A16,WORLDCUP!$AH$4:$AH$147,0)))</f>
        <v/>
      </c>
      <c r="E16" s="573" t="str">
        <f>IF(ISBLANK(INDEX(WORLDCUP!$AD$4:$AD$147,MATCH(A16,WORLDCUP!$AH$4:$AH$147,0))),"",INDEX(WORLDCUP!$AD$4:$AD$147,MATCH(A16,WORLDCUP!$AH$4:$AH$147,0)))</f>
        <v/>
      </c>
      <c r="F16" s="574" t="str">
        <f ca="1">+MID(INDEX(WORLDCUP!$AF$4:$AF$147,MATCH(A16,WORLDCUP!$AH$4:$AH$147,0)),1,3)</f>
        <v>Cat</v>
      </c>
      <c r="G16" s="575"/>
      <c r="H16" s="575"/>
      <c r="I16" s="576"/>
      <c r="J16" s="576"/>
      <c r="K16" s="577"/>
      <c r="L16" s="19"/>
      <c r="M16" s="19">
        <v>66</v>
      </c>
      <c r="N16" s="599"/>
      <c r="O16" s="572" t="str">
        <f ca="1">+MID(INDEX(WORLDCUP!$AA$4:$AA$147,MATCH(M16,WORLDCUP!$AH$4:$AH$147,0)),1,3)</f>
        <v>Uru</v>
      </c>
      <c r="P16" s="573" t="str">
        <f>IF(ISBLANK(INDEX(WORLDCUP!$AC$4:$AC$147,MATCH(M16,WORLDCUP!$AH$4:$AH$147,0))),"",INDEX(WORLDCUP!$AC$4:$AC$147,MATCH(M16,WORLDCUP!$AH$4:$AH$147,0)))</f>
        <v/>
      </c>
      <c r="Q16" s="573" t="str">
        <f>IF(ISBLANK(INDEX(WORLDCUP!$AD$4:$AD$147,MATCH(M16,WORLDCUP!$AH$4:$AH$147,0))),"",INDEX(WORLDCUP!$AD$4:$AD$147,MATCH(M16,WORLDCUP!$AH$4:$AH$147,0)))</f>
        <v/>
      </c>
      <c r="R16" s="574" t="str">
        <f ca="1">+MID(INDEX(WORLDCUP!$AF$4:$AF$147,MATCH(M16,WORLDCUP!$AH$4:$AH$147,0)),1,3)</f>
        <v>Esp</v>
      </c>
      <c r="S16" s="575"/>
      <c r="T16" s="575"/>
      <c r="U16" s="576"/>
      <c r="V16" s="576"/>
      <c r="W16" s="577"/>
      <c r="X16" s="19"/>
      <c r="Y16" s="19">
        <v>83</v>
      </c>
      <c r="Z16" s="510" t="s">
        <v>683</v>
      </c>
      <c r="AA16" s="511" t="str">
        <f ca="1">+MID(INDEX(WORLDCUP!$AF$101:$AF$147,MATCH(Y16,WORLDCUP!$Z$101:$Z$147,0)),1,3)</f>
        <v>2L</v>
      </c>
      <c r="AB16" s="538" t="str">
        <f>+IF(ISBLANK(INDEX(WORLDCUP!$AD$101:$AD$147,MATCH(Y16,WORLDCUP!$Z$101:$Z$147,0))),"",INDEX(WORLDCUP!$AD$101:$AD$147,MATCH(Y16,WORLDCUP!$Z$101:$Z$147,0)))</f>
        <v/>
      </c>
      <c r="AC16" s="539" t="str">
        <f>+IF(ISBLANK(INDEX(WORLDCUP!$AE$101:$AE$147,MATCH(Y16,WORLDCUP!$Z$101:$Z$147,0))),"","( "&amp;INDEX(WORLDCUP!$AE$101:$AE$147,MATCH(Y16,WORLDCUP!$Z$101:$Z$147,0))&amp;" )")</f>
        <v/>
      </c>
      <c r="AD16" s="540">
        <v>93</v>
      </c>
      <c r="AE16" s="541" t="str">
        <f>+MID(INDEX(WORLDCUP!$AA$101:$AA$147,MATCH(AD16,WORLDCUP!$Z$101:$Z$147,0)),1,3)</f>
        <v>W83</v>
      </c>
      <c r="AF16" s="542" t="str">
        <f>+IF(ISBLANK(INDEX(WORLDCUP!$AC$101:$AC$147,MATCH(AD16,WORLDCUP!$Z$101:$Z$147,0))),"",INDEX(WORLDCUP!$AC$101:$AC$147,MATCH(AD16,WORLDCUP!$Z$101:$Z$147,0)))</f>
        <v/>
      </c>
      <c r="AG16" s="543" t="str">
        <f>+IF(ISBLANK(INDEX(WORLDCUP!$AB$101:$AB$147,MATCH(AD16,WORLDCUP!$Z$101:$Z$147,0))),"","( "&amp;INDEX(WORLDCUP!$AB$101:$AB$147,MATCH(AD16,WORLDCUP!$Z$101:$Z$147,0))&amp;" )")</f>
        <v/>
      </c>
      <c r="AH16" s="19"/>
      <c r="AI16" s="544"/>
      <c r="AJ16" s="544"/>
      <c r="AK16" s="583"/>
      <c r="AL16" s="19"/>
      <c r="AM16" s="516"/>
      <c r="AN16" s="516"/>
      <c r="AO16" s="597"/>
      <c r="AP16" s="92"/>
      <c r="AQ16" s="545"/>
      <c r="AR16" s="545"/>
      <c r="AS16" s="545"/>
      <c r="AT16" s="19"/>
      <c r="AU16" s="518"/>
      <c r="AV16" s="518"/>
      <c r="AW16" s="518"/>
      <c r="AX16" s="19"/>
      <c r="AY16" s="297"/>
      <c r="AZ16" s="297"/>
      <c r="BA16" s="297"/>
      <c r="BB16" s="297"/>
      <c r="BC16" s="297"/>
      <c r="BD16" s="297"/>
      <c r="BE16" s="297"/>
      <c r="BG16" s="547" t="str">
        <f ca="1">Horarios!Q15</f>
        <v>Colombia</v>
      </c>
      <c r="BH16" s="548">
        <f t="shared" ca="1" si="0"/>
        <v>1</v>
      </c>
      <c r="BI16" s="548">
        <f ca="1">COUNTIF(ADMIN!$M$130:$M$161,Fixture!BG16)-BJ16-BK16-BL16-BM16-BN16-BO16</f>
        <v>0</v>
      </c>
      <c r="BJ16" s="549">
        <f ca="1">COUNTIF(ADMIN!$M$182:$M$197,Fixture!BG16)-BK16-BL16-BM16-BN16-BO16</f>
        <v>0</v>
      </c>
      <c r="BK16" s="550">
        <f ca="1">COUNTIF(ADMIN!$M$210:$M$217,Fixture!BG16)-BL16-BM16-BN16-BO16</f>
        <v>0</v>
      </c>
      <c r="BL16" s="550">
        <f ca="1">COUNTIF(ADMIN!$M$226:$M$229,BG16)-BM16-BN16-BO16</f>
        <v>0</v>
      </c>
      <c r="BM16" s="548">
        <f ca="1">COUNTIF(ADMIN!$M$252,Fixture!BG16)</f>
        <v>0</v>
      </c>
      <c r="BN16" s="548">
        <f ca="1">COUNTIF(ADMIN!$M$251,Fixture!BG16)</f>
        <v>0</v>
      </c>
      <c r="BO16" s="551">
        <f ca="1">COUNTIF(ADMIN!$M$250,Fixture!BG16)</f>
        <v>0</v>
      </c>
    </row>
    <row r="17" spans="1:67">
      <c r="A17" s="19"/>
      <c r="B17" s="497"/>
      <c r="C17" s="581"/>
      <c r="D17" s="441"/>
      <c r="E17" s="441"/>
      <c r="F17" s="297"/>
      <c r="G17" s="297"/>
      <c r="H17" s="581"/>
      <c r="I17" s="297"/>
      <c r="J17" s="297"/>
      <c r="K17" s="297"/>
      <c r="L17" s="19"/>
      <c r="M17" s="19"/>
      <c r="N17" s="247"/>
      <c r="O17" s="581"/>
      <c r="P17" s="441"/>
      <c r="Q17" s="441"/>
      <c r="R17" s="297"/>
      <c r="S17" s="297"/>
      <c r="T17" s="581"/>
      <c r="U17" s="297"/>
      <c r="V17" s="297"/>
      <c r="W17" s="297"/>
      <c r="X17" s="19"/>
      <c r="Y17" s="19"/>
      <c r="Z17" s="510"/>
      <c r="AA17" s="554"/>
      <c r="AB17" s="554"/>
      <c r="AC17" s="555"/>
      <c r="AD17" s="19">
        <v>93</v>
      </c>
      <c r="AE17" s="541" t="str">
        <f>+MID(INDEX(WORLDCUP!$AF$101:$AF$147,MATCH(AD17,WORLDCUP!$Z$101:$Z$147,0)),1,3)</f>
        <v>W84</v>
      </c>
      <c r="AF17" s="542" t="str">
        <f>+IF(ISBLANK(INDEX(WORLDCUP!$AD$101:$AD$147,MATCH(AD17,WORLDCUP!$Z$101:$Z$147,0))),"",INDEX(WORLDCUP!$AD$101:$AD$147,MATCH(AD17,WORLDCUP!$Z$101:$Z$147,0)))</f>
        <v/>
      </c>
      <c r="AG17" s="600" t="str">
        <f>+IF(ISBLANK(INDEX(WORLDCUP!$AE$101:$AE$147,MATCH(AD17,WORLDCUP!$Z$101:$Z$147,0))),"","( "&amp;INDEX(WORLDCUP!$AE$101:$AE$147,MATCH(AD17,WORLDCUP!$Z$101:$Z$147,0))&amp;" )")</f>
        <v/>
      </c>
      <c r="AH17" s="19"/>
      <c r="AI17" s="544"/>
      <c r="AJ17" s="544"/>
      <c r="AK17" s="583"/>
      <c r="AL17" s="19"/>
      <c r="AM17" s="516"/>
      <c r="AN17" s="516"/>
      <c r="AO17" s="597"/>
      <c r="AP17" s="92"/>
      <c r="AQ17" s="545"/>
      <c r="AR17" s="545"/>
      <c r="AS17" s="545"/>
      <c r="AT17" s="19"/>
      <c r="AU17" s="518"/>
      <c r="AV17" s="518"/>
      <c r="AW17" s="518"/>
      <c r="AX17" s="19"/>
      <c r="AY17" s="297"/>
      <c r="AZ17" s="297"/>
      <c r="BA17" s="297"/>
      <c r="BB17" s="297"/>
      <c r="BC17" s="297"/>
      <c r="BD17" s="297"/>
      <c r="BE17" s="297"/>
      <c r="BG17" s="547" t="str">
        <f ca="1">Horarios!Q16</f>
        <v>Corea del Sur</v>
      </c>
      <c r="BH17" s="548">
        <f t="shared" ca="1" si="0"/>
        <v>1</v>
      </c>
      <c r="BI17" s="548">
        <f ca="1">COUNTIF(ADMIN!$M$130:$M$161,Fixture!BG17)-BJ17-BK17-BL17-BM17-BN17-BO17</f>
        <v>0</v>
      </c>
      <c r="BJ17" s="549">
        <f ca="1">COUNTIF(ADMIN!$M$182:$M$197,Fixture!BG17)-BK17-BL17-BM17-BN17-BO17</f>
        <v>0</v>
      </c>
      <c r="BK17" s="550">
        <f ca="1">COUNTIF(ADMIN!$M$210:$M$217,Fixture!BG17)-BL17-BM17-BN17-BO17</f>
        <v>0</v>
      </c>
      <c r="BL17" s="550">
        <f ca="1">COUNTIF(ADMIN!$M$226:$M$229,BG17)-BM17-BN17-BO17</f>
        <v>0</v>
      </c>
      <c r="BM17" s="548">
        <f ca="1">COUNTIF(ADMIN!$M$252,Fixture!BG17)</f>
        <v>0</v>
      </c>
      <c r="BN17" s="548">
        <f ca="1">COUNTIF(ADMIN!$M$251,Fixture!BG17)</f>
        <v>0</v>
      </c>
      <c r="BO17" s="551">
        <f ca="1">COUNTIF(ADMIN!$M$250,Fixture!BG17)</f>
        <v>0</v>
      </c>
    </row>
    <row r="18" spans="1:67" ht="15" thickBot="1">
      <c r="A18" s="19"/>
      <c r="B18" s="497"/>
      <c r="C18" s="581"/>
      <c r="D18" s="441"/>
      <c r="E18" s="441"/>
      <c r="F18" s="297"/>
      <c r="G18" s="297"/>
      <c r="H18" s="581"/>
      <c r="I18" s="297"/>
      <c r="J18" s="297"/>
      <c r="K18" s="297"/>
      <c r="L18" s="19"/>
      <c r="M18" s="19"/>
      <c r="N18" s="247"/>
      <c r="O18" s="581"/>
      <c r="P18" s="441"/>
      <c r="Q18" s="441"/>
      <c r="R18" s="297"/>
      <c r="S18" s="297"/>
      <c r="T18" s="581"/>
      <c r="U18" s="297"/>
      <c r="V18" s="297"/>
      <c r="W18" s="297"/>
      <c r="X18" s="19"/>
      <c r="Y18" s="19">
        <v>84</v>
      </c>
      <c r="Z18" s="510" t="s">
        <v>670</v>
      </c>
      <c r="AA18" s="511" t="str">
        <f ca="1">+MID(INDEX(WORLDCUP!$AA$101:$AA$147,MATCH(Y18,WORLDCUP!$Z$101:$Z$147,0)),1,3)</f>
        <v>1H</v>
      </c>
      <c r="AB18" s="557" t="str">
        <f>+IF(ISBLANK(INDEX(WORLDCUP!$AC$101:$AC$147,MATCH(Y18,WORLDCUP!$Z$101:$Z$147,0))),"",INDEX(WORLDCUP!$AC$101:$AC$147,MATCH(Y18,WORLDCUP!$Z$101:$Z$147,0)))</f>
        <v/>
      </c>
      <c r="AC18" s="591" t="str">
        <f>+IF(ISBLANK(INDEX(WORLDCUP!$AB$101:$AB$147,MATCH(Y18,WORLDCUP!$Z$101:$Z$147,0))),"","( "&amp;INDEX(WORLDCUP!$AB$101:$AB$147,MATCH(Y18,WORLDCUP!$Z$101:$Z$147,0))&amp;" )")</f>
        <v/>
      </c>
      <c r="AD18" s="19"/>
      <c r="AE18" s="559"/>
      <c r="AF18" s="559"/>
      <c r="AG18" s="560"/>
      <c r="AH18" s="19"/>
      <c r="AI18" s="544"/>
      <c r="AJ18" s="544"/>
      <c r="AK18" s="583"/>
      <c r="AL18" s="19"/>
      <c r="AM18" s="516"/>
      <c r="AN18" s="516"/>
      <c r="AO18" s="597"/>
      <c r="AP18" s="92"/>
      <c r="AQ18" s="545"/>
      <c r="AR18" s="545"/>
      <c r="AS18" s="545"/>
      <c r="AT18" s="19"/>
      <c r="AU18" s="518"/>
      <c r="AV18" s="518"/>
      <c r="AW18" s="518"/>
      <c r="AX18" s="601" t="str">
        <f>Idiomas!D8</f>
        <v>XXIII Mundial USA/MEX/CAN 2026</v>
      </c>
      <c r="AY18" s="601"/>
      <c r="AZ18" s="602"/>
      <c r="BA18" s="602"/>
      <c r="BB18" s="602"/>
      <c r="BC18" s="602"/>
      <c r="BD18" s="602"/>
      <c r="BE18" s="602"/>
      <c r="BG18" s="547" t="str">
        <f ca="1">Horarios!Q17</f>
        <v>Costa de Marfil</v>
      </c>
      <c r="BH18" s="548">
        <f t="shared" ca="1" si="0"/>
        <v>1</v>
      </c>
      <c r="BI18" s="548">
        <f ca="1">COUNTIF(ADMIN!$M$130:$M$161,Fixture!BG18)-BJ18-BK18-BL18-BM18-BN18-BO18</f>
        <v>0</v>
      </c>
      <c r="BJ18" s="549">
        <f ca="1">COUNTIF(ADMIN!$M$182:$M$197,Fixture!BG18)-BK18-BL18-BM18-BN18-BO18</f>
        <v>0</v>
      </c>
      <c r="BK18" s="550">
        <f ca="1">COUNTIF(ADMIN!$M$210:$M$217,Fixture!BG18)-BL18-BM18-BN18-BO18</f>
        <v>0</v>
      </c>
      <c r="BL18" s="550">
        <f ca="1">COUNTIF(ADMIN!$M$226:$M$229,BG18)-BM18-BN18-BO18</f>
        <v>0</v>
      </c>
      <c r="BM18" s="548">
        <f ca="1">COUNTIF(ADMIN!$M$252,Fixture!BG18)</f>
        <v>0</v>
      </c>
      <c r="BN18" s="548">
        <f ca="1">COUNTIF(ADMIN!$M$251,Fixture!BG18)</f>
        <v>0</v>
      </c>
      <c r="BO18" s="551">
        <f ca="1">COUNTIF(ADMIN!$M$250,Fixture!BG18)</f>
        <v>0</v>
      </c>
    </row>
    <row r="19" spans="1:67" ht="15" thickBot="1">
      <c r="A19" s="19">
        <v>7</v>
      </c>
      <c r="B19" s="603" t="s">
        <v>2</v>
      </c>
      <c r="C19" s="502" t="str">
        <f ca="1">+MID(INDEX(WORLDCUP!$AA$4:$AA$147,MATCH(A19,WORLDCUP!$AH$4:$AH$147,0)),1,3)</f>
        <v>Bra</v>
      </c>
      <c r="D19" s="503">
        <f>IF(ISBLANK(INDEX(WORLDCUP!$AC$4:$AC$147,MATCH(A19,WORLDCUP!$AH$4:$AH$147,0))),"",INDEX(WORLDCUP!$AC$4:$AC$147,MATCH(A19,WORLDCUP!$AH$4:$AH$147,0)))</f>
        <v>1</v>
      </c>
      <c r="E19" s="503">
        <f>IF(ISBLANK(INDEX(WORLDCUP!$AD$4:$AD$147,MATCH(A19,WORLDCUP!$AH$4:$AH$147,0))),"",INDEX(WORLDCUP!$AD$4:$AD$147,MATCH(A19,WORLDCUP!$AH$4:$AH$147,0)))</f>
        <v>1</v>
      </c>
      <c r="F19" s="504" t="str">
        <f ca="1">+MID(INDEX(WORLDCUP!$AF$4:$AF$147,MATCH(A19,WORLDCUP!$AH$4:$AH$147,0)),1,3)</f>
        <v>Mar</v>
      </c>
      <c r="G19" s="505"/>
      <c r="H19" s="506" t="str">
        <f>+H11</f>
        <v>Sel</v>
      </c>
      <c r="I19" s="507" t="str">
        <f>+I11</f>
        <v>Pts</v>
      </c>
      <c r="J19" s="507" t="str">
        <f>+J11</f>
        <v>DG</v>
      </c>
      <c r="K19" s="508" t="str">
        <f>+K11</f>
        <v>GF-GC</v>
      </c>
      <c r="L19" s="19"/>
      <c r="M19" s="19">
        <v>17</v>
      </c>
      <c r="N19" s="604" t="s">
        <v>438</v>
      </c>
      <c r="O19" s="502" t="str">
        <f ca="1">+MID(INDEX(WORLDCUP!$AA$4:$AA$147,MATCH(M19,WORLDCUP!$AH$4:$AH$147,0)),1,3)</f>
        <v>Fra</v>
      </c>
      <c r="P19" s="503">
        <f>IF(ISBLANK(INDEX(WORLDCUP!$AC$4:$AC$147,MATCH(M19,WORLDCUP!$AH$4:$AH$147,0))),"",INDEX(WORLDCUP!$AC$4:$AC$147,MATCH(M19,WORLDCUP!$AH$4:$AH$147,0)))</f>
        <v>3</v>
      </c>
      <c r="Q19" s="503">
        <f>IF(ISBLANK(INDEX(WORLDCUP!$AD$4:$AD$147,MATCH(M19,WORLDCUP!$AH$4:$AH$147,0))),"",INDEX(WORLDCUP!$AD$4:$AD$147,MATCH(M19,WORLDCUP!$AH$4:$AH$147,0)))</f>
        <v>1</v>
      </c>
      <c r="R19" s="504" t="str">
        <f ca="1">+MID(INDEX(WORLDCUP!$AF$4:$AF$147,MATCH(M19,WORLDCUP!$AH$4:$AH$147,0)),1,3)</f>
        <v>Sen</v>
      </c>
      <c r="S19" s="505"/>
      <c r="T19" s="506" t="str">
        <f>+T11</f>
        <v>Sel</v>
      </c>
      <c r="U19" s="507" t="str">
        <f>+U11</f>
        <v>Pts</v>
      </c>
      <c r="V19" s="507" t="str">
        <f>+V11</f>
        <v>DG</v>
      </c>
      <c r="W19" s="508" t="str">
        <f>+W11</f>
        <v>GF-GC</v>
      </c>
      <c r="X19" s="19"/>
      <c r="Y19" s="19">
        <v>84</v>
      </c>
      <c r="Z19" s="510" t="s">
        <v>677</v>
      </c>
      <c r="AA19" s="565" t="str">
        <f ca="1">+MID(INDEX(WORLDCUP!$AF$101:$AF$147,MATCH(Y19,WORLDCUP!$Z$101:$Z$147,0)),1,3)</f>
        <v>2J</v>
      </c>
      <c r="AB19" s="566" t="str">
        <f>+IF(ISBLANK(INDEX(WORLDCUP!$AD$101:$AD$147,MATCH(Y19,WORLDCUP!$Z$101:$Z$147,0))),"",INDEX(WORLDCUP!$AD$101:$AD$147,MATCH(Y19,WORLDCUP!$Z$101:$Z$147,0)))</f>
        <v/>
      </c>
      <c r="AC19" s="592" t="str">
        <f>+IF(ISBLANK(INDEX(WORLDCUP!$AE$101:$AE$147,MATCH(Y19,WORLDCUP!$Z$101:$Z$147,0))),"","( "&amp;INDEX(WORLDCUP!$AE$101:$AE$147,MATCH(Y19,WORLDCUP!$Z$101:$Z$147,0))&amp;" )")</f>
        <v/>
      </c>
      <c r="AD19" s="19"/>
      <c r="AE19" s="559"/>
      <c r="AF19" s="559"/>
      <c r="AG19" s="560"/>
      <c r="AH19" s="584">
        <v>98</v>
      </c>
      <c r="AI19" s="568" t="str">
        <f>+MID(INDEX(WORLDCUP!$AA$101:$AA$147,MATCH(AH19,WORLDCUP!$Z$101:$Z$147,0)),1,3)</f>
        <v>W93</v>
      </c>
      <c r="AJ19" s="569" t="str">
        <f>+IF(ISBLANK(INDEX(WORLDCUP!$AC$101:$AC$147,MATCH(AH19,WORLDCUP!$Z$101:$Z$147,0))),"",INDEX(WORLDCUP!$AC$101:$AC$147,MATCH(AH19,WORLDCUP!$Z$101:$Z$147,0)))</f>
        <v/>
      </c>
      <c r="AK19" s="605" t="str">
        <f>+IF(ISBLANK(INDEX(WORLDCUP!$AB$101:$AB$147,MATCH(AH19,WORLDCUP!$Z$101:$Z$147,0))),"","( "&amp;INDEX(WORLDCUP!$AB$101:$AB$147,MATCH(AH19,WORLDCUP!$Z$101:$Z$147,0))&amp;" )")</f>
        <v/>
      </c>
      <c r="AL19" s="19"/>
      <c r="AM19" s="516"/>
      <c r="AN19" s="516"/>
      <c r="AO19" s="597"/>
      <c r="AP19" s="92"/>
      <c r="AQ19" s="545"/>
      <c r="AR19" s="545"/>
      <c r="AS19" s="545"/>
      <c r="AT19" s="19"/>
      <c r="AU19" s="518"/>
      <c r="AV19" s="518"/>
      <c r="AW19" s="518"/>
      <c r="AX19" s="19"/>
      <c r="AY19" s="297"/>
      <c r="AZ19" s="297"/>
      <c r="BA19" s="297"/>
      <c r="BB19" s="297"/>
      <c r="BC19" s="297"/>
      <c r="BD19" s="297"/>
      <c r="BE19" s="297"/>
      <c r="BG19" s="547" t="str">
        <f ca="1">Horarios!Q18</f>
        <v>Croacia</v>
      </c>
      <c r="BH19" s="548">
        <f t="shared" ca="1" si="0"/>
        <v>1</v>
      </c>
      <c r="BI19" s="548">
        <f ca="1">COUNTIF(ADMIN!$M$130:$M$161,Fixture!BG19)-BJ19-BK19-BL19-BM19-BN19-BO19</f>
        <v>0</v>
      </c>
      <c r="BJ19" s="549">
        <f ca="1">COUNTIF(ADMIN!$M$182:$M$197,Fixture!BG19)-BK19-BL19-BM19-BN19-BO19</f>
        <v>0</v>
      </c>
      <c r="BK19" s="550">
        <f ca="1">COUNTIF(ADMIN!$M$210:$M$217,Fixture!BG19)-BL19-BM19-BN19-BO19</f>
        <v>0</v>
      </c>
      <c r="BL19" s="550">
        <f ca="1">COUNTIF(ADMIN!$M$226:$M$229,BG19)-BM19-BN19-BO19</f>
        <v>0</v>
      </c>
      <c r="BM19" s="548">
        <f ca="1">COUNTIF(ADMIN!$M$252,Fixture!BG19)</f>
        <v>0</v>
      </c>
      <c r="BN19" s="548">
        <f ca="1">COUNTIF(ADMIN!$M$251,Fixture!BG19)</f>
        <v>0</v>
      </c>
      <c r="BO19" s="551">
        <f ca="1">COUNTIF(ADMIN!$M$250,Fixture!BG19)</f>
        <v>0</v>
      </c>
    </row>
    <row r="20" spans="1:67">
      <c r="A20" s="19">
        <v>5</v>
      </c>
      <c r="B20" s="606"/>
      <c r="C20" s="529" t="str">
        <f ca="1">+MID(INDEX(WORLDCUP!$AA$4:$AA$147,MATCH(A20,WORLDCUP!$AH$4:$AH$147,0)),1,3)</f>
        <v>Hai</v>
      </c>
      <c r="D20" s="530">
        <f>IF(ISBLANK(INDEX(WORLDCUP!$AC$4:$AC$147,MATCH(A20,WORLDCUP!$AH$4:$AH$147,0))),"",INDEX(WORLDCUP!$AC$4:$AC$147,MATCH(A20,WORLDCUP!$AH$4:$AH$147,0)))</f>
        <v>0</v>
      </c>
      <c r="E20" s="530">
        <f>IF(ISBLANK(INDEX(WORLDCUP!$AD$4:$AD$147,MATCH(A20,WORLDCUP!$AH$4:$AH$147,0))),"",INDEX(WORLDCUP!$AD$4:$AD$147,MATCH(A20,WORLDCUP!$AH$4:$AH$147,0)))</f>
        <v>1</v>
      </c>
      <c r="F20" s="531" t="str">
        <f ca="1">+MID(INDEX(WORLDCUP!$AF$4:$AF$147,MATCH(A20,WORLDCUP!$AH$4:$AH$147,0)),1,3)</f>
        <v>Esc</v>
      </c>
      <c r="G20" s="532">
        <v>1</v>
      </c>
      <c r="H20" s="533" t="str">
        <f ca="1">+MID(INDEX(WORLDCUP!$AL$6:$AL$97,MATCH(L20,WORLDCUP!$AI$6:$AI$97,0)),1,3)</f>
        <v>Bra</v>
      </c>
      <c r="I20" s="534">
        <f ca="1">+INDEX(WORLDCUP!$AM$6:$AM$97,MATCH(L20,WORLDCUP!$AI$6:$AI$97,0))</f>
        <v>4</v>
      </c>
      <c r="J20" s="535">
        <f ca="1">+INDEX(WORLDCUP!$AT$6:$AT$97,MATCH(L20,WORLDCUP!$AI$6:$AI$97,0))</f>
        <v>3</v>
      </c>
      <c r="K20" s="536" t="str">
        <f ca="1">+INDEX(WORLDCUP!$AR$6:$AR$97,MATCH(L20,WORLDCUP!$AI$6:$AI$97,0))&amp;"-"&amp;INDEX(WORLDCUP!$AS$6:$AS$97,MATCH(L20,WORLDCUP!$AI$6:$AI$97,0))</f>
        <v>4-1</v>
      </c>
      <c r="L20" s="19" t="s">
        <v>651</v>
      </c>
      <c r="M20" s="19">
        <v>18</v>
      </c>
      <c r="N20" s="607"/>
      <c r="O20" s="529" t="str">
        <f ca="1">+MID(INDEX(WORLDCUP!$AA$4:$AA$147,MATCH(M20,WORLDCUP!$AH$4:$AH$147,0)),1,3)</f>
        <v>Ira</v>
      </c>
      <c r="P20" s="530">
        <f>IF(ISBLANK(INDEX(WORLDCUP!$AC$4:$AC$147,MATCH(M20,WORLDCUP!$AH$4:$AH$147,0))),"",INDEX(WORLDCUP!$AC$4:$AC$147,MATCH(M20,WORLDCUP!$AH$4:$AH$147,0)))</f>
        <v>1</v>
      </c>
      <c r="Q20" s="530">
        <f>IF(ISBLANK(INDEX(WORLDCUP!$AD$4:$AD$147,MATCH(M20,WORLDCUP!$AH$4:$AH$147,0))),"",INDEX(WORLDCUP!$AD$4:$AD$147,MATCH(M20,WORLDCUP!$AH$4:$AH$147,0)))</f>
        <v>4</v>
      </c>
      <c r="R20" s="531" t="str">
        <f ca="1">+MID(INDEX(WORLDCUP!$AF$4:$AF$147,MATCH(M20,WORLDCUP!$AH$4:$AH$147,0)),1,3)</f>
        <v>Nor</v>
      </c>
      <c r="S20" s="532">
        <v>1</v>
      </c>
      <c r="T20" s="533" t="str">
        <f ca="1">+MID(INDEX(WORLDCUP!$AL$6:$AL$97,MATCH(X20,WORLDCUP!$AI$6:$AI$97,0)),1,3)</f>
        <v>Nor</v>
      </c>
      <c r="U20" s="534">
        <f ca="1">+INDEX(WORLDCUP!$AM$6:$AM$97,MATCH(X20,WORLDCUP!$AI$6:$AI$97,0))</f>
        <v>3</v>
      </c>
      <c r="V20" s="535">
        <f ca="1">+INDEX(WORLDCUP!$AT$6:$AT$97,MATCH(X20,WORLDCUP!$AI$6:$AI$97,0))</f>
        <v>3</v>
      </c>
      <c r="W20" s="536" t="str">
        <f ca="1">+INDEX(WORLDCUP!$AR$6:$AR$97,MATCH(X20,WORLDCUP!$AI$6:$AI$97,0))&amp;"-"&amp;INDEX(WORLDCUP!$AS$6:$AS$97,MATCH(X20,WORLDCUP!$AI$6:$AI$97,0))</f>
        <v>4-1</v>
      </c>
      <c r="X20" s="19" t="s">
        <v>673</v>
      </c>
      <c r="Y20" s="19"/>
      <c r="Z20" s="510"/>
      <c r="AA20" s="579"/>
      <c r="AB20" s="579"/>
      <c r="AC20" s="579"/>
      <c r="AD20" s="19"/>
      <c r="AE20" s="514"/>
      <c r="AF20" s="514"/>
      <c r="AG20" s="560"/>
      <c r="AH20" s="19">
        <v>98</v>
      </c>
      <c r="AI20" s="568" t="str">
        <f>+MID(INDEX(WORLDCUP!$AF$101:$AF$147,MATCH(AH20,WORLDCUP!$Z$101:$Z$147,0)),1,3)</f>
        <v>W94</v>
      </c>
      <c r="AJ20" s="569" t="str">
        <f>+IF(ISBLANK(INDEX(WORLDCUP!$AD$101:$AD$147,MATCH(AH20,WORLDCUP!$Z$101:$Z$147,0))),"",INDEX(WORLDCUP!$AD$101:$AD$147,MATCH(AH20,WORLDCUP!$Z$101:$Z$147,0)))</f>
        <v/>
      </c>
      <c r="AK20" s="544" t="str">
        <f>+IF(ISBLANK(INDEX(WORLDCUP!$AE$101:$AE$147,MATCH(AH20,WORLDCUP!$Z$101:$Z$147,0))),"","( "&amp;INDEX(WORLDCUP!$AE$101:$AE$147,MATCH(AH20,WORLDCUP!$Z$101:$Z$147,0))&amp;" )")</f>
        <v/>
      </c>
      <c r="AL20" s="19"/>
      <c r="AM20" s="516"/>
      <c r="AN20" s="516"/>
      <c r="AO20" s="597"/>
      <c r="AP20" s="19"/>
      <c r="AQ20" s="545"/>
      <c r="AR20" s="545"/>
      <c r="AS20" s="545"/>
      <c r="AT20" s="19"/>
      <c r="AU20" s="608"/>
      <c r="AV20" s="609"/>
      <c r="AW20" s="518"/>
      <c r="AX20" s="19"/>
      <c r="AY20" s="610"/>
      <c r="AZ20" s="611"/>
      <c r="BA20" s="611"/>
      <c r="BB20" s="611"/>
      <c r="BC20" s="612"/>
      <c r="BD20" s="297"/>
      <c r="BE20" s="297"/>
      <c r="BG20" s="547" t="str">
        <f ca="1">Horarios!Q19</f>
        <v>Curazao</v>
      </c>
      <c r="BH20" s="548">
        <f t="shared" ca="1" si="0"/>
        <v>1</v>
      </c>
      <c r="BI20" s="548">
        <f ca="1">COUNTIF(ADMIN!$M$130:$M$161,Fixture!BG20)-BJ20-BK20-BL20-BM20-BN20-BO20</f>
        <v>0</v>
      </c>
      <c r="BJ20" s="549">
        <f ca="1">COUNTIF(ADMIN!$M$182:$M$197,Fixture!BG20)-BK20-BL20-BM20-BN20-BO20</f>
        <v>0</v>
      </c>
      <c r="BK20" s="550">
        <f ca="1">COUNTIF(ADMIN!$M$210:$M$217,Fixture!BG20)-BL20-BM20-BN20-BO20</f>
        <v>0</v>
      </c>
      <c r="BL20" s="550">
        <f ca="1">COUNTIF(ADMIN!$M$226:$M$229,BG20)-BM20-BN20-BO20</f>
        <v>0</v>
      </c>
      <c r="BM20" s="548">
        <f ca="1">COUNTIF(ADMIN!$M$252,Fixture!BG20)</f>
        <v>0</v>
      </c>
      <c r="BN20" s="548">
        <f ca="1">COUNTIF(ADMIN!$M$251,Fixture!BG20)</f>
        <v>0</v>
      </c>
      <c r="BO20" s="551">
        <f ca="1">COUNTIF(ADMIN!$M$250,Fixture!BG20)</f>
        <v>0</v>
      </c>
    </row>
    <row r="21" spans="1:67" ht="15" thickBot="1">
      <c r="A21" s="19">
        <v>30</v>
      </c>
      <c r="B21" s="606"/>
      <c r="C21" s="529" t="str">
        <f ca="1">+MID(INDEX(WORLDCUP!$AA$4:$AA$147,MATCH(A21,WORLDCUP!$AH$4:$AH$147,0)),1,3)</f>
        <v>Esc</v>
      </c>
      <c r="D21" s="530">
        <f>IF(ISBLANK(INDEX(WORLDCUP!$AC$4:$AC$147,MATCH(A21,WORLDCUP!$AH$4:$AH$147,0))),"",INDEX(WORLDCUP!$AC$4:$AC$147,MATCH(A21,WORLDCUP!$AH$4:$AH$147,0)))</f>
        <v>0</v>
      </c>
      <c r="E21" s="530">
        <f>IF(ISBLANK(INDEX(WORLDCUP!$AD$4:$AD$147,MATCH(A21,WORLDCUP!$AH$4:$AH$147,0))),"",INDEX(WORLDCUP!$AD$4:$AD$147,MATCH(A21,WORLDCUP!$AH$4:$AH$147,0)))</f>
        <v>1</v>
      </c>
      <c r="F21" s="531" t="str">
        <f ca="1">+MID(INDEX(WORLDCUP!$AF$4:$AF$147,MATCH(A21,WORLDCUP!$AH$4:$AH$147,0)),1,3)</f>
        <v>Mar</v>
      </c>
      <c r="G21" s="552">
        <v>2</v>
      </c>
      <c r="H21" s="553" t="str">
        <f ca="1">+MID(INDEX(WORLDCUP!$AL$6:$AL$97,MATCH(L21,WORLDCUP!$AI$6:$AI$97,0)),1,3)</f>
        <v>Mar</v>
      </c>
      <c r="I21" s="223">
        <f ca="1">+INDEX(WORLDCUP!$AM$6:$AM$97,MATCH(L21,WORLDCUP!$AI$6:$AI$97,0))</f>
        <v>4</v>
      </c>
      <c r="J21" s="224">
        <f ca="1">+INDEX(WORLDCUP!$AT$6:$AT$97,MATCH(L21,WORLDCUP!$AI$6:$AI$97,0))</f>
        <v>1</v>
      </c>
      <c r="K21" s="225" t="str">
        <f ca="1">+INDEX(WORLDCUP!$AR$6:$AR$97,MATCH(L21,WORLDCUP!$AI$6:$AI$97,0))&amp;"-"&amp;INDEX(WORLDCUP!$AS$6:$AS$97,MATCH(L21,WORLDCUP!$AI$6:$AI$97,0))</f>
        <v>2-1</v>
      </c>
      <c r="L21" s="19" t="s">
        <v>656</v>
      </c>
      <c r="M21" s="19">
        <v>42</v>
      </c>
      <c r="N21" s="607"/>
      <c r="O21" s="529" t="str">
        <f ca="1">+MID(INDEX(WORLDCUP!$AA$4:$AA$147,MATCH(M21,WORLDCUP!$AH$4:$AH$147,0)),1,3)</f>
        <v>Fra</v>
      </c>
      <c r="P21" s="530" t="str">
        <f>IF(ISBLANK(INDEX(WORLDCUP!$AC$4:$AC$147,MATCH(M21,WORLDCUP!$AH$4:$AH$147,0))),"",INDEX(WORLDCUP!$AC$4:$AC$147,MATCH(M21,WORLDCUP!$AH$4:$AH$147,0)))</f>
        <v/>
      </c>
      <c r="Q21" s="530" t="str">
        <f>IF(ISBLANK(INDEX(WORLDCUP!$AD$4:$AD$147,MATCH(M21,WORLDCUP!$AH$4:$AH$147,0))),"",INDEX(WORLDCUP!$AD$4:$AD$147,MATCH(M21,WORLDCUP!$AH$4:$AH$147,0)))</f>
        <v/>
      </c>
      <c r="R21" s="531" t="str">
        <f ca="1">+MID(INDEX(WORLDCUP!$AF$4:$AF$147,MATCH(M21,WORLDCUP!$AH$4:$AH$147,0)),1,3)</f>
        <v>Ira</v>
      </c>
      <c r="S21" s="552">
        <v>2</v>
      </c>
      <c r="T21" s="553" t="str">
        <f ca="1">+MID(INDEX(WORLDCUP!$AL$6:$AL$97,MATCH(X21,WORLDCUP!$AI$6:$AI$97,0)),1,3)</f>
        <v>Fra</v>
      </c>
      <c r="U21" s="223">
        <f ca="1">+INDEX(WORLDCUP!$AM$6:$AM$97,MATCH(X21,WORLDCUP!$AI$6:$AI$97,0))</f>
        <v>3</v>
      </c>
      <c r="V21" s="224">
        <f ca="1">+INDEX(WORLDCUP!$AT$6:$AT$97,MATCH(X21,WORLDCUP!$AI$6:$AI$97,0))</f>
        <v>2</v>
      </c>
      <c r="W21" s="225" t="str">
        <f ca="1">+INDEX(WORLDCUP!$AR$6:$AR$97,MATCH(X21,WORLDCUP!$AI$6:$AI$97,0))&amp;"-"&amp;INDEX(WORLDCUP!$AS$6:$AS$97,MATCH(X21,WORLDCUP!$AI$6:$AI$97,0))</f>
        <v>3-1</v>
      </c>
      <c r="X21" s="19" t="s">
        <v>674</v>
      </c>
      <c r="Y21" s="19">
        <v>81</v>
      </c>
      <c r="Z21" s="510" t="s">
        <v>658</v>
      </c>
      <c r="AA21" s="511" t="str">
        <f ca="1">+MID(INDEX(WORLDCUP!$AA$101:$AA$147,MATCH(Y21,WORLDCUP!$Z$101:$Z$147,0)),1,3)</f>
        <v>1D</v>
      </c>
      <c r="AB21" s="512" t="str">
        <f>+IF(ISBLANK(INDEX(WORLDCUP!$AC$101:$AC$147,MATCH(Y21,WORLDCUP!$Z$101:$Z$147,0))),"",INDEX(WORLDCUP!$AC$101:$AC$147,MATCH(Y21,WORLDCUP!$Z$101:$Z$147,0)))</f>
        <v/>
      </c>
      <c r="AC21" s="582" t="str">
        <f>+IF(ISBLANK(INDEX(WORLDCUP!$AB$101:$AB$147,MATCH(Y21,WORLDCUP!$Z$101:$Z$147,0))),"","( "&amp;INDEX(WORLDCUP!$AB$101:$AB$147,MATCH(Y21,WORLDCUP!$Z$101:$Z$147,0))&amp;" )")</f>
        <v/>
      </c>
      <c r="AD21" s="18"/>
      <c r="AE21" s="514"/>
      <c r="AF21" s="514"/>
      <c r="AG21" s="560"/>
      <c r="AH21" s="19"/>
      <c r="AI21" s="544"/>
      <c r="AJ21" s="544"/>
      <c r="AK21" s="544"/>
      <c r="AL21" s="19"/>
      <c r="AM21" s="516"/>
      <c r="AN21" s="516"/>
      <c r="AO21" s="597"/>
      <c r="AP21" s="19"/>
      <c r="AQ21" s="545"/>
      <c r="AR21" s="545"/>
      <c r="AS21" s="545"/>
      <c r="AT21" s="19"/>
      <c r="AU21" s="608"/>
      <c r="AV21" s="609"/>
      <c r="AW21" s="518"/>
      <c r="AX21" s="19"/>
      <c r="AY21" s="613"/>
      <c r="AZ21" s="614"/>
      <c r="BA21" s="614" t="str">
        <f>WORLDCUP!AA150</f>
        <v>WF</v>
      </c>
      <c r="BB21" s="614"/>
      <c r="BC21" s="615"/>
      <c r="BD21" s="297"/>
      <c r="BE21" s="297"/>
      <c r="BG21" s="547" t="str">
        <f ca="1">Horarios!Q20</f>
        <v>Ecuador</v>
      </c>
      <c r="BH21" s="548">
        <f t="shared" ca="1" si="0"/>
        <v>1</v>
      </c>
      <c r="BI21" s="548">
        <f ca="1">COUNTIF(ADMIN!$M$130:$M$161,Fixture!BG21)-BJ21-BK21-BL21-BM21-BN21-BO21</f>
        <v>0</v>
      </c>
      <c r="BJ21" s="549">
        <f ca="1">COUNTIF(ADMIN!$M$182:$M$197,Fixture!BG21)-BK21-BL21-BM21-BN21-BO21</f>
        <v>0</v>
      </c>
      <c r="BK21" s="550">
        <f ca="1">COUNTIF(ADMIN!$M$210:$M$217,Fixture!BG21)-BL21-BM21-BN21-BO21</f>
        <v>0</v>
      </c>
      <c r="BL21" s="550">
        <f ca="1">COUNTIF(ADMIN!$M$226:$M$229,BG21)-BM21-BN21-BO21</f>
        <v>0</v>
      </c>
      <c r="BM21" s="548">
        <f ca="1">COUNTIF(ADMIN!$M$252,Fixture!BG21)</f>
        <v>0</v>
      </c>
      <c r="BN21" s="548">
        <f ca="1">COUNTIF(ADMIN!$M$251,Fixture!BG21)</f>
        <v>0</v>
      </c>
      <c r="BO21" s="551">
        <f ca="1">COUNTIF(ADMIN!$M$250,Fixture!BG21)</f>
        <v>0</v>
      </c>
    </row>
    <row r="22" spans="1:67" ht="15" thickBot="1">
      <c r="A22" s="19">
        <v>29</v>
      </c>
      <c r="B22" s="606"/>
      <c r="C22" s="529" t="str">
        <f ca="1">+MID(INDEX(WORLDCUP!$AA$4:$AA$147,MATCH(A22,WORLDCUP!$AH$4:$AH$147,0)),1,3)</f>
        <v>Bra</v>
      </c>
      <c r="D22" s="530">
        <f>IF(ISBLANK(INDEX(WORLDCUP!$AC$4:$AC$147,MATCH(A22,WORLDCUP!$AH$4:$AH$147,0))),"",INDEX(WORLDCUP!$AC$4:$AC$147,MATCH(A22,WORLDCUP!$AH$4:$AH$147,0)))</f>
        <v>3</v>
      </c>
      <c r="E22" s="530">
        <f>IF(ISBLANK(INDEX(WORLDCUP!$AD$4:$AD$147,MATCH(A22,WORLDCUP!$AH$4:$AH$147,0))),"",INDEX(WORLDCUP!$AD$4:$AD$147,MATCH(A22,WORLDCUP!$AH$4:$AH$147,0)))</f>
        <v>0</v>
      </c>
      <c r="F22" s="531" t="str">
        <f ca="1">+MID(INDEX(WORLDCUP!$AF$4:$AF$147,MATCH(A22,WORLDCUP!$AH$4:$AH$147,0)),1,3)</f>
        <v>Hai</v>
      </c>
      <c r="G22" s="552">
        <v>3</v>
      </c>
      <c r="H22" s="553" t="str">
        <f ca="1">+MID(INDEX(WORLDCUP!$AL$6:$AL$97,MATCH(L22,WORLDCUP!$AI$6:$AI$97,0)),1,3)</f>
        <v>Esc</v>
      </c>
      <c r="I22" s="223">
        <f ca="1">+INDEX(WORLDCUP!$AM$6:$AM$97,MATCH(L22,WORLDCUP!$AI$6:$AI$97,0))</f>
        <v>3</v>
      </c>
      <c r="J22" s="224">
        <f ca="1">+INDEX(WORLDCUP!$AT$6:$AT$97,MATCH(L22,WORLDCUP!$AI$6:$AI$97,0))</f>
        <v>0</v>
      </c>
      <c r="K22" s="225" t="str">
        <f ca="1">+INDEX(WORLDCUP!$AR$6:$AR$97,MATCH(L22,WORLDCUP!$AI$6:$AI$97,0))&amp;"-"&amp;INDEX(WORLDCUP!$AS$6:$AS$97,MATCH(L22,WORLDCUP!$AI$6:$AI$97,0))</f>
        <v>1-1</v>
      </c>
      <c r="L22" s="19" t="s">
        <v>91</v>
      </c>
      <c r="M22" s="19">
        <v>41</v>
      </c>
      <c r="N22" s="607"/>
      <c r="O22" s="529" t="str">
        <f ca="1">+MID(INDEX(WORLDCUP!$AA$4:$AA$147,MATCH(M22,WORLDCUP!$AH$4:$AH$147,0)),1,3)</f>
        <v>Nor</v>
      </c>
      <c r="P22" s="530" t="str">
        <f>IF(ISBLANK(INDEX(WORLDCUP!$AC$4:$AC$147,MATCH(M22,WORLDCUP!$AH$4:$AH$147,0))),"",INDEX(WORLDCUP!$AC$4:$AC$147,MATCH(M22,WORLDCUP!$AH$4:$AH$147,0)))</f>
        <v/>
      </c>
      <c r="Q22" s="530" t="str">
        <f>IF(ISBLANK(INDEX(WORLDCUP!$AD$4:$AD$147,MATCH(M22,WORLDCUP!$AH$4:$AH$147,0))),"",INDEX(WORLDCUP!$AD$4:$AD$147,MATCH(M22,WORLDCUP!$AH$4:$AH$147,0)))</f>
        <v/>
      </c>
      <c r="R22" s="531" t="str">
        <f ca="1">+MID(INDEX(WORLDCUP!$AF$4:$AF$147,MATCH(M22,WORLDCUP!$AH$4:$AH$147,0)),1,3)</f>
        <v>Sen</v>
      </c>
      <c r="S22" s="552">
        <v>3</v>
      </c>
      <c r="T22" s="553" t="str">
        <f ca="1">+MID(INDEX(WORLDCUP!$AL$6:$AL$97,MATCH(X22,WORLDCUP!$AI$6:$AI$97,0)),1,3)</f>
        <v>Sen</v>
      </c>
      <c r="U22" s="223">
        <f ca="1">+INDEX(WORLDCUP!$AM$6:$AM$97,MATCH(X22,WORLDCUP!$AI$6:$AI$97,0))</f>
        <v>0</v>
      </c>
      <c r="V22" s="224">
        <f ca="1">+INDEX(WORLDCUP!$AT$6:$AT$97,MATCH(X22,WORLDCUP!$AI$6:$AI$97,0))</f>
        <v>-2</v>
      </c>
      <c r="W22" s="225" t="str">
        <f ca="1">+INDEX(WORLDCUP!$AR$6:$AR$97,MATCH(X22,WORLDCUP!$AI$6:$AI$97,0))&amp;"-"&amp;INDEX(WORLDCUP!$AS$6:$AS$97,MATCH(X22,WORLDCUP!$AI$6:$AI$97,0))</f>
        <v>1-3</v>
      </c>
      <c r="X22" s="19" t="s">
        <v>440</v>
      </c>
      <c r="Y22" s="19">
        <v>81</v>
      </c>
      <c r="Z22" s="510" t="s">
        <v>726</v>
      </c>
      <c r="AA22" s="511" t="str">
        <f ca="1">+MID(INDEX(WORLDCUP!$AF$101:$AF$147,MATCH(Y22,WORLDCUP!$Z$101:$Z$147,0)),1,IF(WORLDCUP!$H$113&lt;144,6,3))</f>
        <v>3BEFIJ</v>
      </c>
      <c r="AB22" s="538" t="str">
        <f>+IF(ISBLANK(INDEX(WORLDCUP!$AD$101:$AD$147,MATCH(Y22,WORLDCUP!$Z$101:$Z$147,0))),"",INDEX(WORLDCUP!$AD$101:$AD$147,MATCH(Y22,WORLDCUP!$Z$101:$Z$147,0)))</f>
        <v/>
      </c>
      <c r="AC22" s="539" t="str">
        <f>+IF(ISBLANK(INDEX(WORLDCUP!$AE$101:$AE$147,MATCH(Y22,WORLDCUP!$Z$101:$Z$147,0))),"","( "&amp;INDEX(WORLDCUP!$AE$101:$AE$147,MATCH(Y22,WORLDCUP!$Z$101:$Z$147,0))&amp;" )")</f>
        <v/>
      </c>
      <c r="AD22" s="540">
        <v>94</v>
      </c>
      <c r="AE22" s="541" t="str">
        <f>+MID(INDEX(WORLDCUP!$AA$101:$AA$147,MATCH(AD22,WORLDCUP!$Z$101:$Z$147,0)),1,3)</f>
        <v>W81</v>
      </c>
      <c r="AF22" s="542" t="str">
        <f>+IF(ISBLANK(INDEX(WORLDCUP!$AC$101:$AC$147,MATCH(AD22,WORLDCUP!$Z$101:$Z$147,0))),"",INDEX(WORLDCUP!$AC$101:$AC$147,MATCH(AD22,WORLDCUP!$Z$101:$Z$147,0)))</f>
        <v/>
      </c>
      <c r="AG22" s="585" t="str">
        <f>+IF(ISBLANK(INDEX(WORLDCUP!$AB$101:$AB$147,MATCH(AD22,WORLDCUP!$Z$101:$Z$147,0))),"","( "&amp;INDEX(WORLDCUP!$AB$101:$AB$147,MATCH(AD22,WORLDCUP!$Z$101:$Z$147,0))&amp;" )")</f>
        <v/>
      </c>
      <c r="AH22" s="19"/>
      <c r="AI22" s="544"/>
      <c r="AJ22" s="544"/>
      <c r="AK22" s="544"/>
      <c r="AL22" s="19"/>
      <c r="AM22" s="516"/>
      <c r="AN22" s="516"/>
      <c r="AO22" s="597"/>
      <c r="AP22" s="19"/>
      <c r="AQ22" s="545"/>
      <c r="AR22" s="545"/>
      <c r="AS22" s="545"/>
      <c r="AT22" s="19"/>
      <c r="AU22" s="608"/>
      <c r="AV22" s="609"/>
      <c r="AW22" s="518"/>
      <c r="AX22" s="19"/>
      <c r="AY22" s="613"/>
      <c r="AZ22" s="614"/>
      <c r="BA22" s="616"/>
      <c r="BB22" s="614"/>
      <c r="BC22" s="615"/>
      <c r="BD22" s="297"/>
      <c r="BE22" s="297"/>
      <c r="BG22" s="547" t="str">
        <f ca="1">Horarios!Q21</f>
        <v>Egipto</v>
      </c>
      <c r="BH22" s="548">
        <f t="shared" ca="1" si="0"/>
        <v>1</v>
      </c>
      <c r="BI22" s="548">
        <f ca="1">COUNTIF(ADMIN!$M$130:$M$161,Fixture!BG22)-BJ22-BK22-BL22-BM22-BN22-BO22</f>
        <v>0</v>
      </c>
      <c r="BJ22" s="549">
        <f ca="1">COUNTIF(ADMIN!$M$182:$M$197,Fixture!BG22)-BK22-BL22-BM22-BN22-BO22</f>
        <v>0</v>
      </c>
      <c r="BK22" s="550">
        <f ca="1">COUNTIF(ADMIN!$M$210:$M$217,Fixture!BG22)-BL22-BM22-BN22-BO22</f>
        <v>0</v>
      </c>
      <c r="BL22" s="550">
        <f ca="1">COUNTIF(ADMIN!$M$226:$M$229,BG22)-BM22-BN22-BO22</f>
        <v>0</v>
      </c>
      <c r="BM22" s="548">
        <f ca="1">COUNTIF(ADMIN!$M$252,Fixture!BG22)</f>
        <v>0</v>
      </c>
      <c r="BN22" s="548">
        <f ca="1">COUNTIF(ADMIN!$M$251,Fixture!BG22)</f>
        <v>0</v>
      </c>
      <c r="BO22" s="551">
        <f ca="1">COUNTIF(ADMIN!$M$250,Fixture!BG22)</f>
        <v>0</v>
      </c>
    </row>
    <row r="23" spans="1:67">
      <c r="A23" s="19">
        <v>49</v>
      </c>
      <c r="B23" s="606"/>
      <c r="C23" s="529" t="str">
        <f ca="1">+MID(INDEX(WORLDCUP!$AA$4:$AA$147,MATCH(A23,WORLDCUP!$AH$4:$AH$147,0)),1,3)</f>
        <v>Esc</v>
      </c>
      <c r="D23" s="530" t="str">
        <f>IF(ISBLANK(INDEX(WORLDCUP!$AC$4:$AC$147,MATCH(A23,WORLDCUP!$AH$4:$AH$147,0))),"",INDEX(WORLDCUP!$AC$4:$AC$147,MATCH(A23,WORLDCUP!$AH$4:$AH$147,0)))</f>
        <v/>
      </c>
      <c r="E23" s="530" t="str">
        <f>IF(ISBLANK(INDEX(WORLDCUP!$AD$4:$AD$147,MATCH(A23,WORLDCUP!$AH$4:$AH$147,0))),"",INDEX(WORLDCUP!$AD$4:$AD$147,MATCH(A23,WORLDCUP!$AH$4:$AH$147,0)))</f>
        <v/>
      </c>
      <c r="F23" s="531" t="str">
        <f ca="1">+MID(INDEX(WORLDCUP!$AF$4:$AF$147,MATCH(A23,WORLDCUP!$AH$4:$AH$147,0)),1,3)</f>
        <v>Bra</v>
      </c>
      <c r="G23" s="552">
        <v>4</v>
      </c>
      <c r="H23" s="561" t="str">
        <f ca="1">+MID(INDEX(WORLDCUP!$AL$6:$AL$97,MATCH(L23,WORLDCUP!$AI$6:$AI$97,0)),1,3)</f>
        <v>Hai</v>
      </c>
      <c r="I23" s="562">
        <f ca="1">+INDEX(WORLDCUP!$AM$6:$AM$97,MATCH(L23,WORLDCUP!$AI$6:$AI$97,0))</f>
        <v>0</v>
      </c>
      <c r="J23" s="563">
        <f ca="1">+INDEX(WORLDCUP!$AT$6:$AT$97,MATCH(L23,WORLDCUP!$AI$6:$AI$97,0))</f>
        <v>-4</v>
      </c>
      <c r="K23" s="564" t="str">
        <f ca="1">+INDEX(WORLDCUP!$AR$6:$AR$97,MATCH(L23,WORLDCUP!$AI$6:$AI$97,0))&amp;"-"&amp;INDEX(WORLDCUP!$AS$6:$AS$97,MATCH(L23,WORLDCUP!$AI$6:$AI$97,0))</f>
        <v>0-4</v>
      </c>
      <c r="L23" s="19" t="s">
        <v>657</v>
      </c>
      <c r="M23" s="19">
        <v>61</v>
      </c>
      <c r="N23" s="607"/>
      <c r="O23" s="529" t="str">
        <f ca="1">+MID(INDEX(WORLDCUP!$AA$4:$AA$147,MATCH(M23,WORLDCUP!$AH$4:$AH$147,0)),1,3)</f>
        <v>Nor</v>
      </c>
      <c r="P23" s="530" t="str">
        <f>IF(ISBLANK(INDEX(WORLDCUP!$AC$4:$AC$147,MATCH(M23,WORLDCUP!$AH$4:$AH$147,0))),"",INDEX(WORLDCUP!$AC$4:$AC$147,MATCH(M23,WORLDCUP!$AH$4:$AH$147,0)))</f>
        <v/>
      </c>
      <c r="Q23" s="530" t="str">
        <f>IF(ISBLANK(INDEX(WORLDCUP!$AD$4:$AD$147,MATCH(M23,WORLDCUP!$AH$4:$AH$147,0))),"",INDEX(WORLDCUP!$AD$4:$AD$147,MATCH(M23,WORLDCUP!$AH$4:$AH$147,0)))</f>
        <v/>
      </c>
      <c r="R23" s="531" t="str">
        <f ca="1">+MID(INDEX(WORLDCUP!$AF$4:$AF$147,MATCH(M23,WORLDCUP!$AH$4:$AH$147,0)),1,3)</f>
        <v>Fra</v>
      </c>
      <c r="S23" s="552">
        <v>4</v>
      </c>
      <c r="T23" s="561" t="str">
        <f ca="1">+MID(INDEX(WORLDCUP!$AL$6:$AL$97,MATCH(X23,WORLDCUP!$AI$6:$AI$97,0)),1,3)</f>
        <v>Ira</v>
      </c>
      <c r="U23" s="562">
        <f ca="1">+INDEX(WORLDCUP!$AM$6:$AM$97,MATCH(X23,WORLDCUP!$AI$6:$AI$97,0))</f>
        <v>0</v>
      </c>
      <c r="V23" s="563">
        <f ca="1">+INDEX(WORLDCUP!$AT$6:$AT$97,MATCH(X23,WORLDCUP!$AI$6:$AI$97,0))</f>
        <v>-3</v>
      </c>
      <c r="W23" s="564" t="str">
        <f ca="1">+INDEX(WORLDCUP!$AR$6:$AR$97,MATCH(X23,WORLDCUP!$AI$6:$AI$97,0))&amp;"-"&amp;INDEX(WORLDCUP!$AS$6:$AS$97,MATCH(X23,WORLDCUP!$AI$6:$AI$97,0))</f>
        <v>1-4</v>
      </c>
      <c r="X23" s="19" t="s">
        <v>675</v>
      </c>
      <c r="Y23" s="19"/>
      <c r="Z23" s="510"/>
      <c r="AA23" s="554"/>
      <c r="AB23" s="554"/>
      <c r="AC23" s="555"/>
      <c r="AD23" s="19">
        <v>94</v>
      </c>
      <c r="AE23" s="541" t="str">
        <f>+MID(INDEX(WORLDCUP!$AF$101:$AF$147,MATCH(AD23,WORLDCUP!$Z$101:$Z$147,0)),1,3)</f>
        <v>W82</v>
      </c>
      <c r="AF23" s="542" t="str">
        <f>+IF(ISBLANK(INDEX(WORLDCUP!$AD$101:$AD$147,MATCH(AD23,WORLDCUP!$Z$101:$Z$147,0))),"",INDEX(WORLDCUP!$AD$101:$AD$147,MATCH(AD23,WORLDCUP!$Z$101:$Z$147,0)))</f>
        <v/>
      </c>
      <c r="AG23" s="559" t="str">
        <f>+IF(ISBLANK(INDEX(WORLDCUP!$AE$101:$AE$147,MATCH(AD23,WORLDCUP!$Z$101:$Z$147,0))),"","( "&amp;INDEX(WORLDCUP!$AE$101:$AE$147,MATCH(AD23,WORLDCUP!$Z$101:$Z$147,0))&amp;" )")</f>
        <v/>
      </c>
      <c r="AH23" s="19"/>
      <c r="AI23" s="544"/>
      <c r="AJ23" s="544"/>
      <c r="AK23" s="544"/>
      <c r="AL23" s="19"/>
      <c r="AM23" s="516"/>
      <c r="AN23" s="516"/>
      <c r="AO23" s="597"/>
      <c r="AP23" s="92"/>
      <c r="AQ23" s="545"/>
      <c r="AR23" s="545"/>
      <c r="AS23" s="545"/>
      <c r="AT23" s="19"/>
      <c r="AU23" s="518"/>
      <c r="AV23" s="518"/>
      <c r="AW23" s="518"/>
      <c r="AX23" s="19"/>
      <c r="AY23" s="613"/>
      <c r="AZ23" s="614"/>
      <c r="BA23" s="616"/>
      <c r="BB23" s="614" t="str">
        <f>+WORLDCUP!AA151</f>
        <v>LF</v>
      </c>
      <c r="BC23" s="615"/>
      <c r="BD23" s="297"/>
      <c r="BE23" s="297"/>
      <c r="BG23" s="547" t="str">
        <f ca="1">Horarios!Q22</f>
        <v>Escocia</v>
      </c>
      <c r="BH23" s="548">
        <f t="shared" ca="1" si="0"/>
        <v>1</v>
      </c>
      <c r="BI23" s="548">
        <f ca="1">COUNTIF(ADMIN!$M$130:$M$161,Fixture!BG23)-BJ23-BK23-BL23-BM23-BN23-BO23</f>
        <v>0</v>
      </c>
      <c r="BJ23" s="549">
        <f ca="1">COUNTIF(ADMIN!$M$182:$M$197,Fixture!BG23)-BK23-BL23-BM23-BN23-BO23</f>
        <v>0</v>
      </c>
      <c r="BK23" s="550">
        <f ca="1">COUNTIF(ADMIN!$M$210:$M$217,Fixture!BG23)-BL23-BM23-BN23-BO23</f>
        <v>0</v>
      </c>
      <c r="BL23" s="550">
        <f ca="1">COUNTIF(ADMIN!$M$226:$M$229,BG23)-BM23-BN23-BO23</f>
        <v>0</v>
      </c>
      <c r="BM23" s="548">
        <f ca="1">COUNTIF(ADMIN!$M$252,Fixture!BG23)</f>
        <v>0</v>
      </c>
      <c r="BN23" s="548">
        <f ca="1">COUNTIF(ADMIN!$M$251,Fixture!BG23)</f>
        <v>0</v>
      </c>
      <c r="BO23" s="551">
        <f ca="1">COUNTIF(ADMIN!$M$250,Fixture!BG23)</f>
        <v>0</v>
      </c>
    </row>
    <row r="24" spans="1:67" ht="15" thickBot="1">
      <c r="A24" s="19">
        <v>50</v>
      </c>
      <c r="B24" s="617"/>
      <c r="C24" s="572" t="str">
        <f ca="1">+MID(INDEX(WORLDCUP!$AA$4:$AA$147,MATCH(A24,WORLDCUP!$AH$4:$AH$147,0)),1,3)</f>
        <v>Mar</v>
      </c>
      <c r="D24" s="573" t="str">
        <f>IF(ISBLANK(INDEX(WORLDCUP!$AC$4:$AC$147,MATCH(A24,WORLDCUP!$AH$4:$AH$147,0))),"",INDEX(WORLDCUP!$AC$4:$AC$147,MATCH(A24,WORLDCUP!$AH$4:$AH$147,0)))</f>
        <v/>
      </c>
      <c r="E24" s="573" t="str">
        <f>IF(ISBLANK(INDEX(WORLDCUP!$AD$4:$AD$147,MATCH(A24,WORLDCUP!$AH$4:$AH$147,0))),"",INDEX(WORLDCUP!$AD$4:$AD$147,MATCH(A24,WORLDCUP!$AH$4:$AH$147,0)))</f>
        <v/>
      </c>
      <c r="F24" s="574" t="str">
        <f ca="1">+MID(INDEX(WORLDCUP!$AF$4:$AF$147,MATCH(A24,WORLDCUP!$AH$4:$AH$147,0)),1,3)</f>
        <v>Hai</v>
      </c>
      <c r="G24" s="575"/>
      <c r="H24" s="575"/>
      <c r="I24" s="576"/>
      <c r="J24" s="576"/>
      <c r="K24" s="577"/>
      <c r="L24" s="19"/>
      <c r="M24" s="19">
        <v>62</v>
      </c>
      <c r="N24" s="618"/>
      <c r="O24" s="572" t="str">
        <f ca="1">+MID(INDEX(WORLDCUP!$AA$4:$AA$147,MATCH(M24,WORLDCUP!$AH$4:$AH$147,0)),1,3)</f>
        <v>Sen</v>
      </c>
      <c r="P24" s="573" t="str">
        <f>IF(ISBLANK(INDEX(WORLDCUP!$AC$4:$AC$147,MATCH(M24,WORLDCUP!$AH$4:$AH$147,0))),"",INDEX(WORLDCUP!$AC$4:$AC$147,MATCH(M24,WORLDCUP!$AH$4:$AH$147,0)))</f>
        <v/>
      </c>
      <c r="Q24" s="573" t="str">
        <f>IF(ISBLANK(INDEX(WORLDCUP!$AD$4:$AD$147,MATCH(M24,WORLDCUP!$AH$4:$AH$147,0))),"",INDEX(WORLDCUP!$AD$4:$AD$147,MATCH(M24,WORLDCUP!$AH$4:$AH$147,0)))</f>
        <v/>
      </c>
      <c r="R24" s="574" t="str">
        <f ca="1">+MID(INDEX(WORLDCUP!$AF$4:$AF$147,MATCH(M24,WORLDCUP!$AH$4:$AH$147,0)),1,3)</f>
        <v>Ira</v>
      </c>
      <c r="S24" s="575"/>
      <c r="T24" s="575"/>
      <c r="U24" s="576"/>
      <c r="V24" s="576"/>
      <c r="W24" s="577"/>
      <c r="X24" s="19"/>
      <c r="Y24" s="19">
        <v>82</v>
      </c>
      <c r="Z24" s="510" t="s">
        <v>667</v>
      </c>
      <c r="AA24" s="511" t="str">
        <f ca="1">+MID(INDEX(WORLDCUP!$AA$101:$AA$147,MATCH(Y24,WORLDCUP!$Z$101:$Z$147,0)),1,3)</f>
        <v>1G</v>
      </c>
      <c r="AB24" s="557" t="str">
        <f>+IF(ISBLANK(INDEX(WORLDCUP!$AC$101:$AC$147,MATCH(Y24,WORLDCUP!$Z$101:$Z$147,0))),"",INDEX(WORLDCUP!$AC$101:$AC$147,MATCH(Y24,WORLDCUP!$Z$101:$Z$147,0)))</f>
        <v/>
      </c>
      <c r="AC24" s="591" t="str">
        <f>+IF(ISBLANK(INDEX(WORLDCUP!$AB$101:$AB$147,MATCH(Y24,WORLDCUP!$Z$101:$Z$147,0))),"","( "&amp;INDEX(WORLDCUP!$AB$101:$AB$147,MATCH(Y24,WORLDCUP!$Z$101:$Z$147,0))&amp;" )")</f>
        <v/>
      </c>
      <c r="AD24" s="19"/>
      <c r="AE24" s="514"/>
      <c r="AF24" s="514"/>
      <c r="AG24" s="514"/>
      <c r="AH24" s="19"/>
      <c r="AI24" s="544"/>
      <c r="AJ24" s="544"/>
      <c r="AK24" s="544"/>
      <c r="AL24" s="19"/>
      <c r="AM24" s="516"/>
      <c r="AN24" s="516"/>
      <c r="AO24" s="597"/>
      <c r="AP24" s="92"/>
      <c r="AQ24" s="545"/>
      <c r="AR24" s="545"/>
      <c r="AS24" s="545"/>
      <c r="AT24" s="19"/>
      <c r="AU24" s="518"/>
      <c r="AV24" s="518"/>
      <c r="AW24" s="518"/>
      <c r="AX24" s="19"/>
      <c r="AY24" s="613"/>
      <c r="AZ24" s="614"/>
      <c r="BA24" s="616"/>
      <c r="BB24" s="619"/>
      <c r="BC24" s="615"/>
      <c r="BD24" s="297"/>
      <c r="BE24" s="297"/>
      <c r="BG24" s="547" t="str">
        <f ca="1">Horarios!Q23</f>
        <v>España</v>
      </c>
      <c r="BH24" s="548">
        <f t="shared" ca="1" si="0"/>
        <v>1</v>
      </c>
      <c r="BI24" s="548">
        <f ca="1">COUNTIF(ADMIN!$M$130:$M$161,Fixture!BG24)-BJ24-BK24-BL24-BM24-BN24-BO24</f>
        <v>0</v>
      </c>
      <c r="BJ24" s="549">
        <f ca="1">COUNTIF(ADMIN!$M$182:$M$197,Fixture!BG24)-BK24-BL24-BM24-BN24-BO24</f>
        <v>0</v>
      </c>
      <c r="BK24" s="550">
        <f ca="1">COUNTIF(ADMIN!$M$210:$M$217,Fixture!BG24)-BL24-BM24-BN24-BO24</f>
        <v>0</v>
      </c>
      <c r="BL24" s="550">
        <f ca="1">COUNTIF(ADMIN!$M$226:$M$229,BG24)-BM24-BN24-BO24</f>
        <v>0</v>
      </c>
      <c r="BM24" s="548">
        <f ca="1">COUNTIF(ADMIN!$M$252,Fixture!BG24)</f>
        <v>0</v>
      </c>
      <c r="BN24" s="548">
        <f ca="1">COUNTIF(ADMIN!$M$251,Fixture!BG24)</f>
        <v>0</v>
      </c>
      <c r="BO24" s="551">
        <f ca="1">COUNTIF(ADMIN!$M$250,Fixture!BG24)</f>
        <v>0</v>
      </c>
    </row>
    <row r="25" spans="1:67" ht="15" thickBot="1">
      <c r="A25" s="19"/>
      <c r="B25" s="497"/>
      <c r="C25" s="581"/>
      <c r="D25" s="441"/>
      <c r="E25" s="441"/>
      <c r="F25" s="297"/>
      <c r="G25" s="297"/>
      <c r="H25" s="581"/>
      <c r="I25" s="297"/>
      <c r="J25" s="297"/>
      <c r="K25" s="297"/>
      <c r="L25" s="19"/>
      <c r="M25" s="19"/>
      <c r="N25" s="247"/>
      <c r="O25" s="297"/>
      <c r="P25" s="297"/>
      <c r="Q25" s="297"/>
      <c r="R25" s="297"/>
      <c r="S25" s="297"/>
      <c r="T25" s="297"/>
      <c r="U25" s="297"/>
      <c r="V25" s="297"/>
      <c r="W25" s="297"/>
      <c r="X25" s="19"/>
      <c r="Y25" s="19">
        <v>82</v>
      </c>
      <c r="Z25" s="510" t="s">
        <v>727</v>
      </c>
      <c r="AA25" s="565" t="str">
        <f ca="1">+MID(INDEX(WORLDCUP!$AF$101:$AF$147,MATCH(Y25,WORLDCUP!$Z$101:$Z$147,0)),1,IF(WORLDCUP!$H$113&lt;144,6,3))</f>
        <v>3AEHIJ</v>
      </c>
      <c r="AB25" s="566" t="str">
        <f>+IF(ISBLANK(INDEX(WORLDCUP!$AD$101:$AD$147,MATCH(Y25,WORLDCUP!$Z$101:$Z$147,0))),"",INDEX(WORLDCUP!$AD$101:$AD$147,MATCH(Y25,WORLDCUP!$Z$101:$Z$147,0)))</f>
        <v/>
      </c>
      <c r="AC25" s="592" t="str">
        <f>+IF(ISBLANK(INDEX(WORLDCUP!$AE$101:$AE$147,MATCH(Y25,WORLDCUP!$Z$101:$Z$147,0))),"","( "&amp;INDEX(WORLDCUP!$AE$101:$AE$147,MATCH(Y25,WORLDCUP!$Z$101:$Z$147,0))&amp;" )")</f>
        <v/>
      </c>
      <c r="AD25" s="19"/>
      <c r="AE25" s="514"/>
      <c r="AF25" s="514"/>
      <c r="AG25" s="514"/>
      <c r="AH25" s="19"/>
      <c r="AI25" s="544"/>
      <c r="AJ25" s="544"/>
      <c r="AK25" s="544"/>
      <c r="AL25" s="19"/>
      <c r="AM25" s="516"/>
      <c r="AN25" s="516"/>
      <c r="AO25" s="597"/>
      <c r="AP25" s="620"/>
      <c r="AQ25" s="621"/>
      <c r="AR25" s="621"/>
      <c r="AS25" s="621"/>
      <c r="AT25" s="622">
        <v>104</v>
      </c>
      <c r="AU25" s="623" t="str">
        <f>+MID(INDEX(WORLDCUP!$AA$101:$AA$147,MATCH(AT25,WORLDCUP!$Z$101:$Z$147,0)),1,4)</f>
        <v>W101</v>
      </c>
      <c r="AV25" s="624" t="str">
        <f>+IF(ISBLANK(INDEX(WORLDCUP!$AC$101:$AC$147,MATCH(AT25,WORLDCUP!$Z$101:$Z$147,0))),"",INDEX(WORLDCUP!$AC$101:$AC$147,MATCH(AT25,WORLDCUP!$Z$101:$Z$147,0)))</f>
        <v/>
      </c>
      <c r="AW25" s="625" t="str">
        <f>+IF(ISBLANK(INDEX(WORLDCUP!$AB$101:$AB$147,MATCH(AT25,WORLDCUP!$Z$101:$Z$147,0))),"","( "&amp;INDEX(WORLDCUP!$AB$101:$AB$147,MATCH(AT25,WORLDCUP!$Z$101:$Z$147,0))&amp;" )")</f>
        <v/>
      </c>
      <c r="AX25" s="626"/>
      <c r="AY25" s="613"/>
      <c r="AZ25" s="614" t="str">
        <f>+WORLDCUP!AA152</f>
        <v>W34</v>
      </c>
      <c r="BA25" s="616"/>
      <c r="BB25" s="619"/>
      <c r="BC25" s="615"/>
      <c r="BD25" s="297"/>
      <c r="BE25" s="297"/>
      <c r="BG25" s="547" t="str">
        <f ca="1">Horarios!Q24</f>
        <v>Estados Unidos</v>
      </c>
      <c r="BH25" s="548">
        <f t="shared" ca="1" si="0"/>
        <v>1</v>
      </c>
      <c r="BI25" s="548">
        <f ca="1">COUNTIF(ADMIN!$M$130:$M$161,Fixture!BG25)-BJ25-BK25-BL25-BM25-BN25-BO25</f>
        <v>0</v>
      </c>
      <c r="BJ25" s="549">
        <f ca="1">COUNTIF(ADMIN!$M$182:$M$197,Fixture!BG25)-BK25-BL25-BM25-BN25-BO25</f>
        <v>0</v>
      </c>
      <c r="BK25" s="550">
        <f ca="1">COUNTIF(ADMIN!$M$210:$M$217,Fixture!BG25)-BL25-BM25-BN25-BO25</f>
        <v>0</v>
      </c>
      <c r="BL25" s="550">
        <f ca="1">COUNTIF(ADMIN!$M$226:$M$229,BG25)-BM25-BN25-BO25</f>
        <v>0</v>
      </c>
      <c r="BM25" s="548">
        <f ca="1">COUNTIF(ADMIN!$M$252,Fixture!BG25)</f>
        <v>0</v>
      </c>
      <c r="BN25" s="548">
        <f ca="1">COUNTIF(ADMIN!$M$251,Fixture!BG25)</f>
        <v>0</v>
      </c>
      <c r="BO25" s="551">
        <f ca="1">COUNTIF(ADMIN!$M$250,Fixture!BG25)</f>
        <v>0</v>
      </c>
    </row>
    <row r="26" spans="1:67" ht="15" thickBot="1">
      <c r="A26" s="19"/>
      <c r="B26" s="497"/>
      <c r="C26" s="581"/>
      <c r="D26" s="441"/>
      <c r="E26" s="441"/>
      <c r="F26" s="297"/>
      <c r="G26" s="297"/>
      <c r="H26" s="581"/>
      <c r="I26" s="297"/>
      <c r="J26" s="297"/>
      <c r="K26" s="297"/>
      <c r="L26" s="19"/>
      <c r="M26" s="19"/>
      <c r="N26" s="247"/>
      <c r="O26" s="297"/>
      <c r="P26" s="297"/>
      <c r="Q26" s="297"/>
      <c r="R26" s="297"/>
      <c r="S26" s="297"/>
      <c r="T26" s="297"/>
      <c r="U26" s="297"/>
      <c r="V26" s="297"/>
      <c r="W26" s="297"/>
      <c r="X26" s="19"/>
      <c r="Y26" s="19"/>
      <c r="Z26" s="510"/>
      <c r="AA26" s="579"/>
      <c r="AB26" s="579"/>
      <c r="AC26" s="579"/>
      <c r="AD26" s="19"/>
      <c r="AE26" s="514"/>
      <c r="AF26" s="514"/>
      <c r="AG26" s="559"/>
      <c r="AH26" s="19"/>
      <c r="AI26" s="544"/>
      <c r="AJ26" s="544"/>
      <c r="AK26" s="544"/>
      <c r="AL26" s="19"/>
      <c r="AM26" s="516"/>
      <c r="AN26" s="516"/>
      <c r="AO26" s="597"/>
      <c r="AP26" s="19"/>
      <c r="AQ26" s="545"/>
      <c r="AR26" s="545"/>
      <c r="AS26" s="545"/>
      <c r="AT26" s="19">
        <v>104</v>
      </c>
      <c r="AU26" s="623" t="str">
        <f>+MID(INDEX(WORLDCUP!$AF$101:$AF$147,MATCH(AT26,WORLDCUP!$Z$101:$Z$147,0)),1,4)</f>
        <v>W102</v>
      </c>
      <c r="AV26" s="624" t="str">
        <f>+IF(ISBLANK(INDEX(WORLDCUP!$AD$101:$AD$147,MATCH(AT26,WORLDCUP!$Z$101:$Z$147,0))),"",INDEX(WORLDCUP!$AD$101:$AD$147,MATCH(AT26,WORLDCUP!$Z$101:$Z$147,0)))</f>
        <v/>
      </c>
      <c r="AW26" s="518" t="str">
        <f>+IF(ISBLANK(INDEX(WORLDCUP!$AE$101:$AE$147,MATCH(AT26,WORLDCUP!$Z$101:$Z$147,0))),"","( "&amp;INDEX(WORLDCUP!$AE$101:$AE$147,MATCH(AT26,WORLDCUP!$Z$101:$Z$147,0))&amp;" )")</f>
        <v/>
      </c>
      <c r="AX26" s="19"/>
      <c r="AY26" s="613"/>
      <c r="AZ26" s="627"/>
      <c r="BA26" s="616"/>
      <c r="BB26" s="619"/>
      <c r="BC26" s="615"/>
      <c r="BD26" s="297"/>
      <c r="BE26" s="297"/>
      <c r="BG26" s="547" t="str">
        <f ca="1">Horarios!Q25</f>
        <v>Francia</v>
      </c>
      <c r="BH26" s="548">
        <f t="shared" ca="1" si="0"/>
        <v>1</v>
      </c>
      <c r="BI26" s="548">
        <f ca="1">COUNTIF(ADMIN!$M$130:$M$161,Fixture!BG26)-BJ26-BK26-BL26-BM26-BN26-BO26</f>
        <v>0</v>
      </c>
      <c r="BJ26" s="549">
        <f ca="1">COUNTIF(ADMIN!$M$182:$M$197,Fixture!BG26)-BK26-BL26-BM26-BN26-BO26</f>
        <v>0</v>
      </c>
      <c r="BK26" s="550">
        <f ca="1">COUNTIF(ADMIN!$M$210:$M$217,Fixture!BG26)-BL26-BM26-BN26-BO26</f>
        <v>0</v>
      </c>
      <c r="BL26" s="550">
        <f ca="1">COUNTIF(ADMIN!$M$226:$M$229,BG26)-BM26-BN26-BO26</f>
        <v>0</v>
      </c>
      <c r="BM26" s="548">
        <f ca="1">COUNTIF(ADMIN!$M$252,Fixture!BG26)</f>
        <v>0</v>
      </c>
      <c r="BN26" s="548">
        <f ca="1">COUNTIF(ADMIN!$M$251,Fixture!BG26)</f>
        <v>0</v>
      </c>
      <c r="BO26" s="551">
        <f ca="1">COUNTIF(ADMIN!$M$250,Fixture!BG26)</f>
        <v>0</v>
      </c>
    </row>
    <row r="27" spans="1:67" ht="15" thickBot="1">
      <c r="A27" s="19">
        <v>4</v>
      </c>
      <c r="B27" s="628" t="s">
        <v>73</v>
      </c>
      <c r="C27" s="502" t="str">
        <f ca="1">+MID(INDEX(WORLDCUP!$AA$4:$AA$147,MATCH(A27,WORLDCUP!$AH$4:$AH$147,0)),1,3)</f>
        <v>Est</v>
      </c>
      <c r="D27" s="503">
        <f>IF(ISBLANK(INDEX(WORLDCUP!$AC$4:$AC$147,MATCH(A27,WORLDCUP!$AH$4:$AH$147,0))),"",INDEX(WORLDCUP!$AC$4:$AC$147,MATCH(A27,WORLDCUP!$AH$4:$AH$147,0)))</f>
        <v>4</v>
      </c>
      <c r="E27" s="503">
        <f>IF(ISBLANK(INDEX(WORLDCUP!$AD$4:$AD$147,MATCH(A27,WORLDCUP!$AH$4:$AH$147,0))),"",INDEX(WORLDCUP!$AD$4:$AD$147,MATCH(A27,WORLDCUP!$AH$4:$AH$147,0)))</f>
        <v>1</v>
      </c>
      <c r="F27" s="504" t="str">
        <f ca="1">+MID(INDEX(WORLDCUP!$AF$4:$AF$147,MATCH(A27,WORLDCUP!$AH$4:$AH$147,0)),1,3)</f>
        <v>Par</v>
      </c>
      <c r="G27" s="505"/>
      <c r="H27" s="506" t="str">
        <f>+H19</f>
        <v>Sel</v>
      </c>
      <c r="I27" s="507" t="str">
        <f>+I19</f>
        <v>Pts</v>
      </c>
      <c r="J27" s="507" t="str">
        <f>+J19</f>
        <v>DG</v>
      </c>
      <c r="K27" s="508" t="str">
        <f>+K19</f>
        <v>GF-GC</v>
      </c>
      <c r="L27" s="19"/>
      <c r="M27" s="19">
        <v>19</v>
      </c>
      <c r="N27" s="629" t="s">
        <v>5</v>
      </c>
      <c r="O27" s="502" t="str">
        <f ca="1">+MID(INDEX(WORLDCUP!$AA$4:$AA$147,MATCH(M27,WORLDCUP!$AH$4:$AH$147,0)),1,3)</f>
        <v>Arg</v>
      </c>
      <c r="P27" s="503">
        <f>IF(ISBLANK(INDEX(WORLDCUP!$AC$4:$AC$147,MATCH(M27,WORLDCUP!$AH$4:$AH$147,0))),"",INDEX(WORLDCUP!$AC$4:$AC$147,MATCH(M27,WORLDCUP!$AH$4:$AH$147,0)))</f>
        <v>3</v>
      </c>
      <c r="Q27" s="503">
        <f>IF(ISBLANK(INDEX(WORLDCUP!$AD$4:$AD$147,MATCH(M27,WORLDCUP!$AH$4:$AH$147,0))),"",INDEX(WORLDCUP!$AD$4:$AD$147,MATCH(M27,WORLDCUP!$AH$4:$AH$147,0)))</f>
        <v>0</v>
      </c>
      <c r="R27" s="504" t="str">
        <f ca="1">+MID(INDEX(WORLDCUP!$AF$4:$AF$147,MATCH(M27,WORLDCUP!$AH$4:$AH$147,0)),1,3)</f>
        <v>Arg</v>
      </c>
      <c r="S27" s="505"/>
      <c r="T27" s="506" t="str">
        <f>+T19</f>
        <v>Sel</v>
      </c>
      <c r="U27" s="507" t="str">
        <f>+U19</f>
        <v>Pts</v>
      </c>
      <c r="V27" s="507" t="str">
        <f>+V19</f>
        <v>DG</v>
      </c>
      <c r="W27" s="508" t="str">
        <f>+W19</f>
        <v>GF-GC</v>
      </c>
      <c r="X27" s="19"/>
      <c r="Y27" s="19">
        <v>76</v>
      </c>
      <c r="Z27" s="510" t="s">
        <v>651</v>
      </c>
      <c r="AA27" s="511" t="str">
        <f ca="1">+MID(INDEX(WORLDCUP!$AA$101:$AA$147,MATCH(Y27,WORLDCUP!$Z$101:$Z$147,0)),1,3)</f>
        <v>1C</v>
      </c>
      <c r="AB27" s="512" t="str">
        <f>+IF(ISBLANK(INDEX(WORLDCUP!$AC$101:$AC$147,MATCH(Y27,WORLDCUP!$Z$101:$Z$147,0))),"",INDEX(WORLDCUP!$AC$101:$AC$147,MATCH(Y27,WORLDCUP!$Z$101:$Z$147,0)))</f>
        <v/>
      </c>
      <c r="AC27" s="582" t="str">
        <f>+IF(ISBLANK(INDEX(WORLDCUP!$AB$101:$AB$147,MATCH(Y27,WORLDCUP!$Z$101:$Z$147,0))),"","( "&amp;INDEX(WORLDCUP!$AB$101:$AB$147,MATCH(Y27,WORLDCUP!$Z$101:$Z$147,0))&amp;" )")</f>
        <v/>
      </c>
      <c r="AD27" s="18"/>
      <c r="AE27" s="514"/>
      <c r="AF27" s="514"/>
      <c r="AG27" s="514"/>
      <c r="AH27" s="19"/>
      <c r="AI27" s="544"/>
      <c r="AJ27" s="544"/>
      <c r="AK27" s="544"/>
      <c r="AL27" s="19"/>
      <c r="AM27" s="516"/>
      <c r="AN27" s="516"/>
      <c r="AO27" s="597"/>
      <c r="AP27" s="92"/>
      <c r="AQ27" s="545"/>
      <c r="AR27" s="545"/>
      <c r="AS27" s="545"/>
      <c r="AT27" s="19"/>
      <c r="AU27" s="518"/>
      <c r="AV27" s="518"/>
      <c r="AW27" s="518"/>
      <c r="AX27" s="19"/>
      <c r="AY27" s="613"/>
      <c r="AZ27" s="627"/>
      <c r="BA27" s="616"/>
      <c r="BB27" s="619"/>
      <c r="BC27" s="615"/>
      <c r="BD27" s="297"/>
      <c r="BE27" s="297"/>
      <c r="BG27" s="547" t="str">
        <f ca="1">Horarios!Q26</f>
        <v>Ghana</v>
      </c>
      <c r="BH27" s="548">
        <f t="shared" ca="1" si="0"/>
        <v>1</v>
      </c>
      <c r="BI27" s="548">
        <f ca="1">COUNTIF(ADMIN!$M$130:$M$161,Fixture!BG27)-BJ27-BK27-BL27-BM27-BN27-BO27</f>
        <v>0</v>
      </c>
      <c r="BJ27" s="549">
        <f ca="1">COUNTIF(ADMIN!$M$182:$M$197,Fixture!BG27)-BK27-BL27-BM27-BN27-BO27</f>
        <v>0</v>
      </c>
      <c r="BK27" s="550">
        <f ca="1">COUNTIF(ADMIN!$M$210:$M$217,Fixture!BG27)-BL27-BM27-BN27-BO27</f>
        <v>0</v>
      </c>
      <c r="BL27" s="550">
        <f ca="1">COUNTIF(ADMIN!$M$226:$M$229,BG27)-BM27-BN27-BO27</f>
        <v>0</v>
      </c>
      <c r="BM27" s="548">
        <f ca="1">COUNTIF(ADMIN!$M$252,Fixture!BG27)</f>
        <v>0</v>
      </c>
      <c r="BN27" s="548">
        <f ca="1">COUNTIF(ADMIN!$M$251,Fixture!BG27)</f>
        <v>0</v>
      </c>
      <c r="BO27" s="551">
        <f ca="1">COUNTIF(ADMIN!$M$250,Fixture!BG27)</f>
        <v>0</v>
      </c>
    </row>
    <row r="28" spans="1:67" ht="15" thickBot="1">
      <c r="A28" s="19">
        <v>6</v>
      </c>
      <c r="B28" s="630"/>
      <c r="C28" s="529" t="str">
        <f ca="1">+MID(INDEX(WORLDCUP!$AA$4:$AA$147,MATCH(A28,WORLDCUP!$AH$4:$AH$147,0)),1,3)</f>
        <v>Aus</v>
      </c>
      <c r="D28" s="530">
        <f>IF(ISBLANK(INDEX(WORLDCUP!$AC$4:$AC$147,MATCH(A28,WORLDCUP!$AH$4:$AH$147,0))),"",INDEX(WORLDCUP!$AC$4:$AC$147,MATCH(A28,WORLDCUP!$AH$4:$AH$147,0)))</f>
        <v>2</v>
      </c>
      <c r="E28" s="530">
        <f>IF(ISBLANK(INDEX(WORLDCUP!$AD$4:$AD$147,MATCH(A28,WORLDCUP!$AH$4:$AH$147,0))),"",INDEX(WORLDCUP!$AD$4:$AD$147,MATCH(A28,WORLDCUP!$AH$4:$AH$147,0)))</f>
        <v>0</v>
      </c>
      <c r="F28" s="531" t="str">
        <f ca="1">+MID(INDEX(WORLDCUP!$AF$4:$AF$147,MATCH(A28,WORLDCUP!$AH$4:$AH$147,0)),1,3)</f>
        <v>Tur</v>
      </c>
      <c r="G28" s="532">
        <v>1</v>
      </c>
      <c r="H28" s="533" t="str">
        <f ca="1">+MID(INDEX(WORLDCUP!$AL$6:$AL$97,MATCH(L28,WORLDCUP!$AI$6:$AI$97,0)),1,3)</f>
        <v>Est</v>
      </c>
      <c r="I28" s="534">
        <f ca="1">+INDEX(WORLDCUP!$AM$6:$AM$97,MATCH(L28,WORLDCUP!$AI$6:$AI$97,0))</f>
        <v>6</v>
      </c>
      <c r="J28" s="535">
        <f ca="1">+INDEX(WORLDCUP!$AT$6:$AT$97,MATCH(L28,WORLDCUP!$AI$6:$AI$97,0))</f>
        <v>5</v>
      </c>
      <c r="K28" s="536" t="str">
        <f ca="1">+INDEX(WORLDCUP!$AR$6:$AR$97,MATCH(L28,WORLDCUP!$AI$6:$AI$97,0))&amp;"-"&amp;INDEX(WORLDCUP!$AS$6:$AS$97,MATCH(L28,WORLDCUP!$AI$6:$AI$97,0))</f>
        <v>6-1</v>
      </c>
      <c r="L28" s="19" t="s">
        <v>658</v>
      </c>
      <c r="M28" s="19">
        <v>20</v>
      </c>
      <c r="N28" s="631"/>
      <c r="O28" s="529" t="str">
        <f ca="1">+MID(INDEX(WORLDCUP!$AA$4:$AA$147,MATCH(M28,WORLDCUP!$AH$4:$AH$147,0)),1,3)</f>
        <v>Aus</v>
      </c>
      <c r="P28" s="530">
        <f>IF(ISBLANK(INDEX(WORLDCUP!$AC$4:$AC$147,MATCH(M28,WORLDCUP!$AH$4:$AH$147,0))),"",INDEX(WORLDCUP!$AC$4:$AC$147,MATCH(M28,WORLDCUP!$AH$4:$AH$147,0)))</f>
        <v>3</v>
      </c>
      <c r="Q28" s="530">
        <f>IF(ISBLANK(INDEX(WORLDCUP!$AD$4:$AD$147,MATCH(M28,WORLDCUP!$AH$4:$AH$147,0))),"",INDEX(WORLDCUP!$AD$4:$AD$147,MATCH(M28,WORLDCUP!$AH$4:$AH$147,0)))</f>
        <v>1</v>
      </c>
      <c r="R28" s="531" t="str">
        <f ca="1">+MID(INDEX(WORLDCUP!$AF$4:$AF$147,MATCH(M28,WORLDCUP!$AH$4:$AH$147,0)),1,3)</f>
        <v>Jor</v>
      </c>
      <c r="S28" s="532">
        <v>1</v>
      </c>
      <c r="T28" s="533" t="str">
        <f ca="1">+MID(INDEX(WORLDCUP!$AL$6:$AL$97,MATCH(X28,WORLDCUP!$AI$6:$AI$97,0)),1,3)</f>
        <v>Arg</v>
      </c>
      <c r="U28" s="534">
        <f ca="1">+INDEX(WORLDCUP!$AM$6:$AM$97,MATCH(X28,WORLDCUP!$AI$6:$AI$97,0))</f>
        <v>3</v>
      </c>
      <c r="V28" s="535">
        <f ca="1">+INDEX(WORLDCUP!$AT$6:$AT$97,MATCH(X28,WORLDCUP!$AI$6:$AI$97,0))</f>
        <v>3</v>
      </c>
      <c r="W28" s="536" t="str">
        <f ca="1">+INDEX(WORLDCUP!$AR$6:$AR$97,MATCH(X28,WORLDCUP!$AI$6:$AI$97,0))&amp;"-"&amp;INDEX(WORLDCUP!$AS$6:$AS$97,MATCH(X28,WORLDCUP!$AI$6:$AI$97,0))</f>
        <v>3-0</v>
      </c>
      <c r="X28" s="19" t="s">
        <v>676</v>
      </c>
      <c r="Y28" s="19">
        <v>76</v>
      </c>
      <c r="Z28" s="510" t="s">
        <v>665</v>
      </c>
      <c r="AA28" s="511" t="str">
        <f ca="1">+MID(INDEX(WORLDCUP!$AF$101:$AF$147,MATCH(Y28,WORLDCUP!$Z$101:$Z$147,0)),1,3)</f>
        <v>2F</v>
      </c>
      <c r="AB28" s="538" t="str">
        <f>+IF(ISBLANK(INDEX(WORLDCUP!$AD$101:$AD$147,MATCH(Y28,WORLDCUP!$Z$101:$Z$147,0))),"",INDEX(WORLDCUP!$AD$101:$AD$147,MATCH(Y28,WORLDCUP!$Z$101:$Z$147,0)))</f>
        <v/>
      </c>
      <c r="AC28" s="539" t="str">
        <f>+IF(ISBLANK(INDEX(WORLDCUP!$AE$101:$AE$147,MATCH(Y28,WORLDCUP!$Z$101:$Z$147,0))),"","( "&amp;INDEX(WORLDCUP!$AE$101:$AE$147,MATCH(Y28,WORLDCUP!$Z$101:$Z$147,0))&amp;" )")</f>
        <v/>
      </c>
      <c r="AD28" s="540">
        <v>91</v>
      </c>
      <c r="AE28" s="541" t="str">
        <f>+MID(INDEX(WORLDCUP!$AA$101:$AA$147,MATCH(AD28,WORLDCUP!$Z$101:$Z$147,0)),1,3)</f>
        <v>W76</v>
      </c>
      <c r="AF28" s="542" t="str">
        <f>+IF(ISBLANK(INDEX(WORLDCUP!$AC$101:$AC$147,MATCH(AD28,WORLDCUP!$Z$101:$Z$147,0))),"",INDEX(WORLDCUP!$AC$101:$AC$147,MATCH(AD28,WORLDCUP!$Z$101:$Z$147,0)))</f>
        <v/>
      </c>
      <c r="AG28" s="543" t="str">
        <f>+IF(ISBLANK(INDEX(WORLDCUP!$AB$101:$AB$147,MATCH(AD28,WORLDCUP!$Z$101:$Z$147,0))),"","( "&amp;INDEX(WORLDCUP!$AB$101:$AB$147,MATCH(AD28,WORLDCUP!$Z$101:$Z$147,0))&amp;" )")</f>
        <v/>
      </c>
      <c r="AH28" s="19"/>
      <c r="AI28" s="544"/>
      <c r="AJ28" s="544"/>
      <c r="AK28" s="544"/>
      <c r="AL28" s="19"/>
      <c r="AM28" s="516"/>
      <c r="AN28" s="516"/>
      <c r="AO28" s="597"/>
      <c r="AP28" s="92"/>
      <c r="AQ28" s="545"/>
      <c r="AR28" s="545"/>
      <c r="AS28" s="545"/>
      <c r="AT28" s="19"/>
      <c r="AU28" s="518"/>
      <c r="AV28" s="518"/>
      <c r="AW28" s="518"/>
      <c r="AX28" s="19"/>
      <c r="AY28" s="613"/>
      <c r="AZ28" s="627"/>
      <c r="BA28" s="616"/>
      <c r="BB28" s="619"/>
      <c r="BC28" s="615"/>
      <c r="BD28" s="297"/>
      <c r="BE28" s="297"/>
      <c r="BG28" s="547" t="str">
        <f ca="1">Horarios!Q27</f>
        <v>Haití</v>
      </c>
      <c r="BH28" s="548">
        <f t="shared" ca="1" si="0"/>
        <v>1</v>
      </c>
      <c r="BI28" s="548">
        <f ca="1">COUNTIF(ADMIN!$M$130:$M$161,Fixture!BG28)-BJ28-BK28-BL28-BM28-BN28-BO28</f>
        <v>0</v>
      </c>
      <c r="BJ28" s="549">
        <f ca="1">COUNTIF(ADMIN!$M$182:$M$197,Fixture!BG28)-BK28-BL28-BM28-BN28-BO28</f>
        <v>0</v>
      </c>
      <c r="BK28" s="550">
        <f ca="1">COUNTIF(ADMIN!$M$210:$M$217,Fixture!BG28)-BL28-BM28-BN28-BO28</f>
        <v>0</v>
      </c>
      <c r="BL28" s="550">
        <f ca="1">COUNTIF(ADMIN!$M$226:$M$229,BG28)-BM28-BN28-BO28</f>
        <v>0</v>
      </c>
      <c r="BM28" s="548">
        <f ca="1">COUNTIF(ADMIN!$M$252,Fixture!BG28)</f>
        <v>0</v>
      </c>
      <c r="BN28" s="548">
        <f ca="1">COUNTIF(ADMIN!$M$251,Fixture!BG28)</f>
        <v>0</v>
      </c>
      <c r="BO28" s="551">
        <f ca="1">COUNTIF(ADMIN!$M$250,Fixture!BG28)</f>
        <v>0</v>
      </c>
    </row>
    <row r="29" spans="1:67">
      <c r="A29" s="19">
        <v>32</v>
      </c>
      <c r="B29" s="630"/>
      <c r="C29" s="529" t="str">
        <f ca="1">+MID(INDEX(WORLDCUP!$AA$4:$AA$147,MATCH(A29,WORLDCUP!$AH$4:$AH$147,0)),1,3)</f>
        <v>Est</v>
      </c>
      <c r="D29" s="530">
        <f>IF(ISBLANK(INDEX(WORLDCUP!$AC$4:$AC$147,MATCH(A29,WORLDCUP!$AH$4:$AH$147,0))),"",INDEX(WORLDCUP!$AC$4:$AC$147,MATCH(A29,WORLDCUP!$AH$4:$AH$147,0)))</f>
        <v>2</v>
      </c>
      <c r="E29" s="530">
        <f>IF(ISBLANK(INDEX(WORLDCUP!$AD$4:$AD$147,MATCH(A29,WORLDCUP!$AH$4:$AH$147,0))),"",INDEX(WORLDCUP!$AD$4:$AD$147,MATCH(A29,WORLDCUP!$AH$4:$AH$147,0)))</f>
        <v>0</v>
      </c>
      <c r="F29" s="531" t="str">
        <f ca="1">+MID(INDEX(WORLDCUP!$AF$4:$AF$147,MATCH(A29,WORLDCUP!$AH$4:$AH$147,0)),1,3)</f>
        <v>Aus</v>
      </c>
      <c r="G29" s="552">
        <v>2</v>
      </c>
      <c r="H29" s="553" t="str">
        <f ca="1">+MID(INDEX(WORLDCUP!$AL$6:$AL$97,MATCH(L29,WORLDCUP!$AI$6:$AI$97,0)),1,3)</f>
        <v>Aus</v>
      </c>
      <c r="I29" s="223">
        <f ca="1">+INDEX(WORLDCUP!$AM$6:$AM$97,MATCH(L29,WORLDCUP!$AI$6:$AI$97,0))</f>
        <v>3</v>
      </c>
      <c r="J29" s="224">
        <f ca="1">+INDEX(WORLDCUP!$AT$6:$AT$97,MATCH(L29,WORLDCUP!$AI$6:$AI$97,0))</f>
        <v>0</v>
      </c>
      <c r="K29" s="225" t="str">
        <f ca="1">+INDEX(WORLDCUP!$AR$6:$AR$97,MATCH(L29,WORLDCUP!$AI$6:$AI$97,0))&amp;"-"&amp;INDEX(WORLDCUP!$AS$6:$AS$97,MATCH(L29,WORLDCUP!$AI$6:$AI$97,0))</f>
        <v>2-2</v>
      </c>
      <c r="L29" s="19" t="s">
        <v>659</v>
      </c>
      <c r="M29" s="19">
        <v>43</v>
      </c>
      <c r="N29" s="631"/>
      <c r="O29" s="529" t="str">
        <f ca="1">+MID(INDEX(WORLDCUP!$AA$4:$AA$147,MATCH(M29,WORLDCUP!$AH$4:$AH$147,0)),1,3)</f>
        <v>Arg</v>
      </c>
      <c r="P29" s="530" t="str">
        <f>IF(ISBLANK(INDEX(WORLDCUP!$AC$4:$AC$147,MATCH(M29,WORLDCUP!$AH$4:$AH$147,0))),"",INDEX(WORLDCUP!$AC$4:$AC$147,MATCH(M29,WORLDCUP!$AH$4:$AH$147,0)))</f>
        <v/>
      </c>
      <c r="Q29" s="530" t="str">
        <f>IF(ISBLANK(INDEX(WORLDCUP!$AD$4:$AD$147,MATCH(M29,WORLDCUP!$AH$4:$AH$147,0))),"",INDEX(WORLDCUP!$AD$4:$AD$147,MATCH(M29,WORLDCUP!$AH$4:$AH$147,0)))</f>
        <v/>
      </c>
      <c r="R29" s="531" t="str">
        <f ca="1">+MID(INDEX(WORLDCUP!$AF$4:$AF$147,MATCH(M29,WORLDCUP!$AH$4:$AH$147,0)),1,3)</f>
        <v>Aus</v>
      </c>
      <c r="S29" s="552">
        <v>2</v>
      </c>
      <c r="T29" s="553" t="str">
        <f ca="1">+MID(INDEX(WORLDCUP!$AL$6:$AL$97,MATCH(X29,WORLDCUP!$AI$6:$AI$97,0)),1,3)</f>
        <v>Aus</v>
      </c>
      <c r="U29" s="223">
        <f ca="1">+INDEX(WORLDCUP!$AM$6:$AM$97,MATCH(X29,WORLDCUP!$AI$6:$AI$97,0))</f>
        <v>3</v>
      </c>
      <c r="V29" s="224">
        <f ca="1">+INDEX(WORLDCUP!$AT$6:$AT$97,MATCH(X29,WORLDCUP!$AI$6:$AI$97,0))</f>
        <v>2</v>
      </c>
      <c r="W29" s="225" t="str">
        <f ca="1">+INDEX(WORLDCUP!$AR$6:$AR$97,MATCH(X29,WORLDCUP!$AI$6:$AI$97,0))&amp;"-"&amp;INDEX(WORLDCUP!$AS$6:$AS$97,MATCH(X29,WORLDCUP!$AI$6:$AI$97,0))</f>
        <v>3-1</v>
      </c>
      <c r="X29" s="19" t="s">
        <v>677</v>
      </c>
      <c r="Y29" s="19"/>
      <c r="Z29" s="510"/>
      <c r="AA29" s="554"/>
      <c r="AB29" s="554"/>
      <c r="AC29" s="555"/>
      <c r="AD29" s="19">
        <v>91</v>
      </c>
      <c r="AE29" s="541" t="str">
        <f>+MID(INDEX(WORLDCUP!$AF$101:$AF$147,MATCH(AD29,WORLDCUP!$Z$101:$Z$147,0)),1,3)</f>
        <v>W78</v>
      </c>
      <c r="AF29" s="542" t="str">
        <f>+IF(ISBLANK(INDEX(WORLDCUP!$AD$101:$AD$147,MATCH(AD29,WORLDCUP!$Z$101:$Z$147,0))),"",INDEX(WORLDCUP!$AD$101:$AD$147,MATCH(AD29,WORLDCUP!$Z$101:$Z$147,0)))</f>
        <v/>
      </c>
      <c r="AG29" s="600" t="str">
        <f>+IF(ISBLANK(INDEX(WORLDCUP!$AE$101:$AE$147,MATCH(AD29,WORLDCUP!$Z$101:$Z$147,0))),"","( "&amp;INDEX(WORLDCUP!$AE$101:$AE$147,MATCH(AD29,WORLDCUP!$Z$101:$Z$147,0))&amp;" )")</f>
        <v/>
      </c>
      <c r="AH29" s="19"/>
      <c r="AI29" s="544"/>
      <c r="AJ29" s="544"/>
      <c r="AK29" s="544"/>
      <c r="AL29" s="19"/>
      <c r="AM29" s="516"/>
      <c r="AN29" s="516"/>
      <c r="AO29" s="597"/>
      <c r="AP29" s="92"/>
      <c r="AQ29" s="545"/>
      <c r="AR29" s="545"/>
      <c r="AS29" s="545"/>
      <c r="AT29" s="19"/>
      <c r="AU29" s="518"/>
      <c r="AV29" s="518"/>
      <c r="AW29" s="518"/>
      <c r="AX29" s="19"/>
      <c r="AY29" s="613"/>
      <c r="AZ29" s="627"/>
      <c r="BA29" s="616"/>
      <c r="BB29" s="619"/>
      <c r="BC29" s="615"/>
      <c r="BD29" s="297"/>
      <c r="BE29" s="297"/>
      <c r="BG29" s="547" t="str">
        <f ca="1">Horarios!Q28</f>
        <v>Inglaterra</v>
      </c>
      <c r="BH29" s="548">
        <f t="shared" ca="1" si="0"/>
        <v>1</v>
      </c>
      <c r="BI29" s="548">
        <f ca="1">COUNTIF(ADMIN!$M$130:$M$161,Fixture!BG29)-BJ29-BK29-BL29-BM29-BN29-BO29</f>
        <v>0</v>
      </c>
      <c r="BJ29" s="549">
        <f ca="1">COUNTIF(ADMIN!$M$182:$M$197,Fixture!BG29)-BK29-BL29-BM29-BN29-BO29</f>
        <v>0</v>
      </c>
      <c r="BK29" s="550">
        <f ca="1">COUNTIF(ADMIN!$M$210:$M$217,Fixture!BG29)-BL29-BM29-BN29-BO29</f>
        <v>0</v>
      </c>
      <c r="BL29" s="550">
        <f ca="1">COUNTIF(ADMIN!$M$226:$M$229,BG29)-BM29-BN29-BO29</f>
        <v>0</v>
      </c>
      <c r="BM29" s="548">
        <f ca="1">COUNTIF(ADMIN!$M$252,Fixture!BG29)</f>
        <v>0</v>
      </c>
      <c r="BN29" s="548">
        <f ca="1">COUNTIF(ADMIN!$M$251,Fixture!BG29)</f>
        <v>0</v>
      </c>
      <c r="BO29" s="551">
        <f ca="1">COUNTIF(ADMIN!$M$250,Fixture!BG29)</f>
        <v>0</v>
      </c>
    </row>
    <row r="30" spans="1:67" ht="15" thickBot="1">
      <c r="A30" s="19">
        <v>31</v>
      </c>
      <c r="B30" s="630"/>
      <c r="C30" s="529" t="str">
        <f ca="1">+MID(INDEX(WORLDCUP!$AA$4:$AA$147,MATCH(A30,WORLDCUP!$AH$4:$AH$147,0)),1,3)</f>
        <v>Tur</v>
      </c>
      <c r="D30" s="530">
        <f>IF(ISBLANK(INDEX(WORLDCUP!$AC$4:$AC$147,MATCH(A30,WORLDCUP!$AH$4:$AH$147,0))),"",INDEX(WORLDCUP!$AC$4:$AC$147,MATCH(A30,WORLDCUP!$AH$4:$AH$147,0)))</f>
        <v>0</v>
      </c>
      <c r="E30" s="530">
        <f>IF(ISBLANK(INDEX(WORLDCUP!$AD$4:$AD$147,MATCH(A30,WORLDCUP!$AH$4:$AH$147,0))),"",INDEX(WORLDCUP!$AD$4:$AD$147,MATCH(A30,WORLDCUP!$AH$4:$AH$147,0)))</f>
        <v>1</v>
      </c>
      <c r="F30" s="531" t="str">
        <f ca="1">+MID(INDEX(WORLDCUP!$AF$4:$AF$147,MATCH(A30,WORLDCUP!$AH$4:$AH$147,0)),1,3)</f>
        <v>Par</v>
      </c>
      <c r="G30" s="552">
        <v>3</v>
      </c>
      <c r="H30" s="553" t="str">
        <f ca="1">+MID(INDEX(WORLDCUP!$AL$6:$AL$97,MATCH(L30,WORLDCUP!$AI$6:$AI$97,0)),1,3)</f>
        <v>Par</v>
      </c>
      <c r="I30" s="223">
        <f ca="1">+INDEX(WORLDCUP!$AM$6:$AM$97,MATCH(L30,WORLDCUP!$AI$6:$AI$97,0))</f>
        <v>3</v>
      </c>
      <c r="J30" s="224">
        <f ca="1">+INDEX(WORLDCUP!$AT$6:$AT$97,MATCH(L30,WORLDCUP!$AI$6:$AI$97,0))</f>
        <v>-2</v>
      </c>
      <c r="K30" s="225" t="str">
        <f ca="1">+INDEX(WORLDCUP!$AR$6:$AR$97,MATCH(L30,WORLDCUP!$AI$6:$AI$97,0))&amp;"-"&amp;INDEX(WORLDCUP!$AS$6:$AS$97,MATCH(L30,WORLDCUP!$AI$6:$AI$97,0))</f>
        <v>2-4</v>
      </c>
      <c r="L30" s="19" t="s">
        <v>92</v>
      </c>
      <c r="M30" s="19">
        <v>44</v>
      </c>
      <c r="N30" s="631"/>
      <c r="O30" s="529" t="str">
        <f ca="1">+MID(INDEX(WORLDCUP!$AA$4:$AA$147,MATCH(M30,WORLDCUP!$AH$4:$AH$147,0)),1,3)</f>
        <v>Jor</v>
      </c>
      <c r="P30" s="530" t="str">
        <f>IF(ISBLANK(INDEX(WORLDCUP!$AC$4:$AC$147,MATCH(M30,WORLDCUP!$AH$4:$AH$147,0))),"",INDEX(WORLDCUP!$AC$4:$AC$147,MATCH(M30,WORLDCUP!$AH$4:$AH$147,0)))</f>
        <v/>
      </c>
      <c r="Q30" s="530" t="str">
        <f>IF(ISBLANK(INDEX(WORLDCUP!$AD$4:$AD$147,MATCH(M30,WORLDCUP!$AH$4:$AH$147,0))),"",INDEX(WORLDCUP!$AD$4:$AD$147,MATCH(M30,WORLDCUP!$AH$4:$AH$147,0)))</f>
        <v/>
      </c>
      <c r="R30" s="531" t="str">
        <f ca="1">+MID(INDEX(WORLDCUP!$AF$4:$AF$147,MATCH(M30,WORLDCUP!$AH$4:$AH$147,0)),1,3)</f>
        <v>Arg</v>
      </c>
      <c r="S30" s="552">
        <v>3</v>
      </c>
      <c r="T30" s="553" t="str">
        <f ca="1">+MID(INDEX(WORLDCUP!$AL$6:$AL$97,MATCH(X30,WORLDCUP!$AI$6:$AI$97,0)),1,3)</f>
        <v>Jor</v>
      </c>
      <c r="U30" s="223">
        <f ca="1">+INDEX(WORLDCUP!$AM$6:$AM$97,MATCH(X30,WORLDCUP!$AI$6:$AI$97,0))</f>
        <v>0</v>
      </c>
      <c r="V30" s="224">
        <f ca="1">+INDEX(WORLDCUP!$AT$6:$AT$97,MATCH(X30,WORLDCUP!$AI$6:$AI$97,0))</f>
        <v>-2</v>
      </c>
      <c r="W30" s="225" t="str">
        <f ca="1">+INDEX(WORLDCUP!$AR$6:$AR$97,MATCH(X30,WORLDCUP!$AI$6:$AI$97,0))&amp;"-"&amp;INDEX(WORLDCUP!$AS$6:$AS$97,MATCH(X30,WORLDCUP!$AI$6:$AI$97,0))</f>
        <v>1-3</v>
      </c>
      <c r="X30" s="19" t="s">
        <v>441</v>
      </c>
      <c r="Y30" s="19">
        <v>78</v>
      </c>
      <c r="Z30" s="510" t="s">
        <v>662</v>
      </c>
      <c r="AA30" s="511" t="str">
        <f ca="1">+MID(INDEX(WORLDCUP!$AA$101:$AA$147,MATCH(Y30,WORLDCUP!$Z$101:$Z$147,0)),1,3)</f>
        <v>2E</v>
      </c>
      <c r="AB30" s="557" t="str">
        <f>+IF(ISBLANK(INDEX(WORLDCUP!$AC$101:$AC$147,MATCH(Y30,WORLDCUP!$Z$101:$Z$147,0))),"",INDEX(WORLDCUP!$AC$101:$AC$147,MATCH(Y30,WORLDCUP!$Z$101:$Z$147,0)))</f>
        <v/>
      </c>
      <c r="AC30" s="591" t="str">
        <f>+IF(ISBLANK(INDEX(WORLDCUP!$AB$101:$AB$147,MATCH(Y30,WORLDCUP!$Z$101:$Z$147,0))),"","( "&amp;INDEX(WORLDCUP!$AB$101:$AB$147,MATCH(Y30,WORLDCUP!$Z$101:$Z$147,0))&amp;" )")</f>
        <v/>
      </c>
      <c r="AD30" s="19"/>
      <c r="AE30" s="559"/>
      <c r="AF30" s="559"/>
      <c r="AG30" s="560"/>
      <c r="AH30" s="19"/>
      <c r="AI30" s="544"/>
      <c r="AJ30" s="544"/>
      <c r="AK30" s="544"/>
      <c r="AL30" s="19"/>
      <c r="AM30" s="516"/>
      <c r="AN30" s="516"/>
      <c r="AO30" s="597"/>
      <c r="AP30" s="19"/>
      <c r="AQ30" s="545"/>
      <c r="AR30" s="545"/>
      <c r="AS30" s="545"/>
      <c r="AT30" s="19"/>
      <c r="AU30" s="518"/>
      <c r="AV30" s="518"/>
      <c r="AW30" s="518"/>
      <c r="AX30" s="19"/>
      <c r="AY30" s="613"/>
      <c r="AZ30" s="627"/>
      <c r="BA30" s="616"/>
      <c r="BB30" s="619"/>
      <c r="BC30" s="615"/>
      <c r="BD30" s="297"/>
      <c r="BE30" s="297"/>
      <c r="BG30" s="547" t="str">
        <f ca="1">Horarios!Q29</f>
        <v>Irak</v>
      </c>
      <c r="BH30" s="548">
        <f t="shared" ca="1" si="0"/>
        <v>1</v>
      </c>
      <c r="BI30" s="548">
        <f ca="1">COUNTIF(ADMIN!$M$130:$M$161,Fixture!BG30)-BJ30-BK30-BL30-BM30-BN30-BO30</f>
        <v>0</v>
      </c>
      <c r="BJ30" s="549">
        <f ca="1">COUNTIF(ADMIN!$M$182:$M$197,Fixture!BG30)-BK30-BL30-BM30-BN30-BO30</f>
        <v>0</v>
      </c>
      <c r="BK30" s="550">
        <f ca="1">COUNTIF(ADMIN!$M$210:$M$217,Fixture!BG30)-BL30-BM30-BN30-BO30</f>
        <v>0</v>
      </c>
      <c r="BL30" s="550">
        <f ca="1">COUNTIF(ADMIN!$M$226:$M$229,BG30)-BM30-BN30-BO30</f>
        <v>0</v>
      </c>
      <c r="BM30" s="548">
        <f ca="1">COUNTIF(ADMIN!$M$252,Fixture!BG30)</f>
        <v>0</v>
      </c>
      <c r="BN30" s="548">
        <f ca="1">COUNTIF(ADMIN!$M$251,Fixture!BG30)</f>
        <v>0</v>
      </c>
      <c r="BO30" s="551">
        <f ca="1">COUNTIF(ADMIN!$M$250,Fixture!BG30)</f>
        <v>0</v>
      </c>
    </row>
    <row r="31" spans="1:67" ht="15" thickBot="1">
      <c r="A31" s="19">
        <v>59</v>
      </c>
      <c r="B31" s="630"/>
      <c r="C31" s="529" t="str">
        <f ca="1">+MID(INDEX(WORLDCUP!$AA$4:$AA$147,MATCH(A31,WORLDCUP!$AH$4:$AH$147,0)),1,3)</f>
        <v>Tur</v>
      </c>
      <c r="D31" s="530" t="str">
        <f>IF(ISBLANK(INDEX(WORLDCUP!$AC$4:$AC$147,MATCH(A31,WORLDCUP!$AH$4:$AH$147,0))),"",INDEX(WORLDCUP!$AC$4:$AC$147,MATCH(A31,WORLDCUP!$AH$4:$AH$147,0)))</f>
        <v/>
      </c>
      <c r="E31" s="530" t="str">
        <f>IF(ISBLANK(INDEX(WORLDCUP!$AD$4:$AD$147,MATCH(A31,WORLDCUP!$AH$4:$AH$147,0))),"",INDEX(WORLDCUP!$AD$4:$AD$147,MATCH(A31,WORLDCUP!$AH$4:$AH$147,0)))</f>
        <v/>
      </c>
      <c r="F31" s="531" t="str">
        <f ca="1">+MID(INDEX(WORLDCUP!$AF$4:$AF$147,MATCH(A31,WORLDCUP!$AH$4:$AH$147,0)),1,3)</f>
        <v>Est</v>
      </c>
      <c r="G31" s="552">
        <v>4</v>
      </c>
      <c r="H31" s="561" t="str">
        <f ca="1">+MID(INDEX(WORLDCUP!$AL$6:$AL$97,MATCH(L31,WORLDCUP!$AI$6:$AI$97,0)),1,3)</f>
        <v>Tur</v>
      </c>
      <c r="I31" s="562">
        <f ca="1">+INDEX(WORLDCUP!$AM$6:$AM$97,MATCH(L31,WORLDCUP!$AI$6:$AI$97,0))</f>
        <v>0</v>
      </c>
      <c r="J31" s="563">
        <f ca="1">+INDEX(WORLDCUP!$AT$6:$AT$97,MATCH(L31,WORLDCUP!$AI$6:$AI$97,0))</f>
        <v>-3</v>
      </c>
      <c r="K31" s="564" t="str">
        <f ca="1">+INDEX(WORLDCUP!$AR$6:$AR$97,MATCH(L31,WORLDCUP!$AI$6:$AI$97,0))&amp;"-"&amp;INDEX(WORLDCUP!$AS$6:$AS$97,MATCH(L31,WORLDCUP!$AI$6:$AI$97,0))</f>
        <v>0-3</v>
      </c>
      <c r="L31" s="19" t="s">
        <v>660</v>
      </c>
      <c r="M31" s="19">
        <v>69</v>
      </c>
      <c r="N31" s="631"/>
      <c r="O31" s="529" t="str">
        <f ca="1">+MID(INDEX(WORLDCUP!$AA$4:$AA$147,MATCH(M31,WORLDCUP!$AH$4:$AH$147,0)),1,3)</f>
        <v>Arg</v>
      </c>
      <c r="P31" s="530" t="str">
        <f>IF(ISBLANK(INDEX(WORLDCUP!$AC$4:$AC$147,MATCH(M31,WORLDCUP!$AH$4:$AH$147,0))),"",INDEX(WORLDCUP!$AC$4:$AC$147,MATCH(M31,WORLDCUP!$AH$4:$AH$147,0)))</f>
        <v/>
      </c>
      <c r="Q31" s="530" t="str">
        <f>IF(ISBLANK(INDEX(WORLDCUP!$AD$4:$AD$147,MATCH(M31,WORLDCUP!$AH$4:$AH$147,0))),"",INDEX(WORLDCUP!$AD$4:$AD$147,MATCH(M31,WORLDCUP!$AH$4:$AH$147,0)))</f>
        <v/>
      </c>
      <c r="R31" s="531" t="str">
        <f ca="1">+MID(INDEX(WORLDCUP!$AF$4:$AF$147,MATCH(M31,WORLDCUP!$AH$4:$AH$147,0)),1,3)</f>
        <v>Aus</v>
      </c>
      <c r="S31" s="552">
        <v>4</v>
      </c>
      <c r="T31" s="561" t="str">
        <f ca="1">+MID(INDEX(WORLDCUP!$AL$6:$AL$97,MATCH(X31,WORLDCUP!$AI$6:$AI$97,0)),1,3)</f>
        <v>Arg</v>
      </c>
      <c r="U31" s="562">
        <f ca="1">+INDEX(WORLDCUP!$AM$6:$AM$97,MATCH(X31,WORLDCUP!$AI$6:$AI$97,0))</f>
        <v>0</v>
      </c>
      <c r="V31" s="563">
        <f ca="1">+INDEX(WORLDCUP!$AT$6:$AT$97,MATCH(X31,WORLDCUP!$AI$6:$AI$97,0))</f>
        <v>-3</v>
      </c>
      <c r="W31" s="564" t="str">
        <f ca="1">+INDEX(WORLDCUP!$AR$6:$AR$97,MATCH(X31,WORLDCUP!$AI$6:$AI$97,0))&amp;"-"&amp;INDEX(WORLDCUP!$AS$6:$AS$97,MATCH(X31,WORLDCUP!$AI$6:$AI$97,0))</f>
        <v>0-3</v>
      </c>
      <c r="X31" s="19" t="s">
        <v>678</v>
      </c>
      <c r="Y31" s="19">
        <v>78</v>
      </c>
      <c r="Z31" s="510" t="s">
        <v>674</v>
      </c>
      <c r="AA31" s="565" t="str">
        <f ca="1">+MID(INDEX(WORLDCUP!$AF$101:$AF$147,MATCH(Y31,WORLDCUP!$Z$101:$Z$147,0)),1,3)</f>
        <v>2I</v>
      </c>
      <c r="AB31" s="566" t="str">
        <f>+IF(ISBLANK(INDEX(WORLDCUP!$AD$101:$AD$147,MATCH(Y31,WORLDCUP!$Z$101:$Z$147,0))),"",INDEX(WORLDCUP!$AD$101:$AD$147,MATCH(Y31,WORLDCUP!$Z$101:$Z$147,0)))</f>
        <v/>
      </c>
      <c r="AC31" s="592" t="str">
        <f>+IF(ISBLANK(INDEX(WORLDCUP!$AE$101:$AE$147,MATCH(Y31,WORLDCUP!$Z$101:$Z$147,0))),"","( "&amp;INDEX(WORLDCUP!$AE$101:$AE$147,MATCH(Y31,WORLDCUP!$Z$101:$Z$147,0))&amp;" )")</f>
        <v/>
      </c>
      <c r="AD31" s="19"/>
      <c r="AE31" s="559"/>
      <c r="AF31" s="559"/>
      <c r="AG31" s="560"/>
      <c r="AH31" s="584">
        <v>99</v>
      </c>
      <c r="AI31" s="568" t="str">
        <f>+MID(INDEX(WORLDCUP!$AA$101:$AA$147,MATCH(AH31,WORLDCUP!$Z$101:$Z$147,0)),1,3)</f>
        <v>W91</v>
      </c>
      <c r="AJ31" s="569" t="str">
        <f>+IF(ISBLANK(INDEX(WORLDCUP!$AC$101:$AC$147,MATCH(AH31,WORLDCUP!$Z$101:$Z$147,0))),"",INDEX(WORLDCUP!$AC$101:$AC$147,MATCH(AH31,WORLDCUP!$Z$101:$Z$147,0)))</f>
        <v/>
      </c>
      <c r="AK31" s="570" t="str">
        <f>+IF(ISBLANK(INDEX(WORLDCUP!$AB$101:$AB$147,MATCH(AH31,WORLDCUP!$Z$101:$Z$147,0))),"","( "&amp;INDEX(WORLDCUP!$AB$101:$AB$147,MATCH(AH31,WORLDCUP!$Z$101:$Z$147,0))&amp;" )")</f>
        <v/>
      </c>
      <c r="AL31" s="19"/>
      <c r="AM31" s="516"/>
      <c r="AN31" s="516"/>
      <c r="AO31" s="597"/>
      <c r="AP31" s="632">
        <v>103</v>
      </c>
      <c r="AQ31" s="633" t="str">
        <f>+MID(INDEX(WORLDCUP!$AA$101:$AA$147,MATCH(AP31,WORLDCUP!$Z$101:$Z$147,0)),1,4)</f>
        <v>L101</v>
      </c>
      <c r="AR31" s="634" t="str">
        <f>+IF(ISBLANK(INDEX(WORLDCUP!$AC$101:$AC$147,MATCH(AP31,WORLDCUP!$Z$101:$Z$147,0))),"",INDEX(WORLDCUP!$AC$101:$AC$147,MATCH(AP31,WORLDCUP!$Z$101:$Z$147,0)))</f>
        <v/>
      </c>
      <c r="AS31" s="635" t="str">
        <f>+IF(ISBLANK(INDEX(WORLDCUP!$AB$101:$AB$147,MATCH(AP31,WORLDCUP!$Z$101:$Z$147,0))),"","( "&amp;INDEX(WORLDCUP!$AB$101:$AB$147,MATCH(AP31,WORLDCUP!$Z$101:$Z$147,0))&amp;" )")</f>
        <v/>
      </c>
      <c r="AT31" s="636"/>
      <c r="AU31" s="637"/>
      <c r="AV31" s="637"/>
      <c r="AW31" s="637"/>
      <c r="AX31" s="636"/>
      <c r="AY31" s="638"/>
      <c r="AZ31" s="639"/>
      <c r="BA31" s="639"/>
      <c r="BB31" s="639"/>
      <c r="BC31" s="640"/>
      <c r="BD31" s="297"/>
      <c r="BE31" s="297"/>
      <c r="BG31" s="547" t="str">
        <f ca="1">Horarios!Q30</f>
        <v>Irán</v>
      </c>
      <c r="BH31" s="548">
        <f t="shared" ca="1" si="0"/>
        <v>1</v>
      </c>
      <c r="BI31" s="548">
        <f ca="1">COUNTIF(ADMIN!$M$130:$M$161,Fixture!BG31)-BJ31-BK31-BL31-BM31-BN31-BO31</f>
        <v>0</v>
      </c>
      <c r="BJ31" s="549">
        <f ca="1">COUNTIF(ADMIN!$M$182:$M$197,Fixture!BG31)-BK31-BL31-BM31-BN31-BO31</f>
        <v>0</v>
      </c>
      <c r="BK31" s="550">
        <f ca="1">COUNTIF(ADMIN!$M$210:$M$217,Fixture!BG31)-BL31-BM31-BN31-BO31</f>
        <v>0</v>
      </c>
      <c r="BL31" s="550">
        <f ca="1">COUNTIF(ADMIN!$M$226:$M$229,BG31)-BM31-BN31-BO31</f>
        <v>0</v>
      </c>
      <c r="BM31" s="548">
        <f ca="1">COUNTIF(ADMIN!$M$252,Fixture!BG31)</f>
        <v>0</v>
      </c>
      <c r="BN31" s="548">
        <f ca="1">COUNTIF(ADMIN!$M$251,Fixture!BG31)</f>
        <v>0</v>
      </c>
      <c r="BO31" s="551">
        <f ca="1">COUNTIF(ADMIN!$M$250,Fixture!BG31)</f>
        <v>0</v>
      </c>
    </row>
    <row r="32" spans="1:67" ht="15" thickBot="1">
      <c r="A32" s="19">
        <v>60</v>
      </c>
      <c r="B32" s="641"/>
      <c r="C32" s="572" t="str">
        <f ca="1">+MID(INDEX(WORLDCUP!$AA$4:$AA$147,MATCH(A32,WORLDCUP!$AH$4:$AH$147,0)),1,3)</f>
        <v>Par</v>
      </c>
      <c r="D32" s="573" t="str">
        <f>IF(ISBLANK(INDEX(WORLDCUP!$AC$4:$AC$147,MATCH(A32,WORLDCUP!$AH$4:$AH$147,0))),"",INDEX(WORLDCUP!$AC$4:$AC$147,MATCH(A32,WORLDCUP!$AH$4:$AH$147,0)))</f>
        <v/>
      </c>
      <c r="E32" s="573" t="str">
        <f>IF(ISBLANK(INDEX(WORLDCUP!$AD$4:$AD$147,MATCH(A32,WORLDCUP!$AH$4:$AH$147,0))),"",INDEX(WORLDCUP!$AD$4:$AD$147,MATCH(A32,WORLDCUP!$AH$4:$AH$147,0)))</f>
        <v/>
      </c>
      <c r="F32" s="574" t="str">
        <f ca="1">+MID(INDEX(WORLDCUP!$AF$4:$AF$147,MATCH(A32,WORLDCUP!$AH$4:$AH$147,0)),1,3)</f>
        <v>Aus</v>
      </c>
      <c r="G32" s="575"/>
      <c r="H32" s="575"/>
      <c r="I32" s="576"/>
      <c r="J32" s="576"/>
      <c r="K32" s="577"/>
      <c r="L32" s="19"/>
      <c r="M32" s="19">
        <v>70</v>
      </c>
      <c r="N32" s="642"/>
      <c r="O32" s="572" t="str">
        <f ca="1">+MID(INDEX(WORLDCUP!$AA$4:$AA$147,MATCH(M32,WORLDCUP!$AH$4:$AH$147,0)),1,3)</f>
        <v>Jor</v>
      </c>
      <c r="P32" s="573" t="str">
        <f>IF(ISBLANK(INDEX(WORLDCUP!$AC$4:$AC$147,MATCH(M32,WORLDCUP!$AH$4:$AH$147,0))),"",INDEX(WORLDCUP!$AC$4:$AC$147,MATCH(M32,WORLDCUP!$AH$4:$AH$147,0)))</f>
        <v/>
      </c>
      <c r="Q32" s="573" t="str">
        <f>IF(ISBLANK(INDEX(WORLDCUP!$AD$4:$AD$147,MATCH(M32,WORLDCUP!$AH$4:$AH$147,0))),"",INDEX(WORLDCUP!$AD$4:$AD$147,MATCH(M32,WORLDCUP!$AH$4:$AH$147,0)))</f>
        <v/>
      </c>
      <c r="R32" s="574" t="str">
        <f ca="1">+MID(INDEX(WORLDCUP!$AF$4:$AF$147,MATCH(M32,WORLDCUP!$AH$4:$AH$147,0)),1,3)</f>
        <v>Arg</v>
      </c>
      <c r="S32" s="575"/>
      <c r="T32" s="575"/>
      <c r="U32" s="576"/>
      <c r="V32" s="576"/>
      <c r="W32" s="577"/>
      <c r="X32" s="19"/>
      <c r="Y32" s="19"/>
      <c r="Z32" s="510"/>
      <c r="AA32" s="579"/>
      <c r="AB32" s="579"/>
      <c r="AC32" s="579"/>
      <c r="AD32" s="19"/>
      <c r="AE32" s="514"/>
      <c r="AF32" s="514"/>
      <c r="AG32" s="560"/>
      <c r="AH32" s="19">
        <v>99</v>
      </c>
      <c r="AI32" s="568" t="str">
        <f>+MID(INDEX(WORLDCUP!$AF$101:$AF$147,MATCH(AH32,WORLDCUP!$Z$101:$Z$147,0)),1,3)</f>
        <v>W92</v>
      </c>
      <c r="AJ32" s="569" t="str">
        <f>+IF(ISBLANK(INDEX(WORLDCUP!$AD$101:$AD$147,MATCH(AH32,WORLDCUP!$Z$101:$Z$147,0))),"",INDEX(WORLDCUP!$AD$101:$AD$147,MATCH(AH32,WORLDCUP!$Z$101:$Z$147,0)))</f>
        <v/>
      </c>
      <c r="AK32" s="580" t="str">
        <f>+IF(ISBLANK(INDEX(WORLDCUP!$AE$101:$AE$147,MATCH(AH32,WORLDCUP!$Z$101:$Z$147,0))),"","( "&amp;INDEX(WORLDCUP!$AE$101:$AE$147,MATCH(AH32,WORLDCUP!$Z$101:$Z$147,0))&amp;" )")</f>
        <v/>
      </c>
      <c r="AL32" s="19"/>
      <c r="AM32" s="516"/>
      <c r="AN32" s="516"/>
      <c r="AO32" s="597"/>
      <c r="AP32" s="92">
        <v>103</v>
      </c>
      <c r="AQ32" s="633" t="str">
        <f>+MID(INDEX(WORLDCUP!$AF$101:$AF$147,MATCH(AP32,WORLDCUP!$Z$101:$Z$147,0)),1,4)</f>
        <v>L102</v>
      </c>
      <c r="AR32" s="634" t="str">
        <f>+IF(ISBLANK(INDEX(WORLDCUP!$AD$101:$AD$147,MATCH(AP32,WORLDCUP!$Z$101:$Z$147,0))),"",INDEX(WORLDCUP!$AD$101:$AD$147,MATCH(AP32,WORLDCUP!$Z$101:$Z$147,0)))</f>
        <v/>
      </c>
      <c r="AS32" s="545" t="str">
        <f>+IF(ISBLANK(INDEX(WORLDCUP!$AE$101:$AE$147,MATCH(AP32,WORLDCUP!$Z$101:$Z$147,0))),"","( "&amp;INDEX(WORLDCUP!$AE$101:$AE$147,MATCH(AP32,WORLDCUP!$Z$101:$Z$147,0))&amp;" )")</f>
        <v/>
      </c>
      <c r="AT32" s="19"/>
      <c r="AU32" s="518"/>
      <c r="AV32" s="518"/>
      <c r="AW32" s="518"/>
      <c r="AX32" s="19"/>
      <c r="AY32" s="297"/>
      <c r="AZ32" s="297"/>
      <c r="BA32" s="297"/>
      <c r="BB32" s="297"/>
      <c r="BC32" s="297"/>
      <c r="BD32" s="297"/>
      <c r="BE32" s="297"/>
      <c r="BG32" s="547" t="str">
        <f ca="1">Horarios!Q31</f>
        <v>Japón</v>
      </c>
      <c r="BH32" s="548">
        <f t="shared" ca="1" si="0"/>
        <v>1</v>
      </c>
      <c r="BI32" s="548">
        <f ca="1">COUNTIF(ADMIN!$M$130:$M$161,Fixture!BG32)-BJ32-BK32-BL32-BM32-BN32-BO32</f>
        <v>0</v>
      </c>
      <c r="BJ32" s="549">
        <f ca="1">COUNTIF(ADMIN!$M$182:$M$197,Fixture!BG32)-BK32-BL32-BM32-BN32-BO32</f>
        <v>0</v>
      </c>
      <c r="BK32" s="550">
        <f ca="1">COUNTIF(ADMIN!$M$210:$M$217,Fixture!BG32)-BL32-BM32-BN32-BO32</f>
        <v>0</v>
      </c>
      <c r="BL32" s="550">
        <f ca="1">COUNTIF(ADMIN!$M$226:$M$229,BG32)-BM32-BN32-BO32</f>
        <v>0</v>
      </c>
      <c r="BM32" s="548">
        <f ca="1">COUNTIF(ADMIN!$M$252,Fixture!BG32)</f>
        <v>0</v>
      </c>
      <c r="BN32" s="548">
        <f ca="1">COUNTIF(ADMIN!$M$251,Fixture!BG32)</f>
        <v>0</v>
      </c>
      <c r="BO32" s="551">
        <f ca="1">COUNTIF(ADMIN!$M$250,Fixture!BG32)</f>
        <v>0</v>
      </c>
    </row>
    <row r="33" spans="1:67" ht="15" thickBot="1">
      <c r="A33" s="19"/>
      <c r="B33" s="497"/>
      <c r="C33" s="581"/>
      <c r="D33" s="441"/>
      <c r="E33" s="441"/>
      <c r="F33" s="297"/>
      <c r="G33" s="297"/>
      <c r="H33" s="581"/>
      <c r="I33" s="297"/>
      <c r="J33" s="297"/>
      <c r="K33" s="297"/>
      <c r="L33" s="19"/>
      <c r="M33" s="19"/>
      <c r="N33" s="247"/>
      <c r="O33" s="581"/>
      <c r="P33" s="441"/>
      <c r="Q33" s="441"/>
      <c r="R33" s="297"/>
      <c r="S33" s="297"/>
      <c r="T33" s="581"/>
      <c r="U33" s="297"/>
      <c r="V33" s="297"/>
      <c r="W33" s="297"/>
      <c r="X33" s="19"/>
      <c r="Y33" s="19">
        <v>79</v>
      </c>
      <c r="Z33" s="510" t="s">
        <v>645</v>
      </c>
      <c r="AA33" s="511" t="str">
        <f ca="1">+MID(INDEX(WORLDCUP!$AA$101:$AA$147,MATCH(Y33,WORLDCUP!$Z$101:$Z$147,0)),1,3)</f>
        <v>1A</v>
      </c>
      <c r="AB33" s="512" t="str">
        <f>+IF(ISBLANK(INDEX(WORLDCUP!$AC$101:$AC$147,MATCH(Y33,WORLDCUP!$Z$101:$Z$147,0))),"",INDEX(WORLDCUP!$AC$101:$AC$147,MATCH(Y33,WORLDCUP!$Z$101:$Z$147,0)))</f>
        <v/>
      </c>
      <c r="AC33" s="582" t="str">
        <f>+IF(ISBLANK(INDEX(WORLDCUP!$AB$101:$AB$147,MATCH(Y33,WORLDCUP!$Z$101:$Z$147,0))),"","( "&amp;INDEX(WORLDCUP!$AB$101:$AB$147,MATCH(Y33,WORLDCUP!$Z$101:$Z$147,0))&amp;" )")</f>
        <v/>
      </c>
      <c r="AD33" s="18"/>
      <c r="AE33" s="514"/>
      <c r="AF33" s="514"/>
      <c r="AG33" s="560"/>
      <c r="AH33" s="19"/>
      <c r="AI33" s="544"/>
      <c r="AJ33" s="544"/>
      <c r="AK33" s="583"/>
      <c r="AL33" s="92"/>
      <c r="AM33" s="516"/>
      <c r="AN33" s="516"/>
      <c r="AO33" s="597"/>
      <c r="AP33" s="19"/>
      <c r="AQ33" s="545"/>
      <c r="AR33" s="545"/>
      <c r="AS33" s="545"/>
      <c r="AT33" s="19"/>
      <c r="AU33" s="518"/>
      <c r="AV33" s="518"/>
      <c r="AW33" s="518"/>
      <c r="AX33" s="19"/>
      <c r="AY33" s="297"/>
      <c r="AZ33" s="297"/>
      <c r="BA33" s="297"/>
      <c r="BB33" s="297"/>
      <c r="BC33" s="297"/>
      <c r="BD33" s="297"/>
      <c r="BE33" s="297"/>
      <c r="BG33" s="547" t="str">
        <f ca="1">Horarios!Q32</f>
        <v>Jordania</v>
      </c>
      <c r="BH33" s="548">
        <f t="shared" ca="1" si="0"/>
        <v>1</v>
      </c>
      <c r="BI33" s="548">
        <f ca="1">COUNTIF(ADMIN!$M$130:$M$161,Fixture!BG33)-BJ33-BK33-BL33-BM33-BN33-BO33</f>
        <v>0</v>
      </c>
      <c r="BJ33" s="549">
        <f ca="1">COUNTIF(ADMIN!$M$182:$M$197,Fixture!BG33)-BK33-BL33-BM33-BN33-BO33</f>
        <v>0</v>
      </c>
      <c r="BK33" s="550">
        <f ca="1">COUNTIF(ADMIN!$M$210:$M$217,Fixture!BG33)-BL33-BM33-BN33-BO33</f>
        <v>0</v>
      </c>
      <c r="BL33" s="550">
        <f ca="1">COUNTIF(ADMIN!$M$226:$M$229,BG33)-BM33-BN33-BO33</f>
        <v>0</v>
      </c>
      <c r="BM33" s="548">
        <f ca="1">COUNTIF(ADMIN!$M$252,Fixture!BG33)</f>
        <v>0</v>
      </c>
      <c r="BN33" s="548">
        <f ca="1">COUNTIF(ADMIN!$M$251,Fixture!BG33)</f>
        <v>0</v>
      </c>
      <c r="BO33" s="551">
        <f ca="1">COUNTIF(ADMIN!$M$250,Fixture!BG33)</f>
        <v>0</v>
      </c>
    </row>
    <row r="34" spans="1:67" ht="15" thickBot="1">
      <c r="A34" s="19"/>
      <c r="B34" s="497"/>
      <c r="C34" s="581"/>
      <c r="D34" s="441"/>
      <c r="E34" s="441"/>
      <c r="F34" s="297"/>
      <c r="G34" s="297"/>
      <c r="H34" s="581"/>
      <c r="I34" s="297"/>
      <c r="J34" s="297"/>
      <c r="K34" s="297"/>
      <c r="L34" s="19"/>
      <c r="M34" s="19"/>
      <c r="N34" s="247"/>
      <c r="O34" s="581"/>
      <c r="P34" s="441"/>
      <c r="Q34" s="441"/>
      <c r="R34" s="297"/>
      <c r="S34" s="297"/>
      <c r="T34" s="581"/>
      <c r="U34" s="297"/>
      <c r="V34" s="297"/>
      <c r="W34" s="297"/>
      <c r="X34" s="19"/>
      <c r="Y34" s="19">
        <v>79</v>
      </c>
      <c r="Z34" s="510" t="s">
        <v>724</v>
      </c>
      <c r="AA34" s="511" t="str">
        <f ca="1">+MID(INDEX(WORLDCUP!$AF$101:$AF$147,MATCH(Y34,WORLDCUP!$Z$101:$Z$147,0)),1,IF(WORLDCUP!$H$113&lt;144,6,3))</f>
        <v>3CEFHI</v>
      </c>
      <c r="AB34" s="538" t="str">
        <f>+IF(ISBLANK(INDEX(WORLDCUP!$AD$101:$AD$147,MATCH(Y34,WORLDCUP!$Z$101:$Z$147,0))),"",INDEX(WORLDCUP!$AD$101:$AD$147,MATCH(Y34,WORLDCUP!$Z$101:$Z$147,0)))</f>
        <v/>
      </c>
      <c r="AC34" s="539" t="str">
        <f>+IF(ISBLANK(INDEX(WORLDCUP!$AE$101:$AE$147,MATCH(Y34,WORLDCUP!$Z$101:$Z$147,0))),"","( "&amp;INDEX(WORLDCUP!$AE$101:$AE$147,MATCH(Y34,WORLDCUP!$Z$101:$Z$147,0))&amp;" )")</f>
        <v/>
      </c>
      <c r="AD34" s="540">
        <v>92</v>
      </c>
      <c r="AE34" s="541" t="str">
        <f>+MID(INDEX(WORLDCUP!$AA$101:$AA$147,MATCH(AD34,WORLDCUP!$Z$101:$Z$147,0)),1,3)</f>
        <v>W79</v>
      </c>
      <c r="AF34" s="542" t="str">
        <f>+IF(ISBLANK(INDEX(WORLDCUP!$AC$101:$AC$147,MATCH(AD34,WORLDCUP!$Z$101:$Z$147,0))),"",INDEX(WORLDCUP!$AC$101:$AC$147,MATCH(AD34,WORLDCUP!$Z$101:$Z$147,0)))</f>
        <v/>
      </c>
      <c r="AG34" s="585" t="str">
        <f>+IF(ISBLANK(INDEX(WORLDCUP!$AB$101:$AB$147,MATCH(AD34,WORLDCUP!$Z$101:$Z$147,0))),"","( "&amp;INDEX(WORLDCUP!$AB$101:$AB$147,MATCH(AD34,WORLDCUP!$Z$101:$Z$147,0))&amp;" )")</f>
        <v/>
      </c>
      <c r="AH34" s="19"/>
      <c r="AI34" s="544"/>
      <c r="AJ34" s="544"/>
      <c r="AK34" s="583"/>
      <c r="AL34" s="92"/>
      <c r="AM34" s="516"/>
      <c r="AN34" s="516"/>
      <c r="AO34" s="597"/>
      <c r="AP34" s="19"/>
      <c r="AQ34" s="545"/>
      <c r="AR34" s="545"/>
      <c r="AS34" s="545"/>
      <c r="AT34" s="19"/>
      <c r="AU34" s="518"/>
      <c r="AV34" s="518"/>
      <c r="AW34" s="518"/>
      <c r="AX34" s="19"/>
      <c r="AY34" s="297"/>
      <c r="AZ34" s="297"/>
      <c r="BA34" s="297"/>
      <c r="BB34" s="297"/>
      <c r="BC34" s="297"/>
      <c r="BD34" s="297"/>
      <c r="BE34" s="297"/>
      <c r="BG34" s="547" t="str">
        <f ca="1">Horarios!Q33</f>
        <v>Marruecos</v>
      </c>
      <c r="BH34" s="548">
        <f t="shared" ca="1" si="0"/>
        <v>1</v>
      </c>
      <c r="BI34" s="548">
        <f ca="1">COUNTIF(ADMIN!$M$130:$M$161,Fixture!BG34)-BJ34-BK34-BL34-BM34-BN34-BO34</f>
        <v>0</v>
      </c>
      <c r="BJ34" s="549">
        <f ca="1">COUNTIF(ADMIN!$M$182:$M$197,Fixture!BG34)-BK34-BL34-BM34-BN34-BO34</f>
        <v>0</v>
      </c>
      <c r="BK34" s="550">
        <f ca="1">COUNTIF(ADMIN!$M$210:$M$217,Fixture!BG34)-BL34-BM34-BN34-BO34</f>
        <v>0</v>
      </c>
      <c r="BL34" s="550">
        <f ca="1">COUNTIF(ADMIN!$M$226:$M$229,BG34)-BM34-BN34-BO34</f>
        <v>0</v>
      </c>
      <c r="BM34" s="548">
        <f ca="1">COUNTIF(ADMIN!$M$252,Fixture!BG34)</f>
        <v>0</v>
      </c>
      <c r="BN34" s="548">
        <f ca="1">COUNTIF(ADMIN!$M$251,Fixture!BG34)</f>
        <v>0</v>
      </c>
      <c r="BO34" s="551">
        <f ca="1">COUNTIF(ADMIN!$M$250,Fixture!BG34)</f>
        <v>0</v>
      </c>
    </row>
    <row r="35" spans="1:67">
      <c r="A35" s="19">
        <v>10</v>
      </c>
      <c r="B35" s="643" t="s">
        <v>3</v>
      </c>
      <c r="C35" s="502" t="str">
        <f ca="1">+MID(INDEX(WORLDCUP!$AA$4:$AA$147,MATCH(A35,WORLDCUP!$AH$4:$AH$147,0)),1,3)</f>
        <v>Ale</v>
      </c>
      <c r="D35" s="503">
        <f>IF(ISBLANK(INDEX(WORLDCUP!$AC$4:$AC$147,MATCH(A35,WORLDCUP!$AH$4:$AH$147,0))),"",INDEX(WORLDCUP!$AC$4:$AC$147,MATCH(A35,WORLDCUP!$AH$4:$AH$147,0)))</f>
        <v>7</v>
      </c>
      <c r="E35" s="503">
        <f>IF(ISBLANK(INDEX(WORLDCUP!$AD$4:$AD$147,MATCH(A35,WORLDCUP!$AH$4:$AH$147,0))),"",INDEX(WORLDCUP!$AD$4:$AD$147,MATCH(A35,WORLDCUP!$AH$4:$AH$147,0)))</f>
        <v>1</v>
      </c>
      <c r="F35" s="504" t="str">
        <f ca="1">+MID(INDEX(WORLDCUP!$AF$4:$AF$147,MATCH(A35,WORLDCUP!$AH$4:$AH$147,0)),1,3)</f>
        <v>Cur</v>
      </c>
      <c r="G35" s="505"/>
      <c r="H35" s="506" t="str">
        <f>+H27</f>
        <v>Sel</v>
      </c>
      <c r="I35" s="507" t="str">
        <f>+I27</f>
        <v>Pts</v>
      </c>
      <c r="J35" s="507" t="str">
        <f>+J27</f>
        <v>DG</v>
      </c>
      <c r="K35" s="508" t="str">
        <f>+K27</f>
        <v>GF-GC</v>
      </c>
      <c r="L35" s="19"/>
      <c r="M35" s="19">
        <v>23</v>
      </c>
      <c r="N35" s="644" t="s">
        <v>439</v>
      </c>
      <c r="O35" s="502" t="str">
        <f ca="1">+MID(INDEX(WORLDCUP!$AA$4:$AA$147,MATCH(M35,WORLDCUP!$AH$4:$AH$147,0)),1,3)</f>
        <v>Por</v>
      </c>
      <c r="P35" s="503">
        <f>IF(ISBLANK(INDEX(WORLDCUP!$AC$4:$AC$147,MATCH(M35,WORLDCUP!$AH$4:$AH$147,0))),"",INDEX(WORLDCUP!$AC$4:$AC$147,MATCH(M35,WORLDCUP!$AH$4:$AH$147,0)))</f>
        <v>1</v>
      </c>
      <c r="Q35" s="503">
        <f>IF(ISBLANK(INDEX(WORLDCUP!$AD$4:$AD$147,MATCH(M35,WORLDCUP!$AH$4:$AH$147,0))),"",INDEX(WORLDCUP!$AD$4:$AD$147,MATCH(M35,WORLDCUP!$AH$4:$AH$147,0)))</f>
        <v>1</v>
      </c>
      <c r="R35" s="504" t="str">
        <f ca="1">+MID(INDEX(WORLDCUP!$AF$4:$AF$147,MATCH(M35,WORLDCUP!$AH$4:$AH$147,0)),1,3)</f>
        <v xml:space="preserve">RD </v>
      </c>
      <c r="S35" s="505"/>
      <c r="T35" s="506" t="str">
        <f>+T27</f>
        <v>Sel</v>
      </c>
      <c r="U35" s="507" t="str">
        <f>+U27</f>
        <v>Pts</v>
      </c>
      <c r="V35" s="507" t="str">
        <f>+V27</f>
        <v>DG</v>
      </c>
      <c r="W35" s="508" t="str">
        <f>+W27</f>
        <v>GF-GC</v>
      </c>
      <c r="X35" s="19"/>
      <c r="Y35" s="19"/>
      <c r="Z35" s="510"/>
      <c r="AA35" s="554"/>
      <c r="AB35" s="554"/>
      <c r="AC35" s="555"/>
      <c r="AD35" s="19">
        <v>92</v>
      </c>
      <c r="AE35" s="541" t="str">
        <f>+MID(INDEX(WORLDCUP!$AF$101:$AF$147,MATCH(AD35,WORLDCUP!$Z$101:$Z$147,0)),1,3)</f>
        <v>W80</v>
      </c>
      <c r="AF35" s="542" t="str">
        <f>+IF(ISBLANK(INDEX(WORLDCUP!$AD$101:$AD$147,MATCH(AD35,WORLDCUP!$Z$101:$Z$147,0))),"",INDEX(WORLDCUP!$AD$101:$AD$147,MATCH(AD35,WORLDCUP!$Z$101:$Z$147,0)))</f>
        <v/>
      </c>
      <c r="AG35" s="559" t="str">
        <f>+IF(ISBLANK(INDEX(WORLDCUP!$AE$101:$AE$147,MATCH(AD35,WORLDCUP!$Z$101:$Z$147,0))),"","( "&amp;INDEX(WORLDCUP!$AE$101:$AE$147,MATCH(AD35,WORLDCUP!$Z$101:$Z$147,0))&amp;" )")</f>
        <v/>
      </c>
      <c r="AH35" s="19"/>
      <c r="AI35" s="544"/>
      <c r="AJ35" s="544"/>
      <c r="AK35" s="583"/>
      <c r="AL35" s="92"/>
      <c r="AM35" s="516"/>
      <c r="AN35" s="645"/>
      <c r="AO35" s="597"/>
      <c r="AP35" s="92"/>
      <c r="AQ35" s="545"/>
      <c r="AR35" s="545"/>
      <c r="AS35" s="545"/>
      <c r="AT35" s="19"/>
      <c r="AU35" s="518"/>
      <c r="AV35" s="518"/>
      <c r="AW35" s="518"/>
      <c r="AX35" s="19"/>
      <c r="AY35" s="297"/>
      <c r="AZ35" s="297"/>
      <c r="BA35" s="297"/>
      <c r="BB35" s="297"/>
      <c r="BC35" s="297"/>
      <c r="BD35" s="297"/>
      <c r="BE35" s="297"/>
      <c r="BG35" s="547" t="str">
        <f ca="1">Horarios!Q34</f>
        <v>México</v>
      </c>
      <c r="BH35" s="548">
        <f t="shared" ca="1" si="0"/>
        <v>1</v>
      </c>
      <c r="BI35" s="548">
        <f ca="1">COUNTIF(ADMIN!$M$130:$M$161,Fixture!BG35)-BJ35-BK35-BL35-BM35-BN35-BO35</f>
        <v>0</v>
      </c>
      <c r="BJ35" s="549">
        <f ca="1">COUNTIF(ADMIN!$M$182:$M$197,Fixture!BG35)-BK35-BL35-BM35-BN35-BO35</f>
        <v>0</v>
      </c>
      <c r="BK35" s="550">
        <f ca="1">COUNTIF(ADMIN!$M$210:$M$217,Fixture!BG35)-BL35-BM35-BN35-BO35</f>
        <v>0</v>
      </c>
      <c r="BL35" s="550">
        <f ca="1">COUNTIF(ADMIN!$M$226:$M$229,BG35)-BM35-BN35-BO35</f>
        <v>0</v>
      </c>
      <c r="BM35" s="548">
        <f ca="1">COUNTIF(ADMIN!$M$252,Fixture!BG35)</f>
        <v>0</v>
      </c>
      <c r="BN35" s="548">
        <f ca="1">COUNTIF(ADMIN!$M$251,Fixture!BG35)</f>
        <v>0</v>
      </c>
      <c r="BO35" s="551">
        <f ca="1">COUNTIF(ADMIN!$M$250,Fixture!BG35)</f>
        <v>0</v>
      </c>
    </row>
    <row r="36" spans="1:67" ht="15" thickBot="1">
      <c r="A36" s="19">
        <v>9</v>
      </c>
      <c r="B36" s="646"/>
      <c r="C36" s="529" t="str">
        <f ca="1">+MID(INDEX(WORLDCUP!$AA$4:$AA$147,MATCH(A36,WORLDCUP!$AH$4:$AH$147,0)),1,3)</f>
        <v>Cos</v>
      </c>
      <c r="D36" s="530">
        <f>IF(ISBLANK(INDEX(WORLDCUP!$AC$4:$AC$147,MATCH(A36,WORLDCUP!$AH$4:$AH$147,0))),"",INDEX(WORLDCUP!$AC$4:$AC$147,MATCH(A36,WORLDCUP!$AH$4:$AH$147,0)))</f>
        <v>1</v>
      </c>
      <c r="E36" s="530">
        <f>IF(ISBLANK(INDEX(WORLDCUP!$AD$4:$AD$147,MATCH(A36,WORLDCUP!$AH$4:$AH$147,0))),"",INDEX(WORLDCUP!$AD$4:$AD$147,MATCH(A36,WORLDCUP!$AH$4:$AH$147,0)))</f>
        <v>0</v>
      </c>
      <c r="F36" s="531" t="str">
        <f ca="1">+MID(INDEX(WORLDCUP!$AF$4:$AF$147,MATCH(A36,WORLDCUP!$AH$4:$AH$147,0)),1,3)</f>
        <v>Ecu</v>
      </c>
      <c r="G36" s="532">
        <v>1</v>
      </c>
      <c r="H36" s="533" t="str">
        <f ca="1">+MID(INDEX(WORLDCUP!$AL$6:$AL$97,MATCH(L36,WORLDCUP!$AI$6:$AI$97,0)),1,3)</f>
        <v>Ale</v>
      </c>
      <c r="I36" s="534">
        <f ca="1">+INDEX(WORLDCUP!$AM$6:$AM$97,MATCH(L36,WORLDCUP!$AI$6:$AI$97,0))</f>
        <v>3</v>
      </c>
      <c r="J36" s="535">
        <f ca="1">+INDEX(WORLDCUP!$AT$6:$AT$97,MATCH(L36,WORLDCUP!$AI$6:$AI$97,0))</f>
        <v>6</v>
      </c>
      <c r="K36" s="536" t="str">
        <f ca="1">+INDEX(WORLDCUP!$AR$6:$AR$97,MATCH(L36,WORLDCUP!$AI$6:$AI$97,0))&amp;"-"&amp;INDEX(WORLDCUP!$AS$6:$AS$97,MATCH(L36,WORLDCUP!$AI$6:$AI$97,0))</f>
        <v>7-1</v>
      </c>
      <c r="L36" s="19" t="s">
        <v>661</v>
      </c>
      <c r="M36" s="19">
        <v>24</v>
      </c>
      <c r="N36" s="647"/>
      <c r="O36" s="529" t="str">
        <f ca="1">+MID(INDEX(WORLDCUP!$AA$4:$AA$147,MATCH(M36,WORLDCUP!$AH$4:$AH$147,0)),1,3)</f>
        <v>Uzb</v>
      </c>
      <c r="P36" s="530">
        <f>IF(ISBLANK(INDEX(WORLDCUP!$AC$4:$AC$147,MATCH(M36,WORLDCUP!$AH$4:$AH$147,0))),"",INDEX(WORLDCUP!$AC$4:$AC$147,MATCH(M36,WORLDCUP!$AH$4:$AH$147,0)))</f>
        <v>1</v>
      </c>
      <c r="Q36" s="530">
        <f>IF(ISBLANK(INDEX(WORLDCUP!$AD$4:$AD$147,MATCH(M36,WORLDCUP!$AH$4:$AH$147,0))),"",INDEX(WORLDCUP!$AD$4:$AD$147,MATCH(M36,WORLDCUP!$AH$4:$AH$147,0)))</f>
        <v>3</v>
      </c>
      <c r="R36" s="531" t="str">
        <f ca="1">+MID(INDEX(WORLDCUP!$AF$4:$AF$147,MATCH(M36,WORLDCUP!$AH$4:$AH$147,0)),1,3)</f>
        <v>Col</v>
      </c>
      <c r="S36" s="532">
        <v>1</v>
      </c>
      <c r="T36" s="533" t="str">
        <f ca="1">+MID(INDEX(WORLDCUP!$AL$6:$AL$97,MATCH(X36,WORLDCUP!$AI$6:$AI$97,0)),1,3)</f>
        <v>Col</v>
      </c>
      <c r="U36" s="534">
        <f ca="1">+INDEX(WORLDCUP!$AM$6:$AM$97,MATCH(X36,WORLDCUP!$AI$6:$AI$97,0))</f>
        <v>3</v>
      </c>
      <c r="V36" s="535">
        <f ca="1">+INDEX(WORLDCUP!$AT$6:$AT$97,MATCH(X36,WORLDCUP!$AI$6:$AI$97,0))</f>
        <v>2</v>
      </c>
      <c r="W36" s="536" t="str">
        <f ca="1">+INDEX(WORLDCUP!$AR$6:$AR$97,MATCH(X36,WORLDCUP!$AI$6:$AI$97,0))&amp;"-"&amp;INDEX(WORLDCUP!$AS$6:$AS$97,MATCH(X36,WORLDCUP!$AI$6:$AI$97,0))</f>
        <v>3-1</v>
      </c>
      <c r="X36" s="19" t="s">
        <v>679</v>
      </c>
      <c r="Y36" s="19">
        <v>80</v>
      </c>
      <c r="Z36" s="510" t="s">
        <v>682</v>
      </c>
      <c r="AA36" s="511" t="str">
        <f ca="1">+MID(INDEX(WORLDCUP!$AA$101:$AA$147,MATCH(Y36,WORLDCUP!$Z$101:$Z$147,0)),1,3)</f>
        <v>1L</v>
      </c>
      <c r="AB36" s="557" t="str">
        <f>+IF(ISBLANK(INDEX(WORLDCUP!$AC$101:$AC$147,MATCH(Y36,WORLDCUP!$Z$101:$Z$147,0))),"",INDEX(WORLDCUP!$AC$101:$AC$147,MATCH(Y36,WORLDCUP!$Z$101:$Z$147,0)))</f>
        <v/>
      </c>
      <c r="AC36" s="591" t="str">
        <f>+IF(ISBLANK(INDEX(WORLDCUP!$AB$101:$AB$147,MATCH(Y36,WORLDCUP!$Z$101:$Z$147,0))),"","( "&amp;INDEX(WORLDCUP!$AB$101:$AB$147,MATCH(Y36,WORLDCUP!$Z$101:$Z$147,0))&amp;" )")</f>
        <v/>
      </c>
      <c r="AD36" s="19"/>
      <c r="AE36" s="514"/>
      <c r="AF36" s="514"/>
      <c r="AG36" s="514"/>
      <c r="AH36" s="19"/>
      <c r="AI36" s="544"/>
      <c r="AJ36" s="544"/>
      <c r="AK36" s="583"/>
      <c r="AL36" s="92"/>
      <c r="AM36" s="516"/>
      <c r="AN36" s="516"/>
      <c r="AO36" s="597"/>
      <c r="AP36" s="92"/>
      <c r="AQ36" s="545"/>
      <c r="AR36" s="545"/>
      <c r="AS36" s="545"/>
      <c r="AT36" s="19"/>
      <c r="AU36" s="518"/>
      <c r="AV36" s="518"/>
      <c r="AW36" s="518"/>
      <c r="AX36" s="19"/>
      <c r="AY36" s="297"/>
      <c r="AZ36" s="297"/>
      <c r="BA36" s="297"/>
      <c r="BB36" s="297"/>
      <c r="BC36" s="297"/>
      <c r="BD36" s="297"/>
      <c r="BE36" s="297"/>
      <c r="BG36" s="547" t="str">
        <f ca="1">Horarios!Q35</f>
        <v>Noruega</v>
      </c>
      <c r="BH36" s="548">
        <f t="shared" ca="1" si="0"/>
        <v>1</v>
      </c>
      <c r="BI36" s="548">
        <f ca="1">COUNTIF(ADMIN!$M$130:$M$161,Fixture!BG36)-BJ36-BK36-BL36-BM36-BN36-BO36</f>
        <v>0</v>
      </c>
      <c r="BJ36" s="549">
        <f ca="1">COUNTIF(ADMIN!$M$182:$M$197,Fixture!BG36)-BK36-BL36-BM36-BN36-BO36</f>
        <v>0</v>
      </c>
      <c r="BK36" s="550">
        <f ca="1">COUNTIF(ADMIN!$M$210:$M$217,Fixture!BG36)-BL36-BM36-BN36-BO36</f>
        <v>0</v>
      </c>
      <c r="BL36" s="550">
        <f ca="1">COUNTIF(ADMIN!$M$226:$M$229,BG36)-BM36-BN36-BO36</f>
        <v>0</v>
      </c>
      <c r="BM36" s="548">
        <f ca="1">COUNTIF(ADMIN!$M$252,Fixture!BG36)</f>
        <v>0</v>
      </c>
      <c r="BN36" s="548">
        <f ca="1">COUNTIF(ADMIN!$M$251,Fixture!BG36)</f>
        <v>0</v>
      </c>
      <c r="BO36" s="551">
        <f ca="1">COUNTIF(ADMIN!$M$250,Fixture!BG36)</f>
        <v>0</v>
      </c>
    </row>
    <row r="37" spans="1:67" ht="15" thickBot="1">
      <c r="A37" s="19">
        <v>33</v>
      </c>
      <c r="B37" s="646"/>
      <c r="C37" s="529" t="str">
        <f ca="1">+MID(INDEX(WORLDCUP!$AA$4:$AA$147,MATCH(A37,WORLDCUP!$AH$4:$AH$147,0)),1,3)</f>
        <v>Ale</v>
      </c>
      <c r="D37" s="530" t="str">
        <f>IF(ISBLANK(INDEX(WORLDCUP!$AC$4:$AC$147,MATCH(A37,WORLDCUP!$AH$4:$AH$147,0))),"",INDEX(WORLDCUP!$AC$4:$AC$147,MATCH(A37,WORLDCUP!$AH$4:$AH$147,0)))</f>
        <v/>
      </c>
      <c r="E37" s="530" t="str">
        <f>IF(ISBLANK(INDEX(WORLDCUP!$AD$4:$AD$147,MATCH(A37,WORLDCUP!$AH$4:$AH$147,0))),"",INDEX(WORLDCUP!$AD$4:$AD$147,MATCH(A37,WORLDCUP!$AH$4:$AH$147,0)))</f>
        <v/>
      </c>
      <c r="F37" s="531" t="str">
        <f ca="1">+MID(INDEX(WORLDCUP!$AF$4:$AF$147,MATCH(A37,WORLDCUP!$AH$4:$AH$147,0)),1,3)</f>
        <v>Cos</v>
      </c>
      <c r="G37" s="552">
        <v>2</v>
      </c>
      <c r="H37" s="553" t="str">
        <f ca="1">+MID(INDEX(WORLDCUP!$AL$6:$AL$97,MATCH(L37,WORLDCUP!$AI$6:$AI$97,0)),1,3)</f>
        <v>Cos</v>
      </c>
      <c r="I37" s="223">
        <f ca="1">+INDEX(WORLDCUP!$AM$6:$AM$97,MATCH(L37,WORLDCUP!$AI$6:$AI$97,0))</f>
        <v>3</v>
      </c>
      <c r="J37" s="224">
        <f ca="1">+INDEX(WORLDCUP!$AT$6:$AT$97,MATCH(L37,WORLDCUP!$AI$6:$AI$97,0))</f>
        <v>1</v>
      </c>
      <c r="K37" s="225" t="str">
        <f ca="1">+INDEX(WORLDCUP!$AR$6:$AR$97,MATCH(L37,WORLDCUP!$AI$6:$AI$97,0))&amp;"-"&amp;INDEX(WORLDCUP!$AS$6:$AS$97,MATCH(L37,WORLDCUP!$AI$6:$AI$97,0))</f>
        <v>1-0</v>
      </c>
      <c r="L37" s="19" t="s">
        <v>662</v>
      </c>
      <c r="M37" s="19">
        <v>47</v>
      </c>
      <c r="N37" s="647"/>
      <c r="O37" s="529" t="str">
        <f ca="1">+MID(INDEX(WORLDCUP!$AA$4:$AA$147,MATCH(M37,WORLDCUP!$AH$4:$AH$147,0)),1,3)</f>
        <v>Por</v>
      </c>
      <c r="P37" s="530" t="str">
        <f>IF(ISBLANK(INDEX(WORLDCUP!$AC$4:$AC$147,MATCH(M37,WORLDCUP!$AH$4:$AH$147,0))),"",INDEX(WORLDCUP!$AC$4:$AC$147,MATCH(M37,WORLDCUP!$AH$4:$AH$147,0)))</f>
        <v/>
      </c>
      <c r="Q37" s="530" t="str">
        <f>IF(ISBLANK(INDEX(WORLDCUP!$AD$4:$AD$147,MATCH(M37,WORLDCUP!$AH$4:$AH$147,0))),"",INDEX(WORLDCUP!$AD$4:$AD$147,MATCH(M37,WORLDCUP!$AH$4:$AH$147,0)))</f>
        <v/>
      </c>
      <c r="R37" s="531" t="str">
        <f ca="1">+MID(INDEX(WORLDCUP!$AF$4:$AF$147,MATCH(M37,WORLDCUP!$AH$4:$AH$147,0)),1,3)</f>
        <v>Uzb</v>
      </c>
      <c r="S37" s="552">
        <v>2</v>
      </c>
      <c r="T37" s="553" t="str">
        <f ca="1">+MID(INDEX(WORLDCUP!$AL$6:$AL$97,MATCH(X37,WORLDCUP!$AI$6:$AI$97,0)),1,3)</f>
        <v>Por</v>
      </c>
      <c r="U37" s="223">
        <f ca="1">+INDEX(WORLDCUP!$AM$6:$AM$97,MATCH(X37,WORLDCUP!$AI$6:$AI$97,0))</f>
        <v>1</v>
      </c>
      <c r="V37" s="224">
        <f ca="1">+INDEX(WORLDCUP!$AT$6:$AT$97,MATCH(X37,WORLDCUP!$AI$6:$AI$97,0))</f>
        <v>0</v>
      </c>
      <c r="W37" s="225" t="str">
        <f ca="1">+INDEX(WORLDCUP!$AR$6:$AR$97,MATCH(X37,WORLDCUP!$AI$6:$AI$97,0))&amp;"-"&amp;INDEX(WORLDCUP!$AS$6:$AS$97,MATCH(X37,WORLDCUP!$AI$6:$AI$97,0))</f>
        <v>1-1</v>
      </c>
      <c r="X37" s="19" t="s">
        <v>680</v>
      </c>
      <c r="Y37" s="19">
        <v>80</v>
      </c>
      <c r="Z37" s="510" t="s">
        <v>725</v>
      </c>
      <c r="AA37" s="565" t="str">
        <f ca="1">+MID(INDEX(WORLDCUP!$AF$101:$AF$147,MATCH(Y37,WORLDCUP!$Z$101:$Z$147,0)),1,IF(WORLDCUP!$H$113&lt;144,6,3))</f>
        <v>3EHIJK</v>
      </c>
      <c r="AB37" s="566" t="str">
        <f>+IF(ISBLANK(INDEX(WORLDCUP!$AD$101:$AD$147,MATCH(Y37,WORLDCUP!$Z$101:$Z$147,0))),"",INDEX(WORLDCUP!$AD$101:$AD$147,MATCH(Y37,WORLDCUP!$Z$101:$Z$147,0)))</f>
        <v/>
      </c>
      <c r="AC37" s="592" t="str">
        <f>+IF(ISBLANK(INDEX(WORLDCUP!$AE$101:$AE$147,MATCH(Y37,WORLDCUP!$Z$101:$Z$147,0))),"","( "&amp;INDEX(WORLDCUP!$AE$101:$AE$147,MATCH(Y37,WORLDCUP!$Z$101:$Z$147,0))&amp;" )")</f>
        <v/>
      </c>
      <c r="AD37" s="19"/>
      <c r="AE37" s="514"/>
      <c r="AF37" s="514"/>
      <c r="AG37" s="514"/>
      <c r="AH37" s="19"/>
      <c r="AI37" s="544"/>
      <c r="AJ37" s="544"/>
      <c r="AK37" s="583"/>
      <c r="AL37" s="584">
        <v>102</v>
      </c>
      <c r="AM37" s="593" t="str">
        <f>+MID(INDEX(WORLDCUP!$AA$101:$AA$147,MATCH(AL37,WORLDCUP!$Z$101:$Z$147,0)),1,3)</f>
        <v>W99</v>
      </c>
      <c r="AN37" s="594" t="str">
        <f>+IF(ISBLANK(INDEX(WORLDCUP!$AC$101:$AC$147,MATCH(AL37,WORLDCUP!$Z$101:$Z$147,0))),"",INDEX(WORLDCUP!$AC$101:$AC$147,MATCH(AL37,WORLDCUP!$Z$101:$Z$147,0)))</f>
        <v/>
      </c>
      <c r="AO37" s="648" t="str">
        <f>+IF(ISBLANK(INDEX(WORLDCUP!$AB$101:$AB$147,MATCH(AL37,WORLDCUP!$Z$101:$Z$147,0))),"","( "&amp;INDEX(WORLDCUP!$AB$101:$AB$147,MATCH(AL37,WORLDCUP!$Z$101:$Z$147,0))&amp;" )")</f>
        <v/>
      </c>
      <c r="AP37" s="19"/>
      <c r="AQ37" s="545"/>
      <c r="AR37" s="545"/>
      <c r="AS37" s="545"/>
      <c r="AT37" s="19"/>
      <c r="AU37" s="518"/>
      <c r="AV37" s="518"/>
      <c r="AW37" s="518"/>
      <c r="AX37" s="19"/>
      <c r="AY37" s="297"/>
      <c r="AZ37" s="297"/>
      <c r="BA37" s="297"/>
      <c r="BB37" s="297"/>
      <c r="BC37" s="297"/>
      <c r="BD37" s="297"/>
      <c r="BE37" s="297"/>
      <c r="BG37" s="547" t="str">
        <f ca="1">Horarios!Q36</f>
        <v>Nueva Zelanda</v>
      </c>
      <c r="BH37" s="548">
        <f t="shared" ca="1" si="0"/>
        <v>1</v>
      </c>
      <c r="BI37" s="548">
        <f ca="1">COUNTIF(ADMIN!$M$130:$M$161,Fixture!BG37)-BJ37-BK37-BL37-BM37-BN37-BO37</f>
        <v>0</v>
      </c>
      <c r="BJ37" s="549">
        <f ca="1">COUNTIF(ADMIN!$M$182:$M$197,Fixture!BG37)-BK37-BL37-BM37-BN37-BO37</f>
        <v>0</v>
      </c>
      <c r="BK37" s="550">
        <f ca="1">COUNTIF(ADMIN!$M$210:$M$217,Fixture!BG37)-BL37-BM37-BN37-BO37</f>
        <v>0</v>
      </c>
      <c r="BL37" s="550">
        <f ca="1">COUNTIF(ADMIN!$M$226:$M$229,BG37)-BM37-BN37-BO37</f>
        <v>0</v>
      </c>
      <c r="BM37" s="548">
        <f ca="1">COUNTIF(ADMIN!$M$252,Fixture!BG37)</f>
        <v>0</v>
      </c>
      <c r="BN37" s="548">
        <f ca="1">COUNTIF(ADMIN!$M$251,Fixture!BG37)</f>
        <v>0</v>
      </c>
      <c r="BO37" s="551">
        <f ca="1">COUNTIF(ADMIN!$M$250,Fixture!BG37)</f>
        <v>0</v>
      </c>
    </row>
    <row r="38" spans="1:67">
      <c r="A38" s="19">
        <v>34</v>
      </c>
      <c r="B38" s="646"/>
      <c r="C38" s="529" t="str">
        <f ca="1">+MID(INDEX(WORLDCUP!$AA$4:$AA$147,MATCH(A38,WORLDCUP!$AH$4:$AH$147,0)),1,3)</f>
        <v>Ecu</v>
      </c>
      <c r="D38" s="530" t="str">
        <f>IF(ISBLANK(INDEX(WORLDCUP!$AC$4:$AC$147,MATCH(A38,WORLDCUP!$AH$4:$AH$147,0))),"",INDEX(WORLDCUP!$AC$4:$AC$147,MATCH(A38,WORLDCUP!$AH$4:$AH$147,0)))</f>
        <v/>
      </c>
      <c r="E38" s="530" t="str">
        <f>IF(ISBLANK(INDEX(WORLDCUP!$AD$4:$AD$147,MATCH(A38,WORLDCUP!$AH$4:$AH$147,0))),"",INDEX(WORLDCUP!$AD$4:$AD$147,MATCH(A38,WORLDCUP!$AH$4:$AH$147,0)))</f>
        <v/>
      </c>
      <c r="F38" s="531" t="str">
        <f ca="1">+MID(INDEX(WORLDCUP!$AF$4:$AF$147,MATCH(A38,WORLDCUP!$AH$4:$AH$147,0)),1,3)</f>
        <v>Cur</v>
      </c>
      <c r="G38" s="552">
        <v>3</v>
      </c>
      <c r="H38" s="553" t="str">
        <f ca="1">+MID(INDEX(WORLDCUP!$AL$6:$AL$97,MATCH(L38,WORLDCUP!$AI$6:$AI$97,0)),1,3)</f>
        <v>Ecu</v>
      </c>
      <c r="I38" s="223">
        <f ca="1">+INDEX(WORLDCUP!$AM$6:$AM$97,MATCH(L38,WORLDCUP!$AI$6:$AI$97,0))</f>
        <v>0</v>
      </c>
      <c r="J38" s="224">
        <f ca="1">+INDEX(WORLDCUP!$AT$6:$AT$97,MATCH(L38,WORLDCUP!$AI$6:$AI$97,0))</f>
        <v>-1</v>
      </c>
      <c r="K38" s="225" t="str">
        <f ca="1">+INDEX(WORLDCUP!$AR$6:$AR$97,MATCH(L38,WORLDCUP!$AI$6:$AI$97,0))&amp;"-"&amp;INDEX(WORLDCUP!$AS$6:$AS$97,MATCH(L38,WORLDCUP!$AI$6:$AI$97,0))</f>
        <v>0-1</v>
      </c>
      <c r="L38" s="19" t="s">
        <v>93</v>
      </c>
      <c r="M38" s="19">
        <v>48</v>
      </c>
      <c r="N38" s="647"/>
      <c r="O38" s="529" t="str">
        <f ca="1">+MID(INDEX(WORLDCUP!$AA$4:$AA$147,MATCH(M38,WORLDCUP!$AH$4:$AH$147,0)),1,3)</f>
        <v>Col</v>
      </c>
      <c r="P38" s="530" t="str">
        <f>IF(ISBLANK(INDEX(WORLDCUP!$AC$4:$AC$147,MATCH(M38,WORLDCUP!$AH$4:$AH$147,0))),"",INDEX(WORLDCUP!$AC$4:$AC$147,MATCH(M38,WORLDCUP!$AH$4:$AH$147,0)))</f>
        <v/>
      </c>
      <c r="Q38" s="530" t="str">
        <f>IF(ISBLANK(INDEX(WORLDCUP!$AD$4:$AD$147,MATCH(M38,WORLDCUP!$AH$4:$AH$147,0))),"",INDEX(WORLDCUP!$AD$4:$AD$147,MATCH(M38,WORLDCUP!$AH$4:$AH$147,0)))</f>
        <v/>
      </c>
      <c r="R38" s="531" t="str">
        <f ca="1">+MID(INDEX(WORLDCUP!$AF$4:$AF$147,MATCH(M38,WORLDCUP!$AH$4:$AH$147,0)),1,3)</f>
        <v xml:space="preserve">RD </v>
      </c>
      <c r="S38" s="552">
        <v>3</v>
      </c>
      <c r="T38" s="553" t="str">
        <f ca="1">+MID(INDEX(WORLDCUP!$AL$6:$AL$97,MATCH(X38,WORLDCUP!$AI$6:$AI$97,0)),1,3)</f>
        <v xml:space="preserve">RD </v>
      </c>
      <c r="U38" s="223">
        <f ca="1">+INDEX(WORLDCUP!$AM$6:$AM$97,MATCH(X38,WORLDCUP!$AI$6:$AI$97,0))</f>
        <v>1</v>
      </c>
      <c r="V38" s="224">
        <f ca="1">+INDEX(WORLDCUP!$AT$6:$AT$97,MATCH(X38,WORLDCUP!$AI$6:$AI$97,0))</f>
        <v>0</v>
      </c>
      <c r="W38" s="225" t="str">
        <f ca="1">+INDEX(WORLDCUP!$AR$6:$AR$97,MATCH(X38,WORLDCUP!$AI$6:$AI$97,0))&amp;"-"&amp;INDEX(WORLDCUP!$AS$6:$AS$97,MATCH(X38,WORLDCUP!$AI$6:$AI$97,0))</f>
        <v>1-1</v>
      </c>
      <c r="X38" s="19" t="s">
        <v>442</v>
      </c>
      <c r="Y38" s="19"/>
      <c r="Z38" s="510"/>
      <c r="AA38" s="579"/>
      <c r="AB38" s="579"/>
      <c r="AC38" s="579"/>
      <c r="AD38" s="19"/>
      <c r="AE38" s="514"/>
      <c r="AF38" s="514"/>
      <c r="AG38" s="514"/>
      <c r="AH38" s="19"/>
      <c r="AI38" s="544"/>
      <c r="AJ38" s="544"/>
      <c r="AK38" s="583"/>
      <c r="AL38" s="19">
        <v>102</v>
      </c>
      <c r="AM38" s="593" t="str" cm="1">
        <f t="array" ref="AM38">+MID(INDEX(WORLDCUP!$AF$101:$AF$147,MATCH(AL38,WORLDCUP!$Z$101:$Z$147,0)),1,IF(OR(ISBLANK(AC86:AD86)),4,3))</f>
        <v>W100</v>
      </c>
      <c r="AN38" s="594" t="str">
        <f>+IF(ISBLANK(INDEX(WORLDCUP!$AD$101:$AD$147,MATCH(AL38,WORLDCUP!$Z$101:$Z$147,0))),"",INDEX(WORLDCUP!$AD$101:$AD$147,MATCH(AL38,WORLDCUP!$Z$101:$Z$147,0)))</f>
        <v/>
      </c>
      <c r="AO38" s="516" t="str">
        <f>+IF(ISBLANK(INDEX(WORLDCUP!$AE$101:$AE$147,MATCH(AL38,WORLDCUP!$Z$101:$Z$147,0))),"","( "&amp;INDEX(WORLDCUP!$AE$101:$AE$147,MATCH(AL38,WORLDCUP!$Z$101:$Z$147,0))&amp;" )")</f>
        <v/>
      </c>
      <c r="AP38" s="19"/>
      <c r="AQ38" s="545"/>
      <c r="AR38" s="545"/>
      <c r="AS38" s="545"/>
      <c r="AT38" s="19"/>
      <c r="AU38" s="518"/>
      <c r="AV38" s="518"/>
      <c r="AW38" s="518"/>
      <c r="AX38" s="19"/>
      <c r="AY38" s="297"/>
      <c r="AZ38" s="297"/>
      <c r="BA38" s="297"/>
      <c r="BB38" s="297"/>
      <c r="BC38" s="297"/>
      <c r="BD38" s="297"/>
      <c r="BE38" s="297"/>
      <c r="BG38" s="547" t="str">
        <f ca="1">Horarios!Q37</f>
        <v>Países Bajos</v>
      </c>
      <c r="BH38" s="548">
        <f t="shared" ca="1" si="0"/>
        <v>1</v>
      </c>
      <c r="BI38" s="548">
        <f ca="1">COUNTIF(ADMIN!$M$130:$M$161,Fixture!BG38)-BJ38-BK38-BL38-BM38-BN38-BO38</f>
        <v>0</v>
      </c>
      <c r="BJ38" s="549">
        <f ca="1">COUNTIF(ADMIN!$M$182:$M$197,Fixture!BG38)-BK38-BL38-BM38-BN38-BO38</f>
        <v>0</v>
      </c>
      <c r="BK38" s="550">
        <f ca="1">COUNTIF(ADMIN!$M$210:$M$217,Fixture!BG38)-BL38-BM38-BN38-BO38</f>
        <v>0</v>
      </c>
      <c r="BL38" s="550">
        <f ca="1">COUNTIF(ADMIN!$M$226:$M$229,BG38)-BM38-BN38-BO38</f>
        <v>0</v>
      </c>
      <c r="BM38" s="548">
        <f ca="1">COUNTIF(ADMIN!$M$252,Fixture!BG38)</f>
        <v>0</v>
      </c>
      <c r="BN38" s="548">
        <f ca="1">COUNTIF(ADMIN!$M$251,Fixture!BG38)</f>
        <v>0</v>
      </c>
      <c r="BO38" s="551">
        <f ca="1">COUNTIF(ADMIN!$M$250,Fixture!BG38)</f>
        <v>0</v>
      </c>
    </row>
    <row r="39" spans="1:67" ht="15" thickBot="1">
      <c r="A39" s="19">
        <v>55</v>
      </c>
      <c r="B39" s="646"/>
      <c r="C39" s="529" t="str">
        <f ca="1">+MID(INDEX(WORLDCUP!$AA$4:$AA$147,MATCH(A39,WORLDCUP!$AH$4:$AH$147,0)),1,3)</f>
        <v>Cur</v>
      </c>
      <c r="D39" s="530" t="str">
        <f>IF(ISBLANK(INDEX(WORLDCUP!$AC$4:$AC$147,MATCH(A39,WORLDCUP!$AH$4:$AH$147,0))),"",INDEX(WORLDCUP!$AC$4:$AC$147,MATCH(A39,WORLDCUP!$AH$4:$AH$147,0)))</f>
        <v/>
      </c>
      <c r="E39" s="530" t="str">
        <f>IF(ISBLANK(INDEX(WORLDCUP!$AD$4:$AD$147,MATCH(A39,WORLDCUP!$AH$4:$AH$147,0))),"",INDEX(WORLDCUP!$AD$4:$AD$147,MATCH(A39,WORLDCUP!$AH$4:$AH$147,0)))</f>
        <v/>
      </c>
      <c r="F39" s="531" t="str">
        <f ca="1">+MID(INDEX(WORLDCUP!$AF$4:$AF$147,MATCH(A39,WORLDCUP!$AH$4:$AH$147,0)),1,3)</f>
        <v>Cos</v>
      </c>
      <c r="G39" s="552">
        <v>4</v>
      </c>
      <c r="H39" s="561" t="str">
        <f ca="1">+MID(INDEX(WORLDCUP!$AL$6:$AL$97,MATCH(L39,WORLDCUP!$AI$6:$AI$97,0)),1,3)</f>
        <v>Cur</v>
      </c>
      <c r="I39" s="562">
        <f ca="1">+INDEX(WORLDCUP!$AM$6:$AM$97,MATCH(L39,WORLDCUP!$AI$6:$AI$97,0))</f>
        <v>0</v>
      </c>
      <c r="J39" s="563">
        <f ca="1">+INDEX(WORLDCUP!$AT$6:$AT$97,MATCH(L39,WORLDCUP!$AI$6:$AI$97,0))</f>
        <v>-6</v>
      </c>
      <c r="K39" s="564" t="str">
        <f ca="1">+INDEX(WORLDCUP!$AR$6:$AR$97,MATCH(L39,WORLDCUP!$AI$6:$AI$97,0))&amp;"-"&amp;INDEX(WORLDCUP!$AS$6:$AS$97,MATCH(L39,WORLDCUP!$AI$6:$AI$97,0))</f>
        <v>1-7</v>
      </c>
      <c r="L39" s="19" t="s">
        <v>663</v>
      </c>
      <c r="M39" s="19">
        <v>71</v>
      </c>
      <c r="N39" s="647"/>
      <c r="O39" s="529" t="str">
        <f ca="1">+MID(INDEX(WORLDCUP!$AA$4:$AA$147,MATCH(M39,WORLDCUP!$AH$4:$AH$147,0)),1,3)</f>
        <v>Col</v>
      </c>
      <c r="P39" s="530" t="str">
        <f>IF(ISBLANK(INDEX(WORLDCUP!$AC$4:$AC$147,MATCH(M39,WORLDCUP!$AH$4:$AH$147,0))),"",INDEX(WORLDCUP!$AC$4:$AC$147,MATCH(M39,WORLDCUP!$AH$4:$AH$147,0)))</f>
        <v/>
      </c>
      <c r="Q39" s="530" t="str">
        <f>IF(ISBLANK(INDEX(WORLDCUP!$AD$4:$AD$147,MATCH(M39,WORLDCUP!$AH$4:$AH$147,0))),"",INDEX(WORLDCUP!$AD$4:$AD$147,MATCH(M39,WORLDCUP!$AH$4:$AH$147,0)))</f>
        <v/>
      </c>
      <c r="R39" s="531" t="str">
        <f ca="1">+MID(INDEX(WORLDCUP!$AF$4:$AF$147,MATCH(M39,WORLDCUP!$AH$4:$AH$147,0)),1,3)</f>
        <v>Por</v>
      </c>
      <c r="S39" s="552">
        <v>4</v>
      </c>
      <c r="T39" s="561" t="str">
        <f ca="1">+MID(INDEX(WORLDCUP!$AL$6:$AL$97,MATCH(X39,WORLDCUP!$AI$6:$AI$97,0)),1,3)</f>
        <v>Uzb</v>
      </c>
      <c r="U39" s="562">
        <f ca="1">+INDEX(WORLDCUP!$AM$6:$AM$97,MATCH(X39,WORLDCUP!$AI$6:$AI$97,0))</f>
        <v>0</v>
      </c>
      <c r="V39" s="563">
        <f ca="1">+INDEX(WORLDCUP!$AT$6:$AT$97,MATCH(X39,WORLDCUP!$AI$6:$AI$97,0))</f>
        <v>-2</v>
      </c>
      <c r="W39" s="564" t="str">
        <f ca="1">+INDEX(WORLDCUP!$AR$6:$AR$97,MATCH(X39,WORLDCUP!$AI$6:$AI$97,0))&amp;"-"&amp;INDEX(WORLDCUP!$AS$6:$AS$97,MATCH(X39,WORLDCUP!$AI$6:$AI$97,0))</f>
        <v>1-3</v>
      </c>
      <c r="X39" s="19" t="s">
        <v>681</v>
      </c>
      <c r="Y39" s="19">
        <v>86</v>
      </c>
      <c r="Z39" s="510" t="s">
        <v>676</v>
      </c>
      <c r="AA39" s="511" t="str">
        <f ca="1">+MID(INDEX(WORLDCUP!$AA$101:$AA$147,MATCH(Y39,WORLDCUP!$Z$101:$Z$147,0)),1,3)</f>
        <v>1J</v>
      </c>
      <c r="AB39" s="512" t="str">
        <f>+IF(ISBLANK(INDEX(WORLDCUP!$AC$101:$AC$147,MATCH(Y39,WORLDCUP!$Z$101:$Z$147,0))),"",INDEX(WORLDCUP!$AC$101:$AC$147,MATCH(Y39,WORLDCUP!$Z$101:$Z$147,0)))</f>
        <v/>
      </c>
      <c r="AC39" s="582" t="str">
        <f>+IF(ISBLANK(INDEX(WORLDCUP!$AB$101:$AB$147,MATCH(Y39,WORLDCUP!$Z$101:$Z$147,0))),"","( "&amp;INDEX(WORLDCUP!$AB$101:$AB$147,MATCH(Y39,WORLDCUP!$Z$101:$Z$147,0))&amp;" )")</f>
        <v/>
      </c>
      <c r="AD39" s="18"/>
      <c r="AE39" s="514"/>
      <c r="AF39" s="514"/>
      <c r="AG39" s="514"/>
      <c r="AH39" s="19"/>
      <c r="AI39" s="544"/>
      <c r="AJ39" s="544"/>
      <c r="AK39" s="583"/>
      <c r="AL39" s="92"/>
      <c r="AM39" s="516"/>
      <c r="AN39" s="516"/>
      <c r="AO39" s="516"/>
      <c r="AP39" s="19"/>
      <c r="AQ39" s="545"/>
      <c r="AR39" s="545"/>
      <c r="AS39" s="545"/>
      <c r="AT39" s="19"/>
      <c r="AU39" s="518"/>
      <c r="AV39" s="518"/>
      <c r="AW39" s="518"/>
      <c r="AX39" s="19"/>
      <c r="AY39" s="297"/>
      <c r="AZ39" s="297"/>
      <c r="BA39" s="297"/>
      <c r="BB39" s="297"/>
      <c r="BC39" s="297"/>
      <c r="BD39" s="297"/>
      <c r="BE39" s="297"/>
      <c r="BG39" s="547" t="str">
        <f ca="1">Horarios!Q38</f>
        <v>Panamá</v>
      </c>
      <c r="BH39" s="548">
        <f t="shared" ca="1" si="0"/>
        <v>1</v>
      </c>
      <c r="BI39" s="548">
        <f ca="1">COUNTIF(ADMIN!$M$130:$M$161,Fixture!BG39)-BJ39-BK39-BL39-BM39-BN39-BO39</f>
        <v>0</v>
      </c>
      <c r="BJ39" s="549">
        <f ca="1">COUNTIF(ADMIN!$M$182:$M$197,Fixture!BG39)-BK39-BL39-BM39-BN39-BO39</f>
        <v>0</v>
      </c>
      <c r="BK39" s="550">
        <f ca="1">COUNTIF(ADMIN!$M$210:$M$217,Fixture!BG39)-BL39-BM39-BN39-BO39</f>
        <v>0</v>
      </c>
      <c r="BL39" s="550">
        <f ca="1">COUNTIF(ADMIN!$M$226:$M$229,BG39)-BM39-BN39-BO39</f>
        <v>0</v>
      </c>
      <c r="BM39" s="548">
        <f ca="1">COUNTIF(ADMIN!$M$252,Fixture!BG39)</f>
        <v>0</v>
      </c>
      <c r="BN39" s="548">
        <f ca="1">COUNTIF(ADMIN!$M$251,Fixture!BG39)</f>
        <v>0</v>
      </c>
      <c r="BO39" s="551">
        <f ca="1">COUNTIF(ADMIN!$M$250,Fixture!BG39)</f>
        <v>0</v>
      </c>
    </row>
    <row r="40" spans="1:67" ht="15" thickBot="1">
      <c r="A40" s="19">
        <v>56</v>
      </c>
      <c r="B40" s="649"/>
      <c r="C40" s="572" t="str">
        <f ca="1">+MID(INDEX(WORLDCUP!$AA$4:$AA$147,MATCH(A40,WORLDCUP!$AH$4:$AH$147,0)),1,3)</f>
        <v>Ecu</v>
      </c>
      <c r="D40" s="573" t="str">
        <f>IF(ISBLANK(INDEX(WORLDCUP!$AC$4:$AC$147,MATCH(A40,WORLDCUP!$AH$4:$AH$147,0))),"",INDEX(WORLDCUP!$AC$4:$AC$147,MATCH(A40,WORLDCUP!$AH$4:$AH$147,0)))</f>
        <v/>
      </c>
      <c r="E40" s="573" t="str">
        <f>IF(ISBLANK(INDEX(WORLDCUP!$AD$4:$AD$147,MATCH(A40,WORLDCUP!$AH$4:$AH$147,0))),"",INDEX(WORLDCUP!$AD$4:$AD$147,MATCH(A40,WORLDCUP!$AH$4:$AH$147,0)))</f>
        <v/>
      </c>
      <c r="F40" s="574" t="str">
        <f ca="1">+MID(INDEX(WORLDCUP!$AF$4:$AF$147,MATCH(A40,WORLDCUP!$AH$4:$AH$147,0)),1,3)</f>
        <v>Ale</v>
      </c>
      <c r="G40" s="575"/>
      <c r="H40" s="575"/>
      <c r="I40" s="576"/>
      <c r="J40" s="576"/>
      <c r="K40" s="577"/>
      <c r="L40" s="19"/>
      <c r="M40" s="19">
        <v>72</v>
      </c>
      <c r="N40" s="650"/>
      <c r="O40" s="572" t="str">
        <f ca="1">+MID(INDEX(WORLDCUP!$AA$4:$AA$147,MATCH(M40,WORLDCUP!$AH$4:$AH$147,0)),1,3)</f>
        <v xml:space="preserve">RD </v>
      </c>
      <c r="P40" s="573" t="str">
        <f>IF(ISBLANK(INDEX(WORLDCUP!$AC$4:$AC$147,MATCH(M40,WORLDCUP!$AH$4:$AH$147,0))),"",INDEX(WORLDCUP!$AC$4:$AC$147,MATCH(M40,WORLDCUP!$AH$4:$AH$147,0)))</f>
        <v/>
      </c>
      <c r="Q40" s="573" t="str">
        <f>IF(ISBLANK(INDEX(WORLDCUP!$AD$4:$AD$147,MATCH(M40,WORLDCUP!$AH$4:$AH$147,0))),"",INDEX(WORLDCUP!$AD$4:$AD$147,MATCH(M40,WORLDCUP!$AH$4:$AH$147,0)))</f>
        <v/>
      </c>
      <c r="R40" s="574" t="str">
        <f ca="1">+MID(INDEX(WORLDCUP!$AF$4:$AF$147,MATCH(M40,WORLDCUP!$AH$4:$AH$147,0)),1,3)</f>
        <v>Uzb</v>
      </c>
      <c r="S40" s="575"/>
      <c r="T40" s="575"/>
      <c r="U40" s="576"/>
      <c r="V40" s="576"/>
      <c r="W40" s="577"/>
      <c r="X40" s="19"/>
      <c r="Y40" s="19">
        <v>86</v>
      </c>
      <c r="Z40" s="510" t="s">
        <v>671</v>
      </c>
      <c r="AA40" s="511" t="str">
        <f ca="1">+MID(INDEX(WORLDCUP!$AF$101:$AF$147,MATCH(Y40,WORLDCUP!$Z$101:$Z$147,0)),1,3)</f>
        <v>2H</v>
      </c>
      <c r="AB40" s="538" t="str">
        <f>+IF(ISBLANK(INDEX(WORLDCUP!$AD$101:$AD$147,MATCH(Y40,WORLDCUP!$Z$101:$Z$147,0))),"",INDEX(WORLDCUP!$AD$101:$AD$147,MATCH(Y40,WORLDCUP!$Z$101:$Z$147,0)))</f>
        <v/>
      </c>
      <c r="AC40" s="539" t="str">
        <f>+IF(ISBLANK(INDEX(WORLDCUP!$AE$101:$AE$147,MATCH(Y40,WORLDCUP!$Z$101:$Z$147,0))),"","( "&amp;INDEX(WORLDCUP!$AE$101:$AE$147,MATCH(Y40,WORLDCUP!$Z$101:$Z$147,0))&amp;" )")</f>
        <v/>
      </c>
      <c r="AD40" s="540">
        <v>95</v>
      </c>
      <c r="AE40" s="541" t="str">
        <f>+MID(INDEX(WORLDCUP!$AA$101:$AA$147,MATCH(AD40,WORLDCUP!$Z$101:$Z$147,0)),1,3)</f>
        <v>W86</v>
      </c>
      <c r="AF40" s="542" t="str">
        <f>+IF(ISBLANK(INDEX(WORLDCUP!$AC$101:$AC$147,MATCH(AD40,WORLDCUP!$Z$101:$Z$147,0))),"",INDEX(WORLDCUP!$AC$101:$AC$147,MATCH(AD40,WORLDCUP!$Z$101:$Z$147,0)))</f>
        <v/>
      </c>
      <c r="AG40" s="543" t="str">
        <f>+IF(ISBLANK(INDEX(WORLDCUP!$AB$101:$AB$147,MATCH(AD40,WORLDCUP!$Z$101:$Z$147,0))),"","( "&amp;INDEX(WORLDCUP!$AB$101:$AB$147,MATCH(AD40,WORLDCUP!$Z$101:$Z$147,0))&amp;" )")</f>
        <v/>
      </c>
      <c r="AH40" s="19"/>
      <c r="AI40" s="544"/>
      <c r="AJ40" s="544"/>
      <c r="AK40" s="583"/>
      <c r="AL40" s="92"/>
      <c r="AM40" s="516"/>
      <c r="AN40" s="516"/>
      <c r="AO40" s="516"/>
      <c r="AP40" s="19"/>
      <c r="AQ40" s="545"/>
      <c r="AR40" s="545"/>
      <c r="AS40" s="545"/>
      <c r="AT40" s="19"/>
      <c r="AU40" s="518"/>
      <c r="AV40" s="518"/>
      <c r="AW40" s="518"/>
      <c r="AX40" s="19"/>
      <c r="AY40" s="297"/>
      <c r="AZ40" s="297"/>
      <c r="BA40" s="297"/>
      <c r="BB40" s="297"/>
      <c r="BC40" s="297"/>
      <c r="BD40" s="297"/>
      <c r="BE40" s="297"/>
      <c r="BG40" s="547" t="str">
        <f ca="1">Horarios!Q39</f>
        <v>Paraguay</v>
      </c>
      <c r="BH40" s="548">
        <f t="shared" ca="1" si="0"/>
        <v>1</v>
      </c>
      <c r="BI40" s="548">
        <f ca="1">COUNTIF(ADMIN!$M$130:$M$161,Fixture!BG40)-BJ40-BK40-BL40-BM40-BN40-BO40</f>
        <v>0</v>
      </c>
      <c r="BJ40" s="549">
        <f ca="1">COUNTIF(ADMIN!$M$182:$M$197,Fixture!BG40)-BK40-BL40-BM40-BN40-BO40</f>
        <v>0</v>
      </c>
      <c r="BK40" s="550">
        <f ca="1">COUNTIF(ADMIN!$M$210:$M$217,Fixture!BG40)-BL40-BM40-BN40-BO40</f>
        <v>0</v>
      </c>
      <c r="BL40" s="550">
        <f ca="1">COUNTIF(ADMIN!$M$226:$M$229,BG40)-BM40-BN40-BO40</f>
        <v>0</v>
      </c>
      <c r="BM40" s="548">
        <f ca="1">COUNTIF(ADMIN!$M$252,Fixture!BG40)</f>
        <v>0</v>
      </c>
      <c r="BN40" s="548">
        <f ca="1">COUNTIF(ADMIN!$M$251,Fixture!BG40)</f>
        <v>0</v>
      </c>
      <c r="BO40" s="551">
        <f ca="1">COUNTIF(ADMIN!$M$250,Fixture!BG40)</f>
        <v>0</v>
      </c>
    </row>
    <row r="41" spans="1:67">
      <c r="A41" s="19"/>
      <c r="B41" s="497"/>
      <c r="C41" s="581"/>
      <c r="D41" s="441"/>
      <c r="E41" s="441"/>
      <c r="F41" s="297"/>
      <c r="G41" s="297"/>
      <c r="H41" s="581"/>
      <c r="I41" s="297"/>
      <c r="J41" s="297"/>
      <c r="K41" s="297"/>
      <c r="L41" s="19"/>
      <c r="M41" s="19"/>
      <c r="N41" s="247"/>
      <c r="O41" s="581"/>
      <c r="P41" s="441"/>
      <c r="Q41" s="441"/>
      <c r="R41" s="297"/>
      <c r="S41" s="297"/>
      <c r="T41" s="581"/>
      <c r="U41" s="297"/>
      <c r="V41" s="297"/>
      <c r="W41" s="297"/>
      <c r="X41" s="19"/>
      <c r="Y41" s="19"/>
      <c r="Z41" s="510"/>
      <c r="AA41" s="554"/>
      <c r="AB41" s="554"/>
      <c r="AC41" s="555"/>
      <c r="AD41" s="19">
        <v>95</v>
      </c>
      <c r="AE41" s="541" t="str">
        <f>+MID(INDEX(WORLDCUP!$AF$101:$AF$147,MATCH(AD41,WORLDCUP!$Z$101:$Z$147,0)),1,3)</f>
        <v>W88</v>
      </c>
      <c r="AF41" s="542" t="str">
        <f>+IF(ISBLANK(INDEX(WORLDCUP!$AD$101:$AD$147,MATCH(AD41,WORLDCUP!$Z$101:$Z$147,0))),"",INDEX(WORLDCUP!$AD$101:$AD$147,MATCH(AD41,WORLDCUP!$Z$101:$Z$147,0)))</f>
        <v/>
      </c>
      <c r="AG41" s="600" t="str">
        <f>+IF(ISBLANK(INDEX(WORLDCUP!$AE$101:$AE$147,MATCH(AD41,WORLDCUP!$Z$101:$Z$147,0))),"","( "&amp;INDEX(WORLDCUP!$AE$101:$AE$147,MATCH(AD41,WORLDCUP!$Z$101:$Z$147,0))&amp;" )")</f>
        <v/>
      </c>
      <c r="AH41" s="19"/>
      <c r="AI41" s="544"/>
      <c r="AJ41" s="544"/>
      <c r="AK41" s="583"/>
      <c r="AL41" s="92"/>
      <c r="AM41" s="516"/>
      <c r="AN41" s="516"/>
      <c r="AO41" s="516"/>
      <c r="AP41" s="19"/>
      <c r="AQ41" s="545"/>
      <c r="AR41" s="545"/>
      <c r="AS41" s="545"/>
      <c r="AT41" s="19"/>
      <c r="AU41" s="518"/>
      <c r="AV41" s="518"/>
      <c r="AW41" s="518"/>
      <c r="AX41" s="19"/>
      <c r="AY41" s="297"/>
      <c r="AZ41" s="297"/>
      <c r="BA41" s="297"/>
      <c r="BB41" s="297"/>
      <c r="BC41" s="297"/>
      <c r="BD41" s="297"/>
      <c r="BE41" s="297"/>
      <c r="BG41" s="547" t="str">
        <f ca="1">Horarios!Q40</f>
        <v>Portugal</v>
      </c>
      <c r="BH41" s="548">
        <f t="shared" ca="1" si="0"/>
        <v>1</v>
      </c>
      <c r="BI41" s="548">
        <f ca="1">COUNTIF(ADMIN!$M$130:$M$161,Fixture!BG41)-BJ41-BK41-BL41-BM41-BN41-BO41</f>
        <v>0</v>
      </c>
      <c r="BJ41" s="549">
        <f ca="1">COUNTIF(ADMIN!$M$182:$M$197,Fixture!BG41)-BK41-BL41-BM41-BN41-BO41</f>
        <v>0</v>
      </c>
      <c r="BK41" s="550">
        <f ca="1">COUNTIF(ADMIN!$M$210:$M$217,Fixture!BG41)-BL41-BM41-BN41-BO41</f>
        <v>0</v>
      </c>
      <c r="BL41" s="550">
        <f ca="1">COUNTIF(ADMIN!$M$226:$M$229,BG41)-BM41-BN41-BO41</f>
        <v>0</v>
      </c>
      <c r="BM41" s="548">
        <f ca="1">COUNTIF(ADMIN!$M$252,Fixture!BG41)</f>
        <v>0</v>
      </c>
      <c r="BN41" s="548">
        <f ca="1">COUNTIF(ADMIN!$M$251,Fixture!BG41)</f>
        <v>0</v>
      </c>
      <c r="BO41" s="551">
        <f ca="1">COUNTIF(ADMIN!$M$250,Fixture!BG41)</f>
        <v>0</v>
      </c>
    </row>
    <row r="42" spans="1:67" ht="15" thickBot="1">
      <c r="A42" s="19"/>
      <c r="B42" s="497"/>
      <c r="C42" s="581"/>
      <c r="D42" s="441"/>
      <c r="E42" s="441"/>
      <c r="F42" s="297"/>
      <c r="G42" s="297"/>
      <c r="H42" s="581"/>
      <c r="I42" s="297"/>
      <c r="J42" s="297"/>
      <c r="K42" s="297"/>
      <c r="L42" s="19"/>
      <c r="M42" s="19"/>
      <c r="N42" s="247"/>
      <c r="O42" s="581"/>
      <c r="P42" s="441"/>
      <c r="Q42" s="441"/>
      <c r="R42" s="297"/>
      <c r="S42" s="297"/>
      <c r="T42" s="581"/>
      <c r="U42" s="297"/>
      <c r="V42" s="297"/>
      <c r="W42" s="297"/>
      <c r="X42" s="19"/>
      <c r="Y42" s="19">
        <v>88</v>
      </c>
      <c r="Z42" s="510" t="s">
        <v>659</v>
      </c>
      <c r="AA42" s="511" t="str">
        <f ca="1">+MID(INDEX(WORLDCUP!$AA$101:$AA$147,MATCH(Y42,WORLDCUP!$Z$101:$Z$147,0)),1,3)</f>
        <v>2D</v>
      </c>
      <c r="AB42" s="557" t="str">
        <f>+IF(ISBLANK(INDEX(WORLDCUP!$AC$101:$AC$147,MATCH(Y42,WORLDCUP!$Z$101:$Z$147,0))),"",INDEX(WORLDCUP!$AC$101:$AC$147,MATCH(Y42,WORLDCUP!$Z$101:$Z$147,0)))</f>
        <v/>
      </c>
      <c r="AC42" s="591" t="str">
        <f>+IF(ISBLANK(INDEX(WORLDCUP!$AB$101:$AB$147,MATCH(Y42,WORLDCUP!$Z$101:$Z$147,0))),"","( "&amp;INDEX(WORLDCUP!$AB$101:$AB$147,MATCH(Y42,WORLDCUP!$Z$101:$Z$147,0))&amp;" )")</f>
        <v/>
      </c>
      <c r="AD42" s="19"/>
      <c r="AE42" s="559"/>
      <c r="AF42" s="559"/>
      <c r="AG42" s="560"/>
      <c r="AH42" s="19"/>
      <c r="AI42" s="544"/>
      <c r="AJ42" s="544"/>
      <c r="AK42" s="583"/>
      <c r="AL42" s="92"/>
      <c r="AM42" s="516"/>
      <c r="AN42" s="516"/>
      <c r="AO42" s="516"/>
      <c r="AP42" s="19"/>
      <c r="AQ42" s="545"/>
      <c r="AR42" s="545"/>
      <c r="AS42" s="545"/>
      <c r="AT42" s="19"/>
      <c r="AU42" s="518"/>
      <c r="AV42" s="518"/>
      <c r="AW42" s="518"/>
      <c r="AX42" s="19"/>
      <c r="AY42" s="297"/>
      <c r="AZ42" s="297"/>
      <c r="BA42" s="297"/>
      <c r="BB42" s="297"/>
      <c r="BC42" s="297"/>
      <c r="BD42" s="297"/>
      <c r="BE42" s="297"/>
      <c r="BG42" s="547" t="str">
        <f ca="1">Horarios!Q41</f>
        <v>RD Congo</v>
      </c>
      <c r="BH42" s="548">
        <f t="shared" ca="1" si="0"/>
        <v>1</v>
      </c>
      <c r="BI42" s="548">
        <f ca="1">COUNTIF(ADMIN!$M$130:$M$161,Fixture!BG42)-BJ42-BK42-BL42-BM42-BN42-BO42</f>
        <v>0</v>
      </c>
      <c r="BJ42" s="549">
        <f ca="1">COUNTIF(ADMIN!$M$182:$M$197,Fixture!BG42)-BK42-BL42-BM42-BN42-BO42</f>
        <v>0</v>
      </c>
      <c r="BK42" s="550">
        <f ca="1">COUNTIF(ADMIN!$M$210:$M$217,Fixture!BG42)-BL42-BM42-BN42-BO42</f>
        <v>0</v>
      </c>
      <c r="BL42" s="550">
        <f ca="1">COUNTIF(ADMIN!$M$226:$M$229,BG42)-BM42-BN42-BO42</f>
        <v>0</v>
      </c>
      <c r="BM42" s="548">
        <f ca="1">COUNTIF(ADMIN!$M$252,Fixture!BG42)</f>
        <v>0</v>
      </c>
      <c r="BN42" s="548">
        <f ca="1">COUNTIF(ADMIN!$M$251,Fixture!BG42)</f>
        <v>0</v>
      </c>
      <c r="BO42" s="551">
        <f ca="1">COUNTIF(ADMIN!$M$250,Fixture!BG42)</f>
        <v>0</v>
      </c>
    </row>
    <row r="43" spans="1:67" ht="15" thickBot="1">
      <c r="A43" s="19">
        <v>11</v>
      </c>
      <c r="B43" s="651" t="s">
        <v>4</v>
      </c>
      <c r="C43" s="502" t="str">
        <f ca="1">+MID(INDEX(WORLDCUP!$AA$4:$AA$147,MATCH(A43,WORLDCUP!$AH$4:$AH$147,0)),1,3)</f>
        <v>Paí</v>
      </c>
      <c r="D43" s="503">
        <f>IF(ISBLANK(INDEX(WORLDCUP!$AC$4:$AC$147,MATCH(A43,WORLDCUP!$AH$4:$AH$147,0))),"",INDEX(WORLDCUP!$AC$4:$AC$147,MATCH(A43,WORLDCUP!$AH$4:$AH$147,0)))</f>
        <v>2</v>
      </c>
      <c r="E43" s="503">
        <f>IF(ISBLANK(INDEX(WORLDCUP!$AD$4:$AD$147,MATCH(A43,WORLDCUP!$AH$4:$AH$147,0))),"",INDEX(WORLDCUP!$AD$4:$AD$147,MATCH(A43,WORLDCUP!$AH$4:$AH$147,0)))</f>
        <v>2</v>
      </c>
      <c r="F43" s="504" t="str">
        <f ca="1">+MID(INDEX(WORLDCUP!$AF$4:$AF$147,MATCH(A43,WORLDCUP!$AH$4:$AH$147,0)),1,3)</f>
        <v>Jap</v>
      </c>
      <c r="G43" s="505"/>
      <c r="H43" s="506" t="str">
        <f>+H35</f>
        <v>Sel</v>
      </c>
      <c r="I43" s="507" t="str">
        <f>+I35</f>
        <v>Pts</v>
      </c>
      <c r="J43" s="507" t="str">
        <f>+J35</f>
        <v>DG</v>
      </c>
      <c r="K43" s="508" t="str">
        <f>+K35</f>
        <v>GF-GC</v>
      </c>
      <c r="L43" s="19"/>
      <c r="M43" s="19">
        <v>22</v>
      </c>
      <c r="N43" s="652" t="s">
        <v>238</v>
      </c>
      <c r="O43" s="502" t="str">
        <f ca="1">+MID(INDEX(WORLDCUP!$AA$4:$AA$147,MATCH(M43,WORLDCUP!$AH$4:$AH$147,0)),1,3)</f>
        <v>Ing</v>
      </c>
      <c r="P43" s="503">
        <f>IF(ISBLANK(INDEX(WORLDCUP!$AC$4:$AC$147,MATCH(M43,WORLDCUP!$AH$4:$AH$147,0))),"",INDEX(WORLDCUP!$AC$4:$AC$147,MATCH(M43,WORLDCUP!$AH$4:$AH$147,0)))</f>
        <v>4</v>
      </c>
      <c r="Q43" s="503">
        <f>IF(ISBLANK(INDEX(WORLDCUP!$AD$4:$AD$147,MATCH(M43,WORLDCUP!$AH$4:$AH$147,0))),"",INDEX(WORLDCUP!$AD$4:$AD$147,MATCH(M43,WORLDCUP!$AH$4:$AH$147,0)))</f>
        <v>2</v>
      </c>
      <c r="R43" s="504" t="str">
        <f ca="1">+MID(INDEX(WORLDCUP!$AF$4:$AF$147,MATCH(M43,WORLDCUP!$AH$4:$AH$147,0)),1,3)</f>
        <v>Cro</v>
      </c>
      <c r="S43" s="505"/>
      <c r="T43" s="506" t="str">
        <f>+T35</f>
        <v>Sel</v>
      </c>
      <c r="U43" s="507" t="str">
        <f>+U35</f>
        <v>Pts</v>
      </c>
      <c r="V43" s="507" t="str">
        <f>+V35</f>
        <v>DG</v>
      </c>
      <c r="W43" s="508" t="str">
        <f>+W35</f>
        <v>GF-GC</v>
      </c>
      <c r="X43" s="19"/>
      <c r="Y43" s="19">
        <v>88</v>
      </c>
      <c r="Z43" s="510" t="s">
        <v>668</v>
      </c>
      <c r="AA43" s="565" t="str">
        <f ca="1">+MID(INDEX(WORLDCUP!$AF$101:$AF$147,MATCH(Y43,WORLDCUP!$Z$101:$Z$147,0)),1,3)</f>
        <v>2G</v>
      </c>
      <c r="AB43" s="566" t="str">
        <f>+IF(ISBLANK(INDEX(WORLDCUP!$AD$101:$AD$147,MATCH(Y43,WORLDCUP!$Z$101:$Z$147,0))),"",INDEX(WORLDCUP!$AD$101:$AD$147,MATCH(Y43,WORLDCUP!$Z$101:$Z$147,0)))</f>
        <v/>
      </c>
      <c r="AC43" s="592" t="str">
        <f>+IF(ISBLANK(INDEX(WORLDCUP!$AE$101:$AE$147,MATCH(Y43,WORLDCUP!$Z$101:$Z$147,0))),"","( "&amp;INDEX(WORLDCUP!$AE$101:$AE$147,MATCH(Y43,WORLDCUP!$Z$101:$Z$147,0))&amp;" )")</f>
        <v/>
      </c>
      <c r="AD43" s="19"/>
      <c r="AE43" s="559"/>
      <c r="AF43" s="559"/>
      <c r="AG43" s="560"/>
      <c r="AH43" s="584">
        <v>100</v>
      </c>
      <c r="AI43" s="568" t="str">
        <f>+MID(INDEX(WORLDCUP!$AA$101:$AA$147,MATCH(AH43,WORLDCUP!$Z$101:$Z$147,0)),1,3)</f>
        <v>W95</v>
      </c>
      <c r="AJ43" s="569" t="str">
        <f>+IF(ISBLANK(INDEX(WORLDCUP!$AC$101:$AC$147,MATCH(AH43,WORLDCUP!$Z$101:$Z$147,0))),"",INDEX(WORLDCUP!$AC$101:$AC$147,MATCH(AH43,WORLDCUP!$Z$101:$Z$147,0)))</f>
        <v/>
      </c>
      <c r="AK43" s="605" t="str">
        <f>+IF(ISBLANK(INDEX(WORLDCUP!$AB$101:$AB$147,MATCH(AH43,WORLDCUP!$Z$101:$Z$147,0))),"","( "&amp;INDEX(WORLDCUP!$AB$101:$AB$147,MATCH(AH43,WORLDCUP!$Z$101:$Z$147,0))&amp;" )")</f>
        <v/>
      </c>
      <c r="AL43" s="92"/>
      <c r="AM43" s="516"/>
      <c r="AN43" s="516"/>
      <c r="AO43" s="516"/>
      <c r="AP43" s="19"/>
      <c r="AQ43" s="545"/>
      <c r="AR43" s="545"/>
      <c r="AS43" s="545"/>
      <c r="AT43" s="19"/>
      <c r="AU43" s="518"/>
      <c r="AV43" s="518"/>
      <c r="AW43" s="518"/>
      <c r="AX43" s="19"/>
      <c r="AY43" s="297"/>
      <c r="AZ43" s="297"/>
      <c r="BA43" s="297"/>
      <c r="BB43" s="297"/>
      <c r="BC43" s="297"/>
      <c r="BD43" s="297"/>
      <c r="BE43" s="297"/>
      <c r="BG43" s="547" t="str">
        <f ca="1">Horarios!Q42</f>
        <v>República Checa</v>
      </c>
      <c r="BH43" s="548">
        <f t="shared" ca="1" si="0"/>
        <v>1</v>
      </c>
      <c r="BI43" s="548">
        <f ca="1">COUNTIF(ADMIN!$M$130:$M$161,Fixture!BG43)-BJ43-BK43-BL43-BM43-BN43-BO43</f>
        <v>0</v>
      </c>
      <c r="BJ43" s="549">
        <f ca="1">COUNTIF(ADMIN!$M$182:$M$197,Fixture!BG43)-BK43-BL43-BM43-BN43-BO43</f>
        <v>0</v>
      </c>
      <c r="BK43" s="550">
        <f ca="1">COUNTIF(ADMIN!$M$210:$M$217,Fixture!BG43)-BL43-BM43-BN43-BO43</f>
        <v>0</v>
      </c>
      <c r="BL43" s="550">
        <f ca="1">COUNTIF(ADMIN!$M$226:$M$229,BG43)-BM43-BN43-BO43</f>
        <v>0</v>
      </c>
      <c r="BM43" s="548">
        <f ca="1">COUNTIF(ADMIN!$M$252,Fixture!BG43)</f>
        <v>0</v>
      </c>
      <c r="BN43" s="548">
        <f ca="1">COUNTIF(ADMIN!$M$251,Fixture!BG43)</f>
        <v>0</v>
      </c>
      <c r="BO43" s="551">
        <f ca="1">COUNTIF(ADMIN!$M$250,Fixture!BG43)</f>
        <v>0</v>
      </c>
    </row>
    <row r="44" spans="1:67">
      <c r="A44" s="19">
        <v>12</v>
      </c>
      <c r="B44" s="653"/>
      <c r="C44" s="529" t="str">
        <f ca="1">+MID(INDEX(WORLDCUP!$AA$4:$AA$147,MATCH(A44,WORLDCUP!$AH$4:$AH$147,0)),1,3)</f>
        <v>Sue</v>
      </c>
      <c r="D44" s="530">
        <f>IF(ISBLANK(INDEX(WORLDCUP!$AC$4:$AC$147,MATCH(A44,WORLDCUP!$AH$4:$AH$147,0))),"",INDEX(WORLDCUP!$AC$4:$AC$147,MATCH(A44,WORLDCUP!$AH$4:$AH$147,0)))</f>
        <v>5</v>
      </c>
      <c r="E44" s="530">
        <f>IF(ISBLANK(INDEX(WORLDCUP!$AD$4:$AD$147,MATCH(A44,WORLDCUP!$AH$4:$AH$147,0))),"",INDEX(WORLDCUP!$AD$4:$AD$147,MATCH(A44,WORLDCUP!$AH$4:$AH$147,0)))</f>
        <v>1</v>
      </c>
      <c r="F44" s="531" t="str">
        <f ca="1">+MID(INDEX(WORLDCUP!$AF$4:$AF$147,MATCH(A44,WORLDCUP!$AH$4:$AH$147,0)),1,3)</f>
        <v>Tún</v>
      </c>
      <c r="G44" s="532">
        <v>1</v>
      </c>
      <c r="H44" s="533" t="str">
        <f ca="1">+MID(INDEX(WORLDCUP!$AL$6:$AL$97,MATCH(L44,WORLDCUP!$AI$6:$AI$97,0)),1,3)</f>
        <v>Sue</v>
      </c>
      <c r="I44" s="534">
        <f ca="1">+INDEX(WORLDCUP!$AM$6:$AM$97,MATCH(L44,WORLDCUP!$AI$6:$AI$97,0))</f>
        <v>3</v>
      </c>
      <c r="J44" s="535">
        <f ca="1">+INDEX(WORLDCUP!$AT$6:$AT$97,MATCH(L44,WORLDCUP!$AI$6:$AI$97,0))</f>
        <v>4</v>
      </c>
      <c r="K44" s="536" t="str">
        <f ca="1">+INDEX(WORLDCUP!$AR$6:$AR$97,MATCH(L44,WORLDCUP!$AI$6:$AI$97,0))&amp;"-"&amp;INDEX(WORLDCUP!$AS$6:$AS$97,MATCH(L44,WORLDCUP!$AI$6:$AI$97,0))</f>
        <v>5-1</v>
      </c>
      <c r="L44" s="19" t="s">
        <v>664</v>
      </c>
      <c r="M44" s="19">
        <v>21</v>
      </c>
      <c r="N44" s="654"/>
      <c r="O44" s="529" t="str">
        <f ca="1">+MID(INDEX(WORLDCUP!$AA$4:$AA$147,MATCH(M44,WORLDCUP!$AH$4:$AH$147,0)),1,3)</f>
        <v>Gha</v>
      </c>
      <c r="P44" s="530">
        <f>IF(ISBLANK(INDEX(WORLDCUP!$AC$4:$AC$147,MATCH(M44,WORLDCUP!$AH$4:$AH$147,0))),"",INDEX(WORLDCUP!$AC$4:$AC$147,MATCH(M44,WORLDCUP!$AH$4:$AH$147,0)))</f>
        <v>1</v>
      </c>
      <c r="Q44" s="530">
        <f>IF(ISBLANK(INDEX(WORLDCUP!$AD$4:$AD$147,MATCH(M44,WORLDCUP!$AH$4:$AH$147,0))),"",INDEX(WORLDCUP!$AD$4:$AD$147,MATCH(M44,WORLDCUP!$AH$4:$AH$147,0)))</f>
        <v>0</v>
      </c>
      <c r="R44" s="531" t="str">
        <f ca="1">+MID(INDEX(WORLDCUP!$AF$4:$AF$147,MATCH(M44,WORLDCUP!$AH$4:$AH$147,0)),1,3)</f>
        <v>Pan</v>
      </c>
      <c r="S44" s="532">
        <v>1</v>
      </c>
      <c r="T44" s="533" t="str">
        <f ca="1">+MID(INDEX(WORLDCUP!$AL$6:$AL$97,MATCH(X44,WORLDCUP!$AI$6:$AI$97,0)),1,3)</f>
        <v>Ing</v>
      </c>
      <c r="U44" s="534">
        <f ca="1">+INDEX(WORLDCUP!$AM$6:$AM$97,MATCH(X44,WORLDCUP!$AI$6:$AI$97,0))</f>
        <v>3</v>
      </c>
      <c r="V44" s="535">
        <f ca="1">+INDEX(WORLDCUP!$AT$6:$AT$97,MATCH(X44,WORLDCUP!$AI$6:$AI$97,0))</f>
        <v>2</v>
      </c>
      <c r="W44" s="536" t="str">
        <f ca="1">+INDEX(WORLDCUP!$AR$6:$AR$97,MATCH(X44,WORLDCUP!$AI$6:$AI$97,0))&amp;"-"&amp;INDEX(WORLDCUP!$AS$6:$AS$97,MATCH(X44,WORLDCUP!$AI$6:$AI$97,0))</f>
        <v>4-2</v>
      </c>
      <c r="X44" s="19" t="s">
        <v>682</v>
      </c>
      <c r="Y44" s="19"/>
      <c r="Z44" s="510"/>
      <c r="AA44" s="579"/>
      <c r="AB44" s="579"/>
      <c r="AC44" s="579"/>
      <c r="AD44" s="19"/>
      <c r="AE44" s="514"/>
      <c r="AF44" s="514"/>
      <c r="AG44" s="560"/>
      <c r="AH44" s="19">
        <v>100</v>
      </c>
      <c r="AI44" s="568" t="str">
        <f>+MID(INDEX(WORLDCUP!$AF$101:$AF$147,MATCH(AH44,WORLDCUP!$Z$101:$Z$147,0)),1,3)</f>
        <v>W96</v>
      </c>
      <c r="AJ44" s="569" t="str">
        <f>+IF(ISBLANK(INDEX(WORLDCUP!$AD$101:$AD$147,MATCH(AH44,WORLDCUP!$Z$101:$Z$147,0))),"",INDEX(WORLDCUP!$AD$101:$AD$147,MATCH(AH44,WORLDCUP!$Z$101:$Z$147,0)))</f>
        <v/>
      </c>
      <c r="AK44" s="544" t="str">
        <f>+IF(ISBLANK(INDEX(WORLDCUP!$AE$101:$AE$147,MATCH(AH44,WORLDCUP!$Z$101:$Z$147,0))),"","( "&amp;INDEX(WORLDCUP!$AE$101:$AE$147,MATCH(AH44,WORLDCUP!$Z$101:$Z$147,0))&amp;" )")</f>
        <v/>
      </c>
      <c r="AL44" s="92"/>
      <c r="AM44" s="516"/>
      <c r="AN44" s="516"/>
      <c r="AO44" s="516"/>
      <c r="AP44" s="19"/>
      <c r="AQ44" s="545"/>
      <c r="AR44" s="545"/>
      <c r="AS44" s="545"/>
      <c r="AT44" s="19"/>
      <c r="AU44" s="518"/>
      <c r="AV44" s="518"/>
      <c r="AW44" s="518"/>
      <c r="AX44" s="19"/>
      <c r="AY44" s="297"/>
      <c r="AZ44" s="297"/>
      <c r="BA44" s="297"/>
      <c r="BB44" s="297"/>
      <c r="BC44" s="297"/>
      <c r="BD44" s="297"/>
      <c r="BE44" s="297"/>
      <c r="BG44" s="547" t="str">
        <f ca="1">Horarios!Q43</f>
        <v>Senegal</v>
      </c>
      <c r="BH44" s="548">
        <f t="shared" ca="1" si="0"/>
        <v>1</v>
      </c>
      <c r="BI44" s="548">
        <f ca="1">COUNTIF(ADMIN!$M$130:$M$161,Fixture!BG44)-BJ44-BK44-BL44-BM44-BN44-BO44</f>
        <v>0</v>
      </c>
      <c r="BJ44" s="549">
        <f ca="1">COUNTIF(ADMIN!$M$182:$M$197,Fixture!BG44)-BK44-BL44-BM44-BN44-BO44</f>
        <v>0</v>
      </c>
      <c r="BK44" s="550">
        <f ca="1">COUNTIF(ADMIN!$M$210:$M$217,Fixture!BG44)-BL44-BM44-BN44-BO44</f>
        <v>0</v>
      </c>
      <c r="BL44" s="550">
        <f ca="1">COUNTIF(ADMIN!$M$226:$M$229,BG44)-BM44-BN44-BO44</f>
        <v>0</v>
      </c>
      <c r="BM44" s="548">
        <f ca="1">COUNTIF(ADMIN!$M$252,Fixture!BG44)</f>
        <v>0</v>
      </c>
      <c r="BN44" s="548">
        <f ca="1">COUNTIF(ADMIN!$M$251,Fixture!BG44)</f>
        <v>0</v>
      </c>
      <c r="BO44" s="551">
        <f ca="1">COUNTIF(ADMIN!$M$250,Fixture!BG44)</f>
        <v>0</v>
      </c>
    </row>
    <row r="45" spans="1:67" ht="15" thickBot="1">
      <c r="A45" s="19">
        <v>35</v>
      </c>
      <c r="B45" s="653"/>
      <c r="C45" s="529" t="str">
        <f ca="1">+MID(INDEX(WORLDCUP!$AA$4:$AA$147,MATCH(A45,WORLDCUP!$AH$4:$AH$147,0)),1,3)</f>
        <v>Paí</v>
      </c>
      <c r="D45" s="530" t="str">
        <f>IF(ISBLANK(INDEX(WORLDCUP!$AC$4:$AC$147,MATCH(A45,WORLDCUP!$AH$4:$AH$147,0))),"",INDEX(WORLDCUP!$AC$4:$AC$147,MATCH(A45,WORLDCUP!$AH$4:$AH$147,0)))</f>
        <v/>
      </c>
      <c r="E45" s="530" t="str">
        <f>IF(ISBLANK(INDEX(WORLDCUP!$AD$4:$AD$147,MATCH(A45,WORLDCUP!$AH$4:$AH$147,0))),"",INDEX(WORLDCUP!$AD$4:$AD$147,MATCH(A45,WORLDCUP!$AH$4:$AH$147,0)))</f>
        <v/>
      </c>
      <c r="F45" s="531" t="str">
        <f ca="1">+MID(INDEX(WORLDCUP!$AF$4:$AF$147,MATCH(A45,WORLDCUP!$AH$4:$AH$147,0)),1,3)</f>
        <v>Sue</v>
      </c>
      <c r="G45" s="552">
        <v>2</v>
      </c>
      <c r="H45" s="553" t="str">
        <f ca="1">+MID(INDEX(WORLDCUP!$AL$6:$AL$97,MATCH(L45,WORLDCUP!$AI$6:$AI$97,0)),1,3)</f>
        <v>Paí</v>
      </c>
      <c r="I45" s="223">
        <f ca="1">+INDEX(WORLDCUP!$AM$6:$AM$97,MATCH(L45,WORLDCUP!$AI$6:$AI$97,0))</f>
        <v>1</v>
      </c>
      <c r="J45" s="224">
        <f ca="1">+INDEX(WORLDCUP!$AT$6:$AT$97,MATCH(L45,WORLDCUP!$AI$6:$AI$97,0))</f>
        <v>0</v>
      </c>
      <c r="K45" s="225" t="str">
        <f ca="1">+INDEX(WORLDCUP!$AR$6:$AR$97,MATCH(L45,WORLDCUP!$AI$6:$AI$97,0))&amp;"-"&amp;INDEX(WORLDCUP!$AS$6:$AS$97,MATCH(L45,WORLDCUP!$AI$6:$AI$97,0))</f>
        <v>2-2</v>
      </c>
      <c r="L45" s="19" t="s">
        <v>665</v>
      </c>
      <c r="M45" s="19">
        <v>45</v>
      </c>
      <c r="N45" s="654"/>
      <c r="O45" s="529" t="str">
        <f ca="1">+MID(INDEX(WORLDCUP!$AA$4:$AA$147,MATCH(M45,WORLDCUP!$AH$4:$AH$147,0)),1,3)</f>
        <v>Ing</v>
      </c>
      <c r="P45" s="530" t="str">
        <f>IF(ISBLANK(INDEX(WORLDCUP!$AC$4:$AC$147,MATCH(M45,WORLDCUP!$AH$4:$AH$147,0))),"",INDEX(WORLDCUP!$AC$4:$AC$147,MATCH(M45,WORLDCUP!$AH$4:$AH$147,0)))</f>
        <v/>
      </c>
      <c r="Q45" s="530" t="str">
        <f>IF(ISBLANK(INDEX(WORLDCUP!$AD$4:$AD$147,MATCH(M45,WORLDCUP!$AH$4:$AH$147,0))),"",INDEX(WORLDCUP!$AD$4:$AD$147,MATCH(M45,WORLDCUP!$AH$4:$AH$147,0)))</f>
        <v/>
      </c>
      <c r="R45" s="531" t="str">
        <f ca="1">+MID(INDEX(WORLDCUP!$AF$4:$AF$147,MATCH(M45,WORLDCUP!$AH$4:$AH$147,0)),1,3)</f>
        <v>Gha</v>
      </c>
      <c r="S45" s="552">
        <v>2</v>
      </c>
      <c r="T45" s="553" t="str">
        <f ca="1">+MID(INDEX(WORLDCUP!$AL$6:$AL$97,MATCH(X45,WORLDCUP!$AI$6:$AI$97,0)),1,3)</f>
        <v>Gha</v>
      </c>
      <c r="U45" s="223">
        <f ca="1">+INDEX(WORLDCUP!$AM$6:$AM$97,MATCH(X45,WORLDCUP!$AI$6:$AI$97,0))</f>
        <v>3</v>
      </c>
      <c r="V45" s="224">
        <f ca="1">+INDEX(WORLDCUP!$AT$6:$AT$97,MATCH(X45,WORLDCUP!$AI$6:$AI$97,0))</f>
        <v>1</v>
      </c>
      <c r="W45" s="225" t="str">
        <f ca="1">+INDEX(WORLDCUP!$AR$6:$AR$97,MATCH(X45,WORLDCUP!$AI$6:$AI$97,0))&amp;"-"&amp;INDEX(WORLDCUP!$AS$6:$AS$97,MATCH(X45,WORLDCUP!$AI$6:$AI$97,0))</f>
        <v>1-0</v>
      </c>
      <c r="X45" s="19" t="s">
        <v>683</v>
      </c>
      <c r="Y45" s="19">
        <v>85</v>
      </c>
      <c r="Z45" s="510" t="s">
        <v>648</v>
      </c>
      <c r="AA45" s="511" t="str">
        <f ca="1">+MID(INDEX(WORLDCUP!$AA$101:$AA$147,MATCH(Y45,WORLDCUP!$Z$101:$Z$147,0)),1,3)</f>
        <v>1B</v>
      </c>
      <c r="AB45" s="512" t="str">
        <f>+IF(ISBLANK(INDEX(WORLDCUP!$AC$101:$AC$147,MATCH(Y45,WORLDCUP!$Z$101:$Z$147,0))),"",INDEX(WORLDCUP!$AC$101:$AC$147,MATCH(Y45,WORLDCUP!$Z$101:$Z$147,0)))</f>
        <v/>
      </c>
      <c r="AC45" s="582" t="str">
        <f>+IF(ISBLANK(INDEX(WORLDCUP!$AB$101:$AB$147,MATCH(Y45,WORLDCUP!$Z$101:$Z$147,0))),"","( "&amp;INDEX(WORLDCUP!$AB$101:$AB$147,MATCH(Y45,WORLDCUP!$Z$101:$Z$147,0))&amp;" )")</f>
        <v/>
      </c>
      <c r="AD45" s="18"/>
      <c r="AE45" s="514"/>
      <c r="AF45" s="514"/>
      <c r="AG45" s="560"/>
      <c r="AH45" s="19"/>
      <c r="AI45" s="544"/>
      <c r="AJ45" s="544"/>
      <c r="AK45" s="544"/>
      <c r="AL45" s="92"/>
      <c r="AM45" s="516"/>
      <c r="AN45" s="516"/>
      <c r="AO45" s="516"/>
      <c r="AP45" s="19"/>
      <c r="AQ45" s="545"/>
      <c r="AR45" s="545"/>
      <c r="AS45" s="545"/>
      <c r="AT45" s="19"/>
      <c r="AU45" s="518"/>
      <c r="AV45" s="518"/>
      <c r="AW45" s="518"/>
      <c r="AX45" s="19"/>
      <c r="AY45" s="297"/>
      <c r="AZ45" s="297"/>
      <c r="BA45" s="297"/>
      <c r="BB45" s="297"/>
      <c r="BC45" s="297"/>
      <c r="BD45" s="297"/>
      <c r="BE45" s="297"/>
      <c r="BG45" s="547" t="str">
        <f ca="1">Horarios!Q44</f>
        <v>Sudáfrica</v>
      </c>
      <c r="BH45" s="548">
        <f t="shared" ca="1" si="0"/>
        <v>1</v>
      </c>
      <c r="BI45" s="548">
        <f ca="1">COUNTIF(ADMIN!$M$130:$M$161,Fixture!BG45)-BJ45-BK45-BL45-BM45-BN45-BO45</f>
        <v>0</v>
      </c>
      <c r="BJ45" s="549">
        <f ca="1">COUNTIF(ADMIN!$M$182:$M$197,Fixture!BG45)-BK45-BL45-BM45-BN45-BO45</f>
        <v>0</v>
      </c>
      <c r="BK45" s="550">
        <f ca="1">COUNTIF(ADMIN!$M$210:$M$217,Fixture!BG45)-BL45-BM45-BN45-BO45</f>
        <v>0</v>
      </c>
      <c r="BL45" s="550">
        <f ca="1">COUNTIF(ADMIN!$M$226:$M$229,BG45)-BM45-BN45-BO45</f>
        <v>0</v>
      </c>
      <c r="BM45" s="548">
        <f ca="1">COUNTIF(ADMIN!$M$252,Fixture!BG45)</f>
        <v>0</v>
      </c>
      <c r="BN45" s="548">
        <f ca="1">COUNTIF(ADMIN!$M$251,Fixture!BG45)</f>
        <v>0</v>
      </c>
      <c r="BO45" s="551">
        <f ca="1">COUNTIF(ADMIN!$M$250,Fixture!BG45)</f>
        <v>0</v>
      </c>
    </row>
    <row r="46" spans="1:67" ht="15" thickBot="1">
      <c r="A46" s="19">
        <v>36</v>
      </c>
      <c r="B46" s="653"/>
      <c r="C46" s="529" t="str">
        <f ca="1">+MID(INDEX(WORLDCUP!$AA$4:$AA$147,MATCH(A46,WORLDCUP!$AH$4:$AH$147,0)),1,3)</f>
        <v>Tún</v>
      </c>
      <c r="D46" s="530" t="str">
        <f>IF(ISBLANK(INDEX(WORLDCUP!$AC$4:$AC$147,MATCH(A46,WORLDCUP!$AH$4:$AH$147,0))),"",INDEX(WORLDCUP!$AC$4:$AC$147,MATCH(A46,WORLDCUP!$AH$4:$AH$147,0)))</f>
        <v/>
      </c>
      <c r="E46" s="530" t="str">
        <f>IF(ISBLANK(INDEX(WORLDCUP!$AD$4:$AD$147,MATCH(A46,WORLDCUP!$AH$4:$AH$147,0))),"",INDEX(WORLDCUP!$AD$4:$AD$147,MATCH(A46,WORLDCUP!$AH$4:$AH$147,0)))</f>
        <v/>
      </c>
      <c r="F46" s="531" t="str">
        <f ca="1">+MID(INDEX(WORLDCUP!$AF$4:$AF$147,MATCH(A46,WORLDCUP!$AH$4:$AH$147,0)),1,3)</f>
        <v>Jap</v>
      </c>
      <c r="G46" s="552">
        <v>3</v>
      </c>
      <c r="H46" s="553" t="str">
        <f ca="1">+MID(INDEX(WORLDCUP!$AL$6:$AL$97,MATCH(L46,WORLDCUP!$AI$6:$AI$97,0)),1,3)</f>
        <v>Jap</v>
      </c>
      <c r="I46" s="223">
        <f ca="1">+INDEX(WORLDCUP!$AM$6:$AM$97,MATCH(L46,WORLDCUP!$AI$6:$AI$97,0))</f>
        <v>1</v>
      </c>
      <c r="J46" s="224">
        <f ca="1">+INDEX(WORLDCUP!$AT$6:$AT$97,MATCH(L46,WORLDCUP!$AI$6:$AI$97,0))</f>
        <v>0</v>
      </c>
      <c r="K46" s="225" t="str">
        <f ca="1">+INDEX(WORLDCUP!$AR$6:$AR$97,MATCH(L46,WORLDCUP!$AI$6:$AI$97,0))&amp;"-"&amp;INDEX(WORLDCUP!$AS$6:$AS$97,MATCH(L46,WORLDCUP!$AI$6:$AI$97,0))</f>
        <v>2-2</v>
      </c>
      <c r="L46" s="19" t="s">
        <v>94</v>
      </c>
      <c r="M46" s="19">
        <v>46</v>
      </c>
      <c r="N46" s="654"/>
      <c r="O46" s="529" t="str">
        <f ca="1">+MID(INDEX(WORLDCUP!$AA$4:$AA$147,MATCH(M46,WORLDCUP!$AH$4:$AH$147,0)),1,3)</f>
        <v>Pan</v>
      </c>
      <c r="P46" s="530" t="str">
        <f>IF(ISBLANK(INDEX(WORLDCUP!$AC$4:$AC$147,MATCH(M46,WORLDCUP!$AH$4:$AH$147,0))),"",INDEX(WORLDCUP!$AC$4:$AC$147,MATCH(M46,WORLDCUP!$AH$4:$AH$147,0)))</f>
        <v/>
      </c>
      <c r="Q46" s="530" t="str">
        <f>IF(ISBLANK(INDEX(WORLDCUP!$AD$4:$AD$147,MATCH(M46,WORLDCUP!$AH$4:$AH$147,0))),"",INDEX(WORLDCUP!$AD$4:$AD$147,MATCH(M46,WORLDCUP!$AH$4:$AH$147,0)))</f>
        <v/>
      </c>
      <c r="R46" s="531" t="str">
        <f ca="1">+MID(INDEX(WORLDCUP!$AF$4:$AF$147,MATCH(M46,WORLDCUP!$AH$4:$AH$147,0)),1,3)</f>
        <v>Cro</v>
      </c>
      <c r="S46" s="552">
        <v>3</v>
      </c>
      <c r="T46" s="553" t="str">
        <f ca="1">+MID(INDEX(WORLDCUP!$AL$6:$AL$97,MATCH(X46,WORLDCUP!$AI$6:$AI$97,0)),1,3)</f>
        <v>Pan</v>
      </c>
      <c r="U46" s="223">
        <f ca="1">+INDEX(WORLDCUP!$AM$6:$AM$97,MATCH(X46,WORLDCUP!$AI$6:$AI$97,0))</f>
        <v>0</v>
      </c>
      <c r="V46" s="224">
        <f ca="1">+INDEX(WORLDCUP!$AT$6:$AT$97,MATCH(X46,WORLDCUP!$AI$6:$AI$97,0))</f>
        <v>-1</v>
      </c>
      <c r="W46" s="225" t="str">
        <f ca="1">+INDEX(WORLDCUP!$AR$6:$AR$97,MATCH(X46,WORLDCUP!$AI$6:$AI$97,0))&amp;"-"&amp;INDEX(WORLDCUP!$AS$6:$AS$97,MATCH(X46,WORLDCUP!$AI$6:$AI$97,0))</f>
        <v>0-1</v>
      </c>
      <c r="X46" s="19" t="s">
        <v>443</v>
      </c>
      <c r="Y46" s="19">
        <v>85</v>
      </c>
      <c r="Z46" s="510" t="s">
        <v>728</v>
      </c>
      <c r="AA46" s="511" t="str">
        <f ca="1">+MID(INDEX(WORLDCUP!$AF$101:$AF$147,MATCH(Y46,WORLDCUP!$Z$101:$Z$147,0)),1,IF(WORLDCUP!$H$113&lt;144,6,3))</f>
        <v>3EFGIJ</v>
      </c>
      <c r="AB46" s="538" t="str">
        <f>+IF(ISBLANK(INDEX(WORLDCUP!$AD$101:$AD$147,MATCH(Y46,WORLDCUP!$Z$101:$Z$147,0))),"",INDEX(WORLDCUP!$AD$101:$AD$147,MATCH(Y46,WORLDCUP!$Z$101:$Z$147,0)))</f>
        <v/>
      </c>
      <c r="AC46" s="539" t="str">
        <f>+IF(ISBLANK(INDEX(WORLDCUP!$AE$101:$AE$147,MATCH(Y46,WORLDCUP!$Z$101:$Z$147,0))),"","( "&amp;INDEX(WORLDCUP!$AE$101:$AE$147,MATCH(Y46,WORLDCUP!$Z$101:$Z$147,0))&amp;" )")</f>
        <v/>
      </c>
      <c r="AD46" s="540">
        <v>96</v>
      </c>
      <c r="AE46" s="541" t="str">
        <f>+MID(INDEX(WORLDCUP!$AA$101:$AA$147,MATCH(AD46,WORLDCUP!$Z$101:$Z$147,0)),1,3)</f>
        <v>W85</v>
      </c>
      <c r="AF46" s="542" t="str">
        <f>+IF(ISBLANK(INDEX(WORLDCUP!$AC$101:$AC$147,MATCH(AD46,WORLDCUP!$Z$101:$Z$147,0))),"",INDEX(WORLDCUP!$AC$101:$AC$147,MATCH(AD46,WORLDCUP!$Z$101:$Z$147,0)))</f>
        <v/>
      </c>
      <c r="AG46" s="585" t="str">
        <f>+IF(ISBLANK(INDEX(WORLDCUP!$AB$101:$AB$147,MATCH(AD46,WORLDCUP!$Z$101:$Z$147,0))),"","( "&amp;INDEX(WORLDCUP!$AB$101:$AB$147,MATCH(AD46,WORLDCUP!$Z$101:$Z$147,0))&amp;" )")</f>
        <v/>
      </c>
      <c r="AH46" s="19"/>
      <c r="AI46" s="544"/>
      <c r="AJ46" s="544"/>
      <c r="AK46" s="544"/>
      <c r="AL46" s="92"/>
      <c r="AM46" s="516"/>
      <c r="AN46" s="516"/>
      <c r="AO46" s="516"/>
      <c r="AP46" s="19"/>
      <c r="AQ46" s="545"/>
      <c r="AR46" s="545"/>
      <c r="AS46" s="545"/>
      <c r="AT46" s="19"/>
      <c r="AU46" s="518"/>
      <c r="AV46" s="518"/>
      <c r="AW46" s="518"/>
      <c r="AX46" s="19"/>
      <c r="AY46" s="297"/>
      <c r="AZ46" s="297"/>
      <c r="BA46" s="297"/>
      <c r="BB46" s="297"/>
      <c r="BC46" s="297"/>
      <c r="BD46" s="297"/>
      <c r="BE46" s="297"/>
      <c r="BG46" s="547" t="str">
        <f ca="1">Horarios!Q45</f>
        <v>Suecia</v>
      </c>
      <c r="BH46" s="548">
        <f t="shared" ca="1" si="0"/>
        <v>1</v>
      </c>
      <c r="BI46" s="548">
        <f ca="1">COUNTIF(ADMIN!$M$130:$M$161,Fixture!BG46)-BJ46-BK46-BL46-BM46-BN46-BO46</f>
        <v>0</v>
      </c>
      <c r="BJ46" s="549">
        <f ca="1">COUNTIF(ADMIN!$M$182:$M$197,Fixture!BG46)-BK46-BL46-BM46-BN46-BO46</f>
        <v>0</v>
      </c>
      <c r="BK46" s="550">
        <f ca="1">COUNTIF(ADMIN!$M$210:$M$217,Fixture!BG46)-BL46-BM46-BN46-BO46</f>
        <v>0</v>
      </c>
      <c r="BL46" s="550">
        <f ca="1">COUNTIF(ADMIN!$M$226:$M$229,BG46)-BM46-BN46-BO46</f>
        <v>0</v>
      </c>
      <c r="BM46" s="548">
        <f ca="1">COUNTIF(ADMIN!$M$252,Fixture!BG46)</f>
        <v>0</v>
      </c>
      <c r="BN46" s="548">
        <f ca="1">COUNTIF(ADMIN!$M$251,Fixture!BG46)</f>
        <v>0</v>
      </c>
      <c r="BO46" s="551">
        <f ca="1">COUNTIF(ADMIN!$M$250,Fixture!BG46)</f>
        <v>0</v>
      </c>
    </row>
    <row r="47" spans="1:67">
      <c r="A47" s="19">
        <v>57</v>
      </c>
      <c r="B47" s="653"/>
      <c r="C47" s="529" t="str">
        <f ca="1">+MID(INDEX(WORLDCUP!$AA$4:$AA$147,MATCH(A47,WORLDCUP!$AH$4:$AH$147,0)),1,3)</f>
        <v>Jap</v>
      </c>
      <c r="D47" s="530" t="str">
        <f>IF(ISBLANK(INDEX(WORLDCUP!$AC$4:$AC$147,MATCH(A47,WORLDCUP!$AH$4:$AH$147,0))),"",INDEX(WORLDCUP!$AC$4:$AC$147,MATCH(A47,WORLDCUP!$AH$4:$AH$147,0)))</f>
        <v/>
      </c>
      <c r="E47" s="530" t="str">
        <f>IF(ISBLANK(INDEX(WORLDCUP!$AD$4:$AD$147,MATCH(A47,WORLDCUP!$AH$4:$AH$147,0))),"",INDEX(WORLDCUP!$AD$4:$AD$147,MATCH(A47,WORLDCUP!$AH$4:$AH$147,0)))</f>
        <v/>
      </c>
      <c r="F47" s="531" t="str">
        <f ca="1">+MID(INDEX(WORLDCUP!$AF$4:$AF$147,MATCH(A47,WORLDCUP!$AH$4:$AH$147,0)),1,3)</f>
        <v>Sue</v>
      </c>
      <c r="G47" s="552">
        <v>4</v>
      </c>
      <c r="H47" s="561" t="str">
        <f ca="1">+MID(INDEX(WORLDCUP!$AL$6:$AL$97,MATCH(L47,WORLDCUP!$AI$6:$AI$97,0)),1,3)</f>
        <v>Tún</v>
      </c>
      <c r="I47" s="562">
        <f ca="1">+INDEX(WORLDCUP!$AM$6:$AM$97,MATCH(L47,WORLDCUP!$AI$6:$AI$97,0))</f>
        <v>0</v>
      </c>
      <c r="J47" s="563">
        <f ca="1">+INDEX(WORLDCUP!$AT$6:$AT$97,MATCH(L47,WORLDCUP!$AI$6:$AI$97,0))</f>
        <v>-4</v>
      </c>
      <c r="K47" s="564" t="str">
        <f ca="1">+INDEX(WORLDCUP!$AR$6:$AR$97,MATCH(L47,WORLDCUP!$AI$6:$AI$97,0))&amp;"-"&amp;INDEX(WORLDCUP!$AS$6:$AS$97,MATCH(L47,WORLDCUP!$AI$6:$AI$97,0))</f>
        <v>1-5</v>
      </c>
      <c r="L47" s="19" t="s">
        <v>666</v>
      </c>
      <c r="M47" s="19">
        <v>67</v>
      </c>
      <c r="N47" s="654"/>
      <c r="O47" s="529" t="str">
        <f ca="1">+MID(INDEX(WORLDCUP!$AA$4:$AA$147,MATCH(M47,WORLDCUP!$AH$4:$AH$147,0)),1,3)</f>
        <v>Pan</v>
      </c>
      <c r="P47" s="530" t="str">
        <f>IF(ISBLANK(INDEX(WORLDCUP!$AC$4:$AC$147,MATCH(M47,WORLDCUP!$AH$4:$AH$147,0))),"",INDEX(WORLDCUP!$AC$4:$AC$147,MATCH(M47,WORLDCUP!$AH$4:$AH$147,0)))</f>
        <v/>
      </c>
      <c r="Q47" s="530" t="str">
        <f>IF(ISBLANK(INDEX(WORLDCUP!$AD$4:$AD$147,MATCH(M47,WORLDCUP!$AH$4:$AH$147,0))),"",INDEX(WORLDCUP!$AD$4:$AD$147,MATCH(M47,WORLDCUP!$AH$4:$AH$147,0)))</f>
        <v/>
      </c>
      <c r="R47" s="531" t="str">
        <f ca="1">+MID(INDEX(WORLDCUP!$AF$4:$AF$147,MATCH(M47,WORLDCUP!$AH$4:$AH$147,0)),1,3)</f>
        <v>Ing</v>
      </c>
      <c r="S47" s="552">
        <v>4</v>
      </c>
      <c r="T47" s="561" t="str">
        <f ca="1">+MID(INDEX(WORLDCUP!$AL$6:$AL$97,MATCH(X47,WORLDCUP!$AI$6:$AI$97,0)),1,3)</f>
        <v>Cro</v>
      </c>
      <c r="U47" s="562">
        <f ca="1">+INDEX(WORLDCUP!$AM$6:$AM$97,MATCH(X47,WORLDCUP!$AI$6:$AI$97,0))</f>
        <v>0</v>
      </c>
      <c r="V47" s="563">
        <f ca="1">+INDEX(WORLDCUP!$AT$6:$AT$97,MATCH(X47,WORLDCUP!$AI$6:$AI$97,0))</f>
        <v>-2</v>
      </c>
      <c r="W47" s="564" t="str">
        <f ca="1">+INDEX(WORLDCUP!$AR$6:$AR$97,MATCH(X47,WORLDCUP!$AI$6:$AI$97,0))&amp;"-"&amp;INDEX(WORLDCUP!$AS$6:$AS$97,MATCH(X47,WORLDCUP!$AI$6:$AI$97,0))</f>
        <v>2-4</v>
      </c>
      <c r="X47" s="19" t="s">
        <v>684</v>
      </c>
      <c r="Y47" s="19"/>
      <c r="Z47" s="510"/>
      <c r="AA47" s="554"/>
      <c r="AB47" s="554"/>
      <c r="AC47" s="555"/>
      <c r="AD47" s="19">
        <v>96</v>
      </c>
      <c r="AE47" s="541" t="str">
        <f>+MID(INDEX(WORLDCUP!$AF$101:$AF$147,MATCH(AD47,WORLDCUP!$Z$101:$Z$147,0)),1,3)</f>
        <v>W87</v>
      </c>
      <c r="AF47" s="542" t="str">
        <f>+IF(ISBLANK(INDEX(WORLDCUP!$AD$101:$AD$147,MATCH(AD47,WORLDCUP!$Z$101:$Z$147,0))),"",INDEX(WORLDCUP!$AD$101:$AD$147,MATCH(AD47,WORLDCUP!$Z$101:$Z$147,0)))</f>
        <v/>
      </c>
      <c r="AG47" s="559" t="str">
        <f>+IF(ISBLANK(INDEX(WORLDCUP!$AE$101:$AE$147,MATCH(AD47,WORLDCUP!$Z$101:$Z$147,0))),"","( "&amp;INDEX(WORLDCUP!$AE$101:$AE$147,MATCH(AD47,WORLDCUP!$Z$101:$Z$147,0))&amp;" )")</f>
        <v/>
      </c>
      <c r="AH47" s="19"/>
      <c r="AI47" s="544"/>
      <c r="AJ47" s="544"/>
      <c r="AK47" s="544"/>
      <c r="AL47" s="92"/>
      <c r="AM47" s="516"/>
      <c r="AN47" s="516"/>
      <c r="AO47" s="516"/>
      <c r="AP47" s="19"/>
      <c r="AQ47" s="545"/>
      <c r="AR47" s="545"/>
      <c r="AS47" s="545"/>
      <c r="AT47" s="19"/>
      <c r="AU47" s="518"/>
      <c r="AV47" s="518"/>
      <c r="AW47" s="518"/>
      <c r="AX47" s="19"/>
      <c r="AY47" s="297"/>
      <c r="AZ47" s="297"/>
      <c r="BA47" s="297"/>
      <c r="BB47" s="297"/>
      <c r="BC47" s="297"/>
      <c r="BD47" s="297"/>
      <c r="BE47" s="297"/>
      <c r="BG47" s="547" t="str">
        <f ca="1">Horarios!Q46</f>
        <v>Suiza</v>
      </c>
      <c r="BH47" s="548">
        <f t="shared" ca="1" si="0"/>
        <v>1</v>
      </c>
      <c r="BI47" s="548">
        <f ca="1">COUNTIF(ADMIN!$M$130:$M$161,Fixture!BG47)-BJ47-BK47-BL47-BM47-BN47-BO47</f>
        <v>0</v>
      </c>
      <c r="BJ47" s="549">
        <f ca="1">COUNTIF(ADMIN!$M$182:$M$197,Fixture!BG47)-BK47-BL47-BM47-BN47-BO47</f>
        <v>0</v>
      </c>
      <c r="BK47" s="550">
        <f ca="1">COUNTIF(ADMIN!$M$210:$M$217,Fixture!BG47)-BL47-BM47-BN47-BO47</f>
        <v>0</v>
      </c>
      <c r="BL47" s="550">
        <f ca="1">COUNTIF(ADMIN!$M$226:$M$229,BG47)-BM47-BN47-BO47</f>
        <v>0</v>
      </c>
      <c r="BM47" s="548">
        <f ca="1">COUNTIF(ADMIN!$M$252,Fixture!BG47)</f>
        <v>0</v>
      </c>
      <c r="BN47" s="548">
        <f ca="1">COUNTIF(ADMIN!$M$251,Fixture!BG47)</f>
        <v>0</v>
      </c>
      <c r="BO47" s="551">
        <f ca="1">COUNTIF(ADMIN!$M$250,Fixture!BG47)</f>
        <v>0</v>
      </c>
    </row>
    <row r="48" spans="1:67" ht="15" thickBot="1">
      <c r="A48" s="19">
        <v>58</v>
      </c>
      <c r="B48" s="655"/>
      <c r="C48" s="572" t="str">
        <f ca="1">+MID(INDEX(WORLDCUP!$AA$4:$AA$147,MATCH(A48,WORLDCUP!$AH$4:$AH$147,0)),1,3)</f>
        <v>Tún</v>
      </c>
      <c r="D48" s="573" t="str">
        <f>IF(ISBLANK(INDEX(WORLDCUP!$AC$4:$AC$147,MATCH(A48,WORLDCUP!$AH$4:$AH$147,0))),"",INDEX(WORLDCUP!$AC$4:$AC$147,MATCH(A48,WORLDCUP!$AH$4:$AH$147,0)))</f>
        <v/>
      </c>
      <c r="E48" s="573" t="str">
        <f>IF(ISBLANK(INDEX(WORLDCUP!$AD$4:$AD$147,MATCH(A48,WORLDCUP!$AH$4:$AH$147,0))),"",INDEX(WORLDCUP!$AD$4:$AD$147,MATCH(A48,WORLDCUP!$AH$4:$AH$147,0)))</f>
        <v/>
      </c>
      <c r="F48" s="574" t="str">
        <f ca="1">+MID(INDEX(WORLDCUP!$AF$4:$AF$147,MATCH(A48,WORLDCUP!$AH$4:$AH$147,0)),1,3)</f>
        <v>Paí</v>
      </c>
      <c r="G48" s="575"/>
      <c r="H48" s="575"/>
      <c r="I48" s="576"/>
      <c r="J48" s="576"/>
      <c r="K48" s="577"/>
      <c r="L48" s="19"/>
      <c r="M48" s="19">
        <v>68</v>
      </c>
      <c r="N48" s="656"/>
      <c r="O48" s="572" t="str">
        <f ca="1">+MID(INDEX(WORLDCUP!$AA$4:$AA$147,MATCH(M48,WORLDCUP!$AH$4:$AH$147,0)),1,3)</f>
        <v>Cro</v>
      </c>
      <c r="P48" s="573" t="str">
        <f>IF(ISBLANK(INDEX(WORLDCUP!$AC$4:$AC$147,MATCH(M48,WORLDCUP!$AH$4:$AH$147,0))),"",INDEX(WORLDCUP!$AC$4:$AC$147,MATCH(M48,WORLDCUP!$AH$4:$AH$147,0)))</f>
        <v/>
      </c>
      <c r="Q48" s="573" t="str">
        <f>IF(ISBLANK(INDEX(WORLDCUP!$AD$4:$AD$147,MATCH(M48,WORLDCUP!$AH$4:$AH$147,0))),"",INDEX(WORLDCUP!$AD$4:$AD$147,MATCH(M48,WORLDCUP!$AH$4:$AH$147,0)))</f>
        <v/>
      </c>
      <c r="R48" s="574" t="str">
        <f ca="1">+MID(INDEX(WORLDCUP!$AF$4:$AF$147,MATCH(M48,WORLDCUP!$AH$4:$AH$147,0)),1,3)</f>
        <v>Gha</v>
      </c>
      <c r="S48" s="575"/>
      <c r="T48" s="575"/>
      <c r="U48" s="576"/>
      <c r="V48" s="576"/>
      <c r="W48" s="577"/>
      <c r="X48" s="19"/>
      <c r="Y48" s="19">
        <v>87</v>
      </c>
      <c r="Z48" s="510" t="s">
        <v>679</v>
      </c>
      <c r="AA48" s="511" t="str">
        <f ca="1">+MID(INDEX(WORLDCUP!$AA$101:$AA$147,MATCH(Y48,WORLDCUP!$Z$101:$Z$147,0)),1,3)</f>
        <v>1K</v>
      </c>
      <c r="AB48" s="557" t="str">
        <f>+IF(ISBLANK(INDEX(WORLDCUP!$AC$101:$AC$147,MATCH(Y48,WORLDCUP!$Z$101:$Z$147,0))),"",INDEX(WORLDCUP!$AC$101:$AC$147,MATCH(Y48,WORLDCUP!$Z$101:$Z$147,0)))</f>
        <v/>
      </c>
      <c r="AC48" s="591" t="str">
        <f>+IF(ISBLANK(INDEX(WORLDCUP!$AB$101:$AB$147,MATCH(Y48,WORLDCUP!$Z$101:$Z$147,0))),"","( "&amp;INDEX(WORLDCUP!$AB$101:$AB$147,MATCH(Y48,WORLDCUP!$Z$101:$Z$147,0))&amp;" )")</f>
        <v/>
      </c>
      <c r="AD48" s="19"/>
      <c r="AE48" s="514"/>
      <c r="AF48" s="514"/>
      <c r="AG48" s="514"/>
      <c r="AH48" s="19"/>
      <c r="AI48" s="544"/>
      <c r="AJ48" s="544"/>
      <c r="AK48" s="544"/>
      <c r="AL48" s="92"/>
      <c r="AM48" s="516"/>
      <c r="AN48" s="516"/>
      <c r="AO48" s="516"/>
      <c r="AP48" s="19"/>
      <c r="AQ48" s="545"/>
      <c r="AR48" s="545"/>
      <c r="AS48" s="545"/>
      <c r="AT48" s="19"/>
      <c r="AU48" s="518"/>
      <c r="AV48" s="518"/>
      <c r="AW48" s="518"/>
      <c r="AX48" s="19"/>
      <c r="AY48" s="297"/>
      <c r="AZ48" s="297"/>
      <c r="BA48" s="297"/>
      <c r="BB48" s="297"/>
      <c r="BC48" s="297"/>
      <c r="BD48" s="297"/>
      <c r="BE48" s="297"/>
      <c r="BG48" s="547" t="str">
        <f ca="1">Horarios!Q47</f>
        <v>Túnez</v>
      </c>
      <c r="BH48" s="548">
        <f t="shared" ca="1" si="0"/>
        <v>1</v>
      </c>
      <c r="BI48" s="548">
        <f ca="1">COUNTIF(ADMIN!$M$130:$M$161,Fixture!BG48)-BJ48-BK48-BL48-BM48-BN48-BO48</f>
        <v>0</v>
      </c>
      <c r="BJ48" s="549">
        <f ca="1">COUNTIF(ADMIN!$M$182:$M$197,Fixture!BG48)-BK48-BL48-BM48-BN48-BO48</f>
        <v>0</v>
      </c>
      <c r="BK48" s="550">
        <f ca="1">COUNTIF(ADMIN!$M$210:$M$217,Fixture!BG48)-BL48-BM48-BN48-BO48</f>
        <v>0</v>
      </c>
      <c r="BL48" s="550">
        <f ca="1">COUNTIF(ADMIN!$M$226:$M$229,BG48)-BM48-BN48-BO48</f>
        <v>0</v>
      </c>
      <c r="BM48" s="548">
        <f ca="1">COUNTIF(ADMIN!$M$252,Fixture!BG48)</f>
        <v>0</v>
      </c>
      <c r="BN48" s="548">
        <f ca="1">COUNTIF(ADMIN!$M$251,Fixture!BG48)</f>
        <v>0</v>
      </c>
      <c r="BO48" s="551">
        <f ca="1">COUNTIF(ADMIN!$M$250,Fixture!BG48)</f>
        <v>0</v>
      </c>
    </row>
    <row r="49" spans="1:67">
      <c r="A49" s="19"/>
      <c r="B49" s="247"/>
      <c r="C49" s="297"/>
      <c r="D49" s="297"/>
      <c r="E49" s="297"/>
      <c r="F49" s="297"/>
      <c r="G49" s="297"/>
      <c r="H49" s="297"/>
      <c r="I49" s="297"/>
      <c r="J49" s="297"/>
      <c r="K49" s="297"/>
      <c r="L49" s="297"/>
      <c r="M49" s="19"/>
      <c r="N49" s="247"/>
      <c r="O49" s="297"/>
      <c r="P49" s="297"/>
      <c r="Q49" s="297"/>
      <c r="R49" s="297"/>
      <c r="S49" s="297"/>
      <c r="T49" s="297"/>
      <c r="U49" s="297"/>
      <c r="V49" s="297"/>
      <c r="W49" s="297"/>
      <c r="X49" s="19"/>
      <c r="Y49" s="19">
        <v>87</v>
      </c>
      <c r="Z49" s="510" t="s">
        <v>729</v>
      </c>
      <c r="AA49" s="565" t="str">
        <f ca="1">+MID(INDEX(WORLDCUP!$AF$101:$AF$147,MATCH(Y49,WORLDCUP!$Z$101:$Z$147,0)),1,IF(WORLDCUP!$H$113&lt;144,6,3))</f>
        <v>3DEIJL</v>
      </c>
      <c r="AB49" s="566" t="str">
        <f>+IF(ISBLANK(INDEX(WORLDCUP!$AD$101:$AD$147,MATCH(Y49,WORLDCUP!$Z$101:$Z$147,0))),"",INDEX(WORLDCUP!$AD$101:$AD$147,MATCH(Y49,WORLDCUP!$Z$101:$Z$147,0)))</f>
        <v/>
      </c>
      <c r="AC49" s="592" t="str">
        <f>+IF(ISBLANK(INDEX(WORLDCUP!$AE$101:$AE$147,MATCH(Y49,WORLDCUP!$Z$101:$Z$147,0))),"","( "&amp;INDEX(WORLDCUP!$AE$101:$AE$147,MATCH(Y49,WORLDCUP!$Z$101:$Z$147,0))&amp;" )")</f>
        <v/>
      </c>
      <c r="AD49" s="19"/>
      <c r="AE49" s="514"/>
      <c r="AF49" s="514"/>
      <c r="AG49" s="514"/>
      <c r="AH49" s="19"/>
      <c r="AI49" s="544"/>
      <c r="AJ49" s="544"/>
      <c r="AK49" s="544"/>
      <c r="AL49" s="92"/>
      <c r="AM49" s="516"/>
      <c r="AN49" s="516"/>
      <c r="AO49" s="516"/>
      <c r="AP49" s="19"/>
      <c r="AQ49" s="545"/>
      <c r="AR49" s="545"/>
      <c r="AS49" s="545"/>
      <c r="AT49" s="19"/>
      <c r="AU49" s="518"/>
      <c r="AV49" s="518"/>
      <c r="AW49" s="518"/>
      <c r="AX49" s="19"/>
      <c r="AY49" s="297"/>
      <c r="AZ49" s="297"/>
      <c r="BA49" s="297"/>
      <c r="BB49" s="297"/>
      <c r="BC49" s="297"/>
      <c r="BD49" s="297"/>
      <c r="BE49" s="297"/>
      <c r="BG49" s="547" t="str">
        <f ca="1">Horarios!Q48</f>
        <v>Turquía</v>
      </c>
      <c r="BH49" s="548">
        <f t="shared" ca="1" si="0"/>
        <v>1</v>
      </c>
      <c r="BI49" s="548">
        <f ca="1">COUNTIF(ADMIN!$M$130:$M$161,Fixture!BG49)-BJ49-BK49-BL49-BM49-BN49-BO49</f>
        <v>0</v>
      </c>
      <c r="BJ49" s="549">
        <f ca="1">COUNTIF(ADMIN!$M$182:$M$197,Fixture!BG49)-BK49-BL49-BM49-BN49-BO49</f>
        <v>0</v>
      </c>
      <c r="BK49" s="550">
        <f ca="1">COUNTIF(ADMIN!$M$210:$M$217,Fixture!BG49)-BL49-BM49-BN49-BO49</f>
        <v>0</v>
      </c>
      <c r="BL49" s="550">
        <f ca="1">COUNTIF(ADMIN!$M$226:$M$229,BG49)-BM49-BN49-BO49</f>
        <v>0</v>
      </c>
      <c r="BM49" s="548">
        <f ca="1">COUNTIF(ADMIN!$M$252,Fixture!BG49)</f>
        <v>0</v>
      </c>
      <c r="BN49" s="548">
        <f ca="1">COUNTIF(ADMIN!$M$251,Fixture!BG49)</f>
        <v>0</v>
      </c>
      <c r="BO49" s="551">
        <f ca="1">COUNTIF(ADMIN!$M$250,Fixture!BG49)</f>
        <v>0</v>
      </c>
    </row>
    <row r="50" spans="1:67" ht="15" customHeight="1">
      <c r="A50" s="19"/>
      <c r="B50" s="247"/>
      <c r="C50" s="297"/>
      <c r="D50" s="297"/>
      <c r="E50" s="297"/>
      <c r="F50" s="297"/>
      <c r="G50" s="297"/>
      <c r="H50" s="297"/>
      <c r="I50" s="297"/>
      <c r="J50" s="297"/>
      <c r="K50" s="297"/>
      <c r="L50" s="297"/>
      <c r="M50" s="19"/>
      <c r="N50" s="247"/>
      <c r="O50" s="297"/>
      <c r="P50" s="297"/>
      <c r="Q50" s="297"/>
      <c r="R50" s="297"/>
      <c r="S50" s="297"/>
      <c r="T50" s="297"/>
      <c r="U50" s="297"/>
      <c r="V50" s="297"/>
      <c r="W50" s="297"/>
      <c r="X50" s="297"/>
      <c r="Y50" s="18"/>
      <c r="Z50" s="18"/>
      <c r="AA50" s="657"/>
      <c r="AB50" s="657"/>
      <c r="AC50" s="657"/>
      <c r="AD50" s="19"/>
      <c r="AE50" s="658"/>
      <c r="AF50" s="658"/>
      <c r="AG50" s="658"/>
      <c r="AH50" s="19"/>
      <c r="AI50" s="544"/>
      <c r="AJ50" s="544"/>
      <c r="AK50" s="544"/>
      <c r="AL50" s="92"/>
      <c r="AM50" s="516"/>
      <c r="AN50" s="516"/>
      <c r="AO50" s="516"/>
      <c r="AP50" s="19"/>
      <c r="AQ50" s="517"/>
      <c r="AR50" s="517"/>
      <c r="AS50" s="517"/>
      <c r="AT50" s="19"/>
      <c r="AU50" s="659"/>
      <c r="AV50" s="659"/>
      <c r="AW50" s="659"/>
      <c r="AX50" s="19"/>
      <c r="AY50" s="297"/>
      <c r="AZ50" s="297"/>
      <c r="BA50" s="297"/>
      <c r="BB50" s="297"/>
      <c r="BC50" s="297"/>
      <c r="BD50" s="297"/>
      <c r="BE50" s="297"/>
      <c r="BG50" s="547" t="str">
        <f ca="1">Horarios!Q49</f>
        <v>Uruguay</v>
      </c>
      <c r="BH50" s="548">
        <f t="shared" ca="1" si="0"/>
        <v>1</v>
      </c>
      <c r="BI50" s="548">
        <f ca="1">COUNTIF(ADMIN!$M$130:$M$161,Fixture!BG50)-BJ50-BK50-BL50-BM50-BN50-BO50</f>
        <v>0</v>
      </c>
      <c r="BJ50" s="549">
        <f ca="1">COUNTIF(ADMIN!$M$182:$M$197,Fixture!BG50)-BK50-BL50-BM50-BN50-BO50</f>
        <v>0</v>
      </c>
      <c r="BK50" s="550">
        <f ca="1">COUNTIF(ADMIN!$M$210:$M$217,Fixture!BG50)-BL50-BM50-BN50-BO50</f>
        <v>0</v>
      </c>
      <c r="BL50" s="550">
        <f ca="1">COUNTIF(ADMIN!$M$226:$M$229,BG50)-BM50-BN50-BO50</f>
        <v>0</v>
      </c>
      <c r="BM50" s="548">
        <f ca="1">COUNTIF(ADMIN!$M$252,Fixture!BG50)</f>
        <v>0</v>
      </c>
      <c r="BN50" s="548">
        <f ca="1">COUNTIF(ADMIN!$M$251,Fixture!BG50)</f>
        <v>0</v>
      </c>
      <c r="BO50" s="551">
        <f ca="1">COUNTIF(ADMIN!$M$250,Fixture!BG50)</f>
        <v>0</v>
      </c>
    </row>
    <row r="51" spans="1:67">
      <c r="A51" s="19"/>
      <c r="B51" s="247"/>
      <c r="C51" s="297"/>
      <c r="D51" s="297"/>
      <c r="E51" s="297"/>
      <c r="F51" s="297"/>
      <c r="G51" s="297"/>
      <c r="H51" s="297"/>
      <c r="I51" s="297"/>
      <c r="J51" s="297"/>
      <c r="K51" s="297"/>
      <c r="L51" s="297"/>
      <c r="M51" s="19"/>
      <c r="N51" s="247"/>
      <c r="O51" s="297"/>
      <c r="P51" s="297"/>
      <c r="Q51" s="297"/>
      <c r="R51" s="297"/>
      <c r="S51" s="297"/>
      <c r="T51" s="297"/>
      <c r="U51" s="297"/>
      <c r="V51" s="297"/>
      <c r="W51" s="297"/>
      <c r="X51" s="297"/>
      <c r="Y51" s="247"/>
      <c r="Z51" s="247"/>
      <c r="AA51" s="297"/>
      <c r="AB51" s="297"/>
      <c r="AC51" s="297"/>
      <c r="AD51" s="247"/>
      <c r="AE51" s="297"/>
      <c r="AF51" s="297"/>
      <c r="AG51" s="297"/>
      <c r="AH51" s="247"/>
      <c r="AI51" s="297"/>
      <c r="AJ51" s="297"/>
      <c r="AK51" s="297"/>
      <c r="AL51" s="247"/>
      <c r="AM51" s="297"/>
      <c r="AN51" s="297"/>
      <c r="AO51" s="297"/>
      <c r="AP51" s="247"/>
      <c r="AQ51" s="297"/>
      <c r="AR51" s="297"/>
      <c r="AS51" s="297"/>
      <c r="AT51" s="247"/>
      <c r="AU51" s="297"/>
      <c r="AV51" s="297"/>
      <c r="AW51" s="297"/>
      <c r="AX51" s="297"/>
      <c r="AY51" s="297"/>
      <c r="AZ51" s="297"/>
      <c r="BA51" s="297"/>
      <c r="BB51" s="297"/>
      <c r="BC51" s="297"/>
      <c r="BD51" s="297"/>
      <c r="BE51" s="297"/>
      <c r="BG51" s="660" t="str">
        <f ca="1">Horarios!Q50</f>
        <v>Uzbekistán</v>
      </c>
      <c r="BH51" s="661">
        <f t="shared" ca="1" si="0"/>
        <v>1</v>
      </c>
      <c r="BI51" s="661">
        <f ca="1">COUNTIF(ADMIN!$M$130:$M$161,Fixture!BG51)-BJ51-BK51-BL51-BM51-BN51-BO51</f>
        <v>0</v>
      </c>
      <c r="BJ51" s="662">
        <f ca="1">COUNTIF(ADMIN!$M$182:$M$197,Fixture!BG51)-BK51-BL51-BM51-BN51-BO51</f>
        <v>0</v>
      </c>
      <c r="BK51" s="663">
        <f ca="1">COUNTIF(ADMIN!$M$210:$M$217,Fixture!BG51)-BL51-BM51-BN51-BO51</f>
        <v>0</v>
      </c>
      <c r="BL51" s="663">
        <f ca="1">COUNTIF(ADMIN!$M$226:$M$229,BG51)-BM51-BN51-BO51</f>
        <v>0</v>
      </c>
      <c r="BM51" s="661">
        <f ca="1">COUNTIF(ADMIN!$M$252,Fixture!BG51)</f>
        <v>0</v>
      </c>
      <c r="BN51" s="661">
        <f ca="1">COUNTIF(ADMIN!$M$251,Fixture!BG51)</f>
        <v>0</v>
      </c>
      <c r="BO51" s="664">
        <f ca="1">COUNTIF(ADMIN!$M$250,Fixture!BG51)</f>
        <v>0</v>
      </c>
    </row>
    <row r="52" spans="1:67">
      <c r="A52" s="19"/>
      <c r="B52" s="247"/>
      <c r="C52" s="297"/>
      <c r="D52" s="297"/>
      <c r="E52" s="297"/>
      <c r="F52" s="297"/>
      <c r="G52" s="297"/>
      <c r="H52" s="297"/>
      <c r="I52" s="297"/>
      <c r="J52" s="297"/>
      <c r="K52" s="297"/>
      <c r="L52" s="297"/>
      <c r="M52" s="19"/>
      <c r="N52" s="247"/>
      <c r="O52" s="297"/>
      <c r="P52" s="297"/>
      <c r="Q52" s="297"/>
      <c r="R52" s="297"/>
      <c r="S52" s="297"/>
      <c r="T52" s="297"/>
      <c r="U52" s="297"/>
      <c r="V52" s="297"/>
      <c r="W52" s="297"/>
      <c r="X52" s="297"/>
      <c r="Y52" s="247"/>
      <c r="Z52" s="247"/>
      <c r="AA52" s="297"/>
      <c r="AB52" s="297"/>
      <c r="AC52" s="297"/>
      <c r="AD52" s="247"/>
      <c r="AE52" s="297"/>
      <c r="AF52" s="297"/>
      <c r="AG52" s="297"/>
      <c r="AH52" s="247"/>
      <c r="AI52" s="297"/>
      <c r="AJ52" s="297"/>
      <c r="AK52" s="297"/>
      <c r="AL52" s="247"/>
      <c r="AM52" s="297"/>
      <c r="AN52" s="297"/>
      <c r="AO52" s="297"/>
      <c r="AP52" s="247"/>
      <c r="AQ52" s="297"/>
      <c r="AR52" s="297"/>
      <c r="AS52" s="297"/>
      <c r="AT52" s="247"/>
      <c r="AU52" s="297"/>
      <c r="AV52" s="297"/>
      <c r="AW52" s="297"/>
      <c r="AX52" s="297"/>
      <c r="AY52" s="297"/>
      <c r="AZ52" s="297"/>
      <c r="BA52" s="297"/>
      <c r="BB52" s="297"/>
      <c r="BC52" s="297"/>
      <c r="BD52" s="297"/>
      <c r="BE52" s="297"/>
    </row>
    <row r="53" spans="1:67">
      <c r="W53" s="8"/>
      <c r="X53" s="1"/>
      <c r="BB53" s="586"/>
    </row>
    <row r="54" spans="1:67">
      <c r="W54" s="8"/>
      <c r="X54" s="1"/>
      <c r="BB54" s="586"/>
    </row>
    <row r="55" spans="1:67">
      <c r="W55" s="8"/>
      <c r="X55" s="1"/>
      <c r="BB55" s="586"/>
    </row>
    <row r="56" spans="1:67">
      <c r="W56" s="8"/>
      <c r="X56" s="1"/>
      <c r="BB56" s="586"/>
    </row>
    <row r="57" spans="1:67">
      <c r="W57" s="8"/>
      <c r="X57" s="1"/>
      <c r="BB57" s="586"/>
    </row>
  </sheetData>
  <sheetProtection algorithmName="SHA-512" hashValue="cB0fJPWJXGBeZbEOK84B/vIMRdmLw8X0iQaWJZxe/gwDe6uIZORAy4np0llPdIn73FUirsq4nP+gSGq8ZoyYcA==" saltValue="Fjxl5aYYgDtXOawfbeGzYQ==" spinCount="100000" sheet="1" objects="1" scenarios="1"/>
  <conditionalFormatting sqref="BH4:BH51">
    <cfRule type="expression" dxfId="8" priority="1">
      <formula>$BH4=1</formula>
    </cfRule>
  </conditionalFormatting>
  <conditionalFormatting sqref="BH4:BI51">
    <cfRule type="expression" dxfId="7" priority="2">
      <formula>$BI4=1</formula>
    </cfRule>
  </conditionalFormatting>
  <conditionalFormatting sqref="BH4:BJ51">
    <cfRule type="expression" dxfId="6" priority="3">
      <formula>$BJ4=1</formula>
    </cfRule>
  </conditionalFormatting>
  <conditionalFormatting sqref="BH4:BK51">
    <cfRule type="expression" dxfId="5" priority="4">
      <formula>$BK4=1</formula>
    </cfRule>
  </conditionalFormatting>
  <conditionalFormatting sqref="BH4:BL51">
    <cfRule type="expression" dxfId="4" priority="5">
      <formula>$BL4=1</formula>
    </cfRule>
  </conditionalFormatting>
  <conditionalFormatting sqref="BH4:BM51">
    <cfRule type="expression" dxfId="3" priority="6">
      <formula>$BM4=1</formula>
    </cfRule>
  </conditionalFormatting>
  <conditionalFormatting sqref="BH4:BN51">
    <cfRule type="expression" dxfId="2" priority="7">
      <formula>$BN4=1</formula>
    </cfRule>
  </conditionalFormatting>
  <conditionalFormatting sqref="BH4:BO51">
    <cfRule type="expression" dxfId="1" priority="8">
      <formula>$BO4=1</formula>
    </cfRule>
  </conditionalFormatting>
  <pageMargins left="0.7" right="0.7" top="0.75" bottom="0.75" header="0.3" footer="0.3"/>
  <pageSetup paperSize="9" scale="62" orientation="landscape" horizontalDpi="0" verticalDpi="0"/>
  <headerFooter>
    <oddFooter>&amp;L_x000D_&amp;1#&amp;"Aptos"&amp;8&amp;K000000 Clasificación: Interna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AA501"/>
  <sheetViews>
    <sheetView showGridLines="0" showRowColHeaders="0" topLeftCell="CR1044" zoomScaleNormal="100" zoomScalePageLayoutView="75" workbookViewId="0">
      <selection activeCell="CR1044" sqref="CR1044"/>
    </sheetView>
  </sheetViews>
  <sheetFormatPr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721" customWidth="1"/>
    <col min="15" max="27" width="20.44140625" style="722"/>
    <col min="28" max="16384" width="20.44140625" style="9"/>
  </cols>
  <sheetData>
    <row r="1" spans="1:24" ht="15" customHeight="1">
      <c r="A1" s="720" t="s">
        <v>368</v>
      </c>
      <c r="B1" s="720" t="s">
        <v>30</v>
      </c>
      <c r="C1" s="720" t="s">
        <v>71</v>
      </c>
      <c r="D1" s="720" t="s">
        <v>11</v>
      </c>
      <c r="F1" s="5" t="s">
        <v>33</v>
      </c>
      <c r="H1" s="720"/>
      <c r="I1" s="720"/>
      <c r="K1" s="8" t="s">
        <v>68</v>
      </c>
      <c r="L1" s="8" t="s">
        <v>1345</v>
      </c>
      <c r="M1" s="8"/>
      <c r="Q1" s="784" t="s">
        <v>1644</v>
      </c>
      <c r="R1" s="784" t="s">
        <v>1645</v>
      </c>
      <c r="T1" s="786" t="str">
        <f>+Idiomas!D442</f>
        <v>None</v>
      </c>
    </row>
    <row r="2" spans="1:24" ht="15" customHeight="1">
      <c r="A2" s="5">
        <v>1</v>
      </c>
      <c r="B2" s="5" t="str">
        <f ca="1">+INDEX(Idiomas!$D$212:$D$259,MATCH(T_Equipos[[#This Row],[Num]],Idiomas!$C$212:$C$259,0))</f>
        <v>México</v>
      </c>
      <c r="C2" s="5" t="s">
        <v>0</v>
      </c>
      <c r="D2" s="5">
        <v>1</v>
      </c>
      <c r="F2" s="5" t="s">
        <v>0</v>
      </c>
      <c r="K2" s="8" t="str">
        <f ca="1">Idiomas!D212</f>
        <v>Alemania</v>
      </c>
      <c r="L2" s="8" t="s">
        <v>144</v>
      </c>
      <c r="M2" s="8" t="e" vm="54">
        <v>#VALUE!</v>
      </c>
      <c r="O2" s="781">
        <v>1</v>
      </c>
      <c r="P2" s="725"/>
      <c r="Q2" s="785" cm="1">
        <f t="array" aca="1" ref="Q2" ca="1">IFERROR(MIN(IF(COUNTIF($Q$1:Q1,ADMIN!$H$6:$H$77)=0,ADMIN!$H$6:$H$77)),"")</f>
        <v>46184</v>
      </c>
      <c r="R2" s="784">
        <v>1</v>
      </c>
      <c r="S2" s="726"/>
      <c r="T2" s="786">
        <v>0.05</v>
      </c>
      <c r="X2" s="9"/>
    </row>
    <row r="3" spans="1:24" ht="15" customHeight="1">
      <c r="A3" s="5">
        <v>2</v>
      </c>
      <c r="B3" s="5" t="str">
        <f ca="1">+INDEX(Idiomas!$D$212:$D$259,MATCH(T_Equipos[[#This Row],[Num]],Idiomas!$C$212:$C$259,0))</f>
        <v>Sudáfrica</v>
      </c>
      <c r="C3" s="5" t="s">
        <v>0</v>
      </c>
      <c r="D3" s="5">
        <v>2</v>
      </c>
      <c r="F3" s="5" t="s">
        <v>1</v>
      </c>
      <c r="K3" s="8" t="str">
        <f ca="1">Idiomas!D213</f>
        <v>Arabia Saudita</v>
      </c>
      <c r="L3" s="8" t="s">
        <v>1640</v>
      </c>
      <c r="M3" s="8" t="e" vm="55">
        <v>#VALUE!</v>
      </c>
      <c r="O3" s="781">
        <v>2</v>
      </c>
      <c r="P3" s="725"/>
      <c r="Q3" s="785" cm="1">
        <f t="array" aca="1" ref="Q3" ca="1">IFERROR(MIN(IF(COUNTIF($Q$1:Q2,ADMIN!$H$6:$H$77)=0,ADMIN!$H$6:$H$77)),"")</f>
        <v>46185</v>
      </c>
      <c r="R3" s="784">
        <v>2</v>
      </c>
      <c r="S3" s="726"/>
      <c r="T3" s="786">
        <v>0.1</v>
      </c>
      <c r="X3" s="9"/>
    </row>
    <row r="4" spans="1:24" ht="15" customHeight="1">
      <c r="A4" s="5">
        <v>3</v>
      </c>
      <c r="B4" s="5" t="str">
        <f ca="1">+INDEX(Idiomas!$D$212:$D$259,MATCH(T_Equipos[[#This Row],[Num]],Idiomas!$C$212:$C$259,0))</f>
        <v>Corea del Sur</v>
      </c>
      <c r="C4" s="5" t="s">
        <v>0</v>
      </c>
      <c r="D4" s="5">
        <v>3</v>
      </c>
      <c r="F4" s="5" t="s">
        <v>2</v>
      </c>
      <c r="K4" s="8" t="str">
        <f ca="1">Idiomas!D214</f>
        <v>Argelia</v>
      </c>
      <c r="L4" s="8" t="s">
        <v>1560</v>
      </c>
      <c r="M4" s="8" t="e" vm="56">
        <v>#VALUE!</v>
      </c>
      <c r="O4" s="781">
        <v>3</v>
      </c>
      <c r="P4" s="725"/>
      <c r="Q4" s="785" cm="1">
        <f t="array" aca="1" ref="Q4" ca="1">IFERROR(MIN(IF(COUNTIF($Q$1:Q3,ADMIN!$H$6:$H$77)=0,ADMIN!$H$6:$H$77)),"")</f>
        <v>46186</v>
      </c>
      <c r="R4" s="784">
        <v>3</v>
      </c>
      <c r="S4" s="726"/>
      <c r="T4" s="786">
        <v>0.15</v>
      </c>
      <c r="X4" s="9"/>
    </row>
    <row r="5" spans="1:24" ht="15" customHeight="1">
      <c r="A5" s="5">
        <v>4</v>
      </c>
      <c r="B5" s="5" t="str">
        <f ca="1">+INDEX(Idiomas!$D$212:$D$259,MATCH(T_Equipos[[#This Row],[Num]],Idiomas!$C$212:$C$259,0))</f>
        <v>República Checa</v>
      </c>
      <c r="C5" s="5" t="s">
        <v>0</v>
      </c>
      <c r="D5" s="5">
        <v>4</v>
      </c>
      <c r="F5" s="5" t="s">
        <v>73</v>
      </c>
      <c r="K5" s="8" t="str">
        <f ca="1">Idiomas!D215</f>
        <v>Argentina</v>
      </c>
      <c r="L5" s="8" t="s">
        <v>1272</v>
      </c>
      <c r="M5" s="8" t="e" vm="57">
        <v>#VALUE!</v>
      </c>
      <c r="O5" s="781">
        <v>4</v>
      </c>
      <c r="P5" s="725"/>
      <c r="Q5" s="785" cm="1">
        <f t="array" aca="1" ref="Q5" ca="1">IFERROR(MIN(IF(COUNTIF($Q$1:Q4,ADMIN!$H$6:$H$77)=0,ADMIN!$H$6:$H$77)),"")</f>
        <v>46187</v>
      </c>
      <c r="R5" s="784">
        <v>4</v>
      </c>
      <c r="S5" s="726"/>
      <c r="T5" s="786">
        <v>0.2</v>
      </c>
      <c r="X5" s="9"/>
    </row>
    <row r="6" spans="1:24" ht="15" customHeight="1">
      <c r="A6" s="5">
        <v>5</v>
      </c>
      <c r="B6" s="5" t="str">
        <f ca="1">+INDEX(Idiomas!$D$212:$D$259,MATCH(T_Equipos[[#This Row],[Num]],Idiomas!$C$212:$C$259,0))</f>
        <v>Canadá</v>
      </c>
      <c r="C6" s="5" t="s">
        <v>1</v>
      </c>
      <c r="D6" s="5">
        <v>1</v>
      </c>
      <c r="F6" s="5" t="s">
        <v>3</v>
      </c>
      <c r="K6" s="8" t="str">
        <f ca="1">Idiomas!D216</f>
        <v>Australia</v>
      </c>
      <c r="L6" s="8" t="s">
        <v>1273</v>
      </c>
      <c r="M6" s="8" t="e" vm="58">
        <v>#VALUE!</v>
      </c>
      <c r="O6" s="781">
        <v>5</v>
      </c>
      <c r="P6" s="725"/>
      <c r="Q6" s="785" cm="1">
        <f t="array" aca="1" ref="Q6" ca="1">IFERROR(MIN(IF(COUNTIF($Q$1:Q5,ADMIN!$H$6:$H$77)=0,ADMIN!$H$6:$H$77)),"")</f>
        <v>46188</v>
      </c>
      <c r="R6" s="784">
        <v>5</v>
      </c>
      <c r="S6" s="726"/>
      <c r="T6" s="786">
        <v>0.25</v>
      </c>
      <c r="X6" s="9"/>
    </row>
    <row r="7" spans="1:24" ht="15" customHeight="1">
      <c r="A7" s="5">
        <v>6</v>
      </c>
      <c r="B7" s="5" t="str">
        <f ca="1">+INDEX(Idiomas!$D$212:$D$259,MATCH(T_Equipos[[#This Row],[Num]],Idiomas!$C$212:$C$259,0))</f>
        <v>Bosnia y Herzegovina</v>
      </c>
      <c r="C7" s="5" t="s">
        <v>1</v>
      </c>
      <c r="D7" s="5">
        <v>2</v>
      </c>
      <c r="F7" s="5" t="s">
        <v>4</v>
      </c>
      <c r="K7" s="8" t="str">
        <f ca="1">Idiomas!D217</f>
        <v>Austria</v>
      </c>
      <c r="L7" s="781" t="s">
        <v>145</v>
      </c>
      <c r="M7" s="781" t="e" vm="59">
        <v>#VALUE!</v>
      </c>
      <c r="O7" s="781">
        <v>6</v>
      </c>
      <c r="P7" s="725"/>
      <c r="Q7" s="785" cm="1">
        <f t="array" aca="1" ref="Q7" ca="1">IFERROR(MIN(IF(COUNTIF($Q$1:Q6,ADMIN!$H$6:$H$77)=0,ADMIN!$H$6:$H$77)),"")</f>
        <v>46189</v>
      </c>
      <c r="R7" s="784">
        <v>6</v>
      </c>
      <c r="S7" s="726"/>
      <c r="T7" s="786">
        <v>0.3</v>
      </c>
      <c r="X7" s="9"/>
    </row>
    <row r="8" spans="1:24" ht="15" customHeight="1">
      <c r="A8" s="5">
        <v>7</v>
      </c>
      <c r="B8" s="5" t="str">
        <f ca="1">+INDEX(Idiomas!$D$212:$D$259,MATCH(T_Equipos[[#This Row],[Num]],Idiomas!$C$212:$C$259,0))</f>
        <v>Catar</v>
      </c>
      <c r="C8" s="5" t="s">
        <v>1</v>
      </c>
      <c r="D8" s="5">
        <v>3</v>
      </c>
      <c r="F8" s="5" t="s">
        <v>6</v>
      </c>
      <c r="K8" s="8" t="str">
        <f ca="1">Idiomas!D218</f>
        <v>Bélgica</v>
      </c>
      <c r="L8" s="8" t="s">
        <v>140</v>
      </c>
      <c r="M8" s="8" t="e" vm="60">
        <v>#VALUE!</v>
      </c>
      <c r="O8" s="781">
        <v>7</v>
      </c>
      <c r="P8" s="725"/>
      <c r="Q8" s="785" cm="1">
        <f t="array" aca="1" ref="Q8" ca="1">IFERROR(MIN(IF(COUNTIF($Q$1:Q7,ADMIN!$H$6:$H$77)=0,ADMIN!$H$6:$H$77)),"")</f>
        <v>46190</v>
      </c>
      <c r="R8" s="784">
        <v>7</v>
      </c>
      <c r="S8" s="726"/>
      <c r="T8" s="786">
        <v>0.35</v>
      </c>
      <c r="X8" s="9"/>
    </row>
    <row r="9" spans="1:24" ht="15" customHeight="1">
      <c r="A9" s="5">
        <v>8</v>
      </c>
      <c r="B9" s="5" t="str">
        <f ca="1">+INDEX(Idiomas!$D$212:$D$259,MATCH(T_Equipos[[#This Row],[Num]],Idiomas!$C$212:$C$259,0))</f>
        <v>Suiza</v>
      </c>
      <c r="C9" s="5" t="s">
        <v>1</v>
      </c>
      <c r="D9" s="5">
        <v>4</v>
      </c>
      <c r="F9" s="5" t="s">
        <v>437</v>
      </c>
      <c r="K9" s="8" t="str">
        <f ca="1">Idiomas!D219</f>
        <v>Brasil</v>
      </c>
      <c r="L9" s="8" t="s">
        <v>1275</v>
      </c>
      <c r="M9" s="8" t="e" vm="61">
        <v>#VALUE!</v>
      </c>
      <c r="O9" s="781">
        <v>8</v>
      </c>
      <c r="P9" s="725"/>
      <c r="Q9" s="785" cm="1">
        <f t="array" aca="1" ref="Q9" ca="1">IFERROR(MIN(IF(COUNTIF($Q$1:Q8,ADMIN!$H$6:$H$77)=0,ADMIN!$H$6:$H$77)),"")</f>
        <v>46191</v>
      </c>
      <c r="R9" s="784">
        <v>8</v>
      </c>
      <c r="S9" s="726"/>
      <c r="T9" s="786">
        <v>0.4</v>
      </c>
      <c r="X9" s="9"/>
    </row>
    <row r="10" spans="1:24" ht="15" customHeight="1">
      <c r="A10" s="5">
        <v>9</v>
      </c>
      <c r="B10" s="5" t="str">
        <f ca="1">+INDEX(Idiomas!$D$212:$D$259,MATCH(T_Equipos[[#This Row],[Num]],Idiomas!$C$212:$C$259,0))</f>
        <v>Brasil</v>
      </c>
      <c r="C10" s="5" t="s">
        <v>2</v>
      </c>
      <c r="D10" s="5">
        <v>1</v>
      </c>
      <c r="F10" s="5" t="s">
        <v>438</v>
      </c>
      <c r="K10" s="8" t="str">
        <f ca="1">Idiomas!D220</f>
        <v>Cabo Verde</v>
      </c>
      <c r="L10" s="8" t="s">
        <v>1557</v>
      </c>
      <c r="M10" s="8" t="e" vm="62">
        <v>#VALUE!</v>
      </c>
      <c r="O10" s="781">
        <v>9</v>
      </c>
      <c r="P10" s="725"/>
      <c r="Q10" s="785" cm="1">
        <f t="array" aca="1" ref="Q10" ca="1">IFERROR(MIN(IF(COUNTIF($Q$1:Q9,ADMIN!$H$6:$H$77)=0,ADMIN!$H$6:$H$77)),"")</f>
        <v>46192</v>
      </c>
      <c r="R10" s="784">
        <v>9</v>
      </c>
      <c r="S10" s="726"/>
      <c r="T10" s="786">
        <v>0.45</v>
      </c>
      <c r="X10" s="9"/>
    </row>
    <row r="11" spans="1:24" ht="15" customHeight="1">
      <c r="A11" s="5">
        <v>10</v>
      </c>
      <c r="B11" s="5" t="str">
        <f ca="1">+INDEX(Idiomas!$D$212:$D$259,MATCH(T_Equipos[[#This Row],[Num]],Idiomas!$C$212:$C$259,0))</f>
        <v>Marruecos</v>
      </c>
      <c r="C11" s="5" t="s">
        <v>2</v>
      </c>
      <c r="D11" s="5">
        <v>2</v>
      </c>
      <c r="F11" s="5" t="s">
        <v>5</v>
      </c>
      <c r="K11" s="8" t="str">
        <f ca="1">Idiomas!D221</f>
        <v>Canadá</v>
      </c>
      <c r="L11" s="8" t="s">
        <v>1277</v>
      </c>
      <c r="M11" s="8" t="e" vm="63">
        <v>#VALUE!</v>
      </c>
      <c r="O11" s="781">
        <v>10</v>
      </c>
      <c r="P11" s="725"/>
      <c r="Q11" s="785" cm="1">
        <f t="array" aca="1" ref="Q11" ca="1">IFERROR(MIN(IF(COUNTIF($Q$1:Q10,ADMIN!$H$6:$H$77)=0,ADMIN!$H$6:$H$77)),"")</f>
        <v>46193</v>
      </c>
      <c r="R11" s="784">
        <v>10</v>
      </c>
      <c r="S11" s="726"/>
      <c r="T11" s="786">
        <v>0.5</v>
      </c>
      <c r="X11" s="9"/>
    </row>
    <row r="12" spans="1:24" ht="15" customHeight="1">
      <c r="A12" s="5">
        <v>11</v>
      </c>
      <c r="B12" s="5" t="str">
        <f ca="1">+INDEX(Idiomas!$D$212:$D$259,MATCH(T_Equipos[[#This Row],[Num]],Idiomas!$C$212:$C$259,0))</f>
        <v>Haití</v>
      </c>
      <c r="C12" s="5" t="s">
        <v>2</v>
      </c>
      <c r="D12" s="5">
        <v>3</v>
      </c>
      <c r="F12" s="5" t="s">
        <v>439</v>
      </c>
      <c r="K12" s="8" t="str">
        <f ca="1">Idiomas!D222</f>
        <v>Catar</v>
      </c>
      <c r="L12" s="8" t="s">
        <v>1638</v>
      </c>
      <c r="M12" s="8" t="e" vm="64">
        <v>#VALUE!</v>
      </c>
      <c r="O12" s="781">
        <v>11</v>
      </c>
      <c r="P12" s="725"/>
      <c r="Q12" s="785" cm="1">
        <f t="array" aca="1" ref="Q12" ca="1">IFERROR(MIN(IF(COUNTIF($Q$1:Q11,ADMIN!$H$6:$H$77)=0,ADMIN!$H$6:$H$77)),"")</f>
        <v>46194</v>
      </c>
      <c r="R12" s="784">
        <v>11</v>
      </c>
      <c r="S12" s="726"/>
      <c r="T12" s="786">
        <v>0.55000000000000004</v>
      </c>
      <c r="X12" s="9"/>
    </row>
    <row r="13" spans="1:24" ht="15" customHeight="1">
      <c r="A13" s="5">
        <v>12</v>
      </c>
      <c r="B13" s="5" t="str">
        <f ca="1">+INDEX(Idiomas!$D$212:$D$259,MATCH(T_Equipos[[#This Row],[Num]],Idiomas!$C$212:$C$259,0))</f>
        <v>Escocia</v>
      </c>
      <c r="C13" s="5" t="s">
        <v>2</v>
      </c>
      <c r="D13" s="5">
        <v>4</v>
      </c>
      <c r="F13" s="5" t="s">
        <v>238</v>
      </c>
      <c r="K13" s="8" t="str">
        <f ca="1">Idiomas!D223</f>
        <v>Colombia</v>
      </c>
      <c r="L13" s="8" t="s">
        <v>1325</v>
      </c>
      <c r="M13" s="8" t="e" vm="65">
        <v>#VALUE!</v>
      </c>
      <c r="O13" s="781">
        <v>12</v>
      </c>
      <c r="P13" s="725"/>
      <c r="Q13" s="785" cm="1">
        <f t="array" aca="1" ref="Q13" ca="1">IFERROR(MIN(IF(COUNTIF($Q$1:Q12,ADMIN!$H$6:$H$77)=0,ADMIN!$H$6:$H$77)),"")</f>
        <v>46195</v>
      </c>
      <c r="R13" s="784">
        <v>12</v>
      </c>
      <c r="S13" s="726"/>
      <c r="T13" s="786">
        <v>0.6</v>
      </c>
      <c r="X13" s="9"/>
    </row>
    <row r="14" spans="1:24" ht="15" customHeight="1">
      <c r="A14" s="5">
        <v>13</v>
      </c>
      <c r="B14" s="5" t="str">
        <f ca="1">+INDEX(Idiomas!$D$212:$D$259,MATCH(T_Equipos[[#This Row],[Num]],Idiomas!$C$212:$C$259,0))</f>
        <v>Estados Unidos</v>
      </c>
      <c r="C14" s="5" t="s">
        <v>73</v>
      </c>
      <c r="D14" s="5">
        <v>1</v>
      </c>
      <c r="K14" s="8" t="str">
        <f ca="1">Idiomas!D224</f>
        <v>Corea del Sur</v>
      </c>
      <c r="L14" s="8" t="s">
        <v>1279</v>
      </c>
      <c r="M14" s="8" t="e" vm="66">
        <v>#VALUE!</v>
      </c>
      <c r="O14" s="781">
        <v>13</v>
      </c>
      <c r="P14" s="725"/>
      <c r="Q14" s="785" cm="1">
        <f t="array" aca="1" ref="Q14" ca="1">IFERROR(MIN(IF(COUNTIF($Q$1:Q13,ADMIN!$H$6:$H$77)=0,ADMIN!$H$6:$H$77)),"")</f>
        <v>46196</v>
      </c>
      <c r="R14" s="784">
        <v>13</v>
      </c>
      <c r="S14" s="726"/>
      <c r="T14" s="786">
        <v>0.65</v>
      </c>
      <c r="X14" s="9"/>
    </row>
    <row r="15" spans="1:24" ht="15" customHeight="1">
      <c r="A15" s="5">
        <v>14</v>
      </c>
      <c r="B15" s="5" t="str">
        <f ca="1">+INDEX(Idiomas!$D$212:$D$259,MATCH(T_Equipos[[#This Row],[Num]],Idiomas!$C$212:$C$259,0))</f>
        <v>Paraguay</v>
      </c>
      <c r="C15" s="5" t="s">
        <v>73</v>
      </c>
      <c r="D15" s="5">
        <v>2</v>
      </c>
      <c r="K15" s="8" t="str">
        <f ca="1">Idiomas!D225</f>
        <v>Costa de Marfil</v>
      </c>
      <c r="L15" s="8" t="s">
        <v>1642</v>
      </c>
      <c r="M15" s="11" t="e" vm="67">
        <v>#VALUE!</v>
      </c>
      <c r="O15" s="781">
        <v>14</v>
      </c>
      <c r="P15" s="725"/>
      <c r="Q15" s="785" cm="1">
        <f t="array" aca="1" ref="Q15" ca="1">IFERROR(MIN(IF(COUNTIF($Q$1:Q14,ADMIN!$H$6:$H$77)=0,ADMIN!$H$6:$H$77)),"")</f>
        <v>46197</v>
      </c>
      <c r="R15" s="784">
        <v>14</v>
      </c>
      <c r="S15" s="726"/>
      <c r="T15" s="786">
        <v>0.7</v>
      </c>
      <c r="X15" s="9"/>
    </row>
    <row r="16" spans="1:24" ht="15" customHeight="1">
      <c r="A16" s="5">
        <v>15</v>
      </c>
      <c r="B16" s="5" t="str">
        <f ca="1">+INDEX(Idiomas!$D$212:$D$259,MATCH(T_Equipos[[#This Row],[Num]],Idiomas!$C$212:$C$259,0))</f>
        <v>Australia</v>
      </c>
      <c r="C16" s="5" t="s">
        <v>73</v>
      </c>
      <c r="D16" s="5">
        <v>3</v>
      </c>
      <c r="K16" s="8" t="str">
        <f ca="1">Idiomas!D226</f>
        <v>Croacia</v>
      </c>
      <c r="L16" s="8" t="s">
        <v>143</v>
      </c>
      <c r="M16" s="8" t="e" vm="68">
        <v>#VALUE!</v>
      </c>
      <c r="O16" s="781">
        <v>15</v>
      </c>
      <c r="P16" s="725"/>
      <c r="Q16" s="785" cm="1">
        <f t="array" aca="1" ref="Q16" ca="1">IFERROR(MIN(IF(COUNTIF($Q$1:Q15,ADMIN!$H$6:$H$77)=0,ADMIN!$H$6:$H$77)),"")</f>
        <v>46198</v>
      </c>
      <c r="R16" s="784">
        <v>15</v>
      </c>
      <c r="S16" s="726"/>
      <c r="T16" s="786">
        <v>0.75</v>
      </c>
      <c r="X16" s="9"/>
    </row>
    <row r="17" spans="1:24" ht="15" customHeight="1">
      <c r="A17" s="5">
        <v>16</v>
      </c>
      <c r="B17" s="5" t="str">
        <f ca="1">+INDEX(Idiomas!$D$212:$D$259,MATCH(T_Equipos[[#This Row],[Num]],Idiomas!$C$212:$C$259,0))</f>
        <v>Turquía</v>
      </c>
      <c r="C17" s="5" t="s">
        <v>73</v>
      </c>
      <c r="D17" s="5">
        <v>4</v>
      </c>
      <c r="K17" s="8" t="str">
        <f ca="1">Idiomas!D227</f>
        <v>Curazao</v>
      </c>
      <c r="L17" s="8" t="s">
        <v>1732</v>
      </c>
      <c r="M17" s="8" t="e" vm="69">
        <v>#VALUE!</v>
      </c>
      <c r="O17" s="781">
        <v>16</v>
      </c>
      <c r="P17" s="725"/>
      <c r="Q17" s="785" cm="1">
        <f t="array" aca="1" ref="Q17" ca="1">IFERROR(MIN(IF(COUNTIF($Q$1:Q16,ADMIN!$H$6:$H$77)=0,ADMIN!$H$6:$H$77)),"")</f>
        <v>46199</v>
      </c>
      <c r="R17" s="784">
        <v>16</v>
      </c>
      <c r="S17" s="726"/>
      <c r="T17" s="786">
        <v>0.8</v>
      </c>
      <c r="X17" s="9"/>
    </row>
    <row r="18" spans="1:24" ht="15" customHeight="1">
      <c r="A18" s="5">
        <v>17</v>
      </c>
      <c r="B18" s="5" t="str">
        <f ca="1">+INDEX(Idiomas!$D$212:$D$259,MATCH(T_Equipos[[#This Row],[Num]],Idiomas!$C$212:$C$259,0))</f>
        <v>Alemania</v>
      </c>
      <c r="C18" s="5" t="s">
        <v>3</v>
      </c>
      <c r="D18" s="5">
        <v>1</v>
      </c>
      <c r="K18" s="8" t="str">
        <f ca="1">Idiomas!D228</f>
        <v>Ecuador</v>
      </c>
      <c r="L18" s="8" t="s">
        <v>1280</v>
      </c>
      <c r="M18" s="11" t="e" vm="70">
        <v>#VALUE!</v>
      </c>
      <c r="O18" s="781">
        <v>17</v>
      </c>
      <c r="P18" s="725"/>
      <c r="Q18" s="785" cm="1">
        <f t="array" aca="1" ref="Q18" ca="1">IFERROR(MIN(IF(COUNTIF($Q$1:Q17,ADMIN!$H$6:$H$77)=0,ADMIN!$H$6:$H$77)),"")</f>
        <v>46200</v>
      </c>
      <c r="R18" s="784">
        <v>17</v>
      </c>
      <c r="S18" s="726"/>
      <c r="T18" s="786">
        <v>0.85</v>
      </c>
      <c r="X18" s="9"/>
    </row>
    <row r="19" spans="1:24" ht="15" customHeight="1">
      <c r="A19" s="5">
        <v>18</v>
      </c>
      <c r="B19" s="5" t="str">
        <f ca="1">+INDEX(Idiomas!$D$212:$D$259,MATCH(T_Equipos[[#This Row],[Num]],Idiomas!$C$212:$C$259,0))</f>
        <v>Curazao</v>
      </c>
      <c r="C19" s="5" t="s">
        <v>3</v>
      </c>
      <c r="D19" s="5">
        <v>2</v>
      </c>
      <c r="K19" s="8" t="str">
        <f ca="1">Idiomas!D229</f>
        <v>Egipto</v>
      </c>
      <c r="L19" s="8" t="s">
        <v>1554</v>
      </c>
      <c r="M19" s="11" t="e" vm="71">
        <v>#VALUE!</v>
      </c>
      <c r="O19" s="781">
        <v>18</v>
      </c>
      <c r="P19" s="725"/>
      <c r="Q19" s="785" cm="1">
        <f t="array" aca="1" ref="Q19" ca="1">IFERROR(MIN(IF(COUNTIF($Q$1:Q18,ADMIN!$H$6:$H$77)=0,ADMIN!$H$6:$H$77)),"")</f>
        <v>46201</v>
      </c>
      <c r="R19" s="784">
        <v>18</v>
      </c>
      <c r="S19" s="726"/>
      <c r="T19" s="786">
        <v>0.9</v>
      </c>
      <c r="X19" s="9"/>
    </row>
    <row r="20" spans="1:24" ht="15" customHeight="1">
      <c r="A20" s="5">
        <v>19</v>
      </c>
      <c r="B20" s="5" t="str">
        <f ca="1">+INDEX(Idiomas!$D$212:$D$259,MATCH(T_Equipos[[#This Row],[Num]],Idiomas!$C$212:$C$259,0))</f>
        <v>Costa de Marfil</v>
      </c>
      <c r="C20" s="5" t="s">
        <v>3</v>
      </c>
      <c r="D20" s="5">
        <v>3</v>
      </c>
      <c r="K20" s="8" t="str">
        <f ca="1">Idiomas!D230</f>
        <v>Escocia</v>
      </c>
      <c r="L20" s="8" t="s">
        <v>146</v>
      </c>
      <c r="M20" s="8" t="e" vm="72">
        <v>#VALUE!</v>
      </c>
      <c r="O20" s="781">
        <v>19</v>
      </c>
      <c r="P20" s="725"/>
      <c r="Q20" s="781" t="str">
        <f>+PROPER(Idiomas!D137)</f>
        <v>Clasificados Para Dieciseisavos</v>
      </c>
      <c r="R20" s="781">
        <v>19</v>
      </c>
      <c r="T20" s="786">
        <v>0.95</v>
      </c>
      <c r="X20" s="9"/>
    </row>
    <row r="21" spans="1:24" ht="15" customHeight="1">
      <c r="A21" s="5">
        <v>20</v>
      </c>
      <c r="B21" s="5" t="str">
        <f ca="1">+INDEX(Idiomas!$D$212:$D$259,MATCH(T_Equipos[[#This Row],[Num]],Idiomas!$C$212:$C$259,0))</f>
        <v>Ecuador</v>
      </c>
      <c r="C21" s="5" t="s">
        <v>3</v>
      </c>
      <c r="D21" s="5">
        <v>4</v>
      </c>
      <c r="K21" s="8" t="str">
        <f ca="1">Idiomas!D231</f>
        <v>España</v>
      </c>
      <c r="L21" s="8" t="s">
        <v>142</v>
      </c>
      <c r="M21" s="8" t="e" vm="73">
        <v>#VALUE!</v>
      </c>
      <c r="O21" s="781">
        <v>20</v>
      </c>
      <c r="Q21" s="785" t="str">
        <f>Idiomas!D260</f>
        <v>Dieciseisavos de final</v>
      </c>
      <c r="R21" s="784">
        <v>20</v>
      </c>
      <c r="T21" s="723"/>
      <c r="X21" s="9"/>
    </row>
    <row r="22" spans="1:24" ht="15" customHeight="1">
      <c r="A22" s="5">
        <v>21</v>
      </c>
      <c r="B22" s="5" t="str">
        <f ca="1">+INDEX(Idiomas!$D$212:$D$259,MATCH(T_Equipos[[#This Row],[Num]],Idiomas!$C$212:$C$259,0))</f>
        <v>Países Bajos</v>
      </c>
      <c r="C22" s="5" t="s">
        <v>4</v>
      </c>
      <c r="D22" s="5">
        <v>1</v>
      </c>
      <c r="K22" s="8" t="str">
        <f ca="1">Idiomas!D232</f>
        <v>Estados Unidos</v>
      </c>
      <c r="L22" s="8" t="s">
        <v>1281</v>
      </c>
      <c r="M22" s="8" t="e" vm="74">
        <v>#VALUE!</v>
      </c>
      <c r="O22" s="781">
        <v>21</v>
      </c>
      <c r="Q22" s="785" t="str">
        <f>Idiomas!D261</f>
        <v>Octavos de final</v>
      </c>
      <c r="R22" s="784">
        <v>21</v>
      </c>
      <c r="T22" s="723"/>
      <c r="X22" s="9"/>
    </row>
    <row r="23" spans="1:24" ht="15" customHeight="1">
      <c r="A23" s="5">
        <v>22</v>
      </c>
      <c r="B23" s="5" t="str">
        <f ca="1">+INDEX(Idiomas!$D$212:$D$259,MATCH(T_Equipos[[#This Row],[Num]],Idiomas!$C$212:$C$259,0))</f>
        <v>Japón</v>
      </c>
      <c r="C23" s="5" t="s">
        <v>4</v>
      </c>
      <c r="D23" s="5">
        <v>2</v>
      </c>
      <c r="K23" s="8" t="str">
        <f ca="1">Idiomas!D233</f>
        <v>Francia</v>
      </c>
      <c r="L23" s="8" t="s">
        <v>141</v>
      </c>
      <c r="M23" s="8" t="e" vm="75">
        <v>#VALUE!</v>
      </c>
      <c r="O23" s="781">
        <v>22</v>
      </c>
      <c r="Q23" s="785" t="str">
        <f>Idiomas!D262</f>
        <v>Cuartos de final</v>
      </c>
      <c r="R23" s="784">
        <v>22</v>
      </c>
      <c r="X23" s="9"/>
    </row>
    <row r="24" spans="1:24" ht="15" customHeight="1">
      <c r="A24" s="5">
        <v>23</v>
      </c>
      <c r="B24" s="5" t="str">
        <f ca="1">+INDEX(Idiomas!$D$212:$D$259,MATCH(T_Equipos[[#This Row],[Num]],Idiomas!$C$212:$C$259,0))</f>
        <v>Suecia</v>
      </c>
      <c r="C24" s="5" t="s">
        <v>4</v>
      </c>
      <c r="D24" s="5">
        <v>3</v>
      </c>
      <c r="K24" s="8" t="str">
        <f ca="1">Idiomas!D234</f>
        <v>Ghana</v>
      </c>
      <c r="L24" s="8" t="s">
        <v>1555</v>
      </c>
      <c r="M24" s="8" t="e" vm="76">
        <v>#VALUE!</v>
      </c>
      <c r="O24" s="781">
        <v>23</v>
      </c>
      <c r="Q24" s="785" t="str">
        <f>Idiomas!D263</f>
        <v>Semifinales</v>
      </c>
      <c r="R24" s="784">
        <v>23</v>
      </c>
      <c r="X24" s="9"/>
    </row>
    <row r="25" spans="1:24" ht="15" customHeight="1">
      <c r="A25" s="5">
        <v>24</v>
      </c>
      <c r="B25" s="5" t="str">
        <f ca="1">+INDEX(Idiomas!$D$212:$D$259,MATCH(T_Equipos[[#This Row],[Num]],Idiomas!$C$212:$C$259,0))</f>
        <v>Túnez</v>
      </c>
      <c r="C25" s="5" t="s">
        <v>4</v>
      </c>
      <c r="D25" s="5">
        <v>4</v>
      </c>
      <c r="K25" s="8" t="str">
        <f ca="1">Idiomas!D235</f>
        <v>Haití</v>
      </c>
      <c r="L25" s="8" t="s">
        <v>1733</v>
      </c>
      <c r="M25" s="8" t="e" vm="77">
        <v>#VALUE!</v>
      </c>
      <c r="O25" s="781">
        <v>24</v>
      </c>
      <c r="Q25" s="785" t="str">
        <f>Idiomas!D264</f>
        <v>3-4 &amp; Final</v>
      </c>
      <c r="R25" s="784">
        <v>24</v>
      </c>
      <c r="X25" s="9"/>
    </row>
    <row r="26" spans="1:24" ht="15" customHeight="1">
      <c r="A26" s="5">
        <v>25</v>
      </c>
      <c r="B26" s="5" t="str">
        <f ca="1">+INDEX(Idiomas!$D$212:$D$259,MATCH(T_Equipos[[#This Row],[Num]],Idiomas!$C$212:$C$259,0))</f>
        <v>Bélgica</v>
      </c>
      <c r="C26" s="5" t="s">
        <v>6</v>
      </c>
      <c r="D26" s="5">
        <v>1</v>
      </c>
      <c r="K26" s="8" t="str">
        <f ca="1">Idiomas!D236</f>
        <v>Inglaterra</v>
      </c>
      <c r="L26" s="8" t="s">
        <v>139</v>
      </c>
      <c r="M26" s="8" t="e" vm="78">
        <v>#VALUE!</v>
      </c>
      <c r="O26" s="781">
        <v>25</v>
      </c>
      <c r="Q26" s="781" t="str">
        <f>+PROPER(Idiomas!G137)</f>
        <v>Clasificados Para Dieciseisavos</v>
      </c>
      <c r="R26" s="781">
        <v>19</v>
      </c>
      <c r="X26" s="9"/>
    </row>
    <row r="27" spans="1:24" ht="15" customHeight="1">
      <c r="A27" s="5">
        <v>26</v>
      </c>
      <c r="B27" s="5" t="str">
        <f ca="1">+INDEX(Idiomas!$D$212:$D$259,MATCH(T_Equipos[[#This Row],[Num]],Idiomas!$C$212:$C$259,0))</f>
        <v>Egipto</v>
      </c>
      <c r="C27" s="5" t="s">
        <v>6</v>
      </c>
      <c r="D27" s="5">
        <v>2</v>
      </c>
      <c r="K27" s="8" t="str">
        <f ca="1">Idiomas!D237</f>
        <v>Irán</v>
      </c>
      <c r="L27" s="8" t="str">
        <f>+INDEX(Credits!$W$87:$W$91,MATCH(Credits!$N$87,Credits!$U$87:$U$91,0))</f>
        <v>🇮🇷</v>
      </c>
      <c r="M27" s="8" t="e" vm="27">
        <f>+INDEX(Credits!$X$87:$X$91,MATCH(Credits!$N$87,Credits!$U$87:$U$91,0))</f>
        <v>#VALUE!</v>
      </c>
      <c r="O27" s="781">
        <v>26</v>
      </c>
      <c r="P27" s="726"/>
      <c r="Q27" s="785" t="str">
        <f>Idiomas!G260</f>
        <v>Dieciseisavos de final</v>
      </c>
      <c r="R27" s="784">
        <v>20</v>
      </c>
      <c r="X27" s="9"/>
    </row>
    <row r="28" spans="1:24" ht="15" customHeight="1">
      <c r="A28" s="5">
        <v>27</v>
      </c>
      <c r="B28" s="5" t="str">
        <f ca="1">+INDEX(Idiomas!$D$212:$D$259,MATCH(T_Equipos[[#This Row],[Num]],Idiomas!$C$212:$C$259,0))</f>
        <v>Irán</v>
      </c>
      <c r="C28" s="5" t="s">
        <v>6</v>
      </c>
      <c r="D28" s="5">
        <v>3</v>
      </c>
      <c r="K28" s="8" t="str">
        <f ca="1">Idiomas!D238</f>
        <v>Japón</v>
      </c>
      <c r="L28" s="8" t="s">
        <v>1285</v>
      </c>
      <c r="M28" s="8" t="e" vm="79">
        <v>#VALUE!</v>
      </c>
      <c r="O28" s="781">
        <v>27</v>
      </c>
      <c r="P28" s="726"/>
      <c r="Q28" s="785" t="str">
        <f>Idiomas!G261</f>
        <v>Octavos de final</v>
      </c>
      <c r="R28" s="784">
        <v>21</v>
      </c>
      <c r="X28" s="9"/>
    </row>
    <row r="29" spans="1:24" ht="15" customHeight="1">
      <c r="A29" s="5">
        <v>28</v>
      </c>
      <c r="B29" s="5" t="str">
        <f ca="1">+INDEX(Idiomas!$D$212:$D$259,MATCH(T_Equipos[[#This Row],[Num]],Idiomas!$C$212:$C$259,0))</f>
        <v>Nueva Zelanda</v>
      </c>
      <c r="C29" s="5" t="s">
        <v>6</v>
      </c>
      <c r="D29" s="5">
        <v>4</v>
      </c>
      <c r="K29" s="8" t="str">
        <f ca="1">Idiomas!D239</f>
        <v>Jordania</v>
      </c>
      <c r="L29" s="8" t="s">
        <v>1287</v>
      </c>
      <c r="M29" s="8" t="e" vm="80">
        <v>#VALUE!</v>
      </c>
      <c r="O29" s="781">
        <v>28</v>
      </c>
      <c r="P29" s="726"/>
      <c r="Q29" s="785" t="str">
        <f>Idiomas!G262</f>
        <v>Cuartos de final</v>
      </c>
      <c r="R29" s="784">
        <v>22</v>
      </c>
      <c r="X29" s="9"/>
    </row>
    <row r="30" spans="1:24" ht="15" customHeight="1">
      <c r="A30" s="5">
        <v>29</v>
      </c>
      <c r="B30" s="5" t="str">
        <f ca="1">+INDEX(Idiomas!$D$212:$D$259,MATCH(T_Equipos[[#This Row],[Num]],Idiomas!$C$212:$C$259,0))</f>
        <v>España</v>
      </c>
      <c r="C30" s="5" t="s">
        <v>437</v>
      </c>
      <c r="D30" s="5">
        <v>1</v>
      </c>
      <c r="K30" s="8" t="str">
        <f ca="1">Idiomas!D240</f>
        <v>Marruecos</v>
      </c>
      <c r="L30" s="8" t="s">
        <v>1327</v>
      </c>
      <c r="M30" s="8" t="e" vm="81">
        <v>#VALUE!</v>
      </c>
      <c r="O30" s="781">
        <v>29</v>
      </c>
      <c r="Q30" s="785" t="str">
        <f>Idiomas!G263</f>
        <v>Semifinales</v>
      </c>
      <c r="R30" s="784">
        <v>23</v>
      </c>
      <c r="X30" s="9"/>
    </row>
    <row r="31" spans="1:24" ht="15" customHeight="1">
      <c r="A31" s="5">
        <v>30</v>
      </c>
      <c r="B31" s="5" t="str">
        <f ca="1">+INDEX(Idiomas!$D$212:$D$259,MATCH(T_Equipos[[#This Row],[Num]],Idiomas!$C$212:$C$259,0))</f>
        <v>Cabo Verde</v>
      </c>
      <c r="C31" s="5" t="s">
        <v>437</v>
      </c>
      <c r="D31" s="5">
        <v>2</v>
      </c>
      <c r="K31" s="8" t="str">
        <f ca="1">Idiomas!D241</f>
        <v>México</v>
      </c>
      <c r="L31" s="8" t="s">
        <v>1289</v>
      </c>
      <c r="M31" s="8" t="e" vm="82">
        <v>#VALUE!</v>
      </c>
      <c r="O31" s="781">
        <v>30</v>
      </c>
      <c r="Q31" s="785" t="str">
        <f>Idiomas!G264</f>
        <v>3-4 &amp; Final</v>
      </c>
      <c r="R31" s="784">
        <v>24</v>
      </c>
      <c r="X31" s="9"/>
    </row>
    <row r="32" spans="1:24" ht="15" customHeight="1">
      <c r="A32" s="5">
        <v>31</v>
      </c>
      <c r="B32" s="5" t="str">
        <f ca="1">+INDEX(Idiomas!$D$212:$D$259,MATCH(T_Equipos[[#This Row],[Num]],Idiomas!$C$212:$C$259,0))</f>
        <v>Arabia Saudita</v>
      </c>
      <c r="C32" s="5" t="s">
        <v>437</v>
      </c>
      <c r="D32" s="5">
        <v>3</v>
      </c>
      <c r="K32" s="8" t="str">
        <f ca="1">Idiomas!D242</f>
        <v>Noruega</v>
      </c>
      <c r="L32" s="8" t="s">
        <v>147</v>
      </c>
      <c r="M32" s="8" t="e" vm="83">
        <v>#VALUE!</v>
      </c>
      <c r="O32" s="781">
        <v>31</v>
      </c>
      <c r="Q32" s="781" t="str">
        <f>+PROPER(Idiomas!H137)</f>
        <v>Qualified For Round Of 32</v>
      </c>
      <c r="R32" s="781">
        <v>19</v>
      </c>
      <c r="X32" s="9"/>
    </row>
    <row r="33" spans="1:24" ht="15" customHeight="1">
      <c r="A33" s="5">
        <v>32</v>
      </c>
      <c r="B33" s="5" t="str">
        <f ca="1">+INDEX(Idiomas!$D$212:$D$259,MATCH(T_Equipos[[#This Row],[Num]],Idiomas!$C$212:$C$259,0))</f>
        <v>Uruguay</v>
      </c>
      <c r="C33" s="5" t="s">
        <v>437</v>
      </c>
      <c r="D33" s="5">
        <v>4</v>
      </c>
      <c r="K33" s="8" t="str">
        <f ca="1">Idiomas!D243</f>
        <v>Nueva Zelanda</v>
      </c>
      <c r="L33" s="8" t="s">
        <v>1291</v>
      </c>
      <c r="M33" s="8" t="e" vm="84">
        <v>#VALUE!</v>
      </c>
      <c r="O33" s="781">
        <v>32</v>
      </c>
      <c r="Q33" s="785" t="str">
        <f>Idiomas!H260</f>
        <v>Round of 32</v>
      </c>
      <c r="R33" s="784">
        <v>20</v>
      </c>
      <c r="X33" s="9"/>
    </row>
    <row r="34" spans="1:24" ht="15" customHeight="1">
      <c r="A34" s="5">
        <v>33</v>
      </c>
      <c r="B34" s="5" t="str">
        <f ca="1">+INDEX(Idiomas!$D$212:$D$259,MATCH(T_Equipos[[#This Row],[Num]],Idiomas!$C$212:$C$259,0))</f>
        <v>Francia</v>
      </c>
      <c r="C34" s="5" t="s">
        <v>438</v>
      </c>
      <c r="D34" s="5">
        <v>1</v>
      </c>
      <c r="K34" s="8" t="str">
        <f ca="1">Idiomas!D244</f>
        <v>Países Bajos</v>
      </c>
      <c r="L34" s="8" t="s">
        <v>138</v>
      </c>
      <c r="M34" s="8" t="e" vm="85">
        <v>#VALUE!</v>
      </c>
      <c r="O34" s="781">
        <v>33</v>
      </c>
      <c r="Q34" s="785" t="str">
        <f>Idiomas!H261</f>
        <v>Round Of 16</v>
      </c>
      <c r="R34" s="784">
        <v>21</v>
      </c>
      <c r="X34" s="9"/>
    </row>
    <row r="35" spans="1:24" ht="15" customHeight="1">
      <c r="A35" s="5">
        <v>34</v>
      </c>
      <c r="B35" s="5" t="str">
        <f ca="1">+INDEX(Idiomas!$D$212:$D$259,MATCH(T_Equipos[[#This Row],[Num]],Idiomas!$C$212:$C$259,0))</f>
        <v>Senegal</v>
      </c>
      <c r="C35" s="5" t="s">
        <v>438</v>
      </c>
      <c r="D35" s="5">
        <v>2</v>
      </c>
      <c r="K35" s="8" t="str">
        <f ca="1">Idiomas!D245</f>
        <v>Panamá</v>
      </c>
      <c r="L35" s="8" t="s">
        <v>1734</v>
      </c>
      <c r="M35" s="8" t="e" vm="86">
        <v>#VALUE!</v>
      </c>
      <c r="O35" s="781">
        <v>34</v>
      </c>
      <c r="Q35" s="785" t="str">
        <f>Idiomas!H262</f>
        <v>Quarterfinals</v>
      </c>
      <c r="R35" s="784">
        <v>22</v>
      </c>
      <c r="X35" s="9"/>
    </row>
    <row r="36" spans="1:24" ht="15" customHeight="1">
      <c r="A36" s="5">
        <v>35</v>
      </c>
      <c r="B36" s="5" t="str">
        <f ca="1">+INDEX(Idiomas!$D$212:$D$259,MATCH(T_Equipos[[#This Row],[Num]],Idiomas!$C$212:$C$259,0))</f>
        <v>Irak</v>
      </c>
      <c r="C36" s="5" t="s">
        <v>438</v>
      </c>
      <c r="D36" s="5">
        <v>3</v>
      </c>
      <c r="K36" s="8" t="str">
        <f ca="1">Idiomas!D246</f>
        <v>Paraguay</v>
      </c>
      <c r="L36" s="8" t="s">
        <v>1324</v>
      </c>
      <c r="M36" s="8" t="e" vm="87">
        <v>#VALUE!</v>
      </c>
      <c r="O36" s="781">
        <v>35</v>
      </c>
      <c r="Q36" s="785" t="str">
        <f>Idiomas!H263</f>
        <v>Semifinals</v>
      </c>
      <c r="R36" s="784">
        <v>23</v>
      </c>
      <c r="X36" s="9"/>
    </row>
    <row r="37" spans="1:24" ht="15" customHeight="1">
      <c r="A37" s="5">
        <v>36</v>
      </c>
      <c r="B37" s="5" t="str">
        <f ca="1">+INDEX(Idiomas!$D$212:$D$259,MATCH(T_Equipos[[#This Row],[Num]],Idiomas!$C$212:$C$259,0))</f>
        <v>Noruega</v>
      </c>
      <c r="C37" s="5" t="s">
        <v>438</v>
      </c>
      <c r="D37" s="5">
        <v>4</v>
      </c>
      <c r="K37" s="8" t="str">
        <f ca="1">Idiomas!D247</f>
        <v>Portugal</v>
      </c>
      <c r="L37" s="8" t="s">
        <v>137</v>
      </c>
      <c r="M37" s="8" t="e" vm="88">
        <v>#VALUE!</v>
      </c>
      <c r="O37" s="781">
        <v>36</v>
      </c>
      <c r="Q37" s="785" t="str">
        <f>Idiomas!H264</f>
        <v>3-4 &amp; Final</v>
      </c>
      <c r="R37" s="784">
        <v>24</v>
      </c>
      <c r="T37" s="725"/>
      <c r="U37" s="725"/>
      <c r="X37" s="9"/>
    </row>
    <row r="38" spans="1:24" ht="15" customHeight="1">
      <c r="A38" s="5">
        <v>37</v>
      </c>
      <c r="B38" s="5" t="str">
        <f ca="1">+INDEX(Idiomas!$D$212:$D$259,MATCH(T_Equipos[[#This Row],[Num]],Idiomas!$C$212:$C$259,0))</f>
        <v>Argentina</v>
      </c>
      <c r="C38" s="5" t="s">
        <v>5</v>
      </c>
      <c r="D38" s="5">
        <v>1</v>
      </c>
      <c r="K38" s="8" t="str">
        <f ca="1">Idiomas!D248</f>
        <v>Senegal</v>
      </c>
      <c r="L38" s="8" t="s">
        <v>1643</v>
      </c>
      <c r="M38" s="8" t="e" vm="89">
        <v>#VALUE!</v>
      </c>
      <c r="O38" s="781">
        <v>37</v>
      </c>
      <c r="T38" s="725"/>
      <c r="U38" s="725"/>
    </row>
    <row r="39" spans="1:24" ht="15" customHeight="1">
      <c r="A39" s="5">
        <v>38</v>
      </c>
      <c r="B39" s="5" t="str">
        <f ca="1">+INDEX(Idiomas!$D$212:$D$259,MATCH(T_Equipos[[#This Row],[Num]],Idiomas!$C$212:$C$259,0))</f>
        <v>Argelia</v>
      </c>
      <c r="C39" s="5" t="s">
        <v>5</v>
      </c>
      <c r="D39" s="5">
        <v>2</v>
      </c>
      <c r="K39" s="8" t="str">
        <f ca="1">Idiomas!D249</f>
        <v>Sudáfrica</v>
      </c>
      <c r="L39" s="8" t="s">
        <v>1636</v>
      </c>
      <c r="M39" s="8" t="e" vm="90">
        <v>#VALUE!</v>
      </c>
      <c r="O39" s="781">
        <v>38</v>
      </c>
      <c r="Q39" s="781" t="s">
        <v>1647</v>
      </c>
      <c r="R39" s="781" t="s">
        <v>1648</v>
      </c>
      <c r="S39" s="781" t="s">
        <v>1935</v>
      </c>
      <c r="T39" s="725"/>
      <c r="U39" s="725"/>
    </row>
    <row r="40" spans="1:24" ht="15" customHeight="1">
      <c r="A40" s="5">
        <v>39</v>
      </c>
      <c r="B40" s="5" t="str">
        <f ca="1">+INDEX(Idiomas!$D$212:$D$259,MATCH(T_Equipos[[#This Row],[Num]],Idiomas!$C$212:$C$259,0))</f>
        <v>Austria</v>
      </c>
      <c r="C40" s="5" t="s">
        <v>5</v>
      </c>
      <c r="D40" s="5">
        <v>3</v>
      </c>
      <c r="K40" s="8" t="str">
        <f ca="1">Idiomas!D250</f>
        <v>Suiza</v>
      </c>
      <c r="L40" s="8" t="s">
        <v>136</v>
      </c>
      <c r="M40" s="8" t="e" vm="91">
        <v>#VALUE!</v>
      </c>
      <c r="O40" s="781">
        <v>39</v>
      </c>
      <c r="Q40" s="785" cm="1">
        <f t="array" aca="1" ref="Q40" ca="1">IFERROR(INDEX($Q$2:$Q$25,SMALL(IF(($Q$2:$Q$25)=0,"",ROW($Q$2:$Q$25)),ROW(Q1))-MIN(ROW($Q$2:$Q$25))+1),"")</f>
        <v>46184</v>
      </c>
      <c r="R40" s="785" cm="1">
        <f t="array" aca="1" ref="R40:R63" ca="1">Equipos!$Q$40:INDEX(Equipos!$Q$40:$Q$63,SUMPRODUCT((NOT(ISERROR(Equipos!$Q$40:$Q$63)))*(Equipos!$Q$40:$Q$63&lt;&gt;"")))</f>
        <v>46184</v>
      </c>
      <c r="S40" s="781"/>
      <c r="T40" s="725"/>
      <c r="U40" s="725"/>
    </row>
    <row r="41" spans="1:24" ht="15" customHeight="1">
      <c r="A41" s="5">
        <v>40</v>
      </c>
      <c r="B41" s="5" t="str">
        <f ca="1">+INDEX(Idiomas!$D$212:$D$259,MATCH(T_Equipos[[#This Row],[Num]],Idiomas!$C$212:$C$259,0))</f>
        <v>Jordania</v>
      </c>
      <c r="C41" s="5" t="s">
        <v>5</v>
      </c>
      <c r="D41" s="5">
        <v>4</v>
      </c>
      <c r="K41" s="8" t="str">
        <f ca="1">Idiomas!D251</f>
        <v>Túnez</v>
      </c>
      <c r="L41" s="8" t="s">
        <v>1329</v>
      </c>
      <c r="M41" s="8" t="e" vm="92">
        <v>#VALUE!</v>
      </c>
      <c r="O41" s="781">
        <v>40</v>
      </c>
      <c r="Q41" s="785" cm="1">
        <f t="array" aca="1" ref="Q41" ca="1">IFERROR(INDEX($Q$2:$Q$25,SMALL(IF(($Q$2:$Q$25)=0,"",ROW($Q$2:$Q$25)),ROW(Q2))-MIN(ROW($Q$2:$Q$25))+1),"")</f>
        <v>46185</v>
      </c>
      <c r="R41" s="785">
        <f ca="1"/>
        <v>46185</v>
      </c>
      <c r="S41" s="787"/>
      <c r="T41" s="725"/>
      <c r="U41" s="725"/>
    </row>
    <row r="42" spans="1:24" ht="15" customHeight="1">
      <c r="A42" s="5">
        <v>41</v>
      </c>
      <c r="B42" s="5" t="str">
        <f ca="1">+INDEX(Idiomas!$D$212:$D$259,MATCH(T_Equipos[[#This Row],[Num]],Idiomas!$C$212:$C$259,0))</f>
        <v>Portugal</v>
      </c>
      <c r="C42" s="5" t="s">
        <v>439</v>
      </c>
      <c r="D42" s="5">
        <v>1</v>
      </c>
      <c r="K42" s="8" t="str">
        <f ca="1">Idiomas!D252</f>
        <v>Uruguay</v>
      </c>
      <c r="L42" s="8" t="s">
        <v>1323</v>
      </c>
      <c r="M42" s="8" t="e" vm="93">
        <v>#VALUE!</v>
      </c>
      <c r="O42" s="781">
        <v>41</v>
      </c>
      <c r="Q42" s="785" cm="1">
        <f t="array" aca="1" ref="Q42" ca="1">IFERROR(INDEX($Q$2:$Q$25,SMALL(IF(($Q$2:$Q$25)=0,"",ROW($Q$2:$Q$25)),ROW(Q3))-MIN(ROW($Q$2:$Q$25))+1),"")</f>
        <v>46186</v>
      </c>
      <c r="R42" s="785">
        <f ca="1"/>
        <v>46186</v>
      </c>
      <c r="S42" s="787"/>
      <c r="T42" s="725"/>
      <c r="U42" s="725"/>
    </row>
    <row r="43" spans="1:24" ht="15" customHeight="1">
      <c r="A43" s="5">
        <v>42</v>
      </c>
      <c r="B43" s="5" t="str">
        <f ca="1">+INDEX(Idiomas!$D$212:$D$259,MATCH(T_Equipos[[#This Row],[Num]],Idiomas!$C$212:$C$259,0))</f>
        <v>RD Congo</v>
      </c>
      <c r="C43" s="5" t="s">
        <v>439</v>
      </c>
      <c r="D43" s="5">
        <v>2</v>
      </c>
      <c r="K43" s="8" t="str">
        <f ca="1">Idiomas!D253</f>
        <v>Uzbekistán</v>
      </c>
      <c r="L43" s="8" t="s">
        <v>1293</v>
      </c>
      <c r="M43" s="8" t="e" vm="94">
        <v>#VALUE!</v>
      </c>
      <c r="O43" s="781">
        <v>42</v>
      </c>
      <c r="Q43" s="785" cm="1">
        <f t="array" aca="1" ref="Q43" ca="1">IFERROR(INDEX($Q$2:$Q$25,SMALL(IF(($Q$2:$Q$25)=0,"",ROW($Q$2:$Q$25)),ROW(Q4))-MIN(ROW($Q$2:$Q$25))+1),"")</f>
        <v>46187</v>
      </c>
      <c r="R43" s="785">
        <f ca="1"/>
        <v>46187</v>
      </c>
      <c r="S43" s="787"/>
      <c r="T43" s="725"/>
      <c r="U43" s="725"/>
    </row>
    <row r="44" spans="1:24" ht="15" customHeight="1">
      <c r="A44" s="5">
        <v>43</v>
      </c>
      <c r="B44" s="5" t="str">
        <f ca="1">+INDEX(Idiomas!$D$212:$D$259,MATCH(T_Equipos[[#This Row],[Num]],Idiomas!$C$212:$C$259,0))</f>
        <v>Uzbekistán</v>
      </c>
      <c r="C44" s="5" t="s">
        <v>439</v>
      </c>
      <c r="D44" s="5">
        <v>3</v>
      </c>
      <c r="K44" s="8" t="str">
        <f ca="1">Idiomas!D254</f>
        <v>RD Congo</v>
      </c>
      <c r="L44" s="782" t="s">
        <v>1845</v>
      </c>
      <c r="M44" s="8" t="e" vm="95">
        <v>#VALUE!</v>
      </c>
      <c r="O44" s="781">
        <v>43</v>
      </c>
      <c r="Q44" s="785" cm="1">
        <f t="array" aca="1" ref="Q44" ca="1">IFERROR(INDEX($Q$2:$Q$25,SMALL(IF(($Q$2:$Q$25)=0,"",ROW($Q$2:$Q$25)),ROW(Q5))-MIN(ROW($Q$2:$Q$25))+1),"")</f>
        <v>46188</v>
      </c>
      <c r="R44" s="785">
        <f ca="1"/>
        <v>46188</v>
      </c>
      <c r="S44" s="787"/>
      <c r="T44" s="725"/>
      <c r="U44" s="725"/>
    </row>
    <row r="45" spans="1:24" ht="15" customHeight="1">
      <c r="A45" s="5">
        <v>44</v>
      </c>
      <c r="B45" s="5" t="str">
        <f ca="1">+INDEX(Idiomas!$D$212:$D$259,MATCH(T_Equipos[[#This Row],[Num]],Idiomas!$C$212:$C$259,0))</f>
        <v>Colombia</v>
      </c>
      <c r="C45" s="5" t="s">
        <v>439</v>
      </c>
      <c r="D45" s="5">
        <v>4</v>
      </c>
      <c r="K45" s="8" t="str">
        <f ca="1">Idiomas!D255</f>
        <v>Irak</v>
      </c>
      <c r="L45" s="782" t="s">
        <v>1759</v>
      </c>
      <c r="M45" s="8" t="e" vm="96">
        <v>#VALUE!</v>
      </c>
      <c r="O45" s="781">
        <v>44</v>
      </c>
      <c r="Q45" s="785" cm="1">
        <f t="array" aca="1" ref="Q45" ca="1">IFERROR(INDEX($Q$2:$Q$25,SMALL(IF(($Q$2:$Q$25)=0,"",ROW($Q$2:$Q$25)),ROW(Q6))-MIN(ROW($Q$2:$Q$25))+1),"")</f>
        <v>46189</v>
      </c>
      <c r="R45" s="785">
        <f ca="1"/>
        <v>46189</v>
      </c>
      <c r="S45" s="787"/>
      <c r="T45" s="725"/>
      <c r="U45" s="725"/>
    </row>
    <row r="46" spans="1:24" ht="15" customHeight="1">
      <c r="A46" s="5">
        <v>45</v>
      </c>
      <c r="B46" s="5" t="str">
        <f ca="1">+INDEX(Idiomas!$D$212:$D$259,MATCH(T_Equipos[[#This Row],[Num]],Idiomas!$C$212:$C$259,0))</f>
        <v>Inglaterra</v>
      </c>
      <c r="C46" s="5" t="s">
        <v>238</v>
      </c>
      <c r="D46" s="5">
        <v>1</v>
      </c>
      <c r="K46" s="8" t="str">
        <f ca="1">Idiomas!D256</f>
        <v>Bosnia y Herzegovina</v>
      </c>
      <c r="L46" s="783" t="s">
        <v>1846</v>
      </c>
      <c r="M46" s="8" t="e" vm="97">
        <v>#VALUE!</v>
      </c>
      <c r="O46" s="781">
        <v>45</v>
      </c>
      <c r="Q46" s="785" cm="1">
        <f t="array" aca="1" ref="Q46" ca="1">IFERROR(INDEX($Q$2:$Q$25,SMALL(IF(($Q$2:$Q$25)=0,"",ROW($Q$2:$Q$25)),ROW(Q7))-MIN(ROW($Q$2:$Q$25))+1),"")</f>
        <v>46190</v>
      </c>
      <c r="R46" s="785">
        <f ca="1"/>
        <v>46190</v>
      </c>
      <c r="S46" s="787"/>
      <c r="T46" s="725"/>
      <c r="U46" s="725"/>
    </row>
    <row r="47" spans="1:24" ht="15" customHeight="1">
      <c r="A47" s="5">
        <v>46</v>
      </c>
      <c r="B47" s="5" t="str">
        <f ca="1">+INDEX(Idiomas!$D$212:$D$259,MATCH(T_Equipos[[#This Row],[Num]],Idiomas!$C$212:$C$259,0))</f>
        <v>Croacia</v>
      </c>
      <c r="C47" s="5" t="s">
        <v>238</v>
      </c>
      <c r="D47" s="5">
        <v>2</v>
      </c>
      <c r="K47" s="8" t="str">
        <f ca="1">Idiomas!D257</f>
        <v>Suecia</v>
      </c>
      <c r="L47" s="782" t="s">
        <v>1837</v>
      </c>
      <c r="M47" s="8" t="e" vm="98">
        <v>#VALUE!</v>
      </c>
      <c r="O47" s="781">
        <v>46</v>
      </c>
      <c r="Q47" s="785" cm="1">
        <f t="array" aca="1" ref="Q47" ca="1">IFERROR(INDEX($Q$2:$Q$25,SMALL(IF(($Q$2:$Q$25)=0,"",ROW($Q$2:$Q$25)),ROW(Q8))-MIN(ROW($Q$2:$Q$25))+1),"")</f>
        <v>46191</v>
      </c>
      <c r="R47" s="785">
        <f ca="1"/>
        <v>46191</v>
      </c>
      <c r="S47" s="787"/>
      <c r="T47" s="725"/>
      <c r="U47" s="725"/>
    </row>
    <row r="48" spans="1:24" ht="15" customHeight="1">
      <c r="A48" s="5">
        <v>47</v>
      </c>
      <c r="B48" s="5" t="str">
        <f ca="1">+INDEX(Idiomas!$D$212:$D$259,MATCH(T_Equipos[[#This Row],[Num]],Idiomas!$C$212:$C$259,0))</f>
        <v>Ghana</v>
      </c>
      <c r="C48" s="5" t="s">
        <v>238</v>
      </c>
      <c r="D48" s="5">
        <v>3</v>
      </c>
      <c r="K48" s="8" t="str">
        <f ca="1">Idiomas!D258</f>
        <v>Turquía</v>
      </c>
      <c r="L48" s="782" t="s">
        <v>1838</v>
      </c>
      <c r="M48" s="8" t="e" vm="99">
        <v>#VALUE!</v>
      </c>
      <c r="O48" s="781">
        <v>47</v>
      </c>
      <c r="Q48" s="785" cm="1">
        <f t="array" aca="1" ref="Q48" ca="1">IFERROR(INDEX($Q$2:$Q$25,SMALL(IF(($Q$2:$Q$25)=0,"",ROW($Q$2:$Q$25)),ROW(Q9))-MIN(ROW($Q$2:$Q$25))+1),"")</f>
        <v>46192</v>
      </c>
      <c r="R48" s="785">
        <f ca="1"/>
        <v>46192</v>
      </c>
      <c r="S48" s="787"/>
      <c r="T48" s="725"/>
      <c r="U48" s="725"/>
    </row>
    <row r="49" spans="1:21" ht="15" customHeight="1">
      <c r="A49" s="5">
        <v>48</v>
      </c>
      <c r="B49" s="5" t="str">
        <f ca="1">+INDEX(Idiomas!$D$212:$D$259,MATCH(T_Equipos[[#This Row],[Num]],Idiomas!$C$212:$C$259,0))</f>
        <v>Panamá</v>
      </c>
      <c r="C49" s="5" t="s">
        <v>238</v>
      </c>
      <c r="D49" s="5">
        <v>4</v>
      </c>
      <c r="K49" s="8" t="str">
        <f ca="1">Idiomas!D259</f>
        <v>República Checa</v>
      </c>
      <c r="L49" s="782" t="s">
        <v>1847</v>
      </c>
      <c r="M49" s="8" t="e" vm="100">
        <v>#VALUE!</v>
      </c>
      <c r="O49" s="781">
        <v>48</v>
      </c>
      <c r="Q49" s="785" cm="1">
        <f t="array" aca="1" ref="Q49" ca="1">IFERROR(INDEX($Q$2:$Q$25,SMALL(IF(($Q$2:$Q$25)=0,"",ROW($Q$2:$Q$25)),ROW(Q10))-MIN(ROW($Q$2:$Q$25))+1),"")</f>
        <v>46193</v>
      </c>
      <c r="R49" s="785">
        <f ca="1"/>
        <v>46193</v>
      </c>
      <c r="S49" s="787"/>
      <c r="T49" s="725"/>
      <c r="U49" s="725"/>
    </row>
    <row r="50" spans="1:21" ht="15" customHeight="1">
      <c r="K50" s="8"/>
      <c r="L50" s="8" t="s">
        <v>1304</v>
      </c>
      <c r="M50" s="8"/>
      <c r="O50" s="781">
        <v>49</v>
      </c>
      <c r="Q50" s="785" cm="1">
        <f t="array" aca="1" ref="Q50" ca="1">IFERROR(INDEX($Q$2:$Q$25,SMALL(IF(($Q$2:$Q$25)=0,"",ROW($Q$2:$Q$25)),ROW(Q11))-MIN(ROW($Q$2:$Q$25))+1),"")</f>
        <v>46194</v>
      </c>
      <c r="R50" s="785">
        <f ca="1"/>
        <v>46194</v>
      </c>
      <c r="S50" s="787"/>
      <c r="T50" s="725"/>
      <c r="U50" s="725"/>
    </row>
    <row r="51" spans="1:21" ht="15" customHeight="1">
      <c r="O51" s="781">
        <v>50</v>
      </c>
      <c r="Q51" s="785" cm="1">
        <f t="array" aca="1" ref="Q51" ca="1">IFERROR(INDEX($Q$2:$Q$25,SMALL(IF(($Q$2:$Q$25)=0,"",ROW($Q$2:$Q$25)),ROW(Q12))-MIN(ROW($Q$2:$Q$25))+1),"")</f>
        <v>46195</v>
      </c>
      <c r="R51" s="785">
        <f ca="1"/>
        <v>46195</v>
      </c>
      <c r="S51" s="787"/>
      <c r="T51" s="725"/>
      <c r="U51" s="725"/>
    </row>
    <row r="52" spans="1:21" ht="15" customHeight="1">
      <c r="O52" s="781">
        <v>51</v>
      </c>
      <c r="Q52" s="785" cm="1">
        <f t="array" aca="1" ref="Q52" ca="1">IFERROR(INDEX($Q$2:$Q$25,SMALL(IF(($Q$2:$Q$25)=0,"",ROW($Q$2:$Q$25)),ROW(Q13))-MIN(ROW($Q$2:$Q$25))+1),"")</f>
        <v>46196</v>
      </c>
      <c r="R52" s="785">
        <f ca="1"/>
        <v>46196</v>
      </c>
      <c r="S52" s="787"/>
      <c r="T52" s="725"/>
      <c r="U52" s="725"/>
    </row>
    <row r="53" spans="1:21" ht="15" customHeight="1">
      <c r="O53" s="724"/>
      <c r="P53" s="726"/>
      <c r="Q53" s="785" cm="1">
        <f t="array" aca="1" ref="Q53" ca="1">IFERROR(INDEX($Q$2:$Q$25,SMALL(IF(($Q$2:$Q$25)=0,"",ROW($Q$2:$Q$25)),ROW(Q14))-MIN(ROW($Q$2:$Q$25))+1),"")</f>
        <v>46197</v>
      </c>
      <c r="R53" s="785">
        <f ca="1"/>
        <v>46197</v>
      </c>
      <c r="S53" s="787"/>
      <c r="T53" s="725"/>
      <c r="U53" s="725"/>
    </row>
    <row r="54" spans="1:21" ht="15" customHeight="1">
      <c r="O54" s="724"/>
      <c r="Q54" s="785" cm="1">
        <f t="array" aca="1" ref="Q54" ca="1">IFERROR(INDEX($Q$2:$Q$25,SMALL(IF(($Q$2:$Q$25)=0,"",ROW($Q$2:$Q$25)),ROW(Q15))-MIN(ROW($Q$2:$Q$25))+1),"")</f>
        <v>46198</v>
      </c>
      <c r="R54" s="785">
        <f ca="1"/>
        <v>46198</v>
      </c>
      <c r="S54" s="787"/>
      <c r="T54" s="725"/>
      <c r="U54" s="725"/>
    </row>
    <row r="55" spans="1:21" ht="15" customHeight="1">
      <c r="O55" s="724"/>
      <c r="Q55" s="785" cm="1">
        <f t="array" aca="1" ref="Q55" ca="1">IFERROR(INDEX($Q$2:$Q$25,SMALL(IF(($Q$2:$Q$25)=0,"",ROW($Q$2:$Q$25)),ROW(Q16))-MIN(ROW($Q$2:$Q$25))+1),"")</f>
        <v>46199</v>
      </c>
      <c r="R55" s="785">
        <f ca="1"/>
        <v>46199</v>
      </c>
      <c r="S55" s="787"/>
      <c r="T55" s="725"/>
      <c r="U55" s="725"/>
    </row>
    <row r="56" spans="1:21" ht="15" customHeight="1">
      <c r="O56" s="724"/>
      <c r="Q56" s="785" cm="1">
        <f t="array" aca="1" ref="Q56" ca="1">IFERROR(INDEX($Q$2:$Q$25,SMALL(IF(($Q$2:$Q$25)=0,"",ROW($Q$2:$Q$25)),ROW(Q17))-MIN(ROW($Q$2:$Q$25))+1),"")</f>
        <v>46200</v>
      </c>
      <c r="R56" s="785">
        <f ca="1"/>
        <v>46200</v>
      </c>
      <c r="S56" s="787"/>
      <c r="T56" s="725"/>
      <c r="U56" s="725"/>
    </row>
    <row r="57" spans="1:21" ht="15" customHeight="1">
      <c r="O57" s="724"/>
      <c r="Q57" s="785" cm="1">
        <f t="array" aca="1" ref="Q57" ca="1">IFERROR(INDEX($Q$2:$Q$25,SMALL(IF(($Q$2:$Q$25)=0,"",ROW($Q$2:$Q$25)),ROW(Q18))-MIN(ROW($Q$2:$Q$25))+1),"")</f>
        <v>46201</v>
      </c>
      <c r="R57" s="785">
        <f ca="1"/>
        <v>46201</v>
      </c>
      <c r="S57" s="787"/>
      <c r="T57" s="725"/>
      <c r="U57" s="725"/>
    </row>
    <row r="58" spans="1:21" ht="15" customHeight="1">
      <c r="O58" s="724"/>
      <c r="Q58" s="785" t="str" cm="1">
        <f t="array" aca="1" ref="Q58" ca="1">IFERROR(INDEX($Q$2:$Q$25,SMALL(IF(($Q$2:$Q$25)=0,"",ROW($Q$2:$Q$25)),ROW(Q19))-MIN(ROW($Q$2:$Q$25))+1),"")</f>
        <v>Clasificados Para Dieciseisavos</v>
      </c>
      <c r="R58" s="781" t="str">
        <f ca="1"/>
        <v>Clasificados Para Dieciseisavos</v>
      </c>
      <c r="S58" s="787"/>
      <c r="T58" s="725"/>
      <c r="U58" s="725"/>
    </row>
    <row r="59" spans="1:21" ht="15" customHeight="1">
      <c r="O59" s="724"/>
      <c r="Q59" s="785" t="str" cm="1">
        <f t="array" aca="1" ref="Q59" ca="1">IFERROR(INDEX($Q$2:$Q$25,SMALL(IF(($Q$2:$Q$25)=0,"",ROW($Q$2:$Q$25)),ROW(Q20))-MIN(ROW($Q$2:$Q$25))+1),"")</f>
        <v>Dieciseisavos de final</v>
      </c>
      <c r="R59" s="781" t="str">
        <f ca="1"/>
        <v>Dieciseisavos de final</v>
      </c>
      <c r="S59" s="787"/>
      <c r="T59" s="725"/>
      <c r="U59" s="725"/>
    </row>
    <row r="60" spans="1:21" ht="15" customHeight="1">
      <c r="O60" s="724"/>
      <c r="Q60" s="785" t="str" cm="1">
        <f t="array" aca="1" ref="Q60" ca="1">IFERROR(INDEX($Q$2:$Q$25,SMALL(IF(($Q$2:$Q$25)=0,"",ROW($Q$2:$Q$25)),ROW(Q21))-MIN(ROW($Q$2:$Q$25))+1),"")</f>
        <v>Octavos de final</v>
      </c>
      <c r="R60" s="781" t="str">
        <f ca="1"/>
        <v>Octavos de final</v>
      </c>
      <c r="S60" s="787"/>
      <c r="T60" s="725"/>
    </row>
    <row r="61" spans="1:21" ht="15" customHeight="1">
      <c r="O61" s="724"/>
      <c r="Q61" s="785" t="str" cm="1">
        <f t="array" aca="1" ref="Q61" ca="1">IFERROR(INDEX($Q$2:$Q$25,SMALL(IF(($Q$2:$Q$25)=0,"",ROW($Q$2:$Q$25)),ROW(Q22))-MIN(ROW($Q$2:$Q$25))+1),"")</f>
        <v>Cuartos de final</v>
      </c>
      <c r="R61" s="781" t="str">
        <f ca="1"/>
        <v>Cuartos de final</v>
      </c>
      <c r="S61" s="787"/>
    </row>
    <row r="62" spans="1:21" ht="15" customHeight="1">
      <c r="O62" s="724"/>
      <c r="Q62" s="785" t="str" cm="1">
        <f t="array" aca="1" ref="Q62" ca="1">IFERROR(INDEX($Q$2:$Q$25,SMALL(IF(($Q$2:$Q$25)=0,"",ROW($Q$2:$Q$25)),ROW(Q23))-MIN(ROW($Q$2:$Q$25))+1),"")</f>
        <v>Semifinales</v>
      </c>
      <c r="R62" s="781" t="str">
        <f ca="1"/>
        <v>Semifinales</v>
      </c>
      <c r="S62" s="787"/>
    </row>
    <row r="63" spans="1:21" ht="15" customHeight="1">
      <c r="O63" s="724"/>
      <c r="Q63" s="785" t="str" cm="1">
        <f t="array" aca="1" ref="Q63" ca="1">IFERROR(INDEX($Q$2:$Q$25,SMALL(IF(($Q$2:$Q$25)=0,"",ROW($Q$2:$Q$25)),ROW(Q24))-MIN(ROW($Q$2:$Q$25))+1),"")</f>
        <v>3-4 &amp; Final</v>
      </c>
      <c r="R63" s="781" t="str">
        <f ca="1"/>
        <v>3-4 &amp; Final</v>
      </c>
      <c r="S63" s="787"/>
    </row>
    <row r="64" spans="1:21" ht="15" customHeight="1">
      <c r="O64" s="724"/>
      <c r="Q64" s="788" t="str" cm="1">
        <f t="array" aca="1" ref="Q64" ca="1">IFERROR(INDEX($Q$2:$Q$25,SMALL(IF(($Q$2:$Q$25)=0,"",ROW($Q$2:$Q$25)),ROW(Q25))-MIN(ROW($Q$2:$Q$25))+1),"")</f>
        <v/>
      </c>
      <c r="R64" s="787"/>
      <c r="S64" s="787"/>
    </row>
    <row r="65" spans="15:15" ht="15" customHeight="1">
      <c r="O65" s="724"/>
    </row>
    <row r="66" spans="15:15" ht="15" customHeight="1">
      <c r="O66" s="724"/>
    </row>
    <row r="67" spans="15:15" ht="15" customHeight="1">
      <c r="O67" s="724"/>
    </row>
    <row r="68" spans="15:15" ht="15" customHeight="1">
      <c r="O68" s="724"/>
    </row>
    <row r="69" spans="15:15" ht="15" customHeight="1">
      <c r="O69" s="724"/>
    </row>
    <row r="70" spans="15:15" ht="15" customHeight="1">
      <c r="O70" s="724"/>
    </row>
    <row r="71" spans="15:15" ht="15" customHeight="1">
      <c r="O71" s="724"/>
    </row>
    <row r="72" spans="15:15" ht="15" customHeight="1">
      <c r="O72" s="724"/>
    </row>
    <row r="73" spans="15:15" ht="15" customHeight="1">
      <c r="O73" s="724"/>
    </row>
    <row r="74" spans="15:15" ht="15" customHeight="1">
      <c r="O74" s="724"/>
    </row>
    <row r="75" spans="15:15" ht="15" customHeight="1">
      <c r="O75" s="724"/>
    </row>
    <row r="76" spans="15:15" ht="15" customHeight="1">
      <c r="O76" s="724"/>
    </row>
    <row r="77" spans="15:15" ht="15" customHeight="1">
      <c r="O77" s="724"/>
    </row>
    <row r="78" spans="15:15" ht="15" customHeight="1">
      <c r="O78" s="724"/>
    </row>
    <row r="79" spans="15:15" ht="15" customHeight="1">
      <c r="O79" s="724"/>
    </row>
    <row r="80" spans="15:15" ht="15" customHeight="1">
      <c r="O80" s="724"/>
    </row>
    <row r="81" spans="15:15" ht="15" customHeight="1">
      <c r="O81" s="724"/>
    </row>
    <row r="82" spans="15:15" ht="15" customHeight="1">
      <c r="O82" s="724"/>
    </row>
    <row r="83" spans="15:15" ht="15" customHeight="1">
      <c r="O83" s="724"/>
    </row>
    <row r="84" spans="15:15" ht="15" customHeight="1">
      <c r="O84" s="724"/>
    </row>
    <row r="85" spans="15:15" ht="15" customHeight="1">
      <c r="O85" s="724"/>
    </row>
    <row r="86" spans="15:15" ht="15" customHeight="1">
      <c r="O86" s="724"/>
    </row>
    <row r="87" spans="15:15" ht="15" customHeight="1">
      <c r="O87" s="724"/>
    </row>
    <row r="88" spans="15:15" ht="15" customHeight="1">
      <c r="O88" s="724"/>
    </row>
    <row r="89" spans="15:15" ht="15" customHeight="1">
      <c r="O89" s="724"/>
    </row>
    <row r="90" spans="15:15" ht="15" customHeight="1">
      <c r="O90" s="724"/>
    </row>
    <row r="91" spans="15:15" ht="15" customHeight="1">
      <c r="O91" s="724"/>
    </row>
    <row r="92" spans="15:15" ht="15" customHeight="1">
      <c r="O92" s="724"/>
    </row>
    <row r="93" spans="15:15" ht="15" customHeight="1">
      <c r="O93" s="724"/>
    </row>
    <row r="94" spans="15:15" ht="15" customHeight="1">
      <c r="O94" s="724"/>
    </row>
    <row r="95" spans="15:15" ht="15" customHeight="1">
      <c r="O95" s="724"/>
    </row>
    <row r="96" spans="15:15" ht="15" customHeight="1">
      <c r="O96" s="724"/>
    </row>
    <row r="97" spans="15:15" ht="15" customHeight="1">
      <c r="O97" s="724"/>
    </row>
    <row r="98" spans="15:15" ht="15" customHeight="1">
      <c r="O98" s="724"/>
    </row>
    <row r="99" spans="15:15" ht="15" customHeight="1">
      <c r="O99" s="724"/>
    </row>
    <row r="100" spans="15:15" ht="15" customHeight="1">
      <c r="O100" s="724"/>
    </row>
    <row r="101" spans="15:15" ht="15" customHeight="1">
      <c r="O101" s="724"/>
    </row>
    <row r="102" spans="15:15" ht="15" customHeight="1">
      <c r="O102" s="724"/>
    </row>
    <row r="103" spans="15:15" ht="15" customHeight="1">
      <c r="O103" s="724"/>
    </row>
    <row r="104" spans="15:15" ht="15" customHeight="1">
      <c r="O104" s="724"/>
    </row>
    <row r="105" spans="15:15" ht="15" customHeight="1">
      <c r="O105" s="724"/>
    </row>
    <row r="106" spans="15:15" ht="15" customHeight="1">
      <c r="O106" s="724"/>
    </row>
    <row r="107" spans="15:15" ht="15" customHeight="1">
      <c r="O107" s="724"/>
    </row>
    <row r="108" spans="15:15" ht="15" customHeight="1">
      <c r="O108" s="724"/>
    </row>
    <row r="109" spans="15:15" ht="15" customHeight="1">
      <c r="O109" s="724"/>
    </row>
    <row r="110" spans="15:15" ht="15" customHeight="1">
      <c r="O110" s="724"/>
    </row>
    <row r="111" spans="15:15" ht="15" customHeight="1">
      <c r="O111" s="724"/>
    </row>
    <row r="112" spans="15:15" ht="15" customHeight="1">
      <c r="O112" s="724"/>
    </row>
    <row r="113" spans="15:15" ht="15" customHeight="1">
      <c r="O113" s="724"/>
    </row>
    <row r="114" spans="15:15" ht="15" customHeight="1">
      <c r="O114" s="724"/>
    </row>
    <row r="115" spans="15:15" ht="15" customHeight="1">
      <c r="O115" s="724"/>
    </row>
    <row r="116" spans="15:15" ht="15" customHeight="1">
      <c r="O116" s="724"/>
    </row>
    <row r="117" spans="15:15" ht="15" customHeight="1">
      <c r="O117" s="724"/>
    </row>
    <row r="118" spans="15:15" ht="15" customHeight="1">
      <c r="O118" s="724"/>
    </row>
    <row r="119" spans="15:15" ht="15" customHeight="1">
      <c r="O119" s="724"/>
    </row>
    <row r="120" spans="15:15" ht="15" customHeight="1">
      <c r="O120" s="724"/>
    </row>
    <row r="121" spans="15:15" ht="15" customHeight="1">
      <c r="O121" s="724"/>
    </row>
    <row r="122" spans="15:15" ht="15" customHeight="1">
      <c r="O122" s="724"/>
    </row>
    <row r="123" spans="15:15" ht="15" customHeight="1">
      <c r="O123" s="724"/>
    </row>
    <row r="124" spans="15:15" ht="15" customHeight="1">
      <c r="O124" s="724"/>
    </row>
    <row r="125" spans="15:15" ht="15" customHeight="1">
      <c r="O125" s="724"/>
    </row>
    <row r="126" spans="15:15" ht="15" customHeight="1">
      <c r="O126" s="724"/>
    </row>
    <row r="127" spans="15:15" ht="15" customHeight="1">
      <c r="O127" s="724"/>
    </row>
    <row r="128" spans="15:15" ht="15" customHeight="1">
      <c r="O128" s="724"/>
    </row>
    <row r="129" spans="15:15" ht="15" customHeight="1">
      <c r="O129" s="724"/>
    </row>
    <row r="130" spans="15:15" ht="15" customHeight="1">
      <c r="O130" s="724"/>
    </row>
    <row r="131" spans="15:15" ht="15" customHeight="1">
      <c r="O131" s="724"/>
    </row>
    <row r="132" spans="15:15" ht="15" customHeight="1">
      <c r="O132" s="724"/>
    </row>
    <row r="133" spans="15:15" ht="15" customHeight="1">
      <c r="O133" s="724"/>
    </row>
    <row r="134" spans="15:15" ht="15" customHeight="1">
      <c r="O134" s="724"/>
    </row>
    <row r="135" spans="15:15" ht="15" customHeight="1">
      <c r="O135" s="724"/>
    </row>
    <row r="136" spans="15:15" ht="15" customHeight="1">
      <c r="O136" s="724"/>
    </row>
    <row r="137" spans="15:15" ht="15" customHeight="1">
      <c r="O137" s="724"/>
    </row>
    <row r="138" spans="15:15" ht="15" customHeight="1">
      <c r="O138" s="724"/>
    </row>
    <row r="139" spans="15:15" ht="15" customHeight="1">
      <c r="O139" s="724"/>
    </row>
    <row r="140" spans="15:15" ht="15" customHeight="1">
      <c r="O140" s="724"/>
    </row>
    <row r="141" spans="15:15" ht="15" customHeight="1">
      <c r="O141" s="724"/>
    </row>
    <row r="142" spans="15:15" ht="15" customHeight="1">
      <c r="O142" s="724"/>
    </row>
    <row r="143" spans="15:15" ht="15" customHeight="1">
      <c r="O143" s="724"/>
    </row>
    <row r="144" spans="15:15" ht="15" customHeight="1">
      <c r="O144" s="724"/>
    </row>
    <row r="145" spans="15:15" ht="15" customHeight="1">
      <c r="O145" s="724"/>
    </row>
    <row r="146" spans="15:15" ht="15" customHeight="1">
      <c r="O146" s="724"/>
    </row>
    <row r="147" spans="15:15" ht="15" customHeight="1">
      <c r="O147" s="724"/>
    </row>
    <row r="148" spans="15:15" ht="15" customHeight="1">
      <c r="O148" s="724"/>
    </row>
    <row r="149" spans="15:15" ht="15" customHeight="1">
      <c r="O149" s="724"/>
    </row>
    <row r="150" spans="15:15" ht="15" customHeight="1">
      <c r="O150" s="724"/>
    </row>
    <row r="151" spans="15:15" ht="15" customHeight="1">
      <c r="O151" s="724"/>
    </row>
    <row r="152" spans="15:15" ht="15" customHeight="1">
      <c r="O152" s="724"/>
    </row>
    <row r="153" spans="15:15" ht="15" customHeight="1">
      <c r="O153" s="724"/>
    </row>
    <row r="154" spans="15:15" ht="15" customHeight="1">
      <c r="O154" s="724"/>
    </row>
    <row r="155" spans="15:15" ht="15" customHeight="1">
      <c r="O155" s="724"/>
    </row>
    <row r="156" spans="15:15" ht="15" customHeight="1">
      <c r="O156" s="724"/>
    </row>
    <row r="157" spans="15:15" ht="15" customHeight="1">
      <c r="O157" s="724"/>
    </row>
    <row r="158" spans="15:15" ht="15" customHeight="1">
      <c r="O158" s="724"/>
    </row>
    <row r="159" spans="15:15" ht="15" customHeight="1">
      <c r="O159" s="724"/>
    </row>
    <row r="160" spans="15:15" ht="15" customHeight="1">
      <c r="O160" s="724"/>
    </row>
    <row r="161" spans="15:15" ht="15" customHeight="1">
      <c r="O161" s="724"/>
    </row>
    <row r="162" spans="15:15" ht="15" customHeight="1">
      <c r="O162" s="724"/>
    </row>
    <row r="163" spans="15:15" ht="15" customHeight="1">
      <c r="O163" s="724"/>
    </row>
    <row r="164" spans="15:15" ht="15" customHeight="1">
      <c r="O164" s="724"/>
    </row>
    <row r="165" spans="15:15" ht="15" customHeight="1">
      <c r="O165" s="724"/>
    </row>
    <row r="166" spans="15:15" ht="15" customHeight="1">
      <c r="O166" s="724"/>
    </row>
    <row r="167" spans="15:15" ht="15" customHeight="1">
      <c r="O167" s="724"/>
    </row>
    <row r="168" spans="15:15" ht="15" customHeight="1">
      <c r="O168" s="724"/>
    </row>
    <row r="169" spans="15:15" ht="15" customHeight="1">
      <c r="O169" s="724"/>
    </row>
    <row r="170" spans="15:15" ht="15" customHeight="1">
      <c r="O170" s="724"/>
    </row>
    <row r="171" spans="15:15" ht="15" customHeight="1">
      <c r="O171" s="724"/>
    </row>
    <row r="172" spans="15:15" ht="15" customHeight="1">
      <c r="O172" s="724"/>
    </row>
    <row r="173" spans="15:15" ht="15" customHeight="1">
      <c r="O173" s="724"/>
    </row>
    <row r="174" spans="15:15" ht="15" customHeight="1">
      <c r="O174" s="724"/>
    </row>
    <row r="175" spans="15:15" ht="15" customHeight="1">
      <c r="O175" s="724"/>
    </row>
    <row r="176" spans="15:15" ht="15" customHeight="1">
      <c r="O176" s="724"/>
    </row>
    <row r="177" spans="15:15" ht="15" customHeight="1">
      <c r="O177" s="724"/>
    </row>
    <row r="178" spans="15:15" ht="15" customHeight="1">
      <c r="O178" s="724"/>
    </row>
    <row r="179" spans="15:15" ht="15" customHeight="1">
      <c r="O179" s="724"/>
    </row>
    <row r="180" spans="15:15" ht="15" customHeight="1">
      <c r="O180" s="724"/>
    </row>
    <row r="181" spans="15:15" ht="15" customHeight="1">
      <c r="O181" s="724"/>
    </row>
    <row r="182" spans="15:15" ht="15" customHeight="1">
      <c r="O182" s="724"/>
    </row>
    <row r="183" spans="15:15" ht="15" customHeight="1">
      <c r="O183" s="724"/>
    </row>
    <row r="184" spans="15:15" ht="15" customHeight="1">
      <c r="O184" s="724"/>
    </row>
    <row r="185" spans="15:15" ht="15" customHeight="1">
      <c r="O185" s="724"/>
    </row>
    <row r="186" spans="15:15" ht="15" customHeight="1">
      <c r="O186" s="724"/>
    </row>
    <row r="187" spans="15:15" ht="15" customHeight="1">
      <c r="O187" s="724"/>
    </row>
    <row r="188" spans="15:15" ht="15" customHeight="1">
      <c r="O188" s="724"/>
    </row>
    <row r="189" spans="15:15" ht="15" customHeight="1">
      <c r="O189" s="724"/>
    </row>
    <row r="190" spans="15:15" ht="15" customHeight="1">
      <c r="O190" s="724"/>
    </row>
    <row r="191" spans="15:15" ht="15" customHeight="1">
      <c r="O191" s="724"/>
    </row>
    <row r="192" spans="15:15" ht="15" customHeight="1">
      <c r="O192" s="724"/>
    </row>
    <row r="193" spans="15:15" ht="15" customHeight="1">
      <c r="O193" s="724"/>
    </row>
    <row r="194" spans="15:15" ht="15" customHeight="1">
      <c r="O194" s="724"/>
    </row>
    <row r="195" spans="15:15" ht="15" customHeight="1">
      <c r="O195" s="724"/>
    </row>
    <row r="196" spans="15:15" ht="15" customHeight="1">
      <c r="O196" s="724"/>
    </row>
    <row r="197" spans="15:15" ht="15" customHeight="1">
      <c r="O197" s="724"/>
    </row>
    <row r="198" spans="15:15" ht="15" customHeight="1">
      <c r="O198" s="724"/>
    </row>
    <row r="199" spans="15:15" ht="15" customHeight="1">
      <c r="O199" s="724"/>
    </row>
    <row r="200" spans="15:15" ht="15" customHeight="1">
      <c r="O200" s="724"/>
    </row>
    <row r="201" spans="15:15" ht="15" customHeight="1">
      <c r="O201" s="724"/>
    </row>
    <row r="202" spans="15:15" ht="15" customHeight="1">
      <c r="O202" s="724"/>
    </row>
    <row r="203" spans="15:15" ht="15" customHeight="1">
      <c r="O203" s="724"/>
    </row>
    <row r="204" spans="15:15" ht="15" customHeight="1">
      <c r="O204" s="724"/>
    </row>
    <row r="205" spans="15:15" ht="15" customHeight="1">
      <c r="O205" s="724"/>
    </row>
    <row r="206" spans="15:15" ht="15" customHeight="1">
      <c r="O206" s="724"/>
    </row>
    <row r="207" spans="15:15" ht="15" customHeight="1">
      <c r="O207" s="724"/>
    </row>
    <row r="208" spans="15:15" ht="15" customHeight="1">
      <c r="O208" s="724"/>
    </row>
    <row r="209" spans="15:15" ht="15" customHeight="1">
      <c r="O209" s="724"/>
    </row>
    <row r="210" spans="15:15" ht="15" customHeight="1">
      <c r="O210" s="724"/>
    </row>
    <row r="211" spans="15:15" ht="15" customHeight="1">
      <c r="O211" s="724"/>
    </row>
    <row r="212" spans="15:15" ht="15" customHeight="1">
      <c r="O212" s="724"/>
    </row>
    <row r="213" spans="15:15" ht="15" customHeight="1">
      <c r="O213" s="724"/>
    </row>
    <row r="214" spans="15:15" ht="15" customHeight="1">
      <c r="O214" s="724"/>
    </row>
    <row r="215" spans="15:15" ht="15" customHeight="1">
      <c r="O215" s="724"/>
    </row>
    <row r="216" spans="15:15" ht="15" customHeight="1">
      <c r="O216" s="724"/>
    </row>
    <row r="217" spans="15:15" ht="15" customHeight="1">
      <c r="O217" s="724"/>
    </row>
    <row r="218" spans="15:15" ht="15" customHeight="1">
      <c r="O218" s="724"/>
    </row>
    <row r="219" spans="15:15" ht="15" customHeight="1">
      <c r="O219" s="724"/>
    </row>
    <row r="220" spans="15:15" ht="15" customHeight="1">
      <c r="O220" s="724"/>
    </row>
    <row r="221" spans="15:15" ht="15" customHeight="1">
      <c r="O221" s="724"/>
    </row>
    <row r="222" spans="15:15" ht="15" customHeight="1">
      <c r="O222" s="724"/>
    </row>
    <row r="223" spans="15:15" ht="15" customHeight="1">
      <c r="O223" s="724"/>
    </row>
    <row r="224" spans="15:15" ht="15" customHeight="1">
      <c r="O224" s="724"/>
    </row>
    <row r="225" spans="15:15" ht="15" customHeight="1">
      <c r="O225" s="724"/>
    </row>
    <row r="226" spans="15:15" ht="15" customHeight="1">
      <c r="O226" s="724"/>
    </row>
    <row r="227" spans="15:15" ht="15" customHeight="1">
      <c r="O227" s="724"/>
    </row>
    <row r="228" spans="15:15" ht="15" customHeight="1">
      <c r="O228" s="724"/>
    </row>
    <row r="229" spans="15:15" ht="15" customHeight="1">
      <c r="O229" s="724"/>
    </row>
    <row r="230" spans="15:15" ht="15" customHeight="1">
      <c r="O230" s="724"/>
    </row>
    <row r="231" spans="15:15" ht="15" customHeight="1">
      <c r="O231" s="724"/>
    </row>
    <row r="232" spans="15:15" ht="15" customHeight="1">
      <c r="O232" s="724"/>
    </row>
    <row r="233" spans="15:15" ht="15" customHeight="1">
      <c r="O233" s="724"/>
    </row>
    <row r="234" spans="15:15" ht="15" customHeight="1">
      <c r="O234" s="724"/>
    </row>
    <row r="235" spans="15:15" ht="15" customHeight="1">
      <c r="O235" s="724"/>
    </row>
    <row r="236" spans="15:15" ht="15" customHeight="1">
      <c r="O236" s="724"/>
    </row>
    <row r="237" spans="15:15" ht="15" customHeight="1">
      <c r="O237" s="724"/>
    </row>
    <row r="238" spans="15:15" ht="15" customHeight="1">
      <c r="O238" s="724"/>
    </row>
    <row r="239" spans="15:15" ht="15" customHeight="1">
      <c r="O239" s="724"/>
    </row>
    <row r="240" spans="15:15" ht="15" customHeight="1">
      <c r="O240" s="724"/>
    </row>
    <row r="241" spans="15:15" ht="15" customHeight="1">
      <c r="O241" s="724"/>
    </row>
    <row r="242" spans="15:15" ht="15" customHeight="1">
      <c r="O242" s="724"/>
    </row>
    <row r="243" spans="15:15" ht="15" customHeight="1">
      <c r="O243" s="724"/>
    </row>
    <row r="244" spans="15:15" ht="15" customHeight="1">
      <c r="O244" s="724"/>
    </row>
    <row r="245" spans="15:15" ht="15" customHeight="1">
      <c r="O245" s="724"/>
    </row>
    <row r="246" spans="15:15" ht="15" customHeight="1">
      <c r="O246" s="724"/>
    </row>
    <row r="247" spans="15:15" ht="15" customHeight="1">
      <c r="O247" s="724"/>
    </row>
    <row r="248" spans="15:15" ht="15" customHeight="1">
      <c r="O248" s="724"/>
    </row>
    <row r="249" spans="15:15" ht="15" customHeight="1">
      <c r="O249" s="724"/>
    </row>
    <row r="250" spans="15:15" ht="15" customHeight="1">
      <c r="O250" s="724"/>
    </row>
    <row r="251" spans="15:15" ht="15" customHeight="1">
      <c r="O251" s="724"/>
    </row>
    <row r="252" spans="15:15" ht="15" customHeight="1">
      <c r="O252" s="724"/>
    </row>
    <row r="253" spans="15:15" ht="15" customHeight="1">
      <c r="O253" s="724"/>
    </row>
    <row r="254" spans="15:15" ht="15" customHeight="1">
      <c r="O254" s="724"/>
    </row>
    <row r="255" spans="15:15" ht="15" customHeight="1">
      <c r="O255" s="724"/>
    </row>
    <row r="256" spans="15:15" ht="15" customHeight="1">
      <c r="O256" s="724"/>
    </row>
    <row r="257" spans="15:15" ht="15" customHeight="1">
      <c r="O257" s="724"/>
    </row>
    <row r="258" spans="15:15" ht="15" customHeight="1">
      <c r="O258" s="724"/>
    </row>
    <row r="259" spans="15:15" ht="15" customHeight="1">
      <c r="O259" s="724"/>
    </row>
    <row r="260" spans="15:15" ht="15" customHeight="1">
      <c r="O260" s="724"/>
    </row>
    <row r="261" spans="15:15" ht="15" customHeight="1">
      <c r="O261" s="724"/>
    </row>
    <row r="262" spans="15:15" ht="15" customHeight="1">
      <c r="O262" s="724"/>
    </row>
    <row r="263" spans="15:15" ht="15" customHeight="1">
      <c r="O263" s="724"/>
    </row>
    <row r="264" spans="15:15" ht="15" customHeight="1">
      <c r="O264" s="724"/>
    </row>
    <row r="265" spans="15:15" ht="15" customHeight="1">
      <c r="O265" s="724"/>
    </row>
    <row r="266" spans="15:15" ht="15" customHeight="1">
      <c r="O266" s="724"/>
    </row>
    <row r="267" spans="15:15" ht="15" customHeight="1">
      <c r="O267" s="724"/>
    </row>
    <row r="268" spans="15:15" ht="15" customHeight="1">
      <c r="O268" s="724"/>
    </row>
    <row r="269" spans="15:15" ht="15" customHeight="1">
      <c r="O269" s="724"/>
    </row>
    <row r="270" spans="15:15" ht="15" customHeight="1">
      <c r="O270" s="724"/>
    </row>
    <row r="271" spans="15:15" ht="15" customHeight="1">
      <c r="O271" s="724"/>
    </row>
    <row r="272" spans="15:15" ht="15" customHeight="1">
      <c r="O272" s="724"/>
    </row>
    <row r="273" spans="15:15" ht="15" customHeight="1">
      <c r="O273" s="724"/>
    </row>
    <row r="274" spans="15:15" ht="15" customHeight="1">
      <c r="O274" s="724"/>
    </row>
    <row r="275" spans="15:15" ht="15" customHeight="1">
      <c r="O275" s="724"/>
    </row>
    <row r="276" spans="15:15" ht="15" customHeight="1">
      <c r="O276" s="724"/>
    </row>
    <row r="277" spans="15:15" ht="15" customHeight="1">
      <c r="O277" s="724"/>
    </row>
    <row r="278" spans="15:15" ht="15" customHeight="1">
      <c r="O278" s="724"/>
    </row>
    <row r="279" spans="15:15" ht="15" customHeight="1">
      <c r="O279" s="724"/>
    </row>
    <row r="280" spans="15:15" ht="15" customHeight="1">
      <c r="O280" s="724"/>
    </row>
    <row r="281" spans="15:15" ht="15" customHeight="1">
      <c r="O281" s="724"/>
    </row>
    <row r="282" spans="15:15" ht="15" customHeight="1">
      <c r="O282" s="724"/>
    </row>
    <row r="283" spans="15:15" ht="15" customHeight="1">
      <c r="O283" s="724"/>
    </row>
    <row r="284" spans="15:15" ht="15" customHeight="1">
      <c r="O284" s="724"/>
    </row>
    <row r="285" spans="15:15" ht="15" customHeight="1">
      <c r="O285" s="724"/>
    </row>
    <row r="286" spans="15:15" ht="15" customHeight="1">
      <c r="O286" s="724"/>
    </row>
    <row r="287" spans="15:15" ht="15" customHeight="1">
      <c r="O287" s="724"/>
    </row>
    <row r="288" spans="15:15" ht="15" customHeight="1">
      <c r="O288" s="724"/>
    </row>
    <row r="289" spans="15:15" ht="15" customHeight="1">
      <c r="O289" s="724"/>
    </row>
    <row r="290" spans="15:15" ht="15" customHeight="1">
      <c r="O290" s="724"/>
    </row>
    <row r="291" spans="15:15" ht="15" customHeight="1">
      <c r="O291" s="724"/>
    </row>
    <row r="292" spans="15:15" ht="15" customHeight="1">
      <c r="O292" s="724"/>
    </row>
    <row r="293" spans="15:15" ht="15" customHeight="1">
      <c r="O293" s="724"/>
    </row>
    <row r="294" spans="15:15" ht="15" customHeight="1">
      <c r="O294" s="724"/>
    </row>
    <row r="295" spans="15:15" ht="15" customHeight="1">
      <c r="O295" s="724"/>
    </row>
    <row r="296" spans="15:15" ht="15" customHeight="1">
      <c r="O296" s="724"/>
    </row>
    <row r="297" spans="15:15" ht="15" customHeight="1">
      <c r="O297" s="724"/>
    </row>
    <row r="298" spans="15:15" ht="15" customHeight="1">
      <c r="O298" s="724"/>
    </row>
    <row r="299" spans="15:15" ht="15" customHeight="1">
      <c r="O299" s="724"/>
    </row>
    <row r="300" spans="15:15" ht="15" customHeight="1">
      <c r="O300" s="724"/>
    </row>
    <row r="301" spans="15:15" ht="15" customHeight="1">
      <c r="O301" s="724"/>
    </row>
    <row r="302" spans="15:15" ht="15" customHeight="1">
      <c r="O302" s="724"/>
    </row>
    <row r="303" spans="15:15" ht="15" customHeight="1">
      <c r="O303" s="724"/>
    </row>
    <row r="304" spans="15:15" ht="15" customHeight="1">
      <c r="O304" s="724"/>
    </row>
    <row r="305" spans="15:15" ht="15" customHeight="1">
      <c r="O305" s="724"/>
    </row>
    <row r="306" spans="15:15" ht="15" customHeight="1">
      <c r="O306" s="724"/>
    </row>
    <row r="307" spans="15:15" ht="15" customHeight="1">
      <c r="O307" s="724"/>
    </row>
    <row r="308" spans="15:15" ht="15" customHeight="1">
      <c r="O308" s="724"/>
    </row>
    <row r="309" spans="15:15" ht="15" customHeight="1">
      <c r="O309" s="724"/>
    </row>
    <row r="310" spans="15:15" ht="15" customHeight="1">
      <c r="O310" s="724"/>
    </row>
    <row r="311" spans="15:15" ht="15" customHeight="1">
      <c r="O311" s="724"/>
    </row>
    <row r="312" spans="15:15" ht="15" customHeight="1">
      <c r="O312" s="724"/>
    </row>
    <row r="313" spans="15:15" ht="15" customHeight="1">
      <c r="O313" s="724"/>
    </row>
    <row r="314" spans="15:15" ht="15" customHeight="1">
      <c r="O314" s="724"/>
    </row>
    <row r="315" spans="15:15" ht="15" customHeight="1">
      <c r="O315" s="724"/>
    </row>
    <row r="316" spans="15:15" ht="15" customHeight="1">
      <c r="O316" s="724"/>
    </row>
    <row r="317" spans="15:15" ht="15" customHeight="1">
      <c r="O317" s="724"/>
    </row>
    <row r="318" spans="15:15" ht="15" customHeight="1">
      <c r="O318" s="724"/>
    </row>
    <row r="319" spans="15:15" ht="15" customHeight="1">
      <c r="O319" s="724"/>
    </row>
    <row r="320" spans="15:15" ht="15" customHeight="1">
      <c r="O320" s="724"/>
    </row>
    <row r="321" spans="15:15" ht="15" customHeight="1">
      <c r="O321" s="724"/>
    </row>
    <row r="322" spans="15:15" ht="15" customHeight="1">
      <c r="O322" s="724"/>
    </row>
    <row r="323" spans="15:15" ht="15" customHeight="1">
      <c r="O323" s="724"/>
    </row>
    <row r="324" spans="15:15" ht="15" customHeight="1">
      <c r="O324" s="724"/>
    </row>
    <row r="325" spans="15:15" ht="15" customHeight="1">
      <c r="O325" s="724"/>
    </row>
    <row r="326" spans="15:15" ht="15" customHeight="1">
      <c r="O326" s="724"/>
    </row>
    <row r="327" spans="15:15" ht="15" customHeight="1">
      <c r="O327" s="724"/>
    </row>
    <row r="328" spans="15:15" ht="15" customHeight="1">
      <c r="O328" s="724"/>
    </row>
    <row r="329" spans="15:15" ht="15" customHeight="1">
      <c r="O329" s="724"/>
    </row>
    <row r="330" spans="15:15" ht="15" customHeight="1">
      <c r="O330" s="724"/>
    </row>
    <row r="331" spans="15:15" ht="15" customHeight="1">
      <c r="O331" s="724"/>
    </row>
    <row r="332" spans="15:15" ht="15" customHeight="1">
      <c r="O332" s="724"/>
    </row>
    <row r="333" spans="15:15" ht="15" customHeight="1">
      <c r="O333" s="724"/>
    </row>
    <row r="334" spans="15:15" ht="15" customHeight="1">
      <c r="O334" s="724"/>
    </row>
    <row r="335" spans="15:15" ht="15" customHeight="1">
      <c r="O335" s="724"/>
    </row>
    <row r="336" spans="15:15" ht="15" customHeight="1">
      <c r="O336" s="724"/>
    </row>
    <row r="337" spans="15:15" ht="15" customHeight="1">
      <c r="O337" s="724"/>
    </row>
    <row r="338" spans="15:15" ht="15" customHeight="1">
      <c r="O338" s="724"/>
    </row>
    <row r="339" spans="15:15" ht="15" customHeight="1">
      <c r="O339" s="724"/>
    </row>
    <row r="340" spans="15:15" ht="15" customHeight="1">
      <c r="O340" s="724"/>
    </row>
    <row r="341" spans="15:15" ht="15" customHeight="1">
      <c r="O341" s="724"/>
    </row>
    <row r="342" spans="15:15" ht="15" customHeight="1">
      <c r="O342" s="724"/>
    </row>
    <row r="343" spans="15:15" ht="15" customHeight="1">
      <c r="O343" s="724"/>
    </row>
    <row r="344" spans="15:15" ht="15" customHeight="1">
      <c r="O344" s="724"/>
    </row>
    <row r="345" spans="15:15" ht="15" customHeight="1">
      <c r="O345" s="724"/>
    </row>
    <row r="346" spans="15:15" ht="15" customHeight="1">
      <c r="O346" s="724"/>
    </row>
    <row r="347" spans="15:15" ht="15" customHeight="1">
      <c r="O347" s="724"/>
    </row>
    <row r="348" spans="15:15" ht="15" customHeight="1">
      <c r="O348" s="724"/>
    </row>
    <row r="349" spans="15:15" ht="15" customHeight="1">
      <c r="O349" s="724"/>
    </row>
    <row r="350" spans="15:15" ht="15" customHeight="1">
      <c r="O350" s="724"/>
    </row>
    <row r="351" spans="15:15" ht="15" customHeight="1">
      <c r="O351" s="724"/>
    </row>
    <row r="352" spans="15:15" ht="15" customHeight="1">
      <c r="O352" s="724"/>
    </row>
    <row r="353" spans="15:15" ht="15" customHeight="1">
      <c r="O353" s="724"/>
    </row>
    <row r="354" spans="15:15" ht="15" customHeight="1">
      <c r="O354" s="724"/>
    </row>
    <row r="355" spans="15:15" ht="15" customHeight="1">
      <c r="O355" s="724"/>
    </row>
    <row r="356" spans="15:15" ht="15" customHeight="1">
      <c r="O356" s="724"/>
    </row>
    <row r="357" spans="15:15" ht="15" customHeight="1">
      <c r="O357" s="724"/>
    </row>
    <row r="358" spans="15:15" ht="15" customHeight="1">
      <c r="O358" s="724"/>
    </row>
    <row r="359" spans="15:15" ht="15" customHeight="1">
      <c r="O359" s="724"/>
    </row>
    <row r="360" spans="15:15" ht="15" customHeight="1">
      <c r="O360" s="724"/>
    </row>
    <row r="361" spans="15:15" ht="15" customHeight="1">
      <c r="O361" s="724"/>
    </row>
    <row r="362" spans="15:15" ht="15" customHeight="1">
      <c r="O362" s="724"/>
    </row>
    <row r="363" spans="15:15" ht="15" customHeight="1">
      <c r="O363" s="724"/>
    </row>
    <row r="364" spans="15:15" ht="15" customHeight="1">
      <c r="O364" s="724"/>
    </row>
    <row r="365" spans="15:15" ht="15" customHeight="1">
      <c r="O365" s="724"/>
    </row>
    <row r="366" spans="15:15" ht="15" customHeight="1">
      <c r="O366" s="724"/>
    </row>
    <row r="367" spans="15:15" ht="15" customHeight="1">
      <c r="O367" s="724"/>
    </row>
    <row r="368" spans="15:15" ht="15" customHeight="1">
      <c r="O368" s="724"/>
    </row>
    <row r="369" spans="15:15" ht="15" customHeight="1">
      <c r="O369" s="724"/>
    </row>
    <row r="370" spans="15:15" ht="15" customHeight="1">
      <c r="O370" s="724"/>
    </row>
    <row r="371" spans="15:15" ht="15" customHeight="1">
      <c r="O371" s="724"/>
    </row>
    <row r="372" spans="15:15" ht="15" customHeight="1">
      <c r="O372" s="724"/>
    </row>
    <row r="373" spans="15:15" ht="15" customHeight="1">
      <c r="O373" s="724"/>
    </row>
    <row r="374" spans="15:15" ht="15" customHeight="1">
      <c r="O374" s="724"/>
    </row>
    <row r="375" spans="15:15" ht="15" customHeight="1">
      <c r="O375" s="724"/>
    </row>
    <row r="376" spans="15:15" ht="15" customHeight="1">
      <c r="O376" s="724"/>
    </row>
    <row r="377" spans="15:15" ht="15" customHeight="1">
      <c r="O377" s="724"/>
    </row>
    <row r="378" spans="15:15" ht="15" customHeight="1">
      <c r="O378" s="724"/>
    </row>
    <row r="379" spans="15:15" ht="15" customHeight="1">
      <c r="O379" s="724"/>
    </row>
    <row r="380" spans="15:15" ht="15" customHeight="1">
      <c r="O380" s="724"/>
    </row>
    <row r="381" spans="15:15" ht="15" customHeight="1">
      <c r="O381" s="724"/>
    </row>
    <row r="382" spans="15:15" ht="15" customHeight="1">
      <c r="O382" s="724"/>
    </row>
    <row r="383" spans="15:15" ht="15" customHeight="1">
      <c r="O383" s="724"/>
    </row>
    <row r="384" spans="15:15" ht="15" customHeight="1">
      <c r="O384" s="724"/>
    </row>
    <row r="385" spans="15:15" ht="15" customHeight="1">
      <c r="O385" s="724"/>
    </row>
    <row r="386" spans="15:15" ht="15" customHeight="1">
      <c r="O386" s="724"/>
    </row>
    <row r="387" spans="15:15" ht="15" customHeight="1">
      <c r="O387" s="724"/>
    </row>
    <row r="388" spans="15:15" ht="15" customHeight="1">
      <c r="O388" s="724"/>
    </row>
    <row r="389" spans="15:15" ht="15" customHeight="1">
      <c r="O389" s="724"/>
    </row>
    <row r="390" spans="15:15" ht="15" customHeight="1">
      <c r="O390" s="724"/>
    </row>
    <row r="391" spans="15:15" ht="15" customHeight="1">
      <c r="O391" s="724"/>
    </row>
    <row r="392" spans="15:15" ht="15" customHeight="1">
      <c r="O392" s="724"/>
    </row>
    <row r="393" spans="15:15" ht="15" customHeight="1">
      <c r="O393" s="724"/>
    </row>
    <row r="394" spans="15:15" ht="15" customHeight="1">
      <c r="O394" s="724"/>
    </row>
    <row r="395" spans="15:15" ht="15" customHeight="1">
      <c r="O395" s="724"/>
    </row>
    <row r="396" spans="15:15" ht="15" customHeight="1">
      <c r="O396" s="724"/>
    </row>
    <row r="397" spans="15:15" ht="15" customHeight="1">
      <c r="O397" s="724"/>
    </row>
    <row r="398" spans="15:15" ht="15" customHeight="1">
      <c r="O398" s="724"/>
    </row>
    <row r="399" spans="15:15" ht="15" customHeight="1">
      <c r="O399" s="724"/>
    </row>
    <row r="400" spans="15:15" ht="15" customHeight="1">
      <c r="O400" s="724"/>
    </row>
    <row r="401" spans="15:15" ht="15" customHeight="1">
      <c r="O401" s="724"/>
    </row>
    <row r="402" spans="15:15" ht="15" customHeight="1">
      <c r="O402" s="724"/>
    </row>
    <row r="403" spans="15:15" ht="15" customHeight="1">
      <c r="O403" s="724"/>
    </row>
    <row r="404" spans="15:15" ht="15" customHeight="1">
      <c r="O404" s="724"/>
    </row>
    <row r="405" spans="15:15" ht="15" customHeight="1">
      <c r="O405" s="724"/>
    </row>
    <row r="406" spans="15:15" ht="15" customHeight="1">
      <c r="O406" s="724"/>
    </row>
    <row r="407" spans="15:15" ht="15" customHeight="1">
      <c r="O407" s="724"/>
    </row>
    <row r="408" spans="15:15" ht="15" customHeight="1">
      <c r="O408" s="724"/>
    </row>
    <row r="409" spans="15:15" ht="15" customHeight="1">
      <c r="O409" s="724"/>
    </row>
    <row r="410" spans="15:15" ht="15" customHeight="1">
      <c r="O410" s="724"/>
    </row>
    <row r="411" spans="15:15" ht="15" customHeight="1">
      <c r="O411" s="724"/>
    </row>
    <row r="412" spans="15:15" ht="15" customHeight="1">
      <c r="O412" s="724"/>
    </row>
    <row r="413" spans="15:15" ht="15" customHeight="1">
      <c r="O413" s="724"/>
    </row>
    <row r="414" spans="15:15" ht="15" customHeight="1">
      <c r="O414" s="724"/>
    </row>
    <row r="415" spans="15:15" ht="15" customHeight="1">
      <c r="O415" s="724"/>
    </row>
    <row r="416" spans="15:15" ht="15" customHeight="1">
      <c r="O416" s="724"/>
    </row>
    <row r="417" spans="15:15" ht="15" customHeight="1">
      <c r="O417" s="724"/>
    </row>
    <row r="418" spans="15:15" ht="15" customHeight="1">
      <c r="O418" s="724"/>
    </row>
    <row r="419" spans="15:15" ht="15" customHeight="1">
      <c r="O419" s="724"/>
    </row>
    <row r="420" spans="15:15" ht="15" customHeight="1">
      <c r="O420" s="724"/>
    </row>
    <row r="421" spans="15:15" ht="15" customHeight="1">
      <c r="O421" s="724"/>
    </row>
    <row r="422" spans="15:15" ht="15" customHeight="1">
      <c r="O422" s="724"/>
    </row>
    <row r="423" spans="15:15" ht="15" customHeight="1">
      <c r="O423" s="724"/>
    </row>
    <row r="424" spans="15:15" ht="15" customHeight="1">
      <c r="O424" s="724"/>
    </row>
    <row r="425" spans="15:15" ht="15" customHeight="1">
      <c r="O425" s="724"/>
    </row>
    <row r="426" spans="15:15" ht="15" customHeight="1">
      <c r="O426" s="724"/>
    </row>
    <row r="427" spans="15:15" ht="15" customHeight="1">
      <c r="O427" s="724"/>
    </row>
    <row r="428" spans="15:15" ht="15" customHeight="1">
      <c r="O428" s="724"/>
    </row>
    <row r="429" spans="15:15" ht="15" customHeight="1">
      <c r="O429" s="724"/>
    </row>
    <row r="430" spans="15:15" ht="15" customHeight="1">
      <c r="O430" s="724"/>
    </row>
    <row r="431" spans="15:15" ht="15" customHeight="1">
      <c r="O431" s="724"/>
    </row>
    <row r="432" spans="15:15" ht="15" customHeight="1">
      <c r="O432" s="724"/>
    </row>
    <row r="433" spans="15:15" ht="15" customHeight="1">
      <c r="O433" s="724"/>
    </row>
    <row r="434" spans="15:15" ht="15" customHeight="1">
      <c r="O434" s="724"/>
    </row>
    <row r="435" spans="15:15" ht="15" customHeight="1">
      <c r="O435" s="724"/>
    </row>
    <row r="436" spans="15:15" ht="15" customHeight="1">
      <c r="O436" s="724"/>
    </row>
    <row r="437" spans="15:15" ht="15" customHeight="1">
      <c r="O437" s="724"/>
    </row>
    <row r="438" spans="15:15" ht="15" customHeight="1">
      <c r="O438" s="724"/>
    </row>
    <row r="439" spans="15:15" ht="15" customHeight="1">
      <c r="O439" s="724"/>
    </row>
    <row r="440" spans="15:15" ht="15" customHeight="1">
      <c r="O440" s="724"/>
    </row>
    <row r="441" spans="15:15" ht="15" customHeight="1">
      <c r="O441" s="724"/>
    </row>
    <row r="442" spans="15:15" ht="15" customHeight="1">
      <c r="O442" s="724"/>
    </row>
    <row r="443" spans="15:15" ht="15" customHeight="1">
      <c r="O443" s="724"/>
    </row>
    <row r="444" spans="15:15" ht="15" customHeight="1">
      <c r="O444" s="724"/>
    </row>
    <row r="445" spans="15:15" ht="15" customHeight="1">
      <c r="O445" s="724"/>
    </row>
    <row r="446" spans="15:15" ht="15" customHeight="1">
      <c r="O446" s="724"/>
    </row>
    <row r="447" spans="15:15" ht="15" customHeight="1">
      <c r="O447" s="724"/>
    </row>
    <row r="448" spans="15:15" ht="15" customHeight="1">
      <c r="O448" s="724"/>
    </row>
    <row r="449" spans="15:15" ht="15" customHeight="1">
      <c r="O449" s="724"/>
    </row>
    <row r="450" spans="15:15" ht="15" customHeight="1">
      <c r="O450" s="724"/>
    </row>
    <row r="451" spans="15:15" ht="15" customHeight="1">
      <c r="O451" s="724"/>
    </row>
    <row r="452" spans="15:15" ht="15" customHeight="1">
      <c r="O452" s="724"/>
    </row>
    <row r="453" spans="15:15" ht="15" customHeight="1">
      <c r="O453" s="724"/>
    </row>
    <row r="454" spans="15:15" ht="15" customHeight="1">
      <c r="O454" s="724"/>
    </row>
    <row r="455" spans="15:15" ht="15" customHeight="1">
      <c r="O455" s="724"/>
    </row>
    <row r="456" spans="15:15" ht="15" customHeight="1">
      <c r="O456" s="724"/>
    </row>
    <row r="457" spans="15:15" ht="15" customHeight="1">
      <c r="O457" s="724"/>
    </row>
    <row r="458" spans="15:15" ht="15" customHeight="1">
      <c r="O458" s="724"/>
    </row>
    <row r="459" spans="15:15" ht="15" customHeight="1">
      <c r="O459" s="724"/>
    </row>
    <row r="460" spans="15:15" ht="15" customHeight="1">
      <c r="O460" s="724"/>
    </row>
    <row r="461" spans="15:15" ht="15" customHeight="1">
      <c r="O461" s="724"/>
    </row>
    <row r="462" spans="15:15" ht="15" customHeight="1">
      <c r="O462" s="724"/>
    </row>
    <row r="463" spans="15:15" ht="15" customHeight="1">
      <c r="O463" s="724"/>
    </row>
    <row r="464" spans="15:15" ht="15" customHeight="1">
      <c r="O464" s="724"/>
    </row>
    <row r="465" spans="15:15" ht="15" customHeight="1">
      <c r="O465" s="724"/>
    </row>
    <row r="466" spans="15:15" ht="15" customHeight="1">
      <c r="O466" s="724"/>
    </row>
    <row r="467" spans="15:15" ht="15" customHeight="1">
      <c r="O467" s="724"/>
    </row>
    <row r="468" spans="15:15" ht="15" customHeight="1">
      <c r="O468" s="724"/>
    </row>
    <row r="469" spans="15:15" ht="15" customHeight="1">
      <c r="O469" s="724"/>
    </row>
    <row r="470" spans="15:15" ht="15" customHeight="1">
      <c r="O470" s="724"/>
    </row>
    <row r="471" spans="15:15" ht="15" customHeight="1">
      <c r="O471" s="724"/>
    </row>
    <row r="472" spans="15:15" ht="15" customHeight="1">
      <c r="O472" s="724"/>
    </row>
    <row r="473" spans="15:15" ht="15" customHeight="1">
      <c r="O473" s="724"/>
    </row>
    <row r="474" spans="15:15" ht="15" customHeight="1">
      <c r="O474" s="724"/>
    </row>
    <row r="475" spans="15:15" ht="15" customHeight="1">
      <c r="O475" s="724"/>
    </row>
    <row r="476" spans="15:15" ht="15" customHeight="1">
      <c r="O476" s="724"/>
    </row>
    <row r="477" spans="15:15" ht="15" customHeight="1">
      <c r="O477" s="724"/>
    </row>
    <row r="478" spans="15:15" ht="15" customHeight="1">
      <c r="O478" s="724"/>
    </row>
    <row r="479" spans="15:15" ht="15" customHeight="1">
      <c r="O479" s="724"/>
    </row>
    <row r="480" spans="15:15" ht="15" customHeight="1">
      <c r="O480" s="724"/>
    </row>
    <row r="481" spans="15:15" ht="15" customHeight="1">
      <c r="O481" s="724"/>
    </row>
    <row r="482" spans="15:15" ht="15" customHeight="1">
      <c r="O482" s="724"/>
    </row>
    <row r="483" spans="15:15" ht="15" customHeight="1">
      <c r="O483" s="724"/>
    </row>
    <row r="484" spans="15:15" ht="15" customHeight="1">
      <c r="O484" s="724"/>
    </row>
    <row r="485" spans="15:15" ht="15" customHeight="1">
      <c r="O485" s="724"/>
    </row>
    <row r="486" spans="15:15" ht="15" customHeight="1">
      <c r="O486" s="724"/>
    </row>
    <row r="487" spans="15:15" ht="15" customHeight="1">
      <c r="O487" s="724"/>
    </row>
    <row r="488" spans="15:15" ht="15" customHeight="1">
      <c r="O488" s="724"/>
    </row>
    <row r="489" spans="15:15" ht="15" customHeight="1">
      <c r="O489" s="724"/>
    </row>
    <row r="490" spans="15:15" ht="15" customHeight="1">
      <c r="O490" s="724"/>
    </row>
    <row r="491" spans="15:15" ht="15" customHeight="1">
      <c r="O491" s="724"/>
    </row>
    <row r="492" spans="15:15" ht="15" customHeight="1">
      <c r="O492" s="724"/>
    </row>
    <row r="493" spans="15:15" ht="15" customHeight="1">
      <c r="O493" s="724"/>
    </row>
    <row r="494" spans="15:15" ht="15" customHeight="1">
      <c r="O494" s="724"/>
    </row>
    <row r="495" spans="15:15" ht="15" customHeight="1">
      <c r="O495" s="724"/>
    </row>
    <row r="496" spans="15:15" ht="15" customHeight="1">
      <c r="O496" s="724"/>
    </row>
    <row r="497" spans="15:15" ht="15" customHeight="1">
      <c r="O497" s="724"/>
    </row>
    <row r="498" spans="15:15" ht="15" customHeight="1">
      <c r="O498" s="724"/>
    </row>
    <row r="499" spans="15:15" ht="15" customHeight="1">
      <c r="O499" s="724"/>
    </row>
    <row r="500" spans="15:15" ht="15" customHeight="1">
      <c r="O500" s="724"/>
    </row>
    <row r="501" spans="15:15" ht="15" customHeight="1">
      <c r="O501" s="724"/>
    </row>
  </sheetData>
  <sheetProtection algorithmName="SHA-512" hashValue="8Z8A9PcFmMNct42Os07JLb4uF/FWj757QkD7UfVeWFc6in4T1giI7Ym5D6dX9bSMLpMaLk/B2hD4unAvCtm+Yg==" saltValue="XNfd8a93PPTMBSwFkandaA==" spinCount="100000" sheet="1" objects="1" scenarios="1" selectLockedCells="1" selectUnlockedCells="1"/>
  <phoneticPr fontId="14" type="noConversion"/>
  <pageMargins left="0.7" right="0.7" top="0.75" bottom="0.75" header="0.3" footer="0.3"/>
  <headerFooter>
    <oddFooter>&amp;L_x000D_&amp;1#&amp;"Aptos"&amp;8&amp;K000000 Clasificación: Interna</oddFooter>
  </headerFooter>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HF1164" zoomScale="99" workbookViewId="0">
      <selection activeCell="HF1165" sqref="HF1165"/>
    </sheetView>
  </sheetViews>
  <sheetFormatPr defaultColWidth="10.77734375" defaultRowHeight="14.4"/>
  <cols>
    <col min="1" max="1" width="13.109375" style="9" bestFit="1" customWidth="1"/>
    <col min="2" max="2" width="5" style="9" customWidth="1"/>
    <col min="3" max="3" width="12.44140625" style="9" customWidth="1"/>
    <col min="4" max="4" width="13.109375" style="9" customWidth="1"/>
    <col min="5" max="5" width="12.33203125" style="9" bestFit="1" customWidth="1"/>
    <col min="6" max="6" width="10.77734375" style="9"/>
    <col min="7" max="7" width="12.33203125" style="9" bestFit="1" customWidth="1"/>
    <col min="8" max="15" width="10.77734375" style="9"/>
    <col min="16" max="16" width="4.77734375" style="9" bestFit="1" customWidth="1"/>
    <col min="17" max="17" width="17.77734375" style="9" bestFit="1" customWidth="1"/>
    <col min="18" max="18" width="11.109375" style="9" bestFit="1" customWidth="1"/>
    <col min="19" max="19" width="11" style="9" bestFit="1" customWidth="1"/>
    <col min="20" max="20" width="10.33203125" style="9" bestFit="1" customWidth="1"/>
    <col min="21" max="21" width="10.44140625" style="9" customWidth="1"/>
    <col min="22" max="22" width="10.33203125" style="9" customWidth="1"/>
    <col min="23" max="23" width="3.33203125" style="9" bestFit="1" customWidth="1"/>
    <col min="24" max="26" width="10.77734375" style="9"/>
    <col min="27" max="27" width="6.44140625" style="9" customWidth="1"/>
    <col min="28" max="33" width="10.77734375" style="9"/>
    <col min="34" max="34" width="3.33203125" style="9" bestFit="1" customWidth="1"/>
    <col min="35" max="16384" width="10.77734375" style="9"/>
  </cols>
  <sheetData>
    <row r="1" spans="1:35" ht="15" thickBot="1">
      <c r="A1" s="710"/>
      <c r="K1" s="714" t="s">
        <v>376</v>
      </c>
      <c r="L1" s="714" t="s">
        <v>367</v>
      </c>
      <c r="M1" s="714" t="s">
        <v>149</v>
      </c>
      <c r="N1" s="714" t="s">
        <v>372</v>
      </c>
      <c r="P1" s="11" t="s">
        <v>1343</v>
      </c>
      <c r="Q1" s="11"/>
      <c r="R1" s="11"/>
      <c r="S1" s="11"/>
      <c r="T1" s="11"/>
      <c r="U1" s="11"/>
      <c r="V1" s="11"/>
      <c r="W1" s="11"/>
      <c r="X1" s="11"/>
    </row>
    <row r="2" spans="1:35" ht="15" thickBot="1">
      <c r="K2" s="714" t="s">
        <v>366</v>
      </c>
      <c r="L2" s="714" t="str">
        <f>Idiomas!D266</f>
        <v>Estados Unidos</v>
      </c>
      <c r="M2" s="714">
        <f ca="1">+INDEX($R$3:$R$86,MATCH($L$2,$Q$3:$Q$86,0))</f>
        <v>-4</v>
      </c>
      <c r="N2" s="715">
        <f ca="1">+INDEX($S$3:$S$86,MATCH($L$2,$Q$3:$Q$86,0))</f>
        <v>0.16666666666666666</v>
      </c>
      <c r="P2" s="789" t="s">
        <v>368</v>
      </c>
      <c r="Q2" s="789" t="s">
        <v>367</v>
      </c>
      <c r="R2" s="789" t="s">
        <v>352</v>
      </c>
      <c r="S2" s="789" t="s">
        <v>371</v>
      </c>
      <c r="T2" s="789" t="s">
        <v>353</v>
      </c>
      <c r="U2" s="789" t="s">
        <v>354</v>
      </c>
      <c r="V2" s="789" t="s">
        <v>370</v>
      </c>
      <c r="W2" s="790" t="s">
        <v>369</v>
      </c>
      <c r="X2" s="789" t="s">
        <v>353</v>
      </c>
      <c r="AA2" s="789" t="s">
        <v>368</v>
      </c>
      <c r="AB2" s="789" t="s">
        <v>367</v>
      </c>
      <c r="AC2" s="789" t="s">
        <v>352</v>
      </c>
      <c r="AD2" s="789" t="s">
        <v>371</v>
      </c>
      <c r="AE2" s="789" t="s">
        <v>353</v>
      </c>
      <c r="AF2" s="789" t="s">
        <v>354</v>
      </c>
      <c r="AG2" s="789" t="s">
        <v>370</v>
      </c>
      <c r="AH2" s="790" t="s">
        <v>369</v>
      </c>
      <c r="AI2" s="789" t="s">
        <v>83</v>
      </c>
    </row>
    <row r="3" spans="1:35">
      <c r="A3" s="5" t="s">
        <v>39</v>
      </c>
      <c r="C3" s="9">
        <f ca="1">+IFERROR(INDEX($P$3:$P$86,MATCH(Home!$C$8,Horarios!$Q$3:$Q$86,0)),INDEX($P$3:$P$86,MATCH(1,$T$3:$T$86,0)))</f>
        <v>21</v>
      </c>
      <c r="K3" s="9" t="s">
        <v>148</v>
      </c>
      <c r="P3" s="11">
        <v>1</v>
      </c>
      <c r="Q3" s="11" t="str">
        <f ca="1">+INDEX($AB$3:$AB$50,MATCH(P3,$AI$3:$AI$50,0))</f>
        <v>Alemania</v>
      </c>
      <c r="R3" s="11">
        <f t="shared" ref="R3:W12" ca="1" si="0">+INDEX($AC$3:$AH$86,MATCH($Q3,$AB$3:$AB$86,0),MATCH(R$2,$AC$2:$AH$2,0))</f>
        <v>2</v>
      </c>
      <c r="S3" s="791">
        <f t="shared" ca="1" si="0"/>
        <v>8.3333333333333329E-2</v>
      </c>
      <c r="T3" s="11">
        <f t="shared" ca="1" si="0"/>
        <v>0</v>
      </c>
      <c r="U3" s="11">
        <f t="shared" ca="1" si="0"/>
        <v>6</v>
      </c>
      <c r="V3" s="791">
        <f t="shared" ca="1" si="0"/>
        <v>0.25</v>
      </c>
      <c r="W3" s="11">
        <f t="shared" ca="1" si="0"/>
        <v>1</v>
      </c>
      <c r="X3" s="11">
        <f t="shared" ref="X3:X50" ca="1" si="1">IFERROR(IF(Q3=$L$2,1,0),0)</f>
        <v>0</v>
      </c>
      <c r="AA3" s="11">
        <v>1</v>
      </c>
      <c r="AB3" s="11" t="str">
        <f ca="1">Idiomas!D212</f>
        <v>Alemania</v>
      </c>
      <c r="AC3" s="11">
        <v>2</v>
      </c>
      <c r="AD3" s="791">
        <f>ABS(AC3/24)</f>
        <v>8.3333333333333329E-2</v>
      </c>
      <c r="AE3" s="11">
        <v>0</v>
      </c>
      <c r="AF3" s="11">
        <f ca="1">AC3-$M$2</f>
        <v>6</v>
      </c>
      <c r="AG3" s="791">
        <f ca="1">ABS(AF3/24)</f>
        <v>0.25</v>
      </c>
      <c r="AH3" s="11">
        <f ca="1">IF(AC3&gt;$M$2,1,IF(AC3=$M$2,0,-1))</f>
        <v>1</v>
      </c>
      <c r="AI3" s="11">
        <f ca="1">+COUNTIF($AB$3:$AB$50,"&lt;="&amp;AB3)</f>
        <v>1</v>
      </c>
    </row>
    <row r="4" spans="1:35">
      <c r="A4" s="710">
        <v>46184.625</v>
      </c>
      <c r="C4" s="710">
        <f t="shared" ref="C4:C9" ca="1" si="2">A4+INDEX($V$3:$V$86,MATCH($C$3,$P$3:$P$86,0))*INDEX($W$3:$W$86,MATCH($C$3,$P$3:$P$86,0))</f>
        <v>46184.875</v>
      </c>
      <c r="D4" s="710"/>
      <c r="E4" s="710"/>
      <c r="P4" s="11">
        <v>2</v>
      </c>
      <c r="Q4" s="11" t="str">
        <f t="shared" ref="Q4:Q50" ca="1" si="3">+INDEX($AB$3:$AB$50,MATCH(P4,$AI$3:$AI$50,0))</f>
        <v>Arabia Saudita</v>
      </c>
      <c r="R4" s="11">
        <f t="shared" ca="1" si="0"/>
        <v>3</v>
      </c>
      <c r="S4" s="791">
        <f t="shared" ca="1" si="0"/>
        <v>0.125</v>
      </c>
      <c r="T4" s="11">
        <f t="shared" ca="1" si="0"/>
        <v>0</v>
      </c>
      <c r="U4" s="11">
        <f t="shared" ca="1" si="0"/>
        <v>7</v>
      </c>
      <c r="V4" s="791">
        <f t="shared" ca="1" si="0"/>
        <v>0.29166666666666669</v>
      </c>
      <c r="W4" s="11">
        <f t="shared" ca="1" si="0"/>
        <v>1</v>
      </c>
      <c r="X4" s="11">
        <f t="shared" ca="1" si="1"/>
        <v>0</v>
      </c>
      <c r="AA4" s="11">
        <v>2</v>
      </c>
      <c r="AB4" s="11" t="str">
        <f ca="1">Idiomas!D213</f>
        <v>Arabia Saudita</v>
      </c>
      <c r="AC4" s="11">
        <v>3</v>
      </c>
      <c r="AD4" s="791">
        <f t="shared" ref="AD4:AD67" si="4">ABS(AC4/24)</f>
        <v>0.125</v>
      </c>
      <c r="AE4" s="11">
        <v>0</v>
      </c>
      <c r="AF4" s="11">
        <f t="shared" ref="AF4:AF50" ca="1" si="5">AC4-$M$2</f>
        <v>7</v>
      </c>
      <c r="AG4" s="791">
        <f t="shared" ref="AG4:AG67" ca="1" si="6">ABS(AF4/24)</f>
        <v>0.29166666666666669</v>
      </c>
      <c r="AH4" s="11">
        <f t="shared" ref="AH4:AH50" ca="1" si="7">IF(AC4&gt;$M$2,1,IF(AC4=$M$2,0,-1))</f>
        <v>1</v>
      </c>
      <c r="AI4" s="11">
        <f t="shared" ref="AI4:AI50" ca="1" si="8">+COUNTIF($AB$3:$AB$50,"&lt;="&amp;AB4)</f>
        <v>2</v>
      </c>
    </row>
    <row r="5" spans="1:35">
      <c r="A5" s="710">
        <v>46184.916666666664</v>
      </c>
      <c r="C5" s="710">
        <f t="shared" ca="1" si="2"/>
        <v>46185.166666666664</v>
      </c>
      <c r="D5" s="710"/>
      <c r="E5" s="710"/>
      <c r="P5" s="11">
        <v>3</v>
      </c>
      <c r="Q5" s="11" t="str">
        <f t="shared" ca="1" si="3"/>
        <v>Argelia</v>
      </c>
      <c r="R5" s="11">
        <f t="shared" ca="1" si="0"/>
        <v>1</v>
      </c>
      <c r="S5" s="791">
        <f t="shared" ca="1" si="0"/>
        <v>4.1666666666666664E-2</v>
      </c>
      <c r="T5" s="11">
        <f t="shared" ca="1" si="0"/>
        <v>0</v>
      </c>
      <c r="U5" s="11">
        <f t="shared" ca="1" si="0"/>
        <v>5</v>
      </c>
      <c r="V5" s="791">
        <f t="shared" ca="1" si="0"/>
        <v>0.20833333333333334</v>
      </c>
      <c r="W5" s="11">
        <f t="shared" ca="1" si="0"/>
        <v>1</v>
      </c>
      <c r="X5" s="11">
        <f t="shared" ca="1" si="1"/>
        <v>0</v>
      </c>
      <c r="AA5" s="11">
        <v>3</v>
      </c>
      <c r="AB5" s="11" t="str">
        <f ca="1">Idiomas!D214</f>
        <v>Argelia</v>
      </c>
      <c r="AC5" s="11">
        <v>1</v>
      </c>
      <c r="AD5" s="791">
        <f t="shared" si="4"/>
        <v>4.1666666666666664E-2</v>
      </c>
      <c r="AE5" s="11">
        <v>0</v>
      </c>
      <c r="AF5" s="11">
        <f t="shared" ca="1" si="5"/>
        <v>5</v>
      </c>
      <c r="AG5" s="791">
        <f t="shared" ca="1" si="6"/>
        <v>0.20833333333333334</v>
      </c>
      <c r="AH5" s="11">
        <f t="shared" ca="1" si="7"/>
        <v>1</v>
      </c>
      <c r="AI5" s="11">
        <f t="shared" ca="1" si="8"/>
        <v>3</v>
      </c>
    </row>
    <row r="6" spans="1:35">
      <c r="A6" s="710">
        <v>46191.5</v>
      </c>
      <c r="C6" s="710">
        <f t="shared" ca="1" si="2"/>
        <v>46191.75</v>
      </c>
      <c r="D6" s="710"/>
      <c r="E6" s="710"/>
      <c r="P6" s="11">
        <v>4</v>
      </c>
      <c r="Q6" s="11" t="str">
        <f t="shared" ca="1" si="3"/>
        <v>Argentina</v>
      </c>
      <c r="R6" s="11">
        <f t="shared" ca="1" si="0"/>
        <v>-3</v>
      </c>
      <c r="S6" s="791">
        <f t="shared" ca="1" si="0"/>
        <v>0.125</v>
      </c>
      <c r="T6" s="11">
        <f t="shared" ca="1" si="0"/>
        <v>0</v>
      </c>
      <c r="U6" s="11">
        <f t="shared" ca="1" si="0"/>
        <v>1</v>
      </c>
      <c r="V6" s="791">
        <f t="shared" ca="1" si="0"/>
        <v>4.1666666666666664E-2</v>
      </c>
      <c r="W6" s="11">
        <f t="shared" ca="1" si="0"/>
        <v>1</v>
      </c>
      <c r="X6" s="11">
        <f t="shared" ca="1" si="1"/>
        <v>0</v>
      </c>
      <c r="AA6" s="11">
        <v>4</v>
      </c>
      <c r="AB6" s="11" t="str">
        <f ca="1">Idiomas!D215</f>
        <v>Argentina</v>
      </c>
      <c r="AC6" s="11">
        <v>-3</v>
      </c>
      <c r="AD6" s="791">
        <f t="shared" si="4"/>
        <v>0.125</v>
      </c>
      <c r="AE6" s="11">
        <v>0</v>
      </c>
      <c r="AF6" s="11">
        <f t="shared" ca="1" si="5"/>
        <v>1</v>
      </c>
      <c r="AG6" s="791">
        <f t="shared" ca="1" si="6"/>
        <v>4.1666666666666664E-2</v>
      </c>
      <c r="AH6" s="11">
        <f t="shared" ca="1" si="7"/>
        <v>1</v>
      </c>
      <c r="AI6" s="11">
        <f t="shared" ca="1" si="8"/>
        <v>4</v>
      </c>
    </row>
    <row r="7" spans="1:35">
      <c r="A7" s="710">
        <v>46191.875</v>
      </c>
      <c r="C7" s="710">
        <f t="shared" ca="1" si="2"/>
        <v>46192.125</v>
      </c>
      <c r="D7" s="710"/>
      <c r="E7" s="710"/>
      <c r="P7" s="11">
        <v>5</v>
      </c>
      <c r="Q7" s="11" t="str">
        <f t="shared" ca="1" si="3"/>
        <v>Australia</v>
      </c>
      <c r="R7" s="11">
        <f t="shared" ca="1" si="0"/>
        <v>10.5</v>
      </c>
      <c r="S7" s="791">
        <f t="shared" ca="1" si="0"/>
        <v>0.4375</v>
      </c>
      <c r="T7" s="11">
        <f t="shared" ca="1" si="0"/>
        <v>0</v>
      </c>
      <c r="U7" s="11">
        <f t="shared" ca="1" si="0"/>
        <v>14.5</v>
      </c>
      <c r="V7" s="791">
        <f t="shared" ca="1" si="0"/>
        <v>0.60416666666666663</v>
      </c>
      <c r="W7" s="11">
        <f t="shared" ca="1" si="0"/>
        <v>1</v>
      </c>
      <c r="X7" s="11">
        <f t="shared" ca="1" si="1"/>
        <v>0</v>
      </c>
      <c r="AA7" s="11">
        <v>5</v>
      </c>
      <c r="AB7" s="11" t="str">
        <f ca="1">Idiomas!D216</f>
        <v>Australia</v>
      </c>
      <c r="AC7" s="11">
        <v>10.5</v>
      </c>
      <c r="AD7" s="791">
        <f t="shared" si="4"/>
        <v>0.4375</v>
      </c>
      <c r="AE7" s="11">
        <v>0</v>
      </c>
      <c r="AF7" s="11">
        <f t="shared" ca="1" si="5"/>
        <v>14.5</v>
      </c>
      <c r="AG7" s="791">
        <f t="shared" ca="1" si="6"/>
        <v>0.60416666666666663</v>
      </c>
      <c r="AH7" s="11">
        <f t="shared" ca="1" si="7"/>
        <v>1</v>
      </c>
      <c r="AI7" s="11">
        <f t="shared" ca="1" si="8"/>
        <v>5</v>
      </c>
    </row>
    <row r="8" spans="1:35">
      <c r="A8" s="710">
        <v>46197.875</v>
      </c>
      <c r="C8" s="710">
        <f t="shared" ca="1" si="2"/>
        <v>46198.125</v>
      </c>
      <c r="D8" s="710"/>
      <c r="E8" s="710"/>
      <c r="P8" s="11">
        <v>6</v>
      </c>
      <c r="Q8" s="11" t="str">
        <f t="shared" ca="1" si="3"/>
        <v>Austria</v>
      </c>
      <c r="R8" s="11">
        <f t="shared" ca="1" si="0"/>
        <v>2</v>
      </c>
      <c r="S8" s="791">
        <f t="shared" ca="1" si="0"/>
        <v>8.3333333333333329E-2</v>
      </c>
      <c r="T8" s="11">
        <f t="shared" ca="1" si="0"/>
        <v>0</v>
      </c>
      <c r="U8" s="11">
        <f t="shared" ca="1" si="0"/>
        <v>6</v>
      </c>
      <c r="V8" s="791">
        <f t="shared" ca="1" si="0"/>
        <v>0.25</v>
      </c>
      <c r="W8" s="11">
        <f t="shared" ca="1" si="0"/>
        <v>1</v>
      </c>
      <c r="X8" s="11">
        <f t="shared" ca="1" si="1"/>
        <v>0</v>
      </c>
      <c r="AA8" s="11">
        <v>6</v>
      </c>
      <c r="AB8" s="11" t="str">
        <f ca="1">Idiomas!D217</f>
        <v>Austria</v>
      </c>
      <c r="AC8" s="11">
        <v>2</v>
      </c>
      <c r="AD8" s="791">
        <f t="shared" si="4"/>
        <v>8.3333333333333329E-2</v>
      </c>
      <c r="AE8" s="11">
        <v>0</v>
      </c>
      <c r="AF8" s="11">
        <f t="shared" ca="1" si="5"/>
        <v>6</v>
      </c>
      <c r="AG8" s="791">
        <f t="shared" ca="1" si="6"/>
        <v>0.25</v>
      </c>
      <c r="AH8" s="11">
        <f t="shared" ca="1" si="7"/>
        <v>1</v>
      </c>
      <c r="AI8" s="11">
        <f t="shared" ca="1" si="8"/>
        <v>6</v>
      </c>
    </row>
    <row r="9" spans="1:35">
      <c r="A9" s="710">
        <v>46197.875</v>
      </c>
      <c r="C9" s="710">
        <f t="shared" ca="1" si="2"/>
        <v>46198.125</v>
      </c>
      <c r="D9" s="710"/>
      <c r="E9" s="710"/>
      <c r="P9" s="11">
        <v>7</v>
      </c>
      <c r="Q9" s="11" t="str">
        <f t="shared" ca="1" si="3"/>
        <v>Bélgica</v>
      </c>
      <c r="R9" s="11">
        <f t="shared" ca="1" si="0"/>
        <v>2</v>
      </c>
      <c r="S9" s="791">
        <f t="shared" ca="1" si="0"/>
        <v>8.3333333333333329E-2</v>
      </c>
      <c r="T9" s="11">
        <f t="shared" ca="1" si="0"/>
        <v>0</v>
      </c>
      <c r="U9" s="11">
        <f t="shared" ca="1" si="0"/>
        <v>6</v>
      </c>
      <c r="V9" s="791">
        <f t="shared" ca="1" si="0"/>
        <v>0.25</v>
      </c>
      <c r="W9" s="11">
        <f t="shared" ca="1" si="0"/>
        <v>1</v>
      </c>
      <c r="X9" s="11">
        <f t="shared" ca="1" si="1"/>
        <v>0</v>
      </c>
      <c r="AA9" s="11">
        <v>7</v>
      </c>
      <c r="AB9" s="11" t="str">
        <f ca="1">Idiomas!D218</f>
        <v>Bélgica</v>
      </c>
      <c r="AC9" s="11">
        <v>2</v>
      </c>
      <c r="AD9" s="791">
        <f t="shared" si="4"/>
        <v>8.3333333333333329E-2</v>
      </c>
      <c r="AE9" s="11">
        <v>0</v>
      </c>
      <c r="AF9" s="11">
        <f t="shared" ca="1" si="5"/>
        <v>6</v>
      </c>
      <c r="AG9" s="791">
        <f t="shared" ca="1" si="6"/>
        <v>0.25</v>
      </c>
      <c r="AH9" s="11">
        <f t="shared" ca="1" si="7"/>
        <v>1</v>
      </c>
      <c r="AI9" s="11">
        <f t="shared" ca="1" si="8"/>
        <v>7</v>
      </c>
    </row>
    <row r="10" spans="1:35">
      <c r="C10" s="710"/>
      <c r="E10" s="710"/>
      <c r="P10" s="11">
        <v>8</v>
      </c>
      <c r="Q10" s="11" t="str">
        <f t="shared" ca="1" si="3"/>
        <v>Bosnia y Herzegovina</v>
      </c>
      <c r="R10" s="11">
        <f t="shared" ca="1" si="0"/>
        <v>2</v>
      </c>
      <c r="S10" s="791">
        <f t="shared" ca="1" si="0"/>
        <v>8.3333333333333329E-2</v>
      </c>
      <c r="T10" s="11">
        <f t="shared" ca="1" si="0"/>
        <v>0</v>
      </c>
      <c r="U10" s="11">
        <f t="shared" ca="1" si="0"/>
        <v>6</v>
      </c>
      <c r="V10" s="791">
        <f t="shared" ca="1" si="0"/>
        <v>0.25</v>
      </c>
      <c r="W10" s="11">
        <f t="shared" ca="1" si="0"/>
        <v>1</v>
      </c>
      <c r="X10" s="11">
        <f t="shared" ca="1" si="1"/>
        <v>0</v>
      </c>
      <c r="AA10" s="11">
        <v>8</v>
      </c>
      <c r="AB10" s="11" t="str">
        <f ca="1">Idiomas!D219</f>
        <v>Brasil</v>
      </c>
      <c r="AC10" s="11">
        <v>-3</v>
      </c>
      <c r="AD10" s="791">
        <f t="shared" si="4"/>
        <v>0.125</v>
      </c>
      <c r="AE10" s="11">
        <v>0</v>
      </c>
      <c r="AF10" s="11">
        <f t="shared" ca="1" si="5"/>
        <v>1</v>
      </c>
      <c r="AG10" s="791">
        <f t="shared" ca="1" si="6"/>
        <v>4.1666666666666664E-2</v>
      </c>
      <c r="AH10" s="11">
        <f t="shared" ca="1" si="7"/>
        <v>1</v>
      </c>
      <c r="AI10" s="11">
        <f t="shared" ca="1" si="8"/>
        <v>9</v>
      </c>
    </row>
    <row r="11" spans="1:35">
      <c r="A11" s="5" t="s">
        <v>40</v>
      </c>
      <c r="C11" s="710"/>
      <c r="E11" s="710"/>
      <c r="P11" s="11">
        <v>9</v>
      </c>
      <c r="Q11" s="11" t="str">
        <f t="shared" ca="1" si="3"/>
        <v>Brasil</v>
      </c>
      <c r="R11" s="11">
        <f t="shared" ca="1" si="0"/>
        <v>-3</v>
      </c>
      <c r="S11" s="791">
        <f t="shared" ca="1" si="0"/>
        <v>0.125</v>
      </c>
      <c r="T11" s="11">
        <f t="shared" ca="1" si="0"/>
        <v>0</v>
      </c>
      <c r="U11" s="11">
        <f t="shared" ca="1" si="0"/>
        <v>1</v>
      </c>
      <c r="V11" s="791">
        <f t="shared" ca="1" si="0"/>
        <v>4.1666666666666664E-2</v>
      </c>
      <c r="W11" s="11">
        <f t="shared" ca="1" si="0"/>
        <v>1</v>
      </c>
      <c r="X11" s="11">
        <f t="shared" ca="1" si="1"/>
        <v>0</v>
      </c>
      <c r="AA11" s="11">
        <v>9</v>
      </c>
      <c r="AB11" s="11" t="str">
        <f ca="1">Idiomas!D220</f>
        <v>Cabo Verde</v>
      </c>
      <c r="AC11" s="11">
        <v>-1</v>
      </c>
      <c r="AD11" s="791">
        <f t="shared" si="4"/>
        <v>4.1666666666666664E-2</v>
      </c>
      <c r="AE11" s="11">
        <v>0</v>
      </c>
      <c r="AF11" s="11">
        <f t="shared" ca="1" si="5"/>
        <v>3</v>
      </c>
      <c r="AG11" s="791">
        <f t="shared" ca="1" si="6"/>
        <v>0.125</v>
      </c>
      <c r="AH11" s="11">
        <f t="shared" ca="1" si="7"/>
        <v>1</v>
      </c>
      <c r="AI11" s="11">
        <f t="shared" ca="1" si="8"/>
        <v>10</v>
      </c>
    </row>
    <row r="12" spans="1:35">
      <c r="A12" s="710">
        <v>46185.625</v>
      </c>
      <c r="C12" s="710">
        <f t="shared" ref="C12:C17" ca="1" si="9">A12+INDEX($V$3:$V$86,MATCH($C$3,$P$3:$P$86,0))*INDEX($W$3:$W$86,MATCH($C$3,$P$3:$P$86,0))</f>
        <v>46185.875</v>
      </c>
      <c r="D12" s="710"/>
      <c r="E12" s="710"/>
      <c r="P12" s="11">
        <v>10</v>
      </c>
      <c r="Q12" s="11" t="str">
        <f t="shared" ca="1" si="3"/>
        <v>Cabo Verde</v>
      </c>
      <c r="R12" s="11">
        <f t="shared" ca="1" si="0"/>
        <v>-1</v>
      </c>
      <c r="S12" s="791">
        <f t="shared" ca="1" si="0"/>
        <v>4.1666666666666664E-2</v>
      </c>
      <c r="T12" s="11">
        <f t="shared" ca="1" si="0"/>
        <v>0</v>
      </c>
      <c r="U12" s="11">
        <f t="shared" ca="1" si="0"/>
        <v>3</v>
      </c>
      <c r="V12" s="791">
        <f t="shared" ca="1" si="0"/>
        <v>0.125</v>
      </c>
      <c r="W12" s="11">
        <f t="shared" ca="1" si="0"/>
        <v>1</v>
      </c>
      <c r="X12" s="11">
        <f t="shared" ca="1" si="1"/>
        <v>0</v>
      </c>
      <c r="AA12" s="11">
        <v>10</v>
      </c>
      <c r="AB12" s="11" t="str">
        <f ca="1">Idiomas!D221</f>
        <v>Canadá</v>
      </c>
      <c r="AC12" s="11">
        <v>-4</v>
      </c>
      <c r="AD12" s="791">
        <f t="shared" si="4"/>
        <v>0.16666666666666666</v>
      </c>
      <c r="AE12" s="11">
        <v>0</v>
      </c>
      <c r="AF12" s="11">
        <f t="shared" ca="1" si="5"/>
        <v>0</v>
      </c>
      <c r="AG12" s="791">
        <f t="shared" ca="1" si="6"/>
        <v>0</v>
      </c>
      <c r="AH12" s="11">
        <f t="shared" ca="1" si="7"/>
        <v>0</v>
      </c>
      <c r="AI12" s="11">
        <f t="shared" ca="1" si="8"/>
        <v>11</v>
      </c>
    </row>
    <row r="13" spans="1:35">
      <c r="A13" s="710">
        <v>46186.625</v>
      </c>
      <c r="C13" s="710">
        <f t="shared" ca="1" si="9"/>
        <v>46186.875</v>
      </c>
      <c r="D13" s="710"/>
      <c r="E13" s="710"/>
      <c r="P13" s="11">
        <v>11</v>
      </c>
      <c r="Q13" s="11" t="str">
        <f t="shared" ca="1" si="3"/>
        <v>Canadá</v>
      </c>
      <c r="R13" s="11">
        <f t="shared" ref="R13:W22" ca="1" si="10">+INDEX($AC$3:$AH$86,MATCH($Q13,$AB$3:$AB$86,0),MATCH(R$2,$AC$2:$AH$2,0))</f>
        <v>-4</v>
      </c>
      <c r="S13" s="791">
        <f t="shared" ca="1" si="10"/>
        <v>0.16666666666666666</v>
      </c>
      <c r="T13" s="11">
        <f t="shared" ca="1" si="10"/>
        <v>0</v>
      </c>
      <c r="U13" s="11">
        <f t="shared" ca="1" si="10"/>
        <v>0</v>
      </c>
      <c r="V13" s="791">
        <f t="shared" ca="1" si="10"/>
        <v>0</v>
      </c>
      <c r="W13" s="11">
        <f t="shared" ca="1" si="10"/>
        <v>0</v>
      </c>
      <c r="X13" s="11">
        <f t="shared" ca="1" si="1"/>
        <v>0</v>
      </c>
      <c r="AA13" s="11">
        <v>11</v>
      </c>
      <c r="AB13" s="11" t="str">
        <f ca="1">Idiomas!D222</f>
        <v>Catar</v>
      </c>
      <c r="AC13" s="11">
        <v>3</v>
      </c>
      <c r="AD13" s="791">
        <f t="shared" si="4"/>
        <v>0.125</v>
      </c>
      <c r="AE13" s="11">
        <v>0</v>
      </c>
      <c r="AF13" s="11">
        <f t="shared" ca="1" si="5"/>
        <v>7</v>
      </c>
      <c r="AG13" s="791">
        <f t="shared" ca="1" si="6"/>
        <v>0.29166666666666669</v>
      </c>
      <c r="AH13" s="11">
        <f t="shared" ca="1" si="7"/>
        <v>1</v>
      </c>
      <c r="AI13" s="11">
        <f t="shared" ca="1" si="8"/>
        <v>12</v>
      </c>
    </row>
    <row r="14" spans="1:35">
      <c r="A14" s="710">
        <v>46191.625</v>
      </c>
      <c r="C14" s="710">
        <f t="shared" ca="1" si="9"/>
        <v>46191.875</v>
      </c>
      <c r="D14" s="710"/>
      <c r="E14" s="710"/>
      <c r="P14" s="11">
        <v>12</v>
      </c>
      <c r="Q14" s="11" t="str">
        <f t="shared" ca="1" si="3"/>
        <v>Catar</v>
      </c>
      <c r="R14" s="11">
        <f t="shared" ca="1" si="10"/>
        <v>3</v>
      </c>
      <c r="S14" s="791">
        <f t="shared" ca="1" si="10"/>
        <v>0.125</v>
      </c>
      <c r="T14" s="11">
        <f t="shared" ca="1" si="10"/>
        <v>0</v>
      </c>
      <c r="U14" s="11">
        <f t="shared" ca="1" si="10"/>
        <v>7</v>
      </c>
      <c r="V14" s="791">
        <f t="shared" ca="1" si="10"/>
        <v>0.29166666666666669</v>
      </c>
      <c r="W14" s="11">
        <f t="shared" ca="1" si="10"/>
        <v>1</v>
      </c>
      <c r="X14" s="11">
        <f t="shared" ca="1" si="1"/>
        <v>0</v>
      </c>
      <c r="AA14" s="11">
        <v>12</v>
      </c>
      <c r="AB14" s="11" t="str">
        <f ca="1">Idiomas!D223</f>
        <v>Colombia</v>
      </c>
      <c r="AC14" s="11">
        <v>-5</v>
      </c>
      <c r="AD14" s="791">
        <f t="shared" si="4"/>
        <v>0.20833333333333334</v>
      </c>
      <c r="AE14" s="11">
        <v>0</v>
      </c>
      <c r="AF14" s="11">
        <f t="shared" ca="1" si="5"/>
        <v>-1</v>
      </c>
      <c r="AG14" s="791">
        <f t="shared" ca="1" si="6"/>
        <v>4.1666666666666664E-2</v>
      </c>
      <c r="AH14" s="11">
        <f t="shared" ca="1" si="7"/>
        <v>-1</v>
      </c>
      <c r="AI14" s="11">
        <f t="shared" ca="1" si="8"/>
        <v>13</v>
      </c>
    </row>
    <row r="15" spans="1:35">
      <c r="A15" s="710">
        <v>46191.75</v>
      </c>
      <c r="C15" s="710">
        <f t="shared" ca="1" si="9"/>
        <v>46192</v>
      </c>
      <c r="D15" s="710"/>
      <c r="E15" s="710"/>
      <c r="P15" s="11">
        <v>13</v>
      </c>
      <c r="Q15" s="11" t="str">
        <f t="shared" ca="1" si="3"/>
        <v>Colombia</v>
      </c>
      <c r="R15" s="11">
        <f t="shared" ca="1" si="10"/>
        <v>-5</v>
      </c>
      <c r="S15" s="791">
        <f t="shared" ca="1" si="10"/>
        <v>0.20833333333333334</v>
      </c>
      <c r="T15" s="11">
        <f t="shared" ca="1" si="10"/>
        <v>0</v>
      </c>
      <c r="U15" s="11">
        <f t="shared" ca="1" si="10"/>
        <v>-1</v>
      </c>
      <c r="V15" s="791">
        <f t="shared" ca="1" si="10"/>
        <v>4.1666666666666664E-2</v>
      </c>
      <c r="W15" s="11">
        <f t="shared" ca="1" si="10"/>
        <v>-1</v>
      </c>
      <c r="X15" s="11">
        <f t="shared" ca="1" si="1"/>
        <v>0</v>
      </c>
      <c r="AA15" s="11">
        <v>13</v>
      </c>
      <c r="AB15" s="11" t="str">
        <f ca="1">Idiomas!D224</f>
        <v>Corea del Sur</v>
      </c>
      <c r="AC15" s="11">
        <v>9</v>
      </c>
      <c r="AD15" s="791">
        <f t="shared" si="4"/>
        <v>0.375</v>
      </c>
      <c r="AE15" s="11">
        <v>0</v>
      </c>
      <c r="AF15" s="11">
        <f t="shared" ca="1" si="5"/>
        <v>13</v>
      </c>
      <c r="AG15" s="791">
        <f t="shared" ca="1" si="6"/>
        <v>0.54166666666666663</v>
      </c>
      <c r="AH15" s="11">
        <f t="shared" ca="1" si="7"/>
        <v>1</v>
      </c>
      <c r="AI15" s="11">
        <f t="shared" ca="1" si="8"/>
        <v>14</v>
      </c>
    </row>
    <row r="16" spans="1:35">
      <c r="A16" s="710">
        <v>46197.625</v>
      </c>
      <c r="C16" s="710">
        <f t="shared" ca="1" si="9"/>
        <v>46197.875</v>
      </c>
      <c r="D16" s="710"/>
      <c r="E16" s="710"/>
      <c r="P16" s="11">
        <v>14</v>
      </c>
      <c r="Q16" s="11" t="str">
        <f t="shared" ca="1" si="3"/>
        <v>Corea del Sur</v>
      </c>
      <c r="R16" s="11">
        <f t="shared" ca="1" si="10"/>
        <v>9</v>
      </c>
      <c r="S16" s="791">
        <f t="shared" ca="1" si="10"/>
        <v>0.375</v>
      </c>
      <c r="T16" s="11">
        <f t="shared" ca="1" si="10"/>
        <v>0</v>
      </c>
      <c r="U16" s="11">
        <f t="shared" ca="1" si="10"/>
        <v>13</v>
      </c>
      <c r="V16" s="791">
        <f t="shared" ca="1" si="10"/>
        <v>0.54166666666666663</v>
      </c>
      <c r="W16" s="11">
        <f t="shared" ca="1" si="10"/>
        <v>1</v>
      </c>
      <c r="X16" s="11">
        <f t="shared" ca="1" si="1"/>
        <v>0</v>
      </c>
      <c r="AA16" s="11">
        <v>14</v>
      </c>
      <c r="AB16" s="11" t="str">
        <f ca="1">Idiomas!D225</f>
        <v>Costa de Marfil</v>
      </c>
      <c r="AC16" s="11">
        <v>0</v>
      </c>
      <c r="AD16" s="791">
        <f t="shared" si="4"/>
        <v>0</v>
      </c>
      <c r="AE16" s="11">
        <v>0</v>
      </c>
      <c r="AF16" s="11">
        <f t="shared" ca="1" si="5"/>
        <v>4</v>
      </c>
      <c r="AG16" s="791">
        <f t="shared" ca="1" si="6"/>
        <v>0.16666666666666666</v>
      </c>
      <c r="AH16" s="11">
        <f t="shared" ca="1" si="7"/>
        <v>1</v>
      </c>
      <c r="AI16" s="11">
        <f t="shared" ca="1" si="8"/>
        <v>15</v>
      </c>
    </row>
    <row r="17" spans="1:35">
      <c r="A17" s="710">
        <v>46197.625</v>
      </c>
      <c r="C17" s="710">
        <f t="shared" ca="1" si="9"/>
        <v>46197.875</v>
      </c>
      <c r="D17" s="710"/>
      <c r="E17" s="710"/>
      <c r="P17" s="11">
        <v>15</v>
      </c>
      <c r="Q17" s="11" t="str">
        <f t="shared" ca="1" si="3"/>
        <v>Costa de Marfil</v>
      </c>
      <c r="R17" s="11">
        <f t="shared" ca="1" si="10"/>
        <v>0</v>
      </c>
      <c r="S17" s="791">
        <f t="shared" ca="1" si="10"/>
        <v>0</v>
      </c>
      <c r="T17" s="11">
        <f t="shared" ca="1" si="10"/>
        <v>0</v>
      </c>
      <c r="U17" s="11">
        <f t="shared" ca="1" si="10"/>
        <v>4</v>
      </c>
      <c r="V17" s="791">
        <f t="shared" ca="1" si="10"/>
        <v>0.16666666666666666</v>
      </c>
      <c r="W17" s="11">
        <f t="shared" ca="1" si="10"/>
        <v>1</v>
      </c>
      <c r="X17" s="11">
        <f t="shared" ca="1" si="1"/>
        <v>0</v>
      </c>
      <c r="AA17" s="11">
        <v>15</v>
      </c>
      <c r="AB17" s="11" t="str">
        <f ca="1">Idiomas!D226</f>
        <v>Croacia</v>
      </c>
      <c r="AC17" s="11">
        <v>2</v>
      </c>
      <c r="AD17" s="791">
        <f t="shared" si="4"/>
        <v>8.3333333333333329E-2</v>
      </c>
      <c r="AE17" s="11">
        <v>0</v>
      </c>
      <c r="AF17" s="11">
        <f t="shared" ca="1" si="5"/>
        <v>6</v>
      </c>
      <c r="AG17" s="791">
        <f t="shared" ca="1" si="6"/>
        <v>0.25</v>
      </c>
      <c r="AH17" s="11">
        <f t="shared" ca="1" si="7"/>
        <v>1</v>
      </c>
      <c r="AI17" s="11">
        <f t="shared" ca="1" si="8"/>
        <v>16</v>
      </c>
    </row>
    <row r="18" spans="1:35">
      <c r="C18" s="710"/>
      <c r="E18" s="710"/>
      <c r="P18" s="11">
        <v>16</v>
      </c>
      <c r="Q18" s="11" t="str">
        <f t="shared" ca="1" si="3"/>
        <v>Croacia</v>
      </c>
      <c r="R18" s="11">
        <f t="shared" ca="1" si="10"/>
        <v>2</v>
      </c>
      <c r="S18" s="791">
        <f t="shared" ca="1" si="10"/>
        <v>8.3333333333333329E-2</v>
      </c>
      <c r="T18" s="11">
        <f t="shared" ca="1" si="10"/>
        <v>0</v>
      </c>
      <c r="U18" s="11">
        <f t="shared" ca="1" si="10"/>
        <v>6</v>
      </c>
      <c r="V18" s="791">
        <f t="shared" ca="1" si="10"/>
        <v>0.25</v>
      </c>
      <c r="W18" s="11">
        <f t="shared" ca="1" si="10"/>
        <v>1</v>
      </c>
      <c r="X18" s="11">
        <f t="shared" ca="1" si="1"/>
        <v>0</v>
      </c>
      <c r="AA18" s="11">
        <v>16</v>
      </c>
      <c r="AB18" s="11" t="str">
        <f ca="1">Idiomas!D227</f>
        <v>Curazao</v>
      </c>
      <c r="AC18" s="11">
        <v>-4</v>
      </c>
      <c r="AD18" s="791">
        <f t="shared" si="4"/>
        <v>0.16666666666666666</v>
      </c>
      <c r="AE18" s="11">
        <v>0</v>
      </c>
      <c r="AF18" s="11">
        <f t="shared" ca="1" si="5"/>
        <v>0</v>
      </c>
      <c r="AG18" s="791">
        <f t="shared" ca="1" si="6"/>
        <v>0</v>
      </c>
      <c r="AH18" s="11">
        <f t="shared" ca="1" si="7"/>
        <v>0</v>
      </c>
      <c r="AI18" s="11">
        <f t="shared" ca="1" si="8"/>
        <v>17</v>
      </c>
    </row>
    <row r="19" spans="1:35">
      <c r="A19" s="5" t="s">
        <v>9</v>
      </c>
      <c r="C19" s="710"/>
      <c r="E19" s="710"/>
      <c r="P19" s="11">
        <v>17</v>
      </c>
      <c r="Q19" s="11" t="str">
        <f t="shared" ca="1" si="3"/>
        <v>Curazao</v>
      </c>
      <c r="R19" s="11">
        <f t="shared" ca="1" si="10"/>
        <v>-4</v>
      </c>
      <c r="S19" s="791">
        <f t="shared" ca="1" si="10"/>
        <v>0.16666666666666666</v>
      </c>
      <c r="T19" s="11">
        <f t="shared" ca="1" si="10"/>
        <v>0</v>
      </c>
      <c r="U19" s="11">
        <f t="shared" ca="1" si="10"/>
        <v>0</v>
      </c>
      <c r="V19" s="791">
        <f t="shared" ca="1" si="10"/>
        <v>0</v>
      </c>
      <c r="W19" s="11">
        <f t="shared" ca="1" si="10"/>
        <v>0</v>
      </c>
      <c r="X19" s="11">
        <f t="shared" ca="1" si="1"/>
        <v>0</v>
      </c>
      <c r="AA19" s="11">
        <v>17</v>
      </c>
      <c r="AB19" s="11" t="str">
        <f ca="1">Idiomas!D228</f>
        <v>Ecuador</v>
      </c>
      <c r="AC19" s="11">
        <v>-5</v>
      </c>
      <c r="AD19" s="791">
        <f t="shared" si="4"/>
        <v>0.20833333333333334</v>
      </c>
      <c r="AE19" s="11">
        <v>0</v>
      </c>
      <c r="AF19" s="11">
        <f t="shared" ca="1" si="5"/>
        <v>-1</v>
      </c>
      <c r="AG19" s="791">
        <f t="shared" ca="1" si="6"/>
        <v>4.1666666666666664E-2</v>
      </c>
      <c r="AH19" s="11">
        <f t="shared" ca="1" si="7"/>
        <v>-1</v>
      </c>
      <c r="AI19" s="11">
        <f t="shared" ca="1" si="8"/>
        <v>18</v>
      </c>
    </row>
    <row r="20" spans="1:35">
      <c r="A20" s="710">
        <v>46186.75</v>
      </c>
      <c r="C20" s="710">
        <f t="shared" ref="C20:C25" ca="1" si="11">A20+INDEX($V$3:$V$86,MATCH($C$3,$P$3:$P$86,0))*INDEX($W$3:$W$86,MATCH($C$3,$P$3:$P$86,0))</f>
        <v>46187</v>
      </c>
      <c r="D20" s="710"/>
      <c r="E20" s="710"/>
      <c r="P20" s="11">
        <v>18</v>
      </c>
      <c r="Q20" s="11" t="str">
        <f t="shared" ca="1" si="3"/>
        <v>Ecuador</v>
      </c>
      <c r="R20" s="11">
        <f t="shared" ca="1" si="10"/>
        <v>-5</v>
      </c>
      <c r="S20" s="791">
        <f t="shared" ca="1" si="10"/>
        <v>0.20833333333333334</v>
      </c>
      <c r="T20" s="11">
        <f t="shared" ca="1" si="10"/>
        <v>0</v>
      </c>
      <c r="U20" s="11">
        <f t="shared" ca="1" si="10"/>
        <v>-1</v>
      </c>
      <c r="V20" s="791">
        <f t="shared" ca="1" si="10"/>
        <v>4.1666666666666664E-2</v>
      </c>
      <c r="W20" s="11">
        <f t="shared" ca="1" si="10"/>
        <v>-1</v>
      </c>
      <c r="X20" s="11">
        <f t="shared" ca="1" si="1"/>
        <v>0</v>
      </c>
      <c r="AA20" s="11">
        <v>18</v>
      </c>
      <c r="AB20" s="11" t="str">
        <f ca="1">Idiomas!D229</f>
        <v>Egipto</v>
      </c>
      <c r="AC20" s="11">
        <v>3</v>
      </c>
      <c r="AD20" s="791">
        <f t="shared" si="4"/>
        <v>0.125</v>
      </c>
      <c r="AE20" s="11">
        <v>0</v>
      </c>
      <c r="AF20" s="11">
        <f t="shared" ca="1" si="5"/>
        <v>7</v>
      </c>
      <c r="AG20" s="791">
        <f t="shared" ca="1" si="6"/>
        <v>0.29166666666666669</v>
      </c>
      <c r="AH20" s="11">
        <f t="shared" ca="1" si="7"/>
        <v>1</v>
      </c>
      <c r="AI20" s="11">
        <f t="shared" ca="1" si="8"/>
        <v>19</v>
      </c>
    </row>
    <row r="21" spans="1:35">
      <c r="A21" s="710">
        <v>46186.875</v>
      </c>
      <c r="C21" s="710">
        <f t="shared" ca="1" si="11"/>
        <v>46187.125</v>
      </c>
      <c r="D21" s="710"/>
      <c r="E21" s="710"/>
      <c r="P21" s="11">
        <v>19</v>
      </c>
      <c r="Q21" s="11" t="str">
        <f t="shared" ca="1" si="3"/>
        <v>Egipto</v>
      </c>
      <c r="R21" s="11">
        <f t="shared" ca="1" si="10"/>
        <v>3</v>
      </c>
      <c r="S21" s="791">
        <f t="shared" ca="1" si="10"/>
        <v>0.125</v>
      </c>
      <c r="T21" s="11">
        <f t="shared" ca="1" si="10"/>
        <v>0</v>
      </c>
      <c r="U21" s="11">
        <f t="shared" ca="1" si="10"/>
        <v>7</v>
      </c>
      <c r="V21" s="791">
        <f t="shared" ca="1" si="10"/>
        <v>0.29166666666666669</v>
      </c>
      <c r="W21" s="11">
        <f t="shared" ca="1" si="10"/>
        <v>1</v>
      </c>
      <c r="X21" s="11">
        <f t="shared" ca="1" si="1"/>
        <v>0</v>
      </c>
      <c r="AA21" s="11">
        <v>19</v>
      </c>
      <c r="AB21" s="11" t="str">
        <f ca="1">Idiomas!D230</f>
        <v>Escocia</v>
      </c>
      <c r="AC21" s="11">
        <v>1</v>
      </c>
      <c r="AD21" s="791">
        <f t="shared" si="4"/>
        <v>4.1666666666666664E-2</v>
      </c>
      <c r="AE21" s="11">
        <v>0</v>
      </c>
      <c r="AF21" s="11">
        <f t="shared" ca="1" si="5"/>
        <v>5</v>
      </c>
      <c r="AG21" s="791">
        <f t="shared" ca="1" si="6"/>
        <v>0.20833333333333334</v>
      </c>
      <c r="AH21" s="11">
        <f t="shared" ca="1" si="7"/>
        <v>1</v>
      </c>
      <c r="AI21" s="11">
        <f t="shared" ca="1" si="8"/>
        <v>20</v>
      </c>
    </row>
    <row r="22" spans="1:35">
      <c r="A22" s="710">
        <v>46192.75</v>
      </c>
      <c r="C22" s="710">
        <f t="shared" ca="1" si="11"/>
        <v>46193</v>
      </c>
      <c r="D22" s="710"/>
      <c r="E22" s="710"/>
      <c r="P22" s="11">
        <v>20</v>
      </c>
      <c r="Q22" s="11" t="str">
        <f t="shared" ca="1" si="3"/>
        <v>Escocia</v>
      </c>
      <c r="R22" s="11">
        <f t="shared" ca="1" si="10"/>
        <v>1</v>
      </c>
      <c r="S22" s="791">
        <f t="shared" ca="1" si="10"/>
        <v>4.1666666666666664E-2</v>
      </c>
      <c r="T22" s="11">
        <f t="shared" ca="1" si="10"/>
        <v>0</v>
      </c>
      <c r="U22" s="11">
        <f t="shared" ca="1" si="10"/>
        <v>5</v>
      </c>
      <c r="V22" s="791">
        <f t="shared" ca="1" si="10"/>
        <v>0.20833333333333334</v>
      </c>
      <c r="W22" s="11">
        <f t="shared" ca="1" si="10"/>
        <v>1</v>
      </c>
      <c r="X22" s="11">
        <f t="shared" ca="1" si="1"/>
        <v>0</v>
      </c>
      <c r="AA22" s="11">
        <v>20</v>
      </c>
      <c r="AB22" s="11" t="str">
        <f ca="1">Idiomas!D231</f>
        <v>España</v>
      </c>
      <c r="AC22" s="11">
        <v>2</v>
      </c>
      <c r="AD22" s="791">
        <f t="shared" si="4"/>
        <v>8.3333333333333329E-2</v>
      </c>
      <c r="AE22" s="11">
        <v>0</v>
      </c>
      <c r="AF22" s="11">
        <f t="shared" ca="1" si="5"/>
        <v>6</v>
      </c>
      <c r="AG22" s="791">
        <f t="shared" ca="1" si="6"/>
        <v>0.25</v>
      </c>
      <c r="AH22" s="11">
        <f t="shared" ca="1" si="7"/>
        <v>1</v>
      </c>
      <c r="AI22" s="11">
        <f t="shared" ca="1" si="8"/>
        <v>21</v>
      </c>
    </row>
    <row r="23" spans="1:35">
      <c r="A23" s="710">
        <v>46192.854166666664</v>
      </c>
      <c r="C23" s="710">
        <f t="shared" ca="1" si="11"/>
        <v>46193.104166666664</v>
      </c>
      <c r="D23" s="710"/>
      <c r="E23" s="710"/>
      <c r="P23" s="11">
        <v>21</v>
      </c>
      <c r="Q23" s="11" t="str">
        <f t="shared" ca="1" si="3"/>
        <v>España</v>
      </c>
      <c r="R23" s="11">
        <f t="shared" ref="R23:W32" ca="1" si="12">+INDEX($AC$3:$AH$86,MATCH($Q23,$AB$3:$AB$86,0),MATCH(R$2,$AC$2:$AH$2,0))</f>
        <v>2</v>
      </c>
      <c r="S23" s="791">
        <f t="shared" ca="1" si="12"/>
        <v>8.3333333333333329E-2</v>
      </c>
      <c r="T23" s="11">
        <f t="shared" ca="1" si="12"/>
        <v>0</v>
      </c>
      <c r="U23" s="11">
        <f t="shared" ca="1" si="12"/>
        <v>6</v>
      </c>
      <c r="V23" s="791">
        <f t="shared" ca="1" si="12"/>
        <v>0.25</v>
      </c>
      <c r="W23" s="11">
        <f t="shared" ca="1" si="12"/>
        <v>1</v>
      </c>
      <c r="X23" s="11">
        <f t="shared" ca="1" si="1"/>
        <v>0</v>
      </c>
      <c r="AA23" s="11">
        <v>21</v>
      </c>
      <c r="AB23" s="11" t="str">
        <f ca="1">Idiomas!D232</f>
        <v>Estados Unidos</v>
      </c>
      <c r="AC23" s="11">
        <v>-4</v>
      </c>
      <c r="AD23" s="791">
        <f t="shared" si="4"/>
        <v>0.16666666666666666</v>
      </c>
      <c r="AE23" s="11">
        <v>1</v>
      </c>
      <c r="AF23" s="11">
        <f t="shared" ca="1" si="5"/>
        <v>0</v>
      </c>
      <c r="AG23" s="791">
        <f t="shared" ca="1" si="6"/>
        <v>0</v>
      </c>
      <c r="AH23" s="11">
        <f t="shared" ca="1" si="7"/>
        <v>0</v>
      </c>
      <c r="AI23" s="11">
        <f t="shared" ca="1" si="8"/>
        <v>22</v>
      </c>
    </row>
    <row r="24" spans="1:35">
      <c r="A24" s="710">
        <v>46197.75</v>
      </c>
      <c r="C24" s="710">
        <f t="shared" ca="1" si="11"/>
        <v>46198</v>
      </c>
      <c r="D24" s="710"/>
      <c r="E24" s="710"/>
      <c r="P24" s="11">
        <v>22</v>
      </c>
      <c r="Q24" s="11" t="str">
        <f t="shared" ca="1" si="3"/>
        <v>Estados Unidos</v>
      </c>
      <c r="R24" s="11">
        <f t="shared" ca="1" si="12"/>
        <v>-4</v>
      </c>
      <c r="S24" s="791">
        <f t="shared" ca="1" si="12"/>
        <v>0.16666666666666666</v>
      </c>
      <c r="T24" s="11">
        <f t="shared" ca="1" si="12"/>
        <v>1</v>
      </c>
      <c r="U24" s="11">
        <f t="shared" ca="1" si="12"/>
        <v>0</v>
      </c>
      <c r="V24" s="791">
        <f t="shared" ca="1" si="12"/>
        <v>0</v>
      </c>
      <c r="W24" s="11">
        <f t="shared" ca="1" si="12"/>
        <v>0</v>
      </c>
      <c r="X24" s="11">
        <f t="shared" ca="1" si="1"/>
        <v>1</v>
      </c>
      <c r="AA24" s="11">
        <v>22</v>
      </c>
      <c r="AB24" s="11" t="str">
        <f ca="1">Idiomas!D233</f>
        <v>Francia</v>
      </c>
      <c r="AC24" s="11">
        <v>2</v>
      </c>
      <c r="AD24" s="791">
        <f t="shared" si="4"/>
        <v>8.3333333333333329E-2</v>
      </c>
      <c r="AE24" s="11">
        <v>0</v>
      </c>
      <c r="AF24" s="11">
        <f t="shared" ca="1" si="5"/>
        <v>6</v>
      </c>
      <c r="AG24" s="791">
        <f t="shared" ca="1" si="6"/>
        <v>0.25</v>
      </c>
      <c r="AH24" s="11">
        <f t="shared" ca="1" si="7"/>
        <v>1</v>
      </c>
      <c r="AI24" s="11">
        <f t="shared" ca="1" si="8"/>
        <v>23</v>
      </c>
    </row>
    <row r="25" spans="1:35">
      <c r="A25" s="710">
        <v>46197.75</v>
      </c>
      <c r="C25" s="710">
        <f t="shared" ca="1" si="11"/>
        <v>46198</v>
      </c>
      <c r="D25" s="710"/>
      <c r="E25" s="710"/>
      <c r="P25" s="11">
        <v>23</v>
      </c>
      <c r="Q25" s="11" t="str">
        <f t="shared" ca="1" si="3"/>
        <v>Francia</v>
      </c>
      <c r="R25" s="11">
        <f t="shared" ca="1" si="12"/>
        <v>2</v>
      </c>
      <c r="S25" s="791">
        <f t="shared" ca="1" si="12"/>
        <v>8.3333333333333329E-2</v>
      </c>
      <c r="T25" s="11">
        <f t="shared" ca="1" si="12"/>
        <v>0</v>
      </c>
      <c r="U25" s="11">
        <f t="shared" ca="1" si="12"/>
        <v>6</v>
      </c>
      <c r="V25" s="791">
        <f t="shared" ca="1" si="12"/>
        <v>0.25</v>
      </c>
      <c r="W25" s="11">
        <f t="shared" ca="1" si="12"/>
        <v>1</v>
      </c>
      <c r="X25" s="11">
        <f t="shared" ca="1" si="1"/>
        <v>0</v>
      </c>
      <c r="AA25" s="11">
        <v>23</v>
      </c>
      <c r="AB25" s="11" t="str">
        <f ca="1">Idiomas!D234</f>
        <v>Ghana</v>
      </c>
      <c r="AC25" s="11">
        <v>0</v>
      </c>
      <c r="AD25" s="791">
        <f t="shared" si="4"/>
        <v>0</v>
      </c>
      <c r="AE25" s="11">
        <v>0</v>
      </c>
      <c r="AF25" s="11">
        <f t="shared" ca="1" si="5"/>
        <v>4</v>
      </c>
      <c r="AG25" s="791">
        <f t="shared" ca="1" si="6"/>
        <v>0.16666666666666666</v>
      </c>
      <c r="AH25" s="11">
        <f t="shared" ca="1" si="7"/>
        <v>1</v>
      </c>
      <c r="AI25" s="11">
        <f t="shared" ca="1" si="8"/>
        <v>24</v>
      </c>
    </row>
    <row r="26" spans="1:35">
      <c r="C26" s="710"/>
      <c r="E26" s="710"/>
      <c r="P26" s="11">
        <v>24</v>
      </c>
      <c r="Q26" s="11" t="str">
        <f t="shared" ca="1" si="3"/>
        <v>Ghana</v>
      </c>
      <c r="R26" s="11">
        <f t="shared" ca="1" si="12"/>
        <v>0</v>
      </c>
      <c r="S26" s="791">
        <f t="shared" ca="1" si="12"/>
        <v>0</v>
      </c>
      <c r="T26" s="11">
        <f t="shared" ca="1" si="12"/>
        <v>0</v>
      </c>
      <c r="U26" s="11">
        <f t="shared" ca="1" si="12"/>
        <v>4</v>
      </c>
      <c r="V26" s="791">
        <f t="shared" ca="1" si="12"/>
        <v>0.16666666666666666</v>
      </c>
      <c r="W26" s="11">
        <f t="shared" ca="1" si="12"/>
        <v>1</v>
      </c>
      <c r="X26" s="11">
        <f t="shared" ca="1" si="1"/>
        <v>0</v>
      </c>
      <c r="AA26" s="11">
        <v>24</v>
      </c>
      <c r="AB26" s="11" t="str">
        <f ca="1">Idiomas!D235</f>
        <v>Haití</v>
      </c>
      <c r="AC26" s="11">
        <v>-4</v>
      </c>
      <c r="AD26" s="791">
        <f t="shared" si="4"/>
        <v>0.16666666666666666</v>
      </c>
      <c r="AE26" s="11">
        <v>0</v>
      </c>
      <c r="AF26" s="11">
        <f t="shared" ca="1" si="5"/>
        <v>0</v>
      </c>
      <c r="AG26" s="791">
        <f t="shared" ca="1" si="6"/>
        <v>0</v>
      </c>
      <c r="AH26" s="11">
        <f t="shared" ca="1" si="7"/>
        <v>0</v>
      </c>
      <c r="AI26" s="11">
        <f t="shared" ca="1" si="8"/>
        <v>25</v>
      </c>
    </row>
    <row r="27" spans="1:35">
      <c r="A27" s="5" t="s">
        <v>81</v>
      </c>
      <c r="C27" s="710"/>
      <c r="E27" s="710"/>
      <c r="P27" s="11">
        <v>25</v>
      </c>
      <c r="Q27" s="11" t="str">
        <f t="shared" ca="1" si="3"/>
        <v>Haití</v>
      </c>
      <c r="R27" s="11">
        <f t="shared" ca="1" si="12"/>
        <v>-4</v>
      </c>
      <c r="S27" s="791">
        <f t="shared" ca="1" si="12"/>
        <v>0.16666666666666666</v>
      </c>
      <c r="T27" s="11">
        <f t="shared" ca="1" si="12"/>
        <v>0</v>
      </c>
      <c r="U27" s="11">
        <f t="shared" ca="1" si="12"/>
        <v>0</v>
      </c>
      <c r="V27" s="791">
        <f t="shared" ca="1" si="12"/>
        <v>0</v>
      </c>
      <c r="W27" s="11">
        <f t="shared" ca="1" si="12"/>
        <v>0</v>
      </c>
      <c r="X27" s="11">
        <f t="shared" ca="1" si="1"/>
        <v>0</v>
      </c>
      <c r="AA27" s="11">
        <v>25</v>
      </c>
      <c r="AB27" s="11" t="str">
        <f ca="1">Idiomas!D236</f>
        <v>Inglaterra</v>
      </c>
      <c r="AC27" s="11">
        <v>1</v>
      </c>
      <c r="AD27" s="791">
        <f t="shared" si="4"/>
        <v>4.1666666666666664E-2</v>
      </c>
      <c r="AE27" s="11">
        <v>0</v>
      </c>
      <c r="AF27" s="11">
        <f t="shared" ca="1" si="5"/>
        <v>5</v>
      </c>
      <c r="AG27" s="791">
        <f t="shared" ca="1" si="6"/>
        <v>0.20833333333333334</v>
      </c>
      <c r="AH27" s="11">
        <f t="shared" ca="1" si="7"/>
        <v>1</v>
      </c>
      <c r="AI27" s="11">
        <f t="shared" ca="1" si="8"/>
        <v>26</v>
      </c>
    </row>
    <row r="28" spans="1:35">
      <c r="A28" s="710">
        <v>46185.875</v>
      </c>
      <c r="C28" s="710">
        <f t="shared" ref="C28:C33" ca="1" si="13">A28+INDEX($V$3:$V$86,MATCH($C$3,$P$3:$P$86,0))*INDEX($W$3:$W$86,MATCH($C$3,$P$3:$P$86,0))</f>
        <v>46186.125</v>
      </c>
      <c r="D28" s="710"/>
      <c r="E28" s="710"/>
      <c r="P28" s="11">
        <v>26</v>
      </c>
      <c r="Q28" s="11" t="str">
        <f t="shared" ca="1" si="3"/>
        <v>Inglaterra</v>
      </c>
      <c r="R28" s="11">
        <f t="shared" ca="1" si="12"/>
        <v>1</v>
      </c>
      <c r="S28" s="791">
        <f t="shared" ca="1" si="12"/>
        <v>4.1666666666666664E-2</v>
      </c>
      <c r="T28" s="11">
        <f t="shared" ca="1" si="12"/>
        <v>0</v>
      </c>
      <c r="U28" s="11">
        <f t="shared" ca="1" si="12"/>
        <v>5</v>
      </c>
      <c r="V28" s="791">
        <f t="shared" ca="1" si="12"/>
        <v>0.20833333333333334</v>
      </c>
      <c r="W28" s="11">
        <f t="shared" ca="1" si="12"/>
        <v>1</v>
      </c>
      <c r="X28" s="11">
        <f t="shared" ca="1" si="1"/>
        <v>0</v>
      </c>
      <c r="AA28" s="11">
        <v>26</v>
      </c>
      <c r="AB28" s="11" t="str">
        <f ca="1">Idiomas!D237</f>
        <v>Irán</v>
      </c>
      <c r="AC28" s="11">
        <f>+INDEX(Credits!$Y$87:$Y$91,MATCH(Credits!$N$87,Credits!$U$87:$U$91,0))</f>
        <v>3.5</v>
      </c>
      <c r="AD28" s="791">
        <f t="shared" si="4"/>
        <v>0.14583333333333334</v>
      </c>
      <c r="AE28" s="11">
        <v>0</v>
      </c>
      <c r="AF28" s="11">
        <f t="shared" ca="1" si="5"/>
        <v>7.5</v>
      </c>
      <c r="AG28" s="791">
        <f t="shared" ca="1" si="6"/>
        <v>0.3125</v>
      </c>
      <c r="AH28" s="11">
        <f t="shared" ca="1" si="7"/>
        <v>1</v>
      </c>
      <c r="AI28" s="11">
        <f t="shared" ca="1" si="8"/>
        <v>28</v>
      </c>
    </row>
    <row r="29" spans="1:35">
      <c r="A29" s="710">
        <v>46187</v>
      </c>
      <c r="C29" s="710">
        <f t="shared" ca="1" si="13"/>
        <v>46187.25</v>
      </c>
      <c r="D29" s="710"/>
      <c r="E29" s="710"/>
      <c r="P29" s="11">
        <v>27</v>
      </c>
      <c r="Q29" s="11" t="str">
        <f t="shared" ca="1" si="3"/>
        <v>Irak</v>
      </c>
      <c r="R29" s="11">
        <f t="shared" ca="1" si="12"/>
        <v>3</v>
      </c>
      <c r="S29" s="791">
        <f t="shared" ca="1" si="12"/>
        <v>0.125</v>
      </c>
      <c r="T29" s="11">
        <f t="shared" ca="1" si="12"/>
        <v>0</v>
      </c>
      <c r="U29" s="11">
        <f t="shared" ca="1" si="12"/>
        <v>7</v>
      </c>
      <c r="V29" s="791">
        <f t="shared" ca="1" si="12"/>
        <v>0.29166666666666669</v>
      </c>
      <c r="W29" s="11">
        <f t="shared" ca="1" si="12"/>
        <v>1</v>
      </c>
      <c r="X29" s="11">
        <f t="shared" ca="1" si="1"/>
        <v>0</v>
      </c>
      <c r="AA29" s="11">
        <v>27</v>
      </c>
      <c r="AB29" s="11" t="str">
        <f ca="1">Idiomas!D238</f>
        <v>Japón</v>
      </c>
      <c r="AC29" s="11">
        <v>9</v>
      </c>
      <c r="AD29" s="791">
        <f t="shared" si="4"/>
        <v>0.375</v>
      </c>
      <c r="AE29" s="11">
        <v>0</v>
      </c>
      <c r="AF29" s="11">
        <f t="shared" ca="1" si="5"/>
        <v>13</v>
      </c>
      <c r="AG29" s="791">
        <f t="shared" ca="1" si="6"/>
        <v>0.54166666666666663</v>
      </c>
      <c r="AH29" s="11">
        <f t="shared" ca="1" si="7"/>
        <v>1</v>
      </c>
      <c r="AI29" s="11">
        <f t="shared" ca="1" si="8"/>
        <v>29</v>
      </c>
    </row>
    <row r="30" spans="1:35">
      <c r="A30" s="710">
        <v>46192.625</v>
      </c>
      <c r="C30" s="710">
        <f ca="1">A30+INDEX($V$3:$V$86,MATCH($C$3,$P$3:$P$86,0))*INDEX($W$3:$W$86,MATCH($C$3,$P$3:$P$86,0))</f>
        <v>46192.875</v>
      </c>
      <c r="D30" s="710"/>
      <c r="E30" s="710"/>
      <c r="P30" s="11">
        <v>28</v>
      </c>
      <c r="Q30" s="11" t="str">
        <f t="shared" ca="1" si="3"/>
        <v>Irán</v>
      </c>
      <c r="R30" s="11">
        <f t="shared" ca="1" si="12"/>
        <v>3.5</v>
      </c>
      <c r="S30" s="791">
        <f t="shared" ca="1" si="12"/>
        <v>0.14583333333333334</v>
      </c>
      <c r="T30" s="11">
        <f t="shared" ca="1" si="12"/>
        <v>0</v>
      </c>
      <c r="U30" s="11">
        <f t="shared" ca="1" si="12"/>
        <v>7.5</v>
      </c>
      <c r="V30" s="791">
        <f t="shared" ca="1" si="12"/>
        <v>0.3125</v>
      </c>
      <c r="W30" s="11">
        <f t="shared" ca="1" si="12"/>
        <v>1</v>
      </c>
      <c r="X30" s="11">
        <f t="shared" ca="1" si="1"/>
        <v>0</v>
      </c>
      <c r="AA30" s="11">
        <v>28</v>
      </c>
      <c r="AB30" s="11" t="str">
        <f ca="1">Idiomas!D239</f>
        <v>Jordania</v>
      </c>
      <c r="AC30" s="11">
        <v>3</v>
      </c>
      <c r="AD30" s="791">
        <f t="shared" si="4"/>
        <v>0.125</v>
      </c>
      <c r="AE30" s="11">
        <v>0</v>
      </c>
      <c r="AF30" s="11">
        <f t="shared" ca="1" si="5"/>
        <v>7</v>
      </c>
      <c r="AG30" s="791">
        <f t="shared" ca="1" si="6"/>
        <v>0.29166666666666669</v>
      </c>
      <c r="AH30" s="11">
        <f t="shared" ca="1" si="7"/>
        <v>1</v>
      </c>
      <c r="AI30" s="11">
        <f t="shared" ca="1" si="8"/>
        <v>30</v>
      </c>
    </row>
    <row r="31" spans="1:35">
      <c r="A31" s="710">
        <v>46192.958333333336</v>
      </c>
      <c r="C31" s="710">
        <f ca="1">A31+INDEX($V$3:$V$86,MATCH($C$3,$P$3:$P$86,0))*INDEX($W$3:$W$86,MATCH($C$3,$P$3:$P$86,0))</f>
        <v>46193.208333333336</v>
      </c>
      <c r="D31" s="710"/>
      <c r="E31" s="710"/>
      <c r="P31" s="11">
        <v>29</v>
      </c>
      <c r="Q31" s="11" t="str">
        <f t="shared" ca="1" si="3"/>
        <v>Japón</v>
      </c>
      <c r="R31" s="11">
        <f t="shared" ca="1" si="12"/>
        <v>9</v>
      </c>
      <c r="S31" s="791">
        <f t="shared" ca="1" si="12"/>
        <v>0.375</v>
      </c>
      <c r="T31" s="11">
        <f t="shared" ca="1" si="12"/>
        <v>0</v>
      </c>
      <c r="U31" s="11">
        <f t="shared" ca="1" si="12"/>
        <v>13</v>
      </c>
      <c r="V31" s="791">
        <f t="shared" ca="1" si="12"/>
        <v>0.54166666666666663</v>
      </c>
      <c r="W31" s="11">
        <f t="shared" ca="1" si="12"/>
        <v>1</v>
      </c>
      <c r="X31" s="11">
        <f t="shared" ca="1" si="1"/>
        <v>0</v>
      </c>
      <c r="AA31" s="11">
        <v>29</v>
      </c>
      <c r="AB31" s="11" t="str">
        <f ca="1">Idiomas!D240</f>
        <v>Marruecos</v>
      </c>
      <c r="AC31" s="11">
        <v>1</v>
      </c>
      <c r="AD31" s="791">
        <f t="shared" si="4"/>
        <v>4.1666666666666664E-2</v>
      </c>
      <c r="AE31" s="11">
        <v>0</v>
      </c>
      <c r="AF31" s="11">
        <f t="shared" ca="1" si="5"/>
        <v>5</v>
      </c>
      <c r="AG31" s="791">
        <f t="shared" ca="1" si="6"/>
        <v>0.20833333333333334</v>
      </c>
      <c r="AH31" s="11">
        <f t="shared" ca="1" si="7"/>
        <v>1</v>
      </c>
      <c r="AI31" s="11">
        <f t="shared" ca="1" si="8"/>
        <v>31</v>
      </c>
    </row>
    <row r="32" spans="1:35">
      <c r="A32" s="710">
        <v>46198.916666666664</v>
      </c>
      <c r="C32" s="710">
        <f t="shared" ca="1" si="13"/>
        <v>46199.166666666664</v>
      </c>
      <c r="D32" s="710"/>
      <c r="E32" s="710"/>
      <c r="P32" s="11">
        <v>30</v>
      </c>
      <c r="Q32" s="11" t="str">
        <f t="shared" ca="1" si="3"/>
        <v>Jordania</v>
      </c>
      <c r="R32" s="11">
        <f t="shared" ca="1" si="12"/>
        <v>3</v>
      </c>
      <c r="S32" s="791">
        <f t="shared" ca="1" si="12"/>
        <v>0.125</v>
      </c>
      <c r="T32" s="11">
        <f t="shared" ca="1" si="12"/>
        <v>0</v>
      </c>
      <c r="U32" s="11">
        <f t="shared" ca="1" si="12"/>
        <v>7</v>
      </c>
      <c r="V32" s="791">
        <f t="shared" ca="1" si="12"/>
        <v>0.29166666666666669</v>
      </c>
      <c r="W32" s="11">
        <f t="shared" ca="1" si="12"/>
        <v>1</v>
      </c>
      <c r="X32" s="11">
        <f t="shared" ca="1" si="1"/>
        <v>0</v>
      </c>
      <c r="AA32" s="11">
        <v>30</v>
      </c>
      <c r="AB32" s="11" t="str">
        <f ca="1">Idiomas!D241</f>
        <v>México</v>
      </c>
      <c r="AC32" s="11">
        <v>-6</v>
      </c>
      <c r="AD32" s="791">
        <f t="shared" si="4"/>
        <v>0.25</v>
      </c>
      <c r="AE32" s="11">
        <v>0</v>
      </c>
      <c r="AF32" s="11">
        <f t="shared" ca="1" si="5"/>
        <v>-2</v>
      </c>
      <c r="AG32" s="791">
        <f t="shared" ca="1" si="6"/>
        <v>8.3333333333333329E-2</v>
      </c>
      <c r="AH32" s="11">
        <f t="shared" ca="1" si="7"/>
        <v>-1</v>
      </c>
      <c r="AI32" s="11">
        <f t="shared" ca="1" si="8"/>
        <v>32</v>
      </c>
    </row>
    <row r="33" spans="1:35">
      <c r="A33" s="710">
        <v>46198.916666666664</v>
      </c>
      <c r="C33" s="710">
        <f t="shared" ca="1" si="13"/>
        <v>46199.166666666664</v>
      </c>
      <c r="D33" s="710"/>
      <c r="E33" s="710"/>
      <c r="P33" s="11">
        <v>31</v>
      </c>
      <c r="Q33" s="11" t="str">
        <f t="shared" ca="1" si="3"/>
        <v>Marruecos</v>
      </c>
      <c r="R33" s="11">
        <f t="shared" ref="R33:W48" ca="1" si="14">+INDEX($AC$3:$AH$86,MATCH($Q33,$AB$3:$AB$86,0),MATCH(R$2,$AC$2:$AH$2,0))</f>
        <v>1</v>
      </c>
      <c r="S33" s="791">
        <f t="shared" ca="1" si="14"/>
        <v>4.1666666666666664E-2</v>
      </c>
      <c r="T33" s="11">
        <f t="shared" ca="1" si="14"/>
        <v>0</v>
      </c>
      <c r="U33" s="11">
        <f t="shared" ca="1" si="14"/>
        <v>5</v>
      </c>
      <c r="V33" s="791">
        <f t="shared" ca="1" si="14"/>
        <v>0.20833333333333334</v>
      </c>
      <c r="W33" s="11">
        <f t="shared" ca="1" si="14"/>
        <v>1</v>
      </c>
      <c r="X33" s="11">
        <f t="shared" ca="1" si="1"/>
        <v>0</v>
      </c>
      <c r="AA33" s="11">
        <v>31</v>
      </c>
      <c r="AB33" s="11" t="str">
        <f ca="1">Idiomas!D242</f>
        <v>Noruega</v>
      </c>
      <c r="AC33" s="11">
        <v>2</v>
      </c>
      <c r="AD33" s="791">
        <f t="shared" si="4"/>
        <v>8.3333333333333329E-2</v>
      </c>
      <c r="AE33" s="11">
        <v>0</v>
      </c>
      <c r="AF33" s="11">
        <f t="shared" ca="1" si="5"/>
        <v>6</v>
      </c>
      <c r="AG33" s="791">
        <f t="shared" ca="1" si="6"/>
        <v>0.25</v>
      </c>
      <c r="AH33" s="11">
        <f t="shared" ca="1" si="7"/>
        <v>1</v>
      </c>
      <c r="AI33" s="11">
        <f t="shared" ca="1" si="8"/>
        <v>33</v>
      </c>
    </row>
    <row r="34" spans="1:35">
      <c r="C34" s="710"/>
      <c r="E34" s="710"/>
      <c r="P34" s="11">
        <v>32</v>
      </c>
      <c r="Q34" s="11" t="str">
        <f t="shared" ca="1" si="3"/>
        <v>México</v>
      </c>
      <c r="R34" s="11">
        <f t="shared" ca="1" si="14"/>
        <v>-6</v>
      </c>
      <c r="S34" s="791">
        <f t="shared" ca="1" si="14"/>
        <v>0.25</v>
      </c>
      <c r="T34" s="11">
        <f t="shared" ca="1" si="14"/>
        <v>0</v>
      </c>
      <c r="U34" s="11">
        <f t="shared" ca="1" si="14"/>
        <v>-2</v>
      </c>
      <c r="V34" s="791">
        <f t="shared" ca="1" si="14"/>
        <v>8.3333333333333329E-2</v>
      </c>
      <c r="W34" s="11">
        <f t="shared" ca="1" si="14"/>
        <v>-1</v>
      </c>
      <c r="X34" s="11">
        <f t="shared" ca="1" si="1"/>
        <v>0</v>
      </c>
      <c r="AA34" s="11">
        <v>32</v>
      </c>
      <c r="AB34" s="11" t="str">
        <f ca="1">Idiomas!D243</f>
        <v>Nueva Zelanda</v>
      </c>
      <c r="AC34" s="11">
        <v>12</v>
      </c>
      <c r="AD34" s="791">
        <f t="shared" si="4"/>
        <v>0.5</v>
      </c>
      <c r="AE34" s="11">
        <v>0</v>
      </c>
      <c r="AF34" s="11">
        <f t="shared" ca="1" si="5"/>
        <v>16</v>
      </c>
      <c r="AG34" s="791">
        <f t="shared" ca="1" si="6"/>
        <v>0.66666666666666663</v>
      </c>
      <c r="AH34" s="11">
        <f t="shared" ca="1" si="7"/>
        <v>1</v>
      </c>
      <c r="AI34" s="11">
        <f t="shared" ca="1" si="8"/>
        <v>34</v>
      </c>
    </row>
    <row r="35" spans="1:35">
      <c r="A35" s="5" t="s">
        <v>82</v>
      </c>
      <c r="C35" s="710"/>
      <c r="E35" s="710"/>
      <c r="P35" s="11">
        <v>33</v>
      </c>
      <c r="Q35" s="11" t="str">
        <f t="shared" ca="1" si="3"/>
        <v>Noruega</v>
      </c>
      <c r="R35" s="11">
        <f t="shared" ca="1" si="14"/>
        <v>2</v>
      </c>
      <c r="S35" s="791">
        <f t="shared" ca="1" si="14"/>
        <v>8.3333333333333329E-2</v>
      </c>
      <c r="T35" s="11">
        <f t="shared" ca="1" si="14"/>
        <v>0</v>
      </c>
      <c r="U35" s="11">
        <f t="shared" ca="1" si="14"/>
        <v>6</v>
      </c>
      <c r="V35" s="791">
        <f t="shared" ca="1" si="14"/>
        <v>0.25</v>
      </c>
      <c r="W35" s="11">
        <f t="shared" ca="1" si="14"/>
        <v>1</v>
      </c>
      <c r="X35" s="11">
        <f t="shared" ca="1" si="1"/>
        <v>0</v>
      </c>
      <c r="AA35" s="11">
        <v>33</v>
      </c>
      <c r="AB35" s="11" t="str">
        <f ca="1">Idiomas!D244</f>
        <v>Países Bajos</v>
      </c>
      <c r="AC35" s="11">
        <v>2</v>
      </c>
      <c r="AD35" s="791">
        <f t="shared" si="4"/>
        <v>8.3333333333333329E-2</v>
      </c>
      <c r="AE35" s="11">
        <v>0</v>
      </c>
      <c r="AF35" s="11">
        <f t="shared" ca="1" si="5"/>
        <v>6</v>
      </c>
      <c r="AG35" s="791">
        <f t="shared" ca="1" si="6"/>
        <v>0.25</v>
      </c>
      <c r="AH35" s="11">
        <f t="shared" ca="1" si="7"/>
        <v>1</v>
      </c>
      <c r="AI35" s="11">
        <f t="shared" ca="1" si="8"/>
        <v>35</v>
      </c>
    </row>
    <row r="36" spans="1:35">
      <c r="A36" s="710">
        <v>46187.541666666664</v>
      </c>
      <c r="C36" s="710">
        <f t="shared" ref="C36:C41" ca="1" si="15">A36+INDEX($V$3:$V$86,MATCH($C$3,$P$3:$P$86,0))*INDEX($W$3:$W$86,MATCH($C$3,$P$3:$P$86,0))</f>
        <v>46187.791666666664</v>
      </c>
      <c r="D36" s="710"/>
      <c r="E36" s="710"/>
      <c r="P36" s="11">
        <v>34</v>
      </c>
      <c r="Q36" s="11" t="str">
        <f t="shared" ca="1" si="3"/>
        <v>Nueva Zelanda</v>
      </c>
      <c r="R36" s="11">
        <f t="shared" ca="1" si="14"/>
        <v>12</v>
      </c>
      <c r="S36" s="791">
        <f t="shared" ca="1" si="14"/>
        <v>0.5</v>
      </c>
      <c r="T36" s="11">
        <f t="shared" ca="1" si="14"/>
        <v>0</v>
      </c>
      <c r="U36" s="11">
        <f t="shared" ca="1" si="14"/>
        <v>16</v>
      </c>
      <c r="V36" s="791">
        <f t="shared" ca="1" si="14"/>
        <v>0.66666666666666663</v>
      </c>
      <c r="W36" s="11">
        <f t="shared" ca="1" si="14"/>
        <v>1</v>
      </c>
      <c r="X36" s="11">
        <f t="shared" ca="1" si="1"/>
        <v>0</v>
      </c>
      <c r="AA36" s="11">
        <v>34</v>
      </c>
      <c r="AB36" s="11" t="str">
        <f ca="1">Idiomas!D245</f>
        <v>Panamá</v>
      </c>
      <c r="AC36" s="11">
        <v>-5</v>
      </c>
      <c r="AD36" s="791">
        <f t="shared" si="4"/>
        <v>0.20833333333333334</v>
      </c>
      <c r="AE36" s="11">
        <v>0</v>
      </c>
      <c r="AF36" s="11">
        <f t="shared" ca="1" si="5"/>
        <v>-1</v>
      </c>
      <c r="AG36" s="791">
        <f t="shared" ca="1" si="6"/>
        <v>4.1666666666666664E-2</v>
      </c>
      <c r="AH36" s="11">
        <f t="shared" ca="1" si="7"/>
        <v>-1</v>
      </c>
      <c r="AI36" s="11">
        <f t="shared" ca="1" si="8"/>
        <v>36</v>
      </c>
    </row>
    <row r="37" spans="1:35">
      <c r="A37" s="710">
        <v>46187.791666666664</v>
      </c>
      <c r="C37" s="710">
        <f t="shared" ca="1" si="15"/>
        <v>46188.041666666664</v>
      </c>
      <c r="D37" s="710"/>
      <c r="E37" s="710"/>
      <c r="P37" s="11">
        <v>35</v>
      </c>
      <c r="Q37" s="11" t="str">
        <f t="shared" ca="1" si="3"/>
        <v>Países Bajos</v>
      </c>
      <c r="R37" s="11">
        <f t="shared" ca="1" si="14"/>
        <v>2</v>
      </c>
      <c r="S37" s="791">
        <f t="shared" ca="1" si="14"/>
        <v>8.3333333333333329E-2</v>
      </c>
      <c r="T37" s="11">
        <f t="shared" ca="1" si="14"/>
        <v>0</v>
      </c>
      <c r="U37" s="11">
        <f t="shared" ca="1" si="14"/>
        <v>6</v>
      </c>
      <c r="V37" s="791">
        <f t="shared" ca="1" si="14"/>
        <v>0.25</v>
      </c>
      <c r="W37" s="11">
        <f t="shared" ca="1" si="14"/>
        <v>1</v>
      </c>
      <c r="X37" s="11">
        <f t="shared" ca="1" si="1"/>
        <v>0</v>
      </c>
      <c r="AA37" s="11">
        <v>35</v>
      </c>
      <c r="AB37" s="11" t="str">
        <f ca="1">Idiomas!D246</f>
        <v>Paraguay</v>
      </c>
      <c r="AC37" s="11">
        <v>-4</v>
      </c>
      <c r="AD37" s="791">
        <f t="shared" si="4"/>
        <v>0.16666666666666666</v>
      </c>
      <c r="AE37" s="11">
        <v>0</v>
      </c>
      <c r="AF37" s="11">
        <f t="shared" ca="1" si="5"/>
        <v>0</v>
      </c>
      <c r="AG37" s="791">
        <f t="shared" ca="1" si="6"/>
        <v>0</v>
      </c>
      <c r="AH37" s="11">
        <f t="shared" ca="1" si="7"/>
        <v>0</v>
      </c>
      <c r="AI37" s="11">
        <f t="shared" ca="1" si="8"/>
        <v>37</v>
      </c>
    </row>
    <row r="38" spans="1:35">
      <c r="A38" s="710">
        <v>46193.666666666664</v>
      </c>
      <c r="C38" s="710">
        <f t="shared" ca="1" si="15"/>
        <v>46193.916666666664</v>
      </c>
      <c r="D38" s="710"/>
      <c r="E38" s="710"/>
      <c r="P38" s="11">
        <v>36</v>
      </c>
      <c r="Q38" s="11" t="str">
        <f t="shared" ca="1" si="3"/>
        <v>Panamá</v>
      </c>
      <c r="R38" s="11">
        <f t="shared" ca="1" si="14"/>
        <v>-5</v>
      </c>
      <c r="S38" s="791">
        <f t="shared" ca="1" si="14"/>
        <v>0.20833333333333334</v>
      </c>
      <c r="T38" s="11">
        <f t="shared" ca="1" si="14"/>
        <v>0</v>
      </c>
      <c r="U38" s="11">
        <f t="shared" ca="1" si="14"/>
        <v>-1</v>
      </c>
      <c r="V38" s="791">
        <f t="shared" ca="1" si="14"/>
        <v>4.1666666666666664E-2</v>
      </c>
      <c r="W38" s="11">
        <f t="shared" ca="1" si="14"/>
        <v>-1</v>
      </c>
      <c r="X38" s="11">
        <f t="shared" ca="1" si="1"/>
        <v>0</v>
      </c>
      <c r="AA38" s="11">
        <v>36</v>
      </c>
      <c r="AB38" s="11" t="str">
        <f ca="1">Idiomas!D247</f>
        <v>Portugal</v>
      </c>
      <c r="AC38" s="11">
        <v>1</v>
      </c>
      <c r="AD38" s="791">
        <f t="shared" si="4"/>
        <v>4.1666666666666664E-2</v>
      </c>
      <c r="AE38" s="11">
        <v>0</v>
      </c>
      <c r="AF38" s="11">
        <f t="shared" ca="1" si="5"/>
        <v>5</v>
      </c>
      <c r="AG38" s="791">
        <f t="shared" ca="1" si="6"/>
        <v>0.20833333333333334</v>
      </c>
      <c r="AH38" s="11">
        <f t="shared" ca="1" si="7"/>
        <v>1</v>
      </c>
      <c r="AI38" s="11">
        <f t="shared" ca="1" si="8"/>
        <v>38</v>
      </c>
    </row>
    <row r="39" spans="1:35">
      <c r="A39" s="710">
        <v>46193.833333333336</v>
      </c>
      <c r="C39" s="710">
        <f t="shared" ca="1" si="15"/>
        <v>46194.083333333336</v>
      </c>
      <c r="D39" s="710"/>
      <c r="E39" s="710"/>
      <c r="P39" s="11">
        <v>37</v>
      </c>
      <c r="Q39" s="11" t="str">
        <f t="shared" ca="1" si="3"/>
        <v>Paraguay</v>
      </c>
      <c r="R39" s="11">
        <f t="shared" ca="1" si="14"/>
        <v>-4</v>
      </c>
      <c r="S39" s="791">
        <f t="shared" ca="1" si="14"/>
        <v>0.16666666666666666</v>
      </c>
      <c r="T39" s="11">
        <f t="shared" ca="1" si="14"/>
        <v>0</v>
      </c>
      <c r="U39" s="11">
        <f t="shared" ca="1" si="14"/>
        <v>0</v>
      </c>
      <c r="V39" s="791">
        <f t="shared" ca="1" si="14"/>
        <v>0</v>
      </c>
      <c r="W39" s="11">
        <f t="shared" ca="1" si="14"/>
        <v>0</v>
      </c>
      <c r="X39" s="11">
        <f t="shared" ca="1" si="1"/>
        <v>0</v>
      </c>
      <c r="AA39" s="11">
        <v>37</v>
      </c>
      <c r="AB39" s="11" t="str">
        <f ca="1">Idiomas!D248</f>
        <v>Senegal</v>
      </c>
      <c r="AC39" s="11">
        <v>0</v>
      </c>
      <c r="AD39" s="791">
        <f t="shared" si="4"/>
        <v>0</v>
      </c>
      <c r="AE39" s="11">
        <v>0</v>
      </c>
      <c r="AF39" s="11">
        <f t="shared" ca="1" si="5"/>
        <v>4</v>
      </c>
      <c r="AG39" s="791">
        <f t="shared" ca="1" si="6"/>
        <v>0.16666666666666666</v>
      </c>
      <c r="AH39" s="11">
        <f t="shared" ca="1" si="7"/>
        <v>1</v>
      </c>
      <c r="AI39" s="11">
        <f t="shared" ca="1" si="8"/>
        <v>41</v>
      </c>
    </row>
    <row r="40" spans="1:35">
      <c r="A40" s="710">
        <v>46198.666666666664</v>
      </c>
      <c r="C40" s="710">
        <f t="shared" ca="1" si="15"/>
        <v>46198.916666666664</v>
      </c>
      <c r="D40" s="710"/>
      <c r="E40" s="710"/>
      <c r="P40" s="11">
        <v>38</v>
      </c>
      <c r="Q40" s="11" t="str">
        <f t="shared" ca="1" si="3"/>
        <v>Portugal</v>
      </c>
      <c r="R40" s="11">
        <f t="shared" ca="1" si="14"/>
        <v>1</v>
      </c>
      <c r="S40" s="791">
        <f t="shared" ca="1" si="14"/>
        <v>4.1666666666666664E-2</v>
      </c>
      <c r="T40" s="11">
        <f t="shared" ca="1" si="14"/>
        <v>0</v>
      </c>
      <c r="U40" s="11">
        <f t="shared" ca="1" si="14"/>
        <v>5</v>
      </c>
      <c r="V40" s="791">
        <f t="shared" ca="1" si="14"/>
        <v>0.20833333333333334</v>
      </c>
      <c r="W40" s="11">
        <f t="shared" ca="1" si="14"/>
        <v>1</v>
      </c>
      <c r="X40" s="11">
        <f t="shared" ca="1" si="1"/>
        <v>0</v>
      </c>
      <c r="AA40" s="11">
        <v>38</v>
      </c>
      <c r="AB40" s="11" t="str">
        <f ca="1">Idiomas!D249</f>
        <v>Sudáfrica</v>
      </c>
      <c r="AC40" s="11">
        <v>2</v>
      </c>
      <c r="AD40" s="791">
        <f t="shared" si="4"/>
        <v>8.3333333333333329E-2</v>
      </c>
      <c r="AE40" s="11">
        <v>0</v>
      </c>
      <c r="AF40" s="11">
        <f t="shared" ca="1" si="5"/>
        <v>6</v>
      </c>
      <c r="AG40" s="791">
        <f t="shared" ca="1" si="6"/>
        <v>0.25</v>
      </c>
      <c r="AH40" s="11">
        <f t="shared" ca="1" si="7"/>
        <v>1</v>
      </c>
      <c r="AI40" s="11">
        <f t="shared" ca="1" si="8"/>
        <v>42</v>
      </c>
    </row>
    <row r="41" spans="1:35">
      <c r="A41" s="710">
        <v>46198.666666666664</v>
      </c>
      <c r="C41" s="710">
        <f t="shared" ca="1" si="15"/>
        <v>46198.916666666664</v>
      </c>
      <c r="D41" s="710"/>
      <c r="E41" s="710"/>
      <c r="P41" s="11">
        <v>39</v>
      </c>
      <c r="Q41" s="11" t="str">
        <f t="shared" ca="1" si="3"/>
        <v>RD Congo</v>
      </c>
      <c r="R41" s="11">
        <f t="shared" ca="1" si="14"/>
        <v>1</v>
      </c>
      <c r="S41" s="791">
        <f t="shared" ca="1" si="14"/>
        <v>4.1666666666666664E-2</v>
      </c>
      <c r="T41" s="11">
        <f t="shared" ca="1" si="14"/>
        <v>0</v>
      </c>
      <c r="U41" s="11">
        <f t="shared" ca="1" si="14"/>
        <v>5</v>
      </c>
      <c r="V41" s="791">
        <f t="shared" ca="1" si="14"/>
        <v>0.20833333333333334</v>
      </c>
      <c r="W41" s="11">
        <f t="shared" ca="1" si="14"/>
        <v>1</v>
      </c>
      <c r="X41" s="11">
        <f t="shared" ca="1" si="1"/>
        <v>0</v>
      </c>
      <c r="AA41" s="11">
        <v>39</v>
      </c>
      <c r="AB41" s="11" t="str">
        <f ca="1">Idiomas!D250</f>
        <v>Suiza</v>
      </c>
      <c r="AC41" s="11">
        <v>2</v>
      </c>
      <c r="AD41" s="791">
        <f t="shared" si="4"/>
        <v>8.3333333333333329E-2</v>
      </c>
      <c r="AE41" s="11">
        <v>0</v>
      </c>
      <c r="AF41" s="11">
        <f t="shared" ca="1" si="5"/>
        <v>6</v>
      </c>
      <c r="AG41" s="791">
        <f t="shared" ca="1" si="6"/>
        <v>0.25</v>
      </c>
      <c r="AH41" s="11">
        <f t="shared" ca="1" si="7"/>
        <v>1</v>
      </c>
      <c r="AI41" s="11">
        <f t="shared" ca="1" si="8"/>
        <v>44</v>
      </c>
    </row>
    <row r="42" spans="1:35">
      <c r="C42" s="710"/>
      <c r="E42" s="710"/>
      <c r="P42" s="11">
        <v>40</v>
      </c>
      <c r="Q42" s="11" t="str">
        <f t="shared" ca="1" si="3"/>
        <v>República Checa</v>
      </c>
      <c r="R42" s="11">
        <f t="shared" ca="1" si="14"/>
        <v>2</v>
      </c>
      <c r="S42" s="791">
        <f t="shared" ca="1" si="14"/>
        <v>8.3333333333333329E-2</v>
      </c>
      <c r="T42" s="11">
        <f t="shared" ca="1" si="14"/>
        <v>0</v>
      </c>
      <c r="U42" s="11">
        <f t="shared" ca="1" si="14"/>
        <v>6</v>
      </c>
      <c r="V42" s="791">
        <f t="shared" ca="1" si="14"/>
        <v>0.25</v>
      </c>
      <c r="W42" s="11">
        <f t="shared" ca="1" si="14"/>
        <v>1</v>
      </c>
      <c r="X42" s="11">
        <f t="shared" ca="1" si="1"/>
        <v>0</v>
      </c>
      <c r="AA42" s="11">
        <v>40</v>
      </c>
      <c r="AB42" s="11" t="str">
        <f ca="1">Idiomas!D251</f>
        <v>Túnez</v>
      </c>
      <c r="AC42" s="11">
        <v>1</v>
      </c>
      <c r="AD42" s="791">
        <f t="shared" si="4"/>
        <v>4.1666666666666664E-2</v>
      </c>
      <c r="AE42" s="11">
        <v>0</v>
      </c>
      <c r="AF42" s="11">
        <f t="shared" ca="1" si="5"/>
        <v>5</v>
      </c>
      <c r="AG42" s="791">
        <f t="shared" ca="1" si="6"/>
        <v>0.20833333333333334</v>
      </c>
      <c r="AH42" s="11">
        <f t="shared" ca="1" si="7"/>
        <v>1</v>
      </c>
      <c r="AI42" s="11">
        <f t="shared" ca="1" si="8"/>
        <v>45</v>
      </c>
    </row>
    <row r="43" spans="1:35">
      <c r="A43" s="5" t="s">
        <v>8</v>
      </c>
      <c r="C43" s="710"/>
      <c r="E43" s="710"/>
      <c r="P43" s="11">
        <v>41</v>
      </c>
      <c r="Q43" s="11" t="str">
        <f t="shared" ca="1" si="3"/>
        <v>Senegal</v>
      </c>
      <c r="R43" s="11">
        <f t="shared" ref="R43:W58" ca="1" si="16">+INDEX($AC$3:$AH$86,MATCH($Q43,$AB$3:$AB$86,0),MATCH(R$2,$AC$2:$AH$2,0))</f>
        <v>0</v>
      </c>
      <c r="S43" s="791">
        <f t="shared" ca="1" si="16"/>
        <v>0</v>
      </c>
      <c r="T43" s="11">
        <f t="shared" ca="1" si="16"/>
        <v>0</v>
      </c>
      <c r="U43" s="11">
        <f t="shared" ca="1" si="16"/>
        <v>4</v>
      </c>
      <c r="V43" s="791">
        <f t="shared" ca="1" si="14"/>
        <v>0.16666666666666666</v>
      </c>
      <c r="W43" s="11">
        <f t="shared" ca="1" si="16"/>
        <v>1</v>
      </c>
      <c r="X43" s="11">
        <f t="shared" ca="1" si="1"/>
        <v>0</v>
      </c>
      <c r="AA43" s="11">
        <v>41</v>
      </c>
      <c r="AB43" s="11" t="str">
        <f ca="1">Idiomas!D252</f>
        <v>Uruguay</v>
      </c>
      <c r="AC43" s="11">
        <v>-3</v>
      </c>
      <c r="AD43" s="791">
        <f t="shared" si="4"/>
        <v>0.125</v>
      </c>
      <c r="AE43" s="11">
        <v>0</v>
      </c>
      <c r="AF43" s="11">
        <f t="shared" ca="1" si="5"/>
        <v>1</v>
      </c>
      <c r="AG43" s="791">
        <f t="shared" ca="1" si="6"/>
        <v>4.1666666666666664E-2</v>
      </c>
      <c r="AH43" s="11">
        <f t="shared" ca="1" si="7"/>
        <v>1</v>
      </c>
      <c r="AI43" s="11">
        <f t="shared" ca="1" si="8"/>
        <v>47</v>
      </c>
    </row>
    <row r="44" spans="1:35">
      <c r="A44" s="710">
        <v>46187.666666666664</v>
      </c>
      <c r="C44" s="710">
        <f t="shared" ref="C44:C49" ca="1" si="17">A44+INDEX($V$3:$V$86,MATCH($C$3,$P$3:$P$86,0))*INDEX($W$3:$W$86,MATCH($C$3,$P$3:$P$86,0))</f>
        <v>46187.916666666664</v>
      </c>
      <c r="D44" s="710"/>
      <c r="E44" s="710"/>
      <c r="P44" s="11">
        <v>42</v>
      </c>
      <c r="Q44" s="11" t="str">
        <f t="shared" ca="1" si="3"/>
        <v>Sudáfrica</v>
      </c>
      <c r="R44" s="11">
        <f t="shared" ca="1" si="16"/>
        <v>2</v>
      </c>
      <c r="S44" s="791">
        <f t="shared" ca="1" si="16"/>
        <v>8.3333333333333329E-2</v>
      </c>
      <c r="T44" s="11">
        <f t="shared" ca="1" si="16"/>
        <v>0</v>
      </c>
      <c r="U44" s="11">
        <f t="shared" ca="1" si="16"/>
        <v>6</v>
      </c>
      <c r="V44" s="791">
        <f t="shared" ca="1" si="14"/>
        <v>0.25</v>
      </c>
      <c r="W44" s="11">
        <f t="shared" ca="1" si="16"/>
        <v>1</v>
      </c>
      <c r="X44" s="11">
        <f t="shared" ca="1" si="1"/>
        <v>0</v>
      </c>
      <c r="AA44" s="11">
        <v>42</v>
      </c>
      <c r="AB44" s="11" t="str">
        <f ca="1">Idiomas!D253</f>
        <v>Uzbekistán</v>
      </c>
      <c r="AC44" s="11">
        <v>5</v>
      </c>
      <c r="AD44" s="791">
        <f t="shared" si="4"/>
        <v>0.20833333333333334</v>
      </c>
      <c r="AE44" s="11">
        <v>0</v>
      </c>
      <c r="AF44" s="11">
        <f t="shared" ca="1" si="5"/>
        <v>9</v>
      </c>
      <c r="AG44" s="791">
        <f t="shared" ca="1" si="6"/>
        <v>0.375</v>
      </c>
      <c r="AH44" s="11">
        <f t="shared" ca="1" si="7"/>
        <v>1</v>
      </c>
      <c r="AI44" s="11">
        <f t="shared" ca="1" si="8"/>
        <v>48</v>
      </c>
    </row>
    <row r="45" spans="1:35">
      <c r="A45" s="710">
        <v>46187.916666666664</v>
      </c>
      <c r="C45" s="710">
        <f t="shared" ca="1" si="17"/>
        <v>46188.166666666664</v>
      </c>
      <c r="D45" s="710"/>
      <c r="E45" s="710"/>
      <c r="P45" s="11">
        <v>43</v>
      </c>
      <c r="Q45" s="11" t="str">
        <f t="shared" ca="1" si="3"/>
        <v>Suecia</v>
      </c>
      <c r="R45" s="11">
        <f t="shared" ca="1" si="16"/>
        <v>2</v>
      </c>
      <c r="S45" s="791">
        <f t="shared" ca="1" si="16"/>
        <v>8.3333333333333329E-2</v>
      </c>
      <c r="T45" s="11">
        <f t="shared" ca="1" si="16"/>
        <v>0</v>
      </c>
      <c r="U45" s="11">
        <f t="shared" ca="1" si="16"/>
        <v>6</v>
      </c>
      <c r="V45" s="791">
        <f t="shared" ca="1" si="14"/>
        <v>0.25</v>
      </c>
      <c r="W45" s="11">
        <f t="shared" ca="1" si="16"/>
        <v>1</v>
      </c>
      <c r="X45" s="11">
        <f t="shared" ca="1" si="1"/>
        <v>0</v>
      </c>
      <c r="AA45" s="11">
        <v>43</v>
      </c>
      <c r="AB45" s="11" t="str">
        <f ca="1">Idiomas!D254</f>
        <v>RD Congo</v>
      </c>
      <c r="AC45" s="11">
        <v>1</v>
      </c>
      <c r="AD45" s="791">
        <f t="shared" si="4"/>
        <v>4.1666666666666664E-2</v>
      </c>
      <c r="AE45" s="11">
        <v>0</v>
      </c>
      <c r="AF45" s="11">
        <f t="shared" ca="1" si="5"/>
        <v>5</v>
      </c>
      <c r="AG45" s="791">
        <f t="shared" ca="1" si="6"/>
        <v>0.20833333333333334</v>
      </c>
      <c r="AH45" s="11">
        <f t="shared" ca="1" si="7"/>
        <v>1</v>
      </c>
      <c r="AI45" s="11">
        <f t="shared" ca="1" si="8"/>
        <v>39</v>
      </c>
    </row>
    <row r="46" spans="1:35">
      <c r="A46" s="710">
        <v>46193.541666666664</v>
      </c>
      <c r="C46" s="710">
        <f t="shared" ca="1" si="17"/>
        <v>46193.791666666664</v>
      </c>
      <c r="D46" s="710"/>
      <c r="E46" s="710"/>
      <c r="P46" s="11">
        <v>44</v>
      </c>
      <c r="Q46" s="11" t="str">
        <f t="shared" ca="1" si="3"/>
        <v>Suiza</v>
      </c>
      <c r="R46" s="11">
        <f t="shared" ca="1" si="16"/>
        <v>2</v>
      </c>
      <c r="S46" s="791">
        <f t="shared" ca="1" si="16"/>
        <v>8.3333333333333329E-2</v>
      </c>
      <c r="T46" s="11">
        <f t="shared" ca="1" si="16"/>
        <v>0</v>
      </c>
      <c r="U46" s="11">
        <f t="shared" ca="1" si="16"/>
        <v>6</v>
      </c>
      <c r="V46" s="791">
        <f t="shared" ca="1" si="14"/>
        <v>0.25</v>
      </c>
      <c r="W46" s="11">
        <f t="shared" ca="1" si="16"/>
        <v>1</v>
      </c>
      <c r="X46" s="11">
        <f t="shared" ca="1" si="1"/>
        <v>0</v>
      </c>
      <c r="AA46" s="11">
        <v>44</v>
      </c>
      <c r="AB46" s="11" t="str">
        <f ca="1">Idiomas!D255</f>
        <v>Irak</v>
      </c>
      <c r="AC46" s="11">
        <v>3</v>
      </c>
      <c r="AD46" s="791">
        <f t="shared" si="4"/>
        <v>0.125</v>
      </c>
      <c r="AE46" s="11">
        <v>0</v>
      </c>
      <c r="AF46" s="11">
        <f t="shared" ca="1" si="5"/>
        <v>7</v>
      </c>
      <c r="AG46" s="791">
        <f t="shared" ca="1" si="6"/>
        <v>0.29166666666666669</v>
      </c>
      <c r="AH46" s="11">
        <f t="shared" ca="1" si="7"/>
        <v>1</v>
      </c>
      <c r="AI46" s="11">
        <f t="shared" ca="1" si="8"/>
        <v>27</v>
      </c>
    </row>
    <row r="47" spans="1:35">
      <c r="A47" s="710">
        <v>46194</v>
      </c>
      <c r="C47" s="710">
        <f t="shared" ca="1" si="17"/>
        <v>46194.25</v>
      </c>
      <c r="D47" s="710"/>
      <c r="E47" s="710"/>
      <c r="P47" s="11">
        <v>45</v>
      </c>
      <c r="Q47" s="11" t="str">
        <f t="shared" ca="1" si="3"/>
        <v>Túnez</v>
      </c>
      <c r="R47" s="11">
        <f t="shared" ca="1" si="16"/>
        <v>1</v>
      </c>
      <c r="S47" s="791">
        <f t="shared" ca="1" si="16"/>
        <v>4.1666666666666664E-2</v>
      </c>
      <c r="T47" s="11">
        <f t="shared" ca="1" si="16"/>
        <v>0</v>
      </c>
      <c r="U47" s="11">
        <f t="shared" ca="1" si="16"/>
        <v>5</v>
      </c>
      <c r="V47" s="791">
        <f t="shared" ca="1" si="14"/>
        <v>0.20833333333333334</v>
      </c>
      <c r="W47" s="11">
        <f t="shared" ca="1" si="16"/>
        <v>1</v>
      </c>
      <c r="X47" s="11">
        <f t="shared" ca="1" si="1"/>
        <v>0</v>
      </c>
      <c r="AA47" s="11">
        <v>45</v>
      </c>
      <c r="AB47" s="11" t="str">
        <f ca="1">Idiomas!D256</f>
        <v>Bosnia y Herzegovina</v>
      </c>
      <c r="AC47" s="11">
        <v>2</v>
      </c>
      <c r="AD47" s="791">
        <f t="shared" si="4"/>
        <v>8.3333333333333329E-2</v>
      </c>
      <c r="AE47" s="11">
        <v>0</v>
      </c>
      <c r="AF47" s="11">
        <f t="shared" ca="1" si="5"/>
        <v>6</v>
      </c>
      <c r="AG47" s="791">
        <f t="shared" ca="1" si="6"/>
        <v>0.25</v>
      </c>
      <c r="AH47" s="11">
        <f t="shared" ca="1" si="7"/>
        <v>1</v>
      </c>
      <c r="AI47" s="11">
        <f t="shared" ca="1" si="8"/>
        <v>8</v>
      </c>
    </row>
    <row r="48" spans="1:35">
      <c r="A48" s="710">
        <v>46198.791666666664</v>
      </c>
      <c r="C48" s="710">
        <f t="shared" ca="1" si="17"/>
        <v>46199.041666666664</v>
      </c>
      <c r="D48" s="710"/>
      <c r="E48" s="710"/>
      <c r="P48" s="11">
        <v>46</v>
      </c>
      <c r="Q48" s="11" t="str">
        <f t="shared" ca="1" si="3"/>
        <v>Turquía</v>
      </c>
      <c r="R48" s="11">
        <f t="shared" ca="1" si="16"/>
        <v>3</v>
      </c>
      <c r="S48" s="791">
        <f t="shared" ca="1" si="16"/>
        <v>0.125</v>
      </c>
      <c r="T48" s="11">
        <f t="shared" ca="1" si="16"/>
        <v>0</v>
      </c>
      <c r="U48" s="11">
        <f t="shared" ca="1" si="16"/>
        <v>7</v>
      </c>
      <c r="V48" s="791">
        <f t="shared" ca="1" si="14"/>
        <v>0.29166666666666669</v>
      </c>
      <c r="W48" s="11">
        <f t="shared" ca="1" si="16"/>
        <v>1</v>
      </c>
      <c r="X48" s="11">
        <f t="shared" ca="1" si="1"/>
        <v>0</v>
      </c>
      <c r="AA48" s="11">
        <v>46</v>
      </c>
      <c r="AB48" s="11" t="str">
        <f ca="1">Idiomas!D257</f>
        <v>Suecia</v>
      </c>
      <c r="AC48" s="11">
        <v>2</v>
      </c>
      <c r="AD48" s="791">
        <f t="shared" si="4"/>
        <v>8.3333333333333329E-2</v>
      </c>
      <c r="AE48" s="11">
        <v>0</v>
      </c>
      <c r="AF48" s="11">
        <f t="shared" ca="1" si="5"/>
        <v>6</v>
      </c>
      <c r="AG48" s="791">
        <f t="shared" ca="1" si="6"/>
        <v>0.25</v>
      </c>
      <c r="AH48" s="11">
        <f t="shared" ca="1" si="7"/>
        <v>1</v>
      </c>
      <c r="AI48" s="11">
        <f t="shared" ca="1" si="8"/>
        <v>43</v>
      </c>
    </row>
    <row r="49" spans="1:35">
      <c r="A49" s="710">
        <v>46198.791666666664</v>
      </c>
      <c r="C49" s="710">
        <f t="shared" ca="1" si="17"/>
        <v>46199.041666666664</v>
      </c>
      <c r="D49" s="710"/>
      <c r="E49" s="710"/>
      <c r="P49" s="11">
        <v>47</v>
      </c>
      <c r="Q49" s="11" t="str">
        <f t="shared" ca="1" si="3"/>
        <v>Uruguay</v>
      </c>
      <c r="R49" s="11">
        <f t="shared" ca="1" si="16"/>
        <v>-3</v>
      </c>
      <c r="S49" s="791">
        <f t="shared" ca="1" si="16"/>
        <v>0.125</v>
      </c>
      <c r="T49" s="11">
        <f t="shared" ca="1" si="16"/>
        <v>0</v>
      </c>
      <c r="U49" s="11">
        <f t="shared" ca="1" si="16"/>
        <v>1</v>
      </c>
      <c r="V49" s="791">
        <f t="shared" ca="1" si="16"/>
        <v>4.1666666666666664E-2</v>
      </c>
      <c r="W49" s="11">
        <f t="shared" ca="1" si="16"/>
        <v>1</v>
      </c>
      <c r="X49" s="11">
        <f t="shared" ca="1" si="1"/>
        <v>0</v>
      </c>
      <c r="AA49" s="11">
        <v>47</v>
      </c>
      <c r="AB49" s="11" t="str">
        <f ca="1">Idiomas!D258</f>
        <v>Turquía</v>
      </c>
      <c r="AC49" s="11">
        <v>3</v>
      </c>
      <c r="AD49" s="791">
        <f t="shared" si="4"/>
        <v>0.125</v>
      </c>
      <c r="AE49" s="11">
        <v>0</v>
      </c>
      <c r="AF49" s="11">
        <f t="shared" ca="1" si="5"/>
        <v>7</v>
      </c>
      <c r="AG49" s="791">
        <f t="shared" ca="1" si="6"/>
        <v>0.29166666666666669</v>
      </c>
      <c r="AH49" s="11">
        <f t="shared" ca="1" si="7"/>
        <v>1</v>
      </c>
      <c r="AI49" s="11">
        <f t="shared" ca="1" si="8"/>
        <v>46</v>
      </c>
    </row>
    <row r="50" spans="1:35">
      <c r="C50" s="710"/>
      <c r="E50" s="710"/>
      <c r="P50" s="11">
        <v>48</v>
      </c>
      <c r="Q50" s="11" t="str">
        <f t="shared" ca="1" si="3"/>
        <v>Uzbekistán</v>
      </c>
      <c r="R50" s="11">
        <f t="shared" ca="1" si="16"/>
        <v>5</v>
      </c>
      <c r="S50" s="791">
        <f t="shared" ca="1" si="16"/>
        <v>0.20833333333333334</v>
      </c>
      <c r="T50" s="11">
        <f t="shared" ca="1" si="16"/>
        <v>0</v>
      </c>
      <c r="U50" s="11">
        <f t="shared" ca="1" si="16"/>
        <v>9</v>
      </c>
      <c r="V50" s="791">
        <f t="shared" ca="1" si="16"/>
        <v>0.375</v>
      </c>
      <c r="W50" s="11">
        <f t="shared" ca="1" si="16"/>
        <v>1</v>
      </c>
      <c r="X50" s="11">
        <f t="shared" ca="1" si="1"/>
        <v>0</v>
      </c>
      <c r="AA50" s="11">
        <v>48</v>
      </c>
      <c r="AB50" s="11" t="str">
        <f ca="1">Idiomas!D259</f>
        <v>República Checa</v>
      </c>
      <c r="AC50" s="11">
        <v>2</v>
      </c>
      <c r="AD50" s="791">
        <f t="shared" si="4"/>
        <v>8.3333333333333329E-2</v>
      </c>
      <c r="AE50" s="11">
        <v>0</v>
      </c>
      <c r="AF50" s="11">
        <f t="shared" ca="1" si="5"/>
        <v>6</v>
      </c>
      <c r="AG50" s="791">
        <f t="shared" ca="1" si="6"/>
        <v>0.25</v>
      </c>
      <c r="AH50" s="11">
        <f t="shared" ca="1" si="7"/>
        <v>1</v>
      </c>
      <c r="AI50" s="11">
        <f t="shared" ca="1" si="8"/>
        <v>40</v>
      </c>
    </row>
    <row r="51" spans="1:35">
      <c r="A51" s="5" t="s">
        <v>484</v>
      </c>
      <c r="C51" s="710"/>
      <c r="E51" s="710"/>
      <c r="P51" s="11">
        <v>49</v>
      </c>
      <c r="Q51" s="11" t="s">
        <v>150</v>
      </c>
      <c r="R51" s="11">
        <f t="shared" ca="1" si="16"/>
        <v>-12</v>
      </c>
      <c r="S51" s="791">
        <f t="shared" ca="1" si="16"/>
        <v>0.5</v>
      </c>
      <c r="T51" s="11">
        <f t="shared" ca="1" si="16"/>
        <v>0</v>
      </c>
      <c r="U51" s="11">
        <f t="shared" ca="1" si="16"/>
        <v>-8</v>
      </c>
      <c r="V51" s="791">
        <f t="shared" ca="1" si="16"/>
        <v>0.33333333333333331</v>
      </c>
      <c r="W51" s="11">
        <f t="shared" ref="W51:W60" ca="1" si="18">IF(R51&gt;$M$2,1,IF(R51=$M$2,0,-1))</f>
        <v>-1</v>
      </c>
      <c r="X51" s="11"/>
      <c r="AA51" s="11">
        <v>49</v>
      </c>
      <c r="AB51" s="11" t="s">
        <v>150</v>
      </c>
      <c r="AC51" s="11">
        <v>-12</v>
      </c>
      <c r="AD51" s="791">
        <f t="shared" si="4"/>
        <v>0.5</v>
      </c>
      <c r="AE51" s="11">
        <v>0</v>
      </c>
      <c r="AF51" s="11">
        <f t="shared" ref="AF51:AF60" ca="1" si="19">AC51-$M$2</f>
        <v>-8</v>
      </c>
      <c r="AG51" s="791">
        <f t="shared" ca="1" si="6"/>
        <v>0.33333333333333331</v>
      </c>
      <c r="AH51" s="11">
        <f t="shared" ref="AH51:AH60" ca="1" si="20">IF(AC51&gt;$M$2,1,IF(AC51=$M$2,0,-1))</f>
        <v>-1</v>
      </c>
      <c r="AI51" s="11"/>
    </row>
    <row r="52" spans="1:35">
      <c r="A52" s="710">
        <v>46188.625</v>
      </c>
      <c r="C52" s="710">
        <f t="shared" ref="C52:C57" ca="1" si="21">A52+INDEX($V$3:$V$86,MATCH($C$3,$P$3:$P$86,0))*INDEX($W$3:$W$86,MATCH($C$3,$P$3:$P$86,0))</f>
        <v>46188.875</v>
      </c>
      <c r="D52" s="710"/>
      <c r="E52" s="710"/>
      <c r="P52" s="11">
        <v>50</v>
      </c>
      <c r="Q52" s="11" t="s">
        <v>151</v>
      </c>
      <c r="R52" s="11">
        <f t="shared" ca="1" si="16"/>
        <v>-11</v>
      </c>
      <c r="S52" s="791">
        <f t="shared" ca="1" si="16"/>
        <v>0.45833333333333331</v>
      </c>
      <c r="T52" s="11">
        <f t="shared" ca="1" si="16"/>
        <v>0</v>
      </c>
      <c r="U52" s="11">
        <f t="shared" ca="1" si="16"/>
        <v>-7</v>
      </c>
      <c r="V52" s="791">
        <f t="shared" ca="1" si="16"/>
        <v>0.29166666666666669</v>
      </c>
      <c r="W52" s="11">
        <f t="shared" ca="1" si="18"/>
        <v>-1</v>
      </c>
      <c r="X52" s="11"/>
      <c r="AA52" s="11">
        <v>50</v>
      </c>
      <c r="AB52" s="11" t="s">
        <v>151</v>
      </c>
      <c r="AC52" s="11">
        <v>-11</v>
      </c>
      <c r="AD52" s="791">
        <f t="shared" si="4"/>
        <v>0.45833333333333331</v>
      </c>
      <c r="AE52" s="11">
        <v>0</v>
      </c>
      <c r="AF52" s="11">
        <f t="shared" ca="1" si="19"/>
        <v>-7</v>
      </c>
      <c r="AG52" s="791">
        <f t="shared" ca="1" si="6"/>
        <v>0.29166666666666669</v>
      </c>
      <c r="AH52" s="11">
        <f t="shared" ca="1" si="20"/>
        <v>-1</v>
      </c>
      <c r="AI52" s="11"/>
    </row>
    <row r="53" spans="1:35">
      <c r="A53" s="710">
        <v>46188.875</v>
      </c>
      <c r="C53" s="710">
        <f t="shared" ca="1" si="21"/>
        <v>46189.125</v>
      </c>
      <c r="D53" s="710"/>
      <c r="E53" s="710"/>
      <c r="P53" s="11">
        <v>51</v>
      </c>
      <c r="Q53" s="11" t="s">
        <v>152</v>
      </c>
      <c r="R53" s="11">
        <f t="shared" ca="1" si="16"/>
        <v>-10</v>
      </c>
      <c r="S53" s="791">
        <f t="shared" ca="1" si="16"/>
        <v>0.41666666666666669</v>
      </c>
      <c r="T53" s="11">
        <f t="shared" ca="1" si="16"/>
        <v>0</v>
      </c>
      <c r="U53" s="11">
        <f t="shared" ca="1" si="16"/>
        <v>-6</v>
      </c>
      <c r="V53" s="791">
        <f t="shared" ca="1" si="16"/>
        <v>0.25</v>
      </c>
      <c r="W53" s="11">
        <f t="shared" ca="1" si="18"/>
        <v>-1</v>
      </c>
      <c r="X53" s="11"/>
      <c r="AA53" s="11">
        <v>51</v>
      </c>
      <c r="AB53" s="11" t="s">
        <v>152</v>
      </c>
      <c r="AC53" s="11">
        <v>-10</v>
      </c>
      <c r="AD53" s="791">
        <f t="shared" si="4"/>
        <v>0.41666666666666669</v>
      </c>
      <c r="AE53" s="11">
        <v>0</v>
      </c>
      <c r="AF53" s="11">
        <f t="shared" ca="1" si="19"/>
        <v>-6</v>
      </c>
      <c r="AG53" s="791">
        <f t="shared" ca="1" si="6"/>
        <v>0.25</v>
      </c>
      <c r="AH53" s="11">
        <f t="shared" ca="1" si="20"/>
        <v>-1</v>
      </c>
      <c r="AI53" s="11"/>
    </row>
    <row r="54" spans="1:35">
      <c r="A54" s="710">
        <v>46194.625</v>
      </c>
      <c r="C54" s="710">
        <f t="shared" ca="1" si="21"/>
        <v>46194.875</v>
      </c>
      <c r="D54" s="710"/>
      <c r="E54" s="710"/>
      <c r="P54" s="11">
        <v>52</v>
      </c>
      <c r="Q54" s="11" t="s">
        <v>153</v>
      </c>
      <c r="R54" s="11">
        <f t="shared" ca="1" si="16"/>
        <v>-9</v>
      </c>
      <c r="S54" s="791">
        <f t="shared" ca="1" si="16"/>
        <v>0.375</v>
      </c>
      <c r="T54" s="11">
        <f t="shared" ca="1" si="16"/>
        <v>0</v>
      </c>
      <c r="U54" s="11">
        <f t="shared" ca="1" si="16"/>
        <v>-5</v>
      </c>
      <c r="V54" s="791">
        <f t="shared" ca="1" si="16"/>
        <v>0.20833333333333334</v>
      </c>
      <c r="W54" s="11">
        <f t="shared" ca="1" si="18"/>
        <v>-1</v>
      </c>
      <c r="X54" s="11"/>
      <c r="AA54" s="11">
        <v>52</v>
      </c>
      <c r="AB54" s="11" t="s">
        <v>153</v>
      </c>
      <c r="AC54" s="11">
        <v>-9</v>
      </c>
      <c r="AD54" s="791">
        <f t="shared" si="4"/>
        <v>0.375</v>
      </c>
      <c r="AE54" s="11">
        <v>0</v>
      </c>
      <c r="AF54" s="11">
        <f t="shared" ca="1" si="19"/>
        <v>-5</v>
      </c>
      <c r="AG54" s="791">
        <f t="shared" ca="1" si="6"/>
        <v>0.20833333333333334</v>
      </c>
      <c r="AH54" s="11">
        <f t="shared" ca="1" si="20"/>
        <v>-1</v>
      </c>
      <c r="AI54" s="11"/>
    </row>
    <row r="55" spans="1:35">
      <c r="A55" s="710">
        <v>46194.875</v>
      </c>
      <c r="C55" s="710">
        <f t="shared" ca="1" si="21"/>
        <v>46195.125</v>
      </c>
      <c r="D55" s="710"/>
      <c r="E55" s="710"/>
      <c r="P55" s="11">
        <v>53</v>
      </c>
      <c r="Q55" s="11" t="s">
        <v>154</v>
      </c>
      <c r="R55" s="11">
        <f t="shared" ca="1" si="16"/>
        <v>-8</v>
      </c>
      <c r="S55" s="791">
        <f t="shared" ca="1" si="16"/>
        <v>0.33333333333333331</v>
      </c>
      <c r="T55" s="11">
        <f t="shared" ca="1" si="16"/>
        <v>0</v>
      </c>
      <c r="U55" s="11">
        <f t="shared" ca="1" si="16"/>
        <v>-4</v>
      </c>
      <c r="V55" s="791">
        <f t="shared" ca="1" si="16"/>
        <v>0.16666666666666666</v>
      </c>
      <c r="W55" s="11">
        <f t="shared" ca="1" si="18"/>
        <v>-1</v>
      </c>
      <c r="X55" s="11"/>
      <c r="AA55" s="11">
        <v>53</v>
      </c>
      <c r="AB55" s="11" t="s">
        <v>154</v>
      </c>
      <c r="AC55" s="11">
        <v>-8</v>
      </c>
      <c r="AD55" s="791">
        <f t="shared" si="4"/>
        <v>0.33333333333333331</v>
      </c>
      <c r="AE55" s="11">
        <v>0</v>
      </c>
      <c r="AF55" s="11">
        <f t="shared" ca="1" si="19"/>
        <v>-4</v>
      </c>
      <c r="AG55" s="791">
        <f t="shared" ca="1" si="6"/>
        <v>0.16666666666666666</v>
      </c>
      <c r="AH55" s="11">
        <f t="shared" ca="1" si="20"/>
        <v>-1</v>
      </c>
      <c r="AI55" s="11"/>
    </row>
    <row r="56" spans="1:35">
      <c r="A56" s="710">
        <v>46199.958333333336</v>
      </c>
      <c r="C56" s="710">
        <f t="shared" ca="1" si="21"/>
        <v>46200.208333333336</v>
      </c>
      <c r="D56" s="710"/>
      <c r="E56" s="710"/>
      <c r="P56" s="11">
        <v>54</v>
      </c>
      <c r="Q56" s="11" t="s">
        <v>155</v>
      </c>
      <c r="R56" s="11">
        <f t="shared" ca="1" si="16"/>
        <v>-7</v>
      </c>
      <c r="S56" s="791">
        <f t="shared" ca="1" si="16"/>
        <v>0.29166666666666669</v>
      </c>
      <c r="T56" s="11">
        <f t="shared" ca="1" si="16"/>
        <v>0</v>
      </c>
      <c r="U56" s="11">
        <f t="shared" ca="1" si="16"/>
        <v>-3</v>
      </c>
      <c r="V56" s="791">
        <f t="shared" ca="1" si="16"/>
        <v>0.125</v>
      </c>
      <c r="W56" s="11">
        <f t="shared" ca="1" si="18"/>
        <v>-1</v>
      </c>
      <c r="X56" s="11"/>
      <c r="AA56" s="11">
        <v>54</v>
      </c>
      <c r="AB56" s="11" t="s">
        <v>155</v>
      </c>
      <c r="AC56" s="11">
        <v>-7</v>
      </c>
      <c r="AD56" s="791">
        <f t="shared" si="4"/>
        <v>0.29166666666666669</v>
      </c>
      <c r="AE56" s="11">
        <v>0</v>
      </c>
      <c r="AF56" s="11">
        <f t="shared" ca="1" si="19"/>
        <v>-3</v>
      </c>
      <c r="AG56" s="791">
        <f t="shared" ca="1" si="6"/>
        <v>0.125</v>
      </c>
      <c r="AH56" s="11">
        <f t="shared" ca="1" si="20"/>
        <v>-1</v>
      </c>
      <c r="AI56" s="11"/>
    </row>
    <row r="57" spans="1:35">
      <c r="A57" s="710">
        <v>46199.958333333336</v>
      </c>
      <c r="C57" s="710">
        <f t="shared" ca="1" si="21"/>
        <v>46200.208333333336</v>
      </c>
      <c r="D57" s="710"/>
      <c r="E57" s="710"/>
      <c r="P57" s="11">
        <v>55</v>
      </c>
      <c r="Q57" s="11" t="s">
        <v>156</v>
      </c>
      <c r="R57" s="11">
        <f t="shared" ca="1" si="16"/>
        <v>-6</v>
      </c>
      <c r="S57" s="791">
        <f t="shared" ca="1" si="16"/>
        <v>0.25</v>
      </c>
      <c r="T57" s="11">
        <f t="shared" ca="1" si="16"/>
        <v>0</v>
      </c>
      <c r="U57" s="11">
        <f t="shared" ca="1" si="16"/>
        <v>-2</v>
      </c>
      <c r="V57" s="791">
        <f t="shared" ca="1" si="16"/>
        <v>8.3333333333333329E-2</v>
      </c>
      <c r="W57" s="11">
        <f t="shared" ca="1" si="18"/>
        <v>-1</v>
      </c>
      <c r="X57" s="11"/>
      <c r="AA57" s="11">
        <v>55</v>
      </c>
      <c r="AB57" s="11" t="s">
        <v>156</v>
      </c>
      <c r="AC57" s="11">
        <v>-6</v>
      </c>
      <c r="AD57" s="791">
        <f t="shared" si="4"/>
        <v>0.25</v>
      </c>
      <c r="AE57" s="11">
        <v>0</v>
      </c>
      <c r="AF57" s="11">
        <f t="shared" ca="1" si="19"/>
        <v>-2</v>
      </c>
      <c r="AG57" s="791">
        <f t="shared" ca="1" si="6"/>
        <v>8.3333333333333329E-2</v>
      </c>
      <c r="AH57" s="11">
        <f t="shared" ca="1" si="20"/>
        <v>-1</v>
      </c>
      <c r="AI57" s="11"/>
    </row>
    <row r="58" spans="1:35">
      <c r="C58" s="710"/>
      <c r="E58" s="710"/>
      <c r="P58" s="11">
        <v>56</v>
      </c>
      <c r="Q58" s="11" t="s">
        <v>157</v>
      </c>
      <c r="R58" s="11">
        <f t="shared" ca="1" si="16"/>
        <v>-5</v>
      </c>
      <c r="S58" s="791">
        <f t="shared" ca="1" si="16"/>
        <v>0.20833333333333334</v>
      </c>
      <c r="T58" s="11">
        <f t="shared" ca="1" si="16"/>
        <v>0</v>
      </c>
      <c r="U58" s="11">
        <f t="shared" ca="1" si="16"/>
        <v>-1</v>
      </c>
      <c r="V58" s="791">
        <f t="shared" ca="1" si="16"/>
        <v>4.1666666666666664E-2</v>
      </c>
      <c r="W58" s="11">
        <f t="shared" ca="1" si="18"/>
        <v>-1</v>
      </c>
      <c r="X58" s="11"/>
      <c r="AA58" s="11">
        <v>56</v>
      </c>
      <c r="AB58" s="11" t="s">
        <v>157</v>
      </c>
      <c r="AC58" s="11">
        <v>-5</v>
      </c>
      <c r="AD58" s="791">
        <f t="shared" si="4"/>
        <v>0.20833333333333334</v>
      </c>
      <c r="AE58" s="11">
        <v>0</v>
      </c>
      <c r="AF58" s="11">
        <f t="shared" ca="1" si="19"/>
        <v>-1</v>
      </c>
      <c r="AG58" s="791">
        <f t="shared" ca="1" si="6"/>
        <v>4.1666666666666664E-2</v>
      </c>
      <c r="AH58" s="11">
        <f t="shared" ca="1" si="20"/>
        <v>-1</v>
      </c>
      <c r="AI58" s="11"/>
    </row>
    <row r="59" spans="1:35">
      <c r="A59" s="5" t="s">
        <v>485</v>
      </c>
      <c r="C59" s="710"/>
      <c r="E59" s="710"/>
      <c r="P59" s="11">
        <v>57</v>
      </c>
      <c r="Q59" s="11" t="s">
        <v>158</v>
      </c>
      <c r="R59" s="11">
        <f t="shared" ref="R59:S86" ca="1" si="22">+INDEX($AC$3:$AH$86,MATCH($Q59,$AB$3:$AB$86,0),MATCH(R$2,$AC$2:$AH$2,0))</f>
        <v>-4</v>
      </c>
      <c r="S59" s="791">
        <f t="shared" ca="1" si="22"/>
        <v>0.16666666666666666</v>
      </c>
      <c r="T59" s="11">
        <f t="shared" ref="T59:T86" ca="1" si="23">+INDEX($AC$3:$AH$86,MATCH($Q59,$AB$3:$AB$86,0),MATCH(T$2,$AC$2:$AH$2,0))</f>
        <v>0</v>
      </c>
      <c r="U59" s="11">
        <f t="shared" ref="U59:U86" ca="1" si="24">+INDEX($AC$3:$AH$86,MATCH($Q59,$AB$3:$AB$86,0),MATCH(U$2,$AC$2:$AH$2,0))</f>
        <v>0</v>
      </c>
      <c r="V59" s="791">
        <f t="shared" ref="V59:V86" ca="1" si="25">+INDEX($AC$3:$AH$86,MATCH($Q59,$AB$3:$AB$86,0),MATCH(V$2,$AC$2:$AH$2,0))</f>
        <v>0</v>
      </c>
      <c r="W59" s="11">
        <f t="shared" ca="1" si="18"/>
        <v>0</v>
      </c>
      <c r="X59" s="11"/>
      <c r="AA59" s="11">
        <v>57</v>
      </c>
      <c r="AB59" s="11" t="s">
        <v>158</v>
      </c>
      <c r="AC59" s="11">
        <v>-4</v>
      </c>
      <c r="AD59" s="791">
        <f t="shared" si="4"/>
        <v>0.16666666666666666</v>
      </c>
      <c r="AE59" s="11">
        <v>0</v>
      </c>
      <c r="AF59" s="11">
        <f t="shared" ca="1" si="19"/>
        <v>0</v>
      </c>
      <c r="AG59" s="791">
        <f t="shared" ca="1" si="6"/>
        <v>0</v>
      </c>
      <c r="AH59" s="11">
        <f t="shared" ca="1" si="20"/>
        <v>0</v>
      </c>
      <c r="AI59" s="11"/>
    </row>
    <row r="60" spans="1:35">
      <c r="A60" s="710">
        <v>46188.5</v>
      </c>
      <c r="C60" s="710">
        <f t="shared" ref="C60:C65" ca="1" si="26">A60+INDEX($V$3:$V$86,MATCH($C$3,$P$3:$P$86,0))*INDEX($W$3:$W$86,MATCH($C$3,$P$3:$P$86,0))</f>
        <v>46188.75</v>
      </c>
      <c r="D60" s="710"/>
      <c r="E60" s="710"/>
      <c r="P60" s="11">
        <v>58</v>
      </c>
      <c r="Q60" s="11" t="s">
        <v>365</v>
      </c>
      <c r="R60" s="11">
        <f t="shared" ca="1" si="22"/>
        <v>-3.5</v>
      </c>
      <c r="S60" s="791">
        <f t="shared" ca="1" si="22"/>
        <v>0.14583333333333334</v>
      </c>
      <c r="T60" s="11">
        <f t="shared" ca="1" si="23"/>
        <v>0</v>
      </c>
      <c r="U60" s="11">
        <f t="shared" ca="1" si="24"/>
        <v>0.5</v>
      </c>
      <c r="V60" s="791">
        <f t="shared" ca="1" si="25"/>
        <v>2.0833333333333332E-2</v>
      </c>
      <c r="W60" s="11">
        <f t="shared" ca="1" si="18"/>
        <v>1</v>
      </c>
      <c r="X60" s="11"/>
      <c r="AA60" s="11">
        <v>58</v>
      </c>
      <c r="AB60" s="11" t="s">
        <v>365</v>
      </c>
      <c r="AC60" s="11">
        <v>-3.5</v>
      </c>
      <c r="AD60" s="791">
        <f t="shared" si="4"/>
        <v>0.14583333333333334</v>
      </c>
      <c r="AE60" s="11">
        <v>0</v>
      </c>
      <c r="AF60" s="11">
        <f t="shared" ca="1" si="19"/>
        <v>0.5</v>
      </c>
      <c r="AG60" s="791">
        <f t="shared" ca="1" si="6"/>
        <v>2.0833333333333332E-2</v>
      </c>
      <c r="AH60" s="11">
        <f t="shared" ca="1" si="20"/>
        <v>1</v>
      </c>
      <c r="AI60" s="11"/>
    </row>
    <row r="61" spans="1:35">
      <c r="A61" s="710">
        <v>46188.75</v>
      </c>
      <c r="C61" s="710">
        <f t="shared" ca="1" si="26"/>
        <v>46189</v>
      </c>
      <c r="D61" s="710"/>
      <c r="E61" s="710"/>
      <c r="P61" s="11">
        <v>59</v>
      </c>
      <c r="Q61" s="11" t="s">
        <v>159</v>
      </c>
      <c r="R61" s="11">
        <f t="shared" ca="1" si="22"/>
        <v>-3</v>
      </c>
      <c r="S61" s="791">
        <f t="shared" ca="1" si="22"/>
        <v>0.125</v>
      </c>
      <c r="T61" s="11">
        <f t="shared" ca="1" si="23"/>
        <v>0</v>
      </c>
      <c r="U61" s="11">
        <f t="shared" ca="1" si="24"/>
        <v>1</v>
      </c>
      <c r="V61" s="791">
        <f t="shared" ca="1" si="25"/>
        <v>4.1666666666666664E-2</v>
      </c>
      <c r="W61" s="11">
        <f t="shared" ref="W61:W86" ca="1" si="27">IF(R61&gt;$M$2,1,IF(R61=$M$2,0,-1))</f>
        <v>1</v>
      </c>
      <c r="X61" s="11"/>
      <c r="AA61" s="11">
        <v>59</v>
      </c>
      <c r="AB61" s="11" t="s">
        <v>159</v>
      </c>
      <c r="AC61" s="11">
        <v>-3</v>
      </c>
      <c r="AD61" s="791">
        <f t="shared" si="4"/>
        <v>0.125</v>
      </c>
      <c r="AE61" s="11">
        <v>0</v>
      </c>
      <c r="AF61" s="11">
        <f t="shared" ref="AF61:AF86" ca="1" si="28">AC61-$M$2</f>
        <v>1</v>
      </c>
      <c r="AG61" s="791">
        <f t="shared" ca="1" si="6"/>
        <v>4.1666666666666664E-2</v>
      </c>
      <c r="AH61" s="11">
        <f t="shared" ref="AH61:AH86" ca="1" si="29">IF(AC61&gt;$M$2,1,IF(AC61=$M$2,0,-1))</f>
        <v>1</v>
      </c>
      <c r="AI61" s="11"/>
    </row>
    <row r="62" spans="1:35">
      <c r="A62" s="710">
        <v>46194.5</v>
      </c>
      <c r="C62" s="710">
        <f t="shared" ca="1" si="26"/>
        <v>46194.75</v>
      </c>
      <c r="D62" s="710"/>
      <c r="E62" s="710"/>
      <c r="P62" s="11">
        <v>60</v>
      </c>
      <c r="Q62" s="11" t="s">
        <v>160</v>
      </c>
      <c r="R62" s="11">
        <f t="shared" ca="1" si="22"/>
        <v>-2</v>
      </c>
      <c r="S62" s="791">
        <f t="shared" ca="1" si="22"/>
        <v>8.3333333333333329E-2</v>
      </c>
      <c r="T62" s="11">
        <f t="shared" ca="1" si="23"/>
        <v>0</v>
      </c>
      <c r="U62" s="11">
        <f t="shared" ca="1" si="24"/>
        <v>2</v>
      </c>
      <c r="V62" s="791">
        <f t="shared" ca="1" si="25"/>
        <v>8.3333333333333329E-2</v>
      </c>
      <c r="W62" s="11">
        <f t="shared" ca="1" si="27"/>
        <v>1</v>
      </c>
      <c r="X62" s="11"/>
      <c r="AA62" s="11">
        <v>60</v>
      </c>
      <c r="AB62" s="11" t="s">
        <v>160</v>
      </c>
      <c r="AC62" s="11">
        <v>-2</v>
      </c>
      <c r="AD62" s="791">
        <f t="shared" si="4"/>
        <v>8.3333333333333329E-2</v>
      </c>
      <c r="AE62" s="11">
        <v>0</v>
      </c>
      <c r="AF62" s="11">
        <f t="shared" ca="1" si="28"/>
        <v>2</v>
      </c>
      <c r="AG62" s="791">
        <f t="shared" ca="1" si="6"/>
        <v>8.3333333333333329E-2</v>
      </c>
      <c r="AH62" s="11">
        <f t="shared" ca="1" si="29"/>
        <v>1</v>
      </c>
      <c r="AI62" s="11"/>
    </row>
    <row r="63" spans="1:35">
      <c r="A63" s="710">
        <v>46194.75</v>
      </c>
      <c r="C63" s="710">
        <f t="shared" ca="1" si="26"/>
        <v>46195</v>
      </c>
      <c r="D63" s="710"/>
      <c r="E63" s="710"/>
      <c r="P63" s="11">
        <v>61</v>
      </c>
      <c r="Q63" s="11" t="s">
        <v>161</v>
      </c>
      <c r="R63" s="11">
        <f t="shared" ca="1" si="22"/>
        <v>-1</v>
      </c>
      <c r="S63" s="791">
        <f t="shared" ca="1" si="22"/>
        <v>4.1666666666666664E-2</v>
      </c>
      <c r="T63" s="11">
        <f t="shared" ca="1" si="23"/>
        <v>0</v>
      </c>
      <c r="U63" s="11">
        <f t="shared" ca="1" si="24"/>
        <v>3</v>
      </c>
      <c r="V63" s="791">
        <f t="shared" ca="1" si="25"/>
        <v>0.125</v>
      </c>
      <c r="W63" s="11">
        <f t="shared" ca="1" si="27"/>
        <v>1</v>
      </c>
      <c r="X63" s="11"/>
      <c r="AA63" s="11">
        <v>61</v>
      </c>
      <c r="AB63" s="11" t="s">
        <v>161</v>
      </c>
      <c r="AC63" s="11">
        <v>-1</v>
      </c>
      <c r="AD63" s="791">
        <f t="shared" si="4"/>
        <v>4.1666666666666664E-2</v>
      </c>
      <c r="AE63" s="11">
        <v>0</v>
      </c>
      <c r="AF63" s="11">
        <f t="shared" ca="1" si="28"/>
        <v>3</v>
      </c>
      <c r="AG63" s="791">
        <f t="shared" ca="1" si="6"/>
        <v>0.125</v>
      </c>
      <c r="AH63" s="11">
        <f t="shared" ca="1" si="29"/>
        <v>1</v>
      </c>
      <c r="AI63" s="11"/>
    </row>
    <row r="64" spans="1:35">
      <c r="A64" s="710">
        <v>46199.833333333336</v>
      </c>
      <c r="C64" s="710">
        <f t="shared" ca="1" si="26"/>
        <v>46200.083333333336</v>
      </c>
      <c r="D64" s="710"/>
      <c r="E64" s="710"/>
      <c r="P64" s="11">
        <v>62</v>
      </c>
      <c r="Q64" s="11" t="s">
        <v>149</v>
      </c>
      <c r="R64" s="11">
        <f t="shared" ca="1" si="22"/>
        <v>0</v>
      </c>
      <c r="S64" s="791">
        <f t="shared" ca="1" si="22"/>
        <v>0</v>
      </c>
      <c r="T64" s="11">
        <f t="shared" ca="1" si="23"/>
        <v>0</v>
      </c>
      <c r="U64" s="11">
        <f t="shared" ca="1" si="24"/>
        <v>4</v>
      </c>
      <c r="V64" s="791">
        <f t="shared" ca="1" si="25"/>
        <v>0.16666666666666666</v>
      </c>
      <c r="W64" s="11">
        <f t="shared" ca="1" si="27"/>
        <v>1</v>
      </c>
      <c r="X64" s="11"/>
      <c r="AA64" s="11">
        <v>62</v>
      </c>
      <c r="AB64" s="11" t="s">
        <v>149</v>
      </c>
      <c r="AC64" s="11">
        <v>0</v>
      </c>
      <c r="AD64" s="791">
        <f t="shared" si="4"/>
        <v>0</v>
      </c>
      <c r="AE64" s="11">
        <v>0</v>
      </c>
      <c r="AF64" s="11">
        <f t="shared" ca="1" si="28"/>
        <v>4</v>
      </c>
      <c r="AG64" s="791">
        <f t="shared" ca="1" si="6"/>
        <v>0.16666666666666666</v>
      </c>
      <c r="AH64" s="11">
        <f t="shared" ca="1" si="29"/>
        <v>1</v>
      </c>
      <c r="AI64" s="11"/>
    </row>
    <row r="65" spans="1:35">
      <c r="A65" s="710">
        <v>46199.833333333336</v>
      </c>
      <c r="C65" s="710">
        <f t="shared" ca="1" si="26"/>
        <v>46200.083333333336</v>
      </c>
      <c r="D65" s="710"/>
      <c r="E65" s="710"/>
      <c r="P65" s="11">
        <v>63</v>
      </c>
      <c r="Q65" s="11" t="s">
        <v>162</v>
      </c>
      <c r="R65" s="11">
        <f t="shared" ca="1" si="22"/>
        <v>1</v>
      </c>
      <c r="S65" s="791">
        <f t="shared" ca="1" si="22"/>
        <v>4.1666666666666664E-2</v>
      </c>
      <c r="T65" s="11">
        <f t="shared" ca="1" si="23"/>
        <v>0</v>
      </c>
      <c r="U65" s="11">
        <f t="shared" ca="1" si="24"/>
        <v>5</v>
      </c>
      <c r="V65" s="791">
        <f t="shared" ca="1" si="25"/>
        <v>0.20833333333333334</v>
      </c>
      <c r="W65" s="11">
        <f t="shared" ca="1" si="27"/>
        <v>1</v>
      </c>
      <c r="X65" s="11"/>
      <c r="AA65" s="11">
        <v>63</v>
      </c>
      <c r="AB65" s="11" t="s">
        <v>162</v>
      </c>
      <c r="AC65" s="11">
        <v>1</v>
      </c>
      <c r="AD65" s="791">
        <f t="shared" si="4"/>
        <v>4.1666666666666664E-2</v>
      </c>
      <c r="AE65" s="11">
        <v>0</v>
      </c>
      <c r="AF65" s="11">
        <f t="shared" ca="1" si="28"/>
        <v>5</v>
      </c>
      <c r="AG65" s="791">
        <f t="shared" ca="1" si="6"/>
        <v>0.20833333333333334</v>
      </c>
      <c r="AH65" s="11">
        <f t="shared" ca="1" si="29"/>
        <v>1</v>
      </c>
      <c r="AI65" s="11"/>
    </row>
    <row r="66" spans="1:35">
      <c r="C66" s="710"/>
      <c r="E66" s="710"/>
      <c r="P66" s="11">
        <v>64</v>
      </c>
      <c r="Q66" s="11" t="s">
        <v>163</v>
      </c>
      <c r="R66" s="11">
        <f t="shared" ca="1" si="22"/>
        <v>2</v>
      </c>
      <c r="S66" s="791">
        <f t="shared" ca="1" si="22"/>
        <v>8.3333333333333329E-2</v>
      </c>
      <c r="T66" s="11">
        <f t="shared" ca="1" si="23"/>
        <v>0</v>
      </c>
      <c r="U66" s="11">
        <f t="shared" ca="1" si="24"/>
        <v>6</v>
      </c>
      <c r="V66" s="791">
        <f t="shared" ca="1" si="25"/>
        <v>0.25</v>
      </c>
      <c r="W66" s="11">
        <f t="shared" ca="1" si="27"/>
        <v>1</v>
      </c>
      <c r="X66" s="11"/>
      <c r="AA66" s="11">
        <v>64</v>
      </c>
      <c r="AB66" s="11" t="s">
        <v>163</v>
      </c>
      <c r="AC66" s="11">
        <v>2</v>
      </c>
      <c r="AD66" s="791">
        <f t="shared" si="4"/>
        <v>8.3333333333333329E-2</v>
      </c>
      <c r="AE66" s="11">
        <v>0</v>
      </c>
      <c r="AF66" s="11">
        <f t="shared" ca="1" si="28"/>
        <v>6</v>
      </c>
      <c r="AG66" s="791">
        <f t="shared" ca="1" si="6"/>
        <v>0.25</v>
      </c>
      <c r="AH66" s="11">
        <f t="shared" ca="1" si="29"/>
        <v>1</v>
      </c>
      <c r="AI66" s="11"/>
    </row>
    <row r="67" spans="1:35">
      <c r="A67" s="5" t="s">
        <v>486</v>
      </c>
      <c r="C67" s="710"/>
      <c r="E67" s="710"/>
      <c r="P67" s="11">
        <v>65</v>
      </c>
      <c r="Q67" s="11" t="s">
        <v>164</v>
      </c>
      <c r="R67" s="11">
        <f t="shared" ca="1" si="22"/>
        <v>3</v>
      </c>
      <c r="S67" s="791">
        <f t="shared" ca="1" si="22"/>
        <v>0.125</v>
      </c>
      <c r="T67" s="11">
        <f t="shared" ca="1" si="23"/>
        <v>0</v>
      </c>
      <c r="U67" s="11">
        <f t="shared" ca="1" si="24"/>
        <v>7</v>
      </c>
      <c r="V67" s="791">
        <f t="shared" ca="1" si="25"/>
        <v>0.29166666666666669</v>
      </c>
      <c r="W67" s="11">
        <f t="shared" ca="1" si="27"/>
        <v>1</v>
      </c>
      <c r="X67" s="11"/>
      <c r="AA67" s="11">
        <v>65</v>
      </c>
      <c r="AB67" s="11" t="s">
        <v>164</v>
      </c>
      <c r="AC67" s="11">
        <v>3</v>
      </c>
      <c r="AD67" s="791">
        <f t="shared" si="4"/>
        <v>0.125</v>
      </c>
      <c r="AE67" s="11">
        <v>0</v>
      </c>
      <c r="AF67" s="11">
        <f t="shared" ca="1" si="28"/>
        <v>7</v>
      </c>
      <c r="AG67" s="791">
        <f t="shared" ca="1" si="6"/>
        <v>0.29166666666666669</v>
      </c>
      <c r="AH67" s="11">
        <f t="shared" ca="1" si="29"/>
        <v>1</v>
      </c>
      <c r="AI67" s="11"/>
    </row>
    <row r="68" spans="1:35">
      <c r="A68" s="710">
        <v>46189.625</v>
      </c>
      <c r="C68" s="710">
        <f t="shared" ref="C68:C73" ca="1" si="30">A68+INDEX($V$3:$V$86,MATCH($C$3,$P$3:$P$86,0))*INDEX($W$3:$W$86,MATCH($C$3,$P$3:$P$86,0))</f>
        <v>46189.875</v>
      </c>
      <c r="D68" s="710"/>
      <c r="E68" s="710"/>
      <c r="P68" s="11">
        <v>66</v>
      </c>
      <c r="Q68" s="11" t="s">
        <v>355</v>
      </c>
      <c r="R68" s="11">
        <f t="shared" ca="1" si="22"/>
        <v>3.5</v>
      </c>
      <c r="S68" s="791">
        <f t="shared" ca="1" si="22"/>
        <v>0.14583333333333334</v>
      </c>
      <c r="T68" s="11">
        <f t="shared" ca="1" si="23"/>
        <v>0</v>
      </c>
      <c r="U68" s="11">
        <f t="shared" ca="1" si="24"/>
        <v>7.5</v>
      </c>
      <c r="V68" s="791">
        <f t="shared" ca="1" si="25"/>
        <v>0.3125</v>
      </c>
      <c r="W68" s="11">
        <f t="shared" ca="1" si="27"/>
        <v>1</v>
      </c>
      <c r="X68" s="11"/>
      <c r="AA68" s="11">
        <v>66</v>
      </c>
      <c r="AB68" s="11" t="s">
        <v>355</v>
      </c>
      <c r="AC68" s="11">
        <v>3.5</v>
      </c>
      <c r="AD68" s="791">
        <f t="shared" ref="AD68:AD86" si="31">ABS(AC68/24)</f>
        <v>0.14583333333333334</v>
      </c>
      <c r="AE68" s="11">
        <v>0</v>
      </c>
      <c r="AF68" s="11">
        <f t="shared" ca="1" si="28"/>
        <v>7.5</v>
      </c>
      <c r="AG68" s="791">
        <f t="shared" ref="AG68:AG86" ca="1" si="32">ABS(AF68/24)</f>
        <v>0.3125</v>
      </c>
      <c r="AH68" s="11">
        <f t="shared" ca="1" si="29"/>
        <v>1</v>
      </c>
      <c r="AI68" s="11"/>
    </row>
    <row r="69" spans="1:35">
      <c r="A69" s="710">
        <v>46189.75</v>
      </c>
      <c r="C69" s="710">
        <f t="shared" ca="1" si="30"/>
        <v>46190</v>
      </c>
      <c r="D69" s="710"/>
      <c r="E69" s="710"/>
      <c r="P69" s="11">
        <v>67</v>
      </c>
      <c r="Q69" s="11" t="s">
        <v>165</v>
      </c>
      <c r="R69" s="11">
        <f t="shared" ca="1" si="22"/>
        <v>4</v>
      </c>
      <c r="S69" s="791">
        <f t="shared" ca="1" si="22"/>
        <v>0.16666666666666666</v>
      </c>
      <c r="T69" s="11">
        <f t="shared" ca="1" si="23"/>
        <v>0</v>
      </c>
      <c r="U69" s="11">
        <f t="shared" ca="1" si="24"/>
        <v>8</v>
      </c>
      <c r="V69" s="791">
        <f t="shared" ca="1" si="25"/>
        <v>0.33333333333333331</v>
      </c>
      <c r="W69" s="11">
        <f t="shared" ca="1" si="27"/>
        <v>1</v>
      </c>
      <c r="X69" s="11"/>
      <c r="AA69" s="11">
        <v>67</v>
      </c>
      <c r="AB69" s="11" t="s">
        <v>165</v>
      </c>
      <c r="AC69" s="11">
        <v>4</v>
      </c>
      <c r="AD69" s="791">
        <f t="shared" si="31"/>
        <v>0.16666666666666666</v>
      </c>
      <c r="AE69" s="11">
        <v>0</v>
      </c>
      <c r="AF69" s="11">
        <f t="shared" ca="1" si="28"/>
        <v>8</v>
      </c>
      <c r="AG69" s="791">
        <f t="shared" ca="1" si="32"/>
        <v>0.33333333333333331</v>
      </c>
      <c r="AH69" s="11">
        <f t="shared" ca="1" si="29"/>
        <v>1</v>
      </c>
      <c r="AI69" s="11"/>
    </row>
    <row r="70" spans="1:35">
      <c r="A70" s="710">
        <v>46195.708333333336</v>
      </c>
      <c r="C70" s="710">
        <f t="shared" ca="1" si="30"/>
        <v>46195.958333333336</v>
      </c>
      <c r="D70" s="710"/>
      <c r="E70" s="710"/>
      <c r="P70" s="11">
        <v>68</v>
      </c>
      <c r="Q70" s="11" t="s">
        <v>356</v>
      </c>
      <c r="R70" s="11">
        <f t="shared" ca="1" si="22"/>
        <v>4.5</v>
      </c>
      <c r="S70" s="791">
        <f t="shared" ca="1" si="22"/>
        <v>0.1875</v>
      </c>
      <c r="T70" s="11">
        <f t="shared" ca="1" si="23"/>
        <v>0</v>
      </c>
      <c r="U70" s="11">
        <f t="shared" ca="1" si="24"/>
        <v>8.5</v>
      </c>
      <c r="V70" s="791">
        <f t="shared" ca="1" si="25"/>
        <v>0.35416666666666669</v>
      </c>
      <c r="W70" s="11">
        <f t="shared" ca="1" si="27"/>
        <v>1</v>
      </c>
      <c r="X70" s="11"/>
      <c r="AA70" s="11">
        <v>68</v>
      </c>
      <c r="AB70" s="11" t="s">
        <v>356</v>
      </c>
      <c r="AC70" s="11">
        <v>4.5</v>
      </c>
      <c r="AD70" s="791">
        <f t="shared" si="31"/>
        <v>0.1875</v>
      </c>
      <c r="AE70" s="11">
        <v>0</v>
      </c>
      <c r="AF70" s="11">
        <f t="shared" ca="1" si="28"/>
        <v>8.5</v>
      </c>
      <c r="AG70" s="791">
        <f t="shared" ca="1" si="32"/>
        <v>0.35416666666666669</v>
      </c>
      <c r="AH70" s="11">
        <f t="shared" ca="1" si="29"/>
        <v>1</v>
      </c>
      <c r="AI70" s="11"/>
    </row>
    <row r="71" spans="1:35">
      <c r="A71" s="710">
        <v>46195.833333333336</v>
      </c>
      <c r="C71" s="710">
        <f t="shared" ca="1" si="30"/>
        <v>46196.083333333336</v>
      </c>
      <c r="D71" s="710"/>
      <c r="E71" s="710"/>
      <c r="P71" s="11">
        <v>69</v>
      </c>
      <c r="Q71" s="11" t="s">
        <v>166</v>
      </c>
      <c r="R71" s="11">
        <f t="shared" ca="1" si="22"/>
        <v>5</v>
      </c>
      <c r="S71" s="791">
        <f t="shared" ca="1" si="22"/>
        <v>0.20833333333333334</v>
      </c>
      <c r="T71" s="11">
        <f t="shared" ca="1" si="23"/>
        <v>0</v>
      </c>
      <c r="U71" s="11">
        <f t="shared" ca="1" si="24"/>
        <v>9</v>
      </c>
      <c r="V71" s="791">
        <f t="shared" ca="1" si="25"/>
        <v>0.375</v>
      </c>
      <c r="W71" s="11">
        <f t="shared" ca="1" si="27"/>
        <v>1</v>
      </c>
      <c r="X71" s="11"/>
      <c r="AA71" s="11">
        <v>69</v>
      </c>
      <c r="AB71" s="11" t="s">
        <v>166</v>
      </c>
      <c r="AC71" s="11">
        <v>5</v>
      </c>
      <c r="AD71" s="791">
        <f t="shared" si="31"/>
        <v>0.20833333333333334</v>
      </c>
      <c r="AE71" s="11">
        <v>0</v>
      </c>
      <c r="AF71" s="11">
        <f t="shared" ca="1" si="28"/>
        <v>9</v>
      </c>
      <c r="AG71" s="791">
        <f t="shared" ca="1" si="32"/>
        <v>0.375</v>
      </c>
      <c r="AH71" s="11">
        <f t="shared" ca="1" si="29"/>
        <v>1</v>
      </c>
      <c r="AI71" s="11"/>
    </row>
    <row r="72" spans="1:35">
      <c r="A72" s="710">
        <v>46199.625</v>
      </c>
      <c r="C72" s="710">
        <f t="shared" ca="1" si="30"/>
        <v>46199.875</v>
      </c>
      <c r="D72" s="710"/>
      <c r="E72" s="710"/>
      <c r="P72" s="11">
        <v>70</v>
      </c>
      <c r="Q72" s="11" t="s">
        <v>357</v>
      </c>
      <c r="R72" s="11">
        <f t="shared" ca="1" si="22"/>
        <v>5.5</v>
      </c>
      <c r="S72" s="791">
        <f t="shared" ca="1" si="22"/>
        <v>0.22916666666666666</v>
      </c>
      <c r="T72" s="11">
        <f t="shared" ca="1" si="23"/>
        <v>0</v>
      </c>
      <c r="U72" s="11">
        <f t="shared" ca="1" si="24"/>
        <v>9.5</v>
      </c>
      <c r="V72" s="791">
        <f t="shared" ca="1" si="25"/>
        <v>0.39583333333333331</v>
      </c>
      <c r="W72" s="11">
        <f t="shared" ca="1" si="27"/>
        <v>1</v>
      </c>
      <c r="X72" s="11"/>
      <c r="AA72" s="11">
        <v>70</v>
      </c>
      <c r="AB72" s="11" t="s">
        <v>357</v>
      </c>
      <c r="AC72" s="11">
        <v>5.5</v>
      </c>
      <c r="AD72" s="791">
        <f t="shared" si="31"/>
        <v>0.22916666666666666</v>
      </c>
      <c r="AE72" s="11">
        <v>0</v>
      </c>
      <c r="AF72" s="11">
        <f t="shared" ca="1" si="28"/>
        <v>9.5</v>
      </c>
      <c r="AG72" s="791">
        <f t="shared" ca="1" si="32"/>
        <v>0.39583333333333331</v>
      </c>
      <c r="AH72" s="11">
        <f t="shared" ca="1" si="29"/>
        <v>1</v>
      </c>
      <c r="AI72" s="11"/>
    </row>
    <row r="73" spans="1:35">
      <c r="A73" s="710">
        <v>46199.625</v>
      </c>
      <c r="C73" s="710">
        <f t="shared" ca="1" si="30"/>
        <v>46199.875</v>
      </c>
      <c r="D73" s="710"/>
      <c r="E73" s="710"/>
      <c r="P73" s="11">
        <v>71</v>
      </c>
      <c r="Q73" s="11" t="s">
        <v>358</v>
      </c>
      <c r="R73" s="11">
        <f t="shared" ca="1" si="22"/>
        <v>5.75</v>
      </c>
      <c r="S73" s="791">
        <f t="shared" ca="1" si="22"/>
        <v>0.23958333333333334</v>
      </c>
      <c r="T73" s="11">
        <f t="shared" ca="1" si="23"/>
        <v>0</v>
      </c>
      <c r="U73" s="11">
        <f t="shared" ca="1" si="24"/>
        <v>9.75</v>
      </c>
      <c r="V73" s="791">
        <f t="shared" ca="1" si="25"/>
        <v>0.40625</v>
      </c>
      <c r="W73" s="11">
        <f t="shared" ca="1" si="27"/>
        <v>1</v>
      </c>
      <c r="X73" s="11"/>
      <c r="AA73" s="11">
        <v>71</v>
      </c>
      <c r="AB73" s="11" t="s">
        <v>358</v>
      </c>
      <c r="AC73" s="11">
        <v>5.75</v>
      </c>
      <c r="AD73" s="791">
        <f t="shared" si="31"/>
        <v>0.23958333333333334</v>
      </c>
      <c r="AE73" s="11">
        <v>0</v>
      </c>
      <c r="AF73" s="11">
        <f t="shared" ca="1" si="28"/>
        <v>9.75</v>
      </c>
      <c r="AG73" s="791">
        <f t="shared" ca="1" si="32"/>
        <v>0.40625</v>
      </c>
      <c r="AH73" s="11">
        <f t="shared" ca="1" si="29"/>
        <v>1</v>
      </c>
      <c r="AI73" s="11"/>
    </row>
    <row r="74" spans="1:35">
      <c r="C74" s="710"/>
      <c r="E74" s="710"/>
      <c r="P74" s="11">
        <v>72</v>
      </c>
      <c r="Q74" s="11" t="s">
        <v>167</v>
      </c>
      <c r="R74" s="11">
        <f t="shared" ca="1" si="22"/>
        <v>6</v>
      </c>
      <c r="S74" s="791">
        <f t="shared" ca="1" si="22"/>
        <v>0.25</v>
      </c>
      <c r="T74" s="11">
        <f t="shared" ca="1" si="23"/>
        <v>0</v>
      </c>
      <c r="U74" s="11">
        <f t="shared" ca="1" si="24"/>
        <v>10</v>
      </c>
      <c r="V74" s="791">
        <f t="shared" ca="1" si="25"/>
        <v>0.41666666666666669</v>
      </c>
      <c r="W74" s="11">
        <f t="shared" ca="1" si="27"/>
        <v>1</v>
      </c>
      <c r="X74" s="11"/>
      <c r="AA74" s="11">
        <v>72</v>
      </c>
      <c r="AB74" s="11" t="s">
        <v>167</v>
      </c>
      <c r="AC74" s="11">
        <v>6</v>
      </c>
      <c r="AD74" s="791">
        <f t="shared" si="31"/>
        <v>0.25</v>
      </c>
      <c r="AE74" s="11">
        <v>0</v>
      </c>
      <c r="AF74" s="11">
        <f t="shared" ca="1" si="28"/>
        <v>10</v>
      </c>
      <c r="AG74" s="791">
        <f t="shared" ca="1" si="32"/>
        <v>0.41666666666666669</v>
      </c>
      <c r="AH74" s="11">
        <f t="shared" ca="1" si="29"/>
        <v>1</v>
      </c>
      <c r="AI74" s="11"/>
    </row>
    <row r="75" spans="1:35">
      <c r="A75" s="5" t="s">
        <v>487</v>
      </c>
      <c r="C75" s="710"/>
      <c r="E75" s="710"/>
      <c r="P75" s="11">
        <v>73</v>
      </c>
      <c r="Q75" s="11" t="s">
        <v>359</v>
      </c>
      <c r="R75" s="11">
        <f t="shared" ca="1" si="22"/>
        <v>6.5</v>
      </c>
      <c r="S75" s="791">
        <f t="shared" ca="1" si="22"/>
        <v>0.27083333333333331</v>
      </c>
      <c r="T75" s="11">
        <f t="shared" ca="1" si="23"/>
        <v>0</v>
      </c>
      <c r="U75" s="11">
        <f t="shared" ca="1" si="24"/>
        <v>10.5</v>
      </c>
      <c r="V75" s="791">
        <f t="shared" ca="1" si="25"/>
        <v>0.4375</v>
      </c>
      <c r="W75" s="11">
        <f t="shared" ca="1" si="27"/>
        <v>1</v>
      </c>
      <c r="X75" s="11"/>
      <c r="AA75" s="11">
        <v>73</v>
      </c>
      <c r="AB75" s="11" t="s">
        <v>359</v>
      </c>
      <c r="AC75" s="11">
        <v>6.5</v>
      </c>
      <c r="AD75" s="791">
        <f t="shared" si="31"/>
        <v>0.27083333333333331</v>
      </c>
      <c r="AE75" s="11">
        <v>0</v>
      </c>
      <c r="AF75" s="11">
        <f t="shared" ca="1" si="28"/>
        <v>10.5</v>
      </c>
      <c r="AG75" s="791">
        <f t="shared" ca="1" si="32"/>
        <v>0.4375</v>
      </c>
      <c r="AH75" s="11">
        <f t="shared" ca="1" si="29"/>
        <v>1</v>
      </c>
      <c r="AI75" s="11"/>
    </row>
    <row r="76" spans="1:35">
      <c r="A76" s="710">
        <v>46189.875</v>
      </c>
      <c r="C76" s="710">
        <f t="shared" ref="C76:C81" ca="1" si="33">A76+INDEX($V$3:$V$86,MATCH($C$3,$P$3:$P$86,0))*INDEX($W$3:$W$86,MATCH($C$3,$P$3:$P$86,0))</f>
        <v>46190.125</v>
      </c>
      <c r="D76" s="710"/>
      <c r="E76" s="710"/>
      <c r="P76" s="11">
        <v>74</v>
      </c>
      <c r="Q76" s="11" t="s">
        <v>168</v>
      </c>
      <c r="R76" s="11">
        <f t="shared" ca="1" si="22"/>
        <v>7</v>
      </c>
      <c r="S76" s="791">
        <f t="shared" ca="1" si="22"/>
        <v>0.29166666666666669</v>
      </c>
      <c r="T76" s="11">
        <f t="shared" ca="1" si="23"/>
        <v>0</v>
      </c>
      <c r="U76" s="11">
        <f t="shared" ca="1" si="24"/>
        <v>11</v>
      </c>
      <c r="V76" s="791">
        <f t="shared" ca="1" si="25"/>
        <v>0.45833333333333331</v>
      </c>
      <c r="W76" s="11">
        <f t="shared" ca="1" si="27"/>
        <v>1</v>
      </c>
      <c r="X76" s="11"/>
      <c r="AA76" s="11">
        <v>74</v>
      </c>
      <c r="AB76" s="11" t="s">
        <v>168</v>
      </c>
      <c r="AC76" s="11">
        <v>7</v>
      </c>
      <c r="AD76" s="791">
        <f t="shared" si="31"/>
        <v>0.29166666666666669</v>
      </c>
      <c r="AE76" s="11">
        <v>0</v>
      </c>
      <c r="AF76" s="11">
        <f t="shared" ca="1" si="28"/>
        <v>11</v>
      </c>
      <c r="AG76" s="791">
        <f t="shared" ca="1" si="32"/>
        <v>0.45833333333333331</v>
      </c>
      <c r="AH76" s="11">
        <f t="shared" ca="1" si="29"/>
        <v>1</v>
      </c>
      <c r="AI76" s="11"/>
    </row>
    <row r="77" spans="1:35">
      <c r="A77" s="710">
        <v>46190</v>
      </c>
      <c r="C77" s="710">
        <f t="shared" ca="1" si="33"/>
        <v>46190.25</v>
      </c>
      <c r="D77" s="710"/>
      <c r="E77" s="710"/>
      <c r="P77" s="11">
        <v>75</v>
      </c>
      <c r="Q77" s="11" t="s">
        <v>169</v>
      </c>
      <c r="R77" s="11">
        <f t="shared" ca="1" si="22"/>
        <v>8</v>
      </c>
      <c r="S77" s="791">
        <f t="shared" ca="1" si="22"/>
        <v>0.33333333333333331</v>
      </c>
      <c r="T77" s="11">
        <f t="shared" ca="1" si="23"/>
        <v>0</v>
      </c>
      <c r="U77" s="11">
        <f t="shared" ca="1" si="24"/>
        <v>12</v>
      </c>
      <c r="V77" s="791">
        <f t="shared" ca="1" si="25"/>
        <v>0.5</v>
      </c>
      <c r="W77" s="11">
        <f t="shared" ca="1" si="27"/>
        <v>1</v>
      </c>
      <c r="X77" s="11"/>
      <c r="AA77" s="11">
        <v>75</v>
      </c>
      <c r="AB77" s="11" t="s">
        <v>169</v>
      </c>
      <c r="AC77" s="11">
        <v>8</v>
      </c>
      <c r="AD77" s="791">
        <f t="shared" si="31"/>
        <v>0.33333333333333331</v>
      </c>
      <c r="AE77" s="11">
        <v>0</v>
      </c>
      <c r="AF77" s="11">
        <f t="shared" ca="1" si="28"/>
        <v>12</v>
      </c>
      <c r="AG77" s="791">
        <f t="shared" ca="1" si="32"/>
        <v>0.5</v>
      </c>
      <c r="AH77" s="11">
        <f t="shared" ca="1" si="29"/>
        <v>1</v>
      </c>
      <c r="AI77" s="11"/>
    </row>
    <row r="78" spans="1:35">
      <c r="A78" s="710">
        <v>46195.541666666664</v>
      </c>
      <c r="C78" s="710">
        <f t="shared" ca="1" si="33"/>
        <v>46195.791666666664</v>
      </c>
      <c r="D78" s="710"/>
      <c r="E78" s="710"/>
      <c r="P78" s="11">
        <v>76</v>
      </c>
      <c r="Q78" s="11" t="s">
        <v>170</v>
      </c>
      <c r="R78" s="11">
        <f t="shared" ca="1" si="22"/>
        <v>9</v>
      </c>
      <c r="S78" s="791">
        <f t="shared" ca="1" si="22"/>
        <v>0.375</v>
      </c>
      <c r="T78" s="11">
        <f t="shared" ca="1" si="23"/>
        <v>0</v>
      </c>
      <c r="U78" s="11">
        <f t="shared" ca="1" si="24"/>
        <v>13</v>
      </c>
      <c r="V78" s="791">
        <f t="shared" ca="1" si="25"/>
        <v>0.54166666666666663</v>
      </c>
      <c r="W78" s="11">
        <f t="shared" ca="1" si="27"/>
        <v>1</v>
      </c>
      <c r="X78" s="11"/>
      <c r="AA78" s="11">
        <v>76</v>
      </c>
      <c r="AB78" s="11" t="s">
        <v>170</v>
      </c>
      <c r="AC78" s="11">
        <v>9</v>
      </c>
      <c r="AD78" s="791">
        <f t="shared" si="31"/>
        <v>0.375</v>
      </c>
      <c r="AE78" s="11">
        <v>0</v>
      </c>
      <c r="AF78" s="11">
        <f t="shared" ca="1" si="28"/>
        <v>13</v>
      </c>
      <c r="AG78" s="791">
        <f t="shared" ca="1" si="32"/>
        <v>0.54166666666666663</v>
      </c>
      <c r="AH78" s="11">
        <f t="shared" ca="1" si="29"/>
        <v>1</v>
      </c>
      <c r="AI78" s="11"/>
    </row>
    <row r="79" spans="1:35">
      <c r="A79" s="710">
        <v>46195.958333333336</v>
      </c>
      <c r="C79" s="710">
        <f t="shared" ca="1" si="33"/>
        <v>46196.208333333336</v>
      </c>
      <c r="D79" s="710"/>
      <c r="E79" s="710"/>
      <c r="P79" s="11">
        <v>77</v>
      </c>
      <c r="Q79" s="11" t="s">
        <v>360</v>
      </c>
      <c r="R79" s="11">
        <f t="shared" ca="1" si="22"/>
        <v>9.5</v>
      </c>
      <c r="S79" s="791">
        <f t="shared" ca="1" si="22"/>
        <v>0.39583333333333331</v>
      </c>
      <c r="T79" s="11">
        <f t="shared" ca="1" si="23"/>
        <v>0</v>
      </c>
      <c r="U79" s="11">
        <f t="shared" ca="1" si="24"/>
        <v>13.5</v>
      </c>
      <c r="V79" s="791">
        <f t="shared" ca="1" si="25"/>
        <v>0.5625</v>
      </c>
      <c r="W79" s="11">
        <f t="shared" ca="1" si="27"/>
        <v>1</v>
      </c>
      <c r="X79" s="11"/>
      <c r="AA79" s="11">
        <v>77</v>
      </c>
      <c r="AB79" s="11" t="s">
        <v>360</v>
      </c>
      <c r="AC79" s="11">
        <v>9.5</v>
      </c>
      <c r="AD79" s="791">
        <f t="shared" si="31"/>
        <v>0.39583333333333331</v>
      </c>
      <c r="AE79" s="11">
        <v>0</v>
      </c>
      <c r="AF79" s="11">
        <f t="shared" ca="1" si="28"/>
        <v>13.5</v>
      </c>
      <c r="AG79" s="791">
        <f t="shared" ca="1" si="32"/>
        <v>0.5625</v>
      </c>
      <c r="AH79" s="11">
        <f t="shared" ca="1" si="29"/>
        <v>1</v>
      </c>
      <c r="AI79" s="11"/>
    </row>
    <row r="80" spans="1:35">
      <c r="A80" s="710">
        <v>46200.916666666664</v>
      </c>
      <c r="C80" s="710">
        <f t="shared" ca="1" si="33"/>
        <v>46201.166666666664</v>
      </c>
      <c r="D80" s="710"/>
      <c r="E80" s="710"/>
      <c r="P80" s="11">
        <v>78</v>
      </c>
      <c r="Q80" s="11" t="s">
        <v>171</v>
      </c>
      <c r="R80" s="11">
        <f t="shared" ca="1" si="22"/>
        <v>10</v>
      </c>
      <c r="S80" s="791">
        <f t="shared" ca="1" si="22"/>
        <v>0.41666666666666669</v>
      </c>
      <c r="T80" s="11">
        <f t="shared" ca="1" si="23"/>
        <v>0</v>
      </c>
      <c r="U80" s="11">
        <f t="shared" ca="1" si="24"/>
        <v>14</v>
      </c>
      <c r="V80" s="791">
        <f t="shared" ca="1" si="25"/>
        <v>0.58333333333333337</v>
      </c>
      <c r="W80" s="11">
        <f t="shared" ca="1" si="27"/>
        <v>1</v>
      </c>
      <c r="X80" s="11"/>
      <c r="AA80" s="11">
        <v>78</v>
      </c>
      <c r="AB80" s="11" t="s">
        <v>171</v>
      </c>
      <c r="AC80" s="11">
        <v>10</v>
      </c>
      <c r="AD80" s="791">
        <f t="shared" si="31"/>
        <v>0.41666666666666669</v>
      </c>
      <c r="AE80" s="11">
        <v>0</v>
      </c>
      <c r="AF80" s="11">
        <f t="shared" ca="1" si="28"/>
        <v>14</v>
      </c>
      <c r="AG80" s="791">
        <f t="shared" ca="1" si="32"/>
        <v>0.58333333333333337</v>
      </c>
      <c r="AH80" s="11">
        <f t="shared" ca="1" si="29"/>
        <v>1</v>
      </c>
      <c r="AI80" s="11"/>
    </row>
    <row r="81" spans="1:35">
      <c r="A81" s="710">
        <v>46200.916666666664</v>
      </c>
      <c r="C81" s="710">
        <f t="shared" ca="1" si="33"/>
        <v>46201.166666666664</v>
      </c>
      <c r="D81" s="710"/>
      <c r="E81" s="710"/>
      <c r="P81" s="11">
        <v>79</v>
      </c>
      <c r="Q81" s="11" t="s">
        <v>361</v>
      </c>
      <c r="R81" s="11">
        <f t="shared" ca="1" si="22"/>
        <v>10.5</v>
      </c>
      <c r="S81" s="791">
        <f t="shared" ca="1" si="22"/>
        <v>0.4375</v>
      </c>
      <c r="T81" s="11">
        <f t="shared" ca="1" si="23"/>
        <v>0</v>
      </c>
      <c r="U81" s="11">
        <f t="shared" ca="1" si="24"/>
        <v>14.5</v>
      </c>
      <c r="V81" s="791">
        <f t="shared" ca="1" si="25"/>
        <v>0.60416666666666663</v>
      </c>
      <c r="W81" s="11">
        <f t="shared" ca="1" si="27"/>
        <v>1</v>
      </c>
      <c r="X81" s="11"/>
      <c r="AA81" s="11">
        <v>79</v>
      </c>
      <c r="AB81" s="11" t="s">
        <v>361</v>
      </c>
      <c r="AC81" s="11">
        <v>10.5</v>
      </c>
      <c r="AD81" s="791">
        <f t="shared" si="31"/>
        <v>0.4375</v>
      </c>
      <c r="AE81" s="11">
        <v>0</v>
      </c>
      <c r="AF81" s="11">
        <f t="shared" ca="1" si="28"/>
        <v>14.5</v>
      </c>
      <c r="AG81" s="791">
        <f t="shared" ca="1" si="32"/>
        <v>0.60416666666666663</v>
      </c>
      <c r="AH81" s="11">
        <f t="shared" ca="1" si="29"/>
        <v>1</v>
      </c>
      <c r="AI81" s="11"/>
    </row>
    <row r="82" spans="1:35">
      <c r="C82" s="710"/>
      <c r="E82" s="710"/>
      <c r="P82" s="11">
        <v>80</v>
      </c>
      <c r="Q82" s="11" t="s">
        <v>172</v>
      </c>
      <c r="R82" s="11">
        <f t="shared" ca="1" si="22"/>
        <v>11</v>
      </c>
      <c r="S82" s="791">
        <f t="shared" ca="1" si="22"/>
        <v>0.45833333333333331</v>
      </c>
      <c r="T82" s="11">
        <f t="shared" ca="1" si="23"/>
        <v>0</v>
      </c>
      <c r="U82" s="11">
        <f t="shared" ca="1" si="24"/>
        <v>15</v>
      </c>
      <c r="V82" s="791">
        <f t="shared" ca="1" si="25"/>
        <v>0.625</v>
      </c>
      <c r="W82" s="11">
        <f t="shared" ca="1" si="27"/>
        <v>1</v>
      </c>
      <c r="X82" s="11"/>
      <c r="AA82" s="11">
        <v>80</v>
      </c>
      <c r="AB82" s="11" t="s">
        <v>172</v>
      </c>
      <c r="AC82" s="11">
        <v>11</v>
      </c>
      <c r="AD82" s="791">
        <f t="shared" si="31"/>
        <v>0.45833333333333331</v>
      </c>
      <c r="AE82" s="11">
        <v>0</v>
      </c>
      <c r="AF82" s="11">
        <f t="shared" ca="1" si="28"/>
        <v>15</v>
      </c>
      <c r="AG82" s="791">
        <f t="shared" ca="1" si="32"/>
        <v>0.625</v>
      </c>
      <c r="AH82" s="11">
        <f t="shared" ca="1" si="29"/>
        <v>1</v>
      </c>
      <c r="AI82" s="11"/>
    </row>
    <row r="83" spans="1:35">
      <c r="A83" s="5" t="s">
        <v>488</v>
      </c>
      <c r="C83" s="710"/>
      <c r="E83" s="710"/>
      <c r="P83" s="11">
        <v>81</v>
      </c>
      <c r="Q83" s="11" t="s">
        <v>173</v>
      </c>
      <c r="R83" s="11">
        <f t="shared" ca="1" si="22"/>
        <v>12</v>
      </c>
      <c r="S83" s="791">
        <f t="shared" ca="1" si="22"/>
        <v>0.5</v>
      </c>
      <c r="T83" s="11">
        <f t="shared" ca="1" si="23"/>
        <v>0</v>
      </c>
      <c r="U83" s="11">
        <f t="shared" ca="1" si="24"/>
        <v>16</v>
      </c>
      <c r="V83" s="791">
        <f t="shared" ca="1" si="25"/>
        <v>0.66666666666666663</v>
      </c>
      <c r="W83" s="11">
        <f t="shared" ca="1" si="27"/>
        <v>1</v>
      </c>
      <c r="X83" s="11"/>
      <c r="AA83" s="11">
        <v>81</v>
      </c>
      <c r="AB83" s="11" t="s">
        <v>173</v>
      </c>
      <c r="AC83" s="11">
        <v>12</v>
      </c>
      <c r="AD83" s="791">
        <f t="shared" si="31"/>
        <v>0.5</v>
      </c>
      <c r="AE83" s="11">
        <v>0</v>
      </c>
      <c r="AF83" s="11">
        <f t="shared" ca="1" si="28"/>
        <v>16</v>
      </c>
      <c r="AG83" s="791">
        <f t="shared" ca="1" si="32"/>
        <v>0.66666666666666663</v>
      </c>
      <c r="AH83" s="11">
        <f t="shared" ca="1" si="29"/>
        <v>1</v>
      </c>
      <c r="AI83" s="11"/>
    </row>
    <row r="84" spans="1:35">
      <c r="A84" s="710">
        <v>46190.541666666664</v>
      </c>
      <c r="C84" s="710">
        <f t="shared" ref="C84:C89" ca="1" si="34">A84+INDEX($V$3:$V$86,MATCH($C$3,$P$3:$P$86,0))*INDEX($W$3:$W$86,MATCH($C$3,$P$3:$P$86,0))</f>
        <v>46190.791666666664</v>
      </c>
      <c r="D84" s="710"/>
      <c r="E84" s="710"/>
      <c r="P84" s="11">
        <v>82</v>
      </c>
      <c r="Q84" s="11" t="s">
        <v>362</v>
      </c>
      <c r="R84" s="11">
        <f t="shared" ca="1" si="22"/>
        <v>12.75</v>
      </c>
      <c r="S84" s="791">
        <f t="shared" ca="1" si="22"/>
        <v>0.53125</v>
      </c>
      <c r="T84" s="11">
        <f t="shared" ca="1" si="23"/>
        <v>0</v>
      </c>
      <c r="U84" s="11">
        <f t="shared" ca="1" si="24"/>
        <v>16.75</v>
      </c>
      <c r="V84" s="791">
        <f t="shared" ca="1" si="25"/>
        <v>0.69791666666666663</v>
      </c>
      <c r="W84" s="11">
        <f t="shared" ca="1" si="27"/>
        <v>1</v>
      </c>
      <c r="X84" s="11"/>
      <c r="AA84" s="11">
        <v>82</v>
      </c>
      <c r="AB84" s="11" t="s">
        <v>362</v>
      </c>
      <c r="AC84" s="11">
        <v>12.75</v>
      </c>
      <c r="AD84" s="791">
        <f t="shared" si="31"/>
        <v>0.53125</v>
      </c>
      <c r="AE84" s="11">
        <v>0</v>
      </c>
      <c r="AF84" s="11">
        <f t="shared" ca="1" si="28"/>
        <v>16.75</v>
      </c>
      <c r="AG84" s="791">
        <f t="shared" ca="1" si="32"/>
        <v>0.69791666666666663</v>
      </c>
      <c r="AH84" s="11">
        <f t="shared" ca="1" si="29"/>
        <v>1</v>
      </c>
      <c r="AI84" s="11"/>
    </row>
    <row r="85" spans="1:35">
      <c r="A85" s="710">
        <v>46190.916666666664</v>
      </c>
      <c r="C85" s="710">
        <f t="shared" ca="1" si="34"/>
        <v>46191.166666666664</v>
      </c>
      <c r="D85" s="710"/>
      <c r="E85" s="710"/>
      <c r="P85" s="11">
        <v>83</v>
      </c>
      <c r="Q85" s="11" t="s">
        <v>363</v>
      </c>
      <c r="R85" s="11">
        <f t="shared" ca="1" si="22"/>
        <v>13</v>
      </c>
      <c r="S85" s="791">
        <f t="shared" ca="1" si="22"/>
        <v>0.54166666666666663</v>
      </c>
      <c r="T85" s="11">
        <f t="shared" ca="1" si="23"/>
        <v>0</v>
      </c>
      <c r="U85" s="11">
        <f t="shared" ca="1" si="24"/>
        <v>17</v>
      </c>
      <c r="V85" s="791">
        <f t="shared" ca="1" si="25"/>
        <v>0.70833333333333337</v>
      </c>
      <c r="W85" s="11">
        <f t="shared" ca="1" si="27"/>
        <v>1</v>
      </c>
      <c r="X85" s="11"/>
      <c r="AA85" s="11">
        <v>83</v>
      </c>
      <c r="AB85" s="11" t="s">
        <v>363</v>
      </c>
      <c r="AC85" s="11">
        <v>13</v>
      </c>
      <c r="AD85" s="791">
        <f t="shared" si="31"/>
        <v>0.54166666666666663</v>
      </c>
      <c r="AE85" s="11">
        <v>0</v>
      </c>
      <c r="AF85" s="11">
        <f t="shared" ca="1" si="28"/>
        <v>17</v>
      </c>
      <c r="AG85" s="791">
        <f t="shared" ca="1" si="32"/>
        <v>0.70833333333333337</v>
      </c>
      <c r="AH85" s="11">
        <f t="shared" ca="1" si="29"/>
        <v>1</v>
      </c>
      <c r="AI85" s="11"/>
    </row>
    <row r="86" spans="1:35">
      <c r="A86" s="710">
        <v>46196.541666666664</v>
      </c>
      <c r="C86" s="710">
        <f t="shared" ca="1" si="34"/>
        <v>46196.791666666664</v>
      </c>
      <c r="D86" s="710"/>
      <c r="E86" s="710"/>
      <c r="P86" s="11">
        <v>84</v>
      </c>
      <c r="Q86" s="11" t="s">
        <v>364</v>
      </c>
      <c r="R86" s="11">
        <f t="shared" ca="1" si="22"/>
        <v>14</v>
      </c>
      <c r="S86" s="791">
        <f t="shared" ca="1" si="22"/>
        <v>0.58333333333333337</v>
      </c>
      <c r="T86" s="11">
        <f t="shared" ca="1" si="23"/>
        <v>0</v>
      </c>
      <c r="U86" s="11">
        <f t="shared" ca="1" si="24"/>
        <v>18</v>
      </c>
      <c r="V86" s="791">
        <f t="shared" ca="1" si="25"/>
        <v>0.75</v>
      </c>
      <c r="W86" s="11">
        <f t="shared" ca="1" si="27"/>
        <v>1</v>
      </c>
      <c r="X86" s="11"/>
      <c r="AA86" s="11">
        <v>84</v>
      </c>
      <c r="AB86" s="11" t="s">
        <v>364</v>
      </c>
      <c r="AC86" s="11">
        <v>14</v>
      </c>
      <c r="AD86" s="791">
        <f t="shared" si="31"/>
        <v>0.58333333333333337</v>
      </c>
      <c r="AE86" s="11">
        <v>0</v>
      </c>
      <c r="AF86" s="11">
        <f t="shared" ca="1" si="28"/>
        <v>18</v>
      </c>
      <c r="AG86" s="791">
        <f t="shared" ca="1" si="32"/>
        <v>0.75</v>
      </c>
      <c r="AH86" s="11">
        <f t="shared" ca="1" si="29"/>
        <v>1</v>
      </c>
      <c r="AI86" s="11"/>
    </row>
    <row r="87" spans="1:35">
      <c r="A87" s="710">
        <v>46196.916666666664</v>
      </c>
      <c r="C87" s="710">
        <f t="shared" ca="1" si="34"/>
        <v>46197.166666666664</v>
      </c>
    </row>
    <row r="88" spans="1:35">
      <c r="A88" s="710">
        <v>46200.8125</v>
      </c>
      <c r="C88" s="710">
        <f t="shared" ca="1" si="34"/>
        <v>46201.0625</v>
      </c>
    </row>
    <row r="89" spans="1:35">
      <c r="A89" s="710">
        <v>46200.8125</v>
      </c>
      <c r="C89" s="710">
        <f t="shared" ca="1" si="34"/>
        <v>46201.0625</v>
      </c>
    </row>
    <row r="90" spans="1:35">
      <c r="C90" s="710"/>
    </row>
    <row r="91" spans="1:35">
      <c r="A91" s="5" t="s">
        <v>489</v>
      </c>
      <c r="C91" s="710"/>
    </row>
    <row r="92" spans="1:35">
      <c r="A92" s="710">
        <v>46190.666666666664</v>
      </c>
      <c r="C92" s="710">
        <f t="shared" ref="C92:C97" ca="1" si="35">A92+INDEX($V$3:$V$86,MATCH($C$3,$P$3:$P$86,0))*INDEX($W$3:$W$86,MATCH($C$3,$P$3:$P$86,0))</f>
        <v>46190.916666666664</v>
      </c>
    </row>
    <row r="93" spans="1:35">
      <c r="A93" s="710">
        <v>46190.791666666664</v>
      </c>
      <c r="C93" s="710">
        <f t="shared" ca="1" si="35"/>
        <v>46191.041666666664</v>
      </c>
    </row>
    <row r="94" spans="1:35">
      <c r="A94" s="710">
        <v>46196.666666666664</v>
      </c>
      <c r="C94" s="710">
        <f t="shared" ca="1" si="35"/>
        <v>46196.916666666664</v>
      </c>
    </row>
    <row r="95" spans="1:35">
      <c r="A95" s="710">
        <v>46196.791666666664</v>
      </c>
      <c r="C95" s="710">
        <f t="shared" ca="1" si="35"/>
        <v>46197.041666666664</v>
      </c>
    </row>
    <row r="96" spans="1:35">
      <c r="A96" s="710">
        <v>46200.708333333336</v>
      </c>
      <c r="C96" s="710">
        <f t="shared" ca="1" si="35"/>
        <v>46200.958333333336</v>
      </c>
    </row>
    <row r="97" spans="1:3">
      <c r="A97" s="710">
        <v>46200.708333333336</v>
      </c>
      <c r="C97" s="710">
        <f t="shared" ca="1" si="35"/>
        <v>46200.958333333336</v>
      </c>
    </row>
    <row r="100" spans="1:3">
      <c r="A100" s="716" t="s">
        <v>490</v>
      </c>
      <c r="C100" s="710"/>
    </row>
    <row r="101" spans="1:3">
      <c r="A101" s="710">
        <v>46201.625</v>
      </c>
      <c r="C101" s="710">
        <f t="shared" ref="C101:C116" ca="1" si="36">A101+INDEX($V$3:$V$86,MATCH($C$3,$P$3:$P$86,0))*INDEX($W$3:$W$86,MATCH($C$3,$P$3:$P$86,0))</f>
        <v>46201.875</v>
      </c>
    </row>
    <row r="102" spans="1:3">
      <c r="A102" s="710">
        <v>46202.541666666664</v>
      </c>
      <c r="C102" s="710">
        <f t="shared" ca="1" si="36"/>
        <v>46202.791666666664</v>
      </c>
    </row>
    <row r="103" spans="1:3">
      <c r="A103" s="710">
        <v>46202.6875</v>
      </c>
      <c r="C103" s="710">
        <f t="shared" ca="1" si="36"/>
        <v>46202.9375</v>
      </c>
    </row>
    <row r="104" spans="1:3">
      <c r="A104" s="710">
        <v>46202.875</v>
      </c>
      <c r="C104" s="710">
        <f t="shared" ca="1" si="36"/>
        <v>46203.125</v>
      </c>
    </row>
    <row r="105" spans="1:3">
      <c r="A105" s="710">
        <v>46203.541666666664</v>
      </c>
      <c r="C105" s="710">
        <f t="shared" ca="1" si="36"/>
        <v>46203.791666666664</v>
      </c>
    </row>
    <row r="106" spans="1:3">
      <c r="A106" s="710">
        <v>46203.708333333336</v>
      </c>
      <c r="C106" s="710">
        <f t="shared" ca="1" si="36"/>
        <v>46203.958333333336</v>
      </c>
    </row>
    <row r="107" spans="1:3">
      <c r="A107" s="710">
        <v>46203.875</v>
      </c>
      <c r="C107" s="710">
        <f t="shared" ca="1" si="36"/>
        <v>46204.125</v>
      </c>
    </row>
    <row r="108" spans="1:3">
      <c r="A108" s="710">
        <v>46204.5</v>
      </c>
      <c r="C108" s="710">
        <f t="shared" ca="1" si="36"/>
        <v>46204.75</v>
      </c>
    </row>
    <row r="109" spans="1:3">
      <c r="A109" s="710">
        <v>46204.666666666664</v>
      </c>
      <c r="C109" s="710">
        <f t="shared" ca="1" si="36"/>
        <v>46204.916666666664</v>
      </c>
    </row>
    <row r="110" spans="1:3">
      <c r="A110" s="710">
        <v>46204.833333333336</v>
      </c>
      <c r="C110" s="710">
        <f t="shared" ca="1" si="36"/>
        <v>46205.083333333336</v>
      </c>
    </row>
    <row r="111" spans="1:3">
      <c r="A111" s="710">
        <v>46205.625</v>
      </c>
      <c r="C111" s="710">
        <f t="shared" ca="1" si="36"/>
        <v>46205.875</v>
      </c>
    </row>
    <row r="112" spans="1:3">
      <c r="A112" s="710">
        <v>46205.791666666664</v>
      </c>
      <c r="C112" s="710">
        <f t="shared" ca="1" si="36"/>
        <v>46206.041666666664</v>
      </c>
    </row>
    <row r="113" spans="1:3">
      <c r="A113" s="710">
        <v>46205.958333333336</v>
      </c>
      <c r="C113" s="710">
        <f t="shared" ca="1" si="36"/>
        <v>46206.208333333336</v>
      </c>
    </row>
    <row r="114" spans="1:3">
      <c r="A114" s="710">
        <v>46206.583333333336</v>
      </c>
      <c r="C114" s="710">
        <f t="shared" ca="1" si="36"/>
        <v>46206.833333333336</v>
      </c>
    </row>
    <row r="115" spans="1:3">
      <c r="A115" s="710">
        <v>46206.75</v>
      </c>
      <c r="C115" s="710">
        <f t="shared" ca="1" si="36"/>
        <v>46207</v>
      </c>
    </row>
    <row r="116" spans="1:3">
      <c r="A116" s="710">
        <v>46206.895833333336</v>
      </c>
      <c r="C116" s="710">
        <f t="shared" ca="1" si="36"/>
        <v>46207.145833333336</v>
      </c>
    </row>
    <row r="117" spans="1:3">
      <c r="C117" s="710"/>
    </row>
    <row r="118" spans="1:3">
      <c r="C118" s="710"/>
    </row>
    <row r="119" spans="1:3">
      <c r="A119" s="716" t="s">
        <v>718</v>
      </c>
    </row>
    <row r="120" spans="1:3">
      <c r="A120" s="710">
        <v>46207.541666666664</v>
      </c>
      <c r="C120" s="710">
        <f t="shared" ref="C120:C127" ca="1" si="37">A120+INDEX($V$3:$V$86,MATCH($C$3,$P$3:$P$86,0))*INDEX($W$3:$W$86,MATCH($C$3,$P$3:$P$86,0))</f>
        <v>46207.791666666664</v>
      </c>
    </row>
    <row r="121" spans="1:3">
      <c r="A121" s="710">
        <v>46207.708333333336</v>
      </c>
      <c r="C121" s="710">
        <f t="shared" ca="1" si="37"/>
        <v>46207.958333333336</v>
      </c>
    </row>
    <row r="122" spans="1:3">
      <c r="A122" s="710">
        <v>46208.666666666664</v>
      </c>
      <c r="C122" s="710">
        <f t="shared" ca="1" si="37"/>
        <v>46208.916666666664</v>
      </c>
    </row>
    <row r="123" spans="1:3">
      <c r="A123" s="710">
        <v>46208.833333333336</v>
      </c>
      <c r="C123" s="710">
        <f t="shared" ca="1" si="37"/>
        <v>46209.083333333336</v>
      </c>
    </row>
    <row r="124" spans="1:3">
      <c r="A124" s="710">
        <v>46209.625</v>
      </c>
      <c r="C124" s="710">
        <f t="shared" ca="1" si="37"/>
        <v>46209.875</v>
      </c>
    </row>
    <row r="125" spans="1:3">
      <c r="A125" s="710">
        <v>46209.833333333336</v>
      </c>
      <c r="C125" s="710">
        <f t="shared" ca="1" si="37"/>
        <v>46210.083333333336</v>
      </c>
    </row>
    <row r="126" spans="1:3">
      <c r="A126" s="710">
        <v>46210.5</v>
      </c>
      <c r="C126" s="710">
        <f t="shared" ca="1" si="37"/>
        <v>46210.75</v>
      </c>
    </row>
    <row r="127" spans="1:3">
      <c r="A127" s="710">
        <v>46210.666666666664</v>
      </c>
      <c r="C127" s="710">
        <f t="shared" ca="1" si="37"/>
        <v>46210.916666666664</v>
      </c>
    </row>
    <row r="130" spans="1:3">
      <c r="A130" s="716" t="s">
        <v>95</v>
      </c>
      <c r="C130" s="710"/>
    </row>
    <row r="131" spans="1:3">
      <c r="A131" s="710">
        <v>46212.666666666664</v>
      </c>
      <c r="C131" s="710">
        <f ca="1">A131+INDEX($V$3:$V$86,MATCH($C$3,$P$3:$P$86,0))*INDEX($W$3:$W$86,MATCH($C$3,$P$3:$P$86,0))</f>
        <v>46212.916666666664</v>
      </c>
    </row>
    <row r="132" spans="1:3">
      <c r="A132" s="710">
        <v>46213.625</v>
      </c>
      <c r="C132" s="710">
        <f ca="1">A132+INDEX($V$3:$V$86,MATCH($C$3,$P$3:$P$86,0))*INDEX($W$3:$W$86,MATCH($C$3,$P$3:$P$86,0))</f>
        <v>46213.875</v>
      </c>
    </row>
    <row r="133" spans="1:3">
      <c r="A133" s="710">
        <v>46214.708333333336</v>
      </c>
      <c r="C133" s="710">
        <f ca="1">A133+INDEX($V$3:$V$86,MATCH($C$3,$P$3:$P$86,0))*INDEX($W$3:$W$86,MATCH($C$3,$P$3:$P$86,0))</f>
        <v>46214.958333333336</v>
      </c>
    </row>
    <row r="134" spans="1:3">
      <c r="A134" s="710">
        <v>46214.875</v>
      </c>
      <c r="C134" s="710">
        <f ca="1">A134+INDEX($V$3:$V$86,MATCH($C$3,$P$3:$P$86,0))*INDEX($W$3:$W$86,MATCH($C$3,$P$3:$P$86,0))</f>
        <v>46215.125</v>
      </c>
    </row>
    <row r="135" spans="1:3">
      <c r="C135" s="710"/>
    </row>
    <row r="137" spans="1:3">
      <c r="A137" s="717" t="s">
        <v>41</v>
      </c>
      <c r="C137" s="710"/>
    </row>
    <row r="138" spans="1:3">
      <c r="A138" s="710">
        <v>46217.625</v>
      </c>
      <c r="C138" s="710">
        <f ca="1">A138+INDEX($V$3:$V$86,MATCH($C$3,$P$3:$P$86,0))*INDEX($W$3:$W$86,MATCH($C$3,$P$3:$P$86,0))</f>
        <v>46217.875</v>
      </c>
    </row>
    <row r="139" spans="1:3">
      <c r="A139" s="710">
        <v>46218.625</v>
      </c>
      <c r="C139" s="710">
        <f ca="1">A139+INDEX($V$3:$V$86,MATCH($C$3,$P$3:$P$86,0))*INDEX($W$3:$W$86,MATCH($C$3,$P$3:$P$86,0))</f>
        <v>46218.875</v>
      </c>
    </row>
    <row r="140" spans="1:3">
      <c r="C140" s="710"/>
    </row>
    <row r="142" spans="1:3">
      <c r="A142" s="718" t="s">
        <v>493</v>
      </c>
    </row>
    <row r="143" spans="1:3">
      <c r="A143" s="710">
        <v>46221.708333333336</v>
      </c>
      <c r="C143" s="710">
        <f ca="1">A143+INDEX($V$3:$V$86,MATCH($C$3,$P$3:$P$86,0))*INDEX($W$3:$W$86,MATCH($C$3,$P$3:$P$86,0))</f>
        <v>46221.958333333336</v>
      </c>
    </row>
    <row r="146" spans="1:3">
      <c r="A146" s="719" t="s">
        <v>4</v>
      </c>
      <c r="C146" s="710"/>
    </row>
    <row r="147" spans="1:3">
      <c r="A147" s="710">
        <v>46222.625</v>
      </c>
      <c r="C147" s="710">
        <f ca="1">A147+INDEX($V$3:$V$86,MATCH($C$3,$P$3:$P$86,0))*INDEX($W$3:$W$86,MATCH($C$3,$P$3:$P$86,0))</f>
        <v>46222.875</v>
      </c>
    </row>
  </sheetData>
  <sheetProtection algorithmName="SHA-512" hashValue="xJScnitCHGVUiFYyID5I90DcDMrIDXQ6/yxqCBuupG57kTH5Fc6hm16in6uGjc02E9fGsuzAqP1W0Heq2x1REw==" saltValue="o/OY/kXv8dZPFvm72FyLMg==" spinCount="100000" sheet="1" objects="1" scenarios="1" selectLockedCells="1" selectUnlockedCells="1"/>
  <conditionalFormatting sqref="F4:F27">
    <cfRule type="duplicateValues" dxfId="0" priority="1"/>
  </conditionalFormatting>
  <pageMargins left="0.7" right="0.7" top="0.75" bottom="0.75" header="0.3" footer="0.3"/>
  <headerFooter>
    <oddFooter>&amp;L_x000D_&amp;1#&amp;"Aptos"&amp;8&amp;K000000 Clasificación: Interna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topLeftCell="JF1526" workbookViewId="0">
      <selection activeCell="JF1527" sqref="JF1527"/>
    </sheetView>
  </sheetViews>
  <sheetFormatPr defaultColWidth="10.77734375" defaultRowHeight="14.4"/>
  <cols>
    <col min="1" max="1" width="9.44140625" style="9" bestFit="1" customWidth="1"/>
    <col min="2" max="2" width="6" style="9" bestFit="1" customWidth="1"/>
    <col min="3" max="13" width="10.77734375" style="9"/>
    <col min="14" max="14" width="9.44140625" style="9" bestFit="1" customWidth="1"/>
    <col min="15" max="15" width="6.44140625" style="9" bestFit="1" customWidth="1"/>
    <col min="16" max="16384" width="10.77734375" style="9"/>
  </cols>
  <sheetData>
    <row r="1" spans="1:23">
      <c r="A1" s="11" t="s">
        <v>83</v>
      </c>
      <c r="B1" s="11" t="s">
        <v>84</v>
      </c>
      <c r="C1" s="11" t="s">
        <v>0</v>
      </c>
      <c r="D1" s="11" t="s">
        <v>1</v>
      </c>
      <c r="E1" s="11" t="s">
        <v>73</v>
      </c>
      <c r="F1" s="11" t="s">
        <v>3</v>
      </c>
      <c r="G1" s="11" t="s">
        <v>6</v>
      </c>
      <c r="H1" s="11" t="s">
        <v>438</v>
      </c>
      <c r="I1" s="11" t="s">
        <v>439</v>
      </c>
      <c r="J1" s="11" t="s">
        <v>238</v>
      </c>
      <c r="N1" s="11" t="s">
        <v>764</v>
      </c>
      <c r="O1" s="11" t="s">
        <v>1365</v>
      </c>
      <c r="P1" s="11" t="s">
        <v>645</v>
      </c>
      <c r="Q1" s="11" t="s">
        <v>648</v>
      </c>
      <c r="R1" s="11" t="s">
        <v>658</v>
      </c>
      <c r="S1" s="11" t="s">
        <v>661</v>
      </c>
      <c r="T1" s="11" t="s">
        <v>667</v>
      </c>
      <c r="U1" s="11" t="s">
        <v>673</v>
      </c>
      <c r="V1" s="11" t="s">
        <v>679</v>
      </c>
      <c r="W1" s="11" t="s">
        <v>682</v>
      </c>
    </row>
    <row r="2" spans="1:23">
      <c r="A2" s="11" t="s">
        <v>479</v>
      </c>
      <c r="B2" s="11">
        <f ca="1">+IF(A2=WORLDCUP!$BI$112,1,0)</f>
        <v>0</v>
      </c>
      <c r="C2" s="11" t="str">
        <f ca="1">+WORLDCUP!BD62</f>
        <v>Ecuador</v>
      </c>
      <c r="D2" s="11" t="str">
        <f ca="1">+WORLDCUP!BD67</f>
        <v>Jordania</v>
      </c>
      <c r="E2" s="11" t="str">
        <f ca="1">+WORLDCUP!BD66</f>
        <v>Senegal</v>
      </c>
      <c r="F2" s="11" t="str">
        <f ca="1">+WORLDCUP!BD63</f>
        <v>Japón</v>
      </c>
      <c r="G2" s="11" t="str">
        <f ca="1">+WORLDCUP!BD65</f>
        <v>España</v>
      </c>
      <c r="H2" s="11" t="str">
        <f ca="1">+WORLDCUP!BD64</f>
        <v>Bélgica</v>
      </c>
      <c r="I2" s="11" t="str">
        <f ca="1">+WORLDCUP!BD69</f>
        <v>Panamá</v>
      </c>
      <c r="J2" s="11" t="str">
        <f ca="1">+WORLDCUP!BD68</f>
        <v>RD Congo</v>
      </c>
      <c r="N2" s="11" t="s">
        <v>479</v>
      </c>
      <c r="O2" s="11">
        <v>1</v>
      </c>
      <c r="P2" s="11" t="s">
        <v>93</v>
      </c>
      <c r="Q2" s="11" t="s">
        <v>441</v>
      </c>
      <c r="R2" s="11" t="s">
        <v>440</v>
      </c>
      <c r="S2" s="11" t="s">
        <v>94</v>
      </c>
      <c r="T2" s="11" t="s">
        <v>436</v>
      </c>
      <c r="U2" s="11" t="s">
        <v>435</v>
      </c>
      <c r="V2" s="11" t="s">
        <v>443</v>
      </c>
      <c r="W2" s="11" t="s">
        <v>442</v>
      </c>
    </row>
    <row r="3" spans="1:23">
      <c r="A3" s="11" t="s">
        <v>611</v>
      </c>
      <c r="B3" s="11">
        <f ca="1">+IF(A3=WORLDCUP!$BI$112,1,0)</f>
        <v>0</v>
      </c>
      <c r="C3" s="11" t="str">
        <f ca="1">+WORLDCUP!BD65</f>
        <v>España</v>
      </c>
      <c r="D3" s="11" t="str">
        <f ca="1">+WORLDCUP!BD64</f>
        <v>Bélgica</v>
      </c>
      <c r="E3" s="11" t="str">
        <f ca="1">+WORLDCUP!BD66</f>
        <v>Senegal</v>
      </c>
      <c r="F3" s="11" t="str">
        <f ca="1">+WORLDCUP!BD61</f>
        <v>Paraguay</v>
      </c>
      <c r="G3" s="11" t="str">
        <f ca="1">+WORLDCUP!BD67</f>
        <v>Jordania</v>
      </c>
      <c r="H3" s="11" t="str">
        <f ca="1">+WORLDCUP!BD63</f>
        <v>Japón</v>
      </c>
      <c r="I3" s="11" t="str">
        <f ca="1">+WORLDCUP!BD69</f>
        <v>Panamá</v>
      </c>
      <c r="J3" s="11" t="str">
        <f ca="1">+WORLDCUP!BD68</f>
        <v>RD Congo</v>
      </c>
      <c r="N3" s="11" t="s">
        <v>611</v>
      </c>
      <c r="O3" s="11">
        <v>2</v>
      </c>
      <c r="P3" s="11" t="s">
        <v>436</v>
      </c>
      <c r="Q3" s="11" t="s">
        <v>435</v>
      </c>
      <c r="R3" s="11" t="s">
        <v>440</v>
      </c>
      <c r="S3" s="11" t="s">
        <v>92</v>
      </c>
      <c r="T3" s="11" t="s">
        <v>441</v>
      </c>
      <c r="U3" s="11" t="s">
        <v>94</v>
      </c>
      <c r="V3" s="11" t="s">
        <v>443</v>
      </c>
      <c r="W3" s="11" t="s">
        <v>442</v>
      </c>
    </row>
    <row r="4" spans="1:23">
      <c r="A4" s="11" t="s">
        <v>1190</v>
      </c>
      <c r="B4" s="11">
        <f ca="1">+IF(A4=WORLDCUP!$BI$112,1,0)</f>
        <v>0</v>
      </c>
      <c r="C4" s="11" t="str">
        <f ca="1">+WORLDCUP!BD62</f>
        <v>Ecuador</v>
      </c>
      <c r="D4" s="11" t="str">
        <f ca="1">+WORLDCUP!BD67</f>
        <v>Jordania</v>
      </c>
      <c r="E4" s="11" t="str">
        <f ca="1">+WORLDCUP!BD66</f>
        <v>Senegal</v>
      </c>
      <c r="F4" s="11" t="str">
        <f ca="1">+WORLDCUP!BD61</f>
        <v>Paraguay</v>
      </c>
      <c r="G4" s="11" t="str">
        <f ca="1">+WORLDCUP!BD65</f>
        <v>España</v>
      </c>
      <c r="H4" s="11" t="str">
        <f ca="1">+WORLDCUP!BD64</f>
        <v>Bélgica</v>
      </c>
      <c r="I4" s="11" t="str">
        <f ca="1">+WORLDCUP!BD69</f>
        <v>Panamá</v>
      </c>
      <c r="J4" s="11" t="str">
        <f ca="1">+WORLDCUP!BD68</f>
        <v>RD Congo</v>
      </c>
      <c r="N4" s="11" t="s">
        <v>1190</v>
      </c>
      <c r="O4" s="11">
        <v>3</v>
      </c>
      <c r="P4" s="11" t="s">
        <v>93</v>
      </c>
      <c r="Q4" s="11" t="s">
        <v>441</v>
      </c>
      <c r="R4" s="11" t="s">
        <v>440</v>
      </c>
      <c r="S4" s="11" t="s">
        <v>92</v>
      </c>
      <c r="T4" s="11" t="s">
        <v>436</v>
      </c>
      <c r="U4" s="11" t="s">
        <v>435</v>
      </c>
      <c r="V4" s="11" t="s">
        <v>443</v>
      </c>
      <c r="W4" s="11" t="s">
        <v>442</v>
      </c>
    </row>
    <row r="5" spans="1:23">
      <c r="A5" s="11" t="s">
        <v>1189</v>
      </c>
      <c r="B5" s="11">
        <f ca="1">+IF(A5=WORLDCUP!$BI$112,1,0)</f>
        <v>0</v>
      </c>
      <c r="C5" s="11" t="str">
        <f ca="1">+WORLDCUP!BD62</f>
        <v>Ecuador</v>
      </c>
      <c r="D5" s="11" t="str">
        <f ca="1">+WORLDCUP!BD67</f>
        <v>Jordania</v>
      </c>
      <c r="E5" s="11" t="str">
        <f ca="1">+WORLDCUP!BD66</f>
        <v>Senegal</v>
      </c>
      <c r="F5" s="11" t="str">
        <f ca="1">+WORLDCUP!BD61</f>
        <v>Paraguay</v>
      </c>
      <c r="G5" s="11" t="str">
        <f ca="1">+WORLDCUP!BD65</f>
        <v>España</v>
      </c>
      <c r="H5" s="11" t="str">
        <f ca="1">+WORLDCUP!BD63</f>
        <v>Japón</v>
      </c>
      <c r="I5" s="11" t="str">
        <f ca="1">+WORLDCUP!BD69</f>
        <v>Panamá</v>
      </c>
      <c r="J5" s="11" t="str">
        <f ca="1">+WORLDCUP!BD68</f>
        <v>RD Congo</v>
      </c>
      <c r="N5" s="11" t="s">
        <v>1189</v>
      </c>
      <c r="O5" s="11">
        <v>4</v>
      </c>
      <c r="P5" s="11" t="s">
        <v>93</v>
      </c>
      <c r="Q5" s="11" t="s">
        <v>441</v>
      </c>
      <c r="R5" s="11" t="s">
        <v>440</v>
      </c>
      <c r="S5" s="11" t="s">
        <v>92</v>
      </c>
      <c r="T5" s="11" t="s">
        <v>436</v>
      </c>
      <c r="U5" s="11" t="s">
        <v>94</v>
      </c>
      <c r="V5" s="11" t="s">
        <v>443</v>
      </c>
      <c r="W5" s="11" t="s">
        <v>442</v>
      </c>
    </row>
    <row r="6" spans="1:23">
      <c r="A6" s="11" t="s">
        <v>1188</v>
      </c>
      <c r="B6" s="11">
        <f ca="1">+IF(A6=WORLDCUP!$BI$112,1,0)</f>
        <v>0</v>
      </c>
      <c r="C6" s="11" t="str">
        <f ca="1">+WORLDCUP!BD62</f>
        <v>Ecuador</v>
      </c>
      <c r="D6" s="11" t="str">
        <f ca="1">+WORLDCUP!BD64</f>
        <v>Bélgica</v>
      </c>
      <c r="E6" s="11" t="str">
        <f ca="1">+WORLDCUP!BD66</f>
        <v>Senegal</v>
      </c>
      <c r="F6" s="11" t="str">
        <f ca="1">+WORLDCUP!BD61</f>
        <v>Paraguay</v>
      </c>
      <c r="G6" s="11" t="str">
        <f ca="1">+WORLDCUP!BD67</f>
        <v>Jordania</v>
      </c>
      <c r="H6" s="11" t="str">
        <f ca="1">+WORLDCUP!BD63</f>
        <v>Japón</v>
      </c>
      <c r="I6" s="11" t="str">
        <f ca="1">+WORLDCUP!BD69</f>
        <v>Panamá</v>
      </c>
      <c r="J6" s="11" t="str">
        <f ca="1">+WORLDCUP!BD68</f>
        <v>RD Congo</v>
      </c>
      <c r="N6" s="11" t="s">
        <v>1188</v>
      </c>
      <c r="O6" s="11">
        <v>5</v>
      </c>
      <c r="P6" s="11" t="s">
        <v>93</v>
      </c>
      <c r="Q6" s="11" t="s">
        <v>435</v>
      </c>
      <c r="R6" s="11" t="s">
        <v>440</v>
      </c>
      <c r="S6" s="11" t="s">
        <v>92</v>
      </c>
      <c r="T6" s="11" t="s">
        <v>441</v>
      </c>
      <c r="U6" s="11" t="s">
        <v>94</v>
      </c>
      <c r="V6" s="11" t="s">
        <v>443</v>
      </c>
      <c r="W6" s="11" t="s">
        <v>442</v>
      </c>
    </row>
    <row r="7" spans="1:23">
      <c r="A7" s="11" t="s">
        <v>1187</v>
      </c>
      <c r="B7" s="11">
        <f ca="1">+IF(A7=WORLDCUP!$BI$112,1,0)</f>
        <v>0</v>
      </c>
      <c r="C7" s="11" t="str">
        <f ca="1">+WORLDCUP!BD62</f>
        <v>Ecuador</v>
      </c>
      <c r="D7" s="11" t="str">
        <f ca="1">+WORLDCUP!BD64</f>
        <v>Bélgica</v>
      </c>
      <c r="E7" s="11" t="str">
        <f ca="1">+WORLDCUP!BD67</f>
        <v>Jordania</v>
      </c>
      <c r="F7" s="11" t="str">
        <f ca="1">+WORLDCUP!BD61</f>
        <v>Paraguay</v>
      </c>
      <c r="G7" s="11" t="str">
        <f ca="1">+WORLDCUP!BD65</f>
        <v>España</v>
      </c>
      <c r="H7" s="11" t="str">
        <f ca="1">+WORLDCUP!BD63</f>
        <v>Japón</v>
      </c>
      <c r="I7" s="11" t="str">
        <f ca="1">+WORLDCUP!BD69</f>
        <v>Panamá</v>
      </c>
      <c r="J7" s="11" t="str">
        <f ca="1">+WORLDCUP!BD68</f>
        <v>RD Congo</v>
      </c>
      <c r="N7" s="11" t="s">
        <v>1187</v>
      </c>
      <c r="O7" s="11">
        <v>6</v>
      </c>
      <c r="P7" s="11" t="s">
        <v>93</v>
      </c>
      <c r="Q7" s="11" t="s">
        <v>435</v>
      </c>
      <c r="R7" s="11" t="s">
        <v>441</v>
      </c>
      <c r="S7" s="11" t="s">
        <v>92</v>
      </c>
      <c r="T7" s="11" t="s">
        <v>436</v>
      </c>
      <c r="U7" s="11" t="s">
        <v>94</v>
      </c>
      <c r="V7" s="11" t="s">
        <v>443</v>
      </c>
      <c r="W7" s="11" t="s">
        <v>442</v>
      </c>
    </row>
    <row r="8" spans="1:23">
      <c r="A8" s="11" t="s">
        <v>478</v>
      </c>
      <c r="B8" s="11">
        <f ca="1">+IF(A8=WORLDCUP!$BI$112,1,0)</f>
        <v>0</v>
      </c>
      <c r="C8" s="11" t="str">
        <f ca="1">+WORLDCUP!BD62</f>
        <v>Ecuador</v>
      </c>
      <c r="D8" s="11" t="str">
        <f ca="1">+WORLDCUP!BD64</f>
        <v>Bélgica</v>
      </c>
      <c r="E8" s="11" t="str">
        <f ca="1">+WORLDCUP!BD66</f>
        <v>Senegal</v>
      </c>
      <c r="F8" s="11" t="str">
        <f ca="1">+WORLDCUP!BD61</f>
        <v>Paraguay</v>
      </c>
      <c r="G8" s="11" t="str">
        <f ca="1">+WORLDCUP!BD65</f>
        <v>España</v>
      </c>
      <c r="H8" s="11" t="str">
        <f ca="1">+WORLDCUP!BD63</f>
        <v>Japón</v>
      </c>
      <c r="I8" s="11" t="str">
        <f ca="1">+WORLDCUP!BD69</f>
        <v>Panamá</v>
      </c>
      <c r="J8" s="11" t="str">
        <f ca="1">+WORLDCUP!BD68</f>
        <v>RD Congo</v>
      </c>
      <c r="N8" s="11" t="s">
        <v>478</v>
      </c>
      <c r="O8" s="11">
        <v>7</v>
      </c>
      <c r="P8" s="11" t="s">
        <v>93</v>
      </c>
      <c r="Q8" s="11" t="s">
        <v>435</v>
      </c>
      <c r="R8" s="11" t="s">
        <v>440</v>
      </c>
      <c r="S8" s="11" t="s">
        <v>92</v>
      </c>
      <c r="T8" s="11" t="s">
        <v>436</v>
      </c>
      <c r="U8" s="11" t="s">
        <v>94</v>
      </c>
      <c r="V8" s="11" t="s">
        <v>443</v>
      </c>
      <c r="W8" s="11" t="s">
        <v>442</v>
      </c>
    </row>
    <row r="9" spans="1:23">
      <c r="A9" s="11" t="s">
        <v>477</v>
      </c>
      <c r="B9" s="11">
        <f ca="1">+IF(A9=WORLDCUP!$BI$112,1,0)</f>
        <v>0</v>
      </c>
      <c r="C9" s="11" t="str">
        <f ca="1">+WORLDCUP!BD62</f>
        <v>Ecuador</v>
      </c>
      <c r="D9" s="11" t="str">
        <f ca="1">+WORLDCUP!BD64</f>
        <v>Bélgica</v>
      </c>
      <c r="E9" s="11" t="str">
        <f ca="1">+WORLDCUP!BD67</f>
        <v>Jordania</v>
      </c>
      <c r="F9" s="11" t="str">
        <f ca="1">+WORLDCUP!BD61</f>
        <v>Paraguay</v>
      </c>
      <c r="G9" s="11" t="str">
        <f ca="1">+WORLDCUP!BD65</f>
        <v>España</v>
      </c>
      <c r="H9" s="11" t="str">
        <f ca="1">+WORLDCUP!BD63</f>
        <v>Japón</v>
      </c>
      <c r="I9" s="11" t="str">
        <f ca="1">+WORLDCUP!BD69</f>
        <v>Panamá</v>
      </c>
      <c r="J9" s="11" t="str">
        <f ca="1">+WORLDCUP!BD66</f>
        <v>Senegal</v>
      </c>
      <c r="N9" s="11" t="s">
        <v>477</v>
      </c>
      <c r="O9" s="11">
        <v>8</v>
      </c>
      <c r="P9" s="11" t="s">
        <v>93</v>
      </c>
      <c r="Q9" s="11" t="s">
        <v>435</v>
      </c>
      <c r="R9" s="11" t="s">
        <v>441</v>
      </c>
      <c r="S9" s="11" t="s">
        <v>92</v>
      </c>
      <c r="T9" s="11" t="s">
        <v>436</v>
      </c>
      <c r="U9" s="11" t="s">
        <v>94</v>
      </c>
      <c r="V9" s="11" t="s">
        <v>443</v>
      </c>
      <c r="W9" s="11" t="s">
        <v>440</v>
      </c>
    </row>
    <row r="10" spans="1:23">
      <c r="A10" s="11" t="s">
        <v>476</v>
      </c>
      <c r="B10" s="11">
        <f ca="1">+IF(A10=WORLDCUP!$BI$112,1,0)</f>
        <v>0</v>
      </c>
      <c r="C10" s="11" t="str">
        <f ca="1">+WORLDCUP!BD62</f>
        <v>Ecuador</v>
      </c>
      <c r="D10" s="11" t="str">
        <f ca="1">+WORLDCUP!BD64</f>
        <v>Bélgica</v>
      </c>
      <c r="E10" s="11" t="str">
        <f ca="1">+WORLDCUP!BD67</f>
        <v>Jordania</v>
      </c>
      <c r="F10" s="11" t="str">
        <f ca="1">+WORLDCUP!BD61</f>
        <v>Paraguay</v>
      </c>
      <c r="G10" s="11" t="str">
        <f ca="1">+WORLDCUP!BD65</f>
        <v>España</v>
      </c>
      <c r="H10" s="11" t="str">
        <f ca="1">+WORLDCUP!BD63</f>
        <v>Japón</v>
      </c>
      <c r="I10" s="11" t="str">
        <f ca="1">+WORLDCUP!BD66</f>
        <v>Senegal</v>
      </c>
      <c r="J10" s="11" t="str">
        <f ca="1">+WORLDCUP!BD68</f>
        <v>RD Congo</v>
      </c>
      <c r="N10" s="11" t="s">
        <v>476</v>
      </c>
      <c r="O10" s="11">
        <v>9</v>
      </c>
      <c r="P10" s="11" t="s">
        <v>93</v>
      </c>
      <c r="Q10" s="11" t="s">
        <v>435</v>
      </c>
      <c r="R10" s="11" t="s">
        <v>441</v>
      </c>
      <c r="S10" s="11" t="s">
        <v>92</v>
      </c>
      <c r="T10" s="11" t="s">
        <v>436</v>
      </c>
      <c r="U10" s="11" t="s">
        <v>94</v>
      </c>
      <c r="V10" s="11" t="s">
        <v>440</v>
      </c>
      <c r="W10" s="11" t="s">
        <v>442</v>
      </c>
    </row>
    <row r="11" spans="1:23">
      <c r="A11" s="11" t="s">
        <v>610</v>
      </c>
      <c r="B11" s="11">
        <f ca="1">+IF(A11=WORLDCUP!$BI$112,1,0)</f>
        <v>0</v>
      </c>
      <c r="C11" s="11" t="str">
        <f ca="1">+WORLDCUP!BD65</f>
        <v>España</v>
      </c>
      <c r="D11" s="11" t="str">
        <f ca="1">+WORLDCUP!BD64</f>
        <v>Bélgica</v>
      </c>
      <c r="E11" s="11" t="str">
        <f ca="1">+WORLDCUP!BD66</f>
        <v>Senegal</v>
      </c>
      <c r="F11" s="11" t="str">
        <f ca="1">+WORLDCUP!BD60</f>
        <v>Escocia</v>
      </c>
      <c r="G11" s="11" t="str">
        <f ca="1">+WORLDCUP!BD67</f>
        <v>Jordania</v>
      </c>
      <c r="H11" s="11" t="str">
        <f ca="1">+WORLDCUP!BD63</f>
        <v>Japón</v>
      </c>
      <c r="I11" s="11" t="str">
        <f ca="1">+WORLDCUP!BD69</f>
        <v>Panamá</v>
      </c>
      <c r="J11" s="11" t="str">
        <f ca="1">+WORLDCUP!BD68</f>
        <v>RD Congo</v>
      </c>
      <c r="N11" s="11" t="s">
        <v>610</v>
      </c>
      <c r="O11" s="11">
        <v>10</v>
      </c>
      <c r="P11" s="11" t="s">
        <v>436</v>
      </c>
      <c r="Q11" s="11" t="s">
        <v>435</v>
      </c>
      <c r="R11" s="11" t="s">
        <v>440</v>
      </c>
      <c r="S11" s="11" t="s">
        <v>91</v>
      </c>
      <c r="T11" s="11" t="s">
        <v>441</v>
      </c>
      <c r="U11" s="11" t="s">
        <v>94</v>
      </c>
      <c r="V11" s="11" t="s">
        <v>443</v>
      </c>
      <c r="W11" s="11" t="s">
        <v>442</v>
      </c>
    </row>
    <row r="12" spans="1:23">
      <c r="A12" s="11" t="s">
        <v>1186</v>
      </c>
      <c r="B12" s="11">
        <f ca="1">+IF(A12=WORLDCUP!$BI$112,1,0)</f>
        <v>0</v>
      </c>
      <c r="C12" s="11" t="str">
        <f ca="1">+WORLDCUP!BD62</f>
        <v>Ecuador</v>
      </c>
      <c r="D12" s="11" t="str">
        <f ca="1">+WORLDCUP!BD67</f>
        <v>Jordania</v>
      </c>
      <c r="E12" s="11" t="str">
        <f ca="1">+WORLDCUP!BD66</f>
        <v>Senegal</v>
      </c>
      <c r="F12" s="11" t="str">
        <f ca="1">+WORLDCUP!BD60</f>
        <v>Escocia</v>
      </c>
      <c r="G12" s="11" t="str">
        <f ca="1">+WORLDCUP!BD65</f>
        <v>España</v>
      </c>
      <c r="H12" s="11" t="str">
        <f ca="1">+WORLDCUP!BD64</f>
        <v>Bélgica</v>
      </c>
      <c r="I12" s="11" t="str">
        <f ca="1">+WORLDCUP!BD69</f>
        <v>Panamá</v>
      </c>
      <c r="J12" s="11" t="str">
        <f ca="1">+WORLDCUP!BD68</f>
        <v>RD Congo</v>
      </c>
      <c r="N12" s="11" t="s">
        <v>1186</v>
      </c>
      <c r="O12" s="11">
        <v>11</v>
      </c>
      <c r="P12" s="11" t="s">
        <v>93</v>
      </c>
      <c r="Q12" s="11" t="s">
        <v>441</v>
      </c>
      <c r="R12" s="11" t="s">
        <v>440</v>
      </c>
      <c r="S12" s="11" t="s">
        <v>91</v>
      </c>
      <c r="T12" s="11" t="s">
        <v>436</v>
      </c>
      <c r="U12" s="11" t="s">
        <v>435</v>
      </c>
      <c r="V12" s="11" t="s">
        <v>443</v>
      </c>
      <c r="W12" s="11" t="s">
        <v>442</v>
      </c>
    </row>
    <row r="13" spans="1:23">
      <c r="A13" s="11" t="s">
        <v>1185</v>
      </c>
      <c r="B13" s="11">
        <f ca="1">+IF(A13=WORLDCUP!$BI$112,1,0)</f>
        <v>0</v>
      </c>
      <c r="C13" s="11" t="str">
        <f ca="1">+WORLDCUP!BD62</f>
        <v>Ecuador</v>
      </c>
      <c r="D13" s="11" t="str">
        <f ca="1">+WORLDCUP!BD67</f>
        <v>Jordania</v>
      </c>
      <c r="E13" s="11" t="str">
        <f ca="1">+WORLDCUP!BD66</f>
        <v>Senegal</v>
      </c>
      <c r="F13" s="11" t="str">
        <f ca="1">+WORLDCUP!BD60</f>
        <v>Escocia</v>
      </c>
      <c r="G13" s="11" t="str">
        <f ca="1">+WORLDCUP!BD65</f>
        <v>España</v>
      </c>
      <c r="H13" s="11" t="str">
        <f ca="1">+WORLDCUP!BD63</f>
        <v>Japón</v>
      </c>
      <c r="I13" s="11" t="str">
        <f ca="1">+WORLDCUP!BD69</f>
        <v>Panamá</v>
      </c>
      <c r="J13" s="11" t="str">
        <f ca="1">+WORLDCUP!BD68</f>
        <v>RD Congo</v>
      </c>
      <c r="N13" s="11" t="s">
        <v>1185</v>
      </c>
      <c r="O13" s="11">
        <v>12</v>
      </c>
      <c r="P13" s="11" t="s">
        <v>93</v>
      </c>
      <c r="Q13" s="11" t="s">
        <v>441</v>
      </c>
      <c r="R13" s="11" t="s">
        <v>440</v>
      </c>
      <c r="S13" s="11" t="s">
        <v>91</v>
      </c>
      <c r="T13" s="11" t="s">
        <v>436</v>
      </c>
      <c r="U13" s="11" t="s">
        <v>94</v>
      </c>
      <c r="V13" s="11" t="s">
        <v>443</v>
      </c>
      <c r="W13" s="11" t="s">
        <v>442</v>
      </c>
    </row>
    <row r="14" spans="1:23">
      <c r="A14" s="11" t="s">
        <v>1184</v>
      </c>
      <c r="B14" s="11">
        <f ca="1">+IF(A14=WORLDCUP!$BI$112,1,0)</f>
        <v>0</v>
      </c>
      <c r="C14" s="11" t="str">
        <f ca="1">+WORLDCUP!BD62</f>
        <v>Ecuador</v>
      </c>
      <c r="D14" s="11" t="str">
        <f ca="1">+WORLDCUP!BD64</f>
        <v>Bélgica</v>
      </c>
      <c r="E14" s="11" t="str">
        <f ca="1">+WORLDCUP!BD66</f>
        <v>Senegal</v>
      </c>
      <c r="F14" s="11" t="str">
        <f ca="1">+WORLDCUP!BD60</f>
        <v>Escocia</v>
      </c>
      <c r="G14" s="11" t="str">
        <f ca="1">+WORLDCUP!BD67</f>
        <v>Jordania</v>
      </c>
      <c r="H14" s="11" t="str">
        <f ca="1">+WORLDCUP!BD63</f>
        <v>Japón</v>
      </c>
      <c r="I14" s="11" t="str">
        <f ca="1">+WORLDCUP!BD69</f>
        <v>Panamá</v>
      </c>
      <c r="J14" s="11" t="str">
        <f ca="1">+WORLDCUP!BD68</f>
        <v>RD Congo</v>
      </c>
      <c r="N14" s="11" t="s">
        <v>1184</v>
      </c>
      <c r="O14" s="11">
        <v>13</v>
      </c>
      <c r="P14" s="11" t="s">
        <v>93</v>
      </c>
      <c r="Q14" s="11" t="s">
        <v>435</v>
      </c>
      <c r="R14" s="11" t="s">
        <v>440</v>
      </c>
      <c r="S14" s="11" t="s">
        <v>91</v>
      </c>
      <c r="T14" s="11" t="s">
        <v>441</v>
      </c>
      <c r="U14" s="11" t="s">
        <v>94</v>
      </c>
      <c r="V14" s="11" t="s">
        <v>443</v>
      </c>
      <c r="W14" s="11" t="s">
        <v>442</v>
      </c>
    </row>
    <row r="15" spans="1:23">
      <c r="A15" s="11" t="s">
        <v>1183</v>
      </c>
      <c r="B15" s="11">
        <f ca="1">+IF(A15=WORLDCUP!$BI$112,1,0)</f>
        <v>0</v>
      </c>
      <c r="C15" s="11" t="str">
        <f ca="1">+WORLDCUP!BD62</f>
        <v>Ecuador</v>
      </c>
      <c r="D15" s="11" t="str">
        <f ca="1">+WORLDCUP!BD64</f>
        <v>Bélgica</v>
      </c>
      <c r="E15" s="11" t="str">
        <f ca="1">+WORLDCUP!BD67</f>
        <v>Jordania</v>
      </c>
      <c r="F15" s="11" t="str">
        <f ca="1">+WORLDCUP!BD60</f>
        <v>Escocia</v>
      </c>
      <c r="G15" s="11" t="str">
        <f ca="1">+WORLDCUP!BD65</f>
        <v>España</v>
      </c>
      <c r="H15" s="11" t="str">
        <f ca="1">+WORLDCUP!BD63</f>
        <v>Japón</v>
      </c>
      <c r="I15" s="11" t="str">
        <f ca="1">+WORLDCUP!BD69</f>
        <v>Panamá</v>
      </c>
      <c r="J15" s="11" t="str">
        <f ca="1">+WORLDCUP!BD68</f>
        <v>RD Congo</v>
      </c>
      <c r="N15" s="11" t="s">
        <v>1183</v>
      </c>
      <c r="O15" s="11">
        <v>14</v>
      </c>
      <c r="P15" s="11" t="s">
        <v>93</v>
      </c>
      <c r="Q15" s="11" t="s">
        <v>435</v>
      </c>
      <c r="R15" s="11" t="s">
        <v>441</v>
      </c>
      <c r="S15" s="11" t="s">
        <v>91</v>
      </c>
      <c r="T15" s="11" t="s">
        <v>436</v>
      </c>
      <c r="U15" s="11" t="s">
        <v>94</v>
      </c>
      <c r="V15" s="11" t="s">
        <v>443</v>
      </c>
      <c r="W15" s="11" t="s">
        <v>442</v>
      </c>
    </row>
    <row r="16" spans="1:23">
      <c r="A16" s="11" t="s">
        <v>609</v>
      </c>
      <c r="B16" s="11">
        <f ca="1">+IF(A16=WORLDCUP!$BI$112,1,0)</f>
        <v>0</v>
      </c>
      <c r="C16" s="11" t="str">
        <f ca="1">+WORLDCUP!BD62</f>
        <v>Ecuador</v>
      </c>
      <c r="D16" s="11" t="str">
        <f ca="1">+WORLDCUP!BD64</f>
        <v>Bélgica</v>
      </c>
      <c r="E16" s="11" t="str">
        <f ca="1">+WORLDCUP!BD66</f>
        <v>Senegal</v>
      </c>
      <c r="F16" s="11" t="str">
        <f ca="1">+WORLDCUP!BD60</f>
        <v>Escocia</v>
      </c>
      <c r="G16" s="11" t="str">
        <f ca="1">+WORLDCUP!BD65</f>
        <v>España</v>
      </c>
      <c r="H16" s="11" t="str">
        <f ca="1">+WORLDCUP!BD63</f>
        <v>Japón</v>
      </c>
      <c r="I16" s="11" t="str">
        <f ca="1">+WORLDCUP!BD69</f>
        <v>Panamá</v>
      </c>
      <c r="J16" s="11" t="str">
        <f ca="1">+WORLDCUP!BD68</f>
        <v>RD Congo</v>
      </c>
      <c r="N16" s="11" t="s">
        <v>609</v>
      </c>
      <c r="O16" s="11">
        <v>15</v>
      </c>
      <c r="P16" s="11" t="s">
        <v>93</v>
      </c>
      <c r="Q16" s="11" t="s">
        <v>435</v>
      </c>
      <c r="R16" s="11" t="s">
        <v>440</v>
      </c>
      <c r="S16" s="11" t="s">
        <v>91</v>
      </c>
      <c r="T16" s="11" t="s">
        <v>436</v>
      </c>
      <c r="U16" s="11" t="s">
        <v>94</v>
      </c>
      <c r="V16" s="11" t="s">
        <v>443</v>
      </c>
      <c r="W16" s="11" t="s">
        <v>442</v>
      </c>
    </row>
    <row r="17" spans="1:23">
      <c r="A17" s="11" t="s">
        <v>608</v>
      </c>
      <c r="B17" s="11">
        <f ca="1">+IF(A17=WORLDCUP!$BI$112,1,0)</f>
        <v>0</v>
      </c>
      <c r="C17" s="11" t="str">
        <f ca="1">+WORLDCUP!BD62</f>
        <v>Ecuador</v>
      </c>
      <c r="D17" s="11" t="str">
        <f ca="1">+WORLDCUP!BD64</f>
        <v>Bélgica</v>
      </c>
      <c r="E17" s="11" t="str">
        <f ca="1">+WORLDCUP!BD67</f>
        <v>Jordania</v>
      </c>
      <c r="F17" s="11" t="str">
        <f ca="1">+WORLDCUP!BD60</f>
        <v>Escocia</v>
      </c>
      <c r="G17" s="11" t="str">
        <f ca="1">+WORLDCUP!BD65</f>
        <v>España</v>
      </c>
      <c r="H17" s="11" t="str">
        <f ca="1">+WORLDCUP!BD63</f>
        <v>Japón</v>
      </c>
      <c r="I17" s="11" t="str">
        <f ca="1">+WORLDCUP!BD69</f>
        <v>Panamá</v>
      </c>
      <c r="J17" s="11" t="str">
        <f ca="1">+WORLDCUP!BD66</f>
        <v>Senegal</v>
      </c>
      <c r="N17" s="11" t="s">
        <v>608</v>
      </c>
      <c r="O17" s="11">
        <v>16</v>
      </c>
      <c r="P17" s="11" t="s">
        <v>93</v>
      </c>
      <c r="Q17" s="11" t="s">
        <v>435</v>
      </c>
      <c r="R17" s="11" t="s">
        <v>441</v>
      </c>
      <c r="S17" s="11" t="s">
        <v>91</v>
      </c>
      <c r="T17" s="11" t="s">
        <v>436</v>
      </c>
      <c r="U17" s="11" t="s">
        <v>94</v>
      </c>
      <c r="V17" s="11" t="s">
        <v>443</v>
      </c>
      <c r="W17" s="11" t="s">
        <v>440</v>
      </c>
    </row>
    <row r="18" spans="1:23">
      <c r="A18" s="11" t="s">
        <v>607</v>
      </c>
      <c r="B18" s="11">
        <f ca="1">+IF(A18=WORLDCUP!$BI$112,1,0)</f>
        <v>0</v>
      </c>
      <c r="C18" s="11" t="str">
        <f ca="1">+WORLDCUP!BD62</f>
        <v>Ecuador</v>
      </c>
      <c r="D18" s="11" t="str">
        <f ca="1">+WORLDCUP!BD64</f>
        <v>Bélgica</v>
      </c>
      <c r="E18" s="11" t="str">
        <f ca="1">+WORLDCUP!BD67</f>
        <v>Jordania</v>
      </c>
      <c r="F18" s="11" t="str">
        <f ca="1">+WORLDCUP!BD60</f>
        <v>Escocia</v>
      </c>
      <c r="G18" s="11" t="str">
        <f ca="1">+WORLDCUP!BD65</f>
        <v>España</v>
      </c>
      <c r="H18" s="11" t="str">
        <f ca="1">+WORLDCUP!BD63</f>
        <v>Japón</v>
      </c>
      <c r="I18" s="11" t="str">
        <f ca="1">+WORLDCUP!BD66</f>
        <v>Senegal</v>
      </c>
      <c r="J18" s="11" t="str">
        <f ca="1">+WORLDCUP!BD68</f>
        <v>RD Congo</v>
      </c>
      <c r="N18" s="11" t="s">
        <v>607</v>
      </c>
      <c r="O18" s="11">
        <v>17</v>
      </c>
      <c r="P18" s="11" t="s">
        <v>93</v>
      </c>
      <c r="Q18" s="11" t="s">
        <v>435</v>
      </c>
      <c r="R18" s="11" t="s">
        <v>441</v>
      </c>
      <c r="S18" s="11" t="s">
        <v>91</v>
      </c>
      <c r="T18" s="11" t="s">
        <v>436</v>
      </c>
      <c r="U18" s="11" t="s">
        <v>94</v>
      </c>
      <c r="V18" s="11" t="s">
        <v>440</v>
      </c>
      <c r="W18" s="11" t="s">
        <v>442</v>
      </c>
    </row>
    <row r="19" spans="1:23">
      <c r="A19" s="11" t="s">
        <v>1182</v>
      </c>
      <c r="B19" s="11">
        <f ca="1">+IF(A19=WORLDCUP!$BI$112,1,0)</f>
        <v>0</v>
      </c>
      <c r="C19" s="11" t="str">
        <f ca="1">+WORLDCUP!BD65</f>
        <v>España</v>
      </c>
      <c r="D19" s="11" t="str">
        <f ca="1">+WORLDCUP!BD64</f>
        <v>Bélgica</v>
      </c>
      <c r="E19" s="11" t="str">
        <f ca="1">+WORLDCUP!BD66</f>
        <v>Senegal</v>
      </c>
      <c r="F19" s="11" t="str">
        <f ca="1">+WORLDCUP!BD60</f>
        <v>Escocia</v>
      </c>
      <c r="G19" s="11" t="str">
        <f ca="1">+WORLDCUP!BD67</f>
        <v>Jordania</v>
      </c>
      <c r="H19" s="11" t="str">
        <f ca="1">+WORLDCUP!BD61</f>
        <v>Paraguay</v>
      </c>
      <c r="I19" s="11" t="str">
        <f ca="1">+WORLDCUP!BD69</f>
        <v>Panamá</v>
      </c>
      <c r="J19" s="11" t="str">
        <f ca="1">+WORLDCUP!BD68</f>
        <v>RD Congo</v>
      </c>
      <c r="N19" s="11" t="s">
        <v>1182</v>
      </c>
      <c r="O19" s="11">
        <v>18</v>
      </c>
      <c r="P19" s="11" t="s">
        <v>436</v>
      </c>
      <c r="Q19" s="11" t="s">
        <v>435</v>
      </c>
      <c r="R19" s="11" t="s">
        <v>440</v>
      </c>
      <c r="S19" s="11" t="s">
        <v>91</v>
      </c>
      <c r="T19" s="11" t="s">
        <v>441</v>
      </c>
      <c r="U19" s="11" t="s">
        <v>92</v>
      </c>
      <c r="V19" s="11" t="s">
        <v>443</v>
      </c>
      <c r="W19" s="11" t="s">
        <v>442</v>
      </c>
    </row>
    <row r="20" spans="1:23">
      <c r="A20" s="11" t="s">
        <v>1181</v>
      </c>
      <c r="B20" s="11">
        <f ca="1">+IF(A20=WORLDCUP!$BI$112,1,0)</f>
        <v>0</v>
      </c>
      <c r="C20" s="11" t="str">
        <f ca="1">+WORLDCUP!BD60</f>
        <v>Escocia</v>
      </c>
      <c r="D20" s="11" t="str">
        <f ca="1">+WORLDCUP!BD67</f>
        <v>Jordania</v>
      </c>
      <c r="E20" s="11" t="str">
        <f ca="1">+WORLDCUP!BD66</f>
        <v>Senegal</v>
      </c>
      <c r="F20" s="11" t="str">
        <f ca="1">+WORLDCUP!BD61</f>
        <v>Paraguay</v>
      </c>
      <c r="G20" s="11" t="str">
        <f ca="1">+WORLDCUP!BD65</f>
        <v>España</v>
      </c>
      <c r="H20" s="11" t="str">
        <f ca="1">+WORLDCUP!BD63</f>
        <v>Japón</v>
      </c>
      <c r="I20" s="11" t="str">
        <f ca="1">+WORLDCUP!BD69</f>
        <v>Panamá</v>
      </c>
      <c r="J20" s="11" t="str">
        <f ca="1">+WORLDCUP!BD68</f>
        <v>RD Congo</v>
      </c>
      <c r="N20" s="11" t="s">
        <v>1181</v>
      </c>
      <c r="O20" s="11">
        <v>19</v>
      </c>
      <c r="P20" s="11" t="s">
        <v>91</v>
      </c>
      <c r="Q20" s="11" t="s">
        <v>441</v>
      </c>
      <c r="R20" s="11" t="s">
        <v>440</v>
      </c>
      <c r="S20" s="11" t="s">
        <v>92</v>
      </c>
      <c r="T20" s="11" t="s">
        <v>436</v>
      </c>
      <c r="U20" s="11" t="s">
        <v>94</v>
      </c>
      <c r="V20" s="11" t="s">
        <v>443</v>
      </c>
      <c r="W20" s="11" t="s">
        <v>442</v>
      </c>
    </row>
    <row r="21" spans="1:23">
      <c r="A21" s="11" t="s">
        <v>1180</v>
      </c>
      <c r="B21" s="11">
        <f ca="1">+IF(A21=WORLDCUP!$BI$112,1,0)</f>
        <v>0</v>
      </c>
      <c r="C21" s="11" t="str">
        <f ca="1">+WORLDCUP!BD60</f>
        <v>Escocia</v>
      </c>
      <c r="D21" s="11" t="str">
        <f ca="1">+WORLDCUP!BD64</f>
        <v>Bélgica</v>
      </c>
      <c r="E21" s="11" t="str">
        <f ca="1">+WORLDCUP!BD66</f>
        <v>Senegal</v>
      </c>
      <c r="F21" s="11" t="str">
        <f ca="1">+WORLDCUP!BD61</f>
        <v>Paraguay</v>
      </c>
      <c r="G21" s="11" t="str">
        <f ca="1">+WORLDCUP!BD67</f>
        <v>Jordania</v>
      </c>
      <c r="H21" s="11" t="str">
        <f ca="1">+WORLDCUP!BD63</f>
        <v>Japón</v>
      </c>
      <c r="I21" s="11" t="str">
        <f ca="1">+WORLDCUP!BD69</f>
        <v>Panamá</v>
      </c>
      <c r="J21" s="11" t="str">
        <f ca="1">+WORLDCUP!BD68</f>
        <v>RD Congo</v>
      </c>
      <c r="N21" s="11" t="s">
        <v>1180</v>
      </c>
      <c r="O21" s="11">
        <v>20</v>
      </c>
      <c r="P21" s="11" t="s">
        <v>91</v>
      </c>
      <c r="Q21" s="11" t="s">
        <v>435</v>
      </c>
      <c r="R21" s="11" t="s">
        <v>440</v>
      </c>
      <c r="S21" s="11" t="s">
        <v>92</v>
      </c>
      <c r="T21" s="11" t="s">
        <v>441</v>
      </c>
      <c r="U21" s="11" t="s">
        <v>94</v>
      </c>
      <c r="V21" s="11" t="s">
        <v>443</v>
      </c>
      <c r="W21" s="11" t="s">
        <v>442</v>
      </c>
    </row>
    <row r="22" spans="1:23">
      <c r="A22" s="11" t="s">
        <v>1179</v>
      </c>
      <c r="B22" s="11">
        <f ca="1">+IF(A22=WORLDCUP!$BI$112,1,0)</f>
        <v>0</v>
      </c>
      <c r="C22" s="11" t="str">
        <f ca="1">+WORLDCUP!BD60</f>
        <v>Escocia</v>
      </c>
      <c r="D22" s="11" t="str">
        <f ca="1">+WORLDCUP!BD64</f>
        <v>Bélgica</v>
      </c>
      <c r="E22" s="11" t="str">
        <f ca="1">+WORLDCUP!BD67</f>
        <v>Jordania</v>
      </c>
      <c r="F22" s="11" t="str">
        <f ca="1">+WORLDCUP!BD61</f>
        <v>Paraguay</v>
      </c>
      <c r="G22" s="11" t="str">
        <f ca="1">+WORLDCUP!BD65</f>
        <v>España</v>
      </c>
      <c r="H22" s="11" t="str">
        <f ca="1">+WORLDCUP!BD63</f>
        <v>Japón</v>
      </c>
      <c r="I22" s="11" t="str">
        <f ca="1">+WORLDCUP!BD69</f>
        <v>Panamá</v>
      </c>
      <c r="J22" s="11" t="str">
        <f ca="1">+WORLDCUP!BD68</f>
        <v>RD Congo</v>
      </c>
      <c r="N22" s="11" t="s">
        <v>1179</v>
      </c>
      <c r="O22" s="11">
        <v>21</v>
      </c>
      <c r="P22" s="11" t="s">
        <v>91</v>
      </c>
      <c r="Q22" s="11" t="s">
        <v>435</v>
      </c>
      <c r="R22" s="11" t="s">
        <v>441</v>
      </c>
      <c r="S22" s="11" t="s">
        <v>92</v>
      </c>
      <c r="T22" s="11" t="s">
        <v>436</v>
      </c>
      <c r="U22" s="11" t="s">
        <v>94</v>
      </c>
      <c r="V22" s="11" t="s">
        <v>443</v>
      </c>
      <c r="W22" s="11" t="s">
        <v>442</v>
      </c>
    </row>
    <row r="23" spans="1:23">
      <c r="A23" s="11" t="s">
        <v>1178</v>
      </c>
      <c r="B23" s="11">
        <f ca="1">+IF(A23=WORLDCUP!$BI$112,1,0)</f>
        <v>0</v>
      </c>
      <c r="C23" s="11" t="str">
        <f ca="1">+WORLDCUP!BD60</f>
        <v>Escocia</v>
      </c>
      <c r="D23" s="11" t="str">
        <f ca="1">+WORLDCUP!BD64</f>
        <v>Bélgica</v>
      </c>
      <c r="E23" s="11" t="str">
        <f ca="1">+WORLDCUP!BD66</f>
        <v>Senegal</v>
      </c>
      <c r="F23" s="11" t="str">
        <f ca="1">+WORLDCUP!BD61</f>
        <v>Paraguay</v>
      </c>
      <c r="G23" s="11" t="str">
        <f ca="1">+WORLDCUP!BD65</f>
        <v>España</v>
      </c>
      <c r="H23" s="11" t="str">
        <f ca="1">+WORLDCUP!BD63</f>
        <v>Japón</v>
      </c>
      <c r="I23" s="11" t="str">
        <f ca="1">+WORLDCUP!BD69</f>
        <v>Panamá</v>
      </c>
      <c r="J23" s="11" t="str">
        <f ca="1">+WORLDCUP!BD68</f>
        <v>RD Congo</v>
      </c>
      <c r="N23" s="11" t="s">
        <v>1178</v>
      </c>
      <c r="O23" s="11">
        <v>22</v>
      </c>
      <c r="P23" s="11" t="s">
        <v>91</v>
      </c>
      <c r="Q23" s="11" t="s">
        <v>435</v>
      </c>
      <c r="R23" s="11" t="s">
        <v>440</v>
      </c>
      <c r="S23" s="11" t="s">
        <v>92</v>
      </c>
      <c r="T23" s="11" t="s">
        <v>436</v>
      </c>
      <c r="U23" s="11" t="s">
        <v>94</v>
      </c>
      <c r="V23" s="11" t="s">
        <v>443</v>
      </c>
      <c r="W23" s="11" t="s">
        <v>442</v>
      </c>
    </row>
    <row r="24" spans="1:23">
      <c r="A24" s="11" t="s">
        <v>1177</v>
      </c>
      <c r="B24" s="11">
        <f ca="1">+IF(A24=WORLDCUP!$BI$112,1,0)</f>
        <v>0</v>
      </c>
      <c r="C24" s="11" t="str">
        <f ca="1">+WORLDCUP!BD60</f>
        <v>Escocia</v>
      </c>
      <c r="D24" s="11" t="str">
        <f ca="1">+WORLDCUP!BD64</f>
        <v>Bélgica</v>
      </c>
      <c r="E24" s="11" t="str">
        <f ca="1">+WORLDCUP!BD67</f>
        <v>Jordania</v>
      </c>
      <c r="F24" s="11" t="str">
        <f ca="1">+WORLDCUP!BD61</f>
        <v>Paraguay</v>
      </c>
      <c r="G24" s="11" t="str">
        <f ca="1">+WORLDCUP!BD65</f>
        <v>España</v>
      </c>
      <c r="H24" s="11" t="str">
        <f ca="1">+WORLDCUP!BD63</f>
        <v>Japón</v>
      </c>
      <c r="I24" s="11" t="str">
        <f ca="1">+WORLDCUP!BD69</f>
        <v>Panamá</v>
      </c>
      <c r="J24" s="11" t="str">
        <f ca="1">+WORLDCUP!BD66</f>
        <v>Senegal</v>
      </c>
      <c r="N24" s="11" t="s">
        <v>1177</v>
      </c>
      <c r="O24" s="11">
        <v>23</v>
      </c>
      <c r="P24" s="11" t="s">
        <v>91</v>
      </c>
      <c r="Q24" s="11" t="s">
        <v>435</v>
      </c>
      <c r="R24" s="11" t="s">
        <v>441</v>
      </c>
      <c r="S24" s="11" t="s">
        <v>92</v>
      </c>
      <c r="T24" s="11" t="s">
        <v>436</v>
      </c>
      <c r="U24" s="11" t="s">
        <v>94</v>
      </c>
      <c r="V24" s="11" t="s">
        <v>443</v>
      </c>
      <c r="W24" s="11" t="s">
        <v>440</v>
      </c>
    </row>
    <row r="25" spans="1:23">
      <c r="A25" s="11" t="s">
        <v>1176</v>
      </c>
      <c r="B25" s="11">
        <f ca="1">+IF(A25=WORLDCUP!$BI$112,1,0)</f>
        <v>0</v>
      </c>
      <c r="C25" s="11" t="str">
        <f ca="1">+WORLDCUP!BD60</f>
        <v>Escocia</v>
      </c>
      <c r="D25" s="11" t="str">
        <f ca="1">+WORLDCUP!BD64</f>
        <v>Bélgica</v>
      </c>
      <c r="E25" s="11" t="str">
        <f ca="1">+WORLDCUP!BD67</f>
        <v>Jordania</v>
      </c>
      <c r="F25" s="11" t="str">
        <f ca="1">+WORLDCUP!BD61</f>
        <v>Paraguay</v>
      </c>
      <c r="G25" s="11" t="str">
        <f ca="1">+WORLDCUP!BD65</f>
        <v>España</v>
      </c>
      <c r="H25" s="11" t="str">
        <f ca="1">+WORLDCUP!BD63</f>
        <v>Japón</v>
      </c>
      <c r="I25" s="11" t="str">
        <f ca="1">+WORLDCUP!BD66</f>
        <v>Senegal</v>
      </c>
      <c r="J25" s="11" t="str">
        <f ca="1">+WORLDCUP!BD68</f>
        <v>RD Congo</v>
      </c>
      <c r="N25" s="11" t="s">
        <v>1176</v>
      </c>
      <c r="O25" s="11">
        <v>24</v>
      </c>
      <c r="P25" s="11" t="s">
        <v>91</v>
      </c>
      <c r="Q25" s="11" t="s">
        <v>435</v>
      </c>
      <c r="R25" s="11" t="s">
        <v>441</v>
      </c>
      <c r="S25" s="11" t="s">
        <v>92</v>
      </c>
      <c r="T25" s="11" t="s">
        <v>436</v>
      </c>
      <c r="U25" s="11" t="s">
        <v>94</v>
      </c>
      <c r="V25" s="11" t="s">
        <v>440</v>
      </c>
      <c r="W25" s="11" t="s">
        <v>442</v>
      </c>
    </row>
    <row r="26" spans="1:23">
      <c r="A26" s="11" t="s">
        <v>1175</v>
      </c>
      <c r="B26" s="11">
        <f ca="1">+IF(A26=WORLDCUP!$BI$112,1,0)</f>
        <v>0</v>
      </c>
      <c r="C26" s="11" t="str">
        <f ca="1">+WORLDCUP!BD62</f>
        <v>Ecuador</v>
      </c>
      <c r="D26" s="11" t="str">
        <f ca="1">+WORLDCUP!BD67</f>
        <v>Jordania</v>
      </c>
      <c r="E26" s="11" t="str">
        <f ca="1">+WORLDCUP!BD66</f>
        <v>Senegal</v>
      </c>
      <c r="F26" s="11" t="str">
        <f ca="1">+WORLDCUP!BD60</f>
        <v>Escocia</v>
      </c>
      <c r="G26" s="11" t="str">
        <f ca="1">+WORLDCUP!BD65</f>
        <v>España</v>
      </c>
      <c r="H26" s="11" t="str">
        <f ca="1">+WORLDCUP!BD61</f>
        <v>Paraguay</v>
      </c>
      <c r="I26" s="11" t="str">
        <f ca="1">+WORLDCUP!BD69</f>
        <v>Panamá</v>
      </c>
      <c r="J26" s="11" t="str">
        <f ca="1">+WORLDCUP!BD68</f>
        <v>RD Congo</v>
      </c>
      <c r="N26" s="11" t="s">
        <v>1175</v>
      </c>
      <c r="O26" s="11">
        <v>25</v>
      </c>
      <c r="P26" s="11" t="s">
        <v>93</v>
      </c>
      <c r="Q26" s="11" t="s">
        <v>441</v>
      </c>
      <c r="R26" s="11" t="s">
        <v>440</v>
      </c>
      <c r="S26" s="11" t="s">
        <v>91</v>
      </c>
      <c r="T26" s="11" t="s">
        <v>436</v>
      </c>
      <c r="U26" s="11" t="s">
        <v>92</v>
      </c>
      <c r="V26" s="11" t="s">
        <v>443</v>
      </c>
      <c r="W26" s="11" t="s">
        <v>442</v>
      </c>
    </row>
    <row r="27" spans="1:23">
      <c r="A27" s="11" t="s">
        <v>1174</v>
      </c>
      <c r="B27" s="11">
        <f ca="1">+IF(A27=WORLDCUP!$BI$112,1,0)</f>
        <v>0</v>
      </c>
      <c r="C27" s="11" t="str">
        <f ca="1">+WORLDCUP!BD62</f>
        <v>Ecuador</v>
      </c>
      <c r="D27" s="11" t="str">
        <f ca="1">+WORLDCUP!BD64</f>
        <v>Bélgica</v>
      </c>
      <c r="E27" s="11" t="str">
        <f ca="1">+WORLDCUP!BD66</f>
        <v>Senegal</v>
      </c>
      <c r="F27" s="11" t="str">
        <f ca="1">+WORLDCUP!BD60</f>
        <v>Escocia</v>
      </c>
      <c r="G27" s="11" t="str">
        <f ca="1">+WORLDCUP!BD67</f>
        <v>Jordania</v>
      </c>
      <c r="H27" s="11" t="str">
        <f ca="1">+WORLDCUP!BD61</f>
        <v>Paraguay</v>
      </c>
      <c r="I27" s="11" t="str">
        <f ca="1">+WORLDCUP!BD69</f>
        <v>Panamá</v>
      </c>
      <c r="J27" s="11" t="str">
        <f ca="1">+WORLDCUP!BD68</f>
        <v>RD Congo</v>
      </c>
      <c r="N27" s="11" t="s">
        <v>1174</v>
      </c>
      <c r="O27" s="11">
        <v>26</v>
      </c>
      <c r="P27" s="11" t="s">
        <v>93</v>
      </c>
      <c r="Q27" s="11" t="s">
        <v>435</v>
      </c>
      <c r="R27" s="11" t="s">
        <v>440</v>
      </c>
      <c r="S27" s="11" t="s">
        <v>91</v>
      </c>
      <c r="T27" s="11" t="s">
        <v>441</v>
      </c>
      <c r="U27" s="11" t="s">
        <v>92</v>
      </c>
      <c r="V27" s="11" t="s">
        <v>443</v>
      </c>
      <c r="W27" s="11" t="s">
        <v>442</v>
      </c>
    </row>
    <row r="28" spans="1:23">
      <c r="A28" s="11" t="s">
        <v>1173</v>
      </c>
      <c r="B28" s="11">
        <f ca="1">+IF(A28=WORLDCUP!$BI$112,1,0)</f>
        <v>0</v>
      </c>
      <c r="C28" s="11" t="str">
        <f ca="1">+WORLDCUP!BD62</f>
        <v>Ecuador</v>
      </c>
      <c r="D28" s="11" t="str">
        <f ca="1">+WORLDCUP!BD64</f>
        <v>Bélgica</v>
      </c>
      <c r="E28" s="11" t="str">
        <f ca="1">+WORLDCUP!BD67</f>
        <v>Jordania</v>
      </c>
      <c r="F28" s="11" t="str">
        <f ca="1">+WORLDCUP!BD60</f>
        <v>Escocia</v>
      </c>
      <c r="G28" s="11" t="str">
        <f ca="1">+WORLDCUP!BD65</f>
        <v>España</v>
      </c>
      <c r="H28" s="11" t="str">
        <f ca="1">+WORLDCUP!BD61</f>
        <v>Paraguay</v>
      </c>
      <c r="I28" s="11" t="str">
        <f ca="1">+WORLDCUP!BD69</f>
        <v>Panamá</v>
      </c>
      <c r="J28" s="11" t="str">
        <f ca="1">+WORLDCUP!BD68</f>
        <v>RD Congo</v>
      </c>
      <c r="N28" s="11" t="s">
        <v>1173</v>
      </c>
      <c r="O28" s="11">
        <v>27</v>
      </c>
      <c r="P28" s="11" t="s">
        <v>93</v>
      </c>
      <c r="Q28" s="11" t="s">
        <v>435</v>
      </c>
      <c r="R28" s="11" t="s">
        <v>441</v>
      </c>
      <c r="S28" s="11" t="s">
        <v>91</v>
      </c>
      <c r="T28" s="11" t="s">
        <v>436</v>
      </c>
      <c r="U28" s="11" t="s">
        <v>92</v>
      </c>
      <c r="V28" s="11" t="s">
        <v>443</v>
      </c>
      <c r="W28" s="11" t="s">
        <v>442</v>
      </c>
    </row>
    <row r="29" spans="1:23">
      <c r="A29" s="11" t="s">
        <v>1172</v>
      </c>
      <c r="B29" s="11">
        <f ca="1">+IF(A29=WORLDCUP!$BI$112,1,0)</f>
        <v>0</v>
      </c>
      <c r="C29" s="11" t="str">
        <f ca="1">+WORLDCUP!BD62</f>
        <v>Ecuador</v>
      </c>
      <c r="D29" s="11" t="str">
        <f ca="1">+WORLDCUP!BD64</f>
        <v>Bélgica</v>
      </c>
      <c r="E29" s="11" t="str">
        <f ca="1">+WORLDCUP!BD66</f>
        <v>Senegal</v>
      </c>
      <c r="F29" s="11" t="str">
        <f ca="1">+WORLDCUP!BD60</f>
        <v>Escocia</v>
      </c>
      <c r="G29" s="11" t="str">
        <f ca="1">+WORLDCUP!BD65</f>
        <v>España</v>
      </c>
      <c r="H29" s="11" t="str">
        <f ca="1">+WORLDCUP!BD61</f>
        <v>Paraguay</v>
      </c>
      <c r="I29" s="11" t="str">
        <f ca="1">+WORLDCUP!BD69</f>
        <v>Panamá</v>
      </c>
      <c r="J29" s="11" t="str">
        <f ca="1">+WORLDCUP!BD68</f>
        <v>RD Congo</v>
      </c>
      <c r="N29" s="11" t="s">
        <v>1172</v>
      </c>
      <c r="O29" s="11">
        <v>28</v>
      </c>
      <c r="P29" s="11" t="s">
        <v>93</v>
      </c>
      <c r="Q29" s="11" t="s">
        <v>435</v>
      </c>
      <c r="R29" s="11" t="s">
        <v>440</v>
      </c>
      <c r="S29" s="11" t="s">
        <v>91</v>
      </c>
      <c r="T29" s="11" t="s">
        <v>436</v>
      </c>
      <c r="U29" s="11" t="s">
        <v>92</v>
      </c>
      <c r="V29" s="11" t="s">
        <v>443</v>
      </c>
      <c r="W29" s="11" t="s">
        <v>442</v>
      </c>
    </row>
    <row r="30" spans="1:23">
      <c r="A30" s="11" t="s">
        <v>1171</v>
      </c>
      <c r="B30" s="11">
        <f ca="1">+IF(A30=WORLDCUP!$BI$112,1,0)</f>
        <v>0</v>
      </c>
      <c r="C30" s="11" t="str">
        <f ca="1">+WORLDCUP!BD62</f>
        <v>Ecuador</v>
      </c>
      <c r="D30" s="11" t="str">
        <f ca="1">+WORLDCUP!BD64</f>
        <v>Bélgica</v>
      </c>
      <c r="E30" s="11" t="str">
        <f ca="1">+WORLDCUP!BD67</f>
        <v>Jordania</v>
      </c>
      <c r="F30" s="11" t="str">
        <f ca="1">+WORLDCUP!BD60</f>
        <v>Escocia</v>
      </c>
      <c r="G30" s="11" t="str">
        <f ca="1">+WORLDCUP!BD65</f>
        <v>España</v>
      </c>
      <c r="H30" s="11" t="str">
        <f ca="1">+WORLDCUP!BD61</f>
        <v>Paraguay</v>
      </c>
      <c r="I30" s="11" t="str">
        <f ca="1">+WORLDCUP!BD69</f>
        <v>Panamá</v>
      </c>
      <c r="J30" s="11" t="str">
        <f ca="1">+WORLDCUP!BD66</f>
        <v>Senegal</v>
      </c>
      <c r="N30" s="11" t="s">
        <v>1171</v>
      </c>
      <c r="O30" s="11">
        <v>29</v>
      </c>
      <c r="P30" s="11" t="s">
        <v>93</v>
      </c>
      <c r="Q30" s="11" t="s">
        <v>435</v>
      </c>
      <c r="R30" s="11" t="s">
        <v>441</v>
      </c>
      <c r="S30" s="11" t="s">
        <v>91</v>
      </c>
      <c r="T30" s="11" t="s">
        <v>436</v>
      </c>
      <c r="U30" s="11" t="s">
        <v>92</v>
      </c>
      <c r="V30" s="11" t="s">
        <v>443</v>
      </c>
      <c r="W30" s="11" t="s">
        <v>440</v>
      </c>
    </row>
    <row r="31" spans="1:23">
      <c r="A31" s="11" t="s">
        <v>1170</v>
      </c>
      <c r="B31" s="11">
        <f ca="1">+IF(A31=WORLDCUP!$BI$112,1,0)</f>
        <v>0</v>
      </c>
      <c r="C31" s="11" t="str">
        <f ca="1">+WORLDCUP!BD62</f>
        <v>Ecuador</v>
      </c>
      <c r="D31" s="11" t="str">
        <f ca="1">+WORLDCUP!BD64</f>
        <v>Bélgica</v>
      </c>
      <c r="E31" s="11" t="str">
        <f ca="1">+WORLDCUP!BD67</f>
        <v>Jordania</v>
      </c>
      <c r="F31" s="11" t="str">
        <f ca="1">+WORLDCUP!BD60</f>
        <v>Escocia</v>
      </c>
      <c r="G31" s="11" t="str">
        <f ca="1">+WORLDCUP!BD65</f>
        <v>España</v>
      </c>
      <c r="H31" s="11" t="str">
        <f ca="1">+WORLDCUP!BD61</f>
        <v>Paraguay</v>
      </c>
      <c r="I31" s="11" t="str">
        <f ca="1">+WORLDCUP!BD66</f>
        <v>Senegal</v>
      </c>
      <c r="J31" s="11" t="str">
        <f ca="1">+WORLDCUP!BD68</f>
        <v>RD Congo</v>
      </c>
      <c r="N31" s="11" t="s">
        <v>1170</v>
      </c>
      <c r="O31" s="11">
        <v>30</v>
      </c>
      <c r="P31" s="11" t="s">
        <v>93</v>
      </c>
      <c r="Q31" s="11" t="s">
        <v>435</v>
      </c>
      <c r="R31" s="11" t="s">
        <v>441</v>
      </c>
      <c r="S31" s="11" t="s">
        <v>91</v>
      </c>
      <c r="T31" s="11" t="s">
        <v>436</v>
      </c>
      <c r="U31" s="11" t="s">
        <v>92</v>
      </c>
      <c r="V31" s="11" t="s">
        <v>440</v>
      </c>
      <c r="W31" s="11" t="s">
        <v>442</v>
      </c>
    </row>
    <row r="32" spans="1:23">
      <c r="A32" s="11" t="s">
        <v>1169</v>
      </c>
      <c r="B32" s="11">
        <f ca="1">+IF(A32=WORLDCUP!$BI$112,1,0)</f>
        <v>0</v>
      </c>
      <c r="C32" s="11" t="str">
        <f ca="1">+WORLDCUP!BD60</f>
        <v>Escocia</v>
      </c>
      <c r="D32" s="11" t="str">
        <f ca="1">+WORLDCUP!BD67</f>
        <v>Jordania</v>
      </c>
      <c r="E32" s="11" t="str">
        <f ca="1">+WORLDCUP!BD62</f>
        <v>Ecuador</v>
      </c>
      <c r="F32" s="11" t="str">
        <f ca="1">+WORLDCUP!BD61</f>
        <v>Paraguay</v>
      </c>
      <c r="G32" s="11" t="str">
        <f ca="1">+WORLDCUP!BD66</f>
        <v>Senegal</v>
      </c>
      <c r="H32" s="11" t="str">
        <f ca="1">+WORLDCUP!BD63</f>
        <v>Japón</v>
      </c>
      <c r="I32" s="11" t="str">
        <f ca="1">+WORLDCUP!BD69</f>
        <v>Panamá</v>
      </c>
      <c r="J32" s="11" t="str">
        <f ca="1">+WORLDCUP!BD68</f>
        <v>RD Congo</v>
      </c>
      <c r="N32" s="11" t="s">
        <v>1169</v>
      </c>
      <c r="O32" s="11">
        <v>31</v>
      </c>
      <c r="P32" s="11" t="s">
        <v>91</v>
      </c>
      <c r="Q32" s="11" t="s">
        <v>441</v>
      </c>
      <c r="R32" s="11" t="s">
        <v>93</v>
      </c>
      <c r="S32" s="11" t="s">
        <v>92</v>
      </c>
      <c r="T32" s="11" t="s">
        <v>440</v>
      </c>
      <c r="U32" s="11" t="s">
        <v>94</v>
      </c>
      <c r="V32" s="11" t="s">
        <v>443</v>
      </c>
      <c r="W32" s="11" t="s">
        <v>442</v>
      </c>
    </row>
    <row r="33" spans="1:23">
      <c r="A33" s="11" t="s">
        <v>1168</v>
      </c>
      <c r="B33" s="11">
        <f ca="1">+IF(A33=WORLDCUP!$BI$112,1,0)</f>
        <v>0</v>
      </c>
      <c r="C33" s="11" t="str">
        <f ca="1">+WORLDCUP!BD60</f>
        <v>Escocia</v>
      </c>
      <c r="D33" s="11" t="str">
        <f ca="1">+WORLDCUP!BD67</f>
        <v>Jordania</v>
      </c>
      <c r="E33" s="11" t="str">
        <f ca="1">+WORLDCUP!BD62</f>
        <v>Ecuador</v>
      </c>
      <c r="F33" s="11" t="str">
        <f ca="1">+WORLDCUP!BD61</f>
        <v>Paraguay</v>
      </c>
      <c r="G33" s="11" t="str">
        <f ca="1">+WORLDCUP!BD65</f>
        <v>España</v>
      </c>
      <c r="H33" s="11" t="str">
        <f ca="1">+WORLDCUP!BD63</f>
        <v>Japón</v>
      </c>
      <c r="I33" s="11" t="str">
        <f ca="1">+WORLDCUP!BD69</f>
        <v>Panamá</v>
      </c>
      <c r="J33" s="11" t="str">
        <f ca="1">+WORLDCUP!BD68</f>
        <v>RD Congo</v>
      </c>
      <c r="N33" s="11" t="s">
        <v>1168</v>
      </c>
      <c r="O33" s="11">
        <v>32</v>
      </c>
      <c r="P33" s="11" t="s">
        <v>91</v>
      </c>
      <c r="Q33" s="11" t="s">
        <v>441</v>
      </c>
      <c r="R33" s="11" t="s">
        <v>93</v>
      </c>
      <c r="S33" s="11" t="s">
        <v>92</v>
      </c>
      <c r="T33" s="11" t="s">
        <v>436</v>
      </c>
      <c r="U33" s="11" t="s">
        <v>94</v>
      </c>
      <c r="V33" s="11" t="s">
        <v>443</v>
      </c>
      <c r="W33" s="11" t="s">
        <v>442</v>
      </c>
    </row>
    <row r="34" spans="1:23">
      <c r="A34" s="11" t="s">
        <v>1167</v>
      </c>
      <c r="B34" s="11">
        <f ca="1">+IF(A34=WORLDCUP!$BI$112,1,0)</f>
        <v>0</v>
      </c>
      <c r="C34" s="11" t="str">
        <f ca="1">+WORLDCUP!BD60</f>
        <v>Escocia</v>
      </c>
      <c r="D34" s="11" t="str">
        <f ca="1">+WORLDCUP!BD62</f>
        <v>Ecuador</v>
      </c>
      <c r="E34" s="11" t="str">
        <f ca="1">+WORLDCUP!BD66</f>
        <v>Senegal</v>
      </c>
      <c r="F34" s="11" t="str">
        <f ca="1">+WORLDCUP!BD61</f>
        <v>Paraguay</v>
      </c>
      <c r="G34" s="11" t="str">
        <f ca="1">+WORLDCUP!BD65</f>
        <v>España</v>
      </c>
      <c r="H34" s="11" t="str">
        <f ca="1">+WORLDCUP!BD63</f>
        <v>Japón</v>
      </c>
      <c r="I34" s="11" t="str">
        <f ca="1">+WORLDCUP!BD69</f>
        <v>Panamá</v>
      </c>
      <c r="J34" s="11" t="str">
        <f ca="1">+WORLDCUP!BD68</f>
        <v>RD Congo</v>
      </c>
      <c r="N34" s="11" t="s">
        <v>1167</v>
      </c>
      <c r="O34" s="11">
        <v>33</v>
      </c>
      <c r="P34" s="11" t="s">
        <v>91</v>
      </c>
      <c r="Q34" s="11" t="s">
        <v>93</v>
      </c>
      <c r="R34" s="11" t="s">
        <v>440</v>
      </c>
      <c r="S34" s="11" t="s">
        <v>92</v>
      </c>
      <c r="T34" s="11" t="s">
        <v>436</v>
      </c>
      <c r="U34" s="11" t="s">
        <v>94</v>
      </c>
      <c r="V34" s="11" t="s">
        <v>443</v>
      </c>
      <c r="W34" s="11" t="s">
        <v>442</v>
      </c>
    </row>
    <row r="35" spans="1:23">
      <c r="A35" s="11" t="s">
        <v>1166</v>
      </c>
      <c r="B35" s="11">
        <f ca="1">+IF(A35=WORLDCUP!$BI$112,1,0)</f>
        <v>0</v>
      </c>
      <c r="C35" s="11" t="str">
        <f ca="1">+WORLDCUP!BD60</f>
        <v>Escocia</v>
      </c>
      <c r="D35" s="11" t="str">
        <f ca="1">+WORLDCUP!BD67</f>
        <v>Jordania</v>
      </c>
      <c r="E35" s="11" t="str">
        <f ca="1">+WORLDCUP!BD62</f>
        <v>Ecuador</v>
      </c>
      <c r="F35" s="11" t="str">
        <f ca="1">+WORLDCUP!BD61</f>
        <v>Paraguay</v>
      </c>
      <c r="G35" s="11" t="str">
        <f ca="1">+WORLDCUP!BD65</f>
        <v>España</v>
      </c>
      <c r="H35" s="11" t="str">
        <f ca="1">+WORLDCUP!BD63</f>
        <v>Japón</v>
      </c>
      <c r="I35" s="11" t="str">
        <f ca="1">+WORLDCUP!BD69</f>
        <v>Panamá</v>
      </c>
      <c r="J35" s="11" t="str">
        <f ca="1">+WORLDCUP!BD66</f>
        <v>Senegal</v>
      </c>
      <c r="N35" s="11" t="s">
        <v>1166</v>
      </c>
      <c r="O35" s="11">
        <v>34</v>
      </c>
      <c r="P35" s="11" t="s">
        <v>91</v>
      </c>
      <c r="Q35" s="11" t="s">
        <v>441</v>
      </c>
      <c r="R35" s="11" t="s">
        <v>93</v>
      </c>
      <c r="S35" s="11" t="s">
        <v>92</v>
      </c>
      <c r="T35" s="11" t="s">
        <v>436</v>
      </c>
      <c r="U35" s="11" t="s">
        <v>94</v>
      </c>
      <c r="V35" s="11" t="s">
        <v>443</v>
      </c>
      <c r="W35" s="11" t="s">
        <v>440</v>
      </c>
    </row>
    <row r="36" spans="1:23">
      <c r="A36" s="11" t="s">
        <v>1165</v>
      </c>
      <c r="B36" s="11">
        <f ca="1">+IF(A36=WORLDCUP!$BI$112,1,0)</f>
        <v>0</v>
      </c>
      <c r="C36" s="11" t="str">
        <f ca="1">+WORLDCUP!BD60</f>
        <v>Escocia</v>
      </c>
      <c r="D36" s="11" t="str">
        <f ca="1">+WORLDCUP!BD67</f>
        <v>Jordania</v>
      </c>
      <c r="E36" s="11" t="str">
        <f ca="1">+WORLDCUP!BD62</f>
        <v>Ecuador</v>
      </c>
      <c r="F36" s="11" t="str">
        <f ca="1">+WORLDCUP!BD61</f>
        <v>Paraguay</v>
      </c>
      <c r="G36" s="11" t="str">
        <f ca="1">+WORLDCUP!BD65</f>
        <v>España</v>
      </c>
      <c r="H36" s="11" t="str">
        <f ca="1">+WORLDCUP!BD63</f>
        <v>Japón</v>
      </c>
      <c r="I36" s="11" t="str">
        <f ca="1">+WORLDCUP!BD66</f>
        <v>Senegal</v>
      </c>
      <c r="J36" s="11" t="str">
        <f ca="1">+WORLDCUP!BD68</f>
        <v>RD Congo</v>
      </c>
      <c r="N36" s="11" t="s">
        <v>1165</v>
      </c>
      <c r="O36" s="11">
        <v>35</v>
      </c>
      <c r="P36" s="11" t="s">
        <v>91</v>
      </c>
      <c r="Q36" s="11" t="s">
        <v>441</v>
      </c>
      <c r="R36" s="11" t="s">
        <v>93</v>
      </c>
      <c r="S36" s="11" t="s">
        <v>92</v>
      </c>
      <c r="T36" s="11" t="s">
        <v>436</v>
      </c>
      <c r="U36" s="11" t="s">
        <v>94</v>
      </c>
      <c r="V36" s="11" t="s">
        <v>440</v>
      </c>
      <c r="W36" s="11" t="s">
        <v>442</v>
      </c>
    </row>
    <row r="37" spans="1:23">
      <c r="A37" s="11" t="s">
        <v>1164</v>
      </c>
      <c r="B37" s="11">
        <f ca="1">+IF(A37=WORLDCUP!$BI$112,1,0)</f>
        <v>0</v>
      </c>
      <c r="C37" s="11" t="str">
        <f ca="1">+WORLDCUP!BD60</f>
        <v>Escocia</v>
      </c>
      <c r="D37" s="11" t="str">
        <f ca="1">+WORLDCUP!BD64</f>
        <v>Bélgica</v>
      </c>
      <c r="E37" s="11" t="str">
        <f ca="1">+WORLDCUP!BD62</f>
        <v>Ecuador</v>
      </c>
      <c r="F37" s="11" t="str">
        <f ca="1">+WORLDCUP!BD61</f>
        <v>Paraguay</v>
      </c>
      <c r="G37" s="11" t="str">
        <f ca="1">+WORLDCUP!BD67</f>
        <v>Jordania</v>
      </c>
      <c r="H37" s="11" t="str">
        <f ca="1">+WORLDCUP!BD63</f>
        <v>Japón</v>
      </c>
      <c r="I37" s="11" t="str">
        <f ca="1">+WORLDCUP!BD69</f>
        <v>Panamá</v>
      </c>
      <c r="J37" s="11" t="str">
        <f ca="1">+WORLDCUP!BD68</f>
        <v>RD Congo</v>
      </c>
      <c r="N37" s="11" t="s">
        <v>1164</v>
      </c>
      <c r="O37" s="11">
        <v>36</v>
      </c>
      <c r="P37" s="11" t="s">
        <v>91</v>
      </c>
      <c r="Q37" s="11" t="s">
        <v>435</v>
      </c>
      <c r="R37" s="11" t="s">
        <v>93</v>
      </c>
      <c r="S37" s="11" t="s">
        <v>92</v>
      </c>
      <c r="T37" s="11" t="s">
        <v>441</v>
      </c>
      <c r="U37" s="11" t="s">
        <v>94</v>
      </c>
      <c r="V37" s="11" t="s">
        <v>443</v>
      </c>
      <c r="W37" s="11" t="s">
        <v>442</v>
      </c>
    </row>
    <row r="38" spans="1:23">
      <c r="A38" s="11" t="s">
        <v>1163</v>
      </c>
      <c r="B38" s="11">
        <f ca="1">+IF(A38=WORLDCUP!$BI$112,1,0)</f>
        <v>0</v>
      </c>
      <c r="C38" s="11" t="str">
        <f ca="1">+WORLDCUP!BD60</f>
        <v>Escocia</v>
      </c>
      <c r="D38" s="11" t="str">
        <f ca="1">+WORLDCUP!BD64</f>
        <v>Bélgica</v>
      </c>
      <c r="E38" s="11" t="str">
        <f ca="1">+WORLDCUP!BD62</f>
        <v>Ecuador</v>
      </c>
      <c r="F38" s="11" t="str">
        <f ca="1">+WORLDCUP!BD61</f>
        <v>Paraguay</v>
      </c>
      <c r="G38" s="11" t="str">
        <f ca="1">+WORLDCUP!BD66</f>
        <v>Senegal</v>
      </c>
      <c r="H38" s="11" t="str">
        <f ca="1">+WORLDCUP!BD63</f>
        <v>Japón</v>
      </c>
      <c r="I38" s="11" t="str">
        <f ca="1">+WORLDCUP!BD69</f>
        <v>Panamá</v>
      </c>
      <c r="J38" s="11" t="str">
        <f ca="1">+WORLDCUP!BD68</f>
        <v>RD Congo</v>
      </c>
      <c r="N38" s="11" t="s">
        <v>1163</v>
      </c>
      <c r="O38" s="11">
        <v>37</v>
      </c>
      <c r="P38" s="11" t="s">
        <v>91</v>
      </c>
      <c r="Q38" s="11" t="s">
        <v>435</v>
      </c>
      <c r="R38" s="11" t="s">
        <v>93</v>
      </c>
      <c r="S38" s="11" t="s">
        <v>92</v>
      </c>
      <c r="T38" s="11" t="s">
        <v>440</v>
      </c>
      <c r="U38" s="11" t="s">
        <v>94</v>
      </c>
      <c r="V38" s="11" t="s">
        <v>443</v>
      </c>
      <c r="W38" s="11" t="s">
        <v>442</v>
      </c>
    </row>
    <row r="39" spans="1:23">
      <c r="A39" s="11" t="s">
        <v>1162</v>
      </c>
      <c r="B39" s="11">
        <f ca="1">+IF(A39=WORLDCUP!$BI$112,1,0)</f>
        <v>0</v>
      </c>
      <c r="C39" s="11" t="str">
        <f ca="1">+WORLDCUP!BD60</f>
        <v>Escocia</v>
      </c>
      <c r="D39" s="11" t="str">
        <f ca="1">+WORLDCUP!BD64</f>
        <v>Bélgica</v>
      </c>
      <c r="E39" s="11" t="str">
        <f ca="1">+WORLDCUP!BD62</f>
        <v>Ecuador</v>
      </c>
      <c r="F39" s="11" t="str">
        <f ca="1">+WORLDCUP!BD61</f>
        <v>Paraguay</v>
      </c>
      <c r="G39" s="11" t="str">
        <f ca="1">+WORLDCUP!BD67</f>
        <v>Jordania</v>
      </c>
      <c r="H39" s="11" t="str">
        <f ca="1">+WORLDCUP!BD63</f>
        <v>Japón</v>
      </c>
      <c r="I39" s="11" t="str">
        <f ca="1">+WORLDCUP!BD69</f>
        <v>Panamá</v>
      </c>
      <c r="J39" s="11" t="str">
        <f ca="1">+WORLDCUP!BD66</f>
        <v>Senegal</v>
      </c>
      <c r="N39" s="11" t="s">
        <v>1162</v>
      </c>
      <c r="O39" s="11">
        <v>38</v>
      </c>
      <c r="P39" s="11" t="s">
        <v>91</v>
      </c>
      <c r="Q39" s="11" t="s">
        <v>435</v>
      </c>
      <c r="R39" s="11" t="s">
        <v>93</v>
      </c>
      <c r="S39" s="11" t="s">
        <v>92</v>
      </c>
      <c r="T39" s="11" t="s">
        <v>441</v>
      </c>
      <c r="U39" s="11" t="s">
        <v>94</v>
      </c>
      <c r="V39" s="11" t="s">
        <v>443</v>
      </c>
      <c r="W39" s="11" t="s">
        <v>440</v>
      </c>
    </row>
    <row r="40" spans="1:23">
      <c r="A40" s="11" t="s">
        <v>1161</v>
      </c>
      <c r="B40" s="11">
        <f ca="1">+IF(A40=WORLDCUP!$BI$112,1,0)</f>
        <v>0</v>
      </c>
      <c r="C40" s="11" t="str">
        <f ca="1">+WORLDCUP!BD60</f>
        <v>Escocia</v>
      </c>
      <c r="D40" s="11" t="str">
        <f ca="1">+WORLDCUP!BD64</f>
        <v>Bélgica</v>
      </c>
      <c r="E40" s="11" t="str">
        <f ca="1">+WORLDCUP!BD62</f>
        <v>Ecuador</v>
      </c>
      <c r="F40" s="11" t="str">
        <f ca="1">+WORLDCUP!BD61</f>
        <v>Paraguay</v>
      </c>
      <c r="G40" s="11" t="str">
        <f ca="1">+WORLDCUP!BD67</f>
        <v>Jordania</v>
      </c>
      <c r="H40" s="11" t="str">
        <f ca="1">+WORLDCUP!BD63</f>
        <v>Japón</v>
      </c>
      <c r="I40" s="11" t="str">
        <f ca="1">+WORLDCUP!BD66</f>
        <v>Senegal</v>
      </c>
      <c r="J40" s="11" t="str">
        <f ca="1">+WORLDCUP!BD68</f>
        <v>RD Congo</v>
      </c>
      <c r="N40" s="11" t="s">
        <v>1161</v>
      </c>
      <c r="O40" s="11">
        <v>39</v>
      </c>
      <c r="P40" s="11" t="s">
        <v>91</v>
      </c>
      <c r="Q40" s="11" t="s">
        <v>435</v>
      </c>
      <c r="R40" s="11" t="s">
        <v>93</v>
      </c>
      <c r="S40" s="11" t="s">
        <v>92</v>
      </c>
      <c r="T40" s="11" t="s">
        <v>441</v>
      </c>
      <c r="U40" s="11" t="s">
        <v>94</v>
      </c>
      <c r="V40" s="11" t="s">
        <v>440</v>
      </c>
      <c r="W40" s="11" t="s">
        <v>442</v>
      </c>
    </row>
    <row r="41" spans="1:23">
      <c r="A41" s="11" t="s">
        <v>474</v>
      </c>
      <c r="B41" s="11">
        <f ca="1">+IF(A41=WORLDCUP!$BI$112,1,0)</f>
        <v>0</v>
      </c>
      <c r="C41" s="11" t="str">
        <f ca="1">+WORLDCUP!BD60</f>
        <v>Escocia</v>
      </c>
      <c r="D41" s="11" t="str">
        <f ca="1">+WORLDCUP!BD64</f>
        <v>Bélgica</v>
      </c>
      <c r="E41" s="11" t="str">
        <f ca="1">+WORLDCUP!BD62</f>
        <v>Ecuador</v>
      </c>
      <c r="F41" s="11" t="str">
        <f ca="1">+WORLDCUP!BD61</f>
        <v>Paraguay</v>
      </c>
      <c r="G41" s="11" t="str">
        <f ca="1">+WORLDCUP!BD65</f>
        <v>España</v>
      </c>
      <c r="H41" s="11" t="str">
        <f ca="1">+WORLDCUP!BD63</f>
        <v>Japón</v>
      </c>
      <c r="I41" s="11" t="str">
        <f ca="1">+WORLDCUP!BD69</f>
        <v>Panamá</v>
      </c>
      <c r="J41" s="11" t="str">
        <f ca="1">+WORLDCUP!BD68</f>
        <v>RD Congo</v>
      </c>
      <c r="N41" s="11" t="s">
        <v>474</v>
      </c>
      <c r="O41" s="11">
        <v>40</v>
      </c>
      <c r="P41" s="11" t="s">
        <v>91</v>
      </c>
      <c r="Q41" s="11" t="s">
        <v>435</v>
      </c>
      <c r="R41" s="11" t="s">
        <v>93</v>
      </c>
      <c r="S41" s="11" t="s">
        <v>92</v>
      </c>
      <c r="T41" s="11" t="s">
        <v>436</v>
      </c>
      <c r="U41" s="11" t="s">
        <v>94</v>
      </c>
      <c r="V41" s="11" t="s">
        <v>443</v>
      </c>
      <c r="W41" s="11" t="s">
        <v>442</v>
      </c>
    </row>
    <row r="42" spans="1:23">
      <c r="A42" s="11" t="s">
        <v>473</v>
      </c>
      <c r="B42" s="11">
        <f ca="1">+IF(A42=WORLDCUP!$BI$112,1,0)</f>
        <v>0</v>
      </c>
      <c r="C42" s="11" t="str">
        <f ca="1">+WORLDCUP!BD60</f>
        <v>Escocia</v>
      </c>
      <c r="D42" s="11" t="str">
        <f ca="1">+WORLDCUP!BD64</f>
        <v>Bélgica</v>
      </c>
      <c r="E42" s="11" t="str">
        <f ca="1">+WORLDCUP!BD67</f>
        <v>Jordania</v>
      </c>
      <c r="F42" s="11" t="str">
        <f ca="1">+WORLDCUP!BD61</f>
        <v>Paraguay</v>
      </c>
      <c r="G42" s="11" t="str">
        <f ca="1">+WORLDCUP!BD65</f>
        <v>España</v>
      </c>
      <c r="H42" s="11" t="str">
        <f ca="1">+WORLDCUP!BD63</f>
        <v>Japón</v>
      </c>
      <c r="I42" s="11" t="str">
        <f ca="1">+WORLDCUP!BD69</f>
        <v>Panamá</v>
      </c>
      <c r="J42" s="11" t="str">
        <f ca="1">+WORLDCUP!BD62</f>
        <v>Ecuador</v>
      </c>
      <c r="N42" s="11" t="s">
        <v>473</v>
      </c>
      <c r="O42" s="11">
        <v>41</v>
      </c>
      <c r="P42" s="11" t="s">
        <v>91</v>
      </c>
      <c r="Q42" s="11" t="s">
        <v>435</v>
      </c>
      <c r="R42" s="11" t="s">
        <v>441</v>
      </c>
      <c r="S42" s="11" t="s">
        <v>92</v>
      </c>
      <c r="T42" s="11" t="s">
        <v>436</v>
      </c>
      <c r="U42" s="11" t="s">
        <v>94</v>
      </c>
      <c r="V42" s="11" t="s">
        <v>443</v>
      </c>
      <c r="W42" s="11" t="s">
        <v>93</v>
      </c>
    </row>
    <row r="43" spans="1:23">
      <c r="A43" s="11" t="s">
        <v>472</v>
      </c>
      <c r="B43" s="11">
        <f ca="1">+IF(A43=WORLDCUP!$BI$112,1,0)</f>
        <v>0</v>
      </c>
      <c r="C43" s="11" t="str">
        <f ca="1">+WORLDCUP!BD60</f>
        <v>Escocia</v>
      </c>
      <c r="D43" s="11" t="str">
        <f ca="1">+WORLDCUP!BD64</f>
        <v>Bélgica</v>
      </c>
      <c r="E43" s="11" t="str">
        <f ca="1">+WORLDCUP!BD67</f>
        <v>Jordania</v>
      </c>
      <c r="F43" s="11" t="str">
        <f ca="1">+WORLDCUP!BD61</f>
        <v>Paraguay</v>
      </c>
      <c r="G43" s="11" t="str">
        <f ca="1">+WORLDCUP!BD65</f>
        <v>España</v>
      </c>
      <c r="H43" s="11" t="str">
        <f ca="1">+WORLDCUP!BD63</f>
        <v>Japón</v>
      </c>
      <c r="I43" s="11" t="str">
        <f ca="1">+WORLDCUP!BD62</f>
        <v>Ecuador</v>
      </c>
      <c r="J43" s="11" t="str">
        <f ca="1">+WORLDCUP!BD68</f>
        <v>RD Congo</v>
      </c>
      <c r="N43" s="11" t="s">
        <v>472</v>
      </c>
      <c r="O43" s="11">
        <v>42</v>
      </c>
      <c r="P43" s="11" t="s">
        <v>91</v>
      </c>
      <c r="Q43" s="11" t="s">
        <v>435</v>
      </c>
      <c r="R43" s="11" t="s">
        <v>441</v>
      </c>
      <c r="S43" s="11" t="s">
        <v>92</v>
      </c>
      <c r="T43" s="11" t="s">
        <v>436</v>
      </c>
      <c r="U43" s="11" t="s">
        <v>94</v>
      </c>
      <c r="V43" s="11" t="s">
        <v>93</v>
      </c>
      <c r="W43" s="11" t="s">
        <v>442</v>
      </c>
    </row>
    <row r="44" spans="1:23">
      <c r="A44" s="11" t="s">
        <v>471</v>
      </c>
      <c r="B44" s="11">
        <f ca="1">+IF(A44=WORLDCUP!$BI$112,1,0)</f>
        <v>0</v>
      </c>
      <c r="C44" s="11" t="str">
        <f ca="1">+WORLDCUP!BD60</f>
        <v>Escocia</v>
      </c>
      <c r="D44" s="11" t="str">
        <f ca="1">+WORLDCUP!BD64</f>
        <v>Bélgica</v>
      </c>
      <c r="E44" s="11" t="str">
        <f ca="1">+WORLDCUP!BD62</f>
        <v>Ecuador</v>
      </c>
      <c r="F44" s="11" t="str">
        <f ca="1">+WORLDCUP!BD61</f>
        <v>Paraguay</v>
      </c>
      <c r="G44" s="11" t="str">
        <f ca="1">+WORLDCUP!BD65</f>
        <v>España</v>
      </c>
      <c r="H44" s="11" t="str">
        <f ca="1">+WORLDCUP!BD63</f>
        <v>Japón</v>
      </c>
      <c r="I44" s="11" t="str">
        <f ca="1">+WORLDCUP!BD69</f>
        <v>Panamá</v>
      </c>
      <c r="J44" s="11" t="str">
        <f ca="1">+WORLDCUP!BD66</f>
        <v>Senegal</v>
      </c>
      <c r="N44" s="11" t="s">
        <v>471</v>
      </c>
      <c r="O44" s="11">
        <v>43</v>
      </c>
      <c r="P44" s="11" t="s">
        <v>91</v>
      </c>
      <c r="Q44" s="11" t="s">
        <v>435</v>
      </c>
      <c r="R44" s="11" t="s">
        <v>93</v>
      </c>
      <c r="S44" s="11" t="s">
        <v>92</v>
      </c>
      <c r="T44" s="11" t="s">
        <v>436</v>
      </c>
      <c r="U44" s="11" t="s">
        <v>94</v>
      </c>
      <c r="V44" s="11" t="s">
        <v>443</v>
      </c>
      <c r="W44" s="11" t="s">
        <v>440</v>
      </c>
    </row>
    <row r="45" spans="1:23">
      <c r="A45" s="11" t="s">
        <v>470</v>
      </c>
      <c r="B45" s="11">
        <f ca="1">+IF(A45=WORLDCUP!$BI$112,1,0)</f>
        <v>0</v>
      </c>
      <c r="C45" s="11" t="str">
        <f ca="1">+WORLDCUP!BD60</f>
        <v>Escocia</v>
      </c>
      <c r="D45" s="11" t="str">
        <f ca="1">+WORLDCUP!BD64</f>
        <v>Bélgica</v>
      </c>
      <c r="E45" s="11" t="str">
        <f ca="1">+WORLDCUP!BD62</f>
        <v>Ecuador</v>
      </c>
      <c r="F45" s="11" t="str">
        <f ca="1">+WORLDCUP!BD61</f>
        <v>Paraguay</v>
      </c>
      <c r="G45" s="11" t="str">
        <f ca="1">+WORLDCUP!BD65</f>
        <v>España</v>
      </c>
      <c r="H45" s="11" t="str">
        <f ca="1">+WORLDCUP!BD63</f>
        <v>Japón</v>
      </c>
      <c r="I45" s="11" t="str">
        <f ca="1">+WORLDCUP!BD66</f>
        <v>Senegal</v>
      </c>
      <c r="J45" s="11" t="str">
        <f ca="1">+WORLDCUP!BD68</f>
        <v>RD Congo</v>
      </c>
      <c r="N45" s="11" t="s">
        <v>470</v>
      </c>
      <c r="O45" s="11">
        <v>44</v>
      </c>
      <c r="P45" s="11" t="s">
        <v>91</v>
      </c>
      <c r="Q45" s="11" t="s">
        <v>435</v>
      </c>
      <c r="R45" s="11" t="s">
        <v>93</v>
      </c>
      <c r="S45" s="11" t="s">
        <v>92</v>
      </c>
      <c r="T45" s="11" t="s">
        <v>436</v>
      </c>
      <c r="U45" s="11" t="s">
        <v>94</v>
      </c>
      <c r="V45" s="11" t="s">
        <v>440</v>
      </c>
      <c r="W45" s="11" t="s">
        <v>442</v>
      </c>
    </row>
    <row r="46" spans="1:23">
      <c r="A46" s="11" t="s">
        <v>469</v>
      </c>
      <c r="B46" s="11">
        <f ca="1">+IF(A46=WORLDCUP!$BI$112,1,0)</f>
        <v>0</v>
      </c>
      <c r="C46" s="11" t="str">
        <f ca="1">+WORLDCUP!BD60</f>
        <v>Escocia</v>
      </c>
      <c r="D46" s="11" t="str">
        <f ca="1">+WORLDCUP!BD64</f>
        <v>Bélgica</v>
      </c>
      <c r="E46" s="11" t="str">
        <f ca="1">+WORLDCUP!BD67</f>
        <v>Jordania</v>
      </c>
      <c r="F46" s="11" t="str">
        <f ca="1">+WORLDCUP!BD61</f>
        <v>Paraguay</v>
      </c>
      <c r="G46" s="11" t="str">
        <f ca="1">+WORLDCUP!BD65</f>
        <v>España</v>
      </c>
      <c r="H46" s="11" t="str">
        <f ca="1">+WORLDCUP!BD63</f>
        <v>Japón</v>
      </c>
      <c r="I46" s="11" t="str">
        <f ca="1">+WORLDCUP!BD62</f>
        <v>Ecuador</v>
      </c>
      <c r="J46" s="11" t="str">
        <f ca="1">+WORLDCUP!BD66</f>
        <v>Senegal</v>
      </c>
      <c r="N46" s="11" t="s">
        <v>469</v>
      </c>
      <c r="O46" s="11">
        <v>45</v>
      </c>
      <c r="P46" s="11" t="s">
        <v>91</v>
      </c>
      <c r="Q46" s="11" t="s">
        <v>435</v>
      </c>
      <c r="R46" s="11" t="s">
        <v>441</v>
      </c>
      <c r="S46" s="11" t="s">
        <v>92</v>
      </c>
      <c r="T46" s="11" t="s">
        <v>436</v>
      </c>
      <c r="U46" s="11" t="s">
        <v>94</v>
      </c>
      <c r="V46" s="11" t="s">
        <v>93</v>
      </c>
      <c r="W46" s="11" t="s">
        <v>440</v>
      </c>
    </row>
    <row r="47" spans="1:23">
      <c r="A47" s="11" t="s">
        <v>606</v>
      </c>
      <c r="B47" s="11">
        <f ca="1">+IF(A47=WORLDCUP!$BI$112,1,0)</f>
        <v>0</v>
      </c>
      <c r="C47" s="11" t="str">
        <f ca="1">+WORLDCUP!BD65</f>
        <v>España</v>
      </c>
      <c r="D47" s="11" t="str">
        <f ca="1">+WORLDCUP!BD67</f>
        <v>Jordania</v>
      </c>
      <c r="E47" s="11" t="str">
        <f ca="1">+WORLDCUP!BD59</f>
        <v>Bosnia y Herzegovina</v>
      </c>
      <c r="F47" s="11" t="str">
        <f ca="1">+WORLDCUP!BD63</f>
        <v>Japón</v>
      </c>
      <c r="G47" s="11" t="str">
        <f ca="1">+WORLDCUP!BD66</f>
        <v>Senegal</v>
      </c>
      <c r="H47" s="11" t="str">
        <f ca="1">+WORLDCUP!BD64</f>
        <v>Bélgica</v>
      </c>
      <c r="I47" s="11" t="str">
        <f ca="1">+WORLDCUP!BD69</f>
        <v>Panamá</v>
      </c>
      <c r="J47" s="11" t="str">
        <f ca="1">+WORLDCUP!BD68</f>
        <v>RD Congo</v>
      </c>
      <c r="N47" s="11" t="s">
        <v>606</v>
      </c>
      <c r="O47" s="11">
        <v>46</v>
      </c>
      <c r="P47" s="11" t="s">
        <v>436</v>
      </c>
      <c r="Q47" s="11" t="s">
        <v>441</v>
      </c>
      <c r="R47" s="11" t="s">
        <v>90</v>
      </c>
      <c r="S47" s="11" t="s">
        <v>94</v>
      </c>
      <c r="T47" s="11" t="s">
        <v>440</v>
      </c>
      <c r="U47" s="11" t="s">
        <v>435</v>
      </c>
      <c r="V47" s="11" t="s">
        <v>443</v>
      </c>
      <c r="W47" s="11" t="s">
        <v>442</v>
      </c>
    </row>
    <row r="48" spans="1:23">
      <c r="A48" s="11" t="s">
        <v>1160</v>
      </c>
      <c r="B48" s="11">
        <f ca="1">+IF(A48=WORLDCUP!$BI$112,1,0)</f>
        <v>0</v>
      </c>
      <c r="C48" s="11" t="str">
        <f ca="1">+WORLDCUP!BD62</f>
        <v>Ecuador</v>
      </c>
      <c r="D48" s="11" t="str">
        <f ca="1">+WORLDCUP!BD67</f>
        <v>Jordania</v>
      </c>
      <c r="E48" s="11" t="str">
        <f ca="1">+WORLDCUP!BD66</f>
        <v>Senegal</v>
      </c>
      <c r="F48" s="11" t="str">
        <f ca="1">+WORLDCUP!BD59</f>
        <v>Bosnia y Herzegovina</v>
      </c>
      <c r="G48" s="11" t="str">
        <f ca="1">+WORLDCUP!BD65</f>
        <v>España</v>
      </c>
      <c r="H48" s="11" t="str">
        <f ca="1">+WORLDCUP!BD64</f>
        <v>Bélgica</v>
      </c>
      <c r="I48" s="11" t="str">
        <f ca="1">+WORLDCUP!BD69</f>
        <v>Panamá</v>
      </c>
      <c r="J48" s="11" t="str">
        <f ca="1">+WORLDCUP!BD68</f>
        <v>RD Congo</v>
      </c>
      <c r="N48" s="11" t="s">
        <v>1160</v>
      </c>
      <c r="O48" s="11">
        <v>47</v>
      </c>
      <c r="P48" s="11" t="s">
        <v>93</v>
      </c>
      <c r="Q48" s="11" t="s">
        <v>441</v>
      </c>
      <c r="R48" s="11" t="s">
        <v>440</v>
      </c>
      <c r="S48" s="11" t="s">
        <v>90</v>
      </c>
      <c r="T48" s="11" t="s">
        <v>436</v>
      </c>
      <c r="U48" s="11" t="s">
        <v>435</v>
      </c>
      <c r="V48" s="11" t="s">
        <v>443</v>
      </c>
      <c r="W48" s="11" t="s">
        <v>442</v>
      </c>
    </row>
    <row r="49" spans="1:23">
      <c r="A49" s="11" t="s">
        <v>1159</v>
      </c>
      <c r="B49" s="11">
        <f ca="1">+IF(A49=WORLDCUP!$BI$112,1,0)</f>
        <v>0</v>
      </c>
      <c r="C49" s="11" t="str">
        <f ca="1">+WORLDCUP!BD62</f>
        <v>Ecuador</v>
      </c>
      <c r="D49" s="11" t="str">
        <f ca="1">+WORLDCUP!BD67</f>
        <v>Jordania</v>
      </c>
      <c r="E49" s="11" t="str">
        <f ca="1">+WORLDCUP!BD59</f>
        <v>Bosnia y Herzegovina</v>
      </c>
      <c r="F49" s="11" t="str">
        <f ca="1">+WORLDCUP!BD63</f>
        <v>Japón</v>
      </c>
      <c r="G49" s="11" t="str">
        <f ca="1">+WORLDCUP!BD66</f>
        <v>Senegal</v>
      </c>
      <c r="H49" s="11" t="str">
        <f ca="1">+WORLDCUP!BD65</f>
        <v>España</v>
      </c>
      <c r="I49" s="11" t="str">
        <f ca="1">+WORLDCUP!BD69</f>
        <v>Panamá</v>
      </c>
      <c r="J49" s="11" t="str">
        <f ca="1">+WORLDCUP!BD68</f>
        <v>RD Congo</v>
      </c>
      <c r="N49" s="11" t="s">
        <v>1159</v>
      </c>
      <c r="O49" s="11">
        <v>48</v>
      </c>
      <c r="P49" s="11" t="s">
        <v>93</v>
      </c>
      <c r="Q49" s="11" t="s">
        <v>441</v>
      </c>
      <c r="R49" s="11" t="s">
        <v>90</v>
      </c>
      <c r="S49" s="11" t="s">
        <v>94</v>
      </c>
      <c r="T49" s="11" t="s">
        <v>440</v>
      </c>
      <c r="U49" s="11" t="s">
        <v>436</v>
      </c>
      <c r="V49" s="11" t="s">
        <v>443</v>
      </c>
      <c r="W49" s="11" t="s">
        <v>442</v>
      </c>
    </row>
    <row r="50" spans="1:23">
      <c r="A50" s="11" t="s">
        <v>1158</v>
      </c>
      <c r="B50" s="11">
        <f ca="1">+IF(A50=WORLDCUP!$BI$112,1,0)</f>
        <v>0</v>
      </c>
      <c r="C50" s="11" t="str">
        <f ca="1">+WORLDCUP!BD62</f>
        <v>Ecuador</v>
      </c>
      <c r="D50" s="11" t="str">
        <f ca="1">+WORLDCUP!BD67</f>
        <v>Jordania</v>
      </c>
      <c r="E50" s="11" t="str">
        <f ca="1">+WORLDCUP!BD59</f>
        <v>Bosnia y Herzegovina</v>
      </c>
      <c r="F50" s="11" t="str">
        <f ca="1">+WORLDCUP!BD63</f>
        <v>Japón</v>
      </c>
      <c r="G50" s="11" t="str">
        <f ca="1">+WORLDCUP!BD66</f>
        <v>Senegal</v>
      </c>
      <c r="H50" s="11" t="str">
        <f ca="1">+WORLDCUP!BD64</f>
        <v>Bélgica</v>
      </c>
      <c r="I50" s="11" t="str">
        <f ca="1">+WORLDCUP!BD69</f>
        <v>Panamá</v>
      </c>
      <c r="J50" s="11" t="str">
        <f ca="1">+WORLDCUP!BD68</f>
        <v>RD Congo</v>
      </c>
      <c r="N50" s="11" t="s">
        <v>1158</v>
      </c>
      <c r="O50" s="11">
        <v>49</v>
      </c>
      <c r="P50" s="11" t="s">
        <v>93</v>
      </c>
      <c r="Q50" s="11" t="s">
        <v>441</v>
      </c>
      <c r="R50" s="11" t="s">
        <v>90</v>
      </c>
      <c r="S50" s="11" t="s">
        <v>94</v>
      </c>
      <c r="T50" s="11" t="s">
        <v>440</v>
      </c>
      <c r="U50" s="11" t="s">
        <v>435</v>
      </c>
      <c r="V50" s="11" t="s">
        <v>443</v>
      </c>
      <c r="W50" s="11" t="s">
        <v>442</v>
      </c>
    </row>
    <row r="51" spans="1:23">
      <c r="A51" s="11" t="s">
        <v>1157</v>
      </c>
      <c r="B51" s="11">
        <f ca="1">+IF(A51=WORLDCUP!$BI$112,1,0)</f>
        <v>0</v>
      </c>
      <c r="C51" s="11" t="str">
        <f ca="1">+WORLDCUP!BD62</f>
        <v>Ecuador</v>
      </c>
      <c r="D51" s="11" t="str">
        <f ca="1">+WORLDCUP!BD67</f>
        <v>Jordania</v>
      </c>
      <c r="E51" s="11" t="str">
        <f ca="1">+WORLDCUP!BD59</f>
        <v>Bosnia y Herzegovina</v>
      </c>
      <c r="F51" s="11" t="str">
        <f ca="1">+WORLDCUP!BD63</f>
        <v>Japón</v>
      </c>
      <c r="G51" s="11" t="str">
        <f ca="1">+WORLDCUP!BD65</f>
        <v>España</v>
      </c>
      <c r="H51" s="11" t="str">
        <f ca="1">+WORLDCUP!BD64</f>
        <v>Bélgica</v>
      </c>
      <c r="I51" s="11" t="str">
        <f ca="1">+WORLDCUP!BD69</f>
        <v>Panamá</v>
      </c>
      <c r="J51" s="11" t="str">
        <f ca="1">+WORLDCUP!BD68</f>
        <v>RD Congo</v>
      </c>
      <c r="N51" s="11" t="s">
        <v>1157</v>
      </c>
      <c r="O51" s="11">
        <v>50</v>
      </c>
      <c r="P51" s="11" t="s">
        <v>93</v>
      </c>
      <c r="Q51" s="11" t="s">
        <v>441</v>
      </c>
      <c r="R51" s="11" t="s">
        <v>90</v>
      </c>
      <c r="S51" s="11" t="s">
        <v>94</v>
      </c>
      <c r="T51" s="11" t="s">
        <v>436</v>
      </c>
      <c r="U51" s="11" t="s">
        <v>435</v>
      </c>
      <c r="V51" s="11" t="s">
        <v>443</v>
      </c>
      <c r="W51" s="11" t="s">
        <v>442</v>
      </c>
    </row>
    <row r="52" spans="1:23">
      <c r="A52" s="11" t="s">
        <v>605</v>
      </c>
      <c r="B52" s="11">
        <f ca="1">+IF(A52=WORLDCUP!$BI$112,1,0)</f>
        <v>0</v>
      </c>
      <c r="C52" s="11" t="str">
        <f ca="1">+WORLDCUP!BD62</f>
        <v>Ecuador</v>
      </c>
      <c r="D52" s="11" t="str">
        <f ca="1">+WORLDCUP!BD64</f>
        <v>Bélgica</v>
      </c>
      <c r="E52" s="11" t="str">
        <f ca="1">+WORLDCUP!BD59</f>
        <v>Bosnia y Herzegovina</v>
      </c>
      <c r="F52" s="11" t="str">
        <f ca="1">+WORLDCUP!BD63</f>
        <v>Japón</v>
      </c>
      <c r="G52" s="11" t="str">
        <f ca="1">+WORLDCUP!BD66</f>
        <v>Senegal</v>
      </c>
      <c r="H52" s="11" t="str">
        <f ca="1">+WORLDCUP!BD65</f>
        <v>España</v>
      </c>
      <c r="I52" s="11" t="str">
        <f ca="1">+WORLDCUP!BD69</f>
        <v>Panamá</v>
      </c>
      <c r="J52" s="11" t="str">
        <f ca="1">+WORLDCUP!BD68</f>
        <v>RD Congo</v>
      </c>
      <c r="N52" s="11" t="s">
        <v>605</v>
      </c>
      <c r="O52" s="11">
        <v>51</v>
      </c>
      <c r="P52" s="11" t="s">
        <v>93</v>
      </c>
      <c r="Q52" s="11" t="s">
        <v>435</v>
      </c>
      <c r="R52" s="11" t="s">
        <v>90</v>
      </c>
      <c r="S52" s="11" t="s">
        <v>94</v>
      </c>
      <c r="T52" s="11" t="s">
        <v>440</v>
      </c>
      <c r="U52" s="11" t="s">
        <v>436</v>
      </c>
      <c r="V52" s="11" t="s">
        <v>443</v>
      </c>
      <c r="W52" s="11" t="s">
        <v>442</v>
      </c>
    </row>
    <row r="53" spans="1:23">
      <c r="A53" s="11" t="s">
        <v>604</v>
      </c>
      <c r="B53" s="11">
        <f ca="1">+IF(A53=WORLDCUP!$BI$112,1,0)</f>
        <v>0</v>
      </c>
      <c r="C53" s="11" t="str">
        <f ca="1">+WORLDCUP!BD62</f>
        <v>Ecuador</v>
      </c>
      <c r="D53" s="11" t="str">
        <f ca="1">+WORLDCUP!BD67</f>
        <v>Jordania</v>
      </c>
      <c r="E53" s="11" t="str">
        <f ca="1">+WORLDCUP!BD59</f>
        <v>Bosnia y Herzegovina</v>
      </c>
      <c r="F53" s="11" t="str">
        <f ca="1">+WORLDCUP!BD63</f>
        <v>Japón</v>
      </c>
      <c r="G53" s="11" t="str">
        <f ca="1">+WORLDCUP!BD65</f>
        <v>España</v>
      </c>
      <c r="H53" s="11" t="str">
        <f ca="1">+WORLDCUP!BD64</f>
        <v>Bélgica</v>
      </c>
      <c r="I53" s="11" t="str">
        <f ca="1">+WORLDCUP!BD69</f>
        <v>Panamá</v>
      </c>
      <c r="J53" s="11" t="str">
        <f ca="1">+WORLDCUP!BD66</f>
        <v>Senegal</v>
      </c>
      <c r="N53" s="11" t="s">
        <v>604</v>
      </c>
      <c r="O53" s="11">
        <v>52</v>
      </c>
      <c r="P53" s="11" t="s">
        <v>93</v>
      </c>
      <c r="Q53" s="11" t="s">
        <v>441</v>
      </c>
      <c r="R53" s="11" t="s">
        <v>90</v>
      </c>
      <c r="S53" s="11" t="s">
        <v>94</v>
      </c>
      <c r="T53" s="11" t="s">
        <v>436</v>
      </c>
      <c r="U53" s="11" t="s">
        <v>435</v>
      </c>
      <c r="V53" s="11" t="s">
        <v>443</v>
      </c>
      <c r="W53" s="11" t="s">
        <v>440</v>
      </c>
    </row>
    <row r="54" spans="1:23">
      <c r="A54" s="11" t="s">
        <v>603</v>
      </c>
      <c r="B54" s="11">
        <f ca="1">+IF(A54=WORLDCUP!$BI$112,1,0)</f>
        <v>0</v>
      </c>
      <c r="C54" s="11" t="str">
        <f ca="1">+WORLDCUP!BD62</f>
        <v>Ecuador</v>
      </c>
      <c r="D54" s="11" t="str">
        <f ca="1">+WORLDCUP!BD67</f>
        <v>Jordania</v>
      </c>
      <c r="E54" s="11" t="str">
        <f ca="1">+WORLDCUP!BD59</f>
        <v>Bosnia y Herzegovina</v>
      </c>
      <c r="F54" s="11" t="str">
        <f ca="1">+WORLDCUP!BD63</f>
        <v>Japón</v>
      </c>
      <c r="G54" s="11" t="str">
        <f ca="1">+WORLDCUP!BD65</f>
        <v>España</v>
      </c>
      <c r="H54" s="11" t="str">
        <f ca="1">+WORLDCUP!BD64</f>
        <v>Bélgica</v>
      </c>
      <c r="I54" s="11" t="str">
        <f ca="1">+WORLDCUP!BD66</f>
        <v>Senegal</v>
      </c>
      <c r="J54" s="11" t="str">
        <f ca="1">+WORLDCUP!BD68</f>
        <v>RD Congo</v>
      </c>
      <c r="N54" s="11" t="s">
        <v>603</v>
      </c>
      <c r="O54" s="11">
        <v>53</v>
      </c>
      <c r="P54" s="11" t="s">
        <v>93</v>
      </c>
      <c r="Q54" s="11" t="s">
        <v>441</v>
      </c>
      <c r="R54" s="11" t="s">
        <v>90</v>
      </c>
      <c r="S54" s="11" t="s">
        <v>94</v>
      </c>
      <c r="T54" s="11" t="s">
        <v>436</v>
      </c>
      <c r="U54" s="11" t="s">
        <v>435</v>
      </c>
      <c r="V54" s="11" t="s">
        <v>440</v>
      </c>
      <c r="W54" s="11" t="s">
        <v>442</v>
      </c>
    </row>
    <row r="55" spans="1:23">
      <c r="A55" s="11" t="s">
        <v>1156</v>
      </c>
      <c r="B55" s="11">
        <f ca="1">+IF(A55=WORLDCUP!$BI$112,1,0)</f>
        <v>0</v>
      </c>
      <c r="C55" s="11" t="str">
        <f ca="1">+WORLDCUP!BD65</f>
        <v>España</v>
      </c>
      <c r="D55" s="11" t="str">
        <f ca="1">+WORLDCUP!BD67</f>
        <v>Jordania</v>
      </c>
      <c r="E55" s="11" t="str">
        <f ca="1">+WORLDCUP!BD59</f>
        <v>Bosnia y Herzegovina</v>
      </c>
      <c r="F55" s="11" t="str">
        <f ca="1">+WORLDCUP!BD61</f>
        <v>Paraguay</v>
      </c>
      <c r="G55" s="11" t="str">
        <f ca="1">+WORLDCUP!BD66</f>
        <v>Senegal</v>
      </c>
      <c r="H55" s="11" t="str">
        <f ca="1">+WORLDCUP!BD64</f>
        <v>Bélgica</v>
      </c>
      <c r="I55" s="11" t="str">
        <f ca="1">+WORLDCUP!BD69</f>
        <v>Panamá</v>
      </c>
      <c r="J55" s="11" t="str">
        <f ca="1">+WORLDCUP!BD68</f>
        <v>RD Congo</v>
      </c>
      <c r="N55" s="11" t="s">
        <v>1156</v>
      </c>
      <c r="O55" s="11">
        <v>54</v>
      </c>
      <c r="P55" s="11" t="s">
        <v>436</v>
      </c>
      <c r="Q55" s="11" t="s">
        <v>441</v>
      </c>
      <c r="R55" s="11" t="s">
        <v>90</v>
      </c>
      <c r="S55" s="11" t="s">
        <v>92</v>
      </c>
      <c r="T55" s="11" t="s">
        <v>440</v>
      </c>
      <c r="U55" s="11" t="s">
        <v>435</v>
      </c>
      <c r="V55" s="11" t="s">
        <v>443</v>
      </c>
      <c r="W55" s="11" t="s">
        <v>442</v>
      </c>
    </row>
    <row r="56" spans="1:23">
      <c r="A56" s="11" t="s">
        <v>1155</v>
      </c>
      <c r="B56" s="11">
        <f ca="1">+IF(A56=WORLDCUP!$BI$112,1,0)</f>
        <v>0</v>
      </c>
      <c r="C56" s="11" t="str">
        <f ca="1">+WORLDCUP!BD65</f>
        <v>España</v>
      </c>
      <c r="D56" s="11" t="str">
        <f ca="1">+WORLDCUP!BD67</f>
        <v>Jordania</v>
      </c>
      <c r="E56" s="11" t="str">
        <f ca="1">+WORLDCUP!BD59</f>
        <v>Bosnia y Herzegovina</v>
      </c>
      <c r="F56" s="11" t="str">
        <f ca="1">+WORLDCUP!BD61</f>
        <v>Paraguay</v>
      </c>
      <c r="G56" s="11" t="str">
        <f ca="1">+WORLDCUP!BD66</f>
        <v>Senegal</v>
      </c>
      <c r="H56" s="11" t="str">
        <f ca="1">+WORLDCUP!BD63</f>
        <v>Japón</v>
      </c>
      <c r="I56" s="11" t="str">
        <f ca="1">+WORLDCUP!BD69</f>
        <v>Panamá</v>
      </c>
      <c r="J56" s="11" t="str">
        <f ca="1">+WORLDCUP!BD68</f>
        <v>RD Congo</v>
      </c>
      <c r="N56" s="11" t="s">
        <v>1155</v>
      </c>
      <c r="O56" s="11">
        <v>55</v>
      </c>
      <c r="P56" s="11" t="s">
        <v>436</v>
      </c>
      <c r="Q56" s="11" t="s">
        <v>441</v>
      </c>
      <c r="R56" s="11" t="s">
        <v>90</v>
      </c>
      <c r="S56" s="11" t="s">
        <v>92</v>
      </c>
      <c r="T56" s="11" t="s">
        <v>440</v>
      </c>
      <c r="U56" s="11" t="s">
        <v>94</v>
      </c>
      <c r="V56" s="11" t="s">
        <v>443</v>
      </c>
      <c r="W56" s="11" t="s">
        <v>442</v>
      </c>
    </row>
    <row r="57" spans="1:23">
      <c r="A57" s="11" t="s">
        <v>1154</v>
      </c>
      <c r="B57" s="11">
        <f ca="1">+IF(A57=WORLDCUP!$BI$112,1,0)</f>
        <v>0</v>
      </c>
      <c r="C57" s="11" t="str">
        <f ca="1">+WORLDCUP!BD66</f>
        <v>Senegal</v>
      </c>
      <c r="D57" s="11" t="str">
        <f ca="1">+WORLDCUP!BD64</f>
        <v>Bélgica</v>
      </c>
      <c r="E57" s="11" t="str">
        <f ca="1">+WORLDCUP!BD59</f>
        <v>Bosnia y Herzegovina</v>
      </c>
      <c r="F57" s="11" t="str">
        <f ca="1">+WORLDCUP!BD61</f>
        <v>Paraguay</v>
      </c>
      <c r="G57" s="11" t="str">
        <f ca="1">+WORLDCUP!BD67</f>
        <v>Jordania</v>
      </c>
      <c r="H57" s="11" t="str">
        <f ca="1">+WORLDCUP!BD63</f>
        <v>Japón</v>
      </c>
      <c r="I57" s="11" t="str">
        <f ca="1">+WORLDCUP!BD69</f>
        <v>Panamá</v>
      </c>
      <c r="J57" s="11" t="str">
        <f ca="1">+WORLDCUP!BD68</f>
        <v>RD Congo</v>
      </c>
      <c r="N57" s="11" t="s">
        <v>1154</v>
      </c>
      <c r="O57" s="11">
        <v>56</v>
      </c>
      <c r="P57" s="11" t="s">
        <v>440</v>
      </c>
      <c r="Q57" s="11" t="s">
        <v>435</v>
      </c>
      <c r="R57" s="11" t="s">
        <v>90</v>
      </c>
      <c r="S57" s="11" t="s">
        <v>92</v>
      </c>
      <c r="T57" s="11" t="s">
        <v>441</v>
      </c>
      <c r="U57" s="11" t="s">
        <v>94</v>
      </c>
      <c r="V57" s="11" t="s">
        <v>443</v>
      </c>
      <c r="W57" s="11" t="s">
        <v>442</v>
      </c>
    </row>
    <row r="58" spans="1:23">
      <c r="A58" s="11" t="s">
        <v>1153</v>
      </c>
      <c r="B58" s="11">
        <f ca="1">+IF(A58=WORLDCUP!$BI$112,1,0)</f>
        <v>0</v>
      </c>
      <c r="C58" s="11" t="str">
        <f ca="1">+WORLDCUP!BD65</f>
        <v>España</v>
      </c>
      <c r="D58" s="11" t="str">
        <f ca="1">+WORLDCUP!BD64</f>
        <v>Bélgica</v>
      </c>
      <c r="E58" s="11" t="str">
        <f ca="1">+WORLDCUP!BD59</f>
        <v>Bosnia y Herzegovina</v>
      </c>
      <c r="F58" s="11" t="str">
        <f ca="1">+WORLDCUP!BD61</f>
        <v>Paraguay</v>
      </c>
      <c r="G58" s="11" t="str">
        <f ca="1">+WORLDCUP!BD67</f>
        <v>Jordania</v>
      </c>
      <c r="H58" s="11" t="str">
        <f ca="1">+WORLDCUP!BD63</f>
        <v>Japón</v>
      </c>
      <c r="I58" s="11" t="str">
        <f ca="1">+WORLDCUP!BD69</f>
        <v>Panamá</v>
      </c>
      <c r="J58" s="11" t="str">
        <f ca="1">+WORLDCUP!BD68</f>
        <v>RD Congo</v>
      </c>
      <c r="N58" s="11" t="s">
        <v>1153</v>
      </c>
      <c r="O58" s="11">
        <v>57</v>
      </c>
      <c r="P58" s="11" t="s">
        <v>436</v>
      </c>
      <c r="Q58" s="11" t="s">
        <v>435</v>
      </c>
      <c r="R58" s="11" t="s">
        <v>90</v>
      </c>
      <c r="S58" s="11" t="s">
        <v>92</v>
      </c>
      <c r="T58" s="11" t="s">
        <v>441</v>
      </c>
      <c r="U58" s="11" t="s">
        <v>94</v>
      </c>
      <c r="V58" s="11" t="s">
        <v>443</v>
      </c>
      <c r="W58" s="11" t="s">
        <v>442</v>
      </c>
    </row>
    <row r="59" spans="1:23">
      <c r="A59" s="11" t="s">
        <v>1152</v>
      </c>
      <c r="B59" s="11">
        <f ca="1">+IF(A59=WORLDCUP!$BI$112,1,0)</f>
        <v>0</v>
      </c>
      <c r="C59" s="11" t="str">
        <f ca="1">+WORLDCUP!BD65</f>
        <v>España</v>
      </c>
      <c r="D59" s="11" t="str">
        <f ca="1">+WORLDCUP!BD64</f>
        <v>Bélgica</v>
      </c>
      <c r="E59" s="11" t="str">
        <f ca="1">+WORLDCUP!BD59</f>
        <v>Bosnia y Herzegovina</v>
      </c>
      <c r="F59" s="11" t="str">
        <f ca="1">+WORLDCUP!BD61</f>
        <v>Paraguay</v>
      </c>
      <c r="G59" s="11" t="str">
        <f ca="1">+WORLDCUP!BD66</f>
        <v>Senegal</v>
      </c>
      <c r="H59" s="11" t="str">
        <f ca="1">+WORLDCUP!BD63</f>
        <v>Japón</v>
      </c>
      <c r="I59" s="11" t="str">
        <f ca="1">+WORLDCUP!BD69</f>
        <v>Panamá</v>
      </c>
      <c r="J59" s="11" t="str">
        <f ca="1">+WORLDCUP!BD68</f>
        <v>RD Congo</v>
      </c>
      <c r="N59" s="11" t="s">
        <v>1152</v>
      </c>
      <c r="O59" s="11">
        <v>58</v>
      </c>
      <c r="P59" s="11" t="s">
        <v>436</v>
      </c>
      <c r="Q59" s="11" t="s">
        <v>435</v>
      </c>
      <c r="R59" s="11" t="s">
        <v>90</v>
      </c>
      <c r="S59" s="11" t="s">
        <v>92</v>
      </c>
      <c r="T59" s="11" t="s">
        <v>440</v>
      </c>
      <c r="U59" s="11" t="s">
        <v>94</v>
      </c>
      <c r="V59" s="11" t="s">
        <v>443</v>
      </c>
      <c r="W59" s="11" t="s">
        <v>442</v>
      </c>
    </row>
    <row r="60" spans="1:23">
      <c r="A60" s="11" t="s">
        <v>1151</v>
      </c>
      <c r="B60" s="11">
        <f ca="1">+IF(A60=WORLDCUP!$BI$112,1,0)</f>
        <v>0</v>
      </c>
      <c r="C60" s="11" t="str">
        <f ca="1">+WORLDCUP!BD65</f>
        <v>España</v>
      </c>
      <c r="D60" s="11" t="str">
        <f ca="1">+WORLDCUP!BD64</f>
        <v>Bélgica</v>
      </c>
      <c r="E60" s="11" t="str">
        <f ca="1">+WORLDCUP!BD59</f>
        <v>Bosnia y Herzegovina</v>
      </c>
      <c r="F60" s="11" t="str">
        <f ca="1">+WORLDCUP!BD61</f>
        <v>Paraguay</v>
      </c>
      <c r="G60" s="11" t="str">
        <f ca="1">+WORLDCUP!BD67</f>
        <v>Jordania</v>
      </c>
      <c r="H60" s="11" t="str">
        <f ca="1">+WORLDCUP!BD63</f>
        <v>Japón</v>
      </c>
      <c r="I60" s="11" t="str">
        <f ca="1">+WORLDCUP!BD69</f>
        <v>Panamá</v>
      </c>
      <c r="J60" s="11" t="str">
        <f ca="1">+WORLDCUP!BD66</f>
        <v>Senegal</v>
      </c>
      <c r="N60" s="11" t="s">
        <v>1151</v>
      </c>
      <c r="O60" s="11">
        <v>59</v>
      </c>
      <c r="P60" s="11" t="s">
        <v>436</v>
      </c>
      <c r="Q60" s="11" t="s">
        <v>435</v>
      </c>
      <c r="R60" s="11" t="s">
        <v>90</v>
      </c>
      <c r="S60" s="11" t="s">
        <v>92</v>
      </c>
      <c r="T60" s="11" t="s">
        <v>441</v>
      </c>
      <c r="U60" s="11" t="s">
        <v>94</v>
      </c>
      <c r="V60" s="11" t="s">
        <v>443</v>
      </c>
      <c r="W60" s="11" t="s">
        <v>440</v>
      </c>
    </row>
    <row r="61" spans="1:23">
      <c r="A61" s="11" t="s">
        <v>1150</v>
      </c>
      <c r="B61" s="11">
        <f ca="1">+IF(A61=WORLDCUP!$BI$112,1,0)</f>
        <v>0</v>
      </c>
      <c r="C61" s="11" t="str">
        <f ca="1">+WORLDCUP!BD65</f>
        <v>España</v>
      </c>
      <c r="D61" s="11" t="str">
        <f ca="1">+WORLDCUP!BD64</f>
        <v>Bélgica</v>
      </c>
      <c r="E61" s="11" t="str">
        <f ca="1">+WORLDCUP!BD59</f>
        <v>Bosnia y Herzegovina</v>
      </c>
      <c r="F61" s="11" t="str">
        <f ca="1">+WORLDCUP!BD61</f>
        <v>Paraguay</v>
      </c>
      <c r="G61" s="11" t="str">
        <f ca="1">+WORLDCUP!BD67</f>
        <v>Jordania</v>
      </c>
      <c r="H61" s="11" t="str">
        <f ca="1">+WORLDCUP!BD63</f>
        <v>Japón</v>
      </c>
      <c r="I61" s="11" t="str">
        <f ca="1">+WORLDCUP!BD66</f>
        <v>Senegal</v>
      </c>
      <c r="J61" s="11" t="str">
        <f ca="1">+WORLDCUP!BD68</f>
        <v>RD Congo</v>
      </c>
      <c r="N61" s="11" t="s">
        <v>1150</v>
      </c>
      <c r="O61" s="11">
        <v>60</v>
      </c>
      <c r="P61" s="11" t="s">
        <v>436</v>
      </c>
      <c r="Q61" s="11" t="s">
        <v>435</v>
      </c>
      <c r="R61" s="11" t="s">
        <v>90</v>
      </c>
      <c r="S61" s="11" t="s">
        <v>92</v>
      </c>
      <c r="T61" s="11" t="s">
        <v>441</v>
      </c>
      <c r="U61" s="11" t="s">
        <v>94</v>
      </c>
      <c r="V61" s="11" t="s">
        <v>440</v>
      </c>
      <c r="W61" s="11" t="s">
        <v>442</v>
      </c>
    </row>
    <row r="62" spans="1:23">
      <c r="A62" s="11" t="s">
        <v>1149</v>
      </c>
      <c r="B62" s="11">
        <f ca="1">+IF(A62=WORLDCUP!$BI$112,1,0)</f>
        <v>0</v>
      </c>
      <c r="C62" s="11" t="str">
        <f ca="1">+WORLDCUP!BD62</f>
        <v>Ecuador</v>
      </c>
      <c r="D62" s="11" t="str">
        <f ca="1">+WORLDCUP!BD67</f>
        <v>Jordania</v>
      </c>
      <c r="E62" s="11" t="str">
        <f ca="1">+WORLDCUP!BD59</f>
        <v>Bosnia y Herzegovina</v>
      </c>
      <c r="F62" s="11" t="str">
        <f ca="1">+WORLDCUP!BD61</f>
        <v>Paraguay</v>
      </c>
      <c r="G62" s="11" t="str">
        <f ca="1">+WORLDCUP!BD66</f>
        <v>Senegal</v>
      </c>
      <c r="H62" s="11" t="str">
        <f ca="1">+WORLDCUP!BD65</f>
        <v>España</v>
      </c>
      <c r="I62" s="11" t="str">
        <f ca="1">+WORLDCUP!BD69</f>
        <v>Panamá</v>
      </c>
      <c r="J62" s="11" t="str">
        <f ca="1">+WORLDCUP!BD68</f>
        <v>RD Congo</v>
      </c>
      <c r="N62" s="11" t="s">
        <v>1149</v>
      </c>
      <c r="O62" s="11">
        <v>61</v>
      </c>
      <c r="P62" s="11" t="s">
        <v>93</v>
      </c>
      <c r="Q62" s="11" t="s">
        <v>441</v>
      </c>
      <c r="R62" s="11" t="s">
        <v>90</v>
      </c>
      <c r="S62" s="11" t="s">
        <v>92</v>
      </c>
      <c r="T62" s="11" t="s">
        <v>440</v>
      </c>
      <c r="U62" s="11" t="s">
        <v>436</v>
      </c>
      <c r="V62" s="11" t="s">
        <v>443</v>
      </c>
      <c r="W62" s="11" t="s">
        <v>442</v>
      </c>
    </row>
    <row r="63" spans="1:23">
      <c r="A63" s="11" t="s">
        <v>1148</v>
      </c>
      <c r="B63" s="11">
        <f ca="1">+IF(A63=WORLDCUP!$BI$112,1,0)</f>
        <v>0</v>
      </c>
      <c r="C63" s="11" t="str">
        <f ca="1">+WORLDCUP!BD62</f>
        <v>Ecuador</v>
      </c>
      <c r="D63" s="11" t="str">
        <f ca="1">+WORLDCUP!BD67</f>
        <v>Jordania</v>
      </c>
      <c r="E63" s="11" t="str">
        <f ca="1">+WORLDCUP!BD59</f>
        <v>Bosnia y Herzegovina</v>
      </c>
      <c r="F63" s="11" t="str">
        <f ca="1">+WORLDCUP!BD61</f>
        <v>Paraguay</v>
      </c>
      <c r="G63" s="11" t="str">
        <f ca="1">+WORLDCUP!BD66</f>
        <v>Senegal</v>
      </c>
      <c r="H63" s="11" t="str">
        <f ca="1">+WORLDCUP!BD64</f>
        <v>Bélgica</v>
      </c>
      <c r="I63" s="11" t="str">
        <f ca="1">+WORLDCUP!BD69</f>
        <v>Panamá</v>
      </c>
      <c r="J63" s="11" t="str">
        <f ca="1">+WORLDCUP!BD68</f>
        <v>RD Congo</v>
      </c>
      <c r="N63" s="11" t="s">
        <v>1148</v>
      </c>
      <c r="O63" s="11">
        <v>62</v>
      </c>
      <c r="P63" s="11" t="s">
        <v>93</v>
      </c>
      <c r="Q63" s="11" t="s">
        <v>441</v>
      </c>
      <c r="R63" s="11" t="s">
        <v>90</v>
      </c>
      <c r="S63" s="11" t="s">
        <v>92</v>
      </c>
      <c r="T63" s="11" t="s">
        <v>440</v>
      </c>
      <c r="U63" s="11" t="s">
        <v>435</v>
      </c>
      <c r="V63" s="11" t="s">
        <v>443</v>
      </c>
      <c r="W63" s="11" t="s">
        <v>442</v>
      </c>
    </row>
    <row r="64" spans="1:23">
      <c r="A64" s="11" t="s">
        <v>1147</v>
      </c>
      <c r="B64" s="11">
        <f ca="1">+IF(A64=WORLDCUP!$BI$112,1,0)</f>
        <v>0</v>
      </c>
      <c r="C64" s="11" t="str">
        <f ca="1">+WORLDCUP!BD62</f>
        <v>Ecuador</v>
      </c>
      <c r="D64" s="11" t="str">
        <f ca="1">+WORLDCUP!BD67</f>
        <v>Jordania</v>
      </c>
      <c r="E64" s="11" t="str">
        <f ca="1">+WORLDCUP!BD59</f>
        <v>Bosnia y Herzegovina</v>
      </c>
      <c r="F64" s="11" t="str">
        <f ca="1">+WORLDCUP!BD61</f>
        <v>Paraguay</v>
      </c>
      <c r="G64" s="11" t="str">
        <f ca="1">+WORLDCUP!BD65</f>
        <v>España</v>
      </c>
      <c r="H64" s="11" t="str">
        <f ca="1">+WORLDCUP!BD64</f>
        <v>Bélgica</v>
      </c>
      <c r="I64" s="11" t="str">
        <f ca="1">+WORLDCUP!BD69</f>
        <v>Panamá</v>
      </c>
      <c r="J64" s="11" t="str">
        <f ca="1">+WORLDCUP!BD68</f>
        <v>RD Congo</v>
      </c>
      <c r="N64" s="11" t="s">
        <v>1147</v>
      </c>
      <c r="O64" s="11">
        <v>63</v>
      </c>
      <c r="P64" s="11" t="s">
        <v>93</v>
      </c>
      <c r="Q64" s="11" t="s">
        <v>441</v>
      </c>
      <c r="R64" s="11" t="s">
        <v>90</v>
      </c>
      <c r="S64" s="11" t="s">
        <v>92</v>
      </c>
      <c r="T64" s="11" t="s">
        <v>436</v>
      </c>
      <c r="U64" s="11" t="s">
        <v>435</v>
      </c>
      <c r="V64" s="11" t="s">
        <v>443</v>
      </c>
      <c r="W64" s="11" t="s">
        <v>442</v>
      </c>
    </row>
    <row r="65" spans="1:23">
      <c r="A65" s="11" t="s">
        <v>1146</v>
      </c>
      <c r="B65" s="11">
        <f ca="1">+IF(A65=WORLDCUP!$BI$112,1,0)</f>
        <v>0</v>
      </c>
      <c r="C65" s="11" t="str">
        <f ca="1">+WORLDCUP!BD62</f>
        <v>Ecuador</v>
      </c>
      <c r="D65" s="11" t="str">
        <f ca="1">+WORLDCUP!BD64</f>
        <v>Bélgica</v>
      </c>
      <c r="E65" s="11" t="str">
        <f ca="1">+WORLDCUP!BD59</f>
        <v>Bosnia y Herzegovina</v>
      </c>
      <c r="F65" s="11" t="str">
        <f ca="1">+WORLDCUP!BD61</f>
        <v>Paraguay</v>
      </c>
      <c r="G65" s="11" t="str">
        <f ca="1">+WORLDCUP!BD66</f>
        <v>Senegal</v>
      </c>
      <c r="H65" s="11" t="str">
        <f ca="1">+WORLDCUP!BD65</f>
        <v>España</v>
      </c>
      <c r="I65" s="11" t="str">
        <f ca="1">+WORLDCUP!BD69</f>
        <v>Panamá</v>
      </c>
      <c r="J65" s="11" t="str">
        <f ca="1">+WORLDCUP!BD68</f>
        <v>RD Congo</v>
      </c>
      <c r="N65" s="11" t="s">
        <v>1146</v>
      </c>
      <c r="O65" s="11">
        <v>64</v>
      </c>
      <c r="P65" s="11" t="s">
        <v>93</v>
      </c>
      <c r="Q65" s="11" t="s">
        <v>435</v>
      </c>
      <c r="R65" s="11" t="s">
        <v>90</v>
      </c>
      <c r="S65" s="11" t="s">
        <v>92</v>
      </c>
      <c r="T65" s="11" t="s">
        <v>440</v>
      </c>
      <c r="U65" s="11" t="s">
        <v>436</v>
      </c>
      <c r="V65" s="11" t="s">
        <v>443</v>
      </c>
      <c r="W65" s="11" t="s">
        <v>442</v>
      </c>
    </row>
    <row r="66" spans="1:23">
      <c r="A66" s="11" t="s">
        <v>1145</v>
      </c>
      <c r="B66" s="11">
        <f ca="1">+IF(A66=WORLDCUP!$BI$112,1,0)</f>
        <v>0</v>
      </c>
      <c r="C66" s="11" t="str">
        <f ca="1">+WORLDCUP!BD62</f>
        <v>Ecuador</v>
      </c>
      <c r="D66" s="11" t="str">
        <f ca="1">+WORLDCUP!BD67</f>
        <v>Jordania</v>
      </c>
      <c r="E66" s="11" t="str">
        <f ca="1">+WORLDCUP!BD59</f>
        <v>Bosnia y Herzegovina</v>
      </c>
      <c r="F66" s="11" t="str">
        <f ca="1">+WORLDCUP!BD61</f>
        <v>Paraguay</v>
      </c>
      <c r="G66" s="11" t="str">
        <f ca="1">+WORLDCUP!BD65</f>
        <v>España</v>
      </c>
      <c r="H66" s="11" t="str">
        <f ca="1">+WORLDCUP!BD64</f>
        <v>Bélgica</v>
      </c>
      <c r="I66" s="11" t="str">
        <f ca="1">+WORLDCUP!BD69</f>
        <v>Panamá</v>
      </c>
      <c r="J66" s="11" t="str">
        <f ca="1">+WORLDCUP!BD66</f>
        <v>Senegal</v>
      </c>
      <c r="N66" s="11" t="s">
        <v>1145</v>
      </c>
      <c r="O66" s="11">
        <v>65</v>
      </c>
      <c r="P66" s="11" t="s">
        <v>93</v>
      </c>
      <c r="Q66" s="11" t="s">
        <v>441</v>
      </c>
      <c r="R66" s="11" t="s">
        <v>90</v>
      </c>
      <c r="S66" s="11" t="s">
        <v>92</v>
      </c>
      <c r="T66" s="11" t="s">
        <v>436</v>
      </c>
      <c r="U66" s="11" t="s">
        <v>435</v>
      </c>
      <c r="V66" s="11" t="s">
        <v>443</v>
      </c>
      <c r="W66" s="11" t="s">
        <v>440</v>
      </c>
    </row>
    <row r="67" spans="1:23">
      <c r="A67" s="11" t="s">
        <v>1144</v>
      </c>
      <c r="B67" s="11">
        <f ca="1">+IF(A67=WORLDCUP!$BI$112,1,0)</f>
        <v>0</v>
      </c>
      <c r="C67" s="11" t="str">
        <f ca="1">+WORLDCUP!BD62</f>
        <v>Ecuador</v>
      </c>
      <c r="D67" s="11" t="str">
        <f ca="1">+WORLDCUP!BD67</f>
        <v>Jordania</v>
      </c>
      <c r="E67" s="11" t="str">
        <f ca="1">+WORLDCUP!BD59</f>
        <v>Bosnia y Herzegovina</v>
      </c>
      <c r="F67" s="11" t="str">
        <f ca="1">+WORLDCUP!BD61</f>
        <v>Paraguay</v>
      </c>
      <c r="G67" s="11" t="str">
        <f ca="1">+WORLDCUP!BD65</f>
        <v>España</v>
      </c>
      <c r="H67" s="11" t="str">
        <f ca="1">+WORLDCUP!BD64</f>
        <v>Bélgica</v>
      </c>
      <c r="I67" s="11" t="str">
        <f ca="1">+WORLDCUP!BD66</f>
        <v>Senegal</v>
      </c>
      <c r="J67" s="11" t="str">
        <f ca="1">+WORLDCUP!BD68</f>
        <v>RD Congo</v>
      </c>
      <c r="N67" s="11" t="s">
        <v>1144</v>
      </c>
      <c r="O67" s="11">
        <v>66</v>
      </c>
      <c r="P67" s="11" t="s">
        <v>93</v>
      </c>
      <c r="Q67" s="11" t="s">
        <v>441</v>
      </c>
      <c r="R67" s="11" t="s">
        <v>90</v>
      </c>
      <c r="S67" s="11" t="s">
        <v>92</v>
      </c>
      <c r="T67" s="11" t="s">
        <v>436</v>
      </c>
      <c r="U67" s="11" t="s">
        <v>435</v>
      </c>
      <c r="V67" s="11" t="s">
        <v>440</v>
      </c>
      <c r="W67" s="11" t="s">
        <v>442</v>
      </c>
    </row>
    <row r="68" spans="1:23">
      <c r="A68" s="11" t="s">
        <v>1143</v>
      </c>
      <c r="B68" s="11">
        <f ca="1">+IF(A68=WORLDCUP!$BI$112,1,0)</f>
        <v>0</v>
      </c>
      <c r="C68" s="11" t="str">
        <f ca="1">+WORLDCUP!BD62</f>
        <v>Ecuador</v>
      </c>
      <c r="D68" s="11" t="str">
        <f ca="1">+WORLDCUP!BD67</f>
        <v>Jordania</v>
      </c>
      <c r="E68" s="11" t="str">
        <f ca="1">+WORLDCUP!BD59</f>
        <v>Bosnia y Herzegovina</v>
      </c>
      <c r="F68" s="11" t="str">
        <f ca="1">+WORLDCUP!BD61</f>
        <v>Paraguay</v>
      </c>
      <c r="G68" s="11" t="str">
        <f ca="1">+WORLDCUP!BD66</f>
        <v>Senegal</v>
      </c>
      <c r="H68" s="11" t="str">
        <f ca="1">+WORLDCUP!BD63</f>
        <v>Japón</v>
      </c>
      <c r="I68" s="11" t="str">
        <f ca="1">+WORLDCUP!BD69</f>
        <v>Panamá</v>
      </c>
      <c r="J68" s="11" t="str">
        <f ca="1">+WORLDCUP!BD68</f>
        <v>RD Congo</v>
      </c>
      <c r="N68" s="11" t="s">
        <v>1143</v>
      </c>
      <c r="O68" s="11">
        <v>67</v>
      </c>
      <c r="P68" s="11" t="s">
        <v>93</v>
      </c>
      <c r="Q68" s="11" t="s">
        <v>441</v>
      </c>
      <c r="R68" s="11" t="s">
        <v>90</v>
      </c>
      <c r="S68" s="11" t="s">
        <v>92</v>
      </c>
      <c r="T68" s="11" t="s">
        <v>440</v>
      </c>
      <c r="U68" s="11" t="s">
        <v>94</v>
      </c>
      <c r="V68" s="11" t="s">
        <v>443</v>
      </c>
      <c r="W68" s="11" t="s">
        <v>442</v>
      </c>
    </row>
    <row r="69" spans="1:23">
      <c r="A69" s="11" t="s">
        <v>1142</v>
      </c>
      <c r="B69" s="11">
        <f ca="1">+IF(A69=WORLDCUP!$BI$112,1,0)</f>
        <v>0</v>
      </c>
      <c r="C69" s="11" t="str">
        <f ca="1">+WORLDCUP!BD62</f>
        <v>Ecuador</v>
      </c>
      <c r="D69" s="11" t="str">
        <f ca="1">+WORLDCUP!BD67</f>
        <v>Jordania</v>
      </c>
      <c r="E69" s="11" t="str">
        <f ca="1">+WORLDCUP!BD59</f>
        <v>Bosnia y Herzegovina</v>
      </c>
      <c r="F69" s="11" t="str">
        <f ca="1">+WORLDCUP!BD61</f>
        <v>Paraguay</v>
      </c>
      <c r="G69" s="11" t="str">
        <f ca="1">+WORLDCUP!BD65</f>
        <v>España</v>
      </c>
      <c r="H69" s="11" t="str">
        <f ca="1">+WORLDCUP!BD63</f>
        <v>Japón</v>
      </c>
      <c r="I69" s="11" t="str">
        <f ca="1">+WORLDCUP!BD69</f>
        <v>Panamá</v>
      </c>
      <c r="J69" s="11" t="str">
        <f ca="1">+WORLDCUP!BD68</f>
        <v>RD Congo</v>
      </c>
      <c r="N69" s="11" t="s">
        <v>1142</v>
      </c>
      <c r="O69" s="11">
        <v>68</v>
      </c>
      <c r="P69" s="11" t="s">
        <v>93</v>
      </c>
      <c r="Q69" s="11" t="s">
        <v>441</v>
      </c>
      <c r="R69" s="11" t="s">
        <v>90</v>
      </c>
      <c r="S69" s="11" t="s">
        <v>92</v>
      </c>
      <c r="T69" s="11" t="s">
        <v>436</v>
      </c>
      <c r="U69" s="11" t="s">
        <v>94</v>
      </c>
      <c r="V69" s="11" t="s">
        <v>443</v>
      </c>
      <c r="W69" s="11" t="s">
        <v>442</v>
      </c>
    </row>
    <row r="70" spans="1:23">
      <c r="A70" s="11" t="s">
        <v>1141</v>
      </c>
      <c r="B70" s="11">
        <f ca="1">+IF(A70=WORLDCUP!$BI$112,1,0)</f>
        <v>0</v>
      </c>
      <c r="C70" s="11" t="str">
        <f ca="1">+WORLDCUP!BD62</f>
        <v>Ecuador</v>
      </c>
      <c r="D70" s="11" t="str">
        <f ca="1">+WORLDCUP!BD66</f>
        <v>Senegal</v>
      </c>
      <c r="E70" s="11" t="str">
        <f ca="1">+WORLDCUP!BD59</f>
        <v>Bosnia y Herzegovina</v>
      </c>
      <c r="F70" s="11" t="str">
        <f ca="1">+WORLDCUP!BD61</f>
        <v>Paraguay</v>
      </c>
      <c r="G70" s="11" t="str">
        <f ca="1">+WORLDCUP!BD65</f>
        <v>España</v>
      </c>
      <c r="H70" s="11" t="str">
        <f ca="1">+WORLDCUP!BD63</f>
        <v>Japón</v>
      </c>
      <c r="I70" s="11" t="str">
        <f ca="1">+WORLDCUP!BD69</f>
        <v>Panamá</v>
      </c>
      <c r="J70" s="11" t="str">
        <f ca="1">+WORLDCUP!BD68</f>
        <v>RD Congo</v>
      </c>
      <c r="N70" s="11" t="s">
        <v>1141</v>
      </c>
      <c r="O70" s="11">
        <v>69</v>
      </c>
      <c r="P70" s="11" t="s">
        <v>93</v>
      </c>
      <c r="Q70" s="11" t="s">
        <v>440</v>
      </c>
      <c r="R70" s="11" t="s">
        <v>90</v>
      </c>
      <c r="S70" s="11" t="s">
        <v>92</v>
      </c>
      <c r="T70" s="11" t="s">
        <v>436</v>
      </c>
      <c r="U70" s="11" t="s">
        <v>94</v>
      </c>
      <c r="V70" s="11" t="s">
        <v>443</v>
      </c>
      <c r="W70" s="11" t="s">
        <v>442</v>
      </c>
    </row>
    <row r="71" spans="1:23">
      <c r="A71" s="11" t="s">
        <v>1140</v>
      </c>
      <c r="B71" s="11">
        <f ca="1">+IF(A71=WORLDCUP!$BI$112,1,0)</f>
        <v>0</v>
      </c>
      <c r="C71" s="11" t="str">
        <f ca="1">+WORLDCUP!BD62</f>
        <v>Ecuador</v>
      </c>
      <c r="D71" s="11" t="str">
        <f ca="1">+WORLDCUP!BD67</f>
        <v>Jordania</v>
      </c>
      <c r="E71" s="11" t="str">
        <f ca="1">+WORLDCUP!BD59</f>
        <v>Bosnia y Herzegovina</v>
      </c>
      <c r="F71" s="11" t="str">
        <f ca="1">+WORLDCUP!BD61</f>
        <v>Paraguay</v>
      </c>
      <c r="G71" s="11" t="str">
        <f ca="1">+WORLDCUP!BD65</f>
        <v>España</v>
      </c>
      <c r="H71" s="11" t="str">
        <f ca="1">+WORLDCUP!BD63</f>
        <v>Japón</v>
      </c>
      <c r="I71" s="11" t="str">
        <f ca="1">+WORLDCUP!BD69</f>
        <v>Panamá</v>
      </c>
      <c r="J71" s="11" t="str">
        <f ca="1">+WORLDCUP!BD66</f>
        <v>Senegal</v>
      </c>
      <c r="N71" s="11" t="s">
        <v>1140</v>
      </c>
      <c r="O71" s="11">
        <v>70</v>
      </c>
      <c r="P71" s="11" t="s">
        <v>93</v>
      </c>
      <c r="Q71" s="11" t="s">
        <v>441</v>
      </c>
      <c r="R71" s="11" t="s">
        <v>90</v>
      </c>
      <c r="S71" s="11" t="s">
        <v>92</v>
      </c>
      <c r="T71" s="11" t="s">
        <v>436</v>
      </c>
      <c r="U71" s="11" t="s">
        <v>94</v>
      </c>
      <c r="V71" s="11" t="s">
        <v>443</v>
      </c>
      <c r="W71" s="11" t="s">
        <v>440</v>
      </c>
    </row>
    <row r="72" spans="1:23">
      <c r="A72" s="11" t="s">
        <v>1139</v>
      </c>
      <c r="B72" s="11">
        <f ca="1">+IF(A72=WORLDCUP!$BI$112,1,0)</f>
        <v>0</v>
      </c>
      <c r="C72" s="11" t="str">
        <f ca="1">+WORLDCUP!BD62</f>
        <v>Ecuador</v>
      </c>
      <c r="D72" s="11" t="str">
        <f ca="1">+WORLDCUP!BD67</f>
        <v>Jordania</v>
      </c>
      <c r="E72" s="11" t="str">
        <f ca="1">+WORLDCUP!BD59</f>
        <v>Bosnia y Herzegovina</v>
      </c>
      <c r="F72" s="11" t="str">
        <f ca="1">+WORLDCUP!BD61</f>
        <v>Paraguay</v>
      </c>
      <c r="G72" s="11" t="str">
        <f ca="1">+WORLDCUP!BD65</f>
        <v>España</v>
      </c>
      <c r="H72" s="11" t="str">
        <f ca="1">+WORLDCUP!BD63</f>
        <v>Japón</v>
      </c>
      <c r="I72" s="11" t="str">
        <f ca="1">+WORLDCUP!BD66</f>
        <v>Senegal</v>
      </c>
      <c r="J72" s="11" t="str">
        <f ca="1">+WORLDCUP!BD68</f>
        <v>RD Congo</v>
      </c>
      <c r="N72" s="11" t="s">
        <v>1139</v>
      </c>
      <c r="O72" s="11">
        <v>71</v>
      </c>
      <c r="P72" s="11" t="s">
        <v>93</v>
      </c>
      <c r="Q72" s="11" t="s">
        <v>441</v>
      </c>
      <c r="R72" s="11" t="s">
        <v>90</v>
      </c>
      <c r="S72" s="11" t="s">
        <v>92</v>
      </c>
      <c r="T72" s="11" t="s">
        <v>436</v>
      </c>
      <c r="U72" s="11" t="s">
        <v>94</v>
      </c>
      <c r="V72" s="11" t="s">
        <v>440</v>
      </c>
      <c r="W72" s="11" t="s">
        <v>442</v>
      </c>
    </row>
    <row r="73" spans="1:23">
      <c r="A73" s="11" t="s">
        <v>1138</v>
      </c>
      <c r="B73" s="11">
        <f ca="1">+IF(A73=WORLDCUP!$BI$112,1,0)</f>
        <v>0</v>
      </c>
      <c r="C73" s="11" t="str">
        <f ca="1">+WORLDCUP!BD62</f>
        <v>Ecuador</v>
      </c>
      <c r="D73" s="11" t="str">
        <f ca="1">+WORLDCUP!BD64</f>
        <v>Bélgica</v>
      </c>
      <c r="E73" s="11" t="str">
        <f ca="1">+WORLDCUP!BD59</f>
        <v>Bosnia y Herzegovina</v>
      </c>
      <c r="F73" s="11" t="str">
        <f ca="1">+WORLDCUP!BD61</f>
        <v>Paraguay</v>
      </c>
      <c r="G73" s="11" t="str">
        <f ca="1">+WORLDCUP!BD67</f>
        <v>Jordania</v>
      </c>
      <c r="H73" s="11" t="str">
        <f ca="1">+WORLDCUP!BD63</f>
        <v>Japón</v>
      </c>
      <c r="I73" s="11" t="str">
        <f ca="1">+WORLDCUP!BD69</f>
        <v>Panamá</v>
      </c>
      <c r="J73" s="11" t="str">
        <f ca="1">+WORLDCUP!BD68</f>
        <v>RD Congo</v>
      </c>
      <c r="N73" s="11" t="s">
        <v>1138</v>
      </c>
      <c r="O73" s="11">
        <v>72</v>
      </c>
      <c r="P73" s="11" t="s">
        <v>93</v>
      </c>
      <c r="Q73" s="11" t="s">
        <v>435</v>
      </c>
      <c r="R73" s="11" t="s">
        <v>90</v>
      </c>
      <c r="S73" s="11" t="s">
        <v>92</v>
      </c>
      <c r="T73" s="11" t="s">
        <v>441</v>
      </c>
      <c r="U73" s="11" t="s">
        <v>94</v>
      </c>
      <c r="V73" s="11" t="s">
        <v>443</v>
      </c>
      <c r="W73" s="11" t="s">
        <v>442</v>
      </c>
    </row>
    <row r="74" spans="1:23">
      <c r="A74" s="11" t="s">
        <v>1137</v>
      </c>
      <c r="B74" s="11">
        <f ca="1">+IF(A74=WORLDCUP!$BI$112,1,0)</f>
        <v>0</v>
      </c>
      <c r="C74" s="11" t="str">
        <f ca="1">+WORLDCUP!BD62</f>
        <v>Ecuador</v>
      </c>
      <c r="D74" s="11" t="str">
        <f ca="1">+WORLDCUP!BD64</f>
        <v>Bélgica</v>
      </c>
      <c r="E74" s="11" t="str">
        <f ca="1">+WORLDCUP!BD59</f>
        <v>Bosnia y Herzegovina</v>
      </c>
      <c r="F74" s="11" t="str">
        <f ca="1">+WORLDCUP!BD61</f>
        <v>Paraguay</v>
      </c>
      <c r="G74" s="11" t="str">
        <f ca="1">+WORLDCUP!BD66</f>
        <v>Senegal</v>
      </c>
      <c r="H74" s="11" t="str">
        <f ca="1">+WORLDCUP!BD63</f>
        <v>Japón</v>
      </c>
      <c r="I74" s="11" t="str">
        <f ca="1">+WORLDCUP!BD69</f>
        <v>Panamá</v>
      </c>
      <c r="J74" s="11" t="str">
        <f ca="1">+WORLDCUP!BD68</f>
        <v>RD Congo</v>
      </c>
      <c r="N74" s="11" t="s">
        <v>1137</v>
      </c>
      <c r="O74" s="11">
        <v>73</v>
      </c>
      <c r="P74" s="11" t="s">
        <v>93</v>
      </c>
      <c r="Q74" s="11" t="s">
        <v>435</v>
      </c>
      <c r="R74" s="11" t="s">
        <v>90</v>
      </c>
      <c r="S74" s="11" t="s">
        <v>92</v>
      </c>
      <c r="T74" s="11" t="s">
        <v>440</v>
      </c>
      <c r="U74" s="11" t="s">
        <v>94</v>
      </c>
      <c r="V74" s="11" t="s">
        <v>443</v>
      </c>
      <c r="W74" s="11" t="s">
        <v>442</v>
      </c>
    </row>
    <row r="75" spans="1:23">
      <c r="A75" s="11" t="s">
        <v>1136</v>
      </c>
      <c r="B75" s="11">
        <f ca="1">+IF(A75=WORLDCUP!$BI$112,1,0)</f>
        <v>0</v>
      </c>
      <c r="C75" s="11" t="str">
        <f ca="1">+WORLDCUP!BD62</f>
        <v>Ecuador</v>
      </c>
      <c r="D75" s="11" t="str">
        <f ca="1">+WORLDCUP!BD64</f>
        <v>Bélgica</v>
      </c>
      <c r="E75" s="11" t="str">
        <f ca="1">+WORLDCUP!BD59</f>
        <v>Bosnia y Herzegovina</v>
      </c>
      <c r="F75" s="11" t="str">
        <f ca="1">+WORLDCUP!BD61</f>
        <v>Paraguay</v>
      </c>
      <c r="G75" s="11" t="str">
        <f ca="1">+WORLDCUP!BD67</f>
        <v>Jordania</v>
      </c>
      <c r="H75" s="11" t="str">
        <f ca="1">+WORLDCUP!BD63</f>
        <v>Japón</v>
      </c>
      <c r="I75" s="11" t="str">
        <f ca="1">+WORLDCUP!BD69</f>
        <v>Panamá</v>
      </c>
      <c r="J75" s="11" t="str">
        <f ca="1">+WORLDCUP!BD66</f>
        <v>Senegal</v>
      </c>
      <c r="N75" s="11" t="s">
        <v>1136</v>
      </c>
      <c r="O75" s="11">
        <v>74</v>
      </c>
      <c r="P75" s="11" t="s">
        <v>93</v>
      </c>
      <c r="Q75" s="11" t="s">
        <v>435</v>
      </c>
      <c r="R75" s="11" t="s">
        <v>90</v>
      </c>
      <c r="S75" s="11" t="s">
        <v>92</v>
      </c>
      <c r="T75" s="11" t="s">
        <v>441</v>
      </c>
      <c r="U75" s="11" t="s">
        <v>94</v>
      </c>
      <c r="V75" s="11" t="s">
        <v>443</v>
      </c>
      <c r="W75" s="11" t="s">
        <v>440</v>
      </c>
    </row>
    <row r="76" spans="1:23">
      <c r="A76" s="11" t="s">
        <v>1135</v>
      </c>
      <c r="B76" s="11">
        <f ca="1">+IF(A76=WORLDCUP!$BI$112,1,0)</f>
        <v>0</v>
      </c>
      <c r="C76" s="11" t="str">
        <f ca="1">+WORLDCUP!BD62</f>
        <v>Ecuador</v>
      </c>
      <c r="D76" s="11" t="str">
        <f ca="1">+WORLDCUP!BD64</f>
        <v>Bélgica</v>
      </c>
      <c r="E76" s="11" t="str">
        <f ca="1">+WORLDCUP!BD59</f>
        <v>Bosnia y Herzegovina</v>
      </c>
      <c r="F76" s="11" t="str">
        <f ca="1">+WORLDCUP!BD61</f>
        <v>Paraguay</v>
      </c>
      <c r="G76" s="11" t="str">
        <f ca="1">+WORLDCUP!BD67</f>
        <v>Jordania</v>
      </c>
      <c r="H76" s="11" t="str">
        <f ca="1">+WORLDCUP!BD63</f>
        <v>Japón</v>
      </c>
      <c r="I76" s="11" t="str">
        <f ca="1">+WORLDCUP!BD66</f>
        <v>Senegal</v>
      </c>
      <c r="J76" s="11" t="str">
        <f ca="1">+WORLDCUP!BD68</f>
        <v>RD Congo</v>
      </c>
      <c r="N76" s="11" t="s">
        <v>1135</v>
      </c>
      <c r="O76" s="11">
        <v>75</v>
      </c>
      <c r="P76" s="11" t="s">
        <v>93</v>
      </c>
      <c r="Q76" s="11" t="s">
        <v>435</v>
      </c>
      <c r="R76" s="11" t="s">
        <v>90</v>
      </c>
      <c r="S76" s="11" t="s">
        <v>92</v>
      </c>
      <c r="T76" s="11" t="s">
        <v>441</v>
      </c>
      <c r="U76" s="11" t="s">
        <v>94</v>
      </c>
      <c r="V76" s="11" t="s">
        <v>440</v>
      </c>
      <c r="W76" s="11" t="s">
        <v>442</v>
      </c>
    </row>
    <row r="77" spans="1:23">
      <c r="A77" s="11" t="s">
        <v>602</v>
      </c>
      <c r="B77" s="11">
        <f ca="1">+IF(A77=WORLDCUP!$BI$112,1,0)</f>
        <v>0</v>
      </c>
      <c r="C77" s="11" t="str">
        <f ca="1">+WORLDCUP!BD62</f>
        <v>Ecuador</v>
      </c>
      <c r="D77" s="11" t="str">
        <f ca="1">+WORLDCUP!BD64</f>
        <v>Bélgica</v>
      </c>
      <c r="E77" s="11" t="str">
        <f ca="1">+WORLDCUP!BD59</f>
        <v>Bosnia y Herzegovina</v>
      </c>
      <c r="F77" s="11" t="str">
        <f ca="1">+WORLDCUP!BD61</f>
        <v>Paraguay</v>
      </c>
      <c r="G77" s="11" t="str">
        <f ca="1">+WORLDCUP!BD65</f>
        <v>España</v>
      </c>
      <c r="H77" s="11" t="str">
        <f ca="1">+WORLDCUP!BD63</f>
        <v>Japón</v>
      </c>
      <c r="I77" s="11" t="str">
        <f ca="1">+WORLDCUP!BD69</f>
        <v>Panamá</v>
      </c>
      <c r="J77" s="11" t="str">
        <f ca="1">+WORLDCUP!BD68</f>
        <v>RD Congo</v>
      </c>
      <c r="N77" s="11" t="s">
        <v>602</v>
      </c>
      <c r="O77" s="11">
        <v>76</v>
      </c>
      <c r="P77" s="11" t="s">
        <v>93</v>
      </c>
      <c r="Q77" s="11" t="s">
        <v>435</v>
      </c>
      <c r="R77" s="11" t="s">
        <v>90</v>
      </c>
      <c r="S77" s="11" t="s">
        <v>92</v>
      </c>
      <c r="T77" s="11" t="s">
        <v>436</v>
      </c>
      <c r="U77" s="11" t="s">
        <v>94</v>
      </c>
      <c r="V77" s="11" t="s">
        <v>443</v>
      </c>
      <c r="W77" s="11" t="s">
        <v>442</v>
      </c>
    </row>
    <row r="78" spans="1:23">
      <c r="A78" s="11" t="s">
        <v>601</v>
      </c>
      <c r="B78" s="11">
        <f ca="1">+IF(A78=WORLDCUP!$BI$112,1,0)</f>
        <v>0</v>
      </c>
      <c r="C78" s="11" t="str">
        <f ca="1">+WORLDCUP!BD65</f>
        <v>España</v>
      </c>
      <c r="D78" s="11" t="str">
        <f ca="1">+WORLDCUP!BD64</f>
        <v>Bélgica</v>
      </c>
      <c r="E78" s="11" t="str">
        <f ca="1">+WORLDCUP!BD59</f>
        <v>Bosnia y Herzegovina</v>
      </c>
      <c r="F78" s="11" t="str">
        <f ca="1">+WORLDCUP!BD61</f>
        <v>Paraguay</v>
      </c>
      <c r="G78" s="11" t="str">
        <f ca="1">+WORLDCUP!BD67</f>
        <v>Jordania</v>
      </c>
      <c r="H78" s="11" t="str">
        <f ca="1">+WORLDCUP!BD63</f>
        <v>Japón</v>
      </c>
      <c r="I78" s="11" t="str">
        <f ca="1">+WORLDCUP!BD69</f>
        <v>Panamá</v>
      </c>
      <c r="J78" s="11" t="str">
        <f ca="1">+WORLDCUP!BD62</f>
        <v>Ecuador</v>
      </c>
      <c r="N78" s="11" t="s">
        <v>601</v>
      </c>
      <c r="O78" s="11">
        <v>77</v>
      </c>
      <c r="P78" s="11" t="s">
        <v>436</v>
      </c>
      <c r="Q78" s="11" t="s">
        <v>435</v>
      </c>
      <c r="R78" s="11" t="s">
        <v>90</v>
      </c>
      <c r="S78" s="11" t="s">
        <v>92</v>
      </c>
      <c r="T78" s="11" t="s">
        <v>441</v>
      </c>
      <c r="U78" s="11" t="s">
        <v>94</v>
      </c>
      <c r="V78" s="11" t="s">
        <v>443</v>
      </c>
      <c r="W78" s="11" t="s">
        <v>93</v>
      </c>
    </row>
    <row r="79" spans="1:23">
      <c r="A79" s="11" t="s">
        <v>600</v>
      </c>
      <c r="B79" s="11">
        <f ca="1">+IF(A79=WORLDCUP!$BI$112,1,0)</f>
        <v>0</v>
      </c>
      <c r="C79" s="11" t="str">
        <f ca="1">+WORLDCUP!BD65</f>
        <v>España</v>
      </c>
      <c r="D79" s="11" t="str">
        <f ca="1">+WORLDCUP!BD64</f>
        <v>Bélgica</v>
      </c>
      <c r="E79" s="11" t="str">
        <f ca="1">+WORLDCUP!BD59</f>
        <v>Bosnia y Herzegovina</v>
      </c>
      <c r="F79" s="11" t="str">
        <f ca="1">+WORLDCUP!BD61</f>
        <v>Paraguay</v>
      </c>
      <c r="G79" s="11" t="str">
        <f ca="1">+WORLDCUP!BD67</f>
        <v>Jordania</v>
      </c>
      <c r="H79" s="11" t="str">
        <f ca="1">+WORLDCUP!BD63</f>
        <v>Japón</v>
      </c>
      <c r="I79" s="11" t="str">
        <f ca="1">+WORLDCUP!BD62</f>
        <v>Ecuador</v>
      </c>
      <c r="J79" s="11" t="str">
        <f ca="1">+WORLDCUP!BD68</f>
        <v>RD Congo</v>
      </c>
      <c r="N79" s="11" t="s">
        <v>600</v>
      </c>
      <c r="O79" s="11">
        <v>78</v>
      </c>
      <c r="P79" s="11" t="s">
        <v>436</v>
      </c>
      <c r="Q79" s="11" t="s">
        <v>435</v>
      </c>
      <c r="R79" s="11" t="s">
        <v>90</v>
      </c>
      <c r="S79" s="11" t="s">
        <v>92</v>
      </c>
      <c r="T79" s="11" t="s">
        <v>441</v>
      </c>
      <c r="U79" s="11" t="s">
        <v>94</v>
      </c>
      <c r="V79" s="11" t="s">
        <v>93</v>
      </c>
      <c r="W79" s="11" t="s">
        <v>442</v>
      </c>
    </row>
    <row r="80" spans="1:23">
      <c r="A80" s="11" t="s">
        <v>599</v>
      </c>
      <c r="B80" s="11">
        <f ca="1">+IF(A80=WORLDCUP!$BI$112,1,0)</f>
        <v>0</v>
      </c>
      <c r="C80" s="11" t="str">
        <f ca="1">+WORLDCUP!BD62</f>
        <v>Ecuador</v>
      </c>
      <c r="D80" s="11" t="str">
        <f ca="1">+WORLDCUP!BD64</f>
        <v>Bélgica</v>
      </c>
      <c r="E80" s="11" t="str">
        <f ca="1">+WORLDCUP!BD59</f>
        <v>Bosnia y Herzegovina</v>
      </c>
      <c r="F80" s="11" t="str">
        <f ca="1">+WORLDCUP!BD61</f>
        <v>Paraguay</v>
      </c>
      <c r="G80" s="11" t="str">
        <f ca="1">+WORLDCUP!BD65</f>
        <v>España</v>
      </c>
      <c r="H80" s="11" t="str">
        <f ca="1">+WORLDCUP!BD63</f>
        <v>Japón</v>
      </c>
      <c r="I80" s="11" t="str">
        <f ca="1">+WORLDCUP!BD69</f>
        <v>Panamá</v>
      </c>
      <c r="J80" s="11" t="str">
        <f ca="1">+WORLDCUP!BD66</f>
        <v>Senegal</v>
      </c>
      <c r="N80" s="11" t="s">
        <v>599</v>
      </c>
      <c r="O80" s="11">
        <v>79</v>
      </c>
      <c r="P80" s="11" t="s">
        <v>93</v>
      </c>
      <c r="Q80" s="11" t="s">
        <v>435</v>
      </c>
      <c r="R80" s="11" t="s">
        <v>90</v>
      </c>
      <c r="S80" s="11" t="s">
        <v>92</v>
      </c>
      <c r="T80" s="11" t="s">
        <v>436</v>
      </c>
      <c r="U80" s="11" t="s">
        <v>94</v>
      </c>
      <c r="V80" s="11" t="s">
        <v>443</v>
      </c>
      <c r="W80" s="11" t="s">
        <v>440</v>
      </c>
    </row>
    <row r="81" spans="1:23">
      <c r="A81" s="11" t="s">
        <v>598</v>
      </c>
      <c r="B81" s="11">
        <f ca="1">+IF(A81=WORLDCUP!$BI$112,1,0)</f>
        <v>0</v>
      </c>
      <c r="C81" s="11" t="str">
        <f ca="1">+WORLDCUP!BD62</f>
        <v>Ecuador</v>
      </c>
      <c r="D81" s="11" t="str">
        <f ca="1">+WORLDCUP!BD64</f>
        <v>Bélgica</v>
      </c>
      <c r="E81" s="11" t="str">
        <f ca="1">+WORLDCUP!BD59</f>
        <v>Bosnia y Herzegovina</v>
      </c>
      <c r="F81" s="11" t="str">
        <f ca="1">+WORLDCUP!BD61</f>
        <v>Paraguay</v>
      </c>
      <c r="G81" s="11" t="str">
        <f ca="1">+WORLDCUP!BD65</f>
        <v>España</v>
      </c>
      <c r="H81" s="11" t="str">
        <f ca="1">+WORLDCUP!BD63</f>
        <v>Japón</v>
      </c>
      <c r="I81" s="11" t="str">
        <f ca="1">+WORLDCUP!BD66</f>
        <v>Senegal</v>
      </c>
      <c r="J81" s="11" t="str">
        <f ca="1">+WORLDCUP!BD68</f>
        <v>RD Congo</v>
      </c>
      <c r="N81" s="11" t="s">
        <v>598</v>
      </c>
      <c r="O81" s="11">
        <v>80</v>
      </c>
      <c r="P81" s="11" t="s">
        <v>93</v>
      </c>
      <c r="Q81" s="11" t="s">
        <v>435</v>
      </c>
      <c r="R81" s="11" t="s">
        <v>90</v>
      </c>
      <c r="S81" s="11" t="s">
        <v>92</v>
      </c>
      <c r="T81" s="11" t="s">
        <v>436</v>
      </c>
      <c r="U81" s="11" t="s">
        <v>94</v>
      </c>
      <c r="V81" s="11" t="s">
        <v>440</v>
      </c>
      <c r="W81" s="11" t="s">
        <v>442</v>
      </c>
    </row>
    <row r="82" spans="1:23">
      <c r="A82" s="11" t="s">
        <v>597</v>
      </c>
      <c r="B82" s="11">
        <f ca="1">+IF(A82=WORLDCUP!$BI$112,1,0)</f>
        <v>0</v>
      </c>
      <c r="C82" s="11" t="str">
        <f ca="1">+WORLDCUP!BD65</f>
        <v>España</v>
      </c>
      <c r="D82" s="11" t="str">
        <f ca="1">+WORLDCUP!BD64</f>
        <v>Bélgica</v>
      </c>
      <c r="E82" s="11" t="str">
        <f ca="1">+WORLDCUP!BD59</f>
        <v>Bosnia y Herzegovina</v>
      </c>
      <c r="F82" s="11" t="str">
        <f ca="1">+WORLDCUP!BD61</f>
        <v>Paraguay</v>
      </c>
      <c r="G82" s="11" t="str">
        <f ca="1">+WORLDCUP!BD67</f>
        <v>Jordania</v>
      </c>
      <c r="H82" s="11" t="str">
        <f ca="1">+WORLDCUP!BD63</f>
        <v>Japón</v>
      </c>
      <c r="I82" s="11" t="str">
        <f ca="1">+WORLDCUP!BD62</f>
        <v>Ecuador</v>
      </c>
      <c r="J82" s="11" t="str">
        <f ca="1">+WORLDCUP!BD66</f>
        <v>Senegal</v>
      </c>
      <c r="N82" s="11" t="s">
        <v>597</v>
      </c>
      <c r="O82" s="11">
        <v>81</v>
      </c>
      <c r="P82" s="11" t="s">
        <v>436</v>
      </c>
      <c r="Q82" s="11" t="s">
        <v>435</v>
      </c>
      <c r="R82" s="11" t="s">
        <v>90</v>
      </c>
      <c r="S82" s="11" t="s">
        <v>92</v>
      </c>
      <c r="T82" s="11" t="s">
        <v>441</v>
      </c>
      <c r="U82" s="11" t="s">
        <v>94</v>
      </c>
      <c r="V82" s="11" t="s">
        <v>93</v>
      </c>
      <c r="W82" s="11" t="s">
        <v>440</v>
      </c>
    </row>
    <row r="83" spans="1:23">
      <c r="A83" s="11" t="s">
        <v>1134</v>
      </c>
      <c r="B83" s="11">
        <f ca="1">+IF(A83=WORLDCUP!$BI$112,1,0)</f>
        <v>0</v>
      </c>
      <c r="C83" s="11" t="str">
        <f ca="1">+WORLDCUP!BD65</f>
        <v>España</v>
      </c>
      <c r="D83" s="11" t="str">
        <f ca="1">+WORLDCUP!BD67</f>
        <v>Jordania</v>
      </c>
      <c r="E83" s="11" t="str">
        <f ca="1">+WORLDCUP!BD59</f>
        <v>Bosnia y Herzegovina</v>
      </c>
      <c r="F83" s="11" t="str">
        <f ca="1">+WORLDCUP!BD60</f>
        <v>Escocia</v>
      </c>
      <c r="G83" s="11" t="str">
        <f ca="1">+WORLDCUP!BD66</f>
        <v>Senegal</v>
      </c>
      <c r="H83" s="11" t="str">
        <f ca="1">+WORLDCUP!BD64</f>
        <v>Bélgica</v>
      </c>
      <c r="I83" s="11" t="str">
        <f ca="1">+WORLDCUP!BD69</f>
        <v>Panamá</v>
      </c>
      <c r="J83" s="11" t="str">
        <f ca="1">+WORLDCUP!BD68</f>
        <v>RD Congo</v>
      </c>
      <c r="N83" s="11" t="s">
        <v>1134</v>
      </c>
      <c r="O83" s="11">
        <v>82</v>
      </c>
      <c r="P83" s="11" t="s">
        <v>436</v>
      </c>
      <c r="Q83" s="11" t="s">
        <v>441</v>
      </c>
      <c r="R83" s="11" t="s">
        <v>90</v>
      </c>
      <c r="S83" s="11" t="s">
        <v>91</v>
      </c>
      <c r="T83" s="11" t="s">
        <v>440</v>
      </c>
      <c r="U83" s="11" t="s">
        <v>435</v>
      </c>
      <c r="V83" s="11" t="s">
        <v>443</v>
      </c>
      <c r="W83" s="11" t="s">
        <v>442</v>
      </c>
    </row>
    <row r="84" spans="1:23">
      <c r="A84" s="11" t="s">
        <v>1133</v>
      </c>
      <c r="B84" s="11">
        <f ca="1">+IF(A84=WORLDCUP!$BI$112,1,0)</f>
        <v>0</v>
      </c>
      <c r="C84" s="11" t="str">
        <f ca="1">+WORLDCUP!BD65</f>
        <v>España</v>
      </c>
      <c r="D84" s="11" t="str">
        <f ca="1">+WORLDCUP!BD67</f>
        <v>Jordania</v>
      </c>
      <c r="E84" s="11" t="str">
        <f ca="1">+WORLDCUP!BD59</f>
        <v>Bosnia y Herzegovina</v>
      </c>
      <c r="F84" s="11" t="str">
        <f ca="1">+WORLDCUP!BD60</f>
        <v>Escocia</v>
      </c>
      <c r="G84" s="11" t="str">
        <f ca="1">+WORLDCUP!BD66</f>
        <v>Senegal</v>
      </c>
      <c r="H84" s="11" t="str">
        <f ca="1">+WORLDCUP!BD63</f>
        <v>Japón</v>
      </c>
      <c r="I84" s="11" t="str">
        <f ca="1">+WORLDCUP!BD69</f>
        <v>Panamá</v>
      </c>
      <c r="J84" s="11" t="str">
        <f ca="1">+WORLDCUP!BD68</f>
        <v>RD Congo</v>
      </c>
      <c r="N84" s="11" t="s">
        <v>1133</v>
      </c>
      <c r="O84" s="11">
        <v>83</v>
      </c>
      <c r="P84" s="11" t="s">
        <v>436</v>
      </c>
      <c r="Q84" s="11" t="s">
        <v>441</v>
      </c>
      <c r="R84" s="11" t="s">
        <v>90</v>
      </c>
      <c r="S84" s="11" t="s">
        <v>91</v>
      </c>
      <c r="T84" s="11" t="s">
        <v>440</v>
      </c>
      <c r="U84" s="11" t="s">
        <v>94</v>
      </c>
      <c r="V84" s="11" t="s">
        <v>443</v>
      </c>
      <c r="W84" s="11" t="s">
        <v>442</v>
      </c>
    </row>
    <row r="85" spans="1:23">
      <c r="A85" s="11" t="s">
        <v>1132</v>
      </c>
      <c r="B85" s="11">
        <f ca="1">+IF(A85=WORLDCUP!$BI$112,1,0)</f>
        <v>0</v>
      </c>
      <c r="C85" s="11" t="str">
        <f ca="1">+WORLDCUP!BD66</f>
        <v>Senegal</v>
      </c>
      <c r="D85" s="11" t="str">
        <f ca="1">+WORLDCUP!BD64</f>
        <v>Bélgica</v>
      </c>
      <c r="E85" s="11" t="str">
        <f ca="1">+WORLDCUP!BD59</f>
        <v>Bosnia y Herzegovina</v>
      </c>
      <c r="F85" s="11" t="str">
        <f ca="1">+WORLDCUP!BD60</f>
        <v>Escocia</v>
      </c>
      <c r="G85" s="11" t="str">
        <f ca="1">+WORLDCUP!BD67</f>
        <v>Jordania</v>
      </c>
      <c r="H85" s="11" t="str">
        <f ca="1">+WORLDCUP!BD63</f>
        <v>Japón</v>
      </c>
      <c r="I85" s="11" t="str">
        <f ca="1">+WORLDCUP!BD69</f>
        <v>Panamá</v>
      </c>
      <c r="J85" s="11" t="str">
        <f ca="1">+WORLDCUP!BD68</f>
        <v>RD Congo</v>
      </c>
      <c r="N85" s="11" t="s">
        <v>1132</v>
      </c>
      <c r="O85" s="11">
        <v>84</v>
      </c>
      <c r="P85" s="11" t="s">
        <v>440</v>
      </c>
      <c r="Q85" s="11" t="s">
        <v>435</v>
      </c>
      <c r="R85" s="11" t="s">
        <v>90</v>
      </c>
      <c r="S85" s="11" t="s">
        <v>91</v>
      </c>
      <c r="T85" s="11" t="s">
        <v>441</v>
      </c>
      <c r="U85" s="11" t="s">
        <v>94</v>
      </c>
      <c r="V85" s="11" t="s">
        <v>443</v>
      </c>
      <c r="W85" s="11" t="s">
        <v>442</v>
      </c>
    </row>
    <row r="86" spans="1:23">
      <c r="A86" s="11" t="s">
        <v>1131</v>
      </c>
      <c r="B86" s="11">
        <f ca="1">+IF(A86=WORLDCUP!$BI$112,1,0)</f>
        <v>0</v>
      </c>
      <c r="C86" s="11" t="str">
        <f ca="1">+WORLDCUP!BD65</f>
        <v>España</v>
      </c>
      <c r="D86" s="11" t="str">
        <f ca="1">+WORLDCUP!BD64</f>
        <v>Bélgica</v>
      </c>
      <c r="E86" s="11" t="str">
        <f ca="1">+WORLDCUP!BD59</f>
        <v>Bosnia y Herzegovina</v>
      </c>
      <c r="F86" s="11" t="str">
        <f ca="1">+WORLDCUP!BD60</f>
        <v>Escocia</v>
      </c>
      <c r="G86" s="11" t="str">
        <f ca="1">+WORLDCUP!BD67</f>
        <v>Jordania</v>
      </c>
      <c r="H86" s="11" t="str">
        <f ca="1">+WORLDCUP!BD63</f>
        <v>Japón</v>
      </c>
      <c r="I86" s="11" t="str">
        <f ca="1">+WORLDCUP!BD69</f>
        <v>Panamá</v>
      </c>
      <c r="J86" s="11" t="str">
        <f ca="1">+WORLDCUP!BD68</f>
        <v>RD Congo</v>
      </c>
      <c r="N86" s="11" t="s">
        <v>1131</v>
      </c>
      <c r="O86" s="11">
        <v>85</v>
      </c>
      <c r="P86" s="11" t="s">
        <v>436</v>
      </c>
      <c r="Q86" s="11" t="s">
        <v>435</v>
      </c>
      <c r="R86" s="11" t="s">
        <v>90</v>
      </c>
      <c r="S86" s="11" t="s">
        <v>91</v>
      </c>
      <c r="T86" s="11" t="s">
        <v>441</v>
      </c>
      <c r="U86" s="11" t="s">
        <v>94</v>
      </c>
      <c r="V86" s="11" t="s">
        <v>443</v>
      </c>
      <c r="W86" s="11" t="s">
        <v>442</v>
      </c>
    </row>
    <row r="87" spans="1:23">
      <c r="A87" s="11" t="s">
        <v>1130</v>
      </c>
      <c r="B87" s="11">
        <f ca="1">+IF(A87=WORLDCUP!$BI$112,1,0)</f>
        <v>0</v>
      </c>
      <c r="C87" s="11" t="str">
        <f ca="1">+WORLDCUP!BD65</f>
        <v>España</v>
      </c>
      <c r="D87" s="11" t="str">
        <f ca="1">+WORLDCUP!BD64</f>
        <v>Bélgica</v>
      </c>
      <c r="E87" s="11" t="str">
        <f ca="1">+WORLDCUP!BD59</f>
        <v>Bosnia y Herzegovina</v>
      </c>
      <c r="F87" s="11" t="str">
        <f ca="1">+WORLDCUP!BD60</f>
        <v>Escocia</v>
      </c>
      <c r="G87" s="11" t="str">
        <f ca="1">+WORLDCUP!BD66</f>
        <v>Senegal</v>
      </c>
      <c r="H87" s="11" t="str">
        <f ca="1">+WORLDCUP!BD63</f>
        <v>Japón</v>
      </c>
      <c r="I87" s="11" t="str">
        <f ca="1">+WORLDCUP!BD69</f>
        <v>Panamá</v>
      </c>
      <c r="J87" s="11" t="str">
        <f ca="1">+WORLDCUP!BD68</f>
        <v>RD Congo</v>
      </c>
      <c r="N87" s="11" t="s">
        <v>1130</v>
      </c>
      <c r="O87" s="11">
        <v>86</v>
      </c>
      <c r="P87" s="11" t="s">
        <v>436</v>
      </c>
      <c r="Q87" s="11" t="s">
        <v>435</v>
      </c>
      <c r="R87" s="11" t="s">
        <v>90</v>
      </c>
      <c r="S87" s="11" t="s">
        <v>91</v>
      </c>
      <c r="T87" s="11" t="s">
        <v>440</v>
      </c>
      <c r="U87" s="11" t="s">
        <v>94</v>
      </c>
      <c r="V87" s="11" t="s">
        <v>443</v>
      </c>
      <c r="W87" s="11" t="s">
        <v>442</v>
      </c>
    </row>
    <row r="88" spans="1:23">
      <c r="A88" s="11" t="s">
        <v>1129</v>
      </c>
      <c r="B88" s="11">
        <f ca="1">+IF(A88=WORLDCUP!$BI$112,1,0)</f>
        <v>0</v>
      </c>
      <c r="C88" s="11" t="str">
        <f ca="1">+WORLDCUP!BD65</f>
        <v>España</v>
      </c>
      <c r="D88" s="11" t="str">
        <f ca="1">+WORLDCUP!BD64</f>
        <v>Bélgica</v>
      </c>
      <c r="E88" s="11" t="str">
        <f ca="1">+WORLDCUP!BD59</f>
        <v>Bosnia y Herzegovina</v>
      </c>
      <c r="F88" s="11" t="str">
        <f ca="1">+WORLDCUP!BD60</f>
        <v>Escocia</v>
      </c>
      <c r="G88" s="11" t="str">
        <f ca="1">+WORLDCUP!BD67</f>
        <v>Jordania</v>
      </c>
      <c r="H88" s="11" t="str">
        <f ca="1">+WORLDCUP!BD63</f>
        <v>Japón</v>
      </c>
      <c r="I88" s="11" t="str">
        <f ca="1">+WORLDCUP!BD69</f>
        <v>Panamá</v>
      </c>
      <c r="J88" s="11" t="str">
        <f ca="1">+WORLDCUP!BD66</f>
        <v>Senegal</v>
      </c>
      <c r="N88" s="11" t="s">
        <v>1129</v>
      </c>
      <c r="O88" s="11">
        <v>87</v>
      </c>
      <c r="P88" s="11" t="s">
        <v>436</v>
      </c>
      <c r="Q88" s="11" t="s">
        <v>435</v>
      </c>
      <c r="R88" s="11" t="s">
        <v>90</v>
      </c>
      <c r="S88" s="11" t="s">
        <v>91</v>
      </c>
      <c r="T88" s="11" t="s">
        <v>441</v>
      </c>
      <c r="U88" s="11" t="s">
        <v>94</v>
      </c>
      <c r="V88" s="11" t="s">
        <v>443</v>
      </c>
      <c r="W88" s="11" t="s">
        <v>440</v>
      </c>
    </row>
    <row r="89" spans="1:23">
      <c r="A89" s="11" t="s">
        <v>1128</v>
      </c>
      <c r="B89" s="11">
        <f ca="1">+IF(A89=WORLDCUP!$BI$112,1,0)</f>
        <v>0</v>
      </c>
      <c r="C89" s="11" t="str">
        <f ca="1">+WORLDCUP!BD65</f>
        <v>España</v>
      </c>
      <c r="D89" s="11" t="str">
        <f ca="1">+WORLDCUP!BD64</f>
        <v>Bélgica</v>
      </c>
      <c r="E89" s="11" t="str">
        <f ca="1">+WORLDCUP!BD59</f>
        <v>Bosnia y Herzegovina</v>
      </c>
      <c r="F89" s="11" t="str">
        <f ca="1">+WORLDCUP!BD60</f>
        <v>Escocia</v>
      </c>
      <c r="G89" s="11" t="str">
        <f ca="1">+WORLDCUP!BD67</f>
        <v>Jordania</v>
      </c>
      <c r="H89" s="11" t="str">
        <f ca="1">+WORLDCUP!BD63</f>
        <v>Japón</v>
      </c>
      <c r="I89" s="11" t="str">
        <f ca="1">+WORLDCUP!BD66</f>
        <v>Senegal</v>
      </c>
      <c r="J89" s="11" t="str">
        <f ca="1">+WORLDCUP!BD68</f>
        <v>RD Congo</v>
      </c>
      <c r="N89" s="11" t="s">
        <v>1128</v>
      </c>
      <c r="O89" s="11">
        <v>88</v>
      </c>
      <c r="P89" s="11" t="s">
        <v>436</v>
      </c>
      <c r="Q89" s="11" t="s">
        <v>435</v>
      </c>
      <c r="R89" s="11" t="s">
        <v>90</v>
      </c>
      <c r="S89" s="11" t="s">
        <v>91</v>
      </c>
      <c r="T89" s="11" t="s">
        <v>441</v>
      </c>
      <c r="U89" s="11" t="s">
        <v>94</v>
      </c>
      <c r="V89" s="11" t="s">
        <v>440</v>
      </c>
      <c r="W89" s="11" t="s">
        <v>442</v>
      </c>
    </row>
    <row r="90" spans="1:23">
      <c r="A90" s="11" t="s">
        <v>1127</v>
      </c>
      <c r="B90" s="11">
        <f ca="1">+IF(A90=WORLDCUP!$BI$112,1,0)</f>
        <v>0</v>
      </c>
      <c r="C90" s="11" t="str">
        <f ca="1">+WORLDCUP!BD62</f>
        <v>Ecuador</v>
      </c>
      <c r="D90" s="11" t="str">
        <f ca="1">+WORLDCUP!BD67</f>
        <v>Jordania</v>
      </c>
      <c r="E90" s="11" t="str">
        <f ca="1">+WORLDCUP!BD59</f>
        <v>Bosnia y Herzegovina</v>
      </c>
      <c r="F90" s="11" t="str">
        <f ca="1">+WORLDCUP!BD60</f>
        <v>Escocia</v>
      </c>
      <c r="G90" s="11" t="str">
        <f ca="1">+WORLDCUP!BD66</f>
        <v>Senegal</v>
      </c>
      <c r="H90" s="11" t="str">
        <f ca="1">+WORLDCUP!BD65</f>
        <v>España</v>
      </c>
      <c r="I90" s="11" t="str">
        <f ca="1">+WORLDCUP!BD69</f>
        <v>Panamá</v>
      </c>
      <c r="J90" s="11" t="str">
        <f ca="1">+WORLDCUP!BD68</f>
        <v>RD Congo</v>
      </c>
      <c r="N90" s="11" t="s">
        <v>1127</v>
      </c>
      <c r="O90" s="11">
        <v>89</v>
      </c>
      <c r="P90" s="11" t="s">
        <v>93</v>
      </c>
      <c r="Q90" s="11" t="s">
        <v>441</v>
      </c>
      <c r="R90" s="11" t="s">
        <v>90</v>
      </c>
      <c r="S90" s="11" t="s">
        <v>91</v>
      </c>
      <c r="T90" s="11" t="s">
        <v>440</v>
      </c>
      <c r="U90" s="11" t="s">
        <v>436</v>
      </c>
      <c r="V90" s="11" t="s">
        <v>443</v>
      </c>
      <c r="W90" s="11" t="s">
        <v>442</v>
      </c>
    </row>
    <row r="91" spans="1:23">
      <c r="A91" s="11" t="s">
        <v>1126</v>
      </c>
      <c r="B91" s="11">
        <f ca="1">+IF(A91=WORLDCUP!$BI$112,1,0)</f>
        <v>0</v>
      </c>
      <c r="C91" s="11" t="str">
        <f ca="1">+WORLDCUP!BD62</f>
        <v>Ecuador</v>
      </c>
      <c r="D91" s="11" t="str">
        <f ca="1">+WORLDCUP!BD67</f>
        <v>Jordania</v>
      </c>
      <c r="E91" s="11" t="str">
        <f ca="1">+WORLDCUP!BD59</f>
        <v>Bosnia y Herzegovina</v>
      </c>
      <c r="F91" s="11" t="str">
        <f ca="1">+WORLDCUP!BD60</f>
        <v>Escocia</v>
      </c>
      <c r="G91" s="11" t="str">
        <f ca="1">+WORLDCUP!BD66</f>
        <v>Senegal</v>
      </c>
      <c r="H91" s="11" t="str">
        <f ca="1">+WORLDCUP!BD64</f>
        <v>Bélgica</v>
      </c>
      <c r="I91" s="11" t="str">
        <f ca="1">+WORLDCUP!BD69</f>
        <v>Panamá</v>
      </c>
      <c r="J91" s="11" t="str">
        <f ca="1">+WORLDCUP!BD68</f>
        <v>RD Congo</v>
      </c>
      <c r="N91" s="11" t="s">
        <v>1126</v>
      </c>
      <c r="O91" s="11">
        <v>90</v>
      </c>
      <c r="P91" s="11" t="s">
        <v>93</v>
      </c>
      <c r="Q91" s="11" t="s">
        <v>441</v>
      </c>
      <c r="R91" s="11" t="s">
        <v>90</v>
      </c>
      <c r="S91" s="11" t="s">
        <v>91</v>
      </c>
      <c r="T91" s="11" t="s">
        <v>440</v>
      </c>
      <c r="U91" s="11" t="s">
        <v>435</v>
      </c>
      <c r="V91" s="11" t="s">
        <v>443</v>
      </c>
      <c r="W91" s="11" t="s">
        <v>442</v>
      </c>
    </row>
    <row r="92" spans="1:23">
      <c r="A92" s="11" t="s">
        <v>1125</v>
      </c>
      <c r="B92" s="11">
        <f ca="1">+IF(A92=WORLDCUP!$BI$112,1,0)</f>
        <v>0</v>
      </c>
      <c r="C92" s="11" t="str">
        <f ca="1">+WORLDCUP!BD62</f>
        <v>Ecuador</v>
      </c>
      <c r="D92" s="11" t="str">
        <f ca="1">+WORLDCUP!BD67</f>
        <v>Jordania</v>
      </c>
      <c r="E92" s="11" t="str">
        <f ca="1">+WORLDCUP!BD59</f>
        <v>Bosnia y Herzegovina</v>
      </c>
      <c r="F92" s="11" t="str">
        <f ca="1">+WORLDCUP!BD60</f>
        <v>Escocia</v>
      </c>
      <c r="G92" s="11" t="str">
        <f ca="1">+WORLDCUP!BD65</f>
        <v>España</v>
      </c>
      <c r="H92" s="11" t="str">
        <f ca="1">+WORLDCUP!BD64</f>
        <v>Bélgica</v>
      </c>
      <c r="I92" s="11" t="str">
        <f ca="1">+WORLDCUP!BD69</f>
        <v>Panamá</v>
      </c>
      <c r="J92" s="11" t="str">
        <f ca="1">+WORLDCUP!BD68</f>
        <v>RD Congo</v>
      </c>
      <c r="N92" s="11" t="s">
        <v>1125</v>
      </c>
      <c r="O92" s="11">
        <v>91</v>
      </c>
      <c r="P92" s="11" t="s">
        <v>93</v>
      </c>
      <c r="Q92" s="11" t="s">
        <v>441</v>
      </c>
      <c r="R92" s="11" t="s">
        <v>90</v>
      </c>
      <c r="S92" s="11" t="s">
        <v>91</v>
      </c>
      <c r="T92" s="11" t="s">
        <v>436</v>
      </c>
      <c r="U92" s="11" t="s">
        <v>435</v>
      </c>
      <c r="V92" s="11" t="s">
        <v>443</v>
      </c>
      <c r="W92" s="11" t="s">
        <v>442</v>
      </c>
    </row>
    <row r="93" spans="1:23">
      <c r="A93" s="11" t="s">
        <v>1124</v>
      </c>
      <c r="B93" s="11">
        <f ca="1">+IF(A93=WORLDCUP!$BI$112,1,0)</f>
        <v>0</v>
      </c>
      <c r="C93" s="11" t="str">
        <f ca="1">+WORLDCUP!BD62</f>
        <v>Ecuador</v>
      </c>
      <c r="D93" s="11" t="str">
        <f ca="1">+WORLDCUP!BD64</f>
        <v>Bélgica</v>
      </c>
      <c r="E93" s="11" t="str">
        <f ca="1">+WORLDCUP!BD59</f>
        <v>Bosnia y Herzegovina</v>
      </c>
      <c r="F93" s="11" t="str">
        <f ca="1">+WORLDCUP!BD60</f>
        <v>Escocia</v>
      </c>
      <c r="G93" s="11" t="str">
        <f ca="1">+WORLDCUP!BD66</f>
        <v>Senegal</v>
      </c>
      <c r="H93" s="11" t="str">
        <f ca="1">+WORLDCUP!BD65</f>
        <v>España</v>
      </c>
      <c r="I93" s="11" t="str">
        <f ca="1">+WORLDCUP!BD69</f>
        <v>Panamá</v>
      </c>
      <c r="J93" s="11" t="str">
        <f ca="1">+WORLDCUP!BD68</f>
        <v>RD Congo</v>
      </c>
      <c r="N93" s="11" t="s">
        <v>1124</v>
      </c>
      <c r="O93" s="11">
        <v>92</v>
      </c>
      <c r="P93" s="11" t="s">
        <v>93</v>
      </c>
      <c r="Q93" s="11" t="s">
        <v>435</v>
      </c>
      <c r="R93" s="11" t="s">
        <v>90</v>
      </c>
      <c r="S93" s="11" t="s">
        <v>91</v>
      </c>
      <c r="T93" s="11" t="s">
        <v>440</v>
      </c>
      <c r="U93" s="11" t="s">
        <v>436</v>
      </c>
      <c r="V93" s="11" t="s">
        <v>443</v>
      </c>
      <c r="W93" s="11" t="s">
        <v>442</v>
      </c>
    </row>
    <row r="94" spans="1:23">
      <c r="A94" s="11" t="s">
        <v>1123</v>
      </c>
      <c r="B94" s="11">
        <f ca="1">+IF(A94=WORLDCUP!$BI$112,1,0)</f>
        <v>0</v>
      </c>
      <c r="C94" s="11" t="str">
        <f ca="1">+WORLDCUP!BD62</f>
        <v>Ecuador</v>
      </c>
      <c r="D94" s="11" t="str">
        <f ca="1">+WORLDCUP!BD67</f>
        <v>Jordania</v>
      </c>
      <c r="E94" s="11" t="str">
        <f ca="1">+WORLDCUP!BD59</f>
        <v>Bosnia y Herzegovina</v>
      </c>
      <c r="F94" s="11" t="str">
        <f ca="1">+WORLDCUP!BD60</f>
        <v>Escocia</v>
      </c>
      <c r="G94" s="11" t="str">
        <f ca="1">+WORLDCUP!BD65</f>
        <v>España</v>
      </c>
      <c r="H94" s="11" t="str">
        <f ca="1">+WORLDCUP!BD64</f>
        <v>Bélgica</v>
      </c>
      <c r="I94" s="11" t="str">
        <f ca="1">+WORLDCUP!BD69</f>
        <v>Panamá</v>
      </c>
      <c r="J94" s="11" t="str">
        <f ca="1">+WORLDCUP!BD66</f>
        <v>Senegal</v>
      </c>
      <c r="N94" s="11" t="s">
        <v>1123</v>
      </c>
      <c r="O94" s="11">
        <v>93</v>
      </c>
      <c r="P94" s="11" t="s">
        <v>93</v>
      </c>
      <c r="Q94" s="11" t="s">
        <v>441</v>
      </c>
      <c r="R94" s="11" t="s">
        <v>90</v>
      </c>
      <c r="S94" s="11" t="s">
        <v>91</v>
      </c>
      <c r="T94" s="11" t="s">
        <v>436</v>
      </c>
      <c r="U94" s="11" t="s">
        <v>435</v>
      </c>
      <c r="V94" s="11" t="s">
        <v>443</v>
      </c>
      <c r="W94" s="11" t="s">
        <v>440</v>
      </c>
    </row>
    <row r="95" spans="1:23">
      <c r="A95" s="11" t="s">
        <v>1122</v>
      </c>
      <c r="B95" s="11">
        <f ca="1">+IF(A95=WORLDCUP!$BI$112,1,0)</f>
        <v>0</v>
      </c>
      <c r="C95" s="11" t="str">
        <f ca="1">+WORLDCUP!BD62</f>
        <v>Ecuador</v>
      </c>
      <c r="D95" s="11" t="str">
        <f ca="1">+WORLDCUP!BD67</f>
        <v>Jordania</v>
      </c>
      <c r="E95" s="11" t="str">
        <f ca="1">+WORLDCUP!BD59</f>
        <v>Bosnia y Herzegovina</v>
      </c>
      <c r="F95" s="11" t="str">
        <f ca="1">+WORLDCUP!BD60</f>
        <v>Escocia</v>
      </c>
      <c r="G95" s="11" t="str">
        <f ca="1">+WORLDCUP!BD65</f>
        <v>España</v>
      </c>
      <c r="H95" s="11" t="str">
        <f ca="1">+WORLDCUP!BD64</f>
        <v>Bélgica</v>
      </c>
      <c r="I95" s="11" t="str">
        <f ca="1">+WORLDCUP!BD66</f>
        <v>Senegal</v>
      </c>
      <c r="J95" s="11" t="str">
        <f ca="1">+WORLDCUP!BD68</f>
        <v>RD Congo</v>
      </c>
      <c r="N95" s="11" t="s">
        <v>1122</v>
      </c>
      <c r="O95" s="11">
        <v>94</v>
      </c>
      <c r="P95" s="11" t="s">
        <v>93</v>
      </c>
      <c r="Q95" s="11" t="s">
        <v>441</v>
      </c>
      <c r="R95" s="11" t="s">
        <v>90</v>
      </c>
      <c r="S95" s="11" t="s">
        <v>91</v>
      </c>
      <c r="T95" s="11" t="s">
        <v>436</v>
      </c>
      <c r="U95" s="11" t="s">
        <v>435</v>
      </c>
      <c r="V95" s="11" t="s">
        <v>440</v>
      </c>
      <c r="W95" s="11" t="s">
        <v>442</v>
      </c>
    </row>
    <row r="96" spans="1:23">
      <c r="A96" s="11" t="s">
        <v>1121</v>
      </c>
      <c r="B96" s="11">
        <f ca="1">+IF(A96=WORLDCUP!$BI$112,1,0)</f>
        <v>0</v>
      </c>
      <c r="C96" s="11" t="str">
        <f ca="1">+WORLDCUP!BD62</f>
        <v>Ecuador</v>
      </c>
      <c r="D96" s="11" t="str">
        <f ca="1">+WORLDCUP!BD67</f>
        <v>Jordania</v>
      </c>
      <c r="E96" s="11" t="str">
        <f ca="1">+WORLDCUP!BD59</f>
        <v>Bosnia y Herzegovina</v>
      </c>
      <c r="F96" s="11" t="str">
        <f ca="1">+WORLDCUP!BD60</f>
        <v>Escocia</v>
      </c>
      <c r="G96" s="11" t="str">
        <f ca="1">+WORLDCUP!BD66</f>
        <v>Senegal</v>
      </c>
      <c r="H96" s="11" t="str">
        <f ca="1">+WORLDCUP!BD63</f>
        <v>Japón</v>
      </c>
      <c r="I96" s="11" t="str">
        <f ca="1">+WORLDCUP!BD69</f>
        <v>Panamá</v>
      </c>
      <c r="J96" s="11" t="str">
        <f ca="1">+WORLDCUP!BD68</f>
        <v>RD Congo</v>
      </c>
      <c r="N96" s="11" t="s">
        <v>1121</v>
      </c>
      <c r="O96" s="11">
        <v>95</v>
      </c>
      <c r="P96" s="11" t="s">
        <v>93</v>
      </c>
      <c r="Q96" s="11" t="s">
        <v>441</v>
      </c>
      <c r="R96" s="11" t="s">
        <v>90</v>
      </c>
      <c r="S96" s="11" t="s">
        <v>91</v>
      </c>
      <c r="T96" s="11" t="s">
        <v>440</v>
      </c>
      <c r="U96" s="11" t="s">
        <v>94</v>
      </c>
      <c r="V96" s="11" t="s">
        <v>443</v>
      </c>
      <c r="W96" s="11" t="s">
        <v>442</v>
      </c>
    </row>
    <row r="97" spans="1:23">
      <c r="A97" s="11" t="s">
        <v>1120</v>
      </c>
      <c r="B97" s="11">
        <f ca="1">+IF(A97=WORLDCUP!$BI$112,1,0)</f>
        <v>0</v>
      </c>
      <c r="C97" s="11" t="str">
        <f ca="1">+WORLDCUP!BD62</f>
        <v>Ecuador</v>
      </c>
      <c r="D97" s="11" t="str">
        <f ca="1">+WORLDCUP!BD67</f>
        <v>Jordania</v>
      </c>
      <c r="E97" s="11" t="str">
        <f ca="1">+WORLDCUP!BD59</f>
        <v>Bosnia y Herzegovina</v>
      </c>
      <c r="F97" s="11" t="str">
        <f ca="1">+WORLDCUP!BD60</f>
        <v>Escocia</v>
      </c>
      <c r="G97" s="11" t="str">
        <f ca="1">+WORLDCUP!BD65</f>
        <v>España</v>
      </c>
      <c r="H97" s="11" t="str">
        <f ca="1">+WORLDCUP!BD63</f>
        <v>Japón</v>
      </c>
      <c r="I97" s="11" t="str">
        <f ca="1">+WORLDCUP!BD69</f>
        <v>Panamá</v>
      </c>
      <c r="J97" s="11" t="str">
        <f ca="1">+WORLDCUP!BD68</f>
        <v>RD Congo</v>
      </c>
      <c r="N97" s="11" t="s">
        <v>1120</v>
      </c>
      <c r="O97" s="11">
        <v>96</v>
      </c>
      <c r="P97" s="11" t="s">
        <v>93</v>
      </c>
      <c r="Q97" s="11" t="s">
        <v>441</v>
      </c>
      <c r="R97" s="11" t="s">
        <v>90</v>
      </c>
      <c r="S97" s="11" t="s">
        <v>91</v>
      </c>
      <c r="T97" s="11" t="s">
        <v>436</v>
      </c>
      <c r="U97" s="11" t="s">
        <v>94</v>
      </c>
      <c r="V97" s="11" t="s">
        <v>443</v>
      </c>
      <c r="W97" s="11" t="s">
        <v>442</v>
      </c>
    </row>
    <row r="98" spans="1:23">
      <c r="A98" s="11" t="s">
        <v>1119</v>
      </c>
      <c r="B98" s="11">
        <f ca="1">+IF(A98=WORLDCUP!$BI$112,1,0)</f>
        <v>0</v>
      </c>
      <c r="C98" s="11" t="str">
        <f ca="1">+WORLDCUP!BD62</f>
        <v>Ecuador</v>
      </c>
      <c r="D98" s="11" t="str">
        <f ca="1">+WORLDCUP!BD66</f>
        <v>Senegal</v>
      </c>
      <c r="E98" s="11" t="str">
        <f ca="1">+WORLDCUP!BD59</f>
        <v>Bosnia y Herzegovina</v>
      </c>
      <c r="F98" s="11" t="str">
        <f ca="1">+WORLDCUP!BD60</f>
        <v>Escocia</v>
      </c>
      <c r="G98" s="11" t="str">
        <f ca="1">+WORLDCUP!BD65</f>
        <v>España</v>
      </c>
      <c r="H98" s="11" t="str">
        <f ca="1">+WORLDCUP!BD63</f>
        <v>Japón</v>
      </c>
      <c r="I98" s="11" t="str">
        <f ca="1">+WORLDCUP!BD69</f>
        <v>Panamá</v>
      </c>
      <c r="J98" s="11" t="str">
        <f ca="1">+WORLDCUP!BD68</f>
        <v>RD Congo</v>
      </c>
      <c r="N98" s="11" t="s">
        <v>1119</v>
      </c>
      <c r="O98" s="11">
        <v>97</v>
      </c>
      <c r="P98" s="11" t="s">
        <v>93</v>
      </c>
      <c r="Q98" s="11" t="s">
        <v>440</v>
      </c>
      <c r="R98" s="11" t="s">
        <v>90</v>
      </c>
      <c r="S98" s="11" t="s">
        <v>91</v>
      </c>
      <c r="T98" s="11" t="s">
        <v>436</v>
      </c>
      <c r="U98" s="11" t="s">
        <v>94</v>
      </c>
      <c r="V98" s="11" t="s">
        <v>443</v>
      </c>
      <c r="W98" s="11" t="s">
        <v>442</v>
      </c>
    </row>
    <row r="99" spans="1:23">
      <c r="A99" s="11" t="s">
        <v>1118</v>
      </c>
      <c r="B99" s="11">
        <f ca="1">+IF(A99=WORLDCUP!$BI$112,1,0)</f>
        <v>0</v>
      </c>
      <c r="C99" s="11" t="str">
        <f ca="1">+WORLDCUP!BD62</f>
        <v>Ecuador</v>
      </c>
      <c r="D99" s="11" t="str">
        <f ca="1">+WORLDCUP!BD67</f>
        <v>Jordania</v>
      </c>
      <c r="E99" s="11" t="str">
        <f ca="1">+WORLDCUP!BD59</f>
        <v>Bosnia y Herzegovina</v>
      </c>
      <c r="F99" s="11" t="str">
        <f ca="1">+WORLDCUP!BD60</f>
        <v>Escocia</v>
      </c>
      <c r="G99" s="11" t="str">
        <f ca="1">+WORLDCUP!BD65</f>
        <v>España</v>
      </c>
      <c r="H99" s="11" t="str">
        <f ca="1">+WORLDCUP!BD63</f>
        <v>Japón</v>
      </c>
      <c r="I99" s="11" t="str">
        <f ca="1">+WORLDCUP!BD69</f>
        <v>Panamá</v>
      </c>
      <c r="J99" s="11" t="str">
        <f ca="1">+WORLDCUP!BD66</f>
        <v>Senegal</v>
      </c>
      <c r="N99" s="11" t="s">
        <v>1118</v>
      </c>
      <c r="O99" s="11">
        <v>98</v>
      </c>
      <c r="P99" s="11" t="s">
        <v>93</v>
      </c>
      <c r="Q99" s="11" t="s">
        <v>441</v>
      </c>
      <c r="R99" s="11" t="s">
        <v>90</v>
      </c>
      <c r="S99" s="11" t="s">
        <v>91</v>
      </c>
      <c r="T99" s="11" t="s">
        <v>436</v>
      </c>
      <c r="U99" s="11" t="s">
        <v>94</v>
      </c>
      <c r="V99" s="11" t="s">
        <v>443</v>
      </c>
      <c r="W99" s="11" t="s">
        <v>440</v>
      </c>
    </row>
    <row r="100" spans="1:23">
      <c r="A100" s="11" t="s">
        <v>1117</v>
      </c>
      <c r="B100" s="11">
        <f ca="1">+IF(A100=WORLDCUP!$BI$112,1,0)</f>
        <v>0</v>
      </c>
      <c r="C100" s="11" t="str">
        <f ca="1">+WORLDCUP!BD62</f>
        <v>Ecuador</v>
      </c>
      <c r="D100" s="11" t="str">
        <f ca="1">+WORLDCUP!BD67</f>
        <v>Jordania</v>
      </c>
      <c r="E100" s="11" t="str">
        <f ca="1">+WORLDCUP!BD59</f>
        <v>Bosnia y Herzegovina</v>
      </c>
      <c r="F100" s="11" t="str">
        <f ca="1">+WORLDCUP!BD60</f>
        <v>Escocia</v>
      </c>
      <c r="G100" s="11" t="str">
        <f ca="1">+WORLDCUP!BD65</f>
        <v>España</v>
      </c>
      <c r="H100" s="11" t="str">
        <f ca="1">+WORLDCUP!BD63</f>
        <v>Japón</v>
      </c>
      <c r="I100" s="11" t="str">
        <f ca="1">+WORLDCUP!BD66</f>
        <v>Senegal</v>
      </c>
      <c r="J100" s="11" t="str">
        <f ca="1">+WORLDCUP!BD68</f>
        <v>RD Congo</v>
      </c>
      <c r="N100" s="11" t="s">
        <v>1117</v>
      </c>
      <c r="O100" s="11">
        <v>99</v>
      </c>
      <c r="P100" s="11" t="s">
        <v>93</v>
      </c>
      <c r="Q100" s="11" t="s">
        <v>441</v>
      </c>
      <c r="R100" s="11" t="s">
        <v>90</v>
      </c>
      <c r="S100" s="11" t="s">
        <v>91</v>
      </c>
      <c r="T100" s="11" t="s">
        <v>436</v>
      </c>
      <c r="U100" s="11" t="s">
        <v>94</v>
      </c>
      <c r="V100" s="11" t="s">
        <v>440</v>
      </c>
      <c r="W100" s="11" t="s">
        <v>442</v>
      </c>
    </row>
    <row r="101" spans="1:23">
      <c r="A101" s="11" t="s">
        <v>1116</v>
      </c>
      <c r="B101" s="11">
        <f ca="1">+IF(A101=WORLDCUP!$BI$112,1,0)</f>
        <v>0</v>
      </c>
      <c r="C101" s="11" t="str">
        <f ca="1">+WORLDCUP!BD62</f>
        <v>Ecuador</v>
      </c>
      <c r="D101" s="11" t="str">
        <f ca="1">+WORLDCUP!BD64</f>
        <v>Bélgica</v>
      </c>
      <c r="E101" s="11" t="str">
        <f ca="1">+WORLDCUP!BD59</f>
        <v>Bosnia y Herzegovina</v>
      </c>
      <c r="F101" s="11" t="str">
        <f ca="1">+WORLDCUP!BD60</f>
        <v>Escocia</v>
      </c>
      <c r="G101" s="11" t="str">
        <f ca="1">+WORLDCUP!BD67</f>
        <v>Jordania</v>
      </c>
      <c r="H101" s="11" t="str">
        <f ca="1">+WORLDCUP!BD63</f>
        <v>Japón</v>
      </c>
      <c r="I101" s="11" t="str">
        <f ca="1">+WORLDCUP!BD69</f>
        <v>Panamá</v>
      </c>
      <c r="J101" s="11" t="str">
        <f ca="1">+WORLDCUP!BD68</f>
        <v>RD Congo</v>
      </c>
      <c r="N101" s="11" t="s">
        <v>1116</v>
      </c>
      <c r="O101" s="11">
        <v>100</v>
      </c>
      <c r="P101" s="11" t="s">
        <v>93</v>
      </c>
      <c r="Q101" s="11" t="s">
        <v>435</v>
      </c>
      <c r="R101" s="11" t="s">
        <v>90</v>
      </c>
      <c r="S101" s="11" t="s">
        <v>91</v>
      </c>
      <c r="T101" s="11" t="s">
        <v>441</v>
      </c>
      <c r="U101" s="11" t="s">
        <v>94</v>
      </c>
      <c r="V101" s="11" t="s">
        <v>443</v>
      </c>
      <c r="W101" s="11" t="s">
        <v>442</v>
      </c>
    </row>
    <row r="102" spans="1:23">
      <c r="A102" s="11" t="s">
        <v>1115</v>
      </c>
      <c r="B102" s="11">
        <f ca="1">+IF(A102=WORLDCUP!$BI$112,1,0)</f>
        <v>0</v>
      </c>
      <c r="C102" s="11" t="str">
        <f ca="1">+WORLDCUP!BD62</f>
        <v>Ecuador</v>
      </c>
      <c r="D102" s="11" t="str">
        <f ca="1">+WORLDCUP!BD64</f>
        <v>Bélgica</v>
      </c>
      <c r="E102" s="11" t="str">
        <f ca="1">+WORLDCUP!BD59</f>
        <v>Bosnia y Herzegovina</v>
      </c>
      <c r="F102" s="11" t="str">
        <f ca="1">+WORLDCUP!BD60</f>
        <v>Escocia</v>
      </c>
      <c r="G102" s="11" t="str">
        <f ca="1">+WORLDCUP!BD66</f>
        <v>Senegal</v>
      </c>
      <c r="H102" s="11" t="str">
        <f ca="1">+WORLDCUP!BD63</f>
        <v>Japón</v>
      </c>
      <c r="I102" s="11" t="str">
        <f ca="1">+WORLDCUP!BD69</f>
        <v>Panamá</v>
      </c>
      <c r="J102" s="11" t="str">
        <f ca="1">+WORLDCUP!BD68</f>
        <v>RD Congo</v>
      </c>
      <c r="N102" s="11" t="s">
        <v>1115</v>
      </c>
      <c r="O102" s="11">
        <v>101</v>
      </c>
      <c r="P102" s="11" t="s">
        <v>93</v>
      </c>
      <c r="Q102" s="11" t="s">
        <v>435</v>
      </c>
      <c r="R102" s="11" t="s">
        <v>90</v>
      </c>
      <c r="S102" s="11" t="s">
        <v>91</v>
      </c>
      <c r="T102" s="11" t="s">
        <v>440</v>
      </c>
      <c r="U102" s="11" t="s">
        <v>94</v>
      </c>
      <c r="V102" s="11" t="s">
        <v>443</v>
      </c>
      <c r="W102" s="11" t="s">
        <v>442</v>
      </c>
    </row>
    <row r="103" spans="1:23">
      <c r="A103" s="11" t="s">
        <v>1114</v>
      </c>
      <c r="B103" s="11">
        <f ca="1">+IF(A103=WORLDCUP!$BI$112,1,0)</f>
        <v>0</v>
      </c>
      <c r="C103" s="11" t="str">
        <f ca="1">+WORLDCUP!BD62</f>
        <v>Ecuador</v>
      </c>
      <c r="D103" s="11" t="str">
        <f ca="1">+WORLDCUP!BD64</f>
        <v>Bélgica</v>
      </c>
      <c r="E103" s="11" t="str">
        <f ca="1">+WORLDCUP!BD59</f>
        <v>Bosnia y Herzegovina</v>
      </c>
      <c r="F103" s="11" t="str">
        <f ca="1">+WORLDCUP!BD60</f>
        <v>Escocia</v>
      </c>
      <c r="G103" s="11" t="str">
        <f ca="1">+WORLDCUP!BD67</f>
        <v>Jordania</v>
      </c>
      <c r="H103" s="11" t="str">
        <f ca="1">+WORLDCUP!BD63</f>
        <v>Japón</v>
      </c>
      <c r="I103" s="11" t="str">
        <f ca="1">+WORLDCUP!BD69</f>
        <v>Panamá</v>
      </c>
      <c r="J103" s="11" t="str">
        <f ca="1">+WORLDCUP!BD66</f>
        <v>Senegal</v>
      </c>
      <c r="N103" s="11" t="s">
        <v>1114</v>
      </c>
      <c r="O103" s="11">
        <v>102</v>
      </c>
      <c r="P103" s="11" t="s">
        <v>93</v>
      </c>
      <c r="Q103" s="11" t="s">
        <v>435</v>
      </c>
      <c r="R103" s="11" t="s">
        <v>90</v>
      </c>
      <c r="S103" s="11" t="s">
        <v>91</v>
      </c>
      <c r="T103" s="11" t="s">
        <v>441</v>
      </c>
      <c r="U103" s="11" t="s">
        <v>94</v>
      </c>
      <c r="V103" s="11" t="s">
        <v>443</v>
      </c>
      <c r="W103" s="11" t="s">
        <v>440</v>
      </c>
    </row>
    <row r="104" spans="1:23">
      <c r="A104" s="11" t="s">
        <v>1113</v>
      </c>
      <c r="B104" s="11">
        <f ca="1">+IF(A104=WORLDCUP!$BI$112,1,0)</f>
        <v>0</v>
      </c>
      <c r="C104" s="11" t="str">
        <f ca="1">+WORLDCUP!BD62</f>
        <v>Ecuador</v>
      </c>
      <c r="D104" s="11" t="str">
        <f ca="1">+WORLDCUP!BD64</f>
        <v>Bélgica</v>
      </c>
      <c r="E104" s="11" t="str">
        <f ca="1">+WORLDCUP!BD59</f>
        <v>Bosnia y Herzegovina</v>
      </c>
      <c r="F104" s="11" t="str">
        <f ca="1">+WORLDCUP!BD60</f>
        <v>Escocia</v>
      </c>
      <c r="G104" s="11" t="str">
        <f ca="1">+WORLDCUP!BD67</f>
        <v>Jordania</v>
      </c>
      <c r="H104" s="11" t="str">
        <f ca="1">+WORLDCUP!BD63</f>
        <v>Japón</v>
      </c>
      <c r="I104" s="11" t="str">
        <f ca="1">+WORLDCUP!BD66</f>
        <v>Senegal</v>
      </c>
      <c r="J104" s="11" t="str">
        <f ca="1">+WORLDCUP!BD68</f>
        <v>RD Congo</v>
      </c>
      <c r="N104" s="11" t="s">
        <v>1113</v>
      </c>
      <c r="O104" s="11">
        <v>103</v>
      </c>
      <c r="P104" s="11" t="s">
        <v>93</v>
      </c>
      <c r="Q104" s="11" t="s">
        <v>435</v>
      </c>
      <c r="R104" s="11" t="s">
        <v>90</v>
      </c>
      <c r="S104" s="11" t="s">
        <v>91</v>
      </c>
      <c r="T104" s="11" t="s">
        <v>441</v>
      </c>
      <c r="U104" s="11" t="s">
        <v>94</v>
      </c>
      <c r="V104" s="11" t="s">
        <v>440</v>
      </c>
      <c r="W104" s="11" t="s">
        <v>442</v>
      </c>
    </row>
    <row r="105" spans="1:23">
      <c r="A105" s="11" t="s">
        <v>1112</v>
      </c>
      <c r="B105" s="11">
        <f ca="1">+IF(A105=WORLDCUP!$BI$112,1,0)</f>
        <v>0</v>
      </c>
      <c r="C105" s="11" t="str">
        <f ca="1">+WORLDCUP!BD62</f>
        <v>Ecuador</v>
      </c>
      <c r="D105" s="11" t="str">
        <f ca="1">+WORLDCUP!BD64</f>
        <v>Bélgica</v>
      </c>
      <c r="E105" s="11" t="str">
        <f ca="1">+WORLDCUP!BD59</f>
        <v>Bosnia y Herzegovina</v>
      </c>
      <c r="F105" s="11" t="str">
        <f ca="1">+WORLDCUP!BD60</f>
        <v>Escocia</v>
      </c>
      <c r="G105" s="11" t="str">
        <f ca="1">+WORLDCUP!BD65</f>
        <v>España</v>
      </c>
      <c r="H105" s="11" t="str">
        <f ca="1">+WORLDCUP!BD63</f>
        <v>Japón</v>
      </c>
      <c r="I105" s="11" t="str">
        <f ca="1">+WORLDCUP!BD69</f>
        <v>Panamá</v>
      </c>
      <c r="J105" s="11" t="str">
        <f ca="1">+WORLDCUP!BD68</f>
        <v>RD Congo</v>
      </c>
      <c r="N105" s="11" t="s">
        <v>1112</v>
      </c>
      <c r="O105" s="11">
        <v>104</v>
      </c>
      <c r="P105" s="11" t="s">
        <v>93</v>
      </c>
      <c r="Q105" s="11" t="s">
        <v>435</v>
      </c>
      <c r="R105" s="11" t="s">
        <v>90</v>
      </c>
      <c r="S105" s="11" t="s">
        <v>91</v>
      </c>
      <c r="T105" s="11" t="s">
        <v>436</v>
      </c>
      <c r="U105" s="11" t="s">
        <v>94</v>
      </c>
      <c r="V105" s="11" t="s">
        <v>443</v>
      </c>
      <c r="W105" s="11" t="s">
        <v>442</v>
      </c>
    </row>
    <row r="106" spans="1:23">
      <c r="A106" s="11" t="s">
        <v>1111</v>
      </c>
      <c r="B106" s="11">
        <f ca="1">+IF(A106=WORLDCUP!$BI$112,1,0)</f>
        <v>0</v>
      </c>
      <c r="C106" s="11" t="str">
        <f ca="1">+WORLDCUP!BD65</f>
        <v>España</v>
      </c>
      <c r="D106" s="11" t="str">
        <f ca="1">+WORLDCUP!BD64</f>
        <v>Bélgica</v>
      </c>
      <c r="E106" s="11" t="str">
        <f ca="1">+WORLDCUP!BD59</f>
        <v>Bosnia y Herzegovina</v>
      </c>
      <c r="F106" s="11" t="str">
        <f ca="1">+WORLDCUP!BD60</f>
        <v>Escocia</v>
      </c>
      <c r="G106" s="11" t="str">
        <f ca="1">+WORLDCUP!BD67</f>
        <v>Jordania</v>
      </c>
      <c r="H106" s="11" t="str">
        <f ca="1">+WORLDCUP!BD63</f>
        <v>Japón</v>
      </c>
      <c r="I106" s="11" t="str">
        <f ca="1">+WORLDCUP!BD69</f>
        <v>Panamá</v>
      </c>
      <c r="J106" s="11" t="str">
        <f ca="1">+WORLDCUP!BD62</f>
        <v>Ecuador</v>
      </c>
      <c r="N106" s="11" t="s">
        <v>1111</v>
      </c>
      <c r="O106" s="11">
        <v>105</v>
      </c>
      <c r="P106" s="11" t="s">
        <v>436</v>
      </c>
      <c r="Q106" s="11" t="s">
        <v>435</v>
      </c>
      <c r="R106" s="11" t="s">
        <v>90</v>
      </c>
      <c r="S106" s="11" t="s">
        <v>91</v>
      </c>
      <c r="T106" s="11" t="s">
        <v>441</v>
      </c>
      <c r="U106" s="11" t="s">
        <v>94</v>
      </c>
      <c r="V106" s="11" t="s">
        <v>443</v>
      </c>
      <c r="W106" s="11" t="s">
        <v>93</v>
      </c>
    </row>
    <row r="107" spans="1:23">
      <c r="A107" s="11" t="s">
        <v>1110</v>
      </c>
      <c r="B107" s="11">
        <f ca="1">+IF(A107=WORLDCUP!$BI$112,1,0)</f>
        <v>0</v>
      </c>
      <c r="C107" s="11" t="str">
        <f ca="1">+WORLDCUP!BD65</f>
        <v>España</v>
      </c>
      <c r="D107" s="11" t="str">
        <f ca="1">+WORLDCUP!BD64</f>
        <v>Bélgica</v>
      </c>
      <c r="E107" s="11" t="str">
        <f ca="1">+WORLDCUP!BD59</f>
        <v>Bosnia y Herzegovina</v>
      </c>
      <c r="F107" s="11" t="str">
        <f ca="1">+WORLDCUP!BD60</f>
        <v>Escocia</v>
      </c>
      <c r="G107" s="11" t="str">
        <f ca="1">+WORLDCUP!BD67</f>
        <v>Jordania</v>
      </c>
      <c r="H107" s="11" t="str">
        <f ca="1">+WORLDCUP!BD63</f>
        <v>Japón</v>
      </c>
      <c r="I107" s="11" t="str">
        <f ca="1">+WORLDCUP!BD62</f>
        <v>Ecuador</v>
      </c>
      <c r="J107" s="11" t="str">
        <f ca="1">+WORLDCUP!BD68</f>
        <v>RD Congo</v>
      </c>
      <c r="N107" s="11" t="s">
        <v>1110</v>
      </c>
      <c r="O107" s="11">
        <v>106</v>
      </c>
      <c r="P107" s="11" t="s">
        <v>436</v>
      </c>
      <c r="Q107" s="11" t="s">
        <v>435</v>
      </c>
      <c r="R107" s="11" t="s">
        <v>90</v>
      </c>
      <c r="S107" s="11" t="s">
        <v>91</v>
      </c>
      <c r="T107" s="11" t="s">
        <v>441</v>
      </c>
      <c r="U107" s="11" t="s">
        <v>94</v>
      </c>
      <c r="V107" s="11" t="s">
        <v>93</v>
      </c>
      <c r="W107" s="11" t="s">
        <v>442</v>
      </c>
    </row>
    <row r="108" spans="1:23">
      <c r="A108" s="11" t="s">
        <v>1109</v>
      </c>
      <c r="B108" s="11">
        <f ca="1">+IF(A108=WORLDCUP!$BI$112,1,0)</f>
        <v>0</v>
      </c>
      <c r="C108" s="11" t="str">
        <f ca="1">+WORLDCUP!BD62</f>
        <v>Ecuador</v>
      </c>
      <c r="D108" s="11" t="str">
        <f ca="1">+WORLDCUP!BD64</f>
        <v>Bélgica</v>
      </c>
      <c r="E108" s="11" t="str">
        <f ca="1">+WORLDCUP!BD59</f>
        <v>Bosnia y Herzegovina</v>
      </c>
      <c r="F108" s="11" t="str">
        <f ca="1">+WORLDCUP!BD60</f>
        <v>Escocia</v>
      </c>
      <c r="G108" s="11" t="str">
        <f ca="1">+WORLDCUP!BD65</f>
        <v>España</v>
      </c>
      <c r="H108" s="11" t="str">
        <f ca="1">+WORLDCUP!BD63</f>
        <v>Japón</v>
      </c>
      <c r="I108" s="11" t="str">
        <f ca="1">+WORLDCUP!BD69</f>
        <v>Panamá</v>
      </c>
      <c r="J108" s="11" t="str">
        <f ca="1">+WORLDCUP!BD66</f>
        <v>Senegal</v>
      </c>
      <c r="N108" s="11" t="s">
        <v>1109</v>
      </c>
      <c r="O108" s="11">
        <v>107</v>
      </c>
      <c r="P108" s="11" t="s">
        <v>93</v>
      </c>
      <c r="Q108" s="11" t="s">
        <v>435</v>
      </c>
      <c r="R108" s="11" t="s">
        <v>90</v>
      </c>
      <c r="S108" s="11" t="s">
        <v>91</v>
      </c>
      <c r="T108" s="11" t="s">
        <v>436</v>
      </c>
      <c r="U108" s="11" t="s">
        <v>94</v>
      </c>
      <c r="V108" s="11" t="s">
        <v>443</v>
      </c>
      <c r="W108" s="11" t="s">
        <v>440</v>
      </c>
    </row>
    <row r="109" spans="1:23">
      <c r="A109" s="11" t="s">
        <v>1108</v>
      </c>
      <c r="B109" s="11">
        <f ca="1">+IF(A109=WORLDCUP!$BI$112,1,0)</f>
        <v>0</v>
      </c>
      <c r="C109" s="11" t="str">
        <f ca="1">+WORLDCUP!BD62</f>
        <v>Ecuador</v>
      </c>
      <c r="D109" s="11" t="str">
        <f ca="1">+WORLDCUP!BD64</f>
        <v>Bélgica</v>
      </c>
      <c r="E109" s="11" t="str">
        <f ca="1">+WORLDCUP!BD59</f>
        <v>Bosnia y Herzegovina</v>
      </c>
      <c r="F109" s="11" t="str">
        <f ca="1">+WORLDCUP!BD60</f>
        <v>Escocia</v>
      </c>
      <c r="G109" s="11" t="str">
        <f ca="1">+WORLDCUP!BD65</f>
        <v>España</v>
      </c>
      <c r="H109" s="11" t="str">
        <f ca="1">+WORLDCUP!BD63</f>
        <v>Japón</v>
      </c>
      <c r="I109" s="11" t="str">
        <f ca="1">+WORLDCUP!BD66</f>
        <v>Senegal</v>
      </c>
      <c r="J109" s="11" t="str">
        <f ca="1">+WORLDCUP!BD68</f>
        <v>RD Congo</v>
      </c>
      <c r="N109" s="11" t="s">
        <v>1108</v>
      </c>
      <c r="O109" s="11">
        <v>108</v>
      </c>
      <c r="P109" s="11" t="s">
        <v>93</v>
      </c>
      <c r="Q109" s="11" t="s">
        <v>435</v>
      </c>
      <c r="R109" s="11" t="s">
        <v>90</v>
      </c>
      <c r="S109" s="11" t="s">
        <v>91</v>
      </c>
      <c r="T109" s="11" t="s">
        <v>436</v>
      </c>
      <c r="U109" s="11" t="s">
        <v>94</v>
      </c>
      <c r="V109" s="11" t="s">
        <v>440</v>
      </c>
      <c r="W109" s="11" t="s">
        <v>442</v>
      </c>
    </row>
    <row r="110" spans="1:23">
      <c r="A110" s="11" t="s">
        <v>1107</v>
      </c>
      <c r="B110" s="11">
        <f ca="1">+IF(A110=WORLDCUP!$BI$112,1,0)</f>
        <v>0</v>
      </c>
      <c r="C110" s="11" t="str">
        <f ca="1">+WORLDCUP!BD65</f>
        <v>España</v>
      </c>
      <c r="D110" s="11" t="str">
        <f ca="1">+WORLDCUP!BD64</f>
        <v>Bélgica</v>
      </c>
      <c r="E110" s="11" t="str">
        <f ca="1">+WORLDCUP!BD59</f>
        <v>Bosnia y Herzegovina</v>
      </c>
      <c r="F110" s="11" t="str">
        <f ca="1">+WORLDCUP!BD60</f>
        <v>Escocia</v>
      </c>
      <c r="G110" s="11" t="str">
        <f ca="1">+WORLDCUP!BD67</f>
        <v>Jordania</v>
      </c>
      <c r="H110" s="11" t="str">
        <f ca="1">+WORLDCUP!BD63</f>
        <v>Japón</v>
      </c>
      <c r="I110" s="11" t="str">
        <f ca="1">+WORLDCUP!BD62</f>
        <v>Ecuador</v>
      </c>
      <c r="J110" s="11" t="str">
        <f ca="1">+WORLDCUP!BD66</f>
        <v>Senegal</v>
      </c>
      <c r="N110" s="11" t="s">
        <v>1107</v>
      </c>
      <c r="O110" s="11">
        <v>109</v>
      </c>
      <c r="P110" s="11" t="s">
        <v>436</v>
      </c>
      <c r="Q110" s="11" t="s">
        <v>435</v>
      </c>
      <c r="R110" s="11" t="s">
        <v>90</v>
      </c>
      <c r="S110" s="11" t="s">
        <v>91</v>
      </c>
      <c r="T110" s="11" t="s">
        <v>441</v>
      </c>
      <c r="U110" s="11" t="s">
        <v>94</v>
      </c>
      <c r="V110" s="11" t="s">
        <v>93</v>
      </c>
      <c r="W110" s="11" t="s">
        <v>440</v>
      </c>
    </row>
    <row r="111" spans="1:23">
      <c r="A111" s="11" t="s">
        <v>1106</v>
      </c>
      <c r="B111" s="11">
        <f ca="1">+IF(A111=WORLDCUP!$BI$112,1,0)</f>
        <v>0</v>
      </c>
      <c r="C111" s="11" t="str">
        <f ca="1">+WORLDCUP!BD65</f>
        <v>España</v>
      </c>
      <c r="D111" s="11" t="str">
        <f ca="1">+WORLDCUP!BD67</f>
        <v>Jordania</v>
      </c>
      <c r="E111" s="11" t="str">
        <f ca="1">+WORLDCUP!BD59</f>
        <v>Bosnia y Herzegovina</v>
      </c>
      <c r="F111" s="11" t="str">
        <f ca="1">+WORLDCUP!BD60</f>
        <v>Escocia</v>
      </c>
      <c r="G111" s="11" t="str">
        <f ca="1">+WORLDCUP!BD66</f>
        <v>Senegal</v>
      </c>
      <c r="H111" s="11" t="str">
        <f ca="1">+WORLDCUP!BD61</f>
        <v>Paraguay</v>
      </c>
      <c r="I111" s="11" t="str">
        <f ca="1">+WORLDCUP!BD69</f>
        <v>Panamá</v>
      </c>
      <c r="J111" s="11" t="str">
        <f ca="1">+WORLDCUP!BD68</f>
        <v>RD Congo</v>
      </c>
      <c r="N111" s="11" t="s">
        <v>1106</v>
      </c>
      <c r="O111" s="11">
        <v>110</v>
      </c>
      <c r="P111" s="11" t="s">
        <v>436</v>
      </c>
      <c r="Q111" s="11" t="s">
        <v>441</v>
      </c>
      <c r="R111" s="11" t="s">
        <v>90</v>
      </c>
      <c r="S111" s="11" t="s">
        <v>91</v>
      </c>
      <c r="T111" s="11" t="s">
        <v>440</v>
      </c>
      <c r="U111" s="11" t="s">
        <v>92</v>
      </c>
      <c r="V111" s="11" t="s">
        <v>443</v>
      </c>
      <c r="W111" s="11" t="s">
        <v>442</v>
      </c>
    </row>
    <row r="112" spans="1:23">
      <c r="A112" s="11" t="s">
        <v>1105</v>
      </c>
      <c r="B112" s="11">
        <f ca="1">+IF(A112=WORLDCUP!$BI$112,1,0)</f>
        <v>0</v>
      </c>
      <c r="C112" s="11" t="str">
        <f ca="1">+WORLDCUP!BD66</f>
        <v>Senegal</v>
      </c>
      <c r="D112" s="11" t="str">
        <f ca="1">+WORLDCUP!BD64</f>
        <v>Bélgica</v>
      </c>
      <c r="E112" s="11" t="str">
        <f ca="1">+WORLDCUP!BD59</f>
        <v>Bosnia y Herzegovina</v>
      </c>
      <c r="F112" s="11" t="str">
        <f ca="1">+WORLDCUP!BD60</f>
        <v>Escocia</v>
      </c>
      <c r="G112" s="11" t="str">
        <f ca="1">+WORLDCUP!BD67</f>
        <v>Jordania</v>
      </c>
      <c r="H112" s="11" t="str">
        <f ca="1">+WORLDCUP!BD61</f>
        <v>Paraguay</v>
      </c>
      <c r="I112" s="11" t="str">
        <f ca="1">+WORLDCUP!BD69</f>
        <v>Panamá</v>
      </c>
      <c r="J112" s="11" t="str">
        <f ca="1">+WORLDCUP!BD68</f>
        <v>RD Congo</v>
      </c>
      <c r="N112" s="11" t="s">
        <v>1105</v>
      </c>
      <c r="O112" s="11">
        <v>111</v>
      </c>
      <c r="P112" s="11" t="s">
        <v>440</v>
      </c>
      <c r="Q112" s="11" t="s">
        <v>435</v>
      </c>
      <c r="R112" s="11" t="s">
        <v>90</v>
      </c>
      <c r="S112" s="11" t="s">
        <v>91</v>
      </c>
      <c r="T112" s="11" t="s">
        <v>441</v>
      </c>
      <c r="U112" s="11" t="s">
        <v>92</v>
      </c>
      <c r="V112" s="11" t="s">
        <v>443</v>
      </c>
      <c r="W112" s="11" t="s">
        <v>442</v>
      </c>
    </row>
    <row r="113" spans="1:23">
      <c r="A113" s="11" t="s">
        <v>1104</v>
      </c>
      <c r="B113" s="11">
        <f ca="1">+IF(A113=WORLDCUP!$BI$112,1,0)</f>
        <v>0</v>
      </c>
      <c r="C113" s="11" t="str">
        <f ca="1">+WORLDCUP!BD65</f>
        <v>España</v>
      </c>
      <c r="D113" s="11" t="str">
        <f ca="1">+WORLDCUP!BD64</f>
        <v>Bélgica</v>
      </c>
      <c r="E113" s="11" t="str">
        <f ca="1">+WORLDCUP!BD59</f>
        <v>Bosnia y Herzegovina</v>
      </c>
      <c r="F113" s="11" t="str">
        <f ca="1">+WORLDCUP!BD60</f>
        <v>Escocia</v>
      </c>
      <c r="G113" s="11" t="str">
        <f ca="1">+WORLDCUP!BD67</f>
        <v>Jordania</v>
      </c>
      <c r="H113" s="11" t="str">
        <f ca="1">+WORLDCUP!BD61</f>
        <v>Paraguay</v>
      </c>
      <c r="I113" s="11" t="str">
        <f ca="1">+WORLDCUP!BD69</f>
        <v>Panamá</v>
      </c>
      <c r="J113" s="11" t="str">
        <f ca="1">+WORLDCUP!BD68</f>
        <v>RD Congo</v>
      </c>
      <c r="N113" s="11" t="s">
        <v>1104</v>
      </c>
      <c r="O113" s="11">
        <v>112</v>
      </c>
      <c r="P113" s="11" t="s">
        <v>436</v>
      </c>
      <c r="Q113" s="11" t="s">
        <v>435</v>
      </c>
      <c r="R113" s="11" t="s">
        <v>90</v>
      </c>
      <c r="S113" s="11" t="s">
        <v>91</v>
      </c>
      <c r="T113" s="11" t="s">
        <v>441</v>
      </c>
      <c r="U113" s="11" t="s">
        <v>92</v>
      </c>
      <c r="V113" s="11" t="s">
        <v>443</v>
      </c>
      <c r="W113" s="11" t="s">
        <v>442</v>
      </c>
    </row>
    <row r="114" spans="1:23">
      <c r="A114" s="11" t="s">
        <v>1103</v>
      </c>
      <c r="B114" s="11">
        <f ca="1">+IF(A114=WORLDCUP!$BI$112,1,0)</f>
        <v>0</v>
      </c>
      <c r="C114" s="11" t="str">
        <f ca="1">+WORLDCUP!BD65</f>
        <v>España</v>
      </c>
      <c r="D114" s="11" t="str">
        <f ca="1">+WORLDCUP!BD64</f>
        <v>Bélgica</v>
      </c>
      <c r="E114" s="11" t="str">
        <f ca="1">+WORLDCUP!BD59</f>
        <v>Bosnia y Herzegovina</v>
      </c>
      <c r="F114" s="11" t="str">
        <f ca="1">+WORLDCUP!BD60</f>
        <v>Escocia</v>
      </c>
      <c r="G114" s="11" t="str">
        <f ca="1">+WORLDCUP!BD66</f>
        <v>Senegal</v>
      </c>
      <c r="H114" s="11" t="str">
        <f ca="1">+WORLDCUP!BD61</f>
        <v>Paraguay</v>
      </c>
      <c r="I114" s="11" t="str">
        <f ca="1">+WORLDCUP!BD69</f>
        <v>Panamá</v>
      </c>
      <c r="J114" s="11" t="str">
        <f ca="1">+WORLDCUP!BD68</f>
        <v>RD Congo</v>
      </c>
      <c r="N114" s="11" t="s">
        <v>1103</v>
      </c>
      <c r="O114" s="11">
        <v>113</v>
      </c>
      <c r="P114" s="11" t="s">
        <v>436</v>
      </c>
      <c r="Q114" s="11" t="s">
        <v>435</v>
      </c>
      <c r="R114" s="11" t="s">
        <v>90</v>
      </c>
      <c r="S114" s="11" t="s">
        <v>91</v>
      </c>
      <c r="T114" s="11" t="s">
        <v>440</v>
      </c>
      <c r="U114" s="11" t="s">
        <v>92</v>
      </c>
      <c r="V114" s="11" t="s">
        <v>443</v>
      </c>
      <c r="W114" s="11" t="s">
        <v>442</v>
      </c>
    </row>
    <row r="115" spans="1:23">
      <c r="A115" s="11" t="s">
        <v>1102</v>
      </c>
      <c r="B115" s="11">
        <f ca="1">+IF(A115=WORLDCUP!$BI$112,1,0)</f>
        <v>0</v>
      </c>
      <c r="C115" s="11" t="str">
        <f ca="1">+WORLDCUP!BD65</f>
        <v>España</v>
      </c>
      <c r="D115" s="11" t="str">
        <f ca="1">+WORLDCUP!BD64</f>
        <v>Bélgica</v>
      </c>
      <c r="E115" s="11" t="str">
        <f ca="1">+WORLDCUP!BD59</f>
        <v>Bosnia y Herzegovina</v>
      </c>
      <c r="F115" s="11" t="str">
        <f ca="1">+WORLDCUP!BD60</f>
        <v>Escocia</v>
      </c>
      <c r="G115" s="11" t="str">
        <f ca="1">+WORLDCUP!BD67</f>
        <v>Jordania</v>
      </c>
      <c r="H115" s="11" t="str">
        <f ca="1">+WORLDCUP!BD61</f>
        <v>Paraguay</v>
      </c>
      <c r="I115" s="11" t="str">
        <f ca="1">+WORLDCUP!BD69</f>
        <v>Panamá</v>
      </c>
      <c r="J115" s="11" t="str">
        <f ca="1">+WORLDCUP!BD66</f>
        <v>Senegal</v>
      </c>
      <c r="N115" s="11" t="s">
        <v>1102</v>
      </c>
      <c r="O115" s="11">
        <v>114</v>
      </c>
      <c r="P115" s="11" t="s">
        <v>436</v>
      </c>
      <c r="Q115" s="11" t="s">
        <v>435</v>
      </c>
      <c r="R115" s="11" t="s">
        <v>90</v>
      </c>
      <c r="S115" s="11" t="s">
        <v>91</v>
      </c>
      <c r="T115" s="11" t="s">
        <v>441</v>
      </c>
      <c r="U115" s="11" t="s">
        <v>92</v>
      </c>
      <c r="V115" s="11" t="s">
        <v>443</v>
      </c>
      <c r="W115" s="11" t="s">
        <v>440</v>
      </c>
    </row>
    <row r="116" spans="1:23">
      <c r="A116" s="11" t="s">
        <v>1101</v>
      </c>
      <c r="B116" s="11">
        <f ca="1">+IF(A116=WORLDCUP!$BI$112,1,0)</f>
        <v>0</v>
      </c>
      <c r="C116" s="11" t="str">
        <f ca="1">+WORLDCUP!BD65</f>
        <v>España</v>
      </c>
      <c r="D116" s="11" t="str">
        <f ca="1">+WORLDCUP!BD64</f>
        <v>Bélgica</v>
      </c>
      <c r="E116" s="11" t="str">
        <f ca="1">+WORLDCUP!BD59</f>
        <v>Bosnia y Herzegovina</v>
      </c>
      <c r="F116" s="11" t="str">
        <f ca="1">+WORLDCUP!BD60</f>
        <v>Escocia</v>
      </c>
      <c r="G116" s="11" t="str">
        <f ca="1">+WORLDCUP!BD67</f>
        <v>Jordania</v>
      </c>
      <c r="H116" s="11" t="str">
        <f ca="1">+WORLDCUP!BD61</f>
        <v>Paraguay</v>
      </c>
      <c r="I116" s="11" t="str">
        <f ca="1">+WORLDCUP!BD66</f>
        <v>Senegal</v>
      </c>
      <c r="J116" s="11" t="str">
        <f ca="1">+WORLDCUP!BD68</f>
        <v>RD Congo</v>
      </c>
      <c r="N116" s="11" t="s">
        <v>1101</v>
      </c>
      <c r="O116" s="11">
        <v>115</v>
      </c>
      <c r="P116" s="11" t="s">
        <v>436</v>
      </c>
      <c r="Q116" s="11" t="s">
        <v>435</v>
      </c>
      <c r="R116" s="11" t="s">
        <v>90</v>
      </c>
      <c r="S116" s="11" t="s">
        <v>91</v>
      </c>
      <c r="T116" s="11" t="s">
        <v>441</v>
      </c>
      <c r="U116" s="11" t="s">
        <v>92</v>
      </c>
      <c r="V116" s="11" t="s">
        <v>440</v>
      </c>
      <c r="W116" s="11" t="s">
        <v>442</v>
      </c>
    </row>
    <row r="117" spans="1:23">
      <c r="A117" s="11" t="s">
        <v>1100</v>
      </c>
      <c r="B117" s="11">
        <f ca="1">+IF(A117=WORLDCUP!$BI$112,1,0)</f>
        <v>0</v>
      </c>
      <c r="C117" s="11" t="str">
        <f ca="1">+WORLDCUP!BD60</f>
        <v>Escocia</v>
      </c>
      <c r="D117" s="11" t="str">
        <f ca="1">+WORLDCUP!BD67</f>
        <v>Jordania</v>
      </c>
      <c r="E117" s="11" t="str">
        <f ca="1">+WORLDCUP!BD59</f>
        <v>Bosnia y Herzegovina</v>
      </c>
      <c r="F117" s="11" t="str">
        <f ca="1">+WORLDCUP!BD61</f>
        <v>Paraguay</v>
      </c>
      <c r="G117" s="11" t="str">
        <f ca="1">+WORLDCUP!BD66</f>
        <v>Senegal</v>
      </c>
      <c r="H117" s="11" t="str">
        <f ca="1">+WORLDCUP!BD63</f>
        <v>Japón</v>
      </c>
      <c r="I117" s="11" t="str">
        <f ca="1">+WORLDCUP!BD69</f>
        <v>Panamá</v>
      </c>
      <c r="J117" s="11" t="str">
        <f ca="1">+WORLDCUP!BD68</f>
        <v>RD Congo</v>
      </c>
      <c r="N117" s="11" t="s">
        <v>1100</v>
      </c>
      <c r="O117" s="11">
        <v>116</v>
      </c>
      <c r="P117" s="11" t="s">
        <v>91</v>
      </c>
      <c r="Q117" s="11" t="s">
        <v>441</v>
      </c>
      <c r="R117" s="11" t="s">
        <v>90</v>
      </c>
      <c r="S117" s="11" t="s">
        <v>92</v>
      </c>
      <c r="T117" s="11" t="s">
        <v>440</v>
      </c>
      <c r="U117" s="11" t="s">
        <v>94</v>
      </c>
      <c r="V117" s="11" t="s">
        <v>443</v>
      </c>
      <c r="W117" s="11" t="s">
        <v>442</v>
      </c>
    </row>
    <row r="118" spans="1:23">
      <c r="A118" s="11" t="s">
        <v>1099</v>
      </c>
      <c r="B118" s="11">
        <f ca="1">+IF(A118=WORLDCUP!$BI$112,1,0)</f>
        <v>0</v>
      </c>
      <c r="C118" s="11" t="str">
        <f ca="1">+WORLDCUP!BD60</f>
        <v>Escocia</v>
      </c>
      <c r="D118" s="11" t="str">
        <f ca="1">+WORLDCUP!BD67</f>
        <v>Jordania</v>
      </c>
      <c r="E118" s="11" t="str">
        <f ca="1">+WORLDCUP!BD59</f>
        <v>Bosnia y Herzegovina</v>
      </c>
      <c r="F118" s="11" t="str">
        <f ca="1">+WORLDCUP!BD61</f>
        <v>Paraguay</v>
      </c>
      <c r="G118" s="11" t="str">
        <f ca="1">+WORLDCUP!BD65</f>
        <v>España</v>
      </c>
      <c r="H118" s="11" t="str">
        <f ca="1">+WORLDCUP!BD63</f>
        <v>Japón</v>
      </c>
      <c r="I118" s="11" t="str">
        <f ca="1">+WORLDCUP!BD69</f>
        <v>Panamá</v>
      </c>
      <c r="J118" s="11" t="str">
        <f ca="1">+WORLDCUP!BD68</f>
        <v>RD Congo</v>
      </c>
      <c r="N118" s="11" t="s">
        <v>1099</v>
      </c>
      <c r="O118" s="11">
        <v>117</v>
      </c>
      <c r="P118" s="11" t="s">
        <v>91</v>
      </c>
      <c r="Q118" s="11" t="s">
        <v>441</v>
      </c>
      <c r="R118" s="11" t="s">
        <v>90</v>
      </c>
      <c r="S118" s="11" t="s">
        <v>92</v>
      </c>
      <c r="T118" s="11" t="s">
        <v>436</v>
      </c>
      <c r="U118" s="11" t="s">
        <v>94</v>
      </c>
      <c r="V118" s="11" t="s">
        <v>443</v>
      </c>
      <c r="W118" s="11" t="s">
        <v>442</v>
      </c>
    </row>
    <row r="119" spans="1:23">
      <c r="A119" s="11" t="s">
        <v>1098</v>
      </c>
      <c r="B119" s="11">
        <f ca="1">+IF(A119=WORLDCUP!$BI$112,1,0)</f>
        <v>0</v>
      </c>
      <c r="C119" s="11" t="str">
        <f ca="1">+WORLDCUP!BD60</f>
        <v>Escocia</v>
      </c>
      <c r="D119" s="11" t="str">
        <f ca="1">+WORLDCUP!BD66</f>
        <v>Senegal</v>
      </c>
      <c r="E119" s="11" t="str">
        <f ca="1">+WORLDCUP!BD59</f>
        <v>Bosnia y Herzegovina</v>
      </c>
      <c r="F119" s="11" t="str">
        <f ca="1">+WORLDCUP!BD61</f>
        <v>Paraguay</v>
      </c>
      <c r="G119" s="11" t="str">
        <f ca="1">+WORLDCUP!BD65</f>
        <v>España</v>
      </c>
      <c r="H119" s="11" t="str">
        <f ca="1">+WORLDCUP!BD63</f>
        <v>Japón</v>
      </c>
      <c r="I119" s="11" t="str">
        <f ca="1">+WORLDCUP!BD69</f>
        <v>Panamá</v>
      </c>
      <c r="J119" s="11" t="str">
        <f ca="1">+WORLDCUP!BD68</f>
        <v>RD Congo</v>
      </c>
      <c r="N119" s="11" t="s">
        <v>1098</v>
      </c>
      <c r="O119" s="11">
        <v>118</v>
      </c>
      <c r="P119" s="11" t="s">
        <v>91</v>
      </c>
      <c r="Q119" s="11" t="s">
        <v>440</v>
      </c>
      <c r="R119" s="11" t="s">
        <v>90</v>
      </c>
      <c r="S119" s="11" t="s">
        <v>92</v>
      </c>
      <c r="T119" s="11" t="s">
        <v>436</v>
      </c>
      <c r="U119" s="11" t="s">
        <v>94</v>
      </c>
      <c r="V119" s="11" t="s">
        <v>443</v>
      </c>
      <c r="W119" s="11" t="s">
        <v>442</v>
      </c>
    </row>
    <row r="120" spans="1:23">
      <c r="A120" s="11" t="s">
        <v>1097</v>
      </c>
      <c r="B120" s="11">
        <f ca="1">+IF(A120=WORLDCUP!$BI$112,1,0)</f>
        <v>0</v>
      </c>
      <c r="C120" s="11" t="str">
        <f ca="1">+WORLDCUP!BD60</f>
        <v>Escocia</v>
      </c>
      <c r="D120" s="11" t="str">
        <f ca="1">+WORLDCUP!BD67</f>
        <v>Jordania</v>
      </c>
      <c r="E120" s="11" t="str">
        <f ca="1">+WORLDCUP!BD59</f>
        <v>Bosnia y Herzegovina</v>
      </c>
      <c r="F120" s="11" t="str">
        <f ca="1">+WORLDCUP!BD61</f>
        <v>Paraguay</v>
      </c>
      <c r="G120" s="11" t="str">
        <f ca="1">+WORLDCUP!BD65</f>
        <v>España</v>
      </c>
      <c r="H120" s="11" t="str">
        <f ca="1">+WORLDCUP!BD63</f>
        <v>Japón</v>
      </c>
      <c r="I120" s="11" t="str">
        <f ca="1">+WORLDCUP!BD69</f>
        <v>Panamá</v>
      </c>
      <c r="J120" s="11" t="str">
        <f ca="1">+WORLDCUP!BD66</f>
        <v>Senegal</v>
      </c>
      <c r="N120" s="11" t="s">
        <v>1097</v>
      </c>
      <c r="O120" s="11">
        <v>119</v>
      </c>
      <c r="P120" s="11" t="s">
        <v>91</v>
      </c>
      <c r="Q120" s="11" t="s">
        <v>441</v>
      </c>
      <c r="R120" s="11" t="s">
        <v>90</v>
      </c>
      <c r="S120" s="11" t="s">
        <v>92</v>
      </c>
      <c r="T120" s="11" t="s">
        <v>436</v>
      </c>
      <c r="U120" s="11" t="s">
        <v>94</v>
      </c>
      <c r="V120" s="11" t="s">
        <v>443</v>
      </c>
      <c r="W120" s="11" t="s">
        <v>440</v>
      </c>
    </row>
    <row r="121" spans="1:23">
      <c r="A121" s="11" t="s">
        <v>1096</v>
      </c>
      <c r="B121" s="11">
        <f ca="1">+IF(A121=WORLDCUP!$BI$112,1,0)</f>
        <v>0</v>
      </c>
      <c r="C121" s="11" t="str">
        <f ca="1">+WORLDCUP!BD60</f>
        <v>Escocia</v>
      </c>
      <c r="D121" s="11" t="str">
        <f ca="1">+WORLDCUP!BD67</f>
        <v>Jordania</v>
      </c>
      <c r="E121" s="11" t="str">
        <f ca="1">+WORLDCUP!BD59</f>
        <v>Bosnia y Herzegovina</v>
      </c>
      <c r="F121" s="11" t="str">
        <f ca="1">+WORLDCUP!BD61</f>
        <v>Paraguay</v>
      </c>
      <c r="G121" s="11" t="str">
        <f ca="1">+WORLDCUP!BD65</f>
        <v>España</v>
      </c>
      <c r="H121" s="11" t="str">
        <f ca="1">+WORLDCUP!BD63</f>
        <v>Japón</v>
      </c>
      <c r="I121" s="11" t="str">
        <f ca="1">+WORLDCUP!BD66</f>
        <v>Senegal</v>
      </c>
      <c r="J121" s="11" t="str">
        <f ca="1">+WORLDCUP!BD68</f>
        <v>RD Congo</v>
      </c>
      <c r="N121" s="11" t="s">
        <v>1096</v>
      </c>
      <c r="O121" s="11">
        <v>120</v>
      </c>
      <c r="P121" s="11" t="s">
        <v>91</v>
      </c>
      <c r="Q121" s="11" t="s">
        <v>441</v>
      </c>
      <c r="R121" s="11" t="s">
        <v>90</v>
      </c>
      <c r="S121" s="11" t="s">
        <v>92</v>
      </c>
      <c r="T121" s="11" t="s">
        <v>436</v>
      </c>
      <c r="U121" s="11" t="s">
        <v>94</v>
      </c>
      <c r="V121" s="11" t="s">
        <v>440</v>
      </c>
      <c r="W121" s="11" t="s">
        <v>442</v>
      </c>
    </row>
    <row r="122" spans="1:23">
      <c r="A122" s="11" t="s">
        <v>1095</v>
      </c>
      <c r="B122" s="11">
        <f ca="1">+IF(A122=WORLDCUP!$BI$112,1,0)</f>
        <v>0</v>
      </c>
      <c r="C122" s="11" t="str">
        <f ca="1">+WORLDCUP!BD60</f>
        <v>Escocia</v>
      </c>
      <c r="D122" s="11" t="str">
        <f ca="1">+WORLDCUP!BD64</f>
        <v>Bélgica</v>
      </c>
      <c r="E122" s="11" t="str">
        <f ca="1">+WORLDCUP!BD59</f>
        <v>Bosnia y Herzegovina</v>
      </c>
      <c r="F122" s="11" t="str">
        <f ca="1">+WORLDCUP!BD61</f>
        <v>Paraguay</v>
      </c>
      <c r="G122" s="11" t="str">
        <f ca="1">+WORLDCUP!BD67</f>
        <v>Jordania</v>
      </c>
      <c r="H122" s="11" t="str">
        <f ca="1">+WORLDCUP!BD63</f>
        <v>Japón</v>
      </c>
      <c r="I122" s="11" t="str">
        <f ca="1">+WORLDCUP!BD69</f>
        <v>Panamá</v>
      </c>
      <c r="J122" s="11" t="str">
        <f ca="1">+WORLDCUP!BD68</f>
        <v>RD Congo</v>
      </c>
      <c r="N122" s="11" t="s">
        <v>1095</v>
      </c>
      <c r="O122" s="11">
        <v>121</v>
      </c>
      <c r="P122" s="11" t="s">
        <v>91</v>
      </c>
      <c r="Q122" s="11" t="s">
        <v>435</v>
      </c>
      <c r="R122" s="11" t="s">
        <v>90</v>
      </c>
      <c r="S122" s="11" t="s">
        <v>92</v>
      </c>
      <c r="T122" s="11" t="s">
        <v>441</v>
      </c>
      <c r="U122" s="11" t="s">
        <v>94</v>
      </c>
      <c r="V122" s="11" t="s">
        <v>443</v>
      </c>
      <c r="W122" s="11" t="s">
        <v>442</v>
      </c>
    </row>
    <row r="123" spans="1:23">
      <c r="A123" s="11" t="s">
        <v>1094</v>
      </c>
      <c r="B123" s="11">
        <f ca="1">+IF(A123=WORLDCUP!$BI$112,1,0)</f>
        <v>0</v>
      </c>
      <c r="C123" s="11" t="str">
        <f ca="1">+WORLDCUP!BD60</f>
        <v>Escocia</v>
      </c>
      <c r="D123" s="11" t="str">
        <f ca="1">+WORLDCUP!BD64</f>
        <v>Bélgica</v>
      </c>
      <c r="E123" s="11" t="str">
        <f ca="1">+WORLDCUP!BD59</f>
        <v>Bosnia y Herzegovina</v>
      </c>
      <c r="F123" s="11" t="str">
        <f ca="1">+WORLDCUP!BD61</f>
        <v>Paraguay</v>
      </c>
      <c r="G123" s="11" t="str">
        <f ca="1">+WORLDCUP!BD66</f>
        <v>Senegal</v>
      </c>
      <c r="H123" s="11" t="str">
        <f ca="1">+WORLDCUP!BD63</f>
        <v>Japón</v>
      </c>
      <c r="I123" s="11" t="str">
        <f ca="1">+WORLDCUP!BD69</f>
        <v>Panamá</v>
      </c>
      <c r="J123" s="11" t="str">
        <f ca="1">+WORLDCUP!BD68</f>
        <v>RD Congo</v>
      </c>
      <c r="N123" s="11" t="s">
        <v>1094</v>
      </c>
      <c r="O123" s="11">
        <v>122</v>
      </c>
      <c r="P123" s="11" t="s">
        <v>91</v>
      </c>
      <c r="Q123" s="11" t="s">
        <v>435</v>
      </c>
      <c r="R123" s="11" t="s">
        <v>90</v>
      </c>
      <c r="S123" s="11" t="s">
        <v>92</v>
      </c>
      <c r="T123" s="11" t="s">
        <v>440</v>
      </c>
      <c r="U123" s="11" t="s">
        <v>94</v>
      </c>
      <c r="V123" s="11" t="s">
        <v>443</v>
      </c>
      <c r="W123" s="11" t="s">
        <v>442</v>
      </c>
    </row>
    <row r="124" spans="1:23">
      <c r="A124" s="11" t="s">
        <v>1093</v>
      </c>
      <c r="B124" s="11">
        <f ca="1">+IF(A124=WORLDCUP!$BI$112,1,0)</f>
        <v>0</v>
      </c>
      <c r="C124" s="11" t="str">
        <f ca="1">+WORLDCUP!BD60</f>
        <v>Escocia</v>
      </c>
      <c r="D124" s="11" t="str">
        <f ca="1">+WORLDCUP!BD64</f>
        <v>Bélgica</v>
      </c>
      <c r="E124" s="11" t="str">
        <f ca="1">+WORLDCUP!BD59</f>
        <v>Bosnia y Herzegovina</v>
      </c>
      <c r="F124" s="11" t="str">
        <f ca="1">+WORLDCUP!BD61</f>
        <v>Paraguay</v>
      </c>
      <c r="G124" s="11" t="str">
        <f ca="1">+WORLDCUP!BD67</f>
        <v>Jordania</v>
      </c>
      <c r="H124" s="11" t="str">
        <f ca="1">+WORLDCUP!BD63</f>
        <v>Japón</v>
      </c>
      <c r="I124" s="11" t="str">
        <f ca="1">+WORLDCUP!BD69</f>
        <v>Panamá</v>
      </c>
      <c r="J124" s="11" t="str">
        <f ca="1">+WORLDCUP!BD66</f>
        <v>Senegal</v>
      </c>
      <c r="N124" s="11" t="s">
        <v>1093</v>
      </c>
      <c r="O124" s="11">
        <v>123</v>
      </c>
      <c r="P124" s="11" t="s">
        <v>91</v>
      </c>
      <c r="Q124" s="11" t="s">
        <v>435</v>
      </c>
      <c r="R124" s="11" t="s">
        <v>90</v>
      </c>
      <c r="S124" s="11" t="s">
        <v>92</v>
      </c>
      <c r="T124" s="11" t="s">
        <v>441</v>
      </c>
      <c r="U124" s="11" t="s">
        <v>94</v>
      </c>
      <c r="V124" s="11" t="s">
        <v>443</v>
      </c>
      <c r="W124" s="11" t="s">
        <v>440</v>
      </c>
    </row>
    <row r="125" spans="1:23">
      <c r="A125" s="11" t="s">
        <v>1092</v>
      </c>
      <c r="B125" s="11">
        <f ca="1">+IF(A125=WORLDCUP!$BI$112,1,0)</f>
        <v>0</v>
      </c>
      <c r="C125" s="11" t="str">
        <f ca="1">+WORLDCUP!BD60</f>
        <v>Escocia</v>
      </c>
      <c r="D125" s="11" t="str">
        <f ca="1">+WORLDCUP!BD64</f>
        <v>Bélgica</v>
      </c>
      <c r="E125" s="11" t="str">
        <f ca="1">+WORLDCUP!BD59</f>
        <v>Bosnia y Herzegovina</v>
      </c>
      <c r="F125" s="11" t="str">
        <f ca="1">+WORLDCUP!BD61</f>
        <v>Paraguay</v>
      </c>
      <c r="G125" s="11" t="str">
        <f ca="1">+WORLDCUP!BD67</f>
        <v>Jordania</v>
      </c>
      <c r="H125" s="11" t="str">
        <f ca="1">+WORLDCUP!BD63</f>
        <v>Japón</v>
      </c>
      <c r="I125" s="11" t="str">
        <f ca="1">+WORLDCUP!BD66</f>
        <v>Senegal</v>
      </c>
      <c r="J125" s="11" t="str">
        <f ca="1">+WORLDCUP!BD68</f>
        <v>RD Congo</v>
      </c>
      <c r="N125" s="11" t="s">
        <v>1092</v>
      </c>
      <c r="O125" s="11">
        <v>124</v>
      </c>
      <c r="P125" s="11" t="s">
        <v>91</v>
      </c>
      <c r="Q125" s="11" t="s">
        <v>435</v>
      </c>
      <c r="R125" s="11" t="s">
        <v>90</v>
      </c>
      <c r="S125" s="11" t="s">
        <v>92</v>
      </c>
      <c r="T125" s="11" t="s">
        <v>441</v>
      </c>
      <c r="U125" s="11" t="s">
        <v>94</v>
      </c>
      <c r="V125" s="11" t="s">
        <v>440</v>
      </c>
      <c r="W125" s="11" t="s">
        <v>442</v>
      </c>
    </row>
    <row r="126" spans="1:23">
      <c r="A126" s="11" t="s">
        <v>1091</v>
      </c>
      <c r="B126" s="11">
        <f ca="1">+IF(A126=WORLDCUP!$BI$112,1,0)</f>
        <v>0</v>
      </c>
      <c r="C126" s="11" t="str">
        <f ca="1">+WORLDCUP!BD60</f>
        <v>Escocia</v>
      </c>
      <c r="D126" s="11" t="str">
        <f ca="1">+WORLDCUP!BD64</f>
        <v>Bélgica</v>
      </c>
      <c r="E126" s="11" t="str">
        <f ca="1">+WORLDCUP!BD59</f>
        <v>Bosnia y Herzegovina</v>
      </c>
      <c r="F126" s="11" t="str">
        <f ca="1">+WORLDCUP!BD61</f>
        <v>Paraguay</v>
      </c>
      <c r="G126" s="11" t="str">
        <f ca="1">+WORLDCUP!BD65</f>
        <v>España</v>
      </c>
      <c r="H126" s="11" t="str">
        <f ca="1">+WORLDCUP!BD63</f>
        <v>Japón</v>
      </c>
      <c r="I126" s="11" t="str">
        <f ca="1">+WORLDCUP!BD69</f>
        <v>Panamá</v>
      </c>
      <c r="J126" s="11" t="str">
        <f ca="1">+WORLDCUP!BD68</f>
        <v>RD Congo</v>
      </c>
      <c r="N126" s="11" t="s">
        <v>1091</v>
      </c>
      <c r="O126" s="11">
        <v>125</v>
      </c>
      <c r="P126" s="11" t="s">
        <v>91</v>
      </c>
      <c r="Q126" s="11" t="s">
        <v>435</v>
      </c>
      <c r="R126" s="11" t="s">
        <v>90</v>
      </c>
      <c r="S126" s="11" t="s">
        <v>92</v>
      </c>
      <c r="T126" s="11" t="s">
        <v>436</v>
      </c>
      <c r="U126" s="11" t="s">
        <v>94</v>
      </c>
      <c r="V126" s="11" t="s">
        <v>443</v>
      </c>
      <c r="W126" s="11" t="s">
        <v>442</v>
      </c>
    </row>
    <row r="127" spans="1:23">
      <c r="A127" s="11" t="s">
        <v>1090</v>
      </c>
      <c r="B127" s="11">
        <f ca="1">+IF(A127=WORLDCUP!$BI$112,1,0)</f>
        <v>0</v>
      </c>
      <c r="C127" s="11" t="str">
        <f ca="1">+WORLDCUP!BD60</f>
        <v>Escocia</v>
      </c>
      <c r="D127" s="11" t="str">
        <f ca="1">+WORLDCUP!BD64</f>
        <v>Bélgica</v>
      </c>
      <c r="E127" s="11" t="str">
        <f ca="1">+WORLDCUP!BD59</f>
        <v>Bosnia y Herzegovina</v>
      </c>
      <c r="F127" s="11" t="str">
        <f ca="1">+WORLDCUP!BD61</f>
        <v>Paraguay</v>
      </c>
      <c r="G127" s="11" t="str">
        <f ca="1">+WORLDCUP!BD65</f>
        <v>España</v>
      </c>
      <c r="H127" s="11" t="str">
        <f ca="1">+WORLDCUP!BD63</f>
        <v>Japón</v>
      </c>
      <c r="I127" s="11" t="str">
        <f ca="1">+WORLDCUP!BD69</f>
        <v>Panamá</v>
      </c>
      <c r="J127" s="11" t="str">
        <f ca="1">+WORLDCUP!BD67</f>
        <v>Jordania</v>
      </c>
      <c r="N127" s="11" t="s">
        <v>1090</v>
      </c>
      <c r="O127" s="11">
        <v>126</v>
      </c>
      <c r="P127" s="11" t="s">
        <v>91</v>
      </c>
      <c r="Q127" s="11" t="s">
        <v>435</v>
      </c>
      <c r="R127" s="11" t="s">
        <v>90</v>
      </c>
      <c r="S127" s="11" t="s">
        <v>92</v>
      </c>
      <c r="T127" s="11" t="s">
        <v>436</v>
      </c>
      <c r="U127" s="11" t="s">
        <v>94</v>
      </c>
      <c r="V127" s="11" t="s">
        <v>443</v>
      </c>
      <c r="W127" s="11" t="s">
        <v>441</v>
      </c>
    </row>
    <row r="128" spans="1:23">
      <c r="A128" s="11" t="s">
        <v>1089</v>
      </c>
      <c r="B128" s="11">
        <f ca="1">+IF(A128=WORLDCUP!$BI$112,1,0)</f>
        <v>0</v>
      </c>
      <c r="C128" s="11" t="str">
        <f ca="1">+WORLDCUP!BD65</f>
        <v>España</v>
      </c>
      <c r="D128" s="11" t="str">
        <f ca="1">+WORLDCUP!BD64</f>
        <v>Bélgica</v>
      </c>
      <c r="E128" s="11" t="str">
        <f ca="1">+WORLDCUP!BD59</f>
        <v>Bosnia y Herzegovina</v>
      </c>
      <c r="F128" s="11" t="str">
        <f ca="1">+WORLDCUP!BD60</f>
        <v>Escocia</v>
      </c>
      <c r="G128" s="11" t="str">
        <f ca="1">+WORLDCUP!BD67</f>
        <v>Jordania</v>
      </c>
      <c r="H128" s="11" t="str">
        <f ca="1">+WORLDCUP!BD63</f>
        <v>Japón</v>
      </c>
      <c r="I128" s="11" t="str">
        <f ca="1">+WORLDCUP!BD61</f>
        <v>Paraguay</v>
      </c>
      <c r="J128" s="11" t="str">
        <f ca="1">+WORLDCUP!BD68</f>
        <v>RD Congo</v>
      </c>
      <c r="N128" s="11" t="s">
        <v>1089</v>
      </c>
      <c r="O128" s="11">
        <v>127</v>
      </c>
      <c r="P128" s="11" t="s">
        <v>436</v>
      </c>
      <c r="Q128" s="11" t="s">
        <v>435</v>
      </c>
      <c r="R128" s="11" t="s">
        <v>90</v>
      </c>
      <c r="S128" s="11" t="s">
        <v>91</v>
      </c>
      <c r="T128" s="11" t="s">
        <v>441</v>
      </c>
      <c r="U128" s="11" t="s">
        <v>94</v>
      </c>
      <c r="V128" s="11" t="s">
        <v>92</v>
      </c>
      <c r="W128" s="11" t="s">
        <v>442</v>
      </c>
    </row>
    <row r="129" spans="1:23">
      <c r="A129" s="11" t="s">
        <v>1088</v>
      </c>
      <c r="B129" s="11">
        <f ca="1">+IF(A129=WORLDCUP!$BI$112,1,0)</f>
        <v>0</v>
      </c>
      <c r="C129" s="11" t="str">
        <f ca="1">+WORLDCUP!BD60</f>
        <v>Escocia</v>
      </c>
      <c r="D129" s="11" t="str">
        <f ca="1">+WORLDCUP!BD64</f>
        <v>Bélgica</v>
      </c>
      <c r="E129" s="11" t="str">
        <f ca="1">+WORLDCUP!BD59</f>
        <v>Bosnia y Herzegovina</v>
      </c>
      <c r="F129" s="11" t="str">
        <f ca="1">+WORLDCUP!BD61</f>
        <v>Paraguay</v>
      </c>
      <c r="G129" s="11" t="str">
        <f ca="1">+WORLDCUP!BD65</f>
        <v>España</v>
      </c>
      <c r="H129" s="11" t="str">
        <f ca="1">+WORLDCUP!BD63</f>
        <v>Japón</v>
      </c>
      <c r="I129" s="11" t="str">
        <f ca="1">+WORLDCUP!BD69</f>
        <v>Panamá</v>
      </c>
      <c r="J129" s="11" t="str">
        <f ca="1">+WORLDCUP!BD66</f>
        <v>Senegal</v>
      </c>
      <c r="N129" s="11" t="s">
        <v>1088</v>
      </c>
      <c r="O129" s="11">
        <v>128</v>
      </c>
      <c r="P129" s="11" t="s">
        <v>91</v>
      </c>
      <c r="Q129" s="11" t="s">
        <v>435</v>
      </c>
      <c r="R129" s="11" t="s">
        <v>90</v>
      </c>
      <c r="S129" s="11" t="s">
        <v>92</v>
      </c>
      <c r="T129" s="11" t="s">
        <v>436</v>
      </c>
      <c r="U129" s="11" t="s">
        <v>94</v>
      </c>
      <c r="V129" s="11" t="s">
        <v>443</v>
      </c>
      <c r="W129" s="11" t="s">
        <v>440</v>
      </c>
    </row>
    <row r="130" spans="1:23">
      <c r="A130" s="11" t="s">
        <v>1087</v>
      </c>
      <c r="B130" s="11">
        <f ca="1">+IF(A130=WORLDCUP!$BI$112,1,0)</f>
        <v>0</v>
      </c>
      <c r="C130" s="11" t="str">
        <f ca="1">+WORLDCUP!BD60</f>
        <v>Escocia</v>
      </c>
      <c r="D130" s="11" t="str">
        <f ca="1">+WORLDCUP!BD64</f>
        <v>Bélgica</v>
      </c>
      <c r="E130" s="11" t="str">
        <f ca="1">+WORLDCUP!BD59</f>
        <v>Bosnia y Herzegovina</v>
      </c>
      <c r="F130" s="11" t="str">
        <f ca="1">+WORLDCUP!BD61</f>
        <v>Paraguay</v>
      </c>
      <c r="G130" s="11" t="str">
        <f ca="1">+WORLDCUP!BD65</f>
        <v>España</v>
      </c>
      <c r="H130" s="11" t="str">
        <f ca="1">+WORLDCUP!BD63</f>
        <v>Japón</v>
      </c>
      <c r="I130" s="11" t="str">
        <f ca="1">+WORLDCUP!BD66</f>
        <v>Senegal</v>
      </c>
      <c r="J130" s="11" t="str">
        <f ca="1">+WORLDCUP!BD68</f>
        <v>RD Congo</v>
      </c>
      <c r="N130" s="11" t="s">
        <v>1087</v>
      </c>
      <c r="O130" s="11">
        <v>129</v>
      </c>
      <c r="P130" s="11" t="s">
        <v>91</v>
      </c>
      <c r="Q130" s="11" t="s">
        <v>435</v>
      </c>
      <c r="R130" s="11" t="s">
        <v>90</v>
      </c>
      <c r="S130" s="11" t="s">
        <v>92</v>
      </c>
      <c r="T130" s="11" t="s">
        <v>436</v>
      </c>
      <c r="U130" s="11" t="s">
        <v>94</v>
      </c>
      <c r="V130" s="11" t="s">
        <v>440</v>
      </c>
      <c r="W130" s="11" t="s">
        <v>442</v>
      </c>
    </row>
    <row r="131" spans="1:23">
      <c r="A131" s="11" t="s">
        <v>1086</v>
      </c>
      <c r="B131" s="11">
        <f ca="1">+IF(A131=WORLDCUP!$BI$112,1,0)</f>
        <v>0</v>
      </c>
      <c r="C131" s="11" t="str">
        <f ca="1">+WORLDCUP!BD65</f>
        <v>España</v>
      </c>
      <c r="D131" s="11" t="str">
        <f ca="1">+WORLDCUP!BD64</f>
        <v>Bélgica</v>
      </c>
      <c r="E131" s="11" t="str">
        <f ca="1">+WORLDCUP!BD59</f>
        <v>Bosnia y Herzegovina</v>
      </c>
      <c r="F131" s="11" t="str">
        <f ca="1">+WORLDCUP!BD60</f>
        <v>Escocia</v>
      </c>
      <c r="G131" s="11" t="str">
        <f ca="1">+WORLDCUP!BD67</f>
        <v>Jordania</v>
      </c>
      <c r="H131" s="11" t="str">
        <f ca="1">+WORLDCUP!BD63</f>
        <v>Japón</v>
      </c>
      <c r="I131" s="11" t="str">
        <f ca="1">+WORLDCUP!BD61</f>
        <v>Paraguay</v>
      </c>
      <c r="J131" s="11" t="str">
        <f ca="1">+WORLDCUP!BD66</f>
        <v>Senegal</v>
      </c>
      <c r="N131" s="11" t="s">
        <v>1086</v>
      </c>
      <c r="O131" s="11">
        <v>130</v>
      </c>
      <c r="P131" s="11" t="s">
        <v>436</v>
      </c>
      <c r="Q131" s="11" t="s">
        <v>435</v>
      </c>
      <c r="R131" s="11" t="s">
        <v>90</v>
      </c>
      <c r="S131" s="11" t="s">
        <v>91</v>
      </c>
      <c r="T131" s="11" t="s">
        <v>441</v>
      </c>
      <c r="U131" s="11" t="s">
        <v>94</v>
      </c>
      <c r="V131" s="11" t="s">
        <v>92</v>
      </c>
      <c r="W131" s="11" t="s">
        <v>440</v>
      </c>
    </row>
    <row r="132" spans="1:23">
      <c r="A132" s="11" t="s">
        <v>1085</v>
      </c>
      <c r="B132" s="11">
        <f ca="1">+IF(A132=WORLDCUP!$BI$112,1,0)</f>
        <v>0</v>
      </c>
      <c r="C132" s="11" t="str">
        <f ca="1">+WORLDCUP!BD62</f>
        <v>Ecuador</v>
      </c>
      <c r="D132" s="11" t="str">
        <f ca="1">+WORLDCUP!BD67</f>
        <v>Jordania</v>
      </c>
      <c r="E132" s="11" t="str">
        <f ca="1">+WORLDCUP!BD59</f>
        <v>Bosnia y Herzegovina</v>
      </c>
      <c r="F132" s="11" t="str">
        <f ca="1">+WORLDCUP!BD60</f>
        <v>Escocia</v>
      </c>
      <c r="G132" s="11" t="str">
        <f ca="1">+WORLDCUP!BD66</f>
        <v>Senegal</v>
      </c>
      <c r="H132" s="11" t="str">
        <f ca="1">+WORLDCUP!BD61</f>
        <v>Paraguay</v>
      </c>
      <c r="I132" s="11" t="str">
        <f ca="1">+WORLDCUP!BD69</f>
        <v>Panamá</v>
      </c>
      <c r="J132" s="11" t="str">
        <f ca="1">+WORLDCUP!BD68</f>
        <v>RD Congo</v>
      </c>
      <c r="N132" s="11" t="s">
        <v>1085</v>
      </c>
      <c r="O132" s="11">
        <v>131</v>
      </c>
      <c r="P132" s="11" t="s">
        <v>93</v>
      </c>
      <c r="Q132" s="11" t="s">
        <v>441</v>
      </c>
      <c r="R132" s="11" t="s">
        <v>90</v>
      </c>
      <c r="S132" s="11" t="s">
        <v>91</v>
      </c>
      <c r="T132" s="11" t="s">
        <v>440</v>
      </c>
      <c r="U132" s="11" t="s">
        <v>92</v>
      </c>
      <c r="V132" s="11" t="s">
        <v>443</v>
      </c>
      <c r="W132" s="11" t="s">
        <v>442</v>
      </c>
    </row>
    <row r="133" spans="1:23">
      <c r="A133" s="11" t="s">
        <v>1084</v>
      </c>
      <c r="B133" s="11">
        <f ca="1">+IF(A133=WORLDCUP!$BI$112,1,0)</f>
        <v>0</v>
      </c>
      <c r="C133" s="11" t="str">
        <f ca="1">+WORLDCUP!BD62</f>
        <v>Ecuador</v>
      </c>
      <c r="D133" s="11" t="str">
        <f ca="1">+WORLDCUP!BD67</f>
        <v>Jordania</v>
      </c>
      <c r="E133" s="11" t="str">
        <f ca="1">+WORLDCUP!BD59</f>
        <v>Bosnia y Herzegovina</v>
      </c>
      <c r="F133" s="11" t="str">
        <f ca="1">+WORLDCUP!BD60</f>
        <v>Escocia</v>
      </c>
      <c r="G133" s="11" t="str">
        <f ca="1">+WORLDCUP!BD65</f>
        <v>España</v>
      </c>
      <c r="H133" s="11" t="str">
        <f ca="1">+WORLDCUP!BD61</f>
        <v>Paraguay</v>
      </c>
      <c r="I133" s="11" t="str">
        <f ca="1">+WORLDCUP!BD69</f>
        <v>Panamá</v>
      </c>
      <c r="J133" s="11" t="str">
        <f ca="1">+WORLDCUP!BD68</f>
        <v>RD Congo</v>
      </c>
      <c r="N133" s="11" t="s">
        <v>1084</v>
      </c>
      <c r="O133" s="11">
        <v>132</v>
      </c>
      <c r="P133" s="11" t="s">
        <v>93</v>
      </c>
      <c r="Q133" s="11" t="s">
        <v>441</v>
      </c>
      <c r="R133" s="11" t="s">
        <v>90</v>
      </c>
      <c r="S133" s="11" t="s">
        <v>91</v>
      </c>
      <c r="T133" s="11" t="s">
        <v>436</v>
      </c>
      <c r="U133" s="11" t="s">
        <v>92</v>
      </c>
      <c r="V133" s="11" t="s">
        <v>443</v>
      </c>
      <c r="W133" s="11" t="s">
        <v>442</v>
      </c>
    </row>
    <row r="134" spans="1:23">
      <c r="A134" s="11" t="s">
        <v>1083</v>
      </c>
      <c r="B134" s="11">
        <f ca="1">+IF(A134=WORLDCUP!$BI$112,1,0)</f>
        <v>0</v>
      </c>
      <c r="C134" s="11" t="str">
        <f ca="1">+WORLDCUP!BD62</f>
        <v>Ecuador</v>
      </c>
      <c r="D134" s="11" t="str">
        <f ca="1">+WORLDCUP!BD66</f>
        <v>Senegal</v>
      </c>
      <c r="E134" s="11" t="str">
        <f ca="1">+WORLDCUP!BD59</f>
        <v>Bosnia y Herzegovina</v>
      </c>
      <c r="F134" s="11" t="str">
        <f ca="1">+WORLDCUP!BD60</f>
        <v>Escocia</v>
      </c>
      <c r="G134" s="11" t="str">
        <f ca="1">+WORLDCUP!BD65</f>
        <v>España</v>
      </c>
      <c r="H134" s="11" t="str">
        <f ca="1">+WORLDCUP!BD61</f>
        <v>Paraguay</v>
      </c>
      <c r="I134" s="11" t="str">
        <f ca="1">+WORLDCUP!BD69</f>
        <v>Panamá</v>
      </c>
      <c r="J134" s="11" t="str">
        <f ca="1">+WORLDCUP!BD68</f>
        <v>RD Congo</v>
      </c>
      <c r="N134" s="11" t="s">
        <v>1083</v>
      </c>
      <c r="O134" s="11">
        <v>133</v>
      </c>
      <c r="P134" s="11" t="s">
        <v>93</v>
      </c>
      <c r="Q134" s="11" t="s">
        <v>440</v>
      </c>
      <c r="R134" s="11" t="s">
        <v>90</v>
      </c>
      <c r="S134" s="11" t="s">
        <v>91</v>
      </c>
      <c r="T134" s="11" t="s">
        <v>436</v>
      </c>
      <c r="U134" s="11" t="s">
        <v>92</v>
      </c>
      <c r="V134" s="11" t="s">
        <v>443</v>
      </c>
      <c r="W134" s="11" t="s">
        <v>442</v>
      </c>
    </row>
    <row r="135" spans="1:23">
      <c r="A135" s="11" t="s">
        <v>1082</v>
      </c>
      <c r="B135" s="11">
        <f ca="1">+IF(A135=WORLDCUP!$BI$112,1,0)</f>
        <v>0</v>
      </c>
      <c r="C135" s="11" t="str">
        <f ca="1">+WORLDCUP!BD62</f>
        <v>Ecuador</v>
      </c>
      <c r="D135" s="11" t="str">
        <f ca="1">+WORLDCUP!BD67</f>
        <v>Jordania</v>
      </c>
      <c r="E135" s="11" t="str">
        <f ca="1">+WORLDCUP!BD59</f>
        <v>Bosnia y Herzegovina</v>
      </c>
      <c r="F135" s="11" t="str">
        <f ca="1">+WORLDCUP!BD60</f>
        <v>Escocia</v>
      </c>
      <c r="G135" s="11" t="str">
        <f ca="1">+WORLDCUP!BD65</f>
        <v>España</v>
      </c>
      <c r="H135" s="11" t="str">
        <f ca="1">+WORLDCUP!BD61</f>
        <v>Paraguay</v>
      </c>
      <c r="I135" s="11" t="str">
        <f ca="1">+WORLDCUP!BD69</f>
        <v>Panamá</v>
      </c>
      <c r="J135" s="11" t="str">
        <f ca="1">+WORLDCUP!BD66</f>
        <v>Senegal</v>
      </c>
      <c r="N135" s="11" t="s">
        <v>1082</v>
      </c>
      <c r="O135" s="11">
        <v>134</v>
      </c>
      <c r="P135" s="11" t="s">
        <v>93</v>
      </c>
      <c r="Q135" s="11" t="s">
        <v>441</v>
      </c>
      <c r="R135" s="11" t="s">
        <v>90</v>
      </c>
      <c r="S135" s="11" t="s">
        <v>91</v>
      </c>
      <c r="T135" s="11" t="s">
        <v>436</v>
      </c>
      <c r="U135" s="11" t="s">
        <v>92</v>
      </c>
      <c r="V135" s="11" t="s">
        <v>443</v>
      </c>
      <c r="W135" s="11" t="s">
        <v>440</v>
      </c>
    </row>
    <row r="136" spans="1:23">
      <c r="A136" s="11" t="s">
        <v>1081</v>
      </c>
      <c r="B136" s="11">
        <f ca="1">+IF(A136=WORLDCUP!$BI$112,1,0)</f>
        <v>0</v>
      </c>
      <c r="C136" s="11" t="str">
        <f ca="1">+WORLDCUP!BD62</f>
        <v>Ecuador</v>
      </c>
      <c r="D136" s="11" t="str">
        <f ca="1">+WORLDCUP!BD67</f>
        <v>Jordania</v>
      </c>
      <c r="E136" s="11" t="str">
        <f ca="1">+WORLDCUP!BD59</f>
        <v>Bosnia y Herzegovina</v>
      </c>
      <c r="F136" s="11" t="str">
        <f ca="1">+WORLDCUP!BD60</f>
        <v>Escocia</v>
      </c>
      <c r="G136" s="11" t="str">
        <f ca="1">+WORLDCUP!BD65</f>
        <v>España</v>
      </c>
      <c r="H136" s="11" t="str">
        <f ca="1">+WORLDCUP!BD61</f>
        <v>Paraguay</v>
      </c>
      <c r="I136" s="11" t="str">
        <f ca="1">+WORLDCUP!BD66</f>
        <v>Senegal</v>
      </c>
      <c r="J136" s="11" t="str">
        <f ca="1">+WORLDCUP!BD68</f>
        <v>RD Congo</v>
      </c>
      <c r="N136" s="11" t="s">
        <v>1081</v>
      </c>
      <c r="O136" s="11">
        <v>135</v>
      </c>
      <c r="P136" s="11" t="s">
        <v>93</v>
      </c>
      <c r="Q136" s="11" t="s">
        <v>441</v>
      </c>
      <c r="R136" s="11" t="s">
        <v>90</v>
      </c>
      <c r="S136" s="11" t="s">
        <v>91</v>
      </c>
      <c r="T136" s="11" t="s">
        <v>436</v>
      </c>
      <c r="U136" s="11" t="s">
        <v>92</v>
      </c>
      <c r="V136" s="11" t="s">
        <v>440</v>
      </c>
      <c r="W136" s="11" t="s">
        <v>442</v>
      </c>
    </row>
    <row r="137" spans="1:23">
      <c r="A137" s="11" t="s">
        <v>1080</v>
      </c>
      <c r="B137" s="11">
        <f ca="1">+IF(A137=WORLDCUP!$BI$112,1,0)</f>
        <v>0</v>
      </c>
      <c r="C137" s="11" t="str">
        <f ca="1">+WORLDCUP!BD62</f>
        <v>Ecuador</v>
      </c>
      <c r="D137" s="11" t="str">
        <f ca="1">+WORLDCUP!BD64</f>
        <v>Bélgica</v>
      </c>
      <c r="E137" s="11" t="str">
        <f ca="1">+WORLDCUP!BD59</f>
        <v>Bosnia y Herzegovina</v>
      </c>
      <c r="F137" s="11" t="str">
        <f ca="1">+WORLDCUP!BD60</f>
        <v>Escocia</v>
      </c>
      <c r="G137" s="11" t="str">
        <f ca="1">+WORLDCUP!BD67</f>
        <v>Jordania</v>
      </c>
      <c r="H137" s="11" t="str">
        <f ca="1">+WORLDCUP!BD61</f>
        <v>Paraguay</v>
      </c>
      <c r="I137" s="11" t="str">
        <f ca="1">+WORLDCUP!BD69</f>
        <v>Panamá</v>
      </c>
      <c r="J137" s="11" t="str">
        <f ca="1">+WORLDCUP!BD68</f>
        <v>RD Congo</v>
      </c>
      <c r="N137" s="11" t="s">
        <v>1080</v>
      </c>
      <c r="O137" s="11">
        <v>136</v>
      </c>
      <c r="P137" s="11" t="s">
        <v>93</v>
      </c>
      <c r="Q137" s="11" t="s">
        <v>435</v>
      </c>
      <c r="R137" s="11" t="s">
        <v>90</v>
      </c>
      <c r="S137" s="11" t="s">
        <v>91</v>
      </c>
      <c r="T137" s="11" t="s">
        <v>441</v>
      </c>
      <c r="U137" s="11" t="s">
        <v>92</v>
      </c>
      <c r="V137" s="11" t="s">
        <v>443</v>
      </c>
      <c r="W137" s="11" t="s">
        <v>442</v>
      </c>
    </row>
    <row r="138" spans="1:23">
      <c r="A138" s="11" t="s">
        <v>1079</v>
      </c>
      <c r="B138" s="11">
        <f ca="1">+IF(A138=WORLDCUP!$BI$112,1,0)</f>
        <v>0</v>
      </c>
      <c r="C138" s="11" t="str">
        <f ca="1">+WORLDCUP!BD62</f>
        <v>Ecuador</v>
      </c>
      <c r="D138" s="11" t="str">
        <f ca="1">+WORLDCUP!BD64</f>
        <v>Bélgica</v>
      </c>
      <c r="E138" s="11" t="str">
        <f ca="1">+WORLDCUP!BD59</f>
        <v>Bosnia y Herzegovina</v>
      </c>
      <c r="F138" s="11" t="str">
        <f ca="1">+WORLDCUP!BD60</f>
        <v>Escocia</v>
      </c>
      <c r="G138" s="11" t="str">
        <f ca="1">+WORLDCUP!BD66</f>
        <v>Senegal</v>
      </c>
      <c r="H138" s="11" t="str">
        <f ca="1">+WORLDCUP!BD61</f>
        <v>Paraguay</v>
      </c>
      <c r="I138" s="11" t="str">
        <f ca="1">+WORLDCUP!BD69</f>
        <v>Panamá</v>
      </c>
      <c r="J138" s="11" t="str">
        <f ca="1">+WORLDCUP!BD68</f>
        <v>RD Congo</v>
      </c>
      <c r="N138" s="11" t="s">
        <v>1079</v>
      </c>
      <c r="O138" s="11">
        <v>137</v>
      </c>
      <c r="P138" s="11" t="s">
        <v>93</v>
      </c>
      <c r="Q138" s="11" t="s">
        <v>435</v>
      </c>
      <c r="R138" s="11" t="s">
        <v>90</v>
      </c>
      <c r="S138" s="11" t="s">
        <v>91</v>
      </c>
      <c r="T138" s="11" t="s">
        <v>440</v>
      </c>
      <c r="U138" s="11" t="s">
        <v>92</v>
      </c>
      <c r="V138" s="11" t="s">
        <v>443</v>
      </c>
      <c r="W138" s="11" t="s">
        <v>442</v>
      </c>
    </row>
    <row r="139" spans="1:23">
      <c r="A139" s="11" t="s">
        <v>1078</v>
      </c>
      <c r="B139" s="11">
        <f ca="1">+IF(A139=WORLDCUP!$BI$112,1,0)</f>
        <v>0</v>
      </c>
      <c r="C139" s="11" t="str">
        <f ca="1">+WORLDCUP!BD62</f>
        <v>Ecuador</v>
      </c>
      <c r="D139" s="11" t="str">
        <f ca="1">+WORLDCUP!BD64</f>
        <v>Bélgica</v>
      </c>
      <c r="E139" s="11" t="str">
        <f ca="1">+WORLDCUP!BD59</f>
        <v>Bosnia y Herzegovina</v>
      </c>
      <c r="F139" s="11" t="str">
        <f ca="1">+WORLDCUP!BD60</f>
        <v>Escocia</v>
      </c>
      <c r="G139" s="11" t="str">
        <f ca="1">+WORLDCUP!BD67</f>
        <v>Jordania</v>
      </c>
      <c r="H139" s="11" t="str">
        <f ca="1">+WORLDCUP!BD61</f>
        <v>Paraguay</v>
      </c>
      <c r="I139" s="11" t="str">
        <f ca="1">+WORLDCUP!BD69</f>
        <v>Panamá</v>
      </c>
      <c r="J139" s="11" t="str">
        <f ca="1">+WORLDCUP!BD66</f>
        <v>Senegal</v>
      </c>
      <c r="N139" s="11" t="s">
        <v>1078</v>
      </c>
      <c r="O139" s="11">
        <v>138</v>
      </c>
      <c r="P139" s="11" t="s">
        <v>93</v>
      </c>
      <c r="Q139" s="11" t="s">
        <v>435</v>
      </c>
      <c r="R139" s="11" t="s">
        <v>90</v>
      </c>
      <c r="S139" s="11" t="s">
        <v>91</v>
      </c>
      <c r="T139" s="11" t="s">
        <v>441</v>
      </c>
      <c r="U139" s="11" t="s">
        <v>92</v>
      </c>
      <c r="V139" s="11" t="s">
        <v>443</v>
      </c>
      <c r="W139" s="11" t="s">
        <v>440</v>
      </c>
    </row>
    <row r="140" spans="1:23">
      <c r="A140" s="11" t="s">
        <v>1077</v>
      </c>
      <c r="B140" s="11">
        <f ca="1">+IF(A140=WORLDCUP!$BI$112,1,0)</f>
        <v>0</v>
      </c>
      <c r="C140" s="11" t="str">
        <f ca="1">+WORLDCUP!BD62</f>
        <v>Ecuador</v>
      </c>
      <c r="D140" s="11" t="str">
        <f ca="1">+WORLDCUP!BD64</f>
        <v>Bélgica</v>
      </c>
      <c r="E140" s="11" t="str">
        <f ca="1">+WORLDCUP!BD59</f>
        <v>Bosnia y Herzegovina</v>
      </c>
      <c r="F140" s="11" t="str">
        <f ca="1">+WORLDCUP!BD60</f>
        <v>Escocia</v>
      </c>
      <c r="G140" s="11" t="str">
        <f ca="1">+WORLDCUP!BD67</f>
        <v>Jordania</v>
      </c>
      <c r="H140" s="11" t="str">
        <f ca="1">+WORLDCUP!BD61</f>
        <v>Paraguay</v>
      </c>
      <c r="I140" s="11" t="str">
        <f ca="1">+WORLDCUP!BD66</f>
        <v>Senegal</v>
      </c>
      <c r="J140" s="11" t="str">
        <f ca="1">+WORLDCUP!BD68</f>
        <v>RD Congo</v>
      </c>
      <c r="N140" s="11" t="s">
        <v>1077</v>
      </c>
      <c r="O140" s="11">
        <v>139</v>
      </c>
      <c r="P140" s="11" t="s">
        <v>93</v>
      </c>
      <c r="Q140" s="11" t="s">
        <v>435</v>
      </c>
      <c r="R140" s="11" t="s">
        <v>90</v>
      </c>
      <c r="S140" s="11" t="s">
        <v>91</v>
      </c>
      <c r="T140" s="11" t="s">
        <v>441</v>
      </c>
      <c r="U140" s="11" t="s">
        <v>92</v>
      </c>
      <c r="V140" s="11" t="s">
        <v>440</v>
      </c>
      <c r="W140" s="11" t="s">
        <v>442</v>
      </c>
    </row>
    <row r="141" spans="1:23">
      <c r="A141" s="11" t="s">
        <v>1076</v>
      </c>
      <c r="B141" s="11">
        <f ca="1">+IF(A141=WORLDCUP!$BI$112,1,0)</f>
        <v>0</v>
      </c>
      <c r="C141" s="11" t="str">
        <f ca="1">+WORLDCUP!BD62</f>
        <v>Ecuador</v>
      </c>
      <c r="D141" s="11" t="str">
        <f ca="1">+WORLDCUP!BD64</f>
        <v>Bélgica</v>
      </c>
      <c r="E141" s="11" t="str">
        <f ca="1">+WORLDCUP!BD59</f>
        <v>Bosnia y Herzegovina</v>
      </c>
      <c r="F141" s="11" t="str">
        <f ca="1">+WORLDCUP!BD60</f>
        <v>Escocia</v>
      </c>
      <c r="G141" s="11" t="str">
        <f ca="1">+WORLDCUP!BD65</f>
        <v>España</v>
      </c>
      <c r="H141" s="11" t="str">
        <f ca="1">+WORLDCUP!BD61</f>
        <v>Paraguay</v>
      </c>
      <c r="I141" s="11" t="str">
        <f ca="1">+WORLDCUP!BD69</f>
        <v>Panamá</v>
      </c>
      <c r="J141" s="11" t="str">
        <f ca="1">+WORLDCUP!BD68</f>
        <v>RD Congo</v>
      </c>
      <c r="N141" s="11" t="s">
        <v>1076</v>
      </c>
      <c r="O141" s="11">
        <v>140</v>
      </c>
      <c r="P141" s="11" t="s">
        <v>93</v>
      </c>
      <c r="Q141" s="11" t="s">
        <v>435</v>
      </c>
      <c r="R141" s="11" t="s">
        <v>90</v>
      </c>
      <c r="S141" s="11" t="s">
        <v>91</v>
      </c>
      <c r="T141" s="11" t="s">
        <v>436</v>
      </c>
      <c r="U141" s="11" t="s">
        <v>92</v>
      </c>
      <c r="V141" s="11" t="s">
        <v>443</v>
      </c>
      <c r="W141" s="11" t="s">
        <v>442</v>
      </c>
    </row>
    <row r="142" spans="1:23">
      <c r="A142" s="11" t="s">
        <v>1075</v>
      </c>
      <c r="B142" s="11">
        <f ca="1">+IF(A142=WORLDCUP!$BI$112,1,0)</f>
        <v>0</v>
      </c>
      <c r="C142" s="11" t="str">
        <f ca="1">+WORLDCUP!BD65</f>
        <v>España</v>
      </c>
      <c r="D142" s="11" t="str">
        <f ca="1">+WORLDCUP!BD64</f>
        <v>Bélgica</v>
      </c>
      <c r="E142" s="11" t="str">
        <f ca="1">+WORLDCUP!BD59</f>
        <v>Bosnia y Herzegovina</v>
      </c>
      <c r="F142" s="11" t="str">
        <f ca="1">+WORLDCUP!BD60</f>
        <v>Escocia</v>
      </c>
      <c r="G142" s="11" t="str">
        <f ca="1">+WORLDCUP!BD67</f>
        <v>Jordania</v>
      </c>
      <c r="H142" s="11" t="str">
        <f ca="1">+WORLDCUP!BD61</f>
        <v>Paraguay</v>
      </c>
      <c r="I142" s="11" t="str">
        <f ca="1">+WORLDCUP!BD69</f>
        <v>Panamá</v>
      </c>
      <c r="J142" s="11" t="str">
        <f ca="1">+WORLDCUP!BD62</f>
        <v>Ecuador</v>
      </c>
      <c r="N142" s="11" t="s">
        <v>1075</v>
      </c>
      <c r="O142" s="11">
        <v>141</v>
      </c>
      <c r="P142" s="11" t="s">
        <v>436</v>
      </c>
      <c r="Q142" s="11" t="s">
        <v>435</v>
      </c>
      <c r="R142" s="11" t="s">
        <v>90</v>
      </c>
      <c r="S142" s="11" t="s">
        <v>91</v>
      </c>
      <c r="T142" s="11" t="s">
        <v>441</v>
      </c>
      <c r="U142" s="11" t="s">
        <v>92</v>
      </c>
      <c r="V142" s="11" t="s">
        <v>443</v>
      </c>
      <c r="W142" s="11" t="s">
        <v>93</v>
      </c>
    </row>
    <row r="143" spans="1:23">
      <c r="A143" s="11" t="s">
        <v>1074</v>
      </c>
      <c r="B143" s="11">
        <f ca="1">+IF(A143=WORLDCUP!$BI$112,1,0)</f>
        <v>0</v>
      </c>
      <c r="C143" s="11" t="str">
        <f ca="1">+WORLDCUP!BD65</f>
        <v>España</v>
      </c>
      <c r="D143" s="11" t="str">
        <f ca="1">+WORLDCUP!BD64</f>
        <v>Bélgica</v>
      </c>
      <c r="E143" s="11" t="str">
        <f ca="1">+WORLDCUP!BD59</f>
        <v>Bosnia y Herzegovina</v>
      </c>
      <c r="F143" s="11" t="str">
        <f ca="1">+WORLDCUP!BD60</f>
        <v>Escocia</v>
      </c>
      <c r="G143" s="11" t="str">
        <f ca="1">+WORLDCUP!BD67</f>
        <v>Jordania</v>
      </c>
      <c r="H143" s="11" t="str">
        <f ca="1">+WORLDCUP!BD61</f>
        <v>Paraguay</v>
      </c>
      <c r="I143" s="11" t="str">
        <f ca="1">+WORLDCUP!BD62</f>
        <v>Ecuador</v>
      </c>
      <c r="J143" s="11" t="str">
        <f ca="1">+WORLDCUP!BD68</f>
        <v>RD Congo</v>
      </c>
      <c r="N143" s="11" t="s">
        <v>1074</v>
      </c>
      <c r="O143" s="11">
        <v>142</v>
      </c>
      <c r="P143" s="11" t="s">
        <v>436</v>
      </c>
      <c r="Q143" s="11" t="s">
        <v>435</v>
      </c>
      <c r="R143" s="11" t="s">
        <v>90</v>
      </c>
      <c r="S143" s="11" t="s">
        <v>91</v>
      </c>
      <c r="T143" s="11" t="s">
        <v>441</v>
      </c>
      <c r="U143" s="11" t="s">
        <v>92</v>
      </c>
      <c r="V143" s="11" t="s">
        <v>93</v>
      </c>
      <c r="W143" s="11" t="s">
        <v>442</v>
      </c>
    </row>
    <row r="144" spans="1:23">
      <c r="A144" s="11" t="s">
        <v>1073</v>
      </c>
      <c r="B144" s="11">
        <f ca="1">+IF(A144=WORLDCUP!$BI$112,1,0)</f>
        <v>0</v>
      </c>
      <c r="C144" s="11" t="str">
        <f ca="1">+WORLDCUP!BD62</f>
        <v>Ecuador</v>
      </c>
      <c r="D144" s="11" t="str">
        <f ca="1">+WORLDCUP!BD64</f>
        <v>Bélgica</v>
      </c>
      <c r="E144" s="11" t="str">
        <f ca="1">+WORLDCUP!BD59</f>
        <v>Bosnia y Herzegovina</v>
      </c>
      <c r="F144" s="11" t="str">
        <f ca="1">+WORLDCUP!BD60</f>
        <v>Escocia</v>
      </c>
      <c r="G144" s="11" t="str">
        <f ca="1">+WORLDCUP!BD65</f>
        <v>España</v>
      </c>
      <c r="H144" s="11" t="str">
        <f ca="1">+WORLDCUP!BD61</f>
        <v>Paraguay</v>
      </c>
      <c r="I144" s="11" t="str">
        <f ca="1">+WORLDCUP!BD69</f>
        <v>Panamá</v>
      </c>
      <c r="J144" s="11" t="str">
        <f ca="1">+WORLDCUP!BD66</f>
        <v>Senegal</v>
      </c>
      <c r="N144" s="11" t="s">
        <v>1073</v>
      </c>
      <c r="O144" s="11">
        <v>143</v>
      </c>
      <c r="P144" s="11" t="s">
        <v>93</v>
      </c>
      <c r="Q144" s="11" t="s">
        <v>435</v>
      </c>
      <c r="R144" s="11" t="s">
        <v>90</v>
      </c>
      <c r="S144" s="11" t="s">
        <v>91</v>
      </c>
      <c r="T144" s="11" t="s">
        <v>436</v>
      </c>
      <c r="U144" s="11" t="s">
        <v>92</v>
      </c>
      <c r="V144" s="11" t="s">
        <v>443</v>
      </c>
      <c r="W144" s="11" t="s">
        <v>440</v>
      </c>
    </row>
    <row r="145" spans="1:23">
      <c r="A145" s="11" t="s">
        <v>1072</v>
      </c>
      <c r="B145" s="11">
        <f ca="1">+IF(A145=WORLDCUP!$BI$112,1,0)</f>
        <v>0</v>
      </c>
      <c r="C145" s="11" t="str">
        <f ca="1">+WORLDCUP!BD62</f>
        <v>Ecuador</v>
      </c>
      <c r="D145" s="11" t="str">
        <f ca="1">+WORLDCUP!BD64</f>
        <v>Bélgica</v>
      </c>
      <c r="E145" s="11" t="str">
        <f ca="1">+WORLDCUP!BD59</f>
        <v>Bosnia y Herzegovina</v>
      </c>
      <c r="F145" s="11" t="str">
        <f ca="1">+WORLDCUP!BD60</f>
        <v>Escocia</v>
      </c>
      <c r="G145" s="11" t="str">
        <f ca="1">+WORLDCUP!BD65</f>
        <v>España</v>
      </c>
      <c r="H145" s="11" t="str">
        <f ca="1">+WORLDCUP!BD61</f>
        <v>Paraguay</v>
      </c>
      <c r="I145" s="11" t="str">
        <f ca="1">+WORLDCUP!BD66</f>
        <v>Senegal</v>
      </c>
      <c r="J145" s="11" t="str">
        <f ca="1">+WORLDCUP!BD68</f>
        <v>RD Congo</v>
      </c>
      <c r="N145" s="11" t="s">
        <v>1072</v>
      </c>
      <c r="O145" s="11">
        <v>144</v>
      </c>
      <c r="P145" s="11" t="s">
        <v>93</v>
      </c>
      <c r="Q145" s="11" t="s">
        <v>435</v>
      </c>
      <c r="R145" s="11" t="s">
        <v>90</v>
      </c>
      <c r="S145" s="11" t="s">
        <v>91</v>
      </c>
      <c r="T145" s="11" t="s">
        <v>436</v>
      </c>
      <c r="U145" s="11" t="s">
        <v>92</v>
      </c>
      <c r="V145" s="11" t="s">
        <v>440</v>
      </c>
      <c r="W145" s="11" t="s">
        <v>442</v>
      </c>
    </row>
    <row r="146" spans="1:23">
      <c r="A146" s="11" t="s">
        <v>1071</v>
      </c>
      <c r="B146" s="11">
        <f ca="1">+IF(A146=WORLDCUP!$BI$112,1,0)</f>
        <v>0</v>
      </c>
      <c r="C146" s="11" t="str">
        <f ca="1">+WORLDCUP!BD65</f>
        <v>España</v>
      </c>
      <c r="D146" s="11" t="str">
        <f ca="1">+WORLDCUP!BD64</f>
        <v>Bélgica</v>
      </c>
      <c r="E146" s="11" t="str">
        <f ca="1">+WORLDCUP!BD59</f>
        <v>Bosnia y Herzegovina</v>
      </c>
      <c r="F146" s="11" t="str">
        <f ca="1">+WORLDCUP!BD60</f>
        <v>Escocia</v>
      </c>
      <c r="G146" s="11" t="str">
        <f ca="1">+WORLDCUP!BD67</f>
        <v>Jordania</v>
      </c>
      <c r="H146" s="11" t="str">
        <f ca="1">+WORLDCUP!BD61</f>
        <v>Paraguay</v>
      </c>
      <c r="I146" s="11" t="str">
        <f ca="1">+WORLDCUP!BD62</f>
        <v>Ecuador</v>
      </c>
      <c r="J146" s="11" t="str">
        <f ca="1">+WORLDCUP!BD66</f>
        <v>Senegal</v>
      </c>
      <c r="N146" s="11" t="s">
        <v>1071</v>
      </c>
      <c r="O146" s="11">
        <v>145</v>
      </c>
      <c r="P146" s="11" t="s">
        <v>436</v>
      </c>
      <c r="Q146" s="11" t="s">
        <v>435</v>
      </c>
      <c r="R146" s="11" t="s">
        <v>90</v>
      </c>
      <c r="S146" s="11" t="s">
        <v>91</v>
      </c>
      <c r="T146" s="11" t="s">
        <v>441</v>
      </c>
      <c r="U146" s="11" t="s">
        <v>92</v>
      </c>
      <c r="V146" s="11" t="s">
        <v>93</v>
      </c>
      <c r="W146" s="11" t="s">
        <v>440</v>
      </c>
    </row>
    <row r="147" spans="1:23">
      <c r="A147" s="11" t="s">
        <v>1070</v>
      </c>
      <c r="B147" s="11">
        <f ca="1">+IF(A147=WORLDCUP!$BI$112,1,0)</f>
        <v>0</v>
      </c>
      <c r="C147" s="11" t="str">
        <f ca="1">+WORLDCUP!BD60</f>
        <v>Escocia</v>
      </c>
      <c r="D147" s="11" t="str">
        <f ca="1">+WORLDCUP!BD67</f>
        <v>Jordania</v>
      </c>
      <c r="E147" s="11" t="str">
        <f ca="1">+WORLDCUP!BD59</f>
        <v>Bosnia y Herzegovina</v>
      </c>
      <c r="F147" s="11" t="str">
        <f ca="1">+WORLDCUP!BD61</f>
        <v>Paraguay</v>
      </c>
      <c r="G147" s="11" t="str">
        <f ca="1">+WORLDCUP!BD62</f>
        <v>Ecuador</v>
      </c>
      <c r="H147" s="11" t="str">
        <f ca="1">+WORLDCUP!BD63</f>
        <v>Japón</v>
      </c>
      <c r="I147" s="11" t="str">
        <f ca="1">+WORLDCUP!BD69</f>
        <v>Panamá</v>
      </c>
      <c r="J147" s="11" t="str">
        <f ca="1">+WORLDCUP!BD68</f>
        <v>RD Congo</v>
      </c>
      <c r="N147" s="11" t="s">
        <v>1070</v>
      </c>
      <c r="O147" s="11">
        <v>146</v>
      </c>
      <c r="P147" s="11" t="s">
        <v>91</v>
      </c>
      <c r="Q147" s="11" t="s">
        <v>441</v>
      </c>
      <c r="R147" s="11" t="s">
        <v>90</v>
      </c>
      <c r="S147" s="11" t="s">
        <v>92</v>
      </c>
      <c r="T147" s="11" t="s">
        <v>93</v>
      </c>
      <c r="U147" s="11" t="s">
        <v>94</v>
      </c>
      <c r="V147" s="11" t="s">
        <v>443</v>
      </c>
      <c r="W147" s="11" t="s">
        <v>442</v>
      </c>
    </row>
    <row r="148" spans="1:23">
      <c r="A148" s="11" t="s">
        <v>1069</v>
      </c>
      <c r="B148" s="11">
        <f ca="1">+IF(A148=WORLDCUP!$BI$112,1,0)</f>
        <v>0</v>
      </c>
      <c r="C148" s="11" t="str">
        <f ca="1">+WORLDCUP!BD60</f>
        <v>Escocia</v>
      </c>
      <c r="D148" s="11" t="str">
        <f ca="1">+WORLDCUP!BD62</f>
        <v>Ecuador</v>
      </c>
      <c r="E148" s="11" t="str">
        <f ca="1">+WORLDCUP!BD59</f>
        <v>Bosnia y Herzegovina</v>
      </c>
      <c r="F148" s="11" t="str">
        <f ca="1">+WORLDCUP!BD61</f>
        <v>Paraguay</v>
      </c>
      <c r="G148" s="11" t="str">
        <f ca="1">+WORLDCUP!BD66</f>
        <v>Senegal</v>
      </c>
      <c r="H148" s="11" t="str">
        <f ca="1">+WORLDCUP!BD63</f>
        <v>Japón</v>
      </c>
      <c r="I148" s="11" t="str">
        <f ca="1">+WORLDCUP!BD69</f>
        <v>Panamá</v>
      </c>
      <c r="J148" s="11" t="str">
        <f ca="1">+WORLDCUP!BD68</f>
        <v>RD Congo</v>
      </c>
      <c r="N148" s="11" t="s">
        <v>1069</v>
      </c>
      <c r="O148" s="11">
        <v>147</v>
      </c>
      <c r="P148" s="11" t="s">
        <v>91</v>
      </c>
      <c r="Q148" s="11" t="s">
        <v>93</v>
      </c>
      <c r="R148" s="11" t="s">
        <v>90</v>
      </c>
      <c r="S148" s="11" t="s">
        <v>92</v>
      </c>
      <c r="T148" s="11" t="s">
        <v>440</v>
      </c>
      <c r="U148" s="11" t="s">
        <v>94</v>
      </c>
      <c r="V148" s="11" t="s">
        <v>443</v>
      </c>
      <c r="W148" s="11" t="s">
        <v>442</v>
      </c>
    </row>
    <row r="149" spans="1:23">
      <c r="A149" s="11" t="s">
        <v>1068</v>
      </c>
      <c r="B149" s="11">
        <f ca="1">+IF(A149=WORLDCUP!$BI$112,1,0)</f>
        <v>0</v>
      </c>
      <c r="C149" s="11" t="str">
        <f ca="1">+WORLDCUP!BD60</f>
        <v>Escocia</v>
      </c>
      <c r="D149" s="11" t="str">
        <f ca="1">+WORLDCUP!BD67</f>
        <v>Jordania</v>
      </c>
      <c r="E149" s="11" t="str">
        <f ca="1">+WORLDCUP!BD59</f>
        <v>Bosnia y Herzegovina</v>
      </c>
      <c r="F149" s="11" t="str">
        <f ca="1">+WORLDCUP!BD61</f>
        <v>Paraguay</v>
      </c>
      <c r="G149" s="11" t="str">
        <f ca="1">+WORLDCUP!BD62</f>
        <v>Ecuador</v>
      </c>
      <c r="H149" s="11" t="str">
        <f ca="1">+WORLDCUP!BD63</f>
        <v>Japón</v>
      </c>
      <c r="I149" s="11" t="str">
        <f ca="1">+WORLDCUP!BD69</f>
        <v>Panamá</v>
      </c>
      <c r="J149" s="11" t="str">
        <f ca="1">+WORLDCUP!BD66</f>
        <v>Senegal</v>
      </c>
      <c r="N149" s="11" t="s">
        <v>1068</v>
      </c>
      <c r="O149" s="11">
        <v>148</v>
      </c>
      <c r="P149" s="11" t="s">
        <v>91</v>
      </c>
      <c r="Q149" s="11" t="s">
        <v>441</v>
      </c>
      <c r="R149" s="11" t="s">
        <v>90</v>
      </c>
      <c r="S149" s="11" t="s">
        <v>92</v>
      </c>
      <c r="T149" s="11" t="s">
        <v>93</v>
      </c>
      <c r="U149" s="11" t="s">
        <v>94</v>
      </c>
      <c r="V149" s="11" t="s">
        <v>443</v>
      </c>
      <c r="W149" s="11" t="s">
        <v>440</v>
      </c>
    </row>
    <row r="150" spans="1:23">
      <c r="A150" s="11" t="s">
        <v>1067</v>
      </c>
      <c r="B150" s="11">
        <f ca="1">+IF(A150=WORLDCUP!$BI$112,1,0)</f>
        <v>0</v>
      </c>
      <c r="C150" s="11" t="str">
        <f ca="1">+WORLDCUP!BD60</f>
        <v>Escocia</v>
      </c>
      <c r="D150" s="11" t="str">
        <f ca="1">+WORLDCUP!BD67</f>
        <v>Jordania</v>
      </c>
      <c r="E150" s="11" t="str">
        <f ca="1">+WORLDCUP!BD59</f>
        <v>Bosnia y Herzegovina</v>
      </c>
      <c r="F150" s="11" t="str">
        <f ca="1">+WORLDCUP!BD61</f>
        <v>Paraguay</v>
      </c>
      <c r="G150" s="11" t="str">
        <f ca="1">+WORLDCUP!BD62</f>
        <v>Ecuador</v>
      </c>
      <c r="H150" s="11" t="str">
        <f ca="1">+WORLDCUP!BD63</f>
        <v>Japón</v>
      </c>
      <c r="I150" s="11" t="str">
        <f ca="1">+WORLDCUP!BD66</f>
        <v>Senegal</v>
      </c>
      <c r="J150" s="11" t="str">
        <f ca="1">+WORLDCUP!BD68</f>
        <v>RD Congo</v>
      </c>
      <c r="N150" s="11" t="s">
        <v>1067</v>
      </c>
      <c r="O150" s="11">
        <v>149</v>
      </c>
      <c r="P150" s="11" t="s">
        <v>91</v>
      </c>
      <c r="Q150" s="11" t="s">
        <v>441</v>
      </c>
      <c r="R150" s="11" t="s">
        <v>90</v>
      </c>
      <c r="S150" s="11" t="s">
        <v>92</v>
      </c>
      <c r="T150" s="11" t="s">
        <v>93</v>
      </c>
      <c r="U150" s="11" t="s">
        <v>94</v>
      </c>
      <c r="V150" s="11" t="s">
        <v>440</v>
      </c>
      <c r="W150" s="11" t="s">
        <v>442</v>
      </c>
    </row>
    <row r="151" spans="1:23">
      <c r="A151" s="11" t="s">
        <v>1066</v>
      </c>
      <c r="B151" s="11">
        <f ca="1">+IF(A151=WORLDCUP!$BI$112,1,0)</f>
        <v>0</v>
      </c>
      <c r="C151" s="11" t="str">
        <f ca="1">+WORLDCUP!BD60</f>
        <v>Escocia</v>
      </c>
      <c r="D151" s="11" t="str">
        <f ca="1">+WORLDCUP!BD62</f>
        <v>Ecuador</v>
      </c>
      <c r="E151" s="11" t="str">
        <f ca="1">+WORLDCUP!BD59</f>
        <v>Bosnia y Herzegovina</v>
      </c>
      <c r="F151" s="11" t="str">
        <f ca="1">+WORLDCUP!BD61</f>
        <v>Paraguay</v>
      </c>
      <c r="G151" s="11" t="str">
        <f ca="1">+WORLDCUP!BD65</f>
        <v>España</v>
      </c>
      <c r="H151" s="11" t="str">
        <f ca="1">+WORLDCUP!BD63</f>
        <v>Japón</v>
      </c>
      <c r="I151" s="11" t="str">
        <f ca="1">+WORLDCUP!BD69</f>
        <v>Panamá</v>
      </c>
      <c r="J151" s="11" t="str">
        <f ca="1">+WORLDCUP!BD68</f>
        <v>RD Congo</v>
      </c>
      <c r="N151" s="11" t="s">
        <v>1066</v>
      </c>
      <c r="O151" s="11">
        <v>150</v>
      </c>
      <c r="P151" s="11" t="s">
        <v>91</v>
      </c>
      <c r="Q151" s="11" t="s">
        <v>93</v>
      </c>
      <c r="R151" s="11" t="s">
        <v>90</v>
      </c>
      <c r="S151" s="11" t="s">
        <v>92</v>
      </c>
      <c r="T151" s="11" t="s">
        <v>436</v>
      </c>
      <c r="U151" s="11" t="s">
        <v>94</v>
      </c>
      <c r="V151" s="11" t="s">
        <v>443</v>
      </c>
      <c r="W151" s="11" t="s">
        <v>442</v>
      </c>
    </row>
    <row r="152" spans="1:23">
      <c r="A152" s="11" t="s">
        <v>1065</v>
      </c>
      <c r="B152" s="11">
        <f ca="1">+IF(A152=WORLDCUP!$BI$112,1,0)</f>
        <v>0</v>
      </c>
      <c r="C152" s="11" t="str">
        <f ca="1">+WORLDCUP!BD60</f>
        <v>Escocia</v>
      </c>
      <c r="D152" s="11" t="str">
        <f ca="1">+WORLDCUP!BD67</f>
        <v>Jordania</v>
      </c>
      <c r="E152" s="11" t="str">
        <f ca="1">+WORLDCUP!BD59</f>
        <v>Bosnia y Herzegovina</v>
      </c>
      <c r="F152" s="11" t="str">
        <f ca="1">+WORLDCUP!BD61</f>
        <v>Paraguay</v>
      </c>
      <c r="G152" s="11" t="str">
        <f ca="1">+WORLDCUP!BD65</f>
        <v>España</v>
      </c>
      <c r="H152" s="11" t="str">
        <f ca="1">+WORLDCUP!BD63</f>
        <v>Japón</v>
      </c>
      <c r="I152" s="11" t="str">
        <f ca="1">+WORLDCUP!BD69</f>
        <v>Panamá</v>
      </c>
      <c r="J152" s="11" t="str">
        <f ca="1">+WORLDCUP!BD62</f>
        <v>Ecuador</v>
      </c>
      <c r="N152" s="11" t="s">
        <v>1065</v>
      </c>
      <c r="O152" s="11">
        <v>151</v>
      </c>
      <c r="P152" s="11" t="s">
        <v>91</v>
      </c>
      <c r="Q152" s="11" t="s">
        <v>441</v>
      </c>
      <c r="R152" s="11" t="s">
        <v>90</v>
      </c>
      <c r="S152" s="11" t="s">
        <v>92</v>
      </c>
      <c r="T152" s="11" t="s">
        <v>436</v>
      </c>
      <c r="U152" s="11" t="s">
        <v>94</v>
      </c>
      <c r="V152" s="11" t="s">
        <v>443</v>
      </c>
      <c r="W152" s="11" t="s">
        <v>93</v>
      </c>
    </row>
    <row r="153" spans="1:23">
      <c r="A153" s="11" t="s">
        <v>1064</v>
      </c>
      <c r="B153" s="11">
        <f ca="1">+IF(A153=WORLDCUP!$BI$112,1,0)</f>
        <v>0</v>
      </c>
      <c r="C153" s="11" t="str">
        <f ca="1">+WORLDCUP!BD60</f>
        <v>Escocia</v>
      </c>
      <c r="D153" s="11" t="str">
        <f ca="1">+WORLDCUP!BD67</f>
        <v>Jordania</v>
      </c>
      <c r="E153" s="11" t="str">
        <f ca="1">+WORLDCUP!BD59</f>
        <v>Bosnia y Herzegovina</v>
      </c>
      <c r="F153" s="11" t="str">
        <f ca="1">+WORLDCUP!BD61</f>
        <v>Paraguay</v>
      </c>
      <c r="G153" s="11" t="str">
        <f ca="1">+WORLDCUP!BD65</f>
        <v>España</v>
      </c>
      <c r="H153" s="11" t="str">
        <f ca="1">+WORLDCUP!BD63</f>
        <v>Japón</v>
      </c>
      <c r="I153" s="11" t="str">
        <f ca="1">+WORLDCUP!BD62</f>
        <v>Ecuador</v>
      </c>
      <c r="J153" s="11" t="str">
        <f ca="1">+WORLDCUP!BD68</f>
        <v>RD Congo</v>
      </c>
      <c r="N153" s="11" t="s">
        <v>1064</v>
      </c>
      <c r="O153" s="11">
        <v>152</v>
      </c>
      <c r="P153" s="11" t="s">
        <v>91</v>
      </c>
      <c r="Q153" s="11" t="s">
        <v>441</v>
      </c>
      <c r="R153" s="11" t="s">
        <v>90</v>
      </c>
      <c r="S153" s="11" t="s">
        <v>92</v>
      </c>
      <c r="T153" s="11" t="s">
        <v>436</v>
      </c>
      <c r="U153" s="11" t="s">
        <v>94</v>
      </c>
      <c r="V153" s="11" t="s">
        <v>93</v>
      </c>
      <c r="W153" s="11" t="s">
        <v>442</v>
      </c>
    </row>
    <row r="154" spans="1:23">
      <c r="A154" s="11" t="s">
        <v>1063</v>
      </c>
      <c r="B154" s="11">
        <f ca="1">+IF(A154=WORLDCUP!$BI$112,1,0)</f>
        <v>0</v>
      </c>
      <c r="C154" s="11" t="str">
        <f ca="1">+WORLDCUP!BD60</f>
        <v>Escocia</v>
      </c>
      <c r="D154" s="11" t="str">
        <f ca="1">+WORLDCUP!BD62</f>
        <v>Ecuador</v>
      </c>
      <c r="E154" s="11" t="str">
        <f ca="1">+WORLDCUP!BD59</f>
        <v>Bosnia y Herzegovina</v>
      </c>
      <c r="F154" s="11" t="str">
        <f ca="1">+WORLDCUP!BD61</f>
        <v>Paraguay</v>
      </c>
      <c r="G154" s="11" t="str">
        <f ca="1">+WORLDCUP!BD65</f>
        <v>España</v>
      </c>
      <c r="H154" s="11" t="str">
        <f ca="1">+WORLDCUP!BD63</f>
        <v>Japón</v>
      </c>
      <c r="I154" s="11" t="str">
        <f ca="1">+WORLDCUP!BD69</f>
        <v>Panamá</v>
      </c>
      <c r="J154" s="11" t="str">
        <f ca="1">+WORLDCUP!BD66</f>
        <v>Senegal</v>
      </c>
      <c r="N154" s="11" t="s">
        <v>1063</v>
      </c>
      <c r="O154" s="11">
        <v>153</v>
      </c>
      <c r="P154" s="11" t="s">
        <v>91</v>
      </c>
      <c r="Q154" s="11" t="s">
        <v>93</v>
      </c>
      <c r="R154" s="11" t="s">
        <v>90</v>
      </c>
      <c r="S154" s="11" t="s">
        <v>92</v>
      </c>
      <c r="T154" s="11" t="s">
        <v>436</v>
      </c>
      <c r="U154" s="11" t="s">
        <v>94</v>
      </c>
      <c r="V154" s="11" t="s">
        <v>443</v>
      </c>
      <c r="W154" s="11" t="s">
        <v>440</v>
      </c>
    </row>
    <row r="155" spans="1:23">
      <c r="A155" s="11" t="s">
        <v>1062</v>
      </c>
      <c r="B155" s="11">
        <f ca="1">+IF(A155=WORLDCUP!$BI$112,1,0)</f>
        <v>0</v>
      </c>
      <c r="C155" s="11" t="str">
        <f ca="1">+WORLDCUP!BD60</f>
        <v>Escocia</v>
      </c>
      <c r="D155" s="11" t="str">
        <f ca="1">+WORLDCUP!BD62</f>
        <v>Ecuador</v>
      </c>
      <c r="E155" s="11" t="str">
        <f ca="1">+WORLDCUP!BD59</f>
        <v>Bosnia y Herzegovina</v>
      </c>
      <c r="F155" s="11" t="str">
        <f ca="1">+WORLDCUP!BD61</f>
        <v>Paraguay</v>
      </c>
      <c r="G155" s="11" t="str">
        <f ca="1">+WORLDCUP!BD65</f>
        <v>España</v>
      </c>
      <c r="H155" s="11" t="str">
        <f ca="1">+WORLDCUP!BD63</f>
        <v>Japón</v>
      </c>
      <c r="I155" s="11" t="str">
        <f ca="1">+WORLDCUP!BD66</f>
        <v>Senegal</v>
      </c>
      <c r="J155" s="11" t="str">
        <f ca="1">+WORLDCUP!BD68</f>
        <v>RD Congo</v>
      </c>
      <c r="N155" s="11" t="s">
        <v>1062</v>
      </c>
      <c r="O155" s="11">
        <v>154</v>
      </c>
      <c r="P155" s="11" t="s">
        <v>91</v>
      </c>
      <c r="Q155" s="11" t="s">
        <v>93</v>
      </c>
      <c r="R155" s="11" t="s">
        <v>90</v>
      </c>
      <c r="S155" s="11" t="s">
        <v>92</v>
      </c>
      <c r="T155" s="11" t="s">
        <v>436</v>
      </c>
      <c r="U155" s="11" t="s">
        <v>94</v>
      </c>
      <c r="V155" s="11" t="s">
        <v>440</v>
      </c>
      <c r="W155" s="11" t="s">
        <v>442</v>
      </c>
    </row>
    <row r="156" spans="1:23">
      <c r="A156" s="11" t="s">
        <v>1061</v>
      </c>
      <c r="B156" s="11">
        <f ca="1">+IF(A156=WORLDCUP!$BI$112,1,0)</f>
        <v>0</v>
      </c>
      <c r="C156" s="11" t="str">
        <f ca="1">+WORLDCUP!BD60</f>
        <v>Escocia</v>
      </c>
      <c r="D156" s="11" t="str">
        <f ca="1">+WORLDCUP!BD67</f>
        <v>Jordania</v>
      </c>
      <c r="E156" s="11" t="str">
        <f ca="1">+WORLDCUP!BD59</f>
        <v>Bosnia y Herzegovina</v>
      </c>
      <c r="F156" s="11" t="str">
        <f ca="1">+WORLDCUP!BD61</f>
        <v>Paraguay</v>
      </c>
      <c r="G156" s="11" t="str">
        <f ca="1">+WORLDCUP!BD65</f>
        <v>España</v>
      </c>
      <c r="H156" s="11" t="str">
        <f ca="1">+WORLDCUP!BD63</f>
        <v>Japón</v>
      </c>
      <c r="I156" s="11" t="str">
        <f ca="1">+WORLDCUP!BD62</f>
        <v>Ecuador</v>
      </c>
      <c r="J156" s="11" t="str">
        <f ca="1">+WORLDCUP!BD66</f>
        <v>Senegal</v>
      </c>
      <c r="N156" s="11" t="s">
        <v>1061</v>
      </c>
      <c r="O156" s="11">
        <v>155</v>
      </c>
      <c r="P156" s="11" t="s">
        <v>91</v>
      </c>
      <c r="Q156" s="11" t="s">
        <v>441</v>
      </c>
      <c r="R156" s="11" t="s">
        <v>90</v>
      </c>
      <c r="S156" s="11" t="s">
        <v>92</v>
      </c>
      <c r="T156" s="11" t="s">
        <v>436</v>
      </c>
      <c r="U156" s="11" t="s">
        <v>94</v>
      </c>
      <c r="V156" s="11" t="s">
        <v>93</v>
      </c>
      <c r="W156" s="11" t="s">
        <v>440</v>
      </c>
    </row>
    <row r="157" spans="1:23">
      <c r="A157" s="11" t="s">
        <v>475</v>
      </c>
      <c r="B157" s="11">
        <f ca="1">+IF(A157=WORLDCUP!$BI$112,1,0)</f>
        <v>0</v>
      </c>
      <c r="C157" s="11" t="str">
        <f ca="1">+WORLDCUP!BD60</f>
        <v>Escocia</v>
      </c>
      <c r="D157" s="11" t="str">
        <f ca="1">+WORLDCUP!BD64</f>
        <v>Bélgica</v>
      </c>
      <c r="E157" s="11" t="str">
        <f ca="1">+WORLDCUP!BD59</f>
        <v>Bosnia y Herzegovina</v>
      </c>
      <c r="F157" s="11" t="str">
        <f ca="1">+WORLDCUP!BD61</f>
        <v>Paraguay</v>
      </c>
      <c r="G157" s="11" t="str">
        <f ca="1">+WORLDCUP!BD62</f>
        <v>Ecuador</v>
      </c>
      <c r="H157" s="11" t="str">
        <f ca="1">+WORLDCUP!BD63</f>
        <v>Japón</v>
      </c>
      <c r="I157" s="11" t="str">
        <f ca="1">+WORLDCUP!BD69</f>
        <v>Panamá</v>
      </c>
      <c r="J157" s="11" t="str">
        <f ca="1">+WORLDCUP!BD68</f>
        <v>RD Congo</v>
      </c>
      <c r="N157" s="11" t="s">
        <v>475</v>
      </c>
      <c r="O157" s="11">
        <v>156</v>
      </c>
      <c r="P157" s="11" t="s">
        <v>91</v>
      </c>
      <c r="Q157" s="11" t="s">
        <v>435</v>
      </c>
      <c r="R157" s="11" t="s">
        <v>90</v>
      </c>
      <c r="S157" s="11" t="s">
        <v>92</v>
      </c>
      <c r="T157" s="11" t="s">
        <v>93</v>
      </c>
      <c r="U157" s="11" t="s">
        <v>94</v>
      </c>
      <c r="V157" s="11" t="s">
        <v>443</v>
      </c>
      <c r="W157" s="11" t="s">
        <v>442</v>
      </c>
    </row>
    <row r="158" spans="1:23">
      <c r="A158" s="11" t="s">
        <v>468</v>
      </c>
      <c r="B158" s="11">
        <f ca="1">+IF(A158=WORLDCUP!$BI$112,1,0)</f>
        <v>0</v>
      </c>
      <c r="C158" s="11" t="str">
        <f ca="1">+WORLDCUP!BD60</f>
        <v>Escocia</v>
      </c>
      <c r="D158" s="11" t="str">
        <f ca="1">+WORLDCUP!BD64</f>
        <v>Bélgica</v>
      </c>
      <c r="E158" s="11" t="str">
        <f ca="1">+WORLDCUP!BD59</f>
        <v>Bosnia y Herzegovina</v>
      </c>
      <c r="F158" s="11" t="str">
        <f ca="1">+WORLDCUP!BD61</f>
        <v>Paraguay</v>
      </c>
      <c r="G158" s="11" t="str">
        <f ca="1">+WORLDCUP!BD67</f>
        <v>Jordania</v>
      </c>
      <c r="H158" s="11" t="str">
        <f ca="1">+WORLDCUP!BD63</f>
        <v>Japón</v>
      </c>
      <c r="I158" s="11" t="str">
        <f ca="1">+WORLDCUP!BD69</f>
        <v>Panamá</v>
      </c>
      <c r="J158" s="11" t="str">
        <f ca="1">+WORLDCUP!BD62</f>
        <v>Ecuador</v>
      </c>
      <c r="N158" s="11" t="s">
        <v>468</v>
      </c>
      <c r="O158" s="11">
        <v>157</v>
      </c>
      <c r="P158" s="11" t="s">
        <v>91</v>
      </c>
      <c r="Q158" s="11" t="s">
        <v>435</v>
      </c>
      <c r="R158" s="11" t="s">
        <v>90</v>
      </c>
      <c r="S158" s="11" t="s">
        <v>92</v>
      </c>
      <c r="T158" s="11" t="s">
        <v>441</v>
      </c>
      <c r="U158" s="11" t="s">
        <v>94</v>
      </c>
      <c r="V158" s="11" t="s">
        <v>443</v>
      </c>
      <c r="W158" s="11" t="s">
        <v>93</v>
      </c>
    </row>
    <row r="159" spans="1:23">
      <c r="A159" s="11" t="s">
        <v>467</v>
      </c>
      <c r="B159" s="11">
        <f ca="1">+IF(A159=WORLDCUP!$BI$112,1,0)</f>
        <v>0</v>
      </c>
      <c r="C159" s="11" t="str">
        <f ca="1">+WORLDCUP!BD60</f>
        <v>Escocia</v>
      </c>
      <c r="D159" s="11" t="str">
        <f ca="1">+WORLDCUP!BD64</f>
        <v>Bélgica</v>
      </c>
      <c r="E159" s="11" t="str">
        <f ca="1">+WORLDCUP!BD59</f>
        <v>Bosnia y Herzegovina</v>
      </c>
      <c r="F159" s="11" t="str">
        <f ca="1">+WORLDCUP!BD61</f>
        <v>Paraguay</v>
      </c>
      <c r="G159" s="11" t="str">
        <f ca="1">+WORLDCUP!BD67</f>
        <v>Jordania</v>
      </c>
      <c r="H159" s="11" t="str">
        <f ca="1">+WORLDCUP!BD63</f>
        <v>Japón</v>
      </c>
      <c r="I159" s="11" t="str">
        <f ca="1">+WORLDCUP!BD62</f>
        <v>Ecuador</v>
      </c>
      <c r="J159" s="11" t="str">
        <f ca="1">+WORLDCUP!BD68</f>
        <v>RD Congo</v>
      </c>
      <c r="N159" s="11" t="s">
        <v>467</v>
      </c>
      <c r="O159" s="11">
        <v>158</v>
      </c>
      <c r="P159" s="11" t="s">
        <v>91</v>
      </c>
      <c r="Q159" s="11" t="s">
        <v>435</v>
      </c>
      <c r="R159" s="11" t="s">
        <v>90</v>
      </c>
      <c r="S159" s="11" t="s">
        <v>92</v>
      </c>
      <c r="T159" s="11" t="s">
        <v>441</v>
      </c>
      <c r="U159" s="11" t="s">
        <v>94</v>
      </c>
      <c r="V159" s="11" t="s">
        <v>93</v>
      </c>
      <c r="W159" s="11" t="s">
        <v>442</v>
      </c>
    </row>
    <row r="160" spans="1:23">
      <c r="A160" s="11" t="s">
        <v>466</v>
      </c>
      <c r="B160" s="11">
        <f ca="1">+IF(A160=WORLDCUP!$BI$112,1,0)</f>
        <v>0</v>
      </c>
      <c r="C160" s="11" t="str">
        <f ca="1">+WORLDCUP!BD60</f>
        <v>Escocia</v>
      </c>
      <c r="D160" s="11" t="str">
        <f ca="1">+WORLDCUP!BD64</f>
        <v>Bélgica</v>
      </c>
      <c r="E160" s="11" t="str">
        <f ca="1">+WORLDCUP!BD59</f>
        <v>Bosnia y Herzegovina</v>
      </c>
      <c r="F160" s="11" t="str">
        <f ca="1">+WORLDCUP!BD61</f>
        <v>Paraguay</v>
      </c>
      <c r="G160" s="11" t="str">
        <f ca="1">+WORLDCUP!BD62</f>
        <v>Ecuador</v>
      </c>
      <c r="H160" s="11" t="str">
        <f ca="1">+WORLDCUP!BD63</f>
        <v>Japón</v>
      </c>
      <c r="I160" s="11" t="str">
        <f ca="1">+WORLDCUP!BD69</f>
        <v>Panamá</v>
      </c>
      <c r="J160" s="11" t="str">
        <f ca="1">+WORLDCUP!BD66</f>
        <v>Senegal</v>
      </c>
      <c r="N160" s="11" t="s">
        <v>466</v>
      </c>
      <c r="O160" s="11">
        <v>159</v>
      </c>
      <c r="P160" s="11" t="s">
        <v>91</v>
      </c>
      <c r="Q160" s="11" t="s">
        <v>435</v>
      </c>
      <c r="R160" s="11" t="s">
        <v>90</v>
      </c>
      <c r="S160" s="11" t="s">
        <v>92</v>
      </c>
      <c r="T160" s="11" t="s">
        <v>93</v>
      </c>
      <c r="U160" s="11" t="s">
        <v>94</v>
      </c>
      <c r="V160" s="11" t="s">
        <v>443</v>
      </c>
      <c r="W160" s="11" t="s">
        <v>440</v>
      </c>
    </row>
    <row r="161" spans="1:23">
      <c r="A161" s="11" t="s">
        <v>465</v>
      </c>
      <c r="B161" s="11">
        <f ca="1">+IF(A161=WORLDCUP!$BI$112,1,0)</f>
        <v>0</v>
      </c>
      <c r="C161" s="11" t="str">
        <f ca="1">+WORLDCUP!BD60</f>
        <v>Escocia</v>
      </c>
      <c r="D161" s="11" t="str">
        <f ca="1">+WORLDCUP!BD64</f>
        <v>Bélgica</v>
      </c>
      <c r="E161" s="11" t="str">
        <f ca="1">+WORLDCUP!BD59</f>
        <v>Bosnia y Herzegovina</v>
      </c>
      <c r="F161" s="11" t="str">
        <f ca="1">+WORLDCUP!BD61</f>
        <v>Paraguay</v>
      </c>
      <c r="G161" s="11" t="str">
        <f ca="1">+WORLDCUP!BD62</f>
        <v>Ecuador</v>
      </c>
      <c r="H161" s="11" t="str">
        <f ca="1">+WORLDCUP!BD63</f>
        <v>Japón</v>
      </c>
      <c r="I161" s="11" t="str">
        <f ca="1">+WORLDCUP!BD66</f>
        <v>Senegal</v>
      </c>
      <c r="J161" s="11" t="str">
        <f ca="1">+WORLDCUP!BD68</f>
        <v>RD Congo</v>
      </c>
      <c r="N161" s="11" t="s">
        <v>465</v>
      </c>
      <c r="O161" s="11">
        <v>160</v>
      </c>
      <c r="P161" s="11" t="s">
        <v>91</v>
      </c>
      <c r="Q161" s="11" t="s">
        <v>435</v>
      </c>
      <c r="R161" s="11" t="s">
        <v>90</v>
      </c>
      <c r="S161" s="11" t="s">
        <v>92</v>
      </c>
      <c r="T161" s="11" t="s">
        <v>93</v>
      </c>
      <c r="U161" s="11" t="s">
        <v>94</v>
      </c>
      <c r="V161" s="11" t="s">
        <v>440</v>
      </c>
      <c r="W161" s="11" t="s">
        <v>442</v>
      </c>
    </row>
    <row r="162" spans="1:23">
      <c r="A162" s="11" t="s">
        <v>464</v>
      </c>
      <c r="B162" s="11">
        <f ca="1">+IF(A162=WORLDCUP!$BI$112,1,0)</f>
        <v>0</v>
      </c>
      <c r="C162" s="11" t="str">
        <f ca="1">+WORLDCUP!BD60</f>
        <v>Escocia</v>
      </c>
      <c r="D162" s="11" t="str">
        <f ca="1">+WORLDCUP!BD64</f>
        <v>Bélgica</v>
      </c>
      <c r="E162" s="11" t="str">
        <f ca="1">+WORLDCUP!BD59</f>
        <v>Bosnia y Herzegovina</v>
      </c>
      <c r="F162" s="11" t="str">
        <f ca="1">+WORLDCUP!BD61</f>
        <v>Paraguay</v>
      </c>
      <c r="G162" s="11" t="str">
        <f ca="1">+WORLDCUP!BD67</f>
        <v>Jordania</v>
      </c>
      <c r="H162" s="11" t="str">
        <f ca="1">+WORLDCUP!BD63</f>
        <v>Japón</v>
      </c>
      <c r="I162" s="11" t="str">
        <f ca="1">+WORLDCUP!BD62</f>
        <v>Ecuador</v>
      </c>
      <c r="J162" s="11" t="str">
        <f ca="1">+WORLDCUP!BD66</f>
        <v>Senegal</v>
      </c>
      <c r="N162" s="11" t="s">
        <v>464</v>
      </c>
      <c r="O162" s="11">
        <v>161</v>
      </c>
      <c r="P162" s="11" t="s">
        <v>91</v>
      </c>
      <c r="Q162" s="11" t="s">
        <v>435</v>
      </c>
      <c r="R162" s="11" t="s">
        <v>90</v>
      </c>
      <c r="S162" s="11" t="s">
        <v>92</v>
      </c>
      <c r="T162" s="11" t="s">
        <v>441</v>
      </c>
      <c r="U162" s="11" t="s">
        <v>94</v>
      </c>
      <c r="V162" s="11" t="s">
        <v>93</v>
      </c>
      <c r="W162" s="11" t="s">
        <v>440</v>
      </c>
    </row>
    <row r="163" spans="1:23">
      <c r="A163" s="11" t="s">
        <v>463</v>
      </c>
      <c r="B163" s="11">
        <f ca="1">+IF(A163=WORLDCUP!$BI$112,1,0)</f>
        <v>0</v>
      </c>
      <c r="C163" s="11" t="str">
        <f ca="1">+WORLDCUP!BD60</f>
        <v>Escocia</v>
      </c>
      <c r="D163" s="11" t="str">
        <f ca="1">+WORLDCUP!BD64</f>
        <v>Bélgica</v>
      </c>
      <c r="E163" s="11" t="str">
        <f ca="1">+WORLDCUP!BD59</f>
        <v>Bosnia y Herzegovina</v>
      </c>
      <c r="F163" s="11" t="str">
        <f ca="1">+WORLDCUP!BD61</f>
        <v>Paraguay</v>
      </c>
      <c r="G163" s="11" t="str">
        <f ca="1">+WORLDCUP!BD65</f>
        <v>España</v>
      </c>
      <c r="H163" s="11" t="str">
        <f ca="1">+WORLDCUP!BD63</f>
        <v>Japón</v>
      </c>
      <c r="I163" s="11" t="str">
        <f ca="1">+WORLDCUP!BD69</f>
        <v>Panamá</v>
      </c>
      <c r="J163" s="11" t="str">
        <f ca="1">+WORLDCUP!BD62</f>
        <v>Ecuador</v>
      </c>
      <c r="N163" s="11" t="s">
        <v>463</v>
      </c>
      <c r="O163" s="11">
        <v>162</v>
      </c>
      <c r="P163" s="11" t="s">
        <v>91</v>
      </c>
      <c r="Q163" s="11" t="s">
        <v>435</v>
      </c>
      <c r="R163" s="11" t="s">
        <v>90</v>
      </c>
      <c r="S163" s="11" t="s">
        <v>92</v>
      </c>
      <c r="T163" s="11" t="s">
        <v>436</v>
      </c>
      <c r="U163" s="11" t="s">
        <v>94</v>
      </c>
      <c r="V163" s="11" t="s">
        <v>443</v>
      </c>
      <c r="W163" s="11" t="s">
        <v>93</v>
      </c>
    </row>
    <row r="164" spans="1:23">
      <c r="A164" s="11" t="s">
        <v>462</v>
      </c>
      <c r="B164" s="11">
        <f ca="1">+IF(A164=WORLDCUP!$BI$112,1,0)</f>
        <v>0</v>
      </c>
      <c r="C164" s="11" t="str">
        <f ca="1">+WORLDCUP!BD60</f>
        <v>Escocia</v>
      </c>
      <c r="D164" s="11" t="str">
        <f ca="1">+WORLDCUP!BD64</f>
        <v>Bélgica</v>
      </c>
      <c r="E164" s="11" t="str">
        <f ca="1">+WORLDCUP!BD59</f>
        <v>Bosnia y Herzegovina</v>
      </c>
      <c r="F164" s="11" t="str">
        <f ca="1">+WORLDCUP!BD61</f>
        <v>Paraguay</v>
      </c>
      <c r="G164" s="11" t="str">
        <f ca="1">+WORLDCUP!BD65</f>
        <v>España</v>
      </c>
      <c r="H164" s="11" t="str">
        <f ca="1">+WORLDCUP!BD63</f>
        <v>Japón</v>
      </c>
      <c r="I164" s="11" t="str">
        <f ca="1">+WORLDCUP!BD62</f>
        <v>Ecuador</v>
      </c>
      <c r="J164" s="11" t="str">
        <f ca="1">+WORLDCUP!BD68</f>
        <v>RD Congo</v>
      </c>
      <c r="N164" s="11" t="s">
        <v>462</v>
      </c>
      <c r="O164" s="11">
        <v>163</v>
      </c>
      <c r="P164" s="11" t="s">
        <v>91</v>
      </c>
      <c r="Q164" s="11" t="s">
        <v>435</v>
      </c>
      <c r="R164" s="11" t="s">
        <v>90</v>
      </c>
      <c r="S164" s="11" t="s">
        <v>92</v>
      </c>
      <c r="T164" s="11" t="s">
        <v>436</v>
      </c>
      <c r="U164" s="11" t="s">
        <v>94</v>
      </c>
      <c r="V164" s="11" t="s">
        <v>93</v>
      </c>
      <c r="W164" s="11" t="s">
        <v>442</v>
      </c>
    </row>
    <row r="165" spans="1:23">
      <c r="A165" s="11" t="s">
        <v>461</v>
      </c>
      <c r="B165" s="11">
        <f ca="1">+IF(A165=WORLDCUP!$BI$112,1,0)</f>
        <v>0</v>
      </c>
      <c r="C165" s="11" t="str">
        <f ca="1">+WORLDCUP!BD65</f>
        <v>España</v>
      </c>
      <c r="D165" s="11" t="str">
        <f ca="1">+WORLDCUP!BD64</f>
        <v>Bélgica</v>
      </c>
      <c r="E165" s="11" t="str">
        <f ca="1">+WORLDCUP!BD59</f>
        <v>Bosnia y Herzegovina</v>
      </c>
      <c r="F165" s="11" t="str">
        <f ca="1">+WORLDCUP!BD60</f>
        <v>Escocia</v>
      </c>
      <c r="G165" s="11" t="str">
        <f ca="1">+WORLDCUP!BD67</f>
        <v>Jordania</v>
      </c>
      <c r="H165" s="11" t="str">
        <f ca="1">+WORLDCUP!BD63</f>
        <v>Japón</v>
      </c>
      <c r="I165" s="11" t="str">
        <f ca="1">+WORLDCUP!BD61</f>
        <v>Paraguay</v>
      </c>
      <c r="J165" s="11" t="str">
        <f ca="1">+WORLDCUP!BD62</f>
        <v>Ecuador</v>
      </c>
      <c r="N165" s="11" t="s">
        <v>461</v>
      </c>
      <c r="O165" s="11">
        <v>164</v>
      </c>
      <c r="P165" s="11" t="s">
        <v>436</v>
      </c>
      <c r="Q165" s="11" t="s">
        <v>435</v>
      </c>
      <c r="R165" s="11" t="s">
        <v>90</v>
      </c>
      <c r="S165" s="11" t="s">
        <v>91</v>
      </c>
      <c r="T165" s="11" t="s">
        <v>441</v>
      </c>
      <c r="U165" s="11" t="s">
        <v>94</v>
      </c>
      <c r="V165" s="11" t="s">
        <v>92</v>
      </c>
      <c r="W165" s="11" t="s">
        <v>93</v>
      </c>
    </row>
    <row r="166" spans="1:23">
      <c r="A166" s="11" t="s">
        <v>460</v>
      </c>
      <c r="B166" s="11">
        <f ca="1">+IF(A166=WORLDCUP!$BI$112,1,0)</f>
        <v>0</v>
      </c>
      <c r="C166" s="11" t="str">
        <f ca="1">+WORLDCUP!BD60</f>
        <v>Escocia</v>
      </c>
      <c r="D166" s="11" t="str">
        <f ca="1">+WORLDCUP!BD64</f>
        <v>Bélgica</v>
      </c>
      <c r="E166" s="11" t="str">
        <f ca="1">+WORLDCUP!BD59</f>
        <v>Bosnia y Herzegovina</v>
      </c>
      <c r="F166" s="11" t="str">
        <f ca="1">+WORLDCUP!BD61</f>
        <v>Paraguay</v>
      </c>
      <c r="G166" s="11" t="str">
        <f ca="1">+WORLDCUP!BD65</f>
        <v>España</v>
      </c>
      <c r="H166" s="11" t="str">
        <f ca="1">+WORLDCUP!BD63</f>
        <v>Japón</v>
      </c>
      <c r="I166" s="11" t="str">
        <f ca="1">+WORLDCUP!BD62</f>
        <v>Ecuador</v>
      </c>
      <c r="J166" s="11" t="str">
        <f ca="1">+WORLDCUP!BD66</f>
        <v>Senegal</v>
      </c>
      <c r="N166" s="11" t="s">
        <v>460</v>
      </c>
      <c r="O166" s="11">
        <v>165</v>
      </c>
      <c r="P166" s="11" t="s">
        <v>91</v>
      </c>
      <c r="Q166" s="11" t="s">
        <v>435</v>
      </c>
      <c r="R166" s="11" t="s">
        <v>90</v>
      </c>
      <c r="S166" s="11" t="s">
        <v>92</v>
      </c>
      <c r="T166" s="11" t="s">
        <v>436</v>
      </c>
      <c r="U166" s="11" t="s">
        <v>94</v>
      </c>
      <c r="V166" s="11" t="s">
        <v>93</v>
      </c>
      <c r="W166" s="11" t="s">
        <v>440</v>
      </c>
    </row>
    <row r="167" spans="1:23">
      <c r="A167" s="11" t="s">
        <v>596</v>
      </c>
      <c r="B167" s="11">
        <f ca="1">+IF(A167=WORLDCUP!$BI$112,1,0)</f>
        <v>0</v>
      </c>
      <c r="C167" s="11" t="str">
        <f ca="1">+WORLDCUP!BD65</f>
        <v>España</v>
      </c>
      <c r="D167" s="11" t="str">
        <f ca="1">+WORLDCUP!BD67</f>
        <v>Jordania</v>
      </c>
      <c r="E167" s="11" t="str">
        <f ca="1">+WORLDCUP!BD66</f>
        <v>Senegal</v>
      </c>
      <c r="F167" s="11" t="str">
        <f ca="1">+WORLDCUP!BD63</f>
        <v>Japón</v>
      </c>
      <c r="G167" s="11" t="str">
        <f ca="1">+WORLDCUP!BD58</f>
        <v>República Checa</v>
      </c>
      <c r="H167" s="11" t="str">
        <f ca="1">+WORLDCUP!BD64</f>
        <v>Bélgica</v>
      </c>
      <c r="I167" s="11" t="str">
        <f ca="1">+WORLDCUP!BD69</f>
        <v>Panamá</v>
      </c>
      <c r="J167" s="11" t="str">
        <f ca="1">+WORLDCUP!BD68</f>
        <v>RD Congo</v>
      </c>
      <c r="N167" s="11" t="s">
        <v>596</v>
      </c>
      <c r="O167" s="11">
        <v>166</v>
      </c>
      <c r="P167" s="11" t="s">
        <v>436</v>
      </c>
      <c r="Q167" s="11" t="s">
        <v>441</v>
      </c>
      <c r="R167" s="11" t="s">
        <v>440</v>
      </c>
      <c r="S167" s="11" t="s">
        <v>94</v>
      </c>
      <c r="T167" s="11" t="s">
        <v>89</v>
      </c>
      <c r="U167" s="11" t="s">
        <v>435</v>
      </c>
      <c r="V167" s="11" t="s">
        <v>443</v>
      </c>
      <c r="W167" s="11" t="s">
        <v>442</v>
      </c>
    </row>
    <row r="168" spans="1:23">
      <c r="A168" s="11" t="s">
        <v>1060</v>
      </c>
      <c r="B168" s="11">
        <f ca="1">+IF(A168=WORLDCUP!$BI$112,1,0)</f>
        <v>0</v>
      </c>
      <c r="C168" s="11" t="str">
        <f ca="1">+WORLDCUP!BD62</f>
        <v>Ecuador</v>
      </c>
      <c r="D168" s="11" t="str">
        <f ca="1">+WORLDCUP!BD67</f>
        <v>Jordania</v>
      </c>
      <c r="E168" s="11" t="str">
        <f ca="1">+WORLDCUP!BD66</f>
        <v>Senegal</v>
      </c>
      <c r="F168" s="11" t="str">
        <f ca="1">+WORLDCUP!BD58</f>
        <v>República Checa</v>
      </c>
      <c r="G168" s="11" t="str">
        <f ca="1">+WORLDCUP!BD65</f>
        <v>España</v>
      </c>
      <c r="H168" s="11" t="str">
        <f ca="1">+WORLDCUP!BD64</f>
        <v>Bélgica</v>
      </c>
      <c r="I168" s="11" t="str">
        <f ca="1">+WORLDCUP!BD69</f>
        <v>Panamá</v>
      </c>
      <c r="J168" s="11" t="str">
        <f ca="1">+WORLDCUP!BD68</f>
        <v>RD Congo</v>
      </c>
      <c r="N168" s="11" t="s">
        <v>1060</v>
      </c>
      <c r="O168" s="11">
        <v>167</v>
      </c>
      <c r="P168" s="11" t="s">
        <v>93</v>
      </c>
      <c r="Q168" s="11" t="s">
        <v>441</v>
      </c>
      <c r="R168" s="11" t="s">
        <v>440</v>
      </c>
      <c r="S168" s="11" t="s">
        <v>89</v>
      </c>
      <c r="T168" s="11" t="s">
        <v>436</v>
      </c>
      <c r="U168" s="11" t="s">
        <v>435</v>
      </c>
      <c r="V168" s="11" t="s">
        <v>443</v>
      </c>
      <c r="W168" s="11" t="s">
        <v>442</v>
      </c>
    </row>
    <row r="169" spans="1:23">
      <c r="A169" s="11" t="s">
        <v>1059</v>
      </c>
      <c r="B169" s="11">
        <f ca="1">+IF(A169=WORLDCUP!$BI$112,1,0)</f>
        <v>0</v>
      </c>
      <c r="C169" s="11" t="str">
        <f ca="1">+WORLDCUP!BD62</f>
        <v>Ecuador</v>
      </c>
      <c r="D169" s="11" t="str">
        <f ca="1">+WORLDCUP!BD67</f>
        <v>Jordania</v>
      </c>
      <c r="E169" s="11" t="str">
        <f ca="1">+WORLDCUP!BD66</f>
        <v>Senegal</v>
      </c>
      <c r="F169" s="11" t="str">
        <f ca="1">+WORLDCUP!BD63</f>
        <v>Japón</v>
      </c>
      <c r="G169" s="11" t="str">
        <f ca="1">+WORLDCUP!BD58</f>
        <v>República Checa</v>
      </c>
      <c r="H169" s="11" t="str">
        <f ca="1">+WORLDCUP!BD65</f>
        <v>España</v>
      </c>
      <c r="I169" s="11" t="str">
        <f ca="1">+WORLDCUP!BD69</f>
        <v>Panamá</v>
      </c>
      <c r="J169" s="11" t="str">
        <f ca="1">+WORLDCUP!BD68</f>
        <v>RD Congo</v>
      </c>
      <c r="N169" s="11" t="s">
        <v>1059</v>
      </c>
      <c r="O169" s="11">
        <v>168</v>
      </c>
      <c r="P169" s="11" t="s">
        <v>93</v>
      </c>
      <c r="Q169" s="11" t="s">
        <v>441</v>
      </c>
      <c r="R169" s="11" t="s">
        <v>440</v>
      </c>
      <c r="S169" s="11" t="s">
        <v>94</v>
      </c>
      <c r="T169" s="11" t="s">
        <v>89</v>
      </c>
      <c r="U169" s="11" t="s">
        <v>436</v>
      </c>
      <c r="V169" s="11" t="s">
        <v>443</v>
      </c>
      <c r="W169" s="11" t="s">
        <v>442</v>
      </c>
    </row>
    <row r="170" spans="1:23">
      <c r="A170" s="11" t="s">
        <v>1058</v>
      </c>
      <c r="B170" s="11">
        <f ca="1">+IF(A170=WORLDCUP!$BI$112,1,0)</f>
        <v>0</v>
      </c>
      <c r="C170" s="11" t="str">
        <f ca="1">+WORLDCUP!BD62</f>
        <v>Ecuador</v>
      </c>
      <c r="D170" s="11" t="str">
        <f ca="1">+WORLDCUP!BD67</f>
        <v>Jordania</v>
      </c>
      <c r="E170" s="11" t="str">
        <f ca="1">+WORLDCUP!BD66</f>
        <v>Senegal</v>
      </c>
      <c r="F170" s="11" t="str">
        <f ca="1">+WORLDCUP!BD63</f>
        <v>Japón</v>
      </c>
      <c r="G170" s="11" t="str">
        <f ca="1">+WORLDCUP!BD58</f>
        <v>República Checa</v>
      </c>
      <c r="H170" s="11" t="str">
        <f ca="1">+WORLDCUP!BD64</f>
        <v>Bélgica</v>
      </c>
      <c r="I170" s="11" t="str">
        <f ca="1">+WORLDCUP!BD69</f>
        <v>Panamá</v>
      </c>
      <c r="J170" s="11" t="str">
        <f ca="1">+WORLDCUP!BD68</f>
        <v>RD Congo</v>
      </c>
      <c r="N170" s="11" t="s">
        <v>1058</v>
      </c>
      <c r="O170" s="11">
        <v>169</v>
      </c>
      <c r="P170" s="11" t="s">
        <v>93</v>
      </c>
      <c r="Q170" s="11" t="s">
        <v>441</v>
      </c>
      <c r="R170" s="11" t="s">
        <v>440</v>
      </c>
      <c r="S170" s="11" t="s">
        <v>94</v>
      </c>
      <c r="T170" s="11" t="s">
        <v>89</v>
      </c>
      <c r="U170" s="11" t="s">
        <v>435</v>
      </c>
      <c r="V170" s="11" t="s">
        <v>443</v>
      </c>
      <c r="W170" s="11" t="s">
        <v>442</v>
      </c>
    </row>
    <row r="171" spans="1:23">
      <c r="A171" s="11" t="s">
        <v>1057</v>
      </c>
      <c r="B171" s="11">
        <f ca="1">+IF(A171=WORLDCUP!$BI$112,1,0)</f>
        <v>0</v>
      </c>
      <c r="C171" s="11" t="str">
        <f ca="1">+WORLDCUP!BD62</f>
        <v>Ecuador</v>
      </c>
      <c r="D171" s="11" t="str">
        <f ca="1">+WORLDCUP!BD64</f>
        <v>Bélgica</v>
      </c>
      <c r="E171" s="11" t="str">
        <f ca="1">+WORLDCUP!BD67</f>
        <v>Jordania</v>
      </c>
      <c r="F171" s="11" t="str">
        <f ca="1">+WORLDCUP!BD63</f>
        <v>Japón</v>
      </c>
      <c r="G171" s="11" t="str">
        <f ca="1">+WORLDCUP!BD58</f>
        <v>República Checa</v>
      </c>
      <c r="H171" s="11" t="str">
        <f ca="1">+WORLDCUP!BD65</f>
        <v>España</v>
      </c>
      <c r="I171" s="11" t="str">
        <f ca="1">+WORLDCUP!BD69</f>
        <v>Panamá</v>
      </c>
      <c r="J171" s="11" t="str">
        <f ca="1">+WORLDCUP!BD68</f>
        <v>RD Congo</v>
      </c>
      <c r="N171" s="11" t="s">
        <v>1057</v>
      </c>
      <c r="O171" s="11">
        <v>170</v>
      </c>
      <c r="P171" s="11" t="s">
        <v>93</v>
      </c>
      <c r="Q171" s="11" t="s">
        <v>435</v>
      </c>
      <c r="R171" s="11" t="s">
        <v>441</v>
      </c>
      <c r="S171" s="11" t="s">
        <v>94</v>
      </c>
      <c r="T171" s="11" t="s">
        <v>89</v>
      </c>
      <c r="U171" s="11" t="s">
        <v>436</v>
      </c>
      <c r="V171" s="11" t="s">
        <v>443</v>
      </c>
      <c r="W171" s="11" t="s">
        <v>442</v>
      </c>
    </row>
    <row r="172" spans="1:23">
      <c r="A172" s="11" t="s">
        <v>593</v>
      </c>
      <c r="B172" s="11">
        <f ca="1">+IF(A172=WORLDCUP!$BI$112,1,0)</f>
        <v>0</v>
      </c>
      <c r="C172" s="11" t="str">
        <f ca="1">+WORLDCUP!BD62</f>
        <v>Ecuador</v>
      </c>
      <c r="D172" s="11" t="str">
        <f ca="1">+WORLDCUP!BD64</f>
        <v>Bélgica</v>
      </c>
      <c r="E172" s="11" t="str">
        <f ca="1">+WORLDCUP!BD66</f>
        <v>Senegal</v>
      </c>
      <c r="F172" s="11" t="str">
        <f ca="1">+WORLDCUP!BD63</f>
        <v>Japón</v>
      </c>
      <c r="G172" s="11" t="str">
        <f ca="1">+WORLDCUP!BD58</f>
        <v>República Checa</v>
      </c>
      <c r="H172" s="11" t="str">
        <f ca="1">+WORLDCUP!BD65</f>
        <v>España</v>
      </c>
      <c r="I172" s="11" t="str">
        <f ca="1">+WORLDCUP!BD69</f>
        <v>Panamá</v>
      </c>
      <c r="J172" s="11" t="str">
        <f ca="1">+WORLDCUP!BD68</f>
        <v>RD Congo</v>
      </c>
      <c r="N172" s="11" t="s">
        <v>593</v>
      </c>
      <c r="O172" s="11">
        <v>171</v>
      </c>
      <c r="P172" s="11" t="s">
        <v>93</v>
      </c>
      <c r="Q172" s="11" t="s">
        <v>435</v>
      </c>
      <c r="R172" s="11" t="s">
        <v>440</v>
      </c>
      <c r="S172" s="11" t="s">
        <v>94</v>
      </c>
      <c r="T172" s="11" t="s">
        <v>89</v>
      </c>
      <c r="U172" s="11" t="s">
        <v>436</v>
      </c>
      <c r="V172" s="11" t="s">
        <v>443</v>
      </c>
      <c r="W172" s="11" t="s">
        <v>442</v>
      </c>
    </row>
    <row r="173" spans="1:23">
      <c r="A173" s="11" t="s">
        <v>595</v>
      </c>
      <c r="B173" s="11">
        <f ca="1">+IF(A173=WORLDCUP!$BI$112,1,0)</f>
        <v>0</v>
      </c>
      <c r="C173" s="11" t="str">
        <f ca="1">+WORLDCUP!BD62</f>
        <v>Ecuador</v>
      </c>
      <c r="D173" s="11" t="str">
        <f ca="1">+WORLDCUP!BD64</f>
        <v>Bélgica</v>
      </c>
      <c r="E173" s="11" t="str">
        <f ca="1">+WORLDCUP!BD67</f>
        <v>Jordania</v>
      </c>
      <c r="F173" s="11" t="str">
        <f ca="1">+WORLDCUP!BD63</f>
        <v>Japón</v>
      </c>
      <c r="G173" s="11" t="str">
        <f ca="1">+WORLDCUP!BD58</f>
        <v>República Checa</v>
      </c>
      <c r="H173" s="11" t="str">
        <f ca="1">+WORLDCUP!BD65</f>
        <v>España</v>
      </c>
      <c r="I173" s="11" t="str">
        <f ca="1">+WORLDCUP!BD69</f>
        <v>Panamá</v>
      </c>
      <c r="J173" s="11" t="str">
        <f ca="1">+WORLDCUP!BD66</f>
        <v>Senegal</v>
      </c>
      <c r="N173" s="11" t="s">
        <v>595</v>
      </c>
      <c r="O173" s="11">
        <v>172</v>
      </c>
      <c r="P173" s="11" t="s">
        <v>93</v>
      </c>
      <c r="Q173" s="11" t="s">
        <v>435</v>
      </c>
      <c r="R173" s="11" t="s">
        <v>441</v>
      </c>
      <c r="S173" s="11" t="s">
        <v>94</v>
      </c>
      <c r="T173" s="11" t="s">
        <v>89</v>
      </c>
      <c r="U173" s="11" t="s">
        <v>436</v>
      </c>
      <c r="V173" s="11" t="s">
        <v>443</v>
      </c>
      <c r="W173" s="11" t="s">
        <v>440</v>
      </c>
    </row>
    <row r="174" spans="1:23">
      <c r="A174" s="11" t="s">
        <v>594</v>
      </c>
      <c r="B174" s="11">
        <f ca="1">+IF(A174=WORLDCUP!$BI$112,1,0)</f>
        <v>0</v>
      </c>
      <c r="C174" s="11" t="str">
        <f ca="1">+WORLDCUP!BD62</f>
        <v>Ecuador</v>
      </c>
      <c r="D174" s="11" t="str">
        <f ca="1">+WORLDCUP!BD64</f>
        <v>Bélgica</v>
      </c>
      <c r="E174" s="11" t="str">
        <f ca="1">+WORLDCUP!BD67</f>
        <v>Jordania</v>
      </c>
      <c r="F174" s="11" t="str">
        <f ca="1">+WORLDCUP!BD63</f>
        <v>Japón</v>
      </c>
      <c r="G174" s="11" t="str">
        <f ca="1">+WORLDCUP!BD58</f>
        <v>República Checa</v>
      </c>
      <c r="H174" s="11" t="str">
        <f ca="1">+WORLDCUP!BD65</f>
        <v>España</v>
      </c>
      <c r="I174" s="11" t="str">
        <f ca="1">+WORLDCUP!BD66</f>
        <v>Senegal</v>
      </c>
      <c r="J174" s="11" t="str">
        <f ca="1">+WORLDCUP!BD68</f>
        <v>RD Congo</v>
      </c>
      <c r="N174" s="11" t="s">
        <v>594</v>
      </c>
      <c r="O174" s="11">
        <v>173</v>
      </c>
      <c r="P174" s="11" t="s">
        <v>93</v>
      </c>
      <c r="Q174" s="11" t="s">
        <v>435</v>
      </c>
      <c r="R174" s="11" t="s">
        <v>441</v>
      </c>
      <c r="S174" s="11" t="s">
        <v>94</v>
      </c>
      <c r="T174" s="11" t="s">
        <v>89</v>
      </c>
      <c r="U174" s="11" t="s">
        <v>436</v>
      </c>
      <c r="V174" s="11" t="s">
        <v>440</v>
      </c>
      <c r="W174" s="11" t="s">
        <v>442</v>
      </c>
    </row>
    <row r="175" spans="1:23">
      <c r="A175" s="11" t="s">
        <v>1056</v>
      </c>
      <c r="B175" s="11">
        <f ca="1">+IF(A175=WORLDCUP!$BI$112,1,0)</f>
        <v>0</v>
      </c>
      <c r="C175" s="11" t="str">
        <f ca="1">+WORLDCUP!BD65</f>
        <v>España</v>
      </c>
      <c r="D175" s="11" t="str">
        <f ca="1">+WORLDCUP!BD67</f>
        <v>Jordania</v>
      </c>
      <c r="E175" s="11" t="str">
        <f ca="1">+WORLDCUP!BD66</f>
        <v>Senegal</v>
      </c>
      <c r="F175" s="11" t="str">
        <f ca="1">+WORLDCUP!BD61</f>
        <v>Paraguay</v>
      </c>
      <c r="G175" s="11" t="str">
        <f ca="1">+WORLDCUP!BD58</f>
        <v>República Checa</v>
      </c>
      <c r="H175" s="11" t="str">
        <f ca="1">+WORLDCUP!BD64</f>
        <v>Bélgica</v>
      </c>
      <c r="I175" s="11" t="str">
        <f ca="1">+WORLDCUP!BD69</f>
        <v>Panamá</v>
      </c>
      <c r="J175" s="11" t="str">
        <f ca="1">+WORLDCUP!BD68</f>
        <v>RD Congo</v>
      </c>
      <c r="N175" s="11" t="s">
        <v>1056</v>
      </c>
      <c r="O175" s="11">
        <v>174</v>
      </c>
      <c r="P175" s="11" t="s">
        <v>436</v>
      </c>
      <c r="Q175" s="11" t="s">
        <v>441</v>
      </c>
      <c r="R175" s="11" t="s">
        <v>440</v>
      </c>
      <c r="S175" s="11" t="s">
        <v>92</v>
      </c>
      <c r="T175" s="11" t="s">
        <v>89</v>
      </c>
      <c r="U175" s="11" t="s">
        <v>435</v>
      </c>
      <c r="V175" s="11" t="s">
        <v>443</v>
      </c>
      <c r="W175" s="11" t="s">
        <v>442</v>
      </c>
    </row>
    <row r="176" spans="1:23">
      <c r="A176" s="11" t="s">
        <v>1055</v>
      </c>
      <c r="B176" s="11">
        <f ca="1">+IF(A176=WORLDCUP!$BI$112,1,0)</f>
        <v>0</v>
      </c>
      <c r="C176" s="11" t="str">
        <f ca="1">+WORLDCUP!BD65</f>
        <v>España</v>
      </c>
      <c r="D176" s="11" t="str">
        <f ca="1">+WORLDCUP!BD67</f>
        <v>Jordania</v>
      </c>
      <c r="E176" s="11" t="str">
        <f ca="1">+WORLDCUP!BD66</f>
        <v>Senegal</v>
      </c>
      <c r="F176" s="11" t="str">
        <f ca="1">+WORLDCUP!BD61</f>
        <v>Paraguay</v>
      </c>
      <c r="G176" s="11" t="str">
        <f ca="1">+WORLDCUP!BD58</f>
        <v>República Checa</v>
      </c>
      <c r="H176" s="11" t="str">
        <f ca="1">+WORLDCUP!BD63</f>
        <v>Japón</v>
      </c>
      <c r="I176" s="11" t="str">
        <f ca="1">+WORLDCUP!BD69</f>
        <v>Panamá</v>
      </c>
      <c r="J176" s="11" t="str">
        <f ca="1">+WORLDCUP!BD68</f>
        <v>RD Congo</v>
      </c>
      <c r="N176" s="11" t="s">
        <v>1055</v>
      </c>
      <c r="O176" s="11">
        <v>175</v>
      </c>
      <c r="P176" s="11" t="s">
        <v>436</v>
      </c>
      <c r="Q176" s="11" t="s">
        <v>441</v>
      </c>
      <c r="R176" s="11" t="s">
        <v>440</v>
      </c>
      <c r="S176" s="11" t="s">
        <v>92</v>
      </c>
      <c r="T176" s="11" t="s">
        <v>89</v>
      </c>
      <c r="U176" s="11" t="s">
        <v>94</v>
      </c>
      <c r="V176" s="11" t="s">
        <v>443</v>
      </c>
      <c r="W176" s="11" t="s">
        <v>442</v>
      </c>
    </row>
    <row r="177" spans="1:23">
      <c r="A177" s="11" t="s">
        <v>1054</v>
      </c>
      <c r="B177" s="11">
        <f ca="1">+IF(A177=WORLDCUP!$BI$112,1,0)</f>
        <v>0</v>
      </c>
      <c r="C177" s="11" t="str">
        <f ca="1">+WORLDCUP!BD66</f>
        <v>Senegal</v>
      </c>
      <c r="D177" s="11" t="str">
        <f ca="1">+WORLDCUP!BD64</f>
        <v>Bélgica</v>
      </c>
      <c r="E177" s="11" t="str">
        <f ca="1">+WORLDCUP!BD67</f>
        <v>Jordania</v>
      </c>
      <c r="F177" s="11" t="str">
        <f ca="1">+WORLDCUP!BD61</f>
        <v>Paraguay</v>
      </c>
      <c r="G177" s="11" t="str">
        <f ca="1">+WORLDCUP!BD58</f>
        <v>República Checa</v>
      </c>
      <c r="H177" s="11" t="str">
        <f ca="1">+WORLDCUP!BD63</f>
        <v>Japón</v>
      </c>
      <c r="I177" s="11" t="str">
        <f ca="1">+WORLDCUP!BD69</f>
        <v>Panamá</v>
      </c>
      <c r="J177" s="11" t="str">
        <f ca="1">+WORLDCUP!BD68</f>
        <v>RD Congo</v>
      </c>
      <c r="N177" s="11" t="s">
        <v>1054</v>
      </c>
      <c r="O177" s="11">
        <v>176</v>
      </c>
      <c r="P177" s="11" t="s">
        <v>440</v>
      </c>
      <c r="Q177" s="11" t="s">
        <v>435</v>
      </c>
      <c r="R177" s="11" t="s">
        <v>441</v>
      </c>
      <c r="S177" s="11" t="s">
        <v>92</v>
      </c>
      <c r="T177" s="11" t="s">
        <v>89</v>
      </c>
      <c r="U177" s="11" t="s">
        <v>94</v>
      </c>
      <c r="V177" s="11" t="s">
        <v>443</v>
      </c>
      <c r="W177" s="11" t="s">
        <v>442</v>
      </c>
    </row>
    <row r="178" spans="1:23">
      <c r="A178" s="11" t="s">
        <v>1053</v>
      </c>
      <c r="B178" s="11">
        <f ca="1">+IF(A178=WORLDCUP!$BI$112,1,0)</f>
        <v>0</v>
      </c>
      <c r="C178" s="11" t="str">
        <f ca="1">+WORLDCUP!BD65</f>
        <v>España</v>
      </c>
      <c r="D178" s="11" t="str">
        <f ca="1">+WORLDCUP!BD64</f>
        <v>Bélgica</v>
      </c>
      <c r="E178" s="11" t="str">
        <f ca="1">+WORLDCUP!BD67</f>
        <v>Jordania</v>
      </c>
      <c r="F178" s="11" t="str">
        <f ca="1">+WORLDCUP!BD61</f>
        <v>Paraguay</v>
      </c>
      <c r="G178" s="11" t="str">
        <f ca="1">+WORLDCUP!BD58</f>
        <v>República Checa</v>
      </c>
      <c r="H178" s="11" t="str">
        <f ca="1">+WORLDCUP!BD63</f>
        <v>Japón</v>
      </c>
      <c r="I178" s="11" t="str">
        <f ca="1">+WORLDCUP!BD69</f>
        <v>Panamá</v>
      </c>
      <c r="J178" s="11" t="str">
        <f ca="1">+WORLDCUP!BD68</f>
        <v>RD Congo</v>
      </c>
      <c r="N178" s="11" t="s">
        <v>1053</v>
      </c>
      <c r="O178" s="11">
        <v>177</v>
      </c>
      <c r="P178" s="11" t="s">
        <v>436</v>
      </c>
      <c r="Q178" s="11" t="s">
        <v>435</v>
      </c>
      <c r="R178" s="11" t="s">
        <v>441</v>
      </c>
      <c r="S178" s="11" t="s">
        <v>92</v>
      </c>
      <c r="T178" s="11" t="s">
        <v>89</v>
      </c>
      <c r="U178" s="11" t="s">
        <v>94</v>
      </c>
      <c r="V178" s="11" t="s">
        <v>443</v>
      </c>
      <c r="W178" s="11" t="s">
        <v>442</v>
      </c>
    </row>
    <row r="179" spans="1:23">
      <c r="A179" s="11" t="s">
        <v>1052</v>
      </c>
      <c r="B179" s="11">
        <f ca="1">+IF(A179=WORLDCUP!$BI$112,1,0)</f>
        <v>0</v>
      </c>
      <c r="C179" s="11" t="str">
        <f ca="1">+WORLDCUP!BD65</f>
        <v>España</v>
      </c>
      <c r="D179" s="11" t="str">
        <f ca="1">+WORLDCUP!BD64</f>
        <v>Bélgica</v>
      </c>
      <c r="E179" s="11" t="str">
        <f ca="1">+WORLDCUP!BD66</f>
        <v>Senegal</v>
      </c>
      <c r="F179" s="11" t="str">
        <f ca="1">+WORLDCUP!BD61</f>
        <v>Paraguay</v>
      </c>
      <c r="G179" s="11" t="str">
        <f ca="1">+WORLDCUP!BD58</f>
        <v>República Checa</v>
      </c>
      <c r="H179" s="11" t="str">
        <f ca="1">+WORLDCUP!BD63</f>
        <v>Japón</v>
      </c>
      <c r="I179" s="11" t="str">
        <f ca="1">+WORLDCUP!BD69</f>
        <v>Panamá</v>
      </c>
      <c r="J179" s="11" t="str">
        <f ca="1">+WORLDCUP!BD68</f>
        <v>RD Congo</v>
      </c>
      <c r="N179" s="11" t="s">
        <v>1052</v>
      </c>
      <c r="O179" s="11">
        <v>178</v>
      </c>
      <c r="P179" s="11" t="s">
        <v>436</v>
      </c>
      <c r="Q179" s="11" t="s">
        <v>435</v>
      </c>
      <c r="R179" s="11" t="s">
        <v>440</v>
      </c>
      <c r="S179" s="11" t="s">
        <v>92</v>
      </c>
      <c r="T179" s="11" t="s">
        <v>89</v>
      </c>
      <c r="U179" s="11" t="s">
        <v>94</v>
      </c>
      <c r="V179" s="11" t="s">
        <v>443</v>
      </c>
      <c r="W179" s="11" t="s">
        <v>442</v>
      </c>
    </row>
    <row r="180" spans="1:23">
      <c r="A180" s="11" t="s">
        <v>1051</v>
      </c>
      <c r="B180" s="11">
        <f ca="1">+IF(A180=WORLDCUP!$BI$112,1,0)</f>
        <v>0</v>
      </c>
      <c r="C180" s="11" t="str">
        <f ca="1">+WORLDCUP!BD65</f>
        <v>España</v>
      </c>
      <c r="D180" s="11" t="str">
        <f ca="1">+WORLDCUP!BD64</f>
        <v>Bélgica</v>
      </c>
      <c r="E180" s="11" t="str">
        <f ca="1">+WORLDCUP!BD67</f>
        <v>Jordania</v>
      </c>
      <c r="F180" s="11" t="str">
        <f ca="1">+WORLDCUP!BD61</f>
        <v>Paraguay</v>
      </c>
      <c r="G180" s="11" t="str">
        <f ca="1">+WORLDCUP!BD58</f>
        <v>República Checa</v>
      </c>
      <c r="H180" s="11" t="str">
        <f ca="1">+WORLDCUP!BD63</f>
        <v>Japón</v>
      </c>
      <c r="I180" s="11" t="str">
        <f ca="1">+WORLDCUP!BD69</f>
        <v>Panamá</v>
      </c>
      <c r="J180" s="11" t="str">
        <f ca="1">+WORLDCUP!BD66</f>
        <v>Senegal</v>
      </c>
      <c r="N180" s="11" t="s">
        <v>1051</v>
      </c>
      <c r="O180" s="11">
        <v>179</v>
      </c>
      <c r="P180" s="11" t="s">
        <v>436</v>
      </c>
      <c r="Q180" s="11" t="s">
        <v>435</v>
      </c>
      <c r="R180" s="11" t="s">
        <v>441</v>
      </c>
      <c r="S180" s="11" t="s">
        <v>92</v>
      </c>
      <c r="T180" s="11" t="s">
        <v>89</v>
      </c>
      <c r="U180" s="11" t="s">
        <v>94</v>
      </c>
      <c r="V180" s="11" t="s">
        <v>443</v>
      </c>
      <c r="W180" s="11" t="s">
        <v>440</v>
      </c>
    </row>
    <row r="181" spans="1:23">
      <c r="A181" s="11" t="s">
        <v>1050</v>
      </c>
      <c r="B181" s="11">
        <f ca="1">+IF(A181=WORLDCUP!$BI$112,1,0)</f>
        <v>0</v>
      </c>
      <c r="C181" s="11" t="str">
        <f ca="1">+WORLDCUP!BD65</f>
        <v>España</v>
      </c>
      <c r="D181" s="11" t="str">
        <f ca="1">+WORLDCUP!BD64</f>
        <v>Bélgica</v>
      </c>
      <c r="E181" s="11" t="str">
        <f ca="1">+WORLDCUP!BD67</f>
        <v>Jordania</v>
      </c>
      <c r="F181" s="11" t="str">
        <f ca="1">+WORLDCUP!BD61</f>
        <v>Paraguay</v>
      </c>
      <c r="G181" s="11" t="str">
        <f ca="1">+WORLDCUP!BD58</f>
        <v>República Checa</v>
      </c>
      <c r="H181" s="11" t="str">
        <f ca="1">+WORLDCUP!BD63</f>
        <v>Japón</v>
      </c>
      <c r="I181" s="11" t="str">
        <f ca="1">+WORLDCUP!BD66</f>
        <v>Senegal</v>
      </c>
      <c r="J181" s="11" t="str">
        <f ca="1">+WORLDCUP!BD68</f>
        <v>RD Congo</v>
      </c>
      <c r="N181" s="11" t="s">
        <v>1050</v>
      </c>
      <c r="O181" s="11">
        <v>180</v>
      </c>
      <c r="P181" s="11" t="s">
        <v>436</v>
      </c>
      <c r="Q181" s="11" t="s">
        <v>435</v>
      </c>
      <c r="R181" s="11" t="s">
        <v>441</v>
      </c>
      <c r="S181" s="11" t="s">
        <v>92</v>
      </c>
      <c r="T181" s="11" t="s">
        <v>89</v>
      </c>
      <c r="U181" s="11" t="s">
        <v>94</v>
      </c>
      <c r="V181" s="11" t="s">
        <v>440</v>
      </c>
      <c r="W181" s="11" t="s">
        <v>442</v>
      </c>
    </row>
    <row r="182" spans="1:23">
      <c r="A182" s="11" t="s">
        <v>1049</v>
      </c>
      <c r="B182" s="11">
        <f ca="1">+IF(A182=WORLDCUP!$BI$112,1,0)</f>
        <v>0</v>
      </c>
      <c r="C182" s="11" t="str">
        <f ca="1">+WORLDCUP!BD62</f>
        <v>Ecuador</v>
      </c>
      <c r="D182" s="11" t="str">
        <f ca="1">+WORLDCUP!BD67</f>
        <v>Jordania</v>
      </c>
      <c r="E182" s="11" t="str">
        <f ca="1">+WORLDCUP!BD66</f>
        <v>Senegal</v>
      </c>
      <c r="F182" s="11" t="str">
        <f ca="1">+WORLDCUP!BD61</f>
        <v>Paraguay</v>
      </c>
      <c r="G182" s="11" t="str">
        <f ca="1">+WORLDCUP!BD58</f>
        <v>República Checa</v>
      </c>
      <c r="H182" s="11" t="str">
        <f ca="1">+WORLDCUP!BD65</f>
        <v>España</v>
      </c>
      <c r="I182" s="11" t="str">
        <f ca="1">+WORLDCUP!BD69</f>
        <v>Panamá</v>
      </c>
      <c r="J182" s="11" t="str">
        <f ca="1">+WORLDCUP!BD68</f>
        <v>RD Congo</v>
      </c>
      <c r="N182" s="11" t="s">
        <v>1049</v>
      </c>
      <c r="O182" s="11">
        <v>181</v>
      </c>
      <c r="P182" s="11" t="s">
        <v>93</v>
      </c>
      <c r="Q182" s="11" t="s">
        <v>441</v>
      </c>
      <c r="R182" s="11" t="s">
        <v>440</v>
      </c>
      <c r="S182" s="11" t="s">
        <v>92</v>
      </c>
      <c r="T182" s="11" t="s">
        <v>89</v>
      </c>
      <c r="U182" s="11" t="s">
        <v>436</v>
      </c>
      <c r="V182" s="11" t="s">
        <v>443</v>
      </c>
      <c r="W182" s="11" t="s">
        <v>442</v>
      </c>
    </row>
    <row r="183" spans="1:23">
      <c r="A183" s="11" t="s">
        <v>1048</v>
      </c>
      <c r="B183" s="11">
        <f ca="1">+IF(A183=WORLDCUP!$BI$112,1,0)</f>
        <v>0</v>
      </c>
      <c r="C183" s="11" t="str">
        <f ca="1">+WORLDCUP!BD62</f>
        <v>Ecuador</v>
      </c>
      <c r="D183" s="11" t="str">
        <f ca="1">+WORLDCUP!BD67</f>
        <v>Jordania</v>
      </c>
      <c r="E183" s="11" t="str">
        <f ca="1">+WORLDCUP!BD66</f>
        <v>Senegal</v>
      </c>
      <c r="F183" s="11" t="str">
        <f ca="1">+WORLDCUP!BD61</f>
        <v>Paraguay</v>
      </c>
      <c r="G183" s="11" t="str">
        <f ca="1">+WORLDCUP!BD58</f>
        <v>República Checa</v>
      </c>
      <c r="H183" s="11" t="str">
        <f ca="1">+WORLDCUP!BD64</f>
        <v>Bélgica</v>
      </c>
      <c r="I183" s="11" t="str">
        <f ca="1">+WORLDCUP!BD69</f>
        <v>Panamá</v>
      </c>
      <c r="J183" s="11" t="str">
        <f ca="1">+WORLDCUP!BD68</f>
        <v>RD Congo</v>
      </c>
      <c r="N183" s="11" t="s">
        <v>1048</v>
      </c>
      <c r="O183" s="11">
        <v>182</v>
      </c>
      <c r="P183" s="11" t="s">
        <v>93</v>
      </c>
      <c r="Q183" s="11" t="s">
        <v>441</v>
      </c>
      <c r="R183" s="11" t="s">
        <v>440</v>
      </c>
      <c r="S183" s="11" t="s">
        <v>92</v>
      </c>
      <c r="T183" s="11" t="s">
        <v>89</v>
      </c>
      <c r="U183" s="11" t="s">
        <v>435</v>
      </c>
      <c r="V183" s="11" t="s">
        <v>443</v>
      </c>
      <c r="W183" s="11" t="s">
        <v>442</v>
      </c>
    </row>
    <row r="184" spans="1:23">
      <c r="A184" s="11" t="s">
        <v>1047</v>
      </c>
      <c r="B184" s="11">
        <f ca="1">+IF(A184=WORLDCUP!$BI$112,1,0)</f>
        <v>0</v>
      </c>
      <c r="C184" s="11" t="str">
        <f ca="1">+WORLDCUP!BD62</f>
        <v>Ecuador</v>
      </c>
      <c r="D184" s="11" t="str">
        <f ca="1">+WORLDCUP!BD64</f>
        <v>Bélgica</v>
      </c>
      <c r="E184" s="11" t="str">
        <f ca="1">+WORLDCUP!BD67</f>
        <v>Jordania</v>
      </c>
      <c r="F184" s="11" t="str">
        <f ca="1">+WORLDCUP!BD61</f>
        <v>Paraguay</v>
      </c>
      <c r="G184" s="11" t="str">
        <f ca="1">+WORLDCUP!BD58</f>
        <v>República Checa</v>
      </c>
      <c r="H184" s="11" t="str">
        <f ca="1">+WORLDCUP!BD65</f>
        <v>España</v>
      </c>
      <c r="I184" s="11" t="str">
        <f ca="1">+WORLDCUP!BD69</f>
        <v>Panamá</v>
      </c>
      <c r="J184" s="11" t="str">
        <f ca="1">+WORLDCUP!BD68</f>
        <v>RD Congo</v>
      </c>
      <c r="N184" s="11" t="s">
        <v>1047</v>
      </c>
      <c r="O184" s="11">
        <v>183</v>
      </c>
      <c r="P184" s="11" t="s">
        <v>93</v>
      </c>
      <c r="Q184" s="11" t="s">
        <v>435</v>
      </c>
      <c r="R184" s="11" t="s">
        <v>441</v>
      </c>
      <c r="S184" s="11" t="s">
        <v>92</v>
      </c>
      <c r="T184" s="11" t="s">
        <v>89</v>
      </c>
      <c r="U184" s="11" t="s">
        <v>436</v>
      </c>
      <c r="V184" s="11" t="s">
        <v>443</v>
      </c>
      <c r="W184" s="11" t="s">
        <v>442</v>
      </c>
    </row>
    <row r="185" spans="1:23">
      <c r="A185" s="11" t="s">
        <v>1046</v>
      </c>
      <c r="B185" s="11">
        <f ca="1">+IF(A185=WORLDCUP!$BI$112,1,0)</f>
        <v>0</v>
      </c>
      <c r="C185" s="11" t="str">
        <f ca="1">+WORLDCUP!BD62</f>
        <v>Ecuador</v>
      </c>
      <c r="D185" s="11" t="str">
        <f ca="1">+WORLDCUP!BD64</f>
        <v>Bélgica</v>
      </c>
      <c r="E185" s="11" t="str">
        <f ca="1">+WORLDCUP!BD66</f>
        <v>Senegal</v>
      </c>
      <c r="F185" s="11" t="str">
        <f ca="1">+WORLDCUP!BD61</f>
        <v>Paraguay</v>
      </c>
      <c r="G185" s="11" t="str">
        <f ca="1">+WORLDCUP!BD58</f>
        <v>República Checa</v>
      </c>
      <c r="H185" s="11" t="str">
        <f ca="1">+WORLDCUP!BD65</f>
        <v>España</v>
      </c>
      <c r="I185" s="11" t="str">
        <f ca="1">+WORLDCUP!BD69</f>
        <v>Panamá</v>
      </c>
      <c r="J185" s="11" t="str">
        <f ca="1">+WORLDCUP!BD68</f>
        <v>RD Congo</v>
      </c>
      <c r="N185" s="11" t="s">
        <v>1046</v>
      </c>
      <c r="O185" s="11">
        <v>184</v>
      </c>
      <c r="P185" s="11" t="s">
        <v>93</v>
      </c>
      <c r="Q185" s="11" t="s">
        <v>435</v>
      </c>
      <c r="R185" s="11" t="s">
        <v>440</v>
      </c>
      <c r="S185" s="11" t="s">
        <v>92</v>
      </c>
      <c r="T185" s="11" t="s">
        <v>89</v>
      </c>
      <c r="U185" s="11" t="s">
        <v>436</v>
      </c>
      <c r="V185" s="11" t="s">
        <v>443</v>
      </c>
      <c r="W185" s="11" t="s">
        <v>442</v>
      </c>
    </row>
    <row r="186" spans="1:23">
      <c r="A186" s="11" t="s">
        <v>1045</v>
      </c>
      <c r="B186" s="11">
        <f ca="1">+IF(A186=WORLDCUP!$BI$112,1,0)</f>
        <v>0</v>
      </c>
      <c r="C186" s="11" t="str">
        <f ca="1">+WORLDCUP!BD62</f>
        <v>Ecuador</v>
      </c>
      <c r="D186" s="11" t="str">
        <f ca="1">+WORLDCUP!BD64</f>
        <v>Bélgica</v>
      </c>
      <c r="E186" s="11" t="str">
        <f ca="1">+WORLDCUP!BD67</f>
        <v>Jordania</v>
      </c>
      <c r="F186" s="11" t="str">
        <f ca="1">+WORLDCUP!BD61</f>
        <v>Paraguay</v>
      </c>
      <c r="G186" s="11" t="str">
        <f ca="1">+WORLDCUP!BD58</f>
        <v>República Checa</v>
      </c>
      <c r="H186" s="11" t="str">
        <f ca="1">+WORLDCUP!BD65</f>
        <v>España</v>
      </c>
      <c r="I186" s="11" t="str">
        <f ca="1">+WORLDCUP!BD69</f>
        <v>Panamá</v>
      </c>
      <c r="J186" s="11" t="str">
        <f ca="1">+WORLDCUP!BD66</f>
        <v>Senegal</v>
      </c>
      <c r="N186" s="11" t="s">
        <v>1045</v>
      </c>
      <c r="O186" s="11">
        <v>185</v>
      </c>
      <c r="P186" s="11" t="s">
        <v>93</v>
      </c>
      <c r="Q186" s="11" t="s">
        <v>435</v>
      </c>
      <c r="R186" s="11" t="s">
        <v>441</v>
      </c>
      <c r="S186" s="11" t="s">
        <v>92</v>
      </c>
      <c r="T186" s="11" t="s">
        <v>89</v>
      </c>
      <c r="U186" s="11" t="s">
        <v>436</v>
      </c>
      <c r="V186" s="11" t="s">
        <v>443</v>
      </c>
      <c r="W186" s="11" t="s">
        <v>440</v>
      </c>
    </row>
    <row r="187" spans="1:23">
      <c r="A187" s="11" t="s">
        <v>1044</v>
      </c>
      <c r="B187" s="11">
        <f ca="1">+IF(A187=WORLDCUP!$BI$112,1,0)</f>
        <v>0</v>
      </c>
      <c r="C187" s="11" t="str">
        <f ca="1">+WORLDCUP!BD62</f>
        <v>Ecuador</v>
      </c>
      <c r="D187" s="11" t="str">
        <f ca="1">+WORLDCUP!BD64</f>
        <v>Bélgica</v>
      </c>
      <c r="E187" s="11" t="str">
        <f ca="1">+WORLDCUP!BD67</f>
        <v>Jordania</v>
      </c>
      <c r="F187" s="11" t="str">
        <f ca="1">+WORLDCUP!BD61</f>
        <v>Paraguay</v>
      </c>
      <c r="G187" s="11" t="str">
        <f ca="1">+WORLDCUP!BD58</f>
        <v>República Checa</v>
      </c>
      <c r="H187" s="11" t="str">
        <f ca="1">+WORLDCUP!BD65</f>
        <v>España</v>
      </c>
      <c r="I187" s="11" t="str">
        <f ca="1">+WORLDCUP!BD66</f>
        <v>Senegal</v>
      </c>
      <c r="J187" s="11" t="str">
        <f ca="1">+WORLDCUP!BD68</f>
        <v>RD Congo</v>
      </c>
      <c r="N187" s="11" t="s">
        <v>1044</v>
      </c>
      <c r="O187" s="11">
        <v>186</v>
      </c>
      <c r="P187" s="11" t="s">
        <v>93</v>
      </c>
      <c r="Q187" s="11" t="s">
        <v>435</v>
      </c>
      <c r="R187" s="11" t="s">
        <v>441</v>
      </c>
      <c r="S187" s="11" t="s">
        <v>92</v>
      </c>
      <c r="T187" s="11" t="s">
        <v>89</v>
      </c>
      <c r="U187" s="11" t="s">
        <v>436</v>
      </c>
      <c r="V187" s="11" t="s">
        <v>440</v>
      </c>
      <c r="W187" s="11" t="s">
        <v>442</v>
      </c>
    </row>
    <row r="188" spans="1:23">
      <c r="A188" s="11" t="s">
        <v>1043</v>
      </c>
      <c r="B188" s="11">
        <f ca="1">+IF(A188=WORLDCUP!$BI$112,1,0)</f>
        <v>0</v>
      </c>
      <c r="C188" s="11" t="str">
        <f ca="1">+WORLDCUP!BD62</f>
        <v>Ecuador</v>
      </c>
      <c r="D188" s="11" t="str">
        <f ca="1">+WORLDCUP!BD67</f>
        <v>Jordania</v>
      </c>
      <c r="E188" s="11" t="str">
        <f ca="1">+WORLDCUP!BD66</f>
        <v>Senegal</v>
      </c>
      <c r="F188" s="11" t="str">
        <f ca="1">+WORLDCUP!BD61</f>
        <v>Paraguay</v>
      </c>
      <c r="G188" s="11" t="str">
        <f ca="1">+WORLDCUP!BD58</f>
        <v>República Checa</v>
      </c>
      <c r="H188" s="11" t="str">
        <f ca="1">+WORLDCUP!BD63</f>
        <v>Japón</v>
      </c>
      <c r="I188" s="11" t="str">
        <f ca="1">+WORLDCUP!BD69</f>
        <v>Panamá</v>
      </c>
      <c r="J188" s="11" t="str">
        <f ca="1">+WORLDCUP!BD68</f>
        <v>RD Congo</v>
      </c>
      <c r="N188" s="11" t="s">
        <v>1043</v>
      </c>
      <c r="O188" s="11">
        <v>187</v>
      </c>
      <c r="P188" s="11" t="s">
        <v>93</v>
      </c>
      <c r="Q188" s="11" t="s">
        <v>441</v>
      </c>
      <c r="R188" s="11" t="s">
        <v>440</v>
      </c>
      <c r="S188" s="11" t="s">
        <v>92</v>
      </c>
      <c r="T188" s="11" t="s">
        <v>89</v>
      </c>
      <c r="U188" s="11" t="s">
        <v>94</v>
      </c>
      <c r="V188" s="11" t="s">
        <v>443</v>
      </c>
      <c r="W188" s="11" t="s">
        <v>442</v>
      </c>
    </row>
    <row r="189" spans="1:23">
      <c r="A189" s="11" t="s">
        <v>1042</v>
      </c>
      <c r="B189" s="11">
        <f ca="1">+IF(A189=WORLDCUP!$BI$112,1,0)</f>
        <v>0</v>
      </c>
      <c r="C189" s="11" t="str">
        <f ca="1">+WORLDCUP!BD65</f>
        <v>España</v>
      </c>
      <c r="D189" s="11" t="str">
        <f ca="1">+WORLDCUP!BD67</f>
        <v>Jordania</v>
      </c>
      <c r="E189" s="11" t="str">
        <f ca="1">+WORLDCUP!BD62</f>
        <v>Ecuador</v>
      </c>
      <c r="F189" s="11" t="str">
        <f ca="1">+WORLDCUP!BD61</f>
        <v>Paraguay</v>
      </c>
      <c r="G189" s="11" t="str">
        <f ca="1">+WORLDCUP!BD58</f>
        <v>República Checa</v>
      </c>
      <c r="H189" s="11" t="str">
        <f ca="1">+WORLDCUP!BD63</f>
        <v>Japón</v>
      </c>
      <c r="I189" s="11" t="str">
        <f ca="1">+WORLDCUP!BD69</f>
        <v>Panamá</v>
      </c>
      <c r="J189" s="11" t="str">
        <f ca="1">+WORLDCUP!BD68</f>
        <v>RD Congo</v>
      </c>
      <c r="N189" s="11" t="s">
        <v>1042</v>
      </c>
      <c r="O189" s="11">
        <v>188</v>
      </c>
      <c r="P189" s="11" t="s">
        <v>436</v>
      </c>
      <c r="Q189" s="11" t="s">
        <v>441</v>
      </c>
      <c r="R189" s="11" t="s">
        <v>93</v>
      </c>
      <c r="S189" s="11" t="s">
        <v>92</v>
      </c>
      <c r="T189" s="11" t="s">
        <v>89</v>
      </c>
      <c r="U189" s="11" t="s">
        <v>94</v>
      </c>
      <c r="V189" s="11" t="s">
        <v>443</v>
      </c>
      <c r="W189" s="11" t="s">
        <v>442</v>
      </c>
    </row>
    <row r="190" spans="1:23">
      <c r="A190" s="11" t="s">
        <v>1041</v>
      </c>
      <c r="B190" s="11">
        <f ca="1">+IF(A190=WORLDCUP!$BI$112,1,0)</f>
        <v>0</v>
      </c>
      <c r="C190" s="11" t="str">
        <f ca="1">+WORLDCUP!BD65</f>
        <v>España</v>
      </c>
      <c r="D190" s="11" t="str">
        <f ca="1">+WORLDCUP!BD62</f>
        <v>Ecuador</v>
      </c>
      <c r="E190" s="11" t="str">
        <f ca="1">+WORLDCUP!BD66</f>
        <v>Senegal</v>
      </c>
      <c r="F190" s="11" t="str">
        <f ca="1">+WORLDCUP!BD61</f>
        <v>Paraguay</v>
      </c>
      <c r="G190" s="11" t="str">
        <f ca="1">+WORLDCUP!BD58</f>
        <v>República Checa</v>
      </c>
      <c r="H190" s="11" t="str">
        <f ca="1">+WORLDCUP!BD63</f>
        <v>Japón</v>
      </c>
      <c r="I190" s="11" t="str">
        <f ca="1">+WORLDCUP!BD69</f>
        <v>Panamá</v>
      </c>
      <c r="J190" s="11" t="str">
        <f ca="1">+WORLDCUP!BD68</f>
        <v>RD Congo</v>
      </c>
      <c r="N190" s="11" t="s">
        <v>1041</v>
      </c>
      <c r="O190" s="11">
        <v>189</v>
      </c>
      <c r="P190" s="11" t="s">
        <v>436</v>
      </c>
      <c r="Q190" s="11" t="s">
        <v>93</v>
      </c>
      <c r="R190" s="11" t="s">
        <v>440</v>
      </c>
      <c r="S190" s="11" t="s">
        <v>92</v>
      </c>
      <c r="T190" s="11" t="s">
        <v>89</v>
      </c>
      <c r="U190" s="11" t="s">
        <v>94</v>
      </c>
      <c r="V190" s="11" t="s">
        <v>443</v>
      </c>
      <c r="W190" s="11" t="s">
        <v>442</v>
      </c>
    </row>
    <row r="191" spans="1:23">
      <c r="A191" s="11" t="s">
        <v>1040</v>
      </c>
      <c r="B191" s="11">
        <f ca="1">+IF(A191=WORLDCUP!$BI$112,1,0)</f>
        <v>0</v>
      </c>
      <c r="C191" s="11" t="str">
        <f ca="1">+WORLDCUP!BD65</f>
        <v>España</v>
      </c>
      <c r="D191" s="11" t="str">
        <f ca="1">+WORLDCUP!BD67</f>
        <v>Jordania</v>
      </c>
      <c r="E191" s="11" t="str">
        <f ca="1">+WORLDCUP!BD62</f>
        <v>Ecuador</v>
      </c>
      <c r="F191" s="11" t="str">
        <f ca="1">+WORLDCUP!BD61</f>
        <v>Paraguay</v>
      </c>
      <c r="G191" s="11" t="str">
        <f ca="1">+WORLDCUP!BD58</f>
        <v>República Checa</v>
      </c>
      <c r="H191" s="11" t="str">
        <f ca="1">+WORLDCUP!BD63</f>
        <v>Japón</v>
      </c>
      <c r="I191" s="11" t="str">
        <f ca="1">+WORLDCUP!BD69</f>
        <v>Panamá</v>
      </c>
      <c r="J191" s="11" t="str">
        <f ca="1">+WORLDCUP!BD66</f>
        <v>Senegal</v>
      </c>
      <c r="N191" s="11" t="s">
        <v>1040</v>
      </c>
      <c r="O191" s="11">
        <v>190</v>
      </c>
      <c r="P191" s="11" t="s">
        <v>436</v>
      </c>
      <c r="Q191" s="11" t="s">
        <v>441</v>
      </c>
      <c r="R191" s="11" t="s">
        <v>93</v>
      </c>
      <c r="S191" s="11" t="s">
        <v>92</v>
      </c>
      <c r="T191" s="11" t="s">
        <v>89</v>
      </c>
      <c r="U191" s="11" t="s">
        <v>94</v>
      </c>
      <c r="V191" s="11" t="s">
        <v>443</v>
      </c>
      <c r="W191" s="11" t="s">
        <v>440</v>
      </c>
    </row>
    <row r="192" spans="1:23">
      <c r="A192" s="11" t="s">
        <v>1039</v>
      </c>
      <c r="B192" s="11">
        <f ca="1">+IF(A192=WORLDCUP!$BI$112,1,0)</f>
        <v>0</v>
      </c>
      <c r="C192" s="11" t="str">
        <f ca="1">+WORLDCUP!BD65</f>
        <v>España</v>
      </c>
      <c r="D192" s="11" t="str">
        <f ca="1">+WORLDCUP!BD67</f>
        <v>Jordania</v>
      </c>
      <c r="E192" s="11" t="str">
        <f ca="1">+WORLDCUP!BD62</f>
        <v>Ecuador</v>
      </c>
      <c r="F192" s="11" t="str">
        <f ca="1">+WORLDCUP!BD61</f>
        <v>Paraguay</v>
      </c>
      <c r="G192" s="11" t="str">
        <f ca="1">+WORLDCUP!BD58</f>
        <v>República Checa</v>
      </c>
      <c r="H192" s="11" t="str">
        <f ca="1">+WORLDCUP!BD63</f>
        <v>Japón</v>
      </c>
      <c r="I192" s="11" t="str">
        <f ca="1">+WORLDCUP!BD66</f>
        <v>Senegal</v>
      </c>
      <c r="J192" s="11" t="str">
        <f ca="1">+WORLDCUP!BD68</f>
        <v>RD Congo</v>
      </c>
      <c r="N192" s="11" t="s">
        <v>1039</v>
      </c>
      <c r="O192" s="11">
        <v>191</v>
      </c>
      <c r="P192" s="11" t="s">
        <v>436</v>
      </c>
      <c r="Q192" s="11" t="s">
        <v>441</v>
      </c>
      <c r="R192" s="11" t="s">
        <v>93</v>
      </c>
      <c r="S192" s="11" t="s">
        <v>92</v>
      </c>
      <c r="T192" s="11" t="s">
        <v>89</v>
      </c>
      <c r="U192" s="11" t="s">
        <v>94</v>
      </c>
      <c r="V192" s="11" t="s">
        <v>440</v>
      </c>
      <c r="W192" s="11" t="s">
        <v>442</v>
      </c>
    </row>
    <row r="193" spans="1:23">
      <c r="A193" s="11" t="s">
        <v>1038</v>
      </c>
      <c r="B193" s="11">
        <f ca="1">+IF(A193=WORLDCUP!$BI$112,1,0)</f>
        <v>0</v>
      </c>
      <c r="C193" s="11" t="str">
        <f ca="1">+WORLDCUP!BD62</f>
        <v>Ecuador</v>
      </c>
      <c r="D193" s="11" t="str">
        <f ca="1">+WORLDCUP!BD64</f>
        <v>Bélgica</v>
      </c>
      <c r="E193" s="11" t="str">
        <f ca="1">+WORLDCUP!BD67</f>
        <v>Jordania</v>
      </c>
      <c r="F193" s="11" t="str">
        <f ca="1">+WORLDCUP!BD61</f>
        <v>Paraguay</v>
      </c>
      <c r="G193" s="11" t="str">
        <f ca="1">+WORLDCUP!BD58</f>
        <v>República Checa</v>
      </c>
      <c r="H193" s="11" t="str">
        <f ca="1">+WORLDCUP!BD63</f>
        <v>Japón</v>
      </c>
      <c r="I193" s="11" t="str">
        <f ca="1">+WORLDCUP!BD69</f>
        <v>Panamá</v>
      </c>
      <c r="J193" s="11" t="str">
        <f ca="1">+WORLDCUP!BD68</f>
        <v>RD Congo</v>
      </c>
      <c r="N193" s="11" t="s">
        <v>1038</v>
      </c>
      <c r="O193" s="11">
        <v>192</v>
      </c>
      <c r="P193" s="11" t="s">
        <v>93</v>
      </c>
      <c r="Q193" s="11" t="s">
        <v>435</v>
      </c>
      <c r="R193" s="11" t="s">
        <v>441</v>
      </c>
      <c r="S193" s="11" t="s">
        <v>92</v>
      </c>
      <c r="T193" s="11" t="s">
        <v>89</v>
      </c>
      <c r="U193" s="11" t="s">
        <v>94</v>
      </c>
      <c r="V193" s="11" t="s">
        <v>443</v>
      </c>
      <c r="W193" s="11" t="s">
        <v>442</v>
      </c>
    </row>
    <row r="194" spans="1:23">
      <c r="A194" s="11" t="s">
        <v>1037</v>
      </c>
      <c r="B194" s="11">
        <f ca="1">+IF(A194=WORLDCUP!$BI$112,1,0)</f>
        <v>0</v>
      </c>
      <c r="C194" s="11" t="str">
        <f ca="1">+WORLDCUP!BD62</f>
        <v>Ecuador</v>
      </c>
      <c r="D194" s="11" t="str">
        <f ca="1">+WORLDCUP!BD64</f>
        <v>Bélgica</v>
      </c>
      <c r="E194" s="11" t="str">
        <f ca="1">+WORLDCUP!BD66</f>
        <v>Senegal</v>
      </c>
      <c r="F194" s="11" t="str">
        <f ca="1">+WORLDCUP!BD61</f>
        <v>Paraguay</v>
      </c>
      <c r="G194" s="11" t="str">
        <f ca="1">+WORLDCUP!BD58</f>
        <v>República Checa</v>
      </c>
      <c r="H194" s="11" t="str">
        <f ca="1">+WORLDCUP!BD63</f>
        <v>Japón</v>
      </c>
      <c r="I194" s="11" t="str">
        <f ca="1">+WORLDCUP!BD69</f>
        <v>Panamá</v>
      </c>
      <c r="J194" s="11" t="str">
        <f ca="1">+WORLDCUP!BD68</f>
        <v>RD Congo</v>
      </c>
      <c r="N194" s="11" t="s">
        <v>1037</v>
      </c>
      <c r="O194" s="11">
        <v>193</v>
      </c>
      <c r="P194" s="11" t="s">
        <v>93</v>
      </c>
      <c r="Q194" s="11" t="s">
        <v>435</v>
      </c>
      <c r="R194" s="11" t="s">
        <v>440</v>
      </c>
      <c r="S194" s="11" t="s">
        <v>92</v>
      </c>
      <c r="T194" s="11" t="s">
        <v>89</v>
      </c>
      <c r="U194" s="11" t="s">
        <v>94</v>
      </c>
      <c r="V194" s="11" t="s">
        <v>443</v>
      </c>
      <c r="W194" s="11" t="s">
        <v>442</v>
      </c>
    </row>
    <row r="195" spans="1:23">
      <c r="A195" s="11" t="s">
        <v>1036</v>
      </c>
      <c r="B195" s="11">
        <f ca="1">+IF(A195=WORLDCUP!$BI$112,1,0)</f>
        <v>0</v>
      </c>
      <c r="C195" s="11" t="str">
        <f ca="1">+WORLDCUP!BD62</f>
        <v>Ecuador</v>
      </c>
      <c r="D195" s="11" t="str">
        <f ca="1">+WORLDCUP!BD64</f>
        <v>Bélgica</v>
      </c>
      <c r="E195" s="11" t="str">
        <f ca="1">+WORLDCUP!BD67</f>
        <v>Jordania</v>
      </c>
      <c r="F195" s="11" t="str">
        <f ca="1">+WORLDCUP!BD61</f>
        <v>Paraguay</v>
      </c>
      <c r="G195" s="11" t="str">
        <f ca="1">+WORLDCUP!BD58</f>
        <v>República Checa</v>
      </c>
      <c r="H195" s="11" t="str">
        <f ca="1">+WORLDCUP!BD63</f>
        <v>Japón</v>
      </c>
      <c r="I195" s="11" t="str">
        <f ca="1">+WORLDCUP!BD69</f>
        <v>Panamá</v>
      </c>
      <c r="J195" s="11" t="str">
        <f ca="1">+WORLDCUP!BD66</f>
        <v>Senegal</v>
      </c>
      <c r="N195" s="11" t="s">
        <v>1036</v>
      </c>
      <c r="O195" s="11">
        <v>194</v>
      </c>
      <c r="P195" s="11" t="s">
        <v>93</v>
      </c>
      <c r="Q195" s="11" t="s">
        <v>435</v>
      </c>
      <c r="R195" s="11" t="s">
        <v>441</v>
      </c>
      <c r="S195" s="11" t="s">
        <v>92</v>
      </c>
      <c r="T195" s="11" t="s">
        <v>89</v>
      </c>
      <c r="U195" s="11" t="s">
        <v>94</v>
      </c>
      <c r="V195" s="11" t="s">
        <v>443</v>
      </c>
      <c r="W195" s="11" t="s">
        <v>440</v>
      </c>
    </row>
    <row r="196" spans="1:23">
      <c r="A196" s="11" t="s">
        <v>1035</v>
      </c>
      <c r="B196" s="11">
        <f ca="1">+IF(A196=WORLDCUP!$BI$112,1,0)</f>
        <v>0</v>
      </c>
      <c r="C196" s="11" t="str">
        <f ca="1">+WORLDCUP!BD62</f>
        <v>Ecuador</v>
      </c>
      <c r="D196" s="11" t="str">
        <f ca="1">+WORLDCUP!BD64</f>
        <v>Bélgica</v>
      </c>
      <c r="E196" s="11" t="str">
        <f ca="1">+WORLDCUP!BD67</f>
        <v>Jordania</v>
      </c>
      <c r="F196" s="11" t="str">
        <f ca="1">+WORLDCUP!BD61</f>
        <v>Paraguay</v>
      </c>
      <c r="G196" s="11" t="str">
        <f ca="1">+WORLDCUP!BD58</f>
        <v>República Checa</v>
      </c>
      <c r="H196" s="11" t="str">
        <f ca="1">+WORLDCUP!BD63</f>
        <v>Japón</v>
      </c>
      <c r="I196" s="11" t="str">
        <f ca="1">+WORLDCUP!BD66</f>
        <v>Senegal</v>
      </c>
      <c r="J196" s="11" t="str">
        <f ca="1">+WORLDCUP!BD68</f>
        <v>RD Congo</v>
      </c>
      <c r="N196" s="11" t="s">
        <v>1035</v>
      </c>
      <c r="O196" s="11">
        <v>195</v>
      </c>
      <c r="P196" s="11" t="s">
        <v>93</v>
      </c>
      <c r="Q196" s="11" t="s">
        <v>435</v>
      </c>
      <c r="R196" s="11" t="s">
        <v>441</v>
      </c>
      <c r="S196" s="11" t="s">
        <v>92</v>
      </c>
      <c r="T196" s="11" t="s">
        <v>89</v>
      </c>
      <c r="U196" s="11" t="s">
        <v>94</v>
      </c>
      <c r="V196" s="11" t="s">
        <v>440</v>
      </c>
      <c r="W196" s="11" t="s">
        <v>442</v>
      </c>
    </row>
    <row r="197" spans="1:23">
      <c r="A197" s="11" t="s">
        <v>592</v>
      </c>
      <c r="B197" s="11">
        <f ca="1">+IF(A197=WORLDCUP!$BI$112,1,0)</f>
        <v>0</v>
      </c>
      <c r="C197" s="11" t="str">
        <f ca="1">+WORLDCUP!BD65</f>
        <v>España</v>
      </c>
      <c r="D197" s="11" t="str">
        <f ca="1">+WORLDCUP!BD64</f>
        <v>Bélgica</v>
      </c>
      <c r="E197" s="11" t="str">
        <f ca="1">+WORLDCUP!BD62</f>
        <v>Ecuador</v>
      </c>
      <c r="F197" s="11" t="str">
        <f ca="1">+WORLDCUP!BD61</f>
        <v>Paraguay</v>
      </c>
      <c r="G197" s="11" t="str">
        <f ca="1">+WORLDCUP!BD58</f>
        <v>República Checa</v>
      </c>
      <c r="H197" s="11" t="str">
        <f ca="1">+WORLDCUP!BD63</f>
        <v>Japón</v>
      </c>
      <c r="I197" s="11" t="str">
        <f ca="1">+WORLDCUP!BD69</f>
        <v>Panamá</v>
      </c>
      <c r="J197" s="11" t="str">
        <f ca="1">+WORLDCUP!BD68</f>
        <v>RD Congo</v>
      </c>
      <c r="N197" s="11" t="s">
        <v>592</v>
      </c>
      <c r="O197" s="11">
        <v>196</v>
      </c>
      <c r="P197" s="11" t="s">
        <v>436</v>
      </c>
      <c r="Q197" s="11" t="s">
        <v>435</v>
      </c>
      <c r="R197" s="11" t="s">
        <v>93</v>
      </c>
      <c r="S197" s="11" t="s">
        <v>92</v>
      </c>
      <c r="T197" s="11" t="s">
        <v>89</v>
      </c>
      <c r="U197" s="11" t="s">
        <v>94</v>
      </c>
      <c r="V197" s="11" t="s">
        <v>443</v>
      </c>
      <c r="W197" s="11" t="s">
        <v>442</v>
      </c>
    </row>
    <row r="198" spans="1:23">
      <c r="A198" s="11" t="s">
        <v>591</v>
      </c>
      <c r="B198" s="11">
        <f ca="1">+IF(A198=WORLDCUP!$BI$112,1,0)</f>
        <v>0</v>
      </c>
      <c r="C198" s="11" t="str">
        <f ca="1">+WORLDCUP!BD65</f>
        <v>España</v>
      </c>
      <c r="D198" s="11" t="str">
        <f ca="1">+WORLDCUP!BD64</f>
        <v>Bélgica</v>
      </c>
      <c r="E198" s="11" t="str">
        <f ca="1">+WORLDCUP!BD67</f>
        <v>Jordania</v>
      </c>
      <c r="F198" s="11" t="str">
        <f ca="1">+WORLDCUP!BD61</f>
        <v>Paraguay</v>
      </c>
      <c r="G198" s="11" t="str">
        <f ca="1">+WORLDCUP!BD58</f>
        <v>República Checa</v>
      </c>
      <c r="H198" s="11" t="str">
        <f ca="1">+WORLDCUP!BD63</f>
        <v>Japón</v>
      </c>
      <c r="I198" s="11" t="str">
        <f ca="1">+WORLDCUP!BD69</f>
        <v>Panamá</v>
      </c>
      <c r="J198" s="11" t="str">
        <f ca="1">+WORLDCUP!BD62</f>
        <v>Ecuador</v>
      </c>
      <c r="N198" s="11" t="s">
        <v>591</v>
      </c>
      <c r="O198" s="11">
        <v>197</v>
      </c>
      <c r="P198" s="11" t="s">
        <v>436</v>
      </c>
      <c r="Q198" s="11" t="s">
        <v>435</v>
      </c>
      <c r="R198" s="11" t="s">
        <v>441</v>
      </c>
      <c r="S198" s="11" t="s">
        <v>92</v>
      </c>
      <c r="T198" s="11" t="s">
        <v>89</v>
      </c>
      <c r="U198" s="11" t="s">
        <v>94</v>
      </c>
      <c r="V198" s="11" t="s">
        <v>443</v>
      </c>
      <c r="W198" s="11" t="s">
        <v>93</v>
      </c>
    </row>
    <row r="199" spans="1:23">
      <c r="A199" s="11" t="s">
        <v>590</v>
      </c>
      <c r="B199" s="11">
        <f ca="1">+IF(A199=WORLDCUP!$BI$112,1,0)</f>
        <v>0</v>
      </c>
      <c r="C199" s="11" t="str">
        <f ca="1">+WORLDCUP!BD65</f>
        <v>España</v>
      </c>
      <c r="D199" s="11" t="str">
        <f ca="1">+WORLDCUP!BD64</f>
        <v>Bélgica</v>
      </c>
      <c r="E199" s="11" t="str">
        <f ca="1">+WORLDCUP!BD67</f>
        <v>Jordania</v>
      </c>
      <c r="F199" s="11" t="str">
        <f ca="1">+WORLDCUP!BD61</f>
        <v>Paraguay</v>
      </c>
      <c r="G199" s="11" t="str">
        <f ca="1">+WORLDCUP!BD58</f>
        <v>República Checa</v>
      </c>
      <c r="H199" s="11" t="str">
        <f ca="1">+WORLDCUP!BD63</f>
        <v>Japón</v>
      </c>
      <c r="I199" s="11" t="str">
        <f ca="1">+WORLDCUP!BD62</f>
        <v>Ecuador</v>
      </c>
      <c r="J199" s="11" t="str">
        <f ca="1">+WORLDCUP!BD68</f>
        <v>RD Congo</v>
      </c>
      <c r="N199" s="11" t="s">
        <v>590</v>
      </c>
      <c r="O199" s="11">
        <v>198</v>
      </c>
      <c r="P199" s="11" t="s">
        <v>436</v>
      </c>
      <c r="Q199" s="11" t="s">
        <v>435</v>
      </c>
      <c r="R199" s="11" t="s">
        <v>441</v>
      </c>
      <c r="S199" s="11" t="s">
        <v>92</v>
      </c>
      <c r="T199" s="11" t="s">
        <v>89</v>
      </c>
      <c r="U199" s="11" t="s">
        <v>94</v>
      </c>
      <c r="V199" s="11" t="s">
        <v>93</v>
      </c>
      <c r="W199" s="11" t="s">
        <v>442</v>
      </c>
    </row>
    <row r="200" spans="1:23">
      <c r="A200" s="11" t="s">
        <v>589</v>
      </c>
      <c r="B200" s="11">
        <f ca="1">+IF(A200=WORLDCUP!$BI$112,1,0)</f>
        <v>0</v>
      </c>
      <c r="C200" s="11" t="str">
        <f ca="1">+WORLDCUP!BD65</f>
        <v>España</v>
      </c>
      <c r="D200" s="11" t="str">
        <f ca="1">+WORLDCUP!BD64</f>
        <v>Bélgica</v>
      </c>
      <c r="E200" s="11" t="str">
        <f ca="1">+WORLDCUP!BD62</f>
        <v>Ecuador</v>
      </c>
      <c r="F200" s="11" t="str">
        <f ca="1">+WORLDCUP!BD61</f>
        <v>Paraguay</v>
      </c>
      <c r="G200" s="11" t="str">
        <f ca="1">+WORLDCUP!BD58</f>
        <v>República Checa</v>
      </c>
      <c r="H200" s="11" t="str">
        <f ca="1">+WORLDCUP!BD63</f>
        <v>Japón</v>
      </c>
      <c r="I200" s="11" t="str">
        <f ca="1">+WORLDCUP!BD69</f>
        <v>Panamá</v>
      </c>
      <c r="J200" s="11" t="str">
        <f ca="1">+WORLDCUP!BD66</f>
        <v>Senegal</v>
      </c>
      <c r="N200" s="11" t="s">
        <v>589</v>
      </c>
      <c r="O200" s="11">
        <v>199</v>
      </c>
      <c r="P200" s="11" t="s">
        <v>436</v>
      </c>
      <c r="Q200" s="11" t="s">
        <v>435</v>
      </c>
      <c r="R200" s="11" t="s">
        <v>93</v>
      </c>
      <c r="S200" s="11" t="s">
        <v>92</v>
      </c>
      <c r="T200" s="11" t="s">
        <v>89</v>
      </c>
      <c r="U200" s="11" t="s">
        <v>94</v>
      </c>
      <c r="V200" s="11" t="s">
        <v>443</v>
      </c>
      <c r="W200" s="11" t="s">
        <v>440</v>
      </c>
    </row>
    <row r="201" spans="1:23">
      <c r="A201" s="11" t="s">
        <v>588</v>
      </c>
      <c r="B201" s="11">
        <f ca="1">+IF(A201=WORLDCUP!$BI$112,1,0)</f>
        <v>0</v>
      </c>
      <c r="C201" s="11" t="str">
        <f ca="1">+WORLDCUP!BD65</f>
        <v>España</v>
      </c>
      <c r="D201" s="11" t="str">
        <f ca="1">+WORLDCUP!BD64</f>
        <v>Bélgica</v>
      </c>
      <c r="E201" s="11" t="str">
        <f ca="1">+WORLDCUP!BD62</f>
        <v>Ecuador</v>
      </c>
      <c r="F201" s="11" t="str">
        <f ca="1">+WORLDCUP!BD61</f>
        <v>Paraguay</v>
      </c>
      <c r="G201" s="11" t="str">
        <f ca="1">+WORLDCUP!BD58</f>
        <v>República Checa</v>
      </c>
      <c r="H201" s="11" t="str">
        <f ca="1">+WORLDCUP!BD63</f>
        <v>Japón</v>
      </c>
      <c r="I201" s="11" t="str">
        <f ca="1">+WORLDCUP!BD66</f>
        <v>Senegal</v>
      </c>
      <c r="J201" s="11" t="str">
        <f ca="1">+WORLDCUP!BD68</f>
        <v>RD Congo</v>
      </c>
      <c r="N201" s="11" t="s">
        <v>588</v>
      </c>
      <c r="O201" s="11">
        <v>200</v>
      </c>
      <c r="P201" s="11" t="s">
        <v>436</v>
      </c>
      <c r="Q201" s="11" t="s">
        <v>435</v>
      </c>
      <c r="R201" s="11" t="s">
        <v>93</v>
      </c>
      <c r="S201" s="11" t="s">
        <v>92</v>
      </c>
      <c r="T201" s="11" t="s">
        <v>89</v>
      </c>
      <c r="U201" s="11" t="s">
        <v>94</v>
      </c>
      <c r="V201" s="11" t="s">
        <v>440</v>
      </c>
      <c r="W201" s="11" t="s">
        <v>442</v>
      </c>
    </row>
    <row r="202" spans="1:23">
      <c r="A202" s="11" t="s">
        <v>587</v>
      </c>
      <c r="B202" s="11">
        <f ca="1">+IF(A202=WORLDCUP!$BI$112,1,0)</f>
        <v>0</v>
      </c>
      <c r="C202" s="11" t="str">
        <f ca="1">+WORLDCUP!BD65</f>
        <v>España</v>
      </c>
      <c r="D202" s="11" t="str">
        <f ca="1">+WORLDCUP!BD64</f>
        <v>Bélgica</v>
      </c>
      <c r="E202" s="11" t="str">
        <f ca="1">+WORLDCUP!BD67</f>
        <v>Jordania</v>
      </c>
      <c r="F202" s="11" t="str">
        <f ca="1">+WORLDCUP!BD61</f>
        <v>Paraguay</v>
      </c>
      <c r="G202" s="11" t="str">
        <f ca="1">+WORLDCUP!BD58</f>
        <v>República Checa</v>
      </c>
      <c r="H202" s="11" t="str">
        <f ca="1">+WORLDCUP!BD63</f>
        <v>Japón</v>
      </c>
      <c r="I202" s="11" t="str">
        <f ca="1">+WORLDCUP!BD62</f>
        <v>Ecuador</v>
      </c>
      <c r="J202" s="11" t="str">
        <f ca="1">+WORLDCUP!BD66</f>
        <v>Senegal</v>
      </c>
      <c r="N202" s="11" t="s">
        <v>587</v>
      </c>
      <c r="O202" s="11">
        <v>201</v>
      </c>
      <c r="P202" s="11" t="s">
        <v>436</v>
      </c>
      <c r="Q202" s="11" t="s">
        <v>435</v>
      </c>
      <c r="R202" s="11" t="s">
        <v>441</v>
      </c>
      <c r="S202" s="11" t="s">
        <v>92</v>
      </c>
      <c r="T202" s="11" t="s">
        <v>89</v>
      </c>
      <c r="U202" s="11" t="s">
        <v>94</v>
      </c>
      <c r="V202" s="11" t="s">
        <v>93</v>
      </c>
      <c r="W202" s="11" t="s">
        <v>440</v>
      </c>
    </row>
    <row r="203" spans="1:23">
      <c r="A203" s="11" t="s">
        <v>1034</v>
      </c>
      <c r="B203" s="11">
        <f ca="1">+IF(A203=WORLDCUP!$BI$112,1,0)</f>
        <v>0</v>
      </c>
      <c r="C203" s="11" t="str">
        <f ca="1">+WORLDCUP!BD65</f>
        <v>España</v>
      </c>
      <c r="D203" s="11" t="str">
        <f ca="1">+WORLDCUP!BD67</f>
        <v>Jordania</v>
      </c>
      <c r="E203" s="11" t="str">
        <f ca="1">+WORLDCUP!BD66</f>
        <v>Senegal</v>
      </c>
      <c r="F203" s="11" t="str">
        <f ca="1">+WORLDCUP!BD60</f>
        <v>Escocia</v>
      </c>
      <c r="G203" s="11" t="str">
        <f ca="1">+WORLDCUP!BD58</f>
        <v>República Checa</v>
      </c>
      <c r="H203" s="11" t="str">
        <f ca="1">+WORLDCUP!BD64</f>
        <v>Bélgica</v>
      </c>
      <c r="I203" s="11" t="str">
        <f ca="1">+WORLDCUP!BD69</f>
        <v>Panamá</v>
      </c>
      <c r="J203" s="11" t="str">
        <f ca="1">+WORLDCUP!BD68</f>
        <v>RD Congo</v>
      </c>
      <c r="N203" s="11" t="s">
        <v>1034</v>
      </c>
      <c r="O203" s="11">
        <v>202</v>
      </c>
      <c r="P203" s="11" t="s">
        <v>436</v>
      </c>
      <c r="Q203" s="11" t="s">
        <v>441</v>
      </c>
      <c r="R203" s="11" t="s">
        <v>440</v>
      </c>
      <c r="S203" s="11" t="s">
        <v>91</v>
      </c>
      <c r="T203" s="11" t="s">
        <v>89</v>
      </c>
      <c r="U203" s="11" t="s">
        <v>435</v>
      </c>
      <c r="V203" s="11" t="s">
        <v>443</v>
      </c>
      <c r="W203" s="11" t="s">
        <v>442</v>
      </c>
    </row>
    <row r="204" spans="1:23">
      <c r="A204" s="11" t="s">
        <v>1033</v>
      </c>
      <c r="B204" s="11">
        <f ca="1">+IF(A204=WORLDCUP!$BI$112,1,0)</f>
        <v>0</v>
      </c>
      <c r="C204" s="11" t="str">
        <f ca="1">+WORLDCUP!BD65</f>
        <v>España</v>
      </c>
      <c r="D204" s="11" t="str">
        <f ca="1">+WORLDCUP!BD67</f>
        <v>Jordania</v>
      </c>
      <c r="E204" s="11" t="str">
        <f ca="1">+WORLDCUP!BD66</f>
        <v>Senegal</v>
      </c>
      <c r="F204" s="11" t="str">
        <f ca="1">+WORLDCUP!BD60</f>
        <v>Escocia</v>
      </c>
      <c r="G204" s="11" t="str">
        <f ca="1">+WORLDCUP!BD58</f>
        <v>República Checa</v>
      </c>
      <c r="H204" s="11" t="str">
        <f ca="1">+WORLDCUP!BD63</f>
        <v>Japón</v>
      </c>
      <c r="I204" s="11" t="str">
        <f ca="1">+WORLDCUP!BD69</f>
        <v>Panamá</v>
      </c>
      <c r="J204" s="11" t="str">
        <f ca="1">+WORLDCUP!BD68</f>
        <v>RD Congo</v>
      </c>
      <c r="N204" s="11" t="s">
        <v>1033</v>
      </c>
      <c r="O204" s="11">
        <v>203</v>
      </c>
      <c r="P204" s="11" t="s">
        <v>436</v>
      </c>
      <c r="Q204" s="11" t="s">
        <v>441</v>
      </c>
      <c r="R204" s="11" t="s">
        <v>440</v>
      </c>
      <c r="S204" s="11" t="s">
        <v>91</v>
      </c>
      <c r="T204" s="11" t="s">
        <v>89</v>
      </c>
      <c r="U204" s="11" t="s">
        <v>94</v>
      </c>
      <c r="V204" s="11" t="s">
        <v>443</v>
      </c>
      <c r="W204" s="11" t="s">
        <v>442</v>
      </c>
    </row>
    <row r="205" spans="1:23">
      <c r="A205" s="11" t="s">
        <v>1032</v>
      </c>
      <c r="B205" s="11">
        <f ca="1">+IF(A205=WORLDCUP!$BI$112,1,0)</f>
        <v>0</v>
      </c>
      <c r="C205" s="11" t="str">
        <f ca="1">+WORLDCUP!BD66</f>
        <v>Senegal</v>
      </c>
      <c r="D205" s="11" t="str">
        <f ca="1">+WORLDCUP!BD64</f>
        <v>Bélgica</v>
      </c>
      <c r="E205" s="11" t="str">
        <f ca="1">+WORLDCUP!BD67</f>
        <v>Jordania</v>
      </c>
      <c r="F205" s="11" t="str">
        <f ca="1">+WORLDCUP!BD60</f>
        <v>Escocia</v>
      </c>
      <c r="G205" s="11" t="str">
        <f ca="1">+WORLDCUP!BD58</f>
        <v>República Checa</v>
      </c>
      <c r="H205" s="11" t="str">
        <f ca="1">+WORLDCUP!BD63</f>
        <v>Japón</v>
      </c>
      <c r="I205" s="11" t="str">
        <f ca="1">+WORLDCUP!BD69</f>
        <v>Panamá</v>
      </c>
      <c r="J205" s="11" t="str">
        <f ca="1">+WORLDCUP!BD68</f>
        <v>RD Congo</v>
      </c>
      <c r="N205" s="11" t="s">
        <v>1032</v>
      </c>
      <c r="O205" s="11">
        <v>204</v>
      </c>
      <c r="P205" s="11" t="s">
        <v>440</v>
      </c>
      <c r="Q205" s="11" t="s">
        <v>435</v>
      </c>
      <c r="R205" s="11" t="s">
        <v>441</v>
      </c>
      <c r="S205" s="11" t="s">
        <v>91</v>
      </c>
      <c r="T205" s="11" t="s">
        <v>89</v>
      </c>
      <c r="U205" s="11" t="s">
        <v>94</v>
      </c>
      <c r="V205" s="11" t="s">
        <v>443</v>
      </c>
      <c r="W205" s="11" t="s">
        <v>442</v>
      </c>
    </row>
    <row r="206" spans="1:23">
      <c r="A206" s="11" t="s">
        <v>1031</v>
      </c>
      <c r="B206" s="11">
        <f ca="1">+IF(A206=WORLDCUP!$BI$112,1,0)</f>
        <v>0</v>
      </c>
      <c r="C206" s="11" t="str">
        <f ca="1">+WORLDCUP!BD65</f>
        <v>España</v>
      </c>
      <c r="D206" s="11" t="str">
        <f ca="1">+WORLDCUP!BD64</f>
        <v>Bélgica</v>
      </c>
      <c r="E206" s="11" t="str">
        <f ca="1">+WORLDCUP!BD67</f>
        <v>Jordania</v>
      </c>
      <c r="F206" s="11" t="str">
        <f ca="1">+WORLDCUP!BD60</f>
        <v>Escocia</v>
      </c>
      <c r="G206" s="11" t="str">
        <f ca="1">+WORLDCUP!BD58</f>
        <v>República Checa</v>
      </c>
      <c r="H206" s="11" t="str">
        <f ca="1">+WORLDCUP!BD63</f>
        <v>Japón</v>
      </c>
      <c r="I206" s="11" t="str">
        <f ca="1">+WORLDCUP!BD69</f>
        <v>Panamá</v>
      </c>
      <c r="J206" s="11" t="str">
        <f ca="1">+WORLDCUP!BD68</f>
        <v>RD Congo</v>
      </c>
      <c r="N206" s="11" t="s">
        <v>1031</v>
      </c>
      <c r="O206" s="11">
        <v>205</v>
      </c>
      <c r="P206" s="11" t="s">
        <v>436</v>
      </c>
      <c r="Q206" s="11" t="s">
        <v>435</v>
      </c>
      <c r="R206" s="11" t="s">
        <v>441</v>
      </c>
      <c r="S206" s="11" t="s">
        <v>91</v>
      </c>
      <c r="T206" s="11" t="s">
        <v>89</v>
      </c>
      <c r="U206" s="11" t="s">
        <v>94</v>
      </c>
      <c r="V206" s="11" t="s">
        <v>443</v>
      </c>
      <c r="W206" s="11" t="s">
        <v>442</v>
      </c>
    </row>
    <row r="207" spans="1:23">
      <c r="A207" s="11" t="s">
        <v>1030</v>
      </c>
      <c r="B207" s="11">
        <f ca="1">+IF(A207=WORLDCUP!$BI$112,1,0)</f>
        <v>0</v>
      </c>
      <c r="C207" s="11" t="str">
        <f ca="1">+WORLDCUP!BD65</f>
        <v>España</v>
      </c>
      <c r="D207" s="11" t="str">
        <f ca="1">+WORLDCUP!BD64</f>
        <v>Bélgica</v>
      </c>
      <c r="E207" s="11" t="str">
        <f ca="1">+WORLDCUP!BD66</f>
        <v>Senegal</v>
      </c>
      <c r="F207" s="11" t="str">
        <f ca="1">+WORLDCUP!BD60</f>
        <v>Escocia</v>
      </c>
      <c r="G207" s="11" t="str">
        <f ca="1">+WORLDCUP!BD58</f>
        <v>República Checa</v>
      </c>
      <c r="H207" s="11" t="str">
        <f ca="1">+WORLDCUP!BD63</f>
        <v>Japón</v>
      </c>
      <c r="I207" s="11" t="str">
        <f ca="1">+WORLDCUP!BD69</f>
        <v>Panamá</v>
      </c>
      <c r="J207" s="11" t="str">
        <f ca="1">+WORLDCUP!BD68</f>
        <v>RD Congo</v>
      </c>
      <c r="N207" s="11" t="s">
        <v>1030</v>
      </c>
      <c r="O207" s="11">
        <v>206</v>
      </c>
      <c r="P207" s="11" t="s">
        <v>436</v>
      </c>
      <c r="Q207" s="11" t="s">
        <v>435</v>
      </c>
      <c r="R207" s="11" t="s">
        <v>440</v>
      </c>
      <c r="S207" s="11" t="s">
        <v>91</v>
      </c>
      <c r="T207" s="11" t="s">
        <v>89</v>
      </c>
      <c r="U207" s="11" t="s">
        <v>94</v>
      </c>
      <c r="V207" s="11" t="s">
        <v>443</v>
      </c>
      <c r="W207" s="11" t="s">
        <v>442</v>
      </c>
    </row>
    <row r="208" spans="1:23">
      <c r="A208" s="11" t="s">
        <v>1029</v>
      </c>
      <c r="B208" s="11">
        <f ca="1">+IF(A208=WORLDCUP!$BI$112,1,0)</f>
        <v>0</v>
      </c>
      <c r="C208" s="11" t="str">
        <f ca="1">+WORLDCUP!BD65</f>
        <v>España</v>
      </c>
      <c r="D208" s="11" t="str">
        <f ca="1">+WORLDCUP!BD64</f>
        <v>Bélgica</v>
      </c>
      <c r="E208" s="11" t="str">
        <f ca="1">+WORLDCUP!BD67</f>
        <v>Jordania</v>
      </c>
      <c r="F208" s="11" t="str">
        <f ca="1">+WORLDCUP!BD60</f>
        <v>Escocia</v>
      </c>
      <c r="G208" s="11" t="str">
        <f ca="1">+WORLDCUP!BD58</f>
        <v>República Checa</v>
      </c>
      <c r="H208" s="11" t="str">
        <f ca="1">+WORLDCUP!BD63</f>
        <v>Japón</v>
      </c>
      <c r="I208" s="11" t="str">
        <f ca="1">+WORLDCUP!BD69</f>
        <v>Panamá</v>
      </c>
      <c r="J208" s="11" t="str">
        <f ca="1">+WORLDCUP!BD66</f>
        <v>Senegal</v>
      </c>
      <c r="N208" s="11" t="s">
        <v>1029</v>
      </c>
      <c r="O208" s="11">
        <v>207</v>
      </c>
      <c r="P208" s="11" t="s">
        <v>436</v>
      </c>
      <c r="Q208" s="11" t="s">
        <v>435</v>
      </c>
      <c r="R208" s="11" t="s">
        <v>441</v>
      </c>
      <c r="S208" s="11" t="s">
        <v>91</v>
      </c>
      <c r="T208" s="11" t="s">
        <v>89</v>
      </c>
      <c r="U208" s="11" t="s">
        <v>94</v>
      </c>
      <c r="V208" s="11" t="s">
        <v>443</v>
      </c>
      <c r="W208" s="11" t="s">
        <v>440</v>
      </c>
    </row>
    <row r="209" spans="1:23">
      <c r="A209" s="11" t="s">
        <v>1028</v>
      </c>
      <c r="B209" s="11">
        <f ca="1">+IF(A209=WORLDCUP!$BI$112,1,0)</f>
        <v>0</v>
      </c>
      <c r="C209" s="11" t="str">
        <f ca="1">+WORLDCUP!BD65</f>
        <v>España</v>
      </c>
      <c r="D209" s="11" t="str">
        <f ca="1">+WORLDCUP!BD64</f>
        <v>Bélgica</v>
      </c>
      <c r="E209" s="11" t="str">
        <f ca="1">+WORLDCUP!BD67</f>
        <v>Jordania</v>
      </c>
      <c r="F209" s="11" t="str">
        <f ca="1">+WORLDCUP!BD60</f>
        <v>Escocia</v>
      </c>
      <c r="G209" s="11" t="str">
        <f ca="1">+WORLDCUP!BD58</f>
        <v>República Checa</v>
      </c>
      <c r="H209" s="11" t="str">
        <f ca="1">+WORLDCUP!BD63</f>
        <v>Japón</v>
      </c>
      <c r="I209" s="11" t="str">
        <f ca="1">+WORLDCUP!BD66</f>
        <v>Senegal</v>
      </c>
      <c r="J209" s="11" t="str">
        <f ca="1">+WORLDCUP!BD68</f>
        <v>RD Congo</v>
      </c>
      <c r="N209" s="11" t="s">
        <v>1028</v>
      </c>
      <c r="O209" s="11">
        <v>208</v>
      </c>
      <c r="P209" s="11" t="s">
        <v>436</v>
      </c>
      <c r="Q209" s="11" t="s">
        <v>435</v>
      </c>
      <c r="R209" s="11" t="s">
        <v>441</v>
      </c>
      <c r="S209" s="11" t="s">
        <v>91</v>
      </c>
      <c r="T209" s="11" t="s">
        <v>89</v>
      </c>
      <c r="U209" s="11" t="s">
        <v>94</v>
      </c>
      <c r="V209" s="11" t="s">
        <v>440</v>
      </c>
      <c r="W209" s="11" t="s">
        <v>442</v>
      </c>
    </row>
    <row r="210" spans="1:23">
      <c r="A210" s="11" t="s">
        <v>1027</v>
      </c>
      <c r="B210" s="11">
        <f ca="1">+IF(A210=WORLDCUP!$BI$112,1,0)</f>
        <v>0</v>
      </c>
      <c r="C210" s="11" t="str">
        <f ca="1">+WORLDCUP!BD62</f>
        <v>Ecuador</v>
      </c>
      <c r="D210" s="11" t="str">
        <f ca="1">+WORLDCUP!BD67</f>
        <v>Jordania</v>
      </c>
      <c r="E210" s="11" t="str">
        <f ca="1">+WORLDCUP!BD66</f>
        <v>Senegal</v>
      </c>
      <c r="F210" s="11" t="str">
        <f ca="1">+WORLDCUP!BD60</f>
        <v>Escocia</v>
      </c>
      <c r="G210" s="11" t="str">
        <f ca="1">+WORLDCUP!BD58</f>
        <v>República Checa</v>
      </c>
      <c r="H210" s="11" t="str">
        <f ca="1">+WORLDCUP!BD65</f>
        <v>España</v>
      </c>
      <c r="I210" s="11" t="str">
        <f ca="1">+WORLDCUP!BD69</f>
        <v>Panamá</v>
      </c>
      <c r="J210" s="11" t="str">
        <f ca="1">+WORLDCUP!BD68</f>
        <v>RD Congo</v>
      </c>
      <c r="N210" s="11" t="s">
        <v>1027</v>
      </c>
      <c r="O210" s="11">
        <v>209</v>
      </c>
      <c r="P210" s="11" t="s">
        <v>93</v>
      </c>
      <c r="Q210" s="11" t="s">
        <v>441</v>
      </c>
      <c r="R210" s="11" t="s">
        <v>440</v>
      </c>
      <c r="S210" s="11" t="s">
        <v>91</v>
      </c>
      <c r="T210" s="11" t="s">
        <v>89</v>
      </c>
      <c r="U210" s="11" t="s">
        <v>436</v>
      </c>
      <c r="V210" s="11" t="s">
        <v>443</v>
      </c>
      <c r="W210" s="11" t="s">
        <v>442</v>
      </c>
    </row>
    <row r="211" spans="1:23">
      <c r="A211" s="11" t="s">
        <v>1026</v>
      </c>
      <c r="B211" s="11">
        <f ca="1">+IF(A211=WORLDCUP!$BI$112,1,0)</f>
        <v>0</v>
      </c>
      <c r="C211" s="11" t="str">
        <f ca="1">+WORLDCUP!BD62</f>
        <v>Ecuador</v>
      </c>
      <c r="D211" s="11" t="str">
        <f ca="1">+WORLDCUP!BD67</f>
        <v>Jordania</v>
      </c>
      <c r="E211" s="11" t="str">
        <f ca="1">+WORLDCUP!BD66</f>
        <v>Senegal</v>
      </c>
      <c r="F211" s="11" t="str">
        <f ca="1">+WORLDCUP!BD60</f>
        <v>Escocia</v>
      </c>
      <c r="G211" s="11" t="str">
        <f ca="1">+WORLDCUP!BD58</f>
        <v>República Checa</v>
      </c>
      <c r="H211" s="11" t="str">
        <f ca="1">+WORLDCUP!BD64</f>
        <v>Bélgica</v>
      </c>
      <c r="I211" s="11" t="str">
        <f ca="1">+WORLDCUP!BD69</f>
        <v>Panamá</v>
      </c>
      <c r="J211" s="11" t="str">
        <f ca="1">+WORLDCUP!BD68</f>
        <v>RD Congo</v>
      </c>
      <c r="N211" s="11" t="s">
        <v>1026</v>
      </c>
      <c r="O211" s="11">
        <v>210</v>
      </c>
      <c r="P211" s="11" t="s">
        <v>93</v>
      </c>
      <c r="Q211" s="11" t="s">
        <v>441</v>
      </c>
      <c r="R211" s="11" t="s">
        <v>440</v>
      </c>
      <c r="S211" s="11" t="s">
        <v>91</v>
      </c>
      <c r="T211" s="11" t="s">
        <v>89</v>
      </c>
      <c r="U211" s="11" t="s">
        <v>435</v>
      </c>
      <c r="V211" s="11" t="s">
        <v>443</v>
      </c>
      <c r="W211" s="11" t="s">
        <v>442</v>
      </c>
    </row>
    <row r="212" spans="1:23">
      <c r="A212" s="11" t="s">
        <v>1025</v>
      </c>
      <c r="B212" s="11">
        <f ca="1">+IF(A212=WORLDCUP!$BI$112,1,0)</f>
        <v>0</v>
      </c>
      <c r="C212" s="11" t="str">
        <f ca="1">+WORLDCUP!BD62</f>
        <v>Ecuador</v>
      </c>
      <c r="D212" s="11" t="str">
        <f ca="1">+WORLDCUP!BD64</f>
        <v>Bélgica</v>
      </c>
      <c r="E212" s="11" t="str">
        <f ca="1">+WORLDCUP!BD67</f>
        <v>Jordania</v>
      </c>
      <c r="F212" s="11" t="str">
        <f ca="1">+WORLDCUP!BD60</f>
        <v>Escocia</v>
      </c>
      <c r="G212" s="11" t="str">
        <f ca="1">+WORLDCUP!BD58</f>
        <v>República Checa</v>
      </c>
      <c r="H212" s="11" t="str">
        <f ca="1">+WORLDCUP!BD65</f>
        <v>España</v>
      </c>
      <c r="I212" s="11" t="str">
        <f ca="1">+WORLDCUP!BD69</f>
        <v>Panamá</v>
      </c>
      <c r="J212" s="11" t="str">
        <f ca="1">+WORLDCUP!BD68</f>
        <v>RD Congo</v>
      </c>
      <c r="N212" s="11" t="s">
        <v>1025</v>
      </c>
      <c r="O212" s="11">
        <v>211</v>
      </c>
      <c r="P212" s="11" t="s">
        <v>93</v>
      </c>
      <c r="Q212" s="11" t="s">
        <v>435</v>
      </c>
      <c r="R212" s="11" t="s">
        <v>441</v>
      </c>
      <c r="S212" s="11" t="s">
        <v>91</v>
      </c>
      <c r="T212" s="11" t="s">
        <v>89</v>
      </c>
      <c r="U212" s="11" t="s">
        <v>436</v>
      </c>
      <c r="V212" s="11" t="s">
        <v>443</v>
      </c>
      <c r="W212" s="11" t="s">
        <v>442</v>
      </c>
    </row>
    <row r="213" spans="1:23">
      <c r="A213" s="11" t="s">
        <v>1024</v>
      </c>
      <c r="B213" s="11">
        <f ca="1">+IF(A213=WORLDCUP!$BI$112,1,0)</f>
        <v>0</v>
      </c>
      <c r="C213" s="11" t="str">
        <f ca="1">+WORLDCUP!BD62</f>
        <v>Ecuador</v>
      </c>
      <c r="D213" s="11" t="str">
        <f ca="1">+WORLDCUP!BD64</f>
        <v>Bélgica</v>
      </c>
      <c r="E213" s="11" t="str">
        <f ca="1">+WORLDCUP!BD66</f>
        <v>Senegal</v>
      </c>
      <c r="F213" s="11" t="str">
        <f ca="1">+WORLDCUP!BD60</f>
        <v>Escocia</v>
      </c>
      <c r="G213" s="11" t="str">
        <f ca="1">+WORLDCUP!BD58</f>
        <v>República Checa</v>
      </c>
      <c r="H213" s="11" t="str">
        <f ca="1">+WORLDCUP!BD65</f>
        <v>España</v>
      </c>
      <c r="I213" s="11" t="str">
        <f ca="1">+WORLDCUP!BD69</f>
        <v>Panamá</v>
      </c>
      <c r="J213" s="11" t="str">
        <f ca="1">+WORLDCUP!BD68</f>
        <v>RD Congo</v>
      </c>
      <c r="N213" s="11" t="s">
        <v>1024</v>
      </c>
      <c r="O213" s="11">
        <v>212</v>
      </c>
      <c r="P213" s="11" t="s">
        <v>93</v>
      </c>
      <c r="Q213" s="11" t="s">
        <v>435</v>
      </c>
      <c r="R213" s="11" t="s">
        <v>440</v>
      </c>
      <c r="S213" s="11" t="s">
        <v>91</v>
      </c>
      <c r="T213" s="11" t="s">
        <v>89</v>
      </c>
      <c r="U213" s="11" t="s">
        <v>436</v>
      </c>
      <c r="V213" s="11" t="s">
        <v>443</v>
      </c>
      <c r="W213" s="11" t="s">
        <v>442</v>
      </c>
    </row>
    <row r="214" spans="1:23">
      <c r="A214" s="11" t="s">
        <v>1023</v>
      </c>
      <c r="B214" s="11">
        <f ca="1">+IF(A214=WORLDCUP!$BI$112,1,0)</f>
        <v>0</v>
      </c>
      <c r="C214" s="11" t="str">
        <f ca="1">+WORLDCUP!BD62</f>
        <v>Ecuador</v>
      </c>
      <c r="D214" s="11" t="str">
        <f ca="1">+WORLDCUP!BD64</f>
        <v>Bélgica</v>
      </c>
      <c r="E214" s="11" t="str">
        <f ca="1">+WORLDCUP!BD67</f>
        <v>Jordania</v>
      </c>
      <c r="F214" s="11" t="str">
        <f ca="1">+WORLDCUP!BD60</f>
        <v>Escocia</v>
      </c>
      <c r="G214" s="11" t="str">
        <f ca="1">+WORLDCUP!BD58</f>
        <v>República Checa</v>
      </c>
      <c r="H214" s="11" t="str">
        <f ca="1">+WORLDCUP!BD65</f>
        <v>España</v>
      </c>
      <c r="I214" s="11" t="str">
        <f ca="1">+WORLDCUP!BD69</f>
        <v>Panamá</v>
      </c>
      <c r="J214" s="11" t="str">
        <f ca="1">+WORLDCUP!BD66</f>
        <v>Senegal</v>
      </c>
      <c r="N214" s="11" t="s">
        <v>1023</v>
      </c>
      <c r="O214" s="11">
        <v>213</v>
      </c>
      <c r="P214" s="11" t="s">
        <v>93</v>
      </c>
      <c r="Q214" s="11" t="s">
        <v>435</v>
      </c>
      <c r="R214" s="11" t="s">
        <v>441</v>
      </c>
      <c r="S214" s="11" t="s">
        <v>91</v>
      </c>
      <c r="T214" s="11" t="s">
        <v>89</v>
      </c>
      <c r="U214" s="11" t="s">
        <v>436</v>
      </c>
      <c r="V214" s="11" t="s">
        <v>443</v>
      </c>
      <c r="W214" s="11" t="s">
        <v>440</v>
      </c>
    </row>
    <row r="215" spans="1:23">
      <c r="A215" s="11" t="s">
        <v>1022</v>
      </c>
      <c r="B215" s="11">
        <f ca="1">+IF(A215=WORLDCUP!$BI$112,1,0)</f>
        <v>0</v>
      </c>
      <c r="C215" s="11" t="str">
        <f ca="1">+WORLDCUP!BD62</f>
        <v>Ecuador</v>
      </c>
      <c r="D215" s="11" t="str">
        <f ca="1">+WORLDCUP!BD64</f>
        <v>Bélgica</v>
      </c>
      <c r="E215" s="11" t="str">
        <f ca="1">+WORLDCUP!BD67</f>
        <v>Jordania</v>
      </c>
      <c r="F215" s="11" t="str">
        <f ca="1">+WORLDCUP!BD60</f>
        <v>Escocia</v>
      </c>
      <c r="G215" s="11" t="str">
        <f ca="1">+WORLDCUP!BD58</f>
        <v>República Checa</v>
      </c>
      <c r="H215" s="11" t="str">
        <f ca="1">+WORLDCUP!BD65</f>
        <v>España</v>
      </c>
      <c r="I215" s="11" t="str">
        <f ca="1">+WORLDCUP!BD66</f>
        <v>Senegal</v>
      </c>
      <c r="J215" s="11" t="str">
        <f ca="1">+WORLDCUP!BD68</f>
        <v>RD Congo</v>
      </c>
      <c r="N215" s="11" t="s">
        <v>1022</v>
      </c>
      <c r="O215" s="11">
        <v>214</v>
      </c>
      <c r="P215" s="11" t="s">
        <v>93</v>
      </c>
      <c r="Q215" s="11" t="s">
        <v>435</v>
      </c>
      <c r="R215" s="11" t="s">
        <v>441</v>
      </c>
      <c r="S215" s="11" t="s">
        <v>91</v>
      </c>
      <c r="T215" s="11" t="s">
        <v>89</v>
      </c>
      <c r="U215" s="11" t="s">
        <v>436</v>
      </c>
      <c r="V215" s="11" t="s">
        <v>440</v>
      </c>
      <c r="W215" s="11" t="s">
        <v>442</v>
      </c>
    </row>
    <row r="216" spans="1:23">
      <c r="A216" s="11" t="s">
        <v>1021</v>
      </c>
      <c r="B216" s="11">
        <f ca="1">+IF(A216=WORLDCUP!$BI$112,1,0)</f>
        <v>0</v>
      </c>
      <c r="C216" s="11" t="str">
        <f ca="1">+WORLDCUP!BD62</f>
        <v>Ecuador</v>
      </c>
      <c r="D216" s="11" t="str">
        <f ca="1">+WORLDCUP!BD67</f>
        <v>Jordania</v>
      </c>
      <c r="E216" s="11" t="str">
        <f ca="1">+WORLDCUP!BD66</f>
        <v>Senegal</v>
      </c>
      <c r="F216" s="11" t="str">
        <f ca="1">+WORLDCUP!BD60</f>
        <v>Escocia</v>
      </c>
      <c r="G216" s="11" t="str">
        <f ca="1">+WORLDCUP!BD58</f>
        <v>República Checa</v>
      </c>
      <c r="H216" s="11" t="str">
        <f ca="1">+WORLDCUP!BD63</f>
        <v>Japón</v>
      </c>
      <c r="I216" s="11" t="str">
        <f ca="1">+WORLDCUP!BD69</f>
        <v>Panamá</v>
      </c>
      <c r="J216" s="11" t="str">
        <f ca="1">+WORLDCUP!BD68</f>
        <v>RD Congo</v>
      </c>
      <c r="N216" s="11" t="s">
        <v>1021</v>
      </c>
      <c r="O216" s="11">
        <v>215</v>
      </c>
      <c r="P216" s="11" t="s">
        <v>93</v>
      </c>
      <c r="Q216" s="11" t="s">
        <v>441</v>
      </c>
      <c r="R216" s="11" t="s">
        <v>440</v>
      </c>
      <c r="S216" s="11" t="s">
        <v>91</v>
      </c>
      <c r="T216" s="11" t="s">
        <v>89</v>
      </c>
      <c r="U216" s="11" t="s">
        <v>94</v>
      </c>
      <c r="V216" s="11" t="s">
        <v>443</v>
      </c>
      <c r="W216" s="11" t="s">
        <v>442</v>
      </c>
    </row>
    <row r="217" spans="1:23">
      <c r="A217" s="11" t="s">
        <v>1020</v>
      </c>
      <c r="B217" s="11">
        <f ca="1">+IF(A217=WORLDCUP!$BI$112,1,0)</f>
        <v>0</v>
      </c>
      <c r="C217" s="11" t="str">
        <f ca="1">+WORLDCUP!BD65</f>
        <v>España</v>
      </c>
      <c r="D217" s="11" t="str">
        <f ca="1">+WORLDCUP!BD67</f>
        <v>Jordania</v>
      </c>
      <c r="E217" s="11" t="str">
        <f ca="1">+WORLDCUP!BD62</f>
        <v>Ecuador</v>
      </c>
      <c r="F217" s="11" t="str">
        <f ca="1">+WORLDCUP!BD60</f>
        <v>Escocia</v>
      </c>
      <c r="G217" s="11" t="str">
        <f ca="1">+WORLDCUP!BD58</f>
        <v>República Checa</v>
      </c>
      <c r="H217" s="11" t="str">
        <f ca="1">+WORLDCUP!BD63</f>
        <v>Japón</v>
      </c>
      <c r="I217" s="11" t="str">
        <f ca="1">+WORLDCUP!BD69</f>
        <v>Panamá</v>
      </c>
      <c r="J217" s="11" t="str">
        <f ca="1">+WORLDCUP!BD68</f>
        <v>RD Congo</v>
      </c>
      <c r="N217" s="11" t="s">
        <v>1020</v>
      </c>
      <c r="O217" s="11">
        <v>216</v>
      </c>
      <c r="P217" s="11" t="s">
        <v>436</v>
      </c>
      <c r="Q217" s="11" t="s">
        <v>441</v>
      </c>
      <c r="R217" s="11" t="s">
        <v>93</v>
      </c>
      <c r="S217" s="11" t="s">
        <v>91</v>
      </c>
      <c r="T217" s="11" t="s">
        <v>89</v>
      </c>
      <c r="U217" s="11" t="s">
        <v>94</v>
      </c>
      <c r="V217" s="11" t="s">
        <v>443</v>
      </c>
      <c r="W217" s="11" t="s">
        <v>442</v>
      </c>
    </row>
    <row r="218" spans="1:23">
      <c r="A218" s="11" t="s">
        <v>1019</v>
      </c>
      <c r="B218" s="11">
        <f ca="1">+IF(A218=WORLDCUP!$BI$112,1,0)</f>
        <v>0</v>
      </c>
      <c r="C218" s="11" t="str">
        <f ca="1">+WORLDCUP!BD65</f>
        <v>España</v>
      </c>
      <c r="D218" s="11" t="str">
        <f ca="1">+WORLDCUP!BD62</f>
        <v>Ecuador</v>
      </c>
      <c r="E218" s="11" t="str">
        <f ca="1">+WORLDCUP!BD66</f>
        <v>Senegal</v>
      </c>
      <c r="F218" s="11" t="str">
        <f ca="1">+WORLDCUP!BD60</f>
        <v>Escocia</v>
      </c>
      <c r="G218" s="11" t="str">
        <f ca="1">+WORLDCUP!BD58</f>
        <v>República Checa</v>
      </c>
      <c r="H218" s="11" t="str">
        <f ca="1">+WORLDCUP!BD63</f>
        <v>Japón</v>
      </c>
      <c r="I218" s="11" t="str">
        <f ca="1">+WORLDCUP!BD69</f>
        <v>Panamá</v>
      </c>
      <c r="J218" s="11" t="str">
        <f ca="1">+WORLDCUP!BD68</f>
        <v>RD Congo</v>
      </c>
      <c r="N218" s="11" t="s">
        <v>1019</v>
      </c>
      <c r="O218" s="11">
        <v>217</v>
      </c>
      <c r="P218" s="11" t="s">
        <v>436</v>
      </c>
      <c r="Q218" s="11" t="s">
        <v>93</v>
      </c>
      <c r="R218" s="11" t="s">
        <v>440</v>
      </c>
      <c r="S218" s="11" t="s">
        <v>91</v>
      </c>
      <c r="T218" s="11" t="s">
        <v>89</v>
      </c>
      <c r="U218" s="11" t="s">
        <v>94</v>
      </c>
      <c r="V218" s="11" t="s">
        <v>443</v>
      </c>
      <c r="W218" s="11" t="s">
        <v>442</v>
      </c>
    </row>
    <row r="219" spans="1:23">
      <c r="A219" s="11" t="s">
        <v>1018</v>
      </c>
      <c r="B219" s="11">
        <f ca="1">+IF(A219=WORLDCUP!$BI$112,1,0)</f>
        <v>0</v>
      </c>
      <c r="C219" s="11" t="str">
        <f ca="1">+WORLDCUP!BD65</f>
        <v>España</v>
      </c>
      <c r="D219" s="11" t="str">
        <f ca="1">+WORLDCUP!BD67</f>
        <v>Jordania</v>
      </c>
      <c r="E219" s="11" t="str">
        <f ca="1">+WORLDCUP!BD62</f>
        <v>Ecuador</v>
      </c>
      <c r="F219" s="11" t="str">
        <f ca="1">+WORLDCUP!BD60</f>
        <v>Escocia</v>
      </c>
      <c r="G219" s="11" t="str">
        <f ca="1">+WORLDCUP!BD58</f>
        <v>República Checa</v>
      </c>
      <c r="H219" s="11" t="str">
        <f ca="1">+WORLDCUP!BD63</f>
        <v>Japón</v>
      </c>
      <c r="I219" s="11" t="str">
        <f ca="1">+WORLDCUP!BD69</f>
        <v>Panamá</v>
      </c>
      <c r="J219" s="11" t="str">
        <f ca="1">+WORLDCUP!BD66</f>
        <v>Senegal</v>
      </c>
      <c r="N219" s="11" t="s">
        <v>1018</v>
      </c>
      <c r="O219" s="11">
        <v>218</v>
      </c>
      <c r="P219" s="11" t="s">
        <v>436</v>
      </c>
      <c r="Q219" s="11" t="s">
        <v>441</v>
      </c>
      <c r="R219" s="11" t="s">
        <v>93</v>
      </c>
      <c r="S219" s="11" t="s">
        <v>91</v>
      </c>
      <c r="T219" s="11" t="s">
        <v>89</v>
      </c>
      <c r="U219" s="11" t="s">
        <v>94</v>
      </c>
      <c r="V219" s="11" t="s">
        <v>443</v>
      </c>
      <c r="W219" s="11" t="s">
        <v>440</v>
      </c>
    </row>
    <row r="220" spans="1:23">
      <c r="A220" s="11" t="s">
        <v>1017</v>
      </c>
      <c r="B220" s="11">
        <f ca="1">+IF(A220=WORLDCUP!$BI$112,1,0)</f>
        <v>0</v>
      </c>
      <c r="C220" s="11" t="str">
        <f ca="1">+WORLDCUP!BD65</f>
        <v>España</v>
      </c>
      <c r="D220" s="11" t="str">
        <f ca="1">+WORLDCUP!BD67</f>
        <v>Jordania</v>
      </c>
      <c r="E220" s="11" t="str">
        <f ca="1">+WORLDCUP!BD62</f>
        <v>Ecuador</v>
      </c>
      <c r="F220" s="11" t="str">
        <f ca="1">+WORLDCUP!BD60</f>
        <v>Escocia</v>
      </c>
      <c r="G220" s="11" t="str">
        <f ca="1">+WORLDCUP!BD58</f>
        <v>República Checa</v>
      </c>
      <c r="H220" s="11" t="str">
        <f ca="1">+WORLDCUP!BD63</f>
        <v>Japón</v>
      </c>
      <c r="I220" s="11" t="str">
        <f ca="1">+WORLDCUP!BD66</f>
        <v>Senegal</v>
      </c>
      <c r="J220" s="11" t="str">
        <f ca="1">+WORLDCUP!BD68</f>
        <v>RD Congo</v>
      </c>
      <c r="N220" s="11" t="s">
        <v>1017</v>
      </c>
      <c r="O220" s="11">
        <v>219</v>
      </c>
      <c r="P220" s="11" t="s">
        <v>436</v>
      </c>
      <c r="Q220" s="11" t="s">
        <v>441</v>
      </c>
      <c r="R220" s="11" t="s">
        <v>93</v>
      </c>
      <c r="S220" s="11" t="s">
        <v>91</v>
      </c>
      <c r="T220" s="11" t="s">
        <v>89</v>
      </c>
      <c r="U220" s="11" t="s">
        <v>94</v>
      </c>
      <c r="V220" s="11" t="s">
        <v>440</v>
      </c>
      <c r="W220" s="11" t="s">
        <v>442</v>
      </c>
    </row>
    <row r="221" spans="1:23">
      <c r="A221" s="11" t="s">
        <v>1016</v>
      </c>
      <c r="B221" s="11">
        <f ca="1">+IF(A221=WORLDCUP!$BI$112,1,0)</f>
        <v>0</v>
      </c>
      <c r="C221" s="11" t="str">
        <f ca="1">+WORLDCUP!BD62</f>
        <v>Ecuador</v>
      </c>
      <c r="D221" s="11" t="str">
        <f ca="1">+WORLDCUP!BD64</f>
        <v>Bélgica</v>
      </c>
      <c r="E221" s="11" t="str">
        <f ca="1">+WORLDCUP!BD67</f>
        <v>Jordania</v>
      </c>
      <c r="F221" s="11" t="str">
        <f ca="1">+WORLDCUP!BD60</f>
        <v>Escocia</v>
      </c>
      <c r="G221" s="11" t="str">
        <f ca="1">+WORLDCUP!BD58</f>
        <v>República Checa</v>
      </c>
      <c r="H221" s="11" t="str">
        <f ca="1">+WORLDCUP!BD63</f>
        <v>Japón</v>
      </c>
      <c r="I221" s="11" t="str">
        <f ca="1">+WORLDCUP!BD69</f>
        <v>Panamá</v>
      </c>
      <c r="J221" s="11" t="str">
        <f ca="1">+WORLDCUP!BD68</f>
        <v>RD Congo</v>
      </c>
      <c r="N221" s="11" t="s">
        <v>1016</v>
      </c>
      <c r="O221" s="11">
        <v>220</v>
      </c>
      <c r="P221" s="11" t="s">
        <v>93</v>
      </c>
      <c r="Q221" s="11" t="s">
        <v>435</v>
      </c>
      <c r="R221" s="11" t="s">
        <v>441</v>
      </c>
      <c r="S221" s="11" t="s">
        <v>91</v>
      </c>
      <c r="T221" s="11" t="s">
        <v>89</v>
      </c>
      <c r="U221" s="11" t="s">
        <v>94</v>
      </c>
      <c r="V221" s="11" t="s">
        <v>443</v>
      </c>
      <c r="W221" s="11" t="s">
        <v>442</v>
      </c>
    </row>
    <row r="222" spans="1:23">
      <c r="A222" s="11" t="s">
        <v>1015</v>
      </c>
      <c r="B222" s="11">
        <f ca="1">+IF(A222=WORLDCUP!$BI$112,1,0)</f>
        <v>0</v>
      </c>
      <c r="C222" s="11" t="str">
        <f ca="1">+WORLDCUP!BD62</f>
        <v>Ecuador</v>
      </c>
      <c r="D222" s="11" t="str">
        <f ca="1">+WORLDCUP!BD64</f>
        <v>Bélgica</v>
      </c>
      <c r="E222" s="11" t="str">
        <f ca="1">+WORLDCUP!BD66</f>
        <v>Senegal</v>
      </c>
      <c r="F222" s="11" t="str">
        <f ca="1">+WORLDCUP!BD60</f>
        <v>Escocia</v>
      </c>
      <c r="G222" s="11" t="str">
        <f ca="1">+WORLDCUP!BD58</f>
        <v>República Checa</v>
      </c>
      <c r="H222" s="11" t="str">
        <f ca="1">+WORLDCUP!BD63</f>
        <v>Japón</v>
      </c>
      <c r="I222" s="11" t="str">
        <f ca="1">+WORLDCUP!BD69</f>
        <v>Panamá</v>
      </c>
      <c r="J222" s="11" t="str">
        <f ca="1">+WORLDCUP!BD68</f>
        <v>RD Congo</v>
      </c>
      <c r="N222" s="11" t="s">
        <v>1015</v>
      </c>
      <c r="O222" s="11">
        <v>221</v>
      </c>
      <c r="P222" s="11" t="s">
        <v>93</v>
      </c>
      <c r="Q222" s="11" t="s">
        <v>435</v>
      </c>
      <c r="R222" s="11" t="s">
        <v>440</v>
      </c>
      <c r="S222" s="11" t="s">
        <v>91</v>
      </c>
      <c r="T222" s="11" t="s">
        <v>89</v>
      </c>
      <c r="U222" s="11" t="s">
        <v>94</v>
      </c>
      <c r="V222" s="11" t="s">
        <v>443</v>
      </c>
      <c r="W222" s="11" t="s">
        <v>442</v>
      </c>
    </row>
    <row r="223" spans="1:23">
      <c r="A223" s="11" t="s">
        <v>1014</v>
      </c>
      <c r="B223" s="11">
        <f ca="1">+IF(A223=WORLDCUP!$BI$112,1,0)</f>
        <v>0</v>
      </c>
      <c r="C223" s="11" t="str">
        <f ca="1">+WORLDCUP!BD62</f>
        <v>Ecuador</v>
      </c>
      <c r="D223" s="11" t="str">
        <f ca="1">+WORLDCUP!BD64</f>
        <v>Bélgica</v>
      </c>
      <c r="E223" s="11" t="str">
        <f ca="1">+WORLDCUP!BD67</f>
        <v>Jordania</v>
      </c>
      <c r="F223" s="11" t="str">
        <f ca="1">+WORLDCUP!BD60</f>
        <v>Escocia</v>
      </c>
      <c r="G223" s="11" t="str">
        <f ca="1">+WORLDCUP!BD58</f>
        <v>República Checa</v>
      </c>
      <c r="H223" s="11" t="str">
        <f ca="1">+WORLDCUP!BD63</f>
        <v>Japón</v>
      </c>
      <c r="I223" s="11" t="str">
        <f ca="1">+WORLDCUP!BD69</f>
        <v>Panamá</v>
      </c>
      <c r="J223" s="11" t="str">
        <f ca="1">+WORLDCUP!BD66</f>
        <v>Senegal</v>
      </c>
      <c r="N223" s="11" t="s">
        <v>1014</v>
      </c>
      <c r="O223" s="11">
        <v>222</v>
      </c>
      <c r="P223" s="11" t="s">
        <v>93</v>
      </c>
      <c r="Q223" s="11" t="s">
        <v>435</v>
      </c>
      <c r="R223" s="11" t="s">
        <v>441</v>
      </c>
      <c r="S223" s="11" t="s">
        <v>91</v>
      </c>
      <c r="T223" s="11" t="s">
        <v>89</v>
      </c>
      <c r="U223" s="11" t="s">
        <v>94</v>
      </c>
      <c r="V223" s="11" t="s">
        <v>443</v>
      </c>
      <c r="W223" s="11" t="s">
        <v>440</v>
      </c>
    </row>
    <row r="224" spans="1:23">
      <c r="A224" s="11" t="s">
        <v>1013</v>
      </c>
      <c r="B224" s="11">
        <f ca="1">+IF(A224=WORLDCUP!$BI$112,1,0)</f>
        <v>0</v>
      </c>
      <c r="C224" s="11" t="str">
        <f ca="1">+WORLDCUP!BD62</f>
        <v>Ecuador</v>
      </c>
      <c r="D224" s="11" t="str">
        <f ca="1">+WORLDCUP!BD64</f>
        <v>Bélgica</v>
      </c>
      <c r="E224" s="11" t="str">
        <f ca="1">+WORLDCUP!BD67</f>
        <v>Jordania</v>
      </c>
      <c r="F224" s="11" t="str">
        <f ca="1">+WORLDCUP!BD60</f>
        <v>Escocia</v>
      </c>
      <c r="G224" s="11" t="str">
        <f ca="1">+WORLDCUP!BD58</f>
        <v>República Checa</v>
      </c>
      <c r="H224" s="11" t="str">
        <f ca="1">+WORLDCUP!BD63</f>
        <v>Japón</v>
      </c>
      <c r="I224" s="11" t="str">
        <f ca="1">+WORLDCUP!BD66</f>
        <v>Senegal</v>
      </c>
      <c r="J224" s="11" t="str">
        <f ca="1">+WORLDCUP!BD68</f>
        <v>RD Congo</v>
      </c>
      <c r="N224" s="11" t="s">
        <v>1013</v>
      </c>
      <c r="O224" s="11">
        <v>223</v>
      </c>
      <c r="P224" s="11" t="s">
        <v>93</v>
      </c>
      <c r="Q224" s="11" t="s">
        <v>435</v>
      </c>
      <c r="R224" s="11" t="s">
        <v>441</v>
      </c>
      <c r="S224" s="11" t="s">
        <v>91</v>
      </c>
      <c r="T224" s="11" t="s">
        <v>89</v>
      </c>
      <c r="U224" s="11" t="s">
        <v>94</v>
      </c>
      <c r="V224" s="11" t="s">
        <v>440</v>
      </c>
      <c r="W224" s="11" t="s">
        <v>442</v>
      </c>
    </row>
    <row r="225" spans="1:23">
      <c r="A225" s="11" t="s">
        <v>1012</v>
      </c>
      <c r="B225" s="11">
        <f ca="1">+IF(A225=WORLDCUP!$BI$112,1,0)</f>
        <v>0</v>
      </c>
      <c r="C225" s="11" t="str">
        <f ca="1">+WORLDCUP!BD65</f>
        <v>España</v>
      </c>
      <c r="D225" s="11" t="str">
        <f ca="1">+WORLDCUP!BD64</f>
        <v>Bélgica</v>
      </c>
      <c r="E225" s="11" t="str">
        <f ca="1">+WORLDCUP!BD62</f>
        <v>Ecuador</v>
      </c>
      <c r="F225" s="11" t="str">
        <f ca="1">+WORLDCUP!BD60</f>
        <v>Escocia</v>
      </c>
      <c r="G225" s="11" t="str">
        <f ca="1">+WORLDCUP!BD58</f>
        <v>República Checa</v>
      </c>
      <c r="H225" s="11" t="str">
        <f ca="1">+WORLDCUP!BD63</f>
        <v>Japón</v>
      </c>
      <c r="I225" s="11" t="str">
        <f ca="1">+WORLDCUP!BD69</f>
        <v>Panamá</v>
      </c>
      <c r="J225" s="11" t="str">
        <f ca="1">+WORLDCUP!BD68</f>
        <v>RD Congo</v>
      </c>
      <c r="N225" s="11" t="s">
        <v>1012</v>
      </c>
      <c r="O225" s="11">
        <v>224</v>
      </c>
      <c r="P225" s="11" t="s">
        <v>436</v>
      </c>
      <c r="Q225" s="11" t="s">
        <v>435</v>
      </c>
      <c r="R225" s="11" t="s">
        <v>93</v>
      </c>
      <c r="S225" s="11" t="s">
        <v>91</v>
      </c>
      <c r="T225" s="11" t="s">
        <v>89</v>
      </c>
      <c r="U225" s="11" t="s">
        <v>94</v>
      </c>
      <c r="V225" s="11" t="s">
        <v>443</v>
      </c>
      <c r="W225" s="11" t="s">
        <v>442</v>
      </c>
    </row>
    <row r="226" spans="1:23">
      <c r="A226" s="11" t="s">
        <v>1011</v>
      </c>
      <c r="B226" s="11">
        <f ca="1">+IF(A226=WORLDCUP!$BI$112,1,0)</f>
        <v>0</v>
      </c>
      <c r="C226" s="11" t="str">
        <f ca="1">+WORLDCUP!BD65</f>
        <v>España</v>
      </c>
      <c r="D226" s="11" t="str">
        <f ca="1">+WORLDCUP!BD64</f>
        <v>Bélgica</v>
      </c>
      <c r="E226" s="11" t="str">
        <f ca="1">+WORLDCUP!BD67</f>
        <v>Jordania</v>
      </c>
      <c r="F226" s="11" t="str">
        <f ca="1">+WORLDCUP!BD60</f>
        <v>Escocia</v>
      </c>
      <c r="G226" s="11" t="str">
        <f ca="1">+WORLDCUP!BD58</f>
        <v>República Checa</v>
      </c>
      <c r="H226" s="11" t="str">
        <f ca="1">+WORLDCUP!BD63</f>
        <v>Japón</v>
      </c>
      <c r="I226" s="11" t="str">
        <f ca="1">+WORLDCUP!BD69</f>
        <v>Panamá</v>
      </c>
      <c r="J226" s="11" t="str">
        <f ca="1">+WORLDCUP!BD62</f>
        <v>Ecuador</v>
      </c>
      <c r="N226" s="11" t="s">
        <v>1011</v>
      </c>
      <c r="O226" s="11">
        <v>225</v>
      </c>
      <c r="P226" s="11" t="s">
        <v>436</v>
      </c>
      <c r="Q226" s="11" t="s">
        <v>435</v>
      </c>
      <c r="R226" s="11" t="s">
        <v>441</v>
      </c>
      <c r="S226" s="11" t="s">
        <v>91</v>
      </c>
      <c r="T226" s="11" t="s">
        <v>89</v>
      </c>
      <c r="U226" s="11" t="s">
        <v>94</v>
      </c>
      <c r="V226" s="11" t="s">
        <v>443</v>
      </c>
      <c r="W226" s="11" t="s">
        <v>93</v>
      </c>
    </row>
    <row r="227" spans="1:23">
      <c r="A227" s="11" t="s">
        <v>1010</v>
      </c>
      <c r="B227" s="11">
        <f ca="1">+IF(A227=WORLDCUP!$BI$112,1,0)</f>
        <v>0</v>
      </c>
      <c r="C227" s="11" t="str">
        <f ca="1">+WORLDCUP!BD65</f>
        <v>España</v>
      </c>
      <c r="D227" s="11" t="str">
        <f ca="1">+WORLDCUP!BD64</f>
        <v>Bélgica</v>
      </c>
      <c r="E227" s="11" t="str">
        <f ca="1">+WORLDCUP!BD67</f>
        <v>Jordania</v>
      </c>
      <c r="F227" s="11" t="str">
        <f ca="1">+WORLDCUP!BD60</f>
        <v>Escocia</v>
      </c>
      <c r="G227" s="11" t="str">
        <f ca="1">+WORLDCUP!BD58</f>
        <v>República Checa</v>
      </c>
      <c r="H227" s="11" t="str">
        <f ca="1">+WORLDCUP!BD63</f>
        <v>Japón</v>
      </c>
      <c r="I227" s="11" t="str">
        <f ca="1">+WORLDCUP!BD62</f>
        <v>Ecuador</v>
      </c>
      <c r="J227" s="11" t="str">
        <f ca="1">+WORLDCUP!BD68</f>
        <v>RD Congo</v>
      </c>
      <c r="N227" s="11" t="s">
        <v>1010</v>
      </c>
      <c r="O227" s="11">
        <v>226</v>
      </c>
      <c r="P227" s="11" t="s">
        <v>436</v>
      </c>
      <c r="Q227" s="11" t="s">
        <v>435</v>
      </c>
      <c r="R227" s="11" t="s">
        <v>441</v>
      </c>
      <c r="S227" s="11" t="s">
        <v>91</v>
      </c>
      <c r="T227" s="11" t="s">
        <v>89</v>
      </c>
      <c r="U227" s="11" t="s">
        <v>94</v>
      </c>
      <c r="V227" s="11" t="s">
        <v>93</v>
      </c>
      <c r="W227" s="11" t="s">
        <v>442</v>
      </c>
    </row>
    <row r="228" spans="1:23">
      <c r="A228" s="11" t="s">
        <v>1009</v>
      </c>
      <c r="B228" s="11">
        <f ca="1">+IF(A228=WORLDCUP!$BI$112,1,0)</f>
        <v>0</v>
      </c>
      <c r="C228" s="11" t="str">
        <f ca="1">+WORLDCUP!BD65</f>
        <v>España</v>
      </c>
      <c r="D228" s="11" t="str">
        <f ca="1">+WORLDCUP!BD64</f>
        <v>Bélgica</v>
      </c>
      <c r="E228" s="11" t="str">
        <f ca="1">+WORLDCUP!BD62</f>
        <v>Ecuador</v>
      </c>
      <c r="F228" s="11" t="str">
        <f ca="1">+WORLDCUP!BD60</f>
        <v>Escocia</v>
      </c>
      <c r="G228" s="11" t="str">
        <f ca="1">+WORLDCUP!BD58</f>
        <v>República Checa</v>
      </c>
      <c r="H228" s="11" t="str">
        <f ca="1">+WORLDCUP!BD63</f>
        <v>Japón</v>
      </c>
      <c r="I228" s="11" t="str">
        <f ca="1">+WORLDCUP!BD69</f>
        <v>Panamá</v>
      </c>
      <c r="J228" s="11" t="str">
        <f ca="1">+WORLDCUP!BD66</f>
        <v>Senegal</v>
      </c>
      <c r="N228" s="11" t="s">
        <v>1009</v>
      </c>
      <c r="O228" s="11">
        <v>227</v>
      </c>
      <c r="P228" s="11" t="s">
        <v>436</v>
      </c>
      <c r="Q228" s="11" t="s">
        <v>435</v>
      </c>
      <c r="R228" s="11" t="s">
        <v>93</v>
      </c>
      <c r="S228" s="11" t="s">
        <v>91</v>
      </c>
      <c r="T228" s="11" t="s">
        <v>89</v>
      </c>
      <c r="U228" s="11" t="s">
        <v>94</v>
      </c>
      <c r="V228" s="11" t="s">
        <v>443</v>
      </c>
      <c r="W228" s="11" t="s">
        <v>440</v>
      </c>
    </row>
    <row r="229" spans="1:23">
      <c r="A229" s="11" t="s">
        <v>1008</v>
      </c>
      <c r="B229" s="11">
        <f ca="1">+IF(A229=WORLDCUP!$BI$112,1,0)</f>
        <v>0</v>
      </c>
      <c r="C229" s="11" t="str">
        <f ca="1">+WORLDCUP!BD65</f>
        <v>España</v>
      </c>
      <c r="D229" s="11" t="str">
        <f ca="1">+WORLDCUP!BD64</f>
        <v>Bélgica</v>
      </c>
      <c r="E229" s="11" t="str">
        <f ca="1">+WORLDCUP!BD62</f>
        <v>Ecuador</v>
      </c>
      <c r="F229" s="11" t="str">
        <f ca="1">+WORLDCUP!BD60</f>
        <v>Escocia</v>
      </c>
      <c r="G229" s="11" t="str">
        <f ca="1">+WORLDCUP!BD58</f>
        <v>República Checa</v>
      </c>
      <c r="H229" s="11" t="str">
        <f ca="1">+WORLDCUP!BD63</f>
        <v>Japón</v>
      </c>
      <c r="I229" s="11" t="str">
        <f ca="1">+WORLDCUP!BD66</f>
        <v>Senegal</v>
      </c>
      <c r="J229" s="11" t="str">
        <f ca="1">+WORLDCUP!BD68</f>
        <v>RD Congo</v>
      </c>
      <c r="N229" s="11" t="s">
        <v>1008</v>
      </c>
      <c r="O229" s="11">
        <v>228</v>
      </c>
      <c r="P229" s="11" t="s">
        <v>436</v>
      </c>
      <c r="Q229" s="11" t="s">
        <v>435</v>
      </c>
      <c r="R229" s="11" t="s">
        <v>93</v>
      </c>
      <c r="S229" s="11" t="s">
        <v>91</v>
      </c>
      <c r="T229" s="11" t="s">
        <v>89</v>
      </c>
      <c r="U229" s="11" t="s">
        <v>94</v>
      </c>
      <c r="V229" s="11" t="s">
        <v>440</v>
      </c>
      <c r="W229" s="11" t="s">
        <v>442</v>
      </c>
    </row>
    <row r="230" spans="1:23">
      <c r="A230" s="11" t="s">
        <v>1007</v>
      </c>
      <c r="B230" s="11">
        <f ca="1">+IF(A230=WORLDCUP!$BI$112,1,0)</f>
        <v>0</v>
      </c>
      <c r="C230" s="11" t="str">
        <f ca="1">+WORLDCUP!BD65</f>
        <v>España</v>
      </c>
      <c r="D230" s="11" t="str">
        <f ca="1">+WORLDCUP!BD64</f>
        <v>Bélgica</v>
      </c>
      <c r="E230" s="11" t="str">
        <f ca="1">+WORLDCUP!BD67</f>
        <v>Jordania</v>
      </c>
      <c r="F230" s="11" t="str">
        <f ca="1">+WORLDCUP!BD60</f>
        <v>Escocia</v>
      </c>
      <c r="G230" s="11" t="str">
        <f ca="1">+WORLDCUP!BD58</f>
        <v>República Checa</v>
      </c>
      <c r="H230" s="11" t="str">
        <f ca="1">+WORLDCUP!BD63</f>
        <v>Japón</v>
      </c>
      <c r="I230" s="11" t="str">
        <f ca="1">+WORLDCUP!BD62</f>
        <v>Ecuador</v>
      </c>
      <c r="J230" s="11" t="str">
        <f ca="1">+WORLDCUP!BD66</f>
        <v>Senegal</v>
      </c>
      <c r="N230" s="11" t="s">
        <v>1007</v>
      </c>
      <c r="O230" s="11">
        <v>229</v>
      </c>
      <c r="P230" s="11" t="s">
        <v>436</v>
      </c>
      <c r="Q230" s="11" t="s">
        <v>435</v>
      </c>
      <c r="R230" s="11" t="s">
        <v>441</v>
      </c>
      <c r="S230" s="11" t="s">
        <v>91</v>
      </c>
      <c r="T230" s="11" t="s">
        <v>89</v>
      </c>
      <c r="U230" s="11" t="s">
        <v>94</v>
      </c>
      <c r="V230" s="11" t="s">
        <v>93</v>
      </c>
      <c r="W230" s="11" t="s">
        <v>440</v>
      </c>
    </row>
    <row r="231" spans="1:23">
      <c r="A231" s="11" t="s">
        <v>1006</v>
      </c>
      <c r="B231" s="11">
        <f ca="1">+IF(A231=WORLDCUP!$BI$112,1,0)</f>
        <v>0</v>
      </c>
      <c r="C231" s="11" t="str">
        <f ca="1">+WORLDCUP!BD65</f>
        <v>España</v>
      </c>
      <c r="D231" s="11" t="str">
        <f ca="1">+WORLDCUP!BD67</f>
        <v>Jordania</v>
      </c>
      <c r="E231" s="11" t="str">
        <f ca="1">+WORLDCUP!BD66</f>
        <v>Senegal</v>
      </c>
      <c r="F231" s="11" t="str">
        <f ca="1">+WORLDCUP!BD60</f>
        <v>Escocia</v>
      </c>
      <c r="G231" s="11" t="str">
        <f ca="1">+WORLDCUP!BD58</f>
        <v>República Checa</v>
      </c>
      <c r="H231" s="11" t="str">
        <f ca="1">+WORLDCUP!BD61</f>
        <v>Paraguay</v>
      </c>
      <c r="I231" s="11" t="str">
        <f ca="1">+WORLDCUP!BD69</f>
        <v>Panamá</v>
      </c>
      <c r="J231" s="11" t="str">
        <f ca="1">+WORLDCUP!BD68</f>
        <v>RD Congo</v>
      </c>
      <c r="N231" s="11" t="s">
        <v>1006</v>
      </c>
      <c r="O231" s="11">
        <v>230</v>
      </c>
      <c r="P231" s="11" t="s">
        <v>436</v>
      </c>
      <c r="Q231" s="11" t="s">
        <v>441</v>
      </c>
      <c r="R231" s="11" t="s">
        <v>440</v>
      </c>
      <c r="S231" s="11" t="s">
        <v>91</v>
      </c>
      <c r="T231" s="11" t="s">
        <v>89</v>
      </c>
      <c r="U231" s="11" t="s">
        <v>92</v>
      </c>
      <c r="V231" s="11" t="s">
        <v>443</v>
      </c>
      <c r="W231" s="11" t="s">
        <v>442</v>
      </c>
    </row>
    <row r="232" spans="1:23">
      <c r="A232" s="11" t="s">
        <v>1005</v>
      </c>
      <c r="B232" s="11">
        <f ca="1">+IF(A232=WORLDCUP!$BI$112,1,0)</f>
        <v>0</v>
      </c>
      <c r="C232" s="11" t="str">
        <f ca="1">+WORLDCUP!BD66</f>
        <v>Senegal</v>
      </c>
      <c r="D232" s="11" t="str">
        <f ca="1">+WORLDCUP!BD64</f>
        <v>Bélgica</v>
      </c>
      <c r="E232" s="11" t="str">
        <f ca="1">+WORLDCUP!BD67</f>
        <v>Jordania</v>
      </c>
      <c r="F232" s="11" t="str">
        <f ca="1">+WORLDCUP!BD60</f>
        <v>Escocia</v>
      </c>
      <c r="G232" s="11" t="str">
        <f ca="1">+WORLDCUP!BD58</f>
        <v>República Checa</v>
      </c>
      <c r="H232" s="11" t="str">
        <f ca="1">+WORLDCUP!BD61</f>
        <v>Paraguay</v>
      </c>
      <c r="I232" s="11" t="str">
        <f ca="1">+WORLDCUP!BD69</f>
        <v>Panamá</v>
      </c>
      <c r="J232" s="11" t="str">
        <f ca="1">+WORLDCUP!BD68</f>
        <v>RD Congo</v>
      </c>
      <c r="N232" s="11" t="s">
        <v>1005</v>
      </c>
      <c r="O232" s="11">
        <v>231</v>
      </c>
      <c r="P232" s="11" t="s">
        <v>440</v>
      </c>
      <c r="Q232" s="11" t="s">
        <v>435</v>
      </c>
      <c r="R232" s="11" t="s">
        <v>441</v>
      </c>
      <c r="S232" s="11" t="s">
        <v>91</v>
      </c>
      <c r="T232" s="11" t="s">
        <v>89</v>
      </c>
      <c r="U232" s="11" t="s">
        <v>92</v>
      </c>
      <c r="V232" s="11" t="s">
        <v>443</v>
      </c>
      <c r="W232" s="11" t="s">
        <v>442</v>
      </c>
    </row>
    <row r="233" spans="1:23">
      <c r="A233" s="11" t="s">
        <v>1004</v>
      </c>
      <c r="B233" s="11">
        <f ca="1">+IF(A233=WORLDCUP!$BI$112,1,0)</f>
        <v>0</v>
      </c>
      <c r="C233" s="11" t="str">
        <f ca="1">+WORLDCUP!BD65</f>
        <v>España</v>
      </c>
      <c r="D233" s="11" t="str">
        <f ca="1">+WORLDCUP!BD64</f>
        <v>Bélgica</v>
      </c>
      <c r="E233" s="11" t="str">
        <f ca="1">+WORLDCUP!BD67</f>
        <v>Jordania</v>
      </c>
      <c r="F233" s="11" t="str">
        <f ca="1">+WORLDCUP!BD60</f>
        <v>Escocia</v>
      </c>
      <c r="G233" s="11" t="str">
        <f ca="1">+WORLDCUP!BD58</f>
        <v>República Checa</v>
      </c>
      <c r="H233" s="11" t="str">
        <f ca="1">+WORLDCUP!BD61</f>
        <v>Paraguay</v>
      </c>
      <c r="I233" s="11" t="str">
        <f ca="1">+WORLDCUP!BD69</f>
        <v>Panamá</v>
      </c>
      <c r="J233" s="11" t="str">
        <f ca="1">+WORLDCUP!BD68</f>
        <v>RD Congo</v>
      </c>
      <c r="N233" s="11" t="s">
        <v>1004</v>
      </c>
      <c r="O233" s="11">
        <v>232</v>
      </c>
      <c r="P233" s="11" t="s">
        <v>436</v>
      </c>
      <c r="Q233" s="11" t="s">
        <v>435</v>
      </c>
      <c r="R233" s="11" t="s">
        <v>441</v>
      </c>
      <c r="S233" s="11" t="s">
        <v>91</v>
      </c>
      <c r="T233" s="11" t="s">
        <v>89</v>
      </c>
      <c r="U233" s="11" t="s">
        <v>92</v>
      </c>
      <c r="V233" s="11" t="s">
        <v>443</v>
      </c>
      <c r="W233" s="11" t="s">
        <v>442</v>
      </c>
    </row>
    <row r="234" spans="1:23">
      <c r="A234" s="11" t="s">
        <v>1003</v>
      </c>
      <c r="B234" s="11">
        <f ca="1">+IF(A234=WORLDCUP!$BI$112,1,0)</f>
        <v>0</v>
      </c>
      <c r="C234" s="11" t="str">
        <f ca="1">+WORLDCUP!BD65</f>
        <v>España</v>
      </c>
      <c r="D234" s="11" t="str">
        <f ca="1">+WORLDCUP!BD64</f>
        <v>Bélgica</v>
      </c>
      <c r="E234" s="11" t="str">
        <f ca="1">+WORLDCUP!BD66</f>
        <v>Senegal</v>
      </c>
      <c r="F234" s="11" t="str">
        <f ca="1">+WORLDCUP!BD60</f>
        <v>Escocia</v>
      </c>
      <c r="G234" s="11" t="str">
        <f ca="1">+WORLDCUP!BD58</f>
        <v>República Checa</v>
      </c>
      <c r="H234" s="11" t="str">
        <f ca="1">+WORLDCUP!BD61</f>
        <v>Paraguay</v>
      </c>
      <c r="I234" s="11" t="str">
        <f ca="1">+WORLDCUP!BD69</f>
        <v>Panamá</v>
      </c>
      <c r="J234" s="11" t="str">
        <f ca="1">+WORLDCUP!BD68</f>
        <v>RD Congo</v>
      </c>
      <c r="N234" s="11" t="s">
        <v>1003</v>
      </c>
      <c r="O234" s="11">
        <v>233</v>
      </c>
      <c r="P234" s="11" t="s">
        <v>436</v>
      </c>
      <c r="Q234" s="11" t="s">
        <v>435</v>
      </c>
      <c r="R234" s="11" t="s">
        <v>440</v>
      </c>
      <c r="S234" s="11" t="s">
        <v>91</v>
      </c>
      <c r="T234" s="11" t="s">
        <v>89</v>
      </c>
      <c r="U234" s="11" t="s">
        <v>92</v>
      </c>
      <c r="V234" s="11" t="s">
        <v>443</v>
      </c>
      <c r="W234" s="11" t="s">
        <v>442</v>
      </c>
    </row>
    <row r="235" spans="1:23">
      <c r="A235" s="11" t="s">
        <v>1002</v>
      </c>
      <c r="B235" s="11">
        <f ca="1">+IF(A235=WORLDCUP!$BI$112,1,0)</f>
        <v>0</v>
      </c>
      <c r="C235" s="11" t="str">
        <f ca="1">+WORLDCUP!BD65</f>
        <v>España</v>
      </c>
      <c r="D235" s="11" t="str">
        <f ca="1">+WORLDCUP!BD64</f>
        <v>Bélgica</v>
      </c>
      <c r="E235" s="11" t="str">
        <f ca="1">+WORLDCUP!BD67</f>
        <v>Jordania</v>
      </c>
      <c r="F235" s="11" t="str">
        <f ca="1">+WORLDCUP!BD60</f>
        <v>Escocia</v>
      </c>
      <c r="G235" s="11" t="str">
        <f ca="1">+WORLDCUP!BD58</f>
        <v>República Checa</v>
      </c>
      <c r="H235" s="11" t="str">
        <f ca="1">+WORLDCUP!BD61</f>
        <v>Paraguay</v>
      </c>
      <c r="I235" s="11" t="str">
        <f ca="1">+WORLDCUP!BD69</f>
        <v>Panamá</v>
      </c>
      <c r="J235" s="11" t="str">
        <f ca="1">+WORLDCUP!BD66</f>
        <v>Senegal</v>
      </c>
      <c r="N235" s="11" t="s">
        <v>1002</v>
      </c>
      <c r="O235" s="11">
        <v>234</v>
      </c>
      <c r="P235" s="11" t="s">
        <v>436</v>
      </c>
      <c r="Q235" s="11" t="s">
        <v>435</v>
      </c>
      <c r="R235" s="11" t="s">
        <v>441</v>
      </c>
      <c r="S235" s="11" t="s">
        <v>91</v>
      </c>
      <c r="T235" s="11" t="s">
        <v>89</v>
      </c>
      <c r="U235" s="11" t="s">
        <v>92</v>
      </c>
      <c r="V235" s="11" t="s">
        <v>443</v>
      </c>
      <c r="W235" s="11" t="s">
        <v>440</v>
      </c>
    </row>
    <row r="236" spans="1:23">
      <c r="A236" s="11" t="s">
        <v>1001</v>
      </c>
      <c r="B236" s="11">
        <f ca="1">+IF(A236=WORLDCUP!$BI$112,1,0)</f>
        <v>0</v>
      </c>
      <c r="C236" s="11" t="str">
        <f ca="1">+WORLDCUP!BD65</f>
        <v>España</v>
      </c>
      <c r="D236" s="11" t="str">
        <f ca="1">+WORLDCUP!BD64</f>
        <v>Bélgica</v>
      </c>
      <c r="E236" s="11" t="str">
        <f ca="1">+WORLDCUP!BD67</f>
        <v>Jordania</v>
      </c>
      <c r="F236" s="11" t="str">
        <f ca="1">+WORLDCUP!BD60</f>
        <v>Escocia</v>
      </c>
      <c r="G236" s="11" t="str">
        <f ca="1">+WORLDCUP!BD58</f>
        <v>República Checa</v>
      </c>
      <c r="H236" s="11" t="str">
        <f ca="1">+WORLDCUP!BD61</f>
        <v>Paraguay</v>
      </c>
      <c r="I236" s="11" t="str">
        <f ca="1">+WORLDCUP!BD66</f>
        <v>Senegal</v>
      </c>
      <c r="J236" s="11" t="str">
        <f ca="1">+WORLDCUP!BD68</f>
        <v>RD Congo</v>
      </c>
      <c r="N236" s="11" t="s">
        <v>1001</v>
      </c>
      <c r="O236" s="11">
        <v>235</v>
      </c>
      <c r="P236" s="11" t="s">
        <v>436</v>
      </c>
      <c r="Q236" s="11" t="s">
        <v>435</v>
      </c>
      <c r="R236" s="11" t="s">
        <v>441</v>
      </c>
      <c r="S236" s="11" t="s">
        <v>91</v>
      </c>
      <c r="T236" s="11" t="s">
        <v>89</v>
      </c>
      <c r="U236" s="11" t="s">
        <v>92</v>
      </c>
      <c r="V236" s="11" t="s">
        <v>440</v>
      </c>
      <c r="W236" s="11" t="s">
        <v>442</v>
      </c>
    </row>
    <row r="237" spans="1:23">
      <c r="A237" s="11" t="s">
        <v>1000</v>
      </c>
      <c r="B237" s="11">
        <f ca="1">+IF(A237=WORLDCUP!$BI$112,1,0)</f>
        <v>0</v>
      </c>
      <c r="C237" s="11" t="str">
        <f ca="1">+WORLDCUP!BD60</f>
        <v>Escocia</v>
      </c>
      <c r="D237" s="11" t="str">
        <f ca="1">+WORLDCUP!BD67</f>
        <v>Jordania</v>
      </c>
      <c r="E237" s="11" t="str">
        <f ca="1">+WORLDCUP!BD66</f>
        <v>Senegal</v>
      </c>
      <c r="F237" s="11" t="str">
        <f ca="1">+WORLDCUP!BD61</f>
        <v>Paraguay</v>
      </c>
      <c r="G237" s="11" t="str">
        <f ca="1">+WORLDCUP!BD58</f>
        <v>República Checa</v>
      </c>
      <c r="H237" s="11" t="str">
        <f ca="1">+WORLDCUP!BD63</f>
        <v>Japón</v>
      </c>
      <c r="I237" s="11" t="str">
        <f ca="1">+WORLDCUP!BD69</f>
        <v>Panamá</v>
      </c>
      <c r="J237" s="11" t="str">
        <f ca="1">+WORLDCUP!BD68</f>
        <v>RD Congo</v>
      </c>
      <c r="N237" s="11" t="s">
        <v>1000</v>
      </c>
      <c r="O237" s="11">
        <v>236</v>
      </c>
      <c r="P237" s="11" t="s">
        <v>91</v>
      </c>
      <c r="Q237" s="11" t="s">
        <v>441</v>
      </c>
      <c r="R237" s="11" t="s">
        <v>440</v>
      </c>
      <c r="S237" s="11" t="s">
        <v>92</v>
      </c>
      <c r="T237" s="11" t="s">
        <v>89</v>
      </c>
      <c r="U237" s="11" t="s">
        <v>94</v>
      </c>
      <c r="V237" s="11" t="s">
        <v>443</v>
      </c>
      <c r="W237" s="11" t="s">
        <v>442</v>
      </c>
    </row>
    <row r="238" spans="1:23">
      <c r="A238" s="11" t="s">
        <v>999</v>
      </c>
      <c r="B238" s="11">
        <f ca="1">+IF(A238=WORLDCUP!$BI$112,1,0)</f>
        <v>0</v>
      </c>
      <c r="C238" s="11" t="str">
        <f ca="1">+WORLDCUP!BD65</f>
        <v>España</v>
      </c>
      <c r="D238" s="11" t="str">
        <f ca="1">+WORLDCUP!BD67</f>
        <v>Jordania</v>
      </c>
      <c r="E238" s="11" t="str">
        <f ca="1">+WORLDCUP!BD63</f>
        <v>Japón</v>
      </c>
      <c r="F238" s="11" t="str">
        <f ca="1">+WORLDCUP!BD60</f>
        <v>Escocia</v>
      </c>
      <c r="G238" s="11" t="str">
        <f ca="1">+WORLDCUP!BD58</f>
        <v>República Checa</v>
      </c>
      <c r="H238" s="11" t="str">
        <f ca="1">+WORLDCUP!BD61</f>
        <v>Paraguay</v>
      </c>
      <c r="I238" s="11" t="str">
        <f ca="1">+WORLDCUP!BD69</f>
        <v>Panamá</v>
      </c>
      <c r="J238" s="11" t="str">
        <f ca="1">+WORLDCUP!BD68</f>
        <v>RD Congo</v>
      </c>
      <c r="N238" s="11" t="s">
        <v>999</v>
      </c>
      <c r="O238" s="11">
        <v>237</v>
      </c>
      <c r="P238" s="11" t="s">
        <v>436</v>
      </c>
      <c r="Q238" s="11" t="s">
        <v>441</v>
      </c>
      <c r="R238" s="11" t="s">
        <v>94</v>
      </c>
      <c r="S238" s="11" t="s">
        <v>91</v>
      </c>
      <c r="T238" s="11" t="s">
        <v>89</v>
      </c>
      <c r="U238" s="11" t="s">
        <v>92</v>
      </c>
      <c r="V238" s="11" t="s">
        <v>443</v>
      </c>
      <c r="W238" s="11" t="s">
        <v>442</v>
      </c>
    </row>
    <row r="239" spans="1:23">
      <c r="A239" s="11" t="s">
        <v>998</v>
      </c>
      <c r="B239" s="11">
        <f ca="1">+IF(A239=WORLDCUP!$BI$112,1,0)</f>
        <v>0</v>
      </c>
      <c r="C239" s="11" t="str">
        <f ca="1">+WORLDCUP!BD65</f>
        <v>España</v>
      </c>
      <c r="D239" s="11" t="str">
        <f ca="1">+WORLDCUP!BD63</f>
        <v>Japón</v>
      </c>
      <c r="E239" s="11" t="str">
        <f ca="1">+WORLDCUP!BD66</f>
        <v>Senegal</v>
      </c>
      <c r="F239" s="11" t="str">
        <f ca="1">+WORLDCUP!BD60</f>
        <v>Escocia</v>
      </c>
      <c r="G239" s="11" t="str">
        <f ca="1">+WORLDCUP!BD58</f>
        <v>República Checa</v>
      </c>
      <c r="H239" s="11" t="str">
        <f ca="1">+WORLDCUP!BD61</f>
        <v>Paraguay</v>
      </c>
      <c r="I239" s="11" t="str">
        <f ca="1">+WORLDCUP!BD69</f>
        <v>Panamá</v>
      </c>
      <c r="J239" s="11" t="str">
        <f ca="1">+WORLDCUP!BD68</f>
        <v>RD Congo</v>
      </c>
      <c r="N239" s="11" t="s">
        <v>998</v>
      </c>
      <c r="O239" s="11">
        <v>238</v>
      </c>
      <c r="P239" s="11" t="s">
        <v>436</v>
      </c>
      <c r="Q239" s="11" t="s">
        <v>94</v>
      </c>
      <c r="R239" s="11" t="s">
        <v>440</v>
      </c>
      <c r="S239" s="11" t="s">
        <v>91</v>
      </c>
      <c r="T239" s="11" t="s">
        <v>89</v>
      </c>
      <c r="U239" s="11" t="s">
        <v>92</v>
      </c>
      <c r="V239" s="11" t="s">
        <v>443</v>
      </c>
      <c r="W239" s="11" t="s">
        <v>442</v>
      </c>
    </row>
    <row r="240" spans="1:23">
      <c r="A240" s="11" t="s">
        <v>997</v>
      </c>
      <c r="B240" s="11">
        <f ca="1">+IF(A240=WORLDCUP!$BI$112,1,0)</f>
        <v>0</v>
      </c>
      <c r="C240" s="11" t="str">
        <f ca="1">+WORLDCUP!BD65</f>
        <v>España</v>
      </c>
      <c r="D240" s="11" t="str">
        <f ca="1">+WORLDCUP!BD67</f>
        <v>Jordania</v>
      </c>
      <c r="E240" s="11" t="str">
        <f ca="1">+WORLDCUP!BD63</f>
        <v>Japón</v>
      </c>
      <c r="F240" s="11" t="str">
        <f ca="1">+WORLDCUP!BD60</f>
        <v>Escocia</v>
      </c>
      <c r="G240" s="11" t="str">
        <f ca="1">+WORLDCUP!BD58</f>
        <v>República Checa</v>
      </c>
      <c r="H240" s="11" t="str">
        <f ca="1">+WORLDCUP!BD61</f>
        <v>Paraguay</v>
      </c>
      <c r="I240" s="11" t="str">
        <f ca="1">+WORLDCUP!BD69</f>
        <v>Panamá</v>
      </c>
      <c r="J240" s="11" t="str">
        <f ca="1">+WORLDCUP!BD66</f>
        <v>Senegal</v>
      </c>
      <c r="N240" s="11" t="s">
        <v>997</v>
      </c>
      <c r="O240" s="11">
        <v>239</v>
      </c>
      <c r="P240" s="11" t="s">
        <v>436</v>
      </c>
      <c r="Q240" s="11" t="s">
        <v>441</v>
      </c>
      <c r="R240" s="11" t="s">
        <v>94</v>
      </c>
      <c r="S240" s="11" t="s">
        <v>91</v>
      </c>
      <c r="T240" s="11" t="s">
        <v>89</v>
      </c>
      <c r="U240" s="11" t="s">
        <v>92</v>
      </c>
      <c r="V240" s="11" t="s">
        <v>443</v>
      </c>
      <c r="W240" s="11" t="s">
        <v>440</v>
      </c>
    </row>
    <row r="241" spans="1:23">
      <c r="A241" s="11" t="s">
        <v>996</v>
      </c>
      <c r="B241" s="11">
        <f ca="1">+IF(A241=WORLDCUP!$BI$112,1,0)</f>
        <v>0</v>
      </c>
      <c r="C241" s="11" t="str">
        <f ca="1">+WORLDCUP!BD65</f>
        <v>España</v>
      </c>
      <c r="D241" s="11" t="str">
        <f ca="1">+WORLDCUP!BD67</f>
        <v>Jordania</v>
      </c>
      <c r="E241" s="11" t="str">
        <f ca="1">+WORLDCUP!BD63</f>
        <v>Japón</v>
      </c>
      <c r="F241" s="11" t="str">
        <f ca="1">+WORLDCUP!BD60</f>
        <v>Escocia</v>
      </c>
      <c r="G241" s="11" t="str">
        <f ca="1">+WORLDCUP!BD58</f>
        <v>República Checa</v>
      </c>
      <c r="H241" s="11" t="str">
        <f ca="1">+WORLDCUP!BD61</f>
        <v>Paraguay</v>
      </c>
      <c r="I241" s="11" t="str">
        <f ca="1">+WORLDCUP!BD66</f>
        <v>Senegal</v>
      </c>
      <c r="J241" s="11" t="str">
        <f ca="1">+WORLDCUP!BD68</f>
        <v>RD Congo</v>
      </c>
      <c r="N241" s="11" t="s">
        <v>996</v>
      </c>
      <c r="O241" s="11">
        <v>240</v>
      </c>
      <c r="P241" s="11" t="s">
        <v>436</v>
      </c>
      <c r="Q241" s="11" t="s">
        <v>441</v>
      </c>
      <c r="R241" s="11" t="s">
        <v>94</v>
      </c>
      <c r="S241" s="11" t="s">
        <v>91</v>
      </c>
      <c r="T241" s="11" t="s">
        <v>89</v>
      </c>
      <c r="U241" s="11" t="s">
        <v>92</v>
      </c>
      <c r="V241" s="11" t="s">
        <v>440</v>
      </c>
      <c r="W241" s="11" t="s">
        <v>442</v>
      </c>
    </row>
    <row r="242" spans="1:23">
      <c r="A242" s="11" t="s">
        <v>995</v>
      </c>
      <c r="B242" s="11">
        <f ca="1">+IF(A242=WORLDCUP!$BI$112,1,0)</f>
        <v>0</v>
      </c>
      <c r="C242" s="11" t="str">
        <f ca="1">+WORLDCUP!BD60</f>
        <v>Escocia</v>
      </c>
      <c r="D242" s="11" t="str">
        <f ca="1">+WORLDCUP!BD64</f>
        <v>Bélgica</v>
      </c>
      <c r="E242" s="11" t="str">
        <f ca="1">+WORLDCUP!BD67</f>
        <v>Jordania</v>
      </c>
      <c r="F242" s="11" t="str">
        <f ca="1">+WORLDCUP!BD61</f>
        <v>Paraguay</v>
      </c>
      <c r="G242" s="11" t="str">
        <f ca="1">+WORLDCUP!BD58</f>
        <v>República Checa</v>
      </c>
      <c r="H242" s="11" t="str">
        <f ca="1">+WORLDCUP!BD63</f>
        <v>Japón</v>
      </c>
      <c r="I242" s="11" t="str">
        <f ca="1">+WORLDCUP!BD69</f>
        <v>Panamá</v>
      </c>
      <c r="J242" s="11" t="str">
        <f ca="1">+WORLDCUP!BD68</f>
        <v>RD Congo</v>
      </c>
      <c r="N242" s="11" t="s">
        <v>995</v>
      </c>
      <c r="O242" s="11">
        <v>241</v>
      </c>
      <c r="P242" s="11" t="s">
        <v>91</v>
      </c>
      <c r="Q242" s="11" t="s">
        <v>435</v>
      </c>
      <c r="R242" s="11" t="s">
        <v>441</v>
      </c>
      <c r="S242" s="11" t="s">
        <v>92</v>
      </c>
      <c r="T242" s="11" t="s">
        <v>89</v>
      </c>
      <c r="U242" s="11" t="s">
        <v>94</v>
      </c>
      <c r="V242" s="11" t="s">
        <v>443</v>
      </c>
      <c r="W242" s="11" t="s">
        <v>442</v>
      </c>
    </row>
    <row r="243" spans="1:23">
      <c r="A243" s="11" t="s">
        <v>994</v>
      </c>
      <c r="B243" s="11">
        <f ca="1">+IF(A243=WORLDCUP!$BI$112,1,0)</f>
        <v>0</v>
      </c>
      <c r="C243" s="11" t="str">
        <f ca="1">+WORLDCUP!BD60</f>
        <v>Escocia</v>
      </c>
      <c r="D243" s="11" t="str">
        <f ca="1">+WORLDCUP!BD64</f>
        <v>Bélgica</v>
      </c>
      <c r="E243" s="11" t="str">
        <f ca="1">+WORLDCUP!BD66</f>
        <v>Senegal</v>
      </c>
      <c r="F243" s="11" t="str">
        <f ca="1">+WORLDCUP!BD61</f>
        <v>Paraguay</v>
      </c>
      <c r="G243" s="11" t="str">
        <f ca="1">+WORLDCUP!BD58</f>
        <v>República Checa</v>
      </c>
      <c r="H243" s="11" t="str">
        <f ca="1">+WORLDCUP!BD63</f>
        <v>Japón</v>
      </c>
      <c r="I243" s="11" t="str">
        <f ca="1">+WORLDCUP!BD69</f>
        <v>Panamá</v>
      </c>
      <c r="J243" s="11" t="str">
        <f ca="1">+WORLDCUP!BD68</f>
        <v>RD Congo</v>
      </c>
      <c r="N243" s="11" t="s">
        <v>994</v>
      </c>
      <c r="O243" s="11">
        <v>242</v>
      </c>
      <c r="P243" s="11" t="s">
        <v>91</v>
      </c>
      <c r="Q243" s="11" t="s">
        <v>435</v>
      </c>
      <c r="R243" s="11" t="s">
        <v>440</v>
      </c>
      <c r="S243" s="11" t="s">
        <v>92</v>
      </c>
      <c r="T243" s="11" t="s">
        <v>89</v>
      </c>
      <c r="U243" s="11" t="s">
        <v>94</v>
      </c>
      <c r="V243" s="11" t="s">
        <v>443</v>
      </c>
      <c r="W243" s="11" t="s">
        <v>442</v>
      </c>
    </row>
    <row r="244" spans="1:23">
      <c r="A244" s="11" t="s">
        <v>993</v>
      </c>
      <c r="B244" s="11">
        <f ca="1">+IF(A244=WORLDCUP!$BI$112,1,0)</f>
        <v>0</v>
      </c>
      <c r="C244" s="11" t="str">
        <f ca="1">+WORLDCUP!BD60</f>
        <v>Escocia</v>
      </c>
      <c r="D244" s="11" t="str">
        <f ca="1">+WORLDCUP!BD64</f>
        <v>Bélgica</v>
      </c>
      <c r="E244" s="11" t="str">
        <f ca="1">+WORLDCUP!BD67</f>
        <v>Jordania</v>
      </c>
      <c r="F244" s="11" t="str">
        <f ca="1">+WORLDCUP!BD61</f>
        <v>Paraguay</v>
      </c>
      <c r="G244" s="11" t="str">
        <f ca="1">+WORLDCUP!BD58</f>
        <v>República Checa</v>
      </c>
      <c r="H244" s="11" t="str">
        <f ca="1">+WORLDCUP!BD63</f>
        <v>Japón</v>
      </c>
      <c r="I244" s="11" t="str">
        <f ca="1">+WORLDCUP!BD69</f>
        <v>Panamá</v>
      </c>
      <c r="J244" s="11" t="str">
        <f ca="1">+WORLDCUP!BD66</f>
        <v>Senegal</v>
      </c>
      <c r="N244" s="11" t="s">
        <v>993</v>
      </c>
      <c r="O244" s="11">
        <v>243</v>
      </c>
      <c r="P244" s="11" t="s">
        <v>91</v>
      </c>
      <c r="Q244" s="11" t="s">
        <v>435</v>
      </c>
      <c r="R244" s="11" t="s">
        <v>441</v>
      </c>
      <c r="S244" s="11" t="s">
        <v>92</v>
      </c>
      <c r="T244" s="11" t="s">
        <v>89</v>
      </c>
      <c r="U244" s="11" t="s">
        <v>94</v>
      </c>
      <c r="V244" s="11" t="s">
        <v>443</v>
      </c>
      <c r="W244" s="11" t="s">
        <v>440</v>
      </c>
    </row>
    <row r="245" spans="1:23">
      <c r="A245" s="11" t="s">
        <v>992</v>
      </c>
      <c r="B245" s="11">
        <f ca="1">+IF(A245=WORLDCUP!$BI$112,1,0)</f>
        <v>0</v>
      </c>
      <c r="C245" s="11" t="str">
        <f ca="1">+WORLDCUP!BD60</f>
        <v>Escocia</v>
      </c>
      <c r="D245" s="11" t="str">
        <f ca="1">+WORLDCUP!BD64</f>
        <v>Bélgica</v>
      </c>
      <c r="E245" s="11" t="str">
        <f ca="1">+WORLDCUP!BD67</f>
        <v>Jordania</v>
      </c>
      <c r="F245" s="11" t="str">
        <f ca="1">+WORLDCUP!BD61</f>
        <v>Paraguay</v>
      </c>
      <c r="G245" s="11" t="str">
        <f ca="1">+WORLDCUP!BD58</f>
        <v>República Checa</v>
      </c>
      <c r="H245" s="11" t="str">
        <f ca="1">+WORLDCUP!BD63</f>
        <v>Japón</v>
      </c>
      <c r="I245" s="11" t="str">
        <f ca="1">+WORLDCUP!BD66</f>
        <v>Senegal</v>
      </c>
      <c r="J245" s="11" t="str">
        <f ca="1">+WORLDCUP!BD68</f>
        <v>RD Congo</v>
      </c>
      <c r="N245" s="11" t="s">
        <v>992</v>
      </c>
      <c r="O245" s="11">
        <v>244</v>
      </c>
      <c r="P245" s="11" t="s">
        <v>91</v>
      </c>
      <c r="Q245" s="11" t="s">
        <v>435</v>
      </c>
      <c r="R245" s="11" t="s">
        <v>441</v>
      </c>
      <c r="S245" s="11" t="s">
        <v>92</v>
      </c>
      <c r="T245" s="11" t="s">
        <v>89</v>
      </c>
      <c r="U245" s="11" t="s">
        <v>94</v>
      </c>
      <c r="V245" s="11" t="s">
        <v>440</v>
      </c>
      <c r="W245" s="11" t="s">
        <v>442</v>
      </c>
    </row>
    <row r="246" spans="1:23">
      <c r="A246" s="11" t="s">
        <v>991</v>
      </c>
      <c r="B246" s="11">
        <f ca="1">+IF(A246=WORLDCUP!$BI$112,1,0)</f>
        <v>0</v>
      </c>
      <c r="C246" s="11" t="str">
        <f ca="1">+WORLDCUP!BD65</f>
        <v>España</v>
      </c>
      <c r="D246" s="11" t="str">
        <f ca="1">+WORLDCUP!BD64</f>
        <v>Bélgica</v>
      </c>
      <c r="E246" s="11" t="str">
        <f ca="1">+WORLDCUP!BD63</f>
        <v>Japón</v>
      </c>
      <c r="F246" s="11" t="str">
        <f ca="1">+WORLDCUP!BD60</f>
        <v>Escocia</v>
      </c>
      <c r="G246" s="11" t="str">
        <f ca="1">+WORLDCUP!BD58</f>
        <v>República Checa</v>
      </c>
      <c r="H246" s="11" t="str">
        <f ca="1">+WORLDCUP!BD61</f>
        <v>Paraguay</v>
      </c>
      <c r="I246" s="11" t="str">
        <f ca="1">+WORLDCUP!BD69</f>
        <v>Panamá</v>
      </c>
      <c r="J246" s="11" t="str">
        <f ca="1">+WORLDCUP!BD68</f>
        <v>RD Congo</v>
      </c>
      <c r="N246" s="11" t="s">
        <v>991</v>
      </c>
      <c r="O246" s="11">
        <v>245</v>
      </c>
      <c r="P246" s="11" t="s">
        <v>436</v>
      </c>
      <c r="Q246" s="11" t="s">
        <v>435</v>
      </c>
      <c r="R246" s="11" t="s">
        <v>94</v>
      </c>
      <c r="S246" s="11" t="s">
        <v>91</v>
      </c>
      <c r="T246" s="11" t="s">
        <v>89</v>
      </c>
      <c r="U246" s="11" t="s">
        <v>92</v>
      </c>
      <c r="V246" s="11" t="s">
        <v>443</v>
      </c>
      <c r="W246" s="11" t="s">
        <v>442</v>
      </c>
    </row>
    <row r="247" spans="1:23">
      <c r="A247" s="11" t="s">
        <v>990</v>
      </c>
      <c r="B247" s="11">
        <f ca="1">+IF(A247=WORLDCUP!$BI$112,1,0)</f>
        <v>0</v>
      </c>
      <c r="C247" s="11" t="str">
        <f ca="1">+WORLDCUP!BD60</f>
        <v>Escocia</v>
      </c>
      <c r="D247" s="11" t="str">
        <f ca="1">+WORLDCUP!BD64</f>
        <v>Bélgica</v>
      </c>
      <c r="E247" s="11" t="str">
        <f ca="1">+WORLDCUP!BD67</f>
        <v>Jordania</v>
      </c>
      <c r="F247" s="11" t="str">
        <f ca="1">+WORLDCUP!BD61</f>
        <v>Paraguay</v>
      </c>
      <c r="G247" s="11" t="str">
        <f ca="1">+WORLDCUP!BD58</f>
        <v>República Checa</v>
      </c>
      <c r="H247" s="11" t="str">
        <f ca="1">+WORLDCUP!BD63</f>
        <v>Japón</v>
      </c>
      <c r="I247" s="11" t="str">
        <f ca="1">+WORLDCUP!BD69</f>
        <v>Panamá</v>
      </c>
      <c r="J247" s="11" t="str">
        <f ca="1">+WORLDCUP!BD65</f>
        <v>España</v>
      </c>
      <c r="N247" s="11" t="s">
        <v>990</v>
      </c>
      <c r="O247" s="11">
        <v>246</v>
      </c>
      <c r="P247" s="11" t="s">
        <v>91</v>
      </c>
      <c r="Q247" s="11" t="s">
        <v>435</v>
      </c>
      <c r="R247" s="11" t="s">
        <v>441</v>
      </c>
      <c r="S247" s="11" t="s">
        <v>92</v>
      </c>
      <c r="T247" s="11" t="s">
        <v>89</v>
      </c>
      <c r="U247" s="11" t="s">
        <v>94</v>
      </c>
      <c r="V247" s="11" t="s">
        <v>443</v>
      </c>
      <c r="W247" s="11" t="s">
        <v>436</v>
      </c>
    </row>
    <row r="248" spans="1:23">
      <c r="A248" s="11" t="s">
        <v>989</v>
      </c>
      <c r="B248" s="11">
        <f ca="1">+IF(A248=WORLDCUP!$BI$112,1,0)</f>
        <v>0</v>
      </c>
      <c r="C248" s="11" t="str">
        <f ca="1">+WORLDCUP!BD65</f>
        <v>España</v>
      </c>
      <c r="D248" s="11" t="str">
        <f ca="1">+WORLDCUP!BD64</f>
        <v>Bélgica</v>
      </c>
      <c r="E248" s="11" t="str">
        <f ca="1">+WORLDCUP!BD67</f>
        <v>Jordania</v>
      </c>
      <c r="F248" s="11" t="str">
        <f ca="1">+WORLDCUP!BD60</f>
        <v>Escocia</v>
      </c>
      <c r="G248" s="11" t="str">
        <f ca="1">+WORLDCUP!BD58</f>
        <v>República Checa</v>
      </c>
      <c r="H248" s="11" t="str">
        <f ca="1">+WORLDCUP!BD63</f>
        <v>Japón</v>
      </c>
      <c r="I248" s="11" t="str">
        <f ca="1">+WORLDCUP!BD61</f>
        <v>Paraguay</v>
      </c>
      <c r="J248" s="11" t="str">
        <f ca="1">+WORLDCUP!BD68</f>
        <v>RD Congo</v>
      </c>
      <c r="N248" s="11" t="s">
        <v>989</v>
      </c>
      <c r="O248" s="11">
        <v>247</v>
      </c>
      <c r="P248" s="11" t="s">
        <v>436</v>
      </c>
      <c r="Q248" s="11" t="s">
        <v>435</v>
      </c>
      <c r="R248" s="11" t="s">
        <v>441</v>
      </c>
      <c r="S248" s="11" t="s">
        <v>91</v>
      </c>
      <c r="T248" s="11" t="s">
        <v>89</v>
      </c>
      <c r="U248" s="11" t="s">
        <v>94</v>
      </c>
      <c r="V248" s="11" t="s">
        <v>92</v>
      </c>
      <c r="W248" s="11" t="s">
        <v>442</v>
      </c>
    </row>
    <row r="249" spans="1:23">
      <c r="A249" s="11" t="s">
        <v>988</v>
      </c>
      <c r="B249" s="11">
        <f ca="1">+IF(A249=WORLDCUP!$BI$112,1,0)</f>
        <v>0</v>
      </c>
      <c r="C249" s="11" t="str">
        <f ca="1">+WORLDCUP!BD65</f>
        <v>España</v>
      </c>
      <c r="D249" s="11" t="str">
        <f ca="1">+WORLDCUP!BD64</f>
        <v>Bélgica</v>
      </c>
      <c r="E249" s="11" t="str">
        <f ca="1">+WORLDCUP!BD63</f>
        <v>Japón</v>
      </c>
      <c r="F249" s="11" t="str">
        <f ca="1">+WORLDCUP!BD60</f>
        <v>Escocia</v>
      </c>
      <c r="G249" s="11" t="str">
        <f ca="1">+WORLDCUP!BD58</f>
        <v>República Checa</v>
      </c>
      <c r="H249" s="11" t="str">
        <f ca="1">+WORLDCUP!BD61</f>
        <v>Paraguay</v>
      </c>
      <c r="I249" s="11" t="str">
        <f ca="1">+WORLDCUP!BD69</f>
        <v>Panamá</v>
      </c>
      <c r="J249" s="11" t="str">
        <f ca="1">+WORLDCUP!BD66</f>
        <v>Senegal</v>
      </c>
      <c r="N249" s="11" t="s">
        <v>988</v>
      </c>
      <c r="O249" s="11">
        <v>248</v>
      </c>
      <c r="P249" s="11" t="s">
        <v>436</v>
      </c>
      <c r="Q249" s="11" t="s">
        <v>435</v>
      </c>
      <c r="R249" s="11" t="s">
        <v>94</v>
      </c>
      <c r="S249" s="11" t="s">
        <v>91</v>
      </c>
      <c r="T249" s="11" t="s">
        <v>89</v>
      </c>
      <c r="U249" s="11" t="s">
        <v>92</v>
      </c>
      <c r="V249" s="11" t="s">
        <v>443</v>
      </c>
      <c r="W249" s="11" t="s">
        <v>440</v>
      </c>
    </row>
    <row r="250" spans="1:23">
      <c r="A250" s="11" t="s">
        <v>987</v>
      </c>
      <c r="B250" s="11">
        <f ca="1">+IF(A250=WORLDCUP!$BI$112,1,0)</f>
        <v>0</v>
      </c>
      <c r="C250" s="11" t="str">
        <f ca="1">+WORLDCUP!BD65</f>
        <v>España</v>
      </c>
      <c r="D250" s="11" t="str">
        <f ca="1">+WORLDCUP!BD64</f>
        <v>Bélgica</v>
      </c>
      <c r="E250" s="11" t="str">
        <f ca="1">+WORLDCUP!BD63</f>
        <v>Japón</v>
      </c>
      <c r="F250" s="11" t="str">
        <f ca="1">+WORLDCUP!BD60</f>
        <v>Escocia</v>
      </c>
      <c r="G250" s="11" t="str">
        <f ca="1">+WORLDCUP!BD58</f>
        <v>República Checa</v>
      </c>
      <c r="H250" s="11" t="str">
        <f ca="1">+WORLDCUP!BD61</f>
        <v>Paraguay</v>
      </c>
      <c r="I250" s="11" t="str">
        <f ca="1">+WORLDCUP!BD66</f>
        <v>Senegal</v>
      </c>
      <c r="J250" s="11" t="str">
        <f ca="1">+WORLDCUP!BD68</f>
        <v>RD Congo</v>
      </c>
      <c r="N250" s="11" t="s">
        <v>987</v>
      </c>
      <c r="O250" s="11">
        <v>249</v>
      </c>
      <c r="P250" s="11" t="s">
        <v>436</v>
      </c>
      <c r="Q250" s="11" t="s">
        <v>435</v>
      </c>
      <c r="R250" s="11" t="s">
        <v>94</v>
      </c>
      <c r="S250" s="11" t="s">
        <v>91</v>
      </c>
      <c r="T250" s="11" t="s">
        <v>89</v>
      </c>
      <c r="U250" s="11" t="s">
        <v>92</v>
      </c>
      <c r="V250" s="11" t="s">
        <v>440</v>
      </c>
      <c r="W250" s="11" t="s">
        <v>442</v>
      </c>
    </row>
    <row r="251" spans="1:23">
      <c r="A251" s="11" t="s">
        <v>986</v>
      </c>
      <c r="B251" s="11">
        <f ca="1">+IF(A251=WORLDCUP!$BI$112,1,0)</f>
        <v>0</v>
      </c>
      <c r="C251" s="11" t="str">
        <f ca="1">+WORLDCUP!BD65</f>
        <v>España</v>
      </c>
      <c r="D251" s="11" t="str">
        <f ca="1">+WORLDCUP!BD64</f>
        <v>Bélgica</v>
      </c>
      <c r="E251" s="11" t="str">
        <f ca="1">+WORLDCUP!BD67</f>
        <v>Jordania</v>
      </c>
      <c r="F251" s="11" t="str">
        <f ca="1">+WORLDCUP!BD60</f>
        <v>Escocia</v>
      </c>
      <c r="G251" s="11" t="str">
        <f ca="1">+WORLDCUP!BD58</f>
        <v>República Checa</v>
      </c>
      <c r="H251" s="11" t="str">
        <f ca="1">+WORLDCUP!BD63</f>
        <v>Japón</v>
      </c>
      <c r="I251" s="11" t="str">
        <f ca="1">+WORLDCUP!BD61</f>
        <v>Paraguay</v>
      </c>
      <c r="J251" s="11" t="str">
        <f ca="1">+WORLDCUP!BD66</f>
        <v>Senegal</v>
      </c>
      <c r="N251" s="11" t="s">
        <v>986</v>
      </c>
      <c r="O251" s="11">
        <v>250</v>
      </c>
      <c r="P251" s="11" t="s">
        <v>436</v>
      </c>
      <c r="Q251" s="11" t="s">
        <v>435</v>
      </c>
      <c r="R251" s="11" t="s">
        <v>441</v>
      </c>
      <c r="S251" s="11" t="s">
        <v>91</v>
      </c>
      <c r="T251" s="11" t="s">
        <v>89</v>
      </c>
      <c r="U251" s="11" t="s">
        <v>94</v>
      </c>
      <c r="V251" s="11" t="s">
        <v>92</v>
      </c>
      <c r="W251" s="11" t="s">
        <v>440</v>
      </c>
    </row>
    <row r="252" spans="1:23">
      <c r="A252" s="11" t="s">
        <v>985</v>
      </c>
      <c r="B252" s="11">
        <f ca="1">+IF(A252=WORLDCUP!$BI$112,1,0)</f>
        <v>0</v>
      </c>
      <c r="C252" s="11" t="str">
        <f ca="1">+WORLDCUP!BD62</f>
        <v>Ecuador</v>
      </c>
      <c r="D252" s="11" t="str">
        <f ca="1">+WORLDCUP!BD67</f>
        <v>Jordania</v>
      </c>
      <c r="E252" s="11" t="str">
        <f ca="1">+WORLDCUP!BD66</f>
        <v>Senegal</v>
      </c>
      <c r="F252" s="11" t="str">
        <f ca="1">+WORLDCUP!BD60</f>
        <v>Escocia</v>
      </c>
      <c r="G252" s="11" t="str">
        <f ca="1">+WORLDCUP!BD58</f>
        <v>República Checa</v>
      </c>
      <c r="H252" s="11" t="str">
        <f ca="1">+WORLDCUP!BD61</f>
        <v>Paraguay</v>
      </c>
      <c r="I252" s="11" t="str">
        <f ca="1">+WORLDCUP!BD69</f>
        <v>Panamá</v>
      </c>
      <c r="J252" s="11" t="str">
        <f ca="1">+WORLDCUP!BD68</f>
        <v>RD Congo</v>
      </c>
      <c r="N252" s="11" t="s">
        <v>985</v>
      </c>
      <c r="O252" s="11">
        <v>251</v>
      </c>
      <c r="P252" s="11" t="s">
        <v>93</v>
      </c>
      <c r="Q252" s="11" t="s">
        <v>441</v>
      </c>
      <c r="R252" s="11" t="s">
        <v>440</v>
      </c>
      <c r="S252" s="11" t="s">
        <v>91</v>
      </c>
      <c r="T252" s="11" t="s">
        <v>89</v>
      </c>
      <c r="U252" s="11" t="s">
        <v>92</v>
      </c>
      <c r="V252" s="11" t="s">
        <v>443</v>
      </c>
      <c r="W252" s="11" t="s">
        <v>442</v>
      </c>
    </row>
    <row r="253" spans="1:23">
      <c r="A253" s="11" t="s">
        <v>984</v>
      </c>
      <c r="B253" s="11">
        <f ca="1">+IF(A253=WORLDCUP!$BI$112,1,0)</f>
        <v>0</v>
      </c>
      <c r="C253" s="11" t="str">
        <f ca="1">+WORLDCUP!BD65</f>
        <v>España</v>
      </c>
      <c r="D253" s="11" t="str">
        <f ca="1">+WORLDCUP!BD67</f>
        <v>Jordania</v>
      </c>
      <c r="E253" s="11" t="str">
        <f ca="1">+WORLDCUP!BD62</f>
        <v>Ecuador</v>
      </c>
      <c r="F253" s="11" t="str">
        <f ca="1">+WORLDCUP!BD60</f>
        <v>Escocia</v>
      </c>
      <c r="G253" s="11" t="str">
        <f ca="1">+WORLDCUP!BD58</f>
        <v>República Checa</v>
      </c>
      <c r="H253" s="11" t="str">
        <f ca="1">+WORLDCUP!BD61</f>
        <v>Paraguay</v>
      </c>
      <c r="I253" s="11" t="str">
        <f ca="1">+WORLDCUP!BD69</f>
        <v>Panamá</v>
      </c>
      <c r="J253" s="11" t="str">
        <f ca="1">+WORLDCUP!BD68</f>
        <v>RD Congo</v>
      </c>
      <c r="N253" s="11" t="s">
        <v>984</v>
      </c>
      <c r="O253" s="11">
        <v>252</v>
      </c>
      <c r="P253" s="11" t="s">
        <v>436</v>
      </c>
      <c r="Q253" s="11" t="s">
        <v>441</v>
      </c>
      <c r="R253" s="11" t="s">
        <v>93</v>
      </c>
      <c r="S253" s="11" t="s">
        <v>91</v>
      </c>
      <c r="T253" s="11" t="s">
        <v>89</v>
      </c>
      <c r="U253" s="11" t="s">
        <v>92</v>
      </c>
      <c r="V253" s="11" t="s">
        <v>443</v>
      </c>
      <c r="W253" s="11" t="s">
        <v>442</v>
      </c>
    </row>
    <row r="254" spans="1:23">
      <c r="A254" s="11" t="s">
        <v>983</v>
      </c>
      <c r="B254" s="11">
        <f ca="1">+IF(A254=WORLDCUP!$BI$112,1,0)</f>
        <v>0</v>
      </c>
      <c r="C254" s="11" t="str">
        <f ca="1">+WORLDCUP!BD65</f>
        <v>España</v>
      </c>
      <c r="D254" s="11" t="str">
        <f ca="1">+WORLDCUP!BD62</f>
        <v>Ecuador</v>
      </c>
      <c r="E254" s="11" t="str">
        <f ca="1">+WORLDCUP!BD66</f>
        <v>Senegal</v>
      </c>
      <c r="F254" s="11" t="str">
        <f ca="1">+WORLDCUP!BD60</f>
        <v>Escocia</v>
      </c>
      <c r="G254" s="11" t="str">
        <f ca="1">+WORLDCUP!BD58</f>
        <v>República Checa</v>
      </c>
      <c r="H254" s="11" t="str">
        <f ca="1">+WORLDCUP!BD61</f>
        <v>Paraguay</v>
      </c>
      <c r="I254" s="11" t="str">
        <f ca="1">+WORLDCUP!BD69</f>
        <v>Panamá</v>
      </c>
      <c r="J254" s="11" t="str">
        <f ca="1">+WORLDCUP!BD68</f>
        <v>RD Congo</v>
      </c>
      <c r="N254" s="11" t="s">
        <v>983</v>
      </c>
      <c r="O254" s="11">
        <v>253</v>
      </c>
      <c r="P254" s="11" t="s">
        <v>436</v>
      </c>
      <c r="Q254" s="11" t="s">
        <v>93</v>
      </c>
      <c r="R254" s="11" t="s">
        <v>440</v>
      </c>
      <c r="S254" s="11" t="s">
        <v>91</v>
      </c>
      <c r="T254" s="11" t="s">
        <v>89</v>
      </c>
      <c r="U254" s="11" t="s">
        <v>92</v>
      </c>
      <c r="V254" s="11" t="s">
        <v>443</v>
      </c>
      <c r="W254" s="11" t="s">
        <v>442</v>
      </c>
    </row>
    <row r="255" spans="1:23">
      <c r="A255" s="11" t="s">
        <v>982</v>
      </c>
      <c r="B255" s="11">
        <f ca="1">+IF(A255=WORLDCUP!$BI$112,1,0)</f>
        <v>0</v>
      </c>
      <c r="C255" s="11" t="str">
        <f ca="1">+WORLDCUP!BD65</f>
        <v>España</v>
      </c>
      <c r="D255" s="11" t="str">
        <f ca="1">+WORLDCUP!BD67</f>
        <v>Jordania</v>
      </c>
      <c r="E255" s="11" t="str">
        <f ca="1">+WORLDCUP!BD62</f>
        <v>Ecuador</v>
      </c>
      <c r="F255" s="11" t="str">
        <f ca="1">+WORLDCUP!BD60</f>
        <v>Escocia</v>
      </c>
      <c r="G255" s="11" t="str">
        <f ca="1">+WORLDCUP!BD58</f>
        <v>República Checa</v>
      </c>
      <c r="H255" s="11" t="str">
        <f ca="1">+WORLDCUP!BD61</f>
        <v>Paraguay</v>
      </c>
      <c r="I255" s="11" t="str">
        <f ca="1">+WORLDCUP!BD69</f>
        <v>Panamá</v>
      </c>
      <c r="J255" s="11" t="str">
        <f ca="1">+WORLDCUP!BD66</f>
        <v>Senegal</v>
      </c>
      <c r="N255" s="11" t="s">
        <v>982</v>
      </c>
      <c r="O255" s="11">
        <v>254</v>
      </c>
      <c r="P255" s="11" t="s">
        <v>436</v>
      </c>
      <c r="Q255" s="11" t="s">
        <v>441</v>
      </c>
      <c r="R255" s="11" t="s">
        <v>93</v>
      </c>
      <c r="S255" s="11" t="s">
        <v>91</v>
      </c>
      <c r="T255" s="11" t="s">
        <v>89</v>
      </c>
      <c r="U255" s="11" t="s">
        <v>92</v>
      </c>
      <c r="V255" s="11" t="s">
        <v>443</v>
      </c>
      <c r="W255" s="11" t="s">
        <v>440</v>
      </c>
    </row>
    <row r="256" spans="1:23">
      <c r="A256" s="11" t="s">
        <v>981</v>
      </c>
      <c r="B256" s="11">
        <f ca="1">+IF(A256=WORLDCUP!$BI$112,1,0)</f>
        <v>0</v>
      </c>
      <c r="C256" s="11" t="str">
        <f ca="1">+WORLDCUP!BD65</f>
        <v>España</v>
      </c>
      <c r="D256" s="11" t="str">
        <f ca="1">+WORLDCUP!BD67</f>
        <v>Jordania</v>
      </c>
      <c r="E256" s="11" t="str">
        <f ca="1">+WORLDCUP!BD62</f>
        <v>Ecuador</v>
      </c>
      <c r="F256" s="11" t="str">
        <f ca="1">+WORLDCUP!BD60</f>
        <v>Escocia</v>
      </c>
      <c r="G256" s="11" t="str">
        <f ca="1">+WORLDCUP!BD58</f>
        <v>República Checa</v>
      </c>
      <c r="H256" s="11" t="str">
        <f ca="1">+WORLDCUP!BD61</f>
        <v>Paraguay</v>
      </c>
      <c r="I256" s="11" t="str">
        <f ca="1">+WORLDCUP!BD66</f>
        <v>Senegal</v>
      </c>
      <c r="J256" s="11" t="str">
        <f ca="1">+WORLDCUP!BD68</f>
        <v>RD Congo</v>
      </c>
      <c r="N256" s="11" t="s">
        <v>981</v>
      </c>
      <c r="O256" s="11">
        <v>255</v>
      </c>
      <c r="P256" s="11" t="s">
        <v>436</v>
      </c>
      <c r="Q256" s="11" t="s">
        <v>441</v>
      </c>
      <c r="R256" s="11" t="s">
        <v>93</v>
      </c>
      <c r="S256" s="11" t="s">
        <v>91</v>
      </c>
      <c r="T256" s="11" t="s">
        <v>89</v>
      </c>
      <c r="U256" s="11" t="s">
        <v>92</v>
      </c>
      <c r="V256" s="11" t="s">
        <v>440</v>
      </c>
      <c r="W256" s="11" t="s">
        <v>442</v>
      </c>
    </row>
    <row r="257" spans="1:23">
      <c r="A257" s="11" t="s">
        <v>980</v>
      </c>
      <c r="B257" s="11">
        <f ca="1">+IF(A257=WORLDCUP!$BI$112,1,0)</f>
        <v>0</v>
      </c>
      <c r="C257" s="11" t="str">
        <f ca="1">+WORLDCUP!BD62</f>
        <v>Ecuador</v>
      </c>
      <c r="D257" s="11" t="str">
        <f ca="1">+WORLDCUP!BD64</f>
        <v>Bélgica</v>
      </c>
      <c r="E257" s="11" t="str">
        <f ca="1">+WORLDCUP!BD67</f>
        <v>Jordania</v>
      </c>
      <c r="F257" s="11" t="str">
        <f ca="1">+WORLDCUP!BD60</f>
        <v>Escocia</v>
      </c>
      <c r="G257" s="11" t="str">
        <f ca="1">+WORLDCUP!BD58</f>
        <v>República Checa</v>
      </c>
      <c r="H257" s="11" t="str">
        <f ca="1">+WORLDCUP!BD61</f>
        <v>Paraguay</v>
      </c>
      <c r="I257" s="11" t="str">
        <f ca="1">+WORLDCUP!BD69</f>
        <v>Panamá</v>
      </c>
      <c r="J257" s="11" t="str">
        <f ca="1">+WORLDCUP!BD68</f>
        <v>RD Congo</v>
      </c>
      <c r="N257" s="11" t="s">
        <v>980</v>
      </c>
      <c r="O257" s="11">
        <v>256</v>
      </c>
      <c r="P257" s="11" t="s">
        <v>93</v>
      </c>
      <c r="Q257" s="11" t="s">
        <v>435</v>
      </c>
      <c r="R257" s="11" t="s">
        <v>441</v>
      </c>
      <c r="S257" s="11" t="s">
        <v>91</v>
      </c>
      <c r="T257" s="11" t="s">
        <v>89</v>
      </c>
      <c r="U257" s="11" t="s">
        <v>92</v>
      </c>
      <c r="V257" s="11" t="s">
        <v>443</v>
      </c>
      <c r="W257" s="11" t="s">
        <v>442</v>
      </c>
    </row>
    <row r="258" spans="1:23">
      <c r="A258" s="11" t="s">
        <v>979</v>
      </c>
      <c r="B258" s="11">
        <f ca="1">+IF(A258=WORLDCUP!$BI$112,1,0)</f>
        <v>0</v>
      </c>
      <c r="C258" s="11" t="str">
        <f ca="1">+WORLDCUP!BD62</f>
        <v>Ecuador</v>
      </c>
      <c r="D258" s="11" t="str">
        <f ca="1">+WORLDCUP!BD64</f>
        <v>Bélgica</v>
      </c>
      <c r="E258" s="11" t="str">
        <f ca="1">+WORLDCUP!BD66</f>
        <v>Senegal</v>
      </c>
      <c r="F258" s="11" t="str">
        <f ca="1">+WORLDCUP!BD60</f>
        <v>Escocia</v>
      </c>
      <c r="G258" s="11" t="str">
        <f ca="1">+WORLDCUP!BD58</f>
        <v>República Checa</v>
      </c>
      <c r="H258" s="11" t="str">
        <f ca="1">+WORLDCUP!BD61</f>
        <v>Paraguay</v>
      </c>
      <c r="I258" s="11" t="str">
        <f ca="1">+WORLDCUP!BD69</f>
        <v>Panamá</v>
      </c>
      <c r="J258" s="11" t="str">
        <f ca="1">+WORLDCUP!BD68</f>
        <v>RD Congo</v>
      </c>
      <c r="N258" s="11" t="s">
        <v>979</v>
      </c>
      <c r="O258" s="11">
        <v>257</v>
      </c>
      <c r="P258" s="11" t="s">
        <v>93</v>
      </c>
      <c r="Q258" s="11" t="s">
        <v>435</v>
      </c>
      <c r="R258" s="11" t="s">
        <v>440</v>
      </c>
      <c r="S258" s="11" t="s">
        <v>91</v>
      </c>
      <c r="T258" s="11" t="s">
        <v>89</v>
      </c>
      <c r="U258" s="11" t="s">
        <v>92</v>
      </c>
      <c r="V258" s="11" t="s">
        <v>443</v>
      </c>
      <c r="W258" s="11" t="s">
        <v>442</v>
      </c>
    </row>
    <row r="259" spans="1:23">
      <c r="A259" s="11" t="s">
        <v>978</v>
      </c>
      <c r="B259" s="11">
        <f ca="1">+IF(A259=WORLDCUP!$BI$112,1,0)</f>
        <v>0</v>
      </c>
      <c r="C259" s="11" t="str">
        <f ca="1">+WORLDCUP!BD62</f>
        <v>Ecuador</v>
      </c>
      <c r="D259" s="11" t="str">
        <f ca="1">+WORLDCUP!BD64</f>
        <v>Bélgica</v>
      </c>
      <c r="E259" s="11" t="str">
        <f ca="1">+WORLDCUP!BD67</f>
        <v>Jordania</v>
      </c>
      <c r="F259" s="11" t="str">
        <f ca="1">+WORLDCUP!BD60</f>
        <v>Escocia</v>
      </c>
      <c r="G259" s="11" t="str">
        <f ca="1">+WORLDCUP!BD58</f>
        <v>República Checa</v>
      </c>
      <c r="H259" s="11" t="str">
        <f ca="1">+WORLDCUP!BD61</f>
        <v>Paraguay</v>
      </c>
      <c r="I259" s="11" t="str">
        <f ca="1">+WORLDCUP!BD69</f>
        <v>Panamá</v>
      </c>
      <c r="J259" s="11" t="str">
        <f ca="1">+WORLDCUP!BD66</f>
        <v>Senegal</v>
      </c>
      <c r="N259" s="11" t="s">
        <v>978</v>
      </c>
      <c r="O259" s="11">
        <v>258</v>
      </c>
      <c r="P259" s="11" t="s">
        <v>93</v>
      </c>
      <c r="Q259" s="11" t="s">
        <v>435</v>
      </c>
      <c r="R259" s="11" t="s">
        <v>441</v>
      </c>
      <c r="S259" s="11" t="s">
        <v>91</v>
      </c>
      <c r="T259" s="11" t="s">
        <v>89</v>
      </c>
      <c r="U259" s="11" t="s">
        <v>92</v>
      </c>
      <c r="V259" s="11" t="s">
        <v>443</v>
      </c>
      <c r="W259" s="11" t="s">
        <v>440</v>
      </c>
    </row>
    <row r="260" spans="1:23">
      <c r="A260" s="11" t="s">
        <v>977</v>
      </c>
      <c r="B260" s="11">
        <f ca="1">+IF(A260=WORLDCUP!$BI$112,1,0)</f>
        <v>0</v>
      </c>
      <c r="C260" s="11" t="str">
        <f ca="1">+WORLDCUP!BD62</f>
        <v>Ecuador</v>
      </c>
      <c r="D260" s="11" t="str">
        <f ca="1">+WORLDCUP!BD64</f>
        <v>Bélgica</v>
      </c>
      <c r="E260" s="11" t="str">
        <f ca="1">+WORLDCUP!BD67</f>
        <v>Jordania</v>
      </c>
      <c r="F260" s="11" t="str">
        <f ca="1">+WORLDCUP!BD60</f>
        <v>Escocia</v>
      </c>
      <c r="G260" s="11" t="str">
        <f ca="1">+WORLDCUP!BD58</f>
        <v>República Checa</v>
      </c>
      <c r="H260" s="11" t="str">
        <f ca="1">+WORLDCUP!BD61</f>
        <v>Paraguay</v>
      </c>
      <c r="I260" s="11" t="str">
        <f ca="1">+WORLDCUP!BD66</f>
        <v>Senegal</v>
      </c>
      <c r="J260" s="11" t="str">
        <f ca="1">+WORLDCUP!BD68</f>
        <v>RD Congo</v>
      </c>
      <c r="N260" s="11" t="s">
        <v>977</v>
      </c>
      <c r="O260" s="11">
        <v>259</v>
      </c>
      <c r="P260" s="11" t="s">
        <v>93</v>
      </c>
      <c r="Q260" s="11" t="s">
        <v>435</v>
      </c>
      <c r="R260" s="11" t="s">
        <v>441</v>
      </c>
      <c r="S260" s="11" t="s">
        <v>91</v>
      </c>
      <c r="T260" s="11" t="s">
        <v>89</v>
      </c>
      <c r="U260" s="11" t="s">
        <v>92</v>
      </c>
      <c r="V260" s="11" t="s">
        <v>440</v>
      </c>
      <c r="W260" s="11" t="s">
        <v>442</v>
      </c>
    </row>
    <row r="261" spans="1:23">
      <c r="A261" s="11" t="s">
        <v>976</v>
      </c>
      <c r="B261" s="11">
        <f ca="1">+IF(A261=WORLDCUP!$BI$112,1,0)</f>
        <v>0</v>
      </c>
      <c r="C261" s="11" t="str">
        <f ca="1">+WORLDCUP!BD65</f>
        <v>España</v>
      </c>
      <c r="D261" s="11" t="str">
        <f ca="1">+WORLDCUP!BD64</f>
        <v>Bélgica</v>
      </c>
      <c r="E261" s="11" t="str">
        <f ca="1">+WORLDCUP!BD62</f>
        <v>Ecuador</v>
      </c>
      <c r="F261" s="11" t="str">
        <f ca="1">+WORLDCUP!BD60</f>
        <v>Escocia</v>
      </c>
      <c r="G261" s="11" t="str">
        <f ca="1">+WORLDCUP!BD58</f>
        <v>República Checa</v>
      </c>
      <c r="H261" s="11" t="str">
        <f ca="1">+WORLDCUP!BD61</f>
        <v>Paraguay</v>
      </c>
      <c r="I261" s="11" t="str">
        <f ca="1">+WORLDCUP!BD69</f>
        <v>Panamá</v>
      </c>
      <c r="J261" s="11" t="str">
        <f ca="1">+WORLDCUP!BD68</f>
        <v>RD Congo</v>
      </c>
      <c r="N261" s="11" t="s">
        <v>976</v>
      </c>
      <c r="O261" s="11">
        <v>260</v>
      </c>
      <c r="P261" s="11" t="s">
        <v>436</v>
      </c>
      <c r="Q261" s="11" t="s">
        <v>435</v>
      </c>
      <c r="R261" s="11" t="s">
        <v>93</v>
      </c>
      <c r="S261" s="11" t="s">
        <v>91</v>
      </c>
      <c r="T261" s="11" t="s">
        <v>89</v>
      </c>
      <c r="U261" s="11" t="s">
        <v>92</v>
      </c>
      <c r="V261" s="11" t="s">
        <v>443</v>
      </c>
      <c r="W261" s="11" t="s">
        <v>442</v>
      </c>
    </row>
    <row r="262" spans="1:23">
      <c r="A262" s="11" t="s">
        <v>975</v>
      </c>
      <c r="B262" s="11">
        <f ca="1">+IF(A262=WORLDCUP!$BI$112,1,0)</f>
        <v>0</v>
      </c>
      <c r="C262" s="11" t="str">
        <f ca="1">+WORLDCUP!BD65</f>
        <v>España</v>
      </c>
      <c r="D262" s="11" t="str">
        <f ca="1">+WORLDCUP!BD64</f>
        <v>Bélgica</v>
      </c>
      <c r="E262" s="11" t="str">
        <f ca="1">+WORLDCUP!BD67</f>
        <v>Jordania</v>
      </c>
      <c r="F262" s="11" t="str">
        <f ca="1">+WORLDCUP!BD60</f>
        <v>Escocia</v>
      </c>
      <c r="G262" s="11" t="str">
        <f ca="1">+WORLDCUP!BD58</f>
        <v>República Checa</v>
      </c>
      <c r="H262" s="11" t="str">
        <f ca="1">+WORLDCUP!BD61</f>
        <v>Paraguay</v>
      </c>
      <c r="I262" s="11" t="str">
        <f ca="1">+WORLDCUP!BD69</f>
        <v>Panamá</v>
      </c>
      <c r="J262" s="11" t="str">
        <f ca="1">+WORLDCUP!BD62</f>
        <v>Ecuador</v>
      </c>
      <c r="N262" s="11" t="s">
        <v>975</v>
      </c>
      <c r="O262" s="11">
        <v>261</v>
      </c>
      <c r="P262" s="11" t="s">
        <v>436</v>
      </c>
      <c r="Q262" s="11" t="s">
        <v>435</v>
      </c>
      <c r="R262" s="11" t="s">
        <v>441</v>
      </c>
      <c r="S262" s="11" t="s">
        <v>91</v>
      </c>
      <c r="T262" s="11" t="s">
        <v>89</v>
      </c>
      <c r="U262" s="11" t="s">
        <v>92</v>
      </c>
      <c r="V262" s="11" t="s">
        <v>443</v>
      </c>
      <c r="W262" s="11" t="s">
        <v>93</v>
      </c>
    </row>
    <row r="263" spans="1:23">
      <c r="A263" s="11" t="s">
        <v>974</v>
      </c>
      <c r="B263" s="11">
        <f ca="1">+IF(A263=WORLDCUP!$BI$112,1,0)</f>
        <v>0</v>
      </c>
      <c r="C263" s="11" t="str">
        <f ca="1">+WORLDCUP!BD65</f>
        <v>España</v>
      </c>
      <c r="D263" s="11" t="str">
        <f ca="1">+WORLDCUP!BD64</f>
        <v>Bélgica</v>
      </c>
      <c r="E263" s="11" t="str">
        <f ca="1">+WORLDCUP!BD67</f>
        <v>Jordania</v>
      </c>
      <c r="F263" s="11" t="str">
        <f ca="1">+WORLDCUP!BD60</f>
        <v>Escocia</v>
      </c>
      <c r="G263" s="11" t="str">
        <f ca="1">+WORLDCUP!BD58</f>
        <v>República Checa</v>
      </c>
      <c r="H263" s="11" t="str">
        <f ca="1">+WORLDCUP!BD61</f>
        <v>Paraguay</v>
      </c>
      <c r="I263" s="11" t="str">
        <f ca="1">+WORLDCUP!BD62</f>
        <v>Ecuador</v>
      </c>
      <c r="J263" s="11" t="str">
        <f ca="1">+WORLDCUP!BD68</f>
        <v>RD Congo</v>
      </c>
      <c r="N263" s="11" t="s">
        <v>974</v>
      </c>
      <c r="O263" s="11">
        <v>262</v>
      </c>
      <c r="P263" s="11" t="s">
        <v>436</v>
      </c>
      <c r="Q263" s="11" t="s">
        <v>435</v>
      </c>
      <c r="R263" s="11" t="s">
        <v>441</v>
      </c>
      <c r="S263" s="11" t="s">
        <v>91</v>
      </c>
      <c r="T263" s="11" t="s">
        <v>89</v>
      </c>
      <c r="U263" s="11" t="s">
        <v>92</v>
      </c>
      <c r="V263" s="11" t="s">
        <v>93</v>
      </c>
      <c r="W263" s="11" t="s">
        <v>442</v>
      </c>
    </row>
    <row r="264" spans="1:23">
      <c r="A264" s="11" t="s">
        <v>973</v>
      </c>
      <c r="B264" s="11">
        <f ca="1">+IF(A264=WORLDCUP!$BI$112,1,0)</f>
        <v>0</v>
      </c>
      <c r="C264" s="11" t="str">
        <f ca="1">+WORLDCUP!BD65</f>
        <v>España</v>
      </c>
      <c r="D264" s="11" t="str">
        <f ca="1">+WORLDCUP!BD64</f>
        <v>Bélgica</v>
      </c>
      <c r="E264" s="11" t="str">
        <f ca="1">+WORLDCUP!BD62</f>
        <v>Ecuador</v>
      </c>
      <c r="F264" s="11" t="str">
        <f ca="1">+WORLDCUP!BD60</f>
        <v>Escocia</v>
      </c>
      <c r="G264" s="11" t="str">
        <f ca="1">+WORLDCUP!BD58</f>
        <v>República Checa</v>
      </c>
      <c r="H264" s="11" t="str">
        <f ca="1">+WORLDCUP!BD61</f>
        <v>Paraguay</v>
      </c>
      <c r="I264" s="11" t="str">
        <f ca="1">+WORLDCUP!BD69</f>
        <v>Panamá</v>
      </c>
      <c r="J264" s="11" t="str">
        <f ca="1">+WORLDCUP!BD66</f>
        <v>Senegal</v>
      </c>
      <c r="N264" s="11" t="s">
        <v>973</v>
      </c>
      <c r="O264" s="11">
        <v>263</v>
      </c>
      <c r="P264" s="11" t="s">
        <v>436</v>
      </c>
      <c r="Q264" s="11" t="s">
        <v>435</v>
      </c>
      <c r="R264" s="11" t="s">
        <v>93</v>
      </c>
      <c r="S264" s="11" t="s">
        <v>91</v>
      </c>
      <c r="T264" s="11" t="s">
        <v>89</v>
      </c>
      <c r="U264" s="11" t="s">
        <v>92</v>
      </c>
      <c r="V264" s="11" t="s">
        <v>443</v>
      </c>
      <c r="W264" s="11" t="s">
        <v>440</v>
      </c>
    </row>
    <row r="265" spans="1:23">
      <c r="A265" s="11" t="s">
        <v>972</v>
      </c>
      <c r="B265" s="11">
        <f ca="1">+IF(A265=WORLDCUP!$BI$112,1,0)</f>
        <v>0</v>
      </c>
      <c r="C265" s="11" t="str">
        <f ca="1">+WORLDCUP!BD65</f>
        <v>España</v>
      </c>
      <c r="D265" s="11" t="str">
        <f ca="1">+WORLDCUP!BD64</f>
        <v>Bélgica</v>
      </c>
      <c r="E265" s="11" t="str">
        <f ca="1">+WORLDCUP!BD62</f>
        <v>Ecuador</v>
      </c>
      <c r="F265" s="11" t="str">
        <f ca="1">+WORLDCUP!BD60</f>
        <v>Escocia</v>
      </c>
      <c r="G265" s="11" t="str">
        <f ca="1">+WORLDCUP!BD58</f>
        <v>República Checa</v>
      </c>
      <c r="H265" s="11" t="str">
        <f ca="1">+WORLDCUP!BD61</f>
        <v>Paraguay</v>
      </c>
      <c r="I265" s="11" t="str">
        <f ca="1">+WORLDCUP!BD66</f>
        <v>Senegal</v>
      </c>
      <c r="J265" s="11" t="str">
        <f ca="1">+WORLDCUP!BD68</f>
        <v>RD Congo</v>
      </c>
      <c r="N265" s="11" t="s">
        <v>972</v>
      </c>
      <c r="O265" s="11">
        <v>264</v>
      </c>
      <c r="P265" s="11" t="s">
        <v>436</v>
      </c>
      <c r="Q265" s="11" t="s">
        <v>435</v>
      </c>
      <c r="R265" s="11" t="s">
        <v>93</v>
      </c>
      <c r="S265" s="11" t="s">
        <v>91</v>
      </c>
      <c r="T265" s="11" t="s">
        <v>89</v>
      </c>
      <c r="U265" s="11" t="s">
        <v>92</v>
      </c>
      <c r="V265" s="11" t="s">
        <v>440</v>
      </c>
      <c r="W265" s="11" t="s">
        <v>442</v>
      </c>
    </row>
    <row r="266" spans="1:23">
      <c r="A266" s="11" t="s">
        <v>971</v>
      </c>
      <c r="B266" s="11">
        <f ca="1">+IF(A266=WORLDCUP!$BI$112,1,0)</f>
        <v>0</v>
      </c>
      <c r="C266" s="11" t="str">
        <f ca="1">+WORLDCUP!BD65</f>
        <v>España</v>
      </c>
      <c r="D266" s="11" t="str">
        <f ca="1">+WORLDCUP!BD64</f>
        <v>Bélgica</v>
      </c>
      <c r="E266" s="11" t="str">
        <f ca="1">+WORLDCUP!BD67</f>
        <v>Jordania</v>
      </c>
      <c r="F266" s="11" t="str">
        <f ca="1">+WORLDCUP!BD60</f>
        <v>Escocia</v>
      </c>
      <c r="G266" s="11" t="str">
        <f ca="1">+WORLDCUP!BD58</f>
        <v>República Checa</v>
      </c>
      <c r="H266" s="11" t="str">
        <f ca="1">+WORLDCUP!BD61</f>
        <v>Paraguay</v>
      </c>
      <c r="I266" s="11" t="str">
        <f ca="1">+WORLDCUP!BD62</f>
        <v>Ecuador</v>
      </c>
      <c r="J266" s="11" t="str">
        <f ca="1">+WORLDCUP!BD66</f>
        <v>Senegal</v>
      </c>
      <c r="N266" s="11" t="s">
        <v>971</v>
      </c>
      <c r="O266" s="11">
        <v>265</v>
      </c>
      <c r="P266" s="11" t="s">
        <v>436</v>
      </c>
      <c r="Q266" s="11" t="s">
        <v>435</v>
      </c>
      <c r="R266" s="11" t="s">
        <v>441</v>
      </c>
      <c r="S266" s="11" t="s">
        <v>91</v>
      </c>
      <c r="T266" s="11" t="s">
        <v>89</v>
      </c>
      <c r="U266" s="11" t="s">
        <v>92</v>
      </c>
      <c r="V266" s="11" t="s">
        <v>93</v>
      </c>
      <c r="W266" s="11" t="s">
        <v>440</v>
      </c>
    </row>
    <row r="267" spans="1:23">
      <c r="A267" s="11" t="s">
        <v>970</v>
      </c>
      <c r="B267" s="11">
        <f ca="1">+IF(A267=WORLDCUP!$BI$112,1,0)</f>
        <v>0</v>
      </c>
      <c r="C267" s="11" t="str">
        <f ca="1">+WORLDCUP!BD60</f>
        <v>Escocia</v>
      </c>
      <c r="D267" s="11" t="str">
        <f ca="1">+WORLDCUP!BD67</f>
        <v>Jordania</v>
      </c>
      <c r="E267" s="11" t="str">
        <f ca="1">+WORLDCUP!BD62</f>
        <v>Ecuador</v>
      </c>
      <c r="F267" s="11" t="str">
        <f ca="1">+WORLDCUP!BD61</f>
        <v>Paraguay</v>
      </c>
      <c r="G267" s="11" t="str">
        <f ca="1">+WORLDCUP!BD58</f>
        <v>República Checa</v>
      </c>
      <c r="H267" s="11" t="str">
        <f ca="1">+WORLDCUP!BD63</f>
        <v>Japón</v>
      </c>
      <c r="I267" s="11" t="str">
        <f ca="1">+WORLDCUP!BD69</f>
        <v>Panamá</v>
      </c>
      <c r="J267" s="11" t="str">
        <f ca="1">+WORLDCUP!BD68</f>
        <v>RD Congo</v>
      </c>
      <c r="N267" s="11" t="s">
        <v>970</v>
      </c>
      <c r="O267" s="11">
        <v>266</v>
      </c>
      <c r="P267" s="11" t="s">
        <v>91</v>
      </c>
      <c r="Q267" s="11" t="s">
        <v>441</v>
      </c>
      <c r="R267" s="11" t="s">
        <v>93</v>
      </c>
      <c r="S267" s="11" t="s">
        <v>92</v>
      </c>
      <c r="T267" s="11" t="s">
        <v>89</v>
      </c>
      <c r="U267" s="11" t="s">
        <v>94</v>
      </c>
      <c r="V267" s="11" t="s">
        <v>443</v>
      </c>
      <c r="W267" s="11" t="s">
        <v>442</v>
      </c>
    </row>
    <row r="268" spans="1:23">
      <c r="A268" s="11" t="s">
        <v>969</v>
      </c>
      <c r="B268" s="11">
        <f ca="1">+IF(A268=WORLDCUP!$BI$112,1,0)</f>
        <v>0</v>
      </c>
      <c r="C268" s="11" t="str">
        <f ca="1">+WORLDCUP!BD60</f>
        <v>Escocia</v>
      </c>
      <c r="D268" s="11" t="str">
        <f ca="1">+WORLDCUP!BD62</f>
        <v>Ecuador</v>
      </c>
      <c r="E268" s="11" t="str">
        <f ca="1">+WORLDCUP!BD66</f>
        <v>Senegal</v>
      </c>
      <c r="F268" s="11" t="str">
        <f ca="1">+WORLDCUP!BD61</f>
        <v>Paraguay</v>
      </c>
      <c r="G268" s="11" t="str">
        <f ca="1">+WORLDCUP!BD58</f>
        <v>República Checa</v>
      </c>
      <c r="H268" s="11" t="str">
        <f ca="1">+WORLDCUP!BD63</f>
        <v>Japón</v>
      </c>
      <c r="I268" s="11" t="str">
        <f ca="1">+WORLDCUP!BD69</f>
        <v>Panamá</v>
      </c>
      <c r="J268" s="11" t="str">
        <f ca="1">+WORLDCUP!BD68</f>
        <v>RD Congo</v>
      </c>
      <c r="N268" s="11" t="s">
        <v>969</v>
      </c>
      <c r="O268" s="11">
        <v>267</v>
      </c>
      <c r="P268" s="11" t="s">
        <v>91</v>
      </c>
      <c r="Q268" s="11" t="s">
        <v>93</v>
      </c>
      <c r="R268" s="11" t="s">
        <v>440</v>
      </c>
      <c r="S268" s="11" t="s">
        <v>92</v>
      </c>
      <c r="T268" s="11" t="s">
        <v>89</v>
      </c>
      <c r="U268" s="11" t="s">
        <v>94</v>
      </c>
      <c r="V268" s="11" t="s">
        <v>443</v>
      </c>
      <c r="W268" s="11" t="s">
        <v>442</v>
      </c>
    </row>
    <row r="269" spans="1:23">
      <c r="A269" s="11" t="s">
        <v>968</v>
      </c>
      <c r="B269" s="11">
        <f ca="1">+IF(A269=WORLDCUP!$BI$112,1,0)</f>
        <v>0</v>
      </c>
      <c r="C269" s="11" t="str">
        <f ca="1">+WORLDCUP!BD60</f>
        <v>Escocia</v>
      </c>
      <c r="D269" s="11" t="str">
        <f ca="1">+WORLDCUP!BD67</f>
        <v>Jordania</v>
      </c>
      <c r="E269" s="11" t="str">
        <f ca="1">+WORLDCUP!BD62</f>
        <v>Ecuador</v>
      </c>
      <c r="F269" s="11" t="str">
        <f ca="1">+WORLDCUP!BD61</f>
        <v>Paraguay</v>
      </c>
      <c r="G269" s="11" t="str">
        <f ca="1">+WORLDCUP!BD58</f>
        <v>República Checa</v>
      </c>
      <c r="H269" s="11" t="str">
        <f ca="1">+WORLDCUP!BD63</f>
        <v>Japón</v>
      </c>
      <c r="I269" s="11" t="str">
        <f ca="1">+WORLDCUP!BD69</f>
        <v>Panamá</v>
      </c>
      <c r="J269" s="11" t="str">
        <f ca="1">+WORLDCUP!BD66</f>
        <v>Senegal</v>
      </c>
      <c r="N269" s="11" t="s">
        <v>968</v>
      </c>
      <c r="O269" s="11">
        <v>268</v>
      </c>
      <c r="P269" s="11" t="s">
        <v>91</v>
      </c>
      <c r="Q269" s="11" t="s">
        <v>441</v>
      </c>
      <c r="R269" s="11" t="s">
        <v>93</v>
      </c>
      <c r="S269" s="11" t="s">
        <v>92</v>
      </c>
      <c r="T269" s="11" t="s">
        <v>89</v>
      </c>
      <c r="U269" s="11" t="s">
        <v>94</v>
      </c>
      <c r="V269" s="11" t="s">
        <v>443</v>
      </c>
      <c r="W269" s="11" t="s">
        <v>440</v>
      </c>
    </row>
    <row r="270" spans="1:23">
      <c r="A270" s="11" t="s">
        <v>967</v>
      </c>
      <c r="B270" s="11">
        <f ca="1">+IF(A270=WORLDCUP!$BI$112,1,0)</f>
        <v>0</v>
      </c>
      <c r="C270" s="11" t="str">
        <f ca="1">+WORLDCUP!BD60</f>
        <v>Escocia</v>
      </c>
      <c r="D270" s="11" t="str">
        <f ca="1">+WORLDCUP!BD67</f>
        <v>Jordania</v>
      </c>
      <c r="E270" s="11" t="str">
        <f ca="1">+WORLDCUP!BD62</f>
        <v>Ecuador</v>
      </c>
      <c r="F270" s="11" t="str">
        <f ca="1">+WORLDCUP!BD61</f>
        <v>Paraguay</v>
      </c>
      <c r="G270" s="11" t="str">
        <f ca="1">+WORLDCUP!BD58</f>
        <v>República Checa</v>
      </c>
      <c r="H270" s="11" t="str">
        <f ca="1">+WORLDCUP!BD63</f>
        <v>Japón</v>
      </c>
      <c r="I270" s="11" t="str">
        <f ca="1">+WORLDCUP!BD66</f>
        <v>Senegal</v>
      </c>
      <c r="J270" s="11" t="str">
        <f ca="1">+WORLDCUP!BD68</f>
        <v>RD Congo</v>
      </c>
      <c r="N270" s="11" t="s">
        <v>967</v>
      </c>
      <c r="O270" s="11">
        <v>269</v>
      </c>
      <c r="P270" s="11" t="s">
        <v>91</v>
      </c>
      <c r="Q270" s="11" t="s">
        <v>441</v>
      </c>
      <c r="R270" s="11" t="s">
        <v>93</v>
      </c>
      <c r="S270" s="11" t="s">
        <v>92</v>
      </c>
      <c r="T270" s="11" t="s">
        <v>89</v>
      </c>
      <c r="U270" s="11" t="s">
        <v>94</v>
      </c>
      <c r="V270" s="11" t="s">
        <v>440</v>
      </c>
      <c r="W270" s="11" t="s">
        <v>442</v>
      </c>
    </row>
    <row r="271" spans="1:23">
      <c r="A271" s="11" t="s">
        <v>966</v>
      </c>
      <c r="B271" s="11">
        <f ca="1">+IF(A271=WORLDCUP!$BI$112,1,0)</f>
        <v>0</v>
      </c>
      <c r="C271" s="11" t="str">
        <f ca="1">+WORLDCUP!BD65</f>
        <v>España</v>
      </c>
      <c r="D271" s="11" t="str">
        <f ca="1">+WORLDCUP!BD62</f>
        <v>Ecuador</v>
      </c>
      <c r="E271" s="11" t="str">
        <f ca="1">+WORLDCUP!BD63</f>
        <v>Japón</v>
      </c>
      <c r="F271" s="11" t="str">
        <f ca="1">+WORLDCUP!BD60</f>
        <v>Escocia</v>
      </c>
      <c r="G271" s="11" t="str">
        <f ca="1">+WORLDCUP!BD58</f>
        <v>República Checa</v>
      </c>
      <c r="H271" s="11" t="str">
        <f ca="1">+WORLDCUP!BD61</f>
        <v>Paraguay</v>
      </c>
      <c r="I271" s="11" t="str">
        <f ca="1">+WORLDCUP!BD69</f>
        <v>Panamá</v>
      </c>
      <c r="J271" s="11" t="str">
        <f ca="1">+WORLDCUP!BD68</f>
        <v>RD Congo</v>
      </c>
      <c r="N271" s="11" t="s">
        <v>966</v>
      </c>
      <c r="O271" s="11">
        <v>270</v>
      </c>
      <c r="P271" s="11" t="s">
        <v>436</v>
      </c>
      <c r="Q271" s="11" t="s">
        <v>93</v>
      </c>
      <c r="R271" s="11" t="s">
        <v>94</v>
      </c>
      <c r="S271" s="11" t="s">
        <v>91</v>
      </c>
      <c r="T271" s="11" t="s">
        <v>89</v>
      </c>
      <c r="U271" s="11" t="s">
        <v>92</v>
      </c>
      <c r="V271" s="11" t="s">
        <v>443</v>
      </c>
      <c r="W271" s="11" t="s">
        <v>442</v>
      </c>
    </row>
    <row r="272" spans="1:23">
      <c r="A272" s="11" t="s">
        <v>965</v>
      </c>
      <c r="B272" s="11">
        <f ca="1">+IF(A272=WORLDCUP!$BI$112,1,0)</f>
        <v>0</v>
      </c>
      <c r="C272" s="11" t="str">
        <f ca="1">+WORLDCUP!BD65</f>
        <v>España</v>
      </c>
      <c r="D272" s="11" t="str">
        <f ca="1">+WORLDCUP!BD67</f>
        <v>Jordania</v>
      </c>
      <c r="E272" s="11" t="str">
        <f ca="1">+WORLDCUP!BD63</f>
        <v>Japón</v>
      </c>
      <c r="F272" s="11" t="str">
        <f ca="1">+WORLDCUP!BD60</f>
        <v>Escocia</v>
      </c>
      <c r="G272" s="11" t="str">
        <f ca="1">+WORLDCUP!BD58</f>
        <v>República Checa</v>
      </c>
      <c r="H272" s="11" t="str">
        <f ca="1">+WORLDCUP!BD61</f>
        <v>Paraguay</v>
      </c>
      <c r="I272" s="11" t="str">
        <f ca="1">+WORLDCUP!BD69</f>
        <v>Panamá</v>
      </c>
      <c r="J272" s="11" t="str">
        <f ca="1">+WORLDCUP!BD62</f>
        <v>Ecuador</v>
      </c>
      <c r="N272" s="11" t="s">
        <v>965</v>
      </c>
      <c r="O272" s="11">
        <v>271</v>
      </c>
      <c r="P272" s="11" t="s">
        <v>436</v>
      </c>
      <c r="Q272" s="11" t="s">
        <v>441</v>
      </c>
      <c r="R272" s="11" t="s">
        <v>94</v>
      </c>
      <c r="S272" s="11" t="s">
        <v>91</v>
      </c>
      <c r="T272" s="11" t="s">
        <v>89</v>
      </c>
      <c r="U272" s="11" t="s">
        <v>92</v>
      </c>
      <c r="V272" s="11" t="s">
        <v>443</v>
      </c>
      <c r="W272" s="11" t="s">
        <v>93</v>
      </c>
    </row>
    <row r="273" spans="1:23">
      <c r="A273" s="11" t="s">
        <v>964</v>
      </c>
      <c r="B273" s="11">
        <f ca="1">+IF(A273=WORLDCUP!$BI$112,1,0)</f>
        <v>0</v>
      </c>
      <c r="C273" s="11" t="str">
        <f ca="1">+WORLDCUP!BD65</f>
        <v>España</v>
      </c>
      <c r="D273" s="11" t="str">
        <f ca="1">+WORLDCUP!BD67</f>
        <v>Jordania</v>
      </c>
      <c r="E273" s="11" t="str">
        <f ca="1">+WORLDCUP!BD62</f>
        <v>Ecuador</v>
      </c>
      <c r="F273" s="11" t="str">
        <f ca="1">+WORLDCUP!BD60</f>
        <v>Escocia</v>
      </c>
      <c r="G273" s="11" t="str">
        <f ca="1">+WORLDCUP!BD58</f>
        <v>República Checa</v>
      </c>
      <c r="H273" s="11" t="str">
        <f ca="1">+WORLDCUP!BD63</f>
        <v>Japón</v>
      </c>
      <c r="I273" s="11" t="str">
        <f ca="1">+WORLDCUP!BD61</f>
        <v>Paraguay</v>
      </c>
      <c r="J273" s="11" t="str">
        <f ca="1">+WORLDCUP!BD68</f>
        <v>RD Congo</v>
      </c>
      <c r="N273" s="11" t="s">
        <v>964</v>
      </c>
      <c r="O273" s="11">
        <v>272</v>
      </c>
      <c r="P273" s="11" t="s">
        <v>436</v>
      </c>
      <c r="Q273" s="11" t="s">
        <v>441</v>
      </c>
      <c r="R273" s="11" t="s">
        <v>93</v>
      </c>
      <c r="S273" s="11" t="s">
        <v>91</v>
      </c>
      <c r="T273" s="11" t="s">
        <v>89</v>
      </c>
      <c r="U273" s="11" t="s">
        <v>94</v>
      </c>
      <c r="V273" s="11" t="s">
        <v>92</v>
      </c>
      <c r="W273" s="11" t="s">
        <v>442</v>
      </c>
    </row>
    <row r="274" spans="1:23">
      <c r="A274" s="11" t="s">
        <v>963</v>
      </c>
      <c r="B274" s="11">
        <f ca="1">+IF(A274=WORLDCUP!$BI$112,1,0)</f>
        <v>0</v>
      </c>
      <c r="C274" s="11" t="str">
        <f ca="1">+WORLDCUP!BD65</f>
        <v>España</v>
      </c>
      <c r="D274" s="11" t="str">
        <f ca="1">+WORLDCUP!BD62</f>
        <v>Ecuador</v>
      </c>
      <c r="E274" s="11" t="str">
        <f ca="1">+WORLDCUP!BD63</f>
        <v>Japón</v>
      </c>
      <c r="F274" s="11" t="str">
        <f ca="1">+WORLDCUP!BD60</f>
        <v>Escocia</v>
      </c>
      <c r="G274" s="11" t="str">
        <f ca="1">+WORLDCUP!BD58</f>
        <v>República Checa</v>
      </c>
      <c r="H274" s="11" t="str">
        <f ca="1">+WORLDCUP!BD61</f>
        <v>Paraguay</v>
      </c>
      <c r="I274" s="11" t="str">
        <f ca="1">+WORLDCUP!BD69</f>
        <v>Panamá</v>
      </c>
      <c r="J274" s="11" t="str">
        <f ca="1">+WORLDCUP!BD66</f>
        <v>Senegal</v>
      </c>
      <c r="N274" s="11" t="s">
        <v>963</v>
      </c>
      <c r="O274" s="11">
        <v>273</v>
      </c>
      <c r="P274" s="11" t="s">
        <v>436</v>
      </c>
      <c r="Q274" s="11" t="s">
        <v>93</v>
      </c>
      <c r="R274" s="11" t="s">
        <v>94</v>
      </c>
      <c r="S274" s="11" t="s">
        <v>91</v>
      </c>
      <c r="T274" s="11" t="s">
        <v>89</v>
      </c>
      <c r="U274" s="11" t="s">
        <v>92</v>
      </c>
      <c r="V274" s="11" t="s">
        <v>443</v>
      </c>
      <c r="W274" s="11" t="s">
        <v>440</v>
      </c>
    </row>
    <row r="275" spans="1:23">
      <c r="A275" s="11" t="s">
        <v>962</v>
      </c>
      <c r="B275" s="11">
        <f ca="1">+IF(A275=WORLDCUP!$BI$112,1,0)</f>
        <v>0</v>
      </c>
      <c r="C275" s="11" t="str">
        <f ca="1">+WORLDCUP!BD65</f>
        <v>España</v>
      </c>
      <c r="D275" s="11" t="str">
        <f ca="1">+WORLDCUP!BD62</f>
        <v>Ecuador</v>
      </c>
      <c r="E275" s="11" t="str">
        <f ca="1">+WORLDCUP!BD63</f>
        <v>Japón</v>
      </c>
      <c r="F275" s="11" t="str">
        <f ca="1">+WORLDCUP!BD60</f>
        <v>Escocia</v>
      </c>
      <c r="G275" s="11" t="str">
        <f ca="1">+WORLDCUP!BD58</f>
        <v>República Checa</v>
      </c>
      <c r="H275" s="11" t="str">
        <f ca="1">+WORLDCUP!BD61</f>
        <v>Paraguay</v>
      </c>
      <c r="I275" s="11" t="str">
        <f ca="1">+WORLDCUP!BD66</f>
        <v>Senegal</v>
      </c>
      <c r="J275" s="11" t="str">
        <f ca="1">+WORLDCUP!BD68</f>
        <v>RD Congo</v>
      </c>
      <c r="N275" s="11" t="s">
        <v>962</v>
      </c>
      <c r="O275" s="11">
        <v>274</v>
      </c>
      <c r="P275" s="11" t="s">
        <v>436</v>
      </c>
      <c r="Q275" s="11" t="s">
        <v>93</v>
      </c>
      <c r="R275" s="11" t="s">
        <v>94</v>
      </c>
      <c r="S275" s="11" t="s">
        <v>91</v>
      </c>
      <c r="T275" s="11" t="s">
        <v>89</v>
      </c>
      <c r="U275" s="11" t="s">
        <v>92</v>
      </c>
      <c r="V275" s="11" t="s">
        <v>440</v>
      </c>
      <c r="W275" s="11" t="s">
        <v>442</v>
      </c>
    </row>
    <row r="276" spans="1:23">
      <c r="A276" s="11" t="s">
        <v>961</v>
      </c>
      <c r="B276" s="11">
        <f ca="1">+IF(A276=WORLDCUP!$BI$112,1,0)</f>
        <v>0</v>
      </c>
      <c r="C276" s="11" t="str">
        <f ca="1">+WORLDCUP!BD65</f>
        <v>España</v>
      </c>
      <c r="D276" s="11" t="str">
        <f ca="1">+WORLDCUP!BD67</f>
        <v>Jordania</v>
      </c>
      <c r="E276" s="11" t="str">
        <f ca="1">+WORLDCUP!BD62</f>
        <v>Ecuador</v>
      </c>
      <c r="F276" s="11" t="str">
        <f ca="1">+WORLDCUP!BD60</f>
        <v>Escocia</v>
      </c>
      <c r="G276" s="11" t="str">
        <f ca="1">+WORLDCUP!BD58</f>
        <v>República Checa</v>
      </c>
      <c r="H276" s="11" t="str">
        <f ca="1">+WORLDCUP!BD63</f>
        <v>Japón</v>
      </c>
      <c r="I276" s="11" t="str">
        <f ca="1">+WORLDCUP!BD61</f>
        <v>Paraguay</v>
      </c>
      <c r="J276" s="11" t="str">
        <f ca="1">+WORLDCUP!BD66</f>
        <v>Senegal</v>
      </c>
      <c r="N276" s="11" t="s">
        <v>961</v>
      </c>
      <c r="O276" s="11">
        <v>275</v>
      </c>
      <c r="P276" s="11" t="s">
        <v>436</v>
      </c>
      <c r="Q276" s="11" t="s">
        <v>441</v>
      </c>
      <c r="R276" s="11" t="s">
        <v>93</v>
      </c>
      <c r="S276" s="11" t="s">
        <v>91</v>
      </c>
      <c r="T276" s="11" t="s">
        <v>89</v>
      </c>
      <c r="U276" s="11" t="s">
        <v>94</v>
      </c>
      <c r="V276" s="11" t="s">
        <v>92</v>
      </c>
      <c r="W276" s="11" t="s">
        <v>440</v>
      </c>
    </row>
    <row r="277" spans="1:23">
      <c r="A277" s="11" t="s">
        <v>960</v>
      </c>
      <c r="B277" s="11">
        <f ca="1">+IF(A277=WORLDCUP!$BI$112,1,0)</f>
        <v>0</v>
      </c>
      <c r="C277" s="11" t="str">
        <f ca="1">+WORLDCUP!BD60</f>
        <v>Escocia</v>
      </c>
      <c r="D277" s="11" t="str">
        <f ca="1">+WORLDCUP!BD64</f>
        <v>Bélgica</v>
      </c>
      <c r="E277" s="11" t="str">
        <f ca="1">+WORLDCUP!BD62</f>
        <v>Ecuador</v>
      </c>
      <c r="F277" s="11" t="str">
        <f ca="1">+WORLDCUP!BD61</f>
        <v>Paraguay</v>
      </c>
      <c r="G277" s="11" t="str">
        <f ca="1">+WORLDCUP!BD58</f>
        <v>República Checa</v>
      </c>
      <c r="H277" s="11" t="str">
        <f ca="1">+WORLDCUP!BD63</f>
        <v>Japón</v>
      </c>
      <c r="I277" s="11" t="str">
        <f ca="1">+WORLDCUP!BD69</f>
        <v>Panamá</v>
      </c>
      <c r="J277" s="11" t="str">
        <f ca="1">+WORLDCUP!BD68</f>
        <v>RD Congo</v>
      </c>
      <c r="N277" s="11" t="s">
        <v>960</v>
      </c>
      <c r="O277" s="11">
        <v>276</v>
      </c>
      <c r="P277" s="11" t="s">
        <v>91</v>
      </c>
      <c r="Q277" s="11" t="s">
        <v>435</v>
      </c>
      <c r="R277" s="11" t="s">
        <v>93</v>
      </c>
      <c r="S277" s="11" t="s">
        <v>92</v>
      </c>
      <c r="T277" s="11" t="s">
        <v>89</v>
      </c>
      <c r="U277" s="11" t="s">
        <v>94</v>
      </c>
      <c r="V277" s="11" t="s">
        <v>443</v>
      </c>
      <c r="W277" s="11" t="s">
        <v>442</v>
      </c>
    </row>
    <row r="278" spans="1:23">
      <c r="A278" s="11" t="s">
        <v>586</v>
      </c>
      <c r="B278" s="11">
        <f ca="1">+IF(A278=WORLDCUP!$BI$112,1,0)</f>
        <v>0</v>
      </c>
      <c r="C278" s="11" t="str">
        <f ca="1">+WORLDCUP!BD60</f>
        <v>Escocia</v>
      </c>
      <c r="D278" s="11" t="str">
        <f ca="1">+WORLDCUP!BD64</f>
        <v>Bélgica</v>
      </c>
      <c r="E278" s="11" t="str">
        <f ca="1">+WORLDCUP!BD67</f>
        <v>Jordania</v>
      </c>
      <c r="F278" s="11" t="str">
        <f ca="1">+WORLDCUP!BD61</f>
        <v>Paraguay</v>
      </c>
      <c r="G278" s="11" t="str">
        <f ca="1">+WORLDCUP!BD58</f>
        <v>República Checa</v>
      </c>
      <c r="H278" s="11" t="str">
        <f ca="1">+WORLDCUP!BD63</f>
        <v>Japón</v>
      </c>
      <c r="I278" s="11" t="str">
        <f ca="1">+WORLDCUP!BD69</f>
        <v>Panamá</v>
      </c>
      <c r="J278" s="11" t="str">
        <f ca="1">+WORLDCUP!BD62</f>
        <v>Ecuador</v>
      </c>
      <c r="N278" s="11" t="s">
        <v>586</v>
      </c>
      <c r="O278" s="11">
        <v>277</v>
      </c>
      <c r="P278" s="11" t="s">
        <v>91</v>
      </c>
      <c r="Q278" s="11" t="s">
        <v>435</v>
      </c>
      <c r="R278" s="11" t="s">
        <v>441</v>
      </c>
      <c r="S278" s="11" t="s">
        <v>92</v>
      </c>
      <c r="T278" s="11" t="s">
        <v>89</v>
      </c>
      <c r="U278" s="11" t="s">
        <v>94</v>
      </c>
      <c r="V278" s="11" t="s">
        <v>443</v>
      </c>
      <c r="W278" s="11" t="s">
        <v>93</v>
      </c>
    </row>
    <row r="279" spans="1:23">
      <c r="A279" s="11" t="s">
        <v>585</v>
      </c>
      <c r="B279" s="11">
        <f ca="1">+IF(A279=WORLDCUP!$BI$112,1,0)</f>
        <v>0</v>
      </c>
      <c r="C279" s="11" t="str">
        <f ca="1">+WORLDCUP!BD60</f>
        <v>Escocia</v>
      </c>
      <c r="D279" s="11" t="str">
        <f ca="1">+WORLDCUP!BD64</f>
        <v>Bélgica</v>
      </c>
      <c r="E279" s="11" t="str">
        <f ca="1">+WORLDCUP!BD67</f>
        <v>Jordania</v>
      </c>
      <c r="F279" s="11" t="str">
        <f ca="1">+WORLDCUP!BD61</f>
        <v>Paraguay</v>
      </c>
      <c r="G279" s="11" t="str">
        <f ca="1">+WORLDCUP!BD58</f>
        <v>República Checa</v>
      </c>
      <c r="H279" s="11" t="str">
        <f ca="1">+WORLDCUP!BD63</f>
        <v>Japón</v>
      </c>
      <c r="I279" s="11" t="str">
        <f ca="1">+WORLDCUP!BD62</f>
        <v>Ecuador</v>
      </c>
      <c r="J279" s="11" t="str">
        <f ca="1">+WORLDCUP!BD68</f>
        <v>RD Congo</v>
      </c>
      <c r="N279" s="11" t="s">
        <v>585</v>
      </c>
      <c r="O279" s="11">
        <v>278</v>
      </c>
      <c r="P279" s="11" t="s">
        <v>91</v>
      </c>
      <c r="Q279" s="11" t="s">
        <v>435</v>
      </c>
      <c r="R279" s="11" t="s">
        <v>441</v>
      </c>
      <c r="S279" s="11" t="s">
        <v>92</v>
      </c>
      <c r="T279" s="11" t="s">
        <v>89</v>
      </c>
      <c r="U279" s="11" t="s">
        <v>94</v>
      </c>
      <c r="V279" s="11" t="s">
        <v>93</v>
      </c>
      <c r="W279" s="11" t="s">
        <v>442</v>
      </c>
    </row>
    <row r="280" spans="1:23">
      <c r="A280" s="11" t="s">
        <v>584</v>
      </c>
      <c r="B280" s="11">
        <f ca="1">+IF(A280=WORLDCUP!$BI$112,1,0)</f>
        <v>0</v>
      </c>
      <c r="C280" s="11" t="str">
        <f ca="1">+WORLDCUP!BD60</f>
        <v>Escocia</v>
      </c>
      <c r="D280" s="11" t="str">
        <f ca="1">+WORLDCUP!BD64</f>
        <v>Bélgica</v>
      </c>
      <c r="E280" s="11" t="str">
        <f ca="1">+WORLDCUP!BD62</f>
        <v>Ecuador</v>
      </c>
      <c r="F280" s="11" t="str">
        <f ca="1">+WORLDCUP!BD61</f>
        <v>Paraguay</v>
      </c>
      <c r="G280" s="11" t="str">
        <f ca="1">+WORLDCUP!BD58</f>
        <v>República Checa</v>
      </c>
      <c r="H280" s="11" t="str">
        <f ca="1">+WORLDCUP!BD63</f>
        <v>Japón</v>
      </c>
      <c r="I280" s="11" t="str">
        <f ca="1">+WORLDCUP!BD69</f>
        <v>Panamá</v>
      </c>
      <c r="J280" s="11" t="str">
        <f ca="1">+WORLDCUP!BD66</f>
        <v>Senegal</v>
      </c>
      <c r="N280" s="11" t="s">
        <v>584</v>
      </c>
      <c r="O280" s="11">
        <v>279</v>
      </c>
      <c r="P280" s="11" t="s">
        <v>91</v>
      </c>
      <c r="Q280" s="11" t="s">
        <v>435</v>
      </c>
      <c r="R280" s="11" t="s">
        <v>93</v>
      </c>
      <c r="S280" s="11" t="s">
        <v>92</v>
      </c>
      <c r="T280" s="11" t="s">
        <v>89</v>
      </c>
      <c r="U280" s="11" t="s">
        <v>94</v>
      </c>
      <c r="V280" s="11" t="s">
        <v>443</v>
      </c>
      <c r="W280" s="11" t="s">
        <v>440</v>
      </c>
    </row>
    <row r="281" spans="1:23">
      <c r="A281" s="11" t="s">
        <v>583</v>
      </c>
      <c r="B281" s="11">
        <f ca="1">+IF(A281=WORLDCUP!$BI$112,1,0)</f>
        <v>0</v>
      </c>
      <c r="C281" s="11" t="str">
        <f ca="1">+WORLDCUP!BD60</f>
        <v>Escocia</v>
      </c>
      <c r="D281" s="11" t="str">
        <f ca="1">+WORLDCUP!BD64</f>
        <v>Bélgica</v>
      </c>
      <c r="E281" s="11" t="str">
        <f ca="1">+WORLDCUP!BD62</f>
        <v>Ecuador</v>
      </c>
      <c r="F281" s="11" t="str">
        <f ca="1">+WORLDCUP!BD61</f>
        <v>Paraguay</v>
      </c>
      <c r="G281" s="11" t="str">
        <f ca="1">+WORLDCUP!BD58</f>
        <v>República Checa</v>
      </c>
      <c r="H281" s="11" t="str">
        <f ca="1">+WORLDCUP!BD63</f>
        <v>Japón</v>
      </c>
      <c r="I281" s="11" t="str">
        <f ca="1">+WORLDCUP!BD66</f>
        <v>Senegal</v>
      </c>
      <c r="J281" s="11" t="str">
        <f ca="1">+WORLDCUP!BD68</f>
        <v>RD Congo</v>
      </c>
      <c r="N281" s="11" t="s">
        <v>583</v>
      </c>
      <c r="O281" s="11">
        <v>280</v>
      </c>
      <c r="P281" s="11" t="s">
        <v>91</v>
      </c>
      <c r="Q281" s="11" t="s">
        <v>435</v>
      </c>
      <c r="R281" s="11" t="s">
        <v>93</v>
      </c>
      <c r="S281" s="11" t="s">
        <v>92</v>
      </c>
      <c r="T281" s="11" t="s">
        <v>89</v>
      </c>
      <c r="U281" s="11" t="s">
        <v>94</v>
      </c>
      <c r="V281" s="11" t="s">
        <v>440</v>
      </c>
      <c r="W281" s="11" t="s">
        <v>442</v>
      </c>
    </row>
    <row r="282" spans="1:23">
      <c r="A282" s="11" t="s">
        <v>582</v>
      </c>
      <c r="B282" s="11">
        <f ca="1">+IF(A282=WORLDCUP!$BI$112,1,0)</f>
        <v>0</v>
      </c>
      <c r="C282" s="11" t="str">
        <f ca="1">+WORLDCUP!BD60</f>
        <v>Escocia</v>
      </c>
      <c r="D282" s="11" t="str">
        <f ca="1">+WORLDCUP!BD64</f>
        <v>Bélgica</v>
      </c>
      <c r="E282" s="11" t="str">
        <f ca="1">+WORLDCUP!BD67</f>
        <v>Jordania</v>
      </c>
      <c r="F282" s="11" t="str">
        <f ca="1">+WORLDCUP!BD61</f>
        <v>Paraguay</v>
      </c>
      <c r="G282" s="11" t="str">
        <f ca="1">+WORLDCUP!BD58</f>
        <v>República Checa</v>
      </c>
      <c r="H282" s="11" t="str">
        <f ca="1">+WORLDCUP!BD63</f>
        <v>Japón</v>
      </c>
      <c r="I282" s="11" t="str">
        <f ca="1">+WORLDCUP!BD62</f>
        <v>Ecuador</v>
      </c>
      <c r="J282" s="11" t="str">
        <f ca="1">+WORLDCUP!BD66</f>
        <v>Senegal</v>
      </c>
      <c r="N282" s="11" t="s">
        <v>582</v>
      </c>
      <c r="O282" s="11">
        <v>281</v>
      </c>
      <c r="P282" s="11" t="s">
        <v>91</v>
      </c>
      <c r="Q282" s="11" t="s">
        <v>435</v>
      </c>
      <c r="R282" s="11" t="s">
        <v>441</v>
      </c>
      <c r="S282" s="11" t="s">
        <v>92</v>
      </c>
      <c r="T282" s="11" t="s">
        <v>89</v>
      </c>
      <c r="U282" s="11" t="s">
        <v>94</v>
      </c>
      <c r="V282" s="11" t="s">
        <v>93</v>
      </c>
      <c r="W282" s="11" t="s">
        <v>440</v>
      </c>
    </row>
    <row r="283" spans="1:23">
      <c r="A283" s="11" t="s">
        <v>581</v>
      </c>
      <c r="B283" s="11">
        <f ca="1">+IF(A283=WORLDCUP!$BI$112,1,0)</f>
        <v>0</v>
      </c>
      <c r="C283" s="11" t="str">
        <f ca="1">+WORLDCUP!BD65</f>
        <v>España</v>
      </c>
      <c r="D283" s="11" t="str">
        <f ca="1">+WORLDCUP!BD64</f>
        <v>Bélgica</v>
      </c>
      <c r="E283" s="11" t="str">
        <f ca="1">+WORLDCUP!BD63</f>
        <v>Japón</v>
      </c>
      <c r="F283" s="11" t="str">
        <f ca="1">+WORLDCUP!BD60</f>
        <v>Escocia</v>
      </c>
      <c r="G283" s="11" t="str">
        <f ca="1">+WORLDCUP!BD58</f>
        <v>República Checa</v>
      </c>
      <c r="H283" s="11" t="str">
        <f ca="1">+WORLDCUP!BD61</f>
        <v>Paraguay</v>
      </c>
      <c r="I283" s="11" t="str">
        <f ca="1">+WORLDCUP!BD69</f>
        <v>Panamá</v>
      </c>
      <c r="J283" s="11" t="str">
        <f ca="1">+WORLDCUP!BD62</f>
        <v>Ecuador</v>
      </c>
      <c r="N283" s="11" t="s">
        <v>581</v>
      </c>
      <c r="O283" s="11">
        <v>282</v>
      </c>
      <c r="P283" s="11" t="s">
        <v>436</v>
      </c>
      <c r="Q283" s="11" t="s">
        <v>435</v>
      </c>
      <c r="R283" s="11" t="s">
        <v>94</v>
      </c>
      <c r="S283" s="11" t="s">
        <v>91</v>
      </c>
      <c r="T283" s="11" t="s">
        <v>89</v>
      </c>
      <c r="U283" s="11" t="s">
        <v>92</v>
      </c>
      <c r="V283" s="11" t="s">
        <v>443</v>
      </c>
      <c r="W283" s="11" t="s">
        <v>93</v>
      </c>
    </row>
    <row r="284" spans="1:23">
      <c r="A284" s="11" t="s">
        <v>580</v>
      </c>
      <c r="B284" s="11">
        <f ca="1">+IF(A284=WORLDCUP!$BI$112,1,0)</f>
        <v>0</v>
      </c>
      <c r="C284" s="11" t="str">
        <f ca="1">+WORLDCUP!BD65</f>
        <v>España</v>
      </c>
      <c r="D284" s="11" t="str">
        <f ca="1">+WORLDCUP!BD64</f>
        <v>Bélgica</v>
      </c>
      <c r="E284" s="11" t="str">
        <f ca="1">+WORLDCUP!BD62</f>
        <v>Ecuador</v>
      </c>
      <c r="F284" s="11" t="str">
        <f ca="1">+WORLDCUP!BD60</f>
        <v>Escocia</v>
      </c>
      <c r="G284" s="11" t="str">
        <f ca="1">+WORLDCUP!BD58</f>
        <v>República Checa</v>
      </c>
      <c r="H284" s="11" t="str">
        <f ca="1">+WORLDCUP!BD63</f>
        <v>Japón</v>
      </c>
      <c r="I284" s="11" t="str">
        <f ca="1">+WORLDCUP!BD61</f>
        <v>Paraguay</v>
      </c>
      <c r="J284" s="11" t="str">
        <f ca="1">+WORLDCUP!BD68</f>
        <v>RD Congo</v>
      </c>
      <c r="N284" s="11" t="s">
        <v>580</v>
      </c>
      <c r="O284" s="11">
        <v>283</v>
      </c>
      <c r="P284" s="11" t="s">
        <v>436</v>
      </c>
      <c r="Q284" s="11" t="s">
        <v>435</v>
      </c>
      <c r="R284" s="11" t="s">
        <v>93</v>
      </c>
      <c r="S284" s="11" t="s">
        <v>91</v>
      </c>
      <c r="T284" s="11" t="s">
        <v>89</v>
      </c>
      <c r="U284" s="11" t="s">
        <v>94</v>
      </c>
      <c r="V284" s="11" t="s">
        <v>92</v>
      </c>
      <c r="W284" s="11" t="s">
        <v>442</v>
      </c>
    </row>
    <row r="285" spans="1:23">
      <c r="A285" s="11" t="s">
        <v>579</v>
      </c>
      <c r="B285" s="11">
        <f ca="1">+IF(A285=WORLDCUP!$BI$112,1,0)</f>
        <v>0</v>
      </c>
      <c r="C285" s="11" t="str">
        <f ca="1">+WORLDCUP!BD65</f>
        <v>España</v>
      </c>
      <c r="D285" s="11" t="str">
        <f ca="1">+WORLDCUP!BD64</f>
        <v>Bélgica</v>
      </c>
      <c r="E285" s="11" t="str">
        <f ca="1">+WORLDCUP!BD67</f>
        <v>Jordania</v>
      </c>
      <c r="F285" s="11" t="str">
        <f ca="1">+WORLDCUP!BD60</f>
        <v>Escocia</v>
      </c>
      <c r="G285" s="11" t="str">
        <f ca="1">+WORLDCUP!BD58</f>
        <v>República Checa</v>
      </c>
      <c r="H285" s="11" t="str">
        <f ca="1">+WORLDCUP!BD63</f>
        <v>Japón</v>
      </c>
      <c r="I285" s="11" t="str">
        <f ca="1">+WORLDCUP!BD61</f>
        <v>Paraguay</v>
      </c>
      <c r="J285" s="11" t="str">
        <f ca="1">+WORLDCUP!BD62</f>
        <v>Ecuador</v>
      </c>
      <c r="N285" s="11" t="s">
        <v>579</v>
      </c>
      <c r="O285" s="11">
        <v>284</v>
      </c>
      <c r="P285" s="11" t="s">
        <v>436</v>
      </c>
      <c r="Q285" s="11" t="s">
        <v>435</v>
      </c>
      <c r="R285" s="11" t="s">
        <v>441</v>
      </c>
      <c r="S285" s="11" t="s">
        <v>91</v>
      </c>
      <c r="T285" s="11" t="s">
        <v>89</v>
      </c>
      <c r="U285" s="11" t="s">
        <v>94</v>
      </c>
      <c r="V285" s="11" t="s">
        <v>92</v>
      </c>
      <c r="W285" s="11" t="s">
        <v>93</v>
      </c>
    </row>
    <row r="286" spans="1:23">
      <c r="A286" s="11" t="s">
        <v>578</v>
      </c>
      <c r="B286" s="11">
        <f ca="1">+IF(A286=WORLDCUP!$BI$112,1,0)</f>
        <v>0</v>
      </c>
      <c r="C286" s="11" t="str">
        <f ca="1">+WORLDCUP!BD65</f>
        <v>España</v>
      </c>
      <c r="D286" s="11" t="str">
        <f ca="1">+WORLDCUP!BD64</f>
        <v>Bélgica</v>
      </c>
      <c r="E286" s="11" t="str">
        <f ca="1">+WORLDCUP!BD62</f>
        <v>Ecuador</v>
      </c>
      <c r="F286" s="11" t="str">
        <f ca="1">+WORLDCUP!BD60</f>
        <v>Escocia</v>
      </c>
      <c r="G286" s="11" t="str">
        <f ca="1">+WORLDCUP!BD58</f>
        <v>República Checa</v>
      </c>
      <c r="H286" s="11" t="str">
        <f ca="1">+WORLDCUP!BD63</f>
        <v>Japón</v>
      </c>
      <c r="I286" s="11" t="str">
        <f ca="1">+WORLDCUP!BD61</f>
        <v>Paraguay</v>
      </c>
      <c r="J286" s="11" t="str">
        <f ca="1">+WORLDCUP!BD66</f>
        <v>Senegal</v>
      </c>
      <c r="N286" s="11" t="s">
        <v>578</v>
      </c>
      <c r="O286" s="11">
        <v>285</v>
      </c>
      <c r="P286" s="11" t="s">
        <v>436</v>
      </c>
      <c r="Q286" s="11" t="s">
        <v>435</v>
      </c>
      <c r="R286" s="11" t="s">
        <v>93</v>
      </c>
      <c r="S286" s="11" t="s">
        <v>91</v>
      </c>
      <c r="T286" s="11" t="s">
        <v>89</v>
      </c>
      <c r="U286" s="11" t="s">
        <v>94</v>
      </c>
      <c r="V286" s="11" t="s">
        <v>92</v>
      </c>
      <c r="W286" s="11" t="s">
        <v>440</v>
      </c>
    </row>
    <row r="287" spans="1:23">
      <c r="A287" s="11" t="s">
        <v>959</v>
      </c>
      <c r="B287" s="11">
        <f ca="1">+IF(A287=WORLDCUP!$BI$112,1,0)</f>
        <v>0</v>
      </c>
      <c r="C287" s="11" t="str">
        <f ca="1">+WORLDCUP!BD65</f>
        <v>España</v>
      </c>
      <c r="D287" s="11" t="str">
        <f ca="1">+WORLDCUP!BD67</f>
        <v>Jordania</v>
      </c>
      <c r="E287" s="11" t="str">
        <f ca="1">+WORLDCUP!BD59</f>
        <v>Bosnia y Herzegovina</v>
      </c>
      <c r="F287" s="11" t="str">
        <f ca="1">+WORLDCUP!BD58</f>
        <v>República Checa</v>
      </c>
      <c r="G287" s="11" t="str">
        <f ca="1">+WORLDCUP!BD66</f>
        <v>Senegal</v>
      </c>
      <c r="H287" s="11" t="str">
        <f ca="1">+WORLDCUP!BD64</f>
        <v>Bélgica</v>
      </c>
      <c r="I287" s="11" t="str">
        <f ca="1">+WORLDCUP!BD69</f>
        <v>Panamá</v>
      </c>
      <c r="J287" s="11" t="str">
        <f ca="1">+WORLDCUP!BD68</f>
        <v>RD Congo</v>
      </c>
      <c r="N287" s="11" t="s">
        <v>959</v>
      </c>
      <c r="O287" s="11">
        <v>286</v>
      </c>
      <c r="P287" s="11" t="s">
        <v>436</v>
      </c>
      <c r="Q287" s="11" t="s">
        <v>441</v>
      </c>
      <c r="R287" s="11" t="s">
        <v>90</v>
      </c>
      <c r="S287" s="11" t="s">
        <v>89</v>
      </c>
      <c r="T287" s="11" t="s">
        <v>440</v>
      </c>
      <c r="U287" s="11" t="s">
        <v>435</v>
      </c>
      <c r="V287" s="11" t="s">
        <v>443</v>
      </c>
      <c r="W287" s="11" t="s">
        <v>442</v>
      </c>
    </row>
    <row r="288" spans="1:23">
      <c r="A288" s="11" t="s">
        <v>958</v>
      </c>
      <c r="B288" s="11">
        <f ca="1">+IF(A288=WORLDCUP!$BI$112,1,0)</f>
        <v>0</v>
      </c>
      <c r="C288" s="11" t="str">
        <f ca="1">+WORLDCUP!BD65</f>
        <v>España</v>
      </c>
      <c r="D288" s="11" t="str">
        <f ca="1">+WORLDCUP!BD67</f>
        <v>Jordania</v>
      </c>
      <c r="E288" s="11" t="str">
        <f ca="1">+WORLDCUP!BD59</f>
        <v>Bosnia y Herzegovina</v>
      </c>
      <c r="F288" s="11" t="str">
        <f ca="1">+WORLDCUP!BD58</f>
        <v>República Checa</v>
      </c>
      <c r="G288" s="11" t="str">
        <f ca="1">+WORLDCUP!BD66</f>
        <v>Senegal</v>
      </c>
      <c r="H288" s="11" t="str">
        <f ca="1">+WORLDCUP!BD63</f>
        <v>Japón</v>
      </c>
      <c r="I288" s="11" t="str">
        <f ca="1">+WORLDCUP!BD69</f>
        <v>Panamá</v>
      </c>
      <c r="J288" s="11" t="str">
        <f ca="1">+WORLDCUP!BD68</f>
        <v>RD Congo</v>
      </c>
      <c r="N288" s="11" t="s">
        <v>958</v>
      </c>
      <c r="O288" s="11">
        <v>287</v>
      </c>
      <c r="P288" s="11" t="s">
        <v>436</v>
      </c>
      <c r="Q288" s="11" t="s">
        <v>441</v>
      </c>
      <c r="R288" s="11" t="s">
        <v>90</v>
      </c>
      <c r="S288" s="11" t="s">
        <v>89</v>
      </c>
      <c r="T288" s="11" t="s">
        <v>440</v>
      </c>
      <c r="U288" s="11" t="s">
        <v>94</v>
      </c>
      <c r="V288" s="11" t="s">
        <v>443</v>
      </c>
      <c r="W288" s="11" t="s">
        <v>442</v>
      </c>
    </row>
    <row r="289" spans="1:23">
      <c r="A289" s="11" t="s">
        <v>957</v>
      </c>
      <c r="B289" s="11">
        <f ca="1">+IF(A289=WORLDCUP!$BI$112,1,0)</f>
        <v>0</v>
      </c>
      <c r="C289" s="11" t="str">
        <f ca="1">+WORLDCUP!BD66</f>
        <v>Senegal</v>
      </c>
      <c r="D289" s="11" t="str">
        <f ca="1">+WORLDCUP!BD67</f>
        <v>Jordania</v>
      </c>
      <c r="E289" s="11" t="str">
        <f ca="1">+WORLDCUP!BD59</f>
        <v>Bosnia y Herzegovina</v>
      </c>
      <c r="F289" s="11" t="str">
        <f ca="1">+WORLDCUP!BD63</f>
        <v>Japón</v>
      </c>
      <c r="G289" s="11" t="str">
        <f ca="1">+WORLDCUP!BD58</f>
        <v>República Checa</v>
      </c>
      <c r="H289" s="11" t="str">
        <f ca="1">+WORLDCUP!BD64</f>
        <v>Bélgica</v>
      </c>
      <c r="I289" s="11" t="str">
        <f ca="1">+WORLDCUP!BD69</f>
        <v>Panamá</v>
      </c>
      <c r="J289" s="11" t="str">
        <f ca="1">+WORLDCUP!BD68</f>
        <v>RD Congo</v>
      </c>
      <c r="N289" s="11" t="s">
        <v>957</v>
      </c>
      <c r="O289" s="11">
        <v>288</v>
      </c>
      <c r="P289" s="11" t="s">
        <v>440</v>
      </c>
      <c r="Q289" s="11" t="s">
        <v>441</v>
      </c>
      <c r="R289" s="11" t="s">
        <v>90</v>
      </c>
      <c r="S289" s="11" t="s">
        <v>94</v>
      </c>
      <c r="T289" s="11" t="s">
        <v>89</v>
      </c>
      <c r="U289" s="11" t="s">
        <v>435</v>
      </c>
      <c r="V289" s="11" t="s">
        <v>443</v>
      </c>
      <c r="W289" s="11" t="s">
        <v>442</v>
      </c>
    </row>
    <row r="290" spans="1:23">
      <c r="A290" s="11" t="s">
        <v>956</v>
      </c>
      <c r="B290" s="11">
        <f ca="1">+IF(A290=WORLDCUP!$BI$112,1,0)</f>
        <v>0</v>
      </c>
      <c r="C290" s="11" t="str">
        <f ca="1">+WORLDCUP!BD65</f>
        <v>España</v>
      </c>
      <c r="D290" s="11" t="str">
        <f ca="1">+WORLDCUP!BD67</f>
        <v>Jordania</v>
      </c>
      <c r="E290" s="11" t="str">
        <f ca="1">+WORLDCUP!BD59</f>
        <v>Bosnia y Herzegovina</v>
      </c>
      <c r="F290" s="11" t="str">
        <f ca="1">+WORLDCUP!BD63</f>
        <v>Japón</v>
      </c>
      <c r="G290" s="11" t="str">
        <f ca="1">+WORLDCUP!BD58</f>
        <v>República Checa</v>
      </c>
      <c r="H290" s="11" t="str">
        <f ca="1">+WORLDCUP!BD64</f>
        <v>Bélgica</v>
      </c>
      <c r="I290" s="11" t="str">
        <f ca="1">+WORLDCUP!BD69</f>
        <v>Panamá</v>
      </c>
      <c r="J290" s="11" t="str">
        <f ca="1">+WORLDCUP!BD68</f>
        <v>RD Congo</v>
      </c>
      <c r="N290" s="11" t="s">
        <v>956</v>
      </c>
      <c r="O290" s="11">
        <v>289</v>
      </c>
      <c r="P290" s="11" t="s">
        <v>436</v>
      </c>
      <c r="Q290" s="11" t="s">
        <v>441</v>
      </c>
      <c r="R290" s="11" t="s">
        <v>90</v>
      </c>
      <c r="S290" s="11" t="s">
        <v>94</v>
      </c>
      <c r="T290" s="11" t="s">
        <v>89</v>
      </c>
      <c r="U290" s="11" t="s">
        <v>435</v>
      </c>
      <c r="V290" s="11" t="s">
        <v>443</v>
      </c>
      <c r="W290" s="11" t="s">
        <v>442</v>
      </c>
    </row>
    <row r="291" spans="1:23">
      <c r="A291" s="11" t="s">
        <v>955</v>
      </c>
      <c r="B291" s="11">
        <f ca="1">+IF(A291=WORLDCUP!$BI$112,1,0)</f>
        <v>0</v>
      </c>
      <c r="C291" s="11" t="str">
        <f ca="1">+WORLDCUP!BD65</f>
        <v>España</v>
      </c>
      <c r="D291" s="11" t="str">
        <f ca="1">+WORLDCUP!BD64</f>
        <v>Bélgica</v>
      </c>
      <c r="E291" s="11" t="str">
        <f ca="1">+WORLDCUP!BD59</f>
        <v>Bosnia y Herzegovina</v>
      </c>
      <c r="F291" s="11" t="str">
        <f ca="1">+WORLDCUP!BD58</f>
        <v>República Checa</v>
      </c>
      <c r="G291" s="11" t="str">
        <f ca="1">+WORLDCUP!BD66</f>
        <v>Senegal</v>
      </c>
      <c r="H291" s="11" t="str">
        <f ca="1">+WORLDCUP!BD63</f>
        <v>Japón</v>
      </c>
      <c r="I291" s="11" t="str">
        <f ca="1">+WORLDCUP!BD69</f>
        <v>Panamá</v>
      </c>
      <c r="J291" s="11" t="str">
        <f ca="1">+WORLDCUP!BD68</f>
        <v>RD Congo</v>
      </c>
      <c r="N291" s="11" t="s">
        <v>955</v>
      </c>
      <c r="O291" s="11">
        <v>290</v>
      </c>
      <c r="P291" s="11" t="s">
        <v>436</v>
      </c>
      <c r="Q291" s="11" t="s">
        <v>435</v>
      </c>
      <c r="R291" s="11" t="s">
        <v>90</v>
      </c>
      <c r="S291" s="11" t="s">
        <v>89</v>
      </c>
      <c r="T291" s="11" t="s">
        <v>440</v>
      </c>
      <c r="U291" s="11" t="s">
        <v>94</v>
      </c>
      <c r="V291" s="11" t="s">
        <v>443</v>
      </c>
      <c r="W291" s="11" t="s">
        <v>442</v>
      </c>
    </row>
    <row r="292" spans="1:23">
      <c r="A292" s="11" t="s">
        <v>954</v>
      </c>
      <c r="B292" s="11">
        <f ca="1">+IF(A292=WORLDCUP!$BI$112,1,0)</f>
        <v>0</v>
      </c>
      <c r="C292" s="11" t="str">
        <f ca="1">+WORLDCUP!BD65</f>
        <v>España</v>
      </c>
      <c r="D292" s="11" t="str">
        <f ca="1">+WORLDCUP!BD67</f>
        <v>Jordania</v>
      </c>
      <c r="E292" s="11" t="str">
        <f ca="1">+WORLDCUP!BD59</f>
        <v>Bosnia y Herzegovina</v>
      </c>
      <c r="F292" s="11" t="str">
        <f ca="1">+WORLDCUP!BD63</f>
        <v>Japón</v>
      </c>
      <c r="G292" s="11" t="str">
        <f ca="1">+WORLDCUP!BD58</f>
        <v>República Checa</v>
      </c>
      <c r="H292" s="11" t="str">
        <f ca="1">+WORLDCUP!BD64</f>
        <v>Bélgica</v>
      </c>
      <c r="I292" s="11" t="str">
        <f ca="1">+WORLDCUP!BD69</f>
        <v>Panamá</v>
      </c>
      <c r="J292" s="11" t="str">
        <f ca="1">+WORLDCUP!BD66</f>
        <v>Senegal</v>
      </c>
      <c r="N292" s="11" t="s">
        <v>954</v>
      </c>
      <c r="O292" s="11">
        <v>291</v>
      </c>
      <c r="P292" s="11" t="s">
        <v>436</v>
      </c>
      <c r="Q292" s="11" t="s">
        <v>441</v>
      </c>
      <c r="R292" s="11" t="s">
        <v>90</v>
      </c>
      <c r="S292" s="11" t="s">
        <v>94</v>
      </c>
      <c r="T292" s="11" t="s">
        <v>89</v>
      </c>
      <c r="U292" s="11" t="s">
        <v>435</v>
      </c>
      <c r="V292" s="11" t="s">
        <v>443</v>
      </c>
      <c r="W292" s="11" t="s">
        <v>440</v>
      </c>
    </row>
    <row r="293" spans="1:23">
      <c r="A293" s="11" t="s">
        <v>953</v>
      </c>
      <c r="B293" s="11">
        <f ca="1">+IF(A293=WORLDCUP!$BI$112,1,0)</f>
        <v>0</v>
      </c>
      <c r="C293" s="11" t="str">
        <f ca="1">+WORLDCUP!BD65</f>
        <v>España</v>
      </c>
      <c r="D293" s="11" t="str">
        <f ca="1">+WORLDCUP!BD67</f>
        <v>Jordania</v>
      </c>
      <c r="E293" s="11" t="str">
        <f ca="1">+WORLDCUP!BD59</f>
        <v>Bosnia y Herzegovina</v>
      </c>
      <c r="F293" s="11" t="str">
        <f ca="1">+WORLDCUP!BD63</f>
        <v>Japón</v>
      </c>
      <c r="G293" s="11" t="str">
        <f ca="1">+WORLDCUP!BD58</f>
        <v>República Checa</v>
      </c>
      <c r="H293" s="11" t="str">
        <f ca="1">+WORLDCUP!BD64</f>
        <v>Bélgica</v>
      </c>
      <c r="I293" s="11" t="str">
        <f ca="1">+WORLDCUP!BD66</f>
        <v>Senegal</v>
      </c>
      <c r="J293" s="11" t="str">
        <f ca="1">+WORLDCUP!BD68</f>
        <v>RD Congo</v>
      </c>
      <c r="N293" s="11" t="s">
        <v>953</v>
      </c>
      <c r="O293" s="11">
        <v>292</v>
      </c>
      <c r="P293" s="11" t="s">
        <v>436</v>
      </c>
      <c r="Q293" s="11" t="s">
        <v>441</v>
      </c>
      <c r="R293" s="11" t="s">
        <v>90</v>
      </c>
      <c r="S293" s="11" t="s">
        <v>94</v>
      </c>
      <c r="T293" s="11" t="s">
        <v>89</v>
      </c>
      <c r="U293" s="11" t="s">
        <v>435</v>
      </c>
      <c r="V293" s="11" t="s">
        <v>440</v>
      </c>
      <c r="W293" s="11" t="s">
        <v>442</v>
      </c>
    </row>
    <row r="294" spans="1:23">
      <c r="A294" s="11" t="s">
        <v>952</v>
      </c>
      <c r="B294" s="11">
        <f ca="1">+IF(A294=WORLDCUP!$BI$112,1,0)</f>
        <v>0</v>
      </c>
      <c r="C294" s="11" t="str">
        <f ca="1">+WORLDCUP!BD62</f>
        <v>Ecuador</v>
      </c>
      <c r="D294" s="11" t="str">
        <f ca="1">+WORLDCUP!BD67</f>
        <v>Jordania</v>
      </c>
      <c r="E294" s="11" t="str">
        <f ca="1">+WORLDCUP!BD59</f>
        <v>Bosnia y Herzegovina</v>
      </c>
      <c r="F294" s="11" t="str">
        <f ca="1">+WORLDCUP!BD58</f>
        <v>República Checa</v>
      </c>
      <c r="G294" s="11" t="str">
        <f ca="1">+WORLDCUP!BD66</f>
        <v>Senegal</v>
      </c>
      <c r="H294" s="11" t="str">
        <f ca="1">+WORLDCUP!BD65</f>
        <v>España</v>
      </c>
      <c r="I294" s="11" t="str">
        <f ca="1">+WORLDCUP!BD69</f>
        <v>Panamá</v>
      </c>
      <c r="J294" s="11" t="str">
        <f ca="1">+WORLDCUP!BD68</f>
        <v>RD Congo</v>
      </c>
      <c r="N294" s="11" t="s">
        <v>952</v>
      </c>
      <c r="O294" s="11">
        <v>293</v>
      </c>
      <c r="P294" s="11" t="s">
        <v>93</v>
      </c>
      <c r="Q294" s="11" t="s">
        <v>441</v>
      </c>
      <c r="R294" s="11" t="s">
        <v>90</v>
      </c>
      <c r="S294" s="11" t="s">
        <v>89</v>
      </c>
      <c r="T294" s="11" t="s">
        <v>440</v>
      </c>
      <c r="U294" s="11" t="s">
        <v>436</v>
      </c>
      <c r="V294" s="11" t="s">
        <v>443</v>
      </c>
      <c r="W294" s="11" t="s">
        <v>442</v>
      </c>
    </row>
    <row r="295" spans="1:23">
      <c r="A295" s="11" t="s">
        <v>951</v>
      </c>
      <c r="B295" s="11">
        <f ca="1">+IF(A295=WORLDCUP!$BI$112,1,0)</f>
        <v>0</v>
      </c>
      <c r="C295" s="11" t="str">
        <f ca="1">+WORLDCUP!BD62</f>
        <v>Ecuador</v>
      </c>
      <c r="D295" s="11" t="str">
        <f ca="1">+WORLDCUP!BD67</f>
        <v>Jordania</v>
      </c>
      <c r="E295" s="11" t="str">
        <f ca="1">+WORLDCUP!BD59</f>
        <v>Bosnia y Herzegovina</v>
      </c>
      <c r="F295" s="11" t="str">
        <f ca="1">+WORLDCUP!BD58</f>
        <v>República Checa</v>
      </c>
      <c r="G295" s="11" t="str">
        <f ca="1">+WORLDCUP!BD66</f>
        <v>Senegal</v>
      </c>
      <c r="H295" s="11" t="str">
        <f ca="1">+WORLDCUP!BD64</f>
        <v>Bélgica</v>
      </c>
      <c r="I295" s="11" t="str">
        <f ca="1">+WORLDCUP!BD69</f>
        <v>Panamá</v>
      </c>
      <c r="J295" s="11" t="str">
        <f ca="1">+WORLDCUP!BD68</f>
        <v>RD Congo</v>
      </c>
      <c r="N295" s="11" t="s">
        <v>951</v>
      </c>
      <c r="O295" s="11">
        <v>294</v>
      </c>
      <c r="P295" s="11" t="s">
        <v>93</v>
      </c>
      <c r="Q295" s="11" t="s">
        <v>441</v>
      </c>
      <c r="R295" s="11" t="s">
        <v>90</v>
      </c>
      <c r="S295" s="11" t="s">
        <v>89</v>
      </c>
      <c r="T295" s="11" t="s">
        <v>440</v>
      </c>
      <c r="U295" s="11" t="s">
        <v>435</v>
      </c>
      <c r="V295" s="11" t="s">
        <v>443</v>
      </c>
      <c r="W295" s="11" t="s">
        <v>442</v>
      </c>
    </row>
    <row r="296" spans="1:23">
      <c r="A296" s="11" t="s">
        <v>950</v>
      </c>
      <c r="B296" s="11">
        <f ca="1">+IF(A296=WORLDCUP!$BI$112,1,0)</f>
        <v>0</v>
      </c>
      <c r="C296" s="11" t="str">
        <f ca="1">+WORLDCUP!BD62</f>
        <v>Ecuador</v>
      </c>
      <c r="D296" s="11" t="str">
        <f ca="1">+WORLDCUP!BD67</f>
        <v>Jordania</v>
      </c>
      <c r="E296" s="11" t="str">
        <f ca="1">+WORLDCUP!BD59</f>
        <v>Bosnia y Herzegovina</v>
      </c>
      <c r="F296" s="11" t="str">
        <f ca="1">+WORLDCUP!BD58</f>
        <v>República Checa</v>
      </c>
      <c r="G296" s="11" t="str">
        <f ca="1">+WORLDCUP!BD65</f>
        <v>España</v>
      </c>
      <c r="H296" s="11" t="str">
        <f ca="1">+WORLDCUP!BD64</f>
        <v>Bélgica</v>
      </c>
      <c r="I296" s="11" t="str">
        <f ca="1">+WORLDCUP!BD69</f>
        <v>Panamá</v>
      </c>
      <c r="J296" s="11" t="str">
        <f ca="1">+WORLDCUP!BD68</f>
        <v>RD Congo</v>
      </c>
      <c r="N296" s="11" t="s">
        <v>950</v>
      </c>
      <c r="O296" s="11">
        <v>295</v>
      </c>
      <c r="P296" s="11" t="s">
        <v>93</v>
      </c>
      <c r="Q296" s="11" t="s">
        <v>441</v>
      </c>
      <c r="R296" s="11" t="s">
        <v>90</v>
      </c>
      <c r="S296" s="11" t="s">
        <v>89</v>
      </c>
      <c r="T296" s="11" t="s">
        <v>436</v>
      </c>
      <c r="U296" s="11" t="s">
        <v>435</v>
      </c>
      <c r="V296" s="11" t="s">
        <v>443</v>
      </c>
      <c r="W296" s="11" t="s">
        <v>442</v>
      </c>
    </row>
    <row r="297" spans="1:23">
      <c r="A297" s="11" t="s">
        <v>949</v>
      </c>
      <c r="B297" s="11">
        <f ca="1">+IF(A297=WORLDCUP!$BI$112,1,0)</f>
        <v>0</v>
      </c>
      <c r="C297" s="11" t="str">
        <f ca="1">+WORLDCUP!BD62</f>
        <v>Ecuador</v>
      </c>
      <c r="D297" s="11" t="str">
        <f ca="1">+WORLDCUP!BD64</f>
        <v>Bélgica</v>
      </c>
      <c r="E297" s="11" t="str">
        <f ca="1">+WORLDCUP!BD59</f>
        <v>Bosnia y Herzegovina</v>
      </c>
      <c r="F297" s="11" t="str">
        <f ca="1">+WORLDCUP!BD58</f>
        <v>República Checa</v>
      </c>
      <c r="G297" s="11" t="str">
        <f ca="1">+WORLDCUP!BD66</f>
        <v>Senegal</v>
      </c>
      <c r="H297" s="11" t="str">
        <f ca="1">+WORLDCUP!BD65</f>
        <v>España</v>
      </c>
      <c r="I297" s="11" t="str">
        <f ca="1">+WORLDCUP!BD69</f>
        <v>Panamá</v>
      </c>
      <c r="J297" s="11" t="str">
        <f ca="1">+WORLDCUP!BD68</f>
        <v>RD Congo</v>
      </c>
      <c r="N297" s="11" t="s">
        <v>949</v>
      </c>
      <c r="O297" s="11">
        <v>296</v>
      </c>
      <c r="P297" s="11" t="s">
        <v>93</v>
      </c>
      <c r="Q297" s="11" t="s">
        <v>435</v>
      </c>
      <c r="R297" s="11" t="s">
        <v>90</v>
      </c>
      <c r="S297" s="11" t="s">
        <v>89</v>
      </c>
      <c r="T297" s="11" t="s">
        <v>440</v>
      </c>
      <c r="U297" s="11" t="s">
        <v>436</v>
      </c>
      <c r="V297" s="11" t="s">
        <v>443</v>
      </c>
      <c r="W297" s="11" t="s">
        <v>442</v>
      </c>
    </row>
    <row r="298" spans="1:23">
      <c r="A298" s="11" t="s">
        <v>948</v>
      </c>
      <c r="B298" s="11">
        <f ca="1">+IF(A298=WORLDCUP!$BI$112,1,0)</f>
        <v>0</v>
      </c>
      <c r="C298" s="11" t="str">
        <f ca="1">+WORLDCUP!BD62</f>
        <v>Ecuador</v>
      </c>
      <c r="D298" s="11" t="str">
        <f ca="1">+WORLDCUP!BD67</f>
        <v>Jordania</v>
      </c>
      <c r="E298" s="11" t="str">
        <f ca="1">+WORLDCUP!BD59</f>
        <v>Bosnia y Herzegovina</v>
      </c>
      <c r="F298" s="11" t="str">
        <f ca="1">+WORLDCUP!BD58</f>
        <v>República Checa</v>
      </c>
      <c r="G298" s="11" t="str">
        <f ca="1">+WORLDCUP!BD65</f>
        <v>España</v>
      </c>
      <c r="H298" s="11" t="str">
        <f ca="1">+WORLDCUP!BD64</f>
        <v>Bélgica</v>
      </c>
      <c r="I298" s="11" t="str">
        <f ca="1">+WORLDCUP!BD69</f>
        <v>Panamá</v>
      </c>
      <c r="J298" s="11" t="str">
        <f ca="1">+WORLDCUP!BD66</f>
        <v>Senegal</v>
      </c>
      <c r="N298" s="11" t="s">
        <v>948</v>
      </c>
      <c r="O298" s="11">
        <v>297</v>
      </c>
      <c r="P298" s="11" t="s">
        <v>93</v>
      </c>
      <c r="Q298" s="11" t="s">
        <v>441</v>
      </c>
      <c r="R298" s="11" t="s">
        <v>90</v>
      </c>
      <c r="S298" s="11" t="s">
        <v>89</v>
      </c>
      <c r="T298" s="11" t="s">
        <v>436</v>
      </c>
      <c r="U298" s="11" t="s">
        <v>435</v>
      </c>
      <c r="V298" s="11" t="s">
        <v>443</v>
      </c>
      <c r="W298" s="11" t="s">
        <v>440</v>
      </c>
    </row>
    <row r="299" spans="1:23">
      <c r="A299" s="11" t="s">
        <v>947</v>
      </c>
      <c r="B299" s="11">
        <f ca="1">+IF(A299=WORLDCUP!$BI$112,1,0)</f>
        <v>0</v>
      </c>
      <c r="C299" s="11" t="str">
        <f ca="1">+WORLDCUP!BD62</f>
        <v>Ecuador</v>
      </c>
      <c r="D299" s="11" t="str">
        <f ca="1">+WORLDCUP!BD67</f>
        <v>Jordania</v>
      </c>
      <c r="E299" s="11" t="str">
        <f ca="1">+WORLDCUP!BD59</f>
        <v>Bosnia y Herzegovina</v>
      </c>
      <c r="F299" s="11" t="str">
        <f ca="1">+WORLDCUP!BD58</f>
        <v>República Checa</v>
      </c>
      <c r="G299" s="11" t="str">
        <f ca="1">+WORLDCUP!BD65</f>
        <v>España</v>
      </c>
      <c r="H299" s="11" t="str">
        <f ca="1">+WORLDCUP!BD64</f>
        <v>Bélgica</v>
      </c>
      <c r="I299" s="11" t="str">
        <f ca="1">+WORLDCUP!BD66</f>
        <v>Senegal</v>
      </c>
      <c r="J299" s="11" t="str">
        <f ca="1">+WORLDCUP!BD68</f>
        <v>RD Congo</v>
      </c>
      <c r="N299" s="11" t="s">
        <v>947</v>
      </c>
      <c r="O299" s="11">
        <v>298</v>
      </c>
      <c r="P299" s="11" t="s">
        <v>93</v>
      </c>
      <c r="Q299" s="11" t="s">
        <v>441</v>
      </c>
      <c r="R299" s="11" t="s">
        <v>90</v>
      </c>
      <c r="S299" s="11" t="s">
        <v>89</v>
      </c>
      <c r="T299" s="11" t="s">
        <v>436</v>
      </c>
      <c r="U299" s="11" t="s">
        <v>435</v>
      </c>
      <c r="V299" s="11" t="s">
        <v>440</v>
      </c>
      <c r="W299" s="11" t="s">
        <v>442</v>
      </c>
    </row>
    <row r="300" spans="1:23">
      <c r="A300" s="11" t="s">
        <v>946</v>
      </c>
      <c r="B300" s="11">
        <f ca="1">+IF(A300=WORLDCUP!$BI$112,1,0)</f>
        <v>0</v>
      </c>
      <c r="C300" s="11" t="str">
        <f ca="1">+WORLDCUP!BD62</f>
        <v>Ecuador</v>
      </c>
      <c r="D300" s="11" t="str">
        <f ca="1">+WORLDCUP!BD67</f>
        <v>Jordania</v>
      </c>
      <c r="E300" s="11" t="str">
        <f ca="1">+WORLDCUP!BD59</f>
        <v>Bosnia y Herzegovina</v>
      </c>
      <c r="F300" s="11" t="str">
        <f ca="1">+WORLDCUP!BD58</f>
        <v>República Checa</v>
      </c>
      <c r="G300" s="11" t="str">
        <f ca="1">+WORLDCUP!BD66</f>
        <v>Senegal</v>
      </c>
      <c r="H300" s="11" t="str">
        <f ca="1">+WORLDCUP!BD63</f>
        <v>Japón</v>
      </c>
      <c r="I300" s="11" t="str">
        <f ca="1">+WORLDCUP!BD69</f>
        <v>Panamá</v>
      </c>
      <c r="J300" s="11" t="str">
        <f ca="1">+WORLDCUP!BD68</f>
        <v>RD Congo</v>
      </c>
      <c r="N300" s="11" t="s">
        <v>946</v>
      </c>
      <c r="O300" s="11">
        <v>299</v>
      </c>
      <c r="P300" s="11" t="s">
        <v>93</v>
      </c>
      <c r="Q300" s="11" t="s">
        <v>441</v>
      </c>
      <c r="R300" s="11" t="s">
        <v>90</v>
      </c>
      <c r="S300" s="11" t="s">
        <v>89</v>
      </c>
      <c r="T300" s="11" t="s">
        <v>440</v>
      </c>
      <c r="U300" s="11" t="s">
        <v>94</v>
      </c>
      <c r="V300" s="11" t="s">
        <v>443</v>
      </c>
      <c r="W300" s="11" t="s">
        <v>442</v>
      </c>
    </row>
    <row r="301" spans="1:23">
      <c r="A301" s="11" t="s">
        <v>945</v>
      </c>
      <c r="B301" s="11">
        <f ca="1">+IF(A301=WORLDCUP!$BI$112,1,0)</f>
        <v>0</v>
      </c>
      <c r="C301" s="11" t="str">
        <f ca="1">+WORLDCUP!BD62</f>
        <v>Ecuador</v>
      </c>
      <c r="D301" s="11" t="str">
        <f ca="1">+WORLDCUP!BD67</f>
        <v>Jordania</v>
      </c>
      <c r="E301" s="11" t="str">
        <f ca="1">+WORLDCUP!BD59</f>
        <v>Bosnia y Herzegovina</v>
      </c>
      <c r="F301" s="11" t="str">
        <f ca="1">+WORLDCUP!BD63</f>
        <v>Japón</v>
      </c>
      <c r="G301" s="11" t="str">
        <f ca="1">+WORLDCUP!BD58</f>
        <v>República Checa</v>
      </c>
      <c r="H301" s="11" t="str">
        <f ca="1">+WORLDCUP!BD65</f>
        <v>España</v>
      </c>
      <c r="I301" s="11" t="str">
        <f ca="1">+WORLDCUP!BD69</f>
        <v>Panamá</v>
      </c>
      <c r="J301" s="11" t="str">
        <f ca="1">+WORLDCUP!BD68</f>
        <v>RD Congo</v>
      </c>
      <c r="N301" s="11" t="s">
        <v>945</v>
      </c>
      <c r="O301" s="11">
        <v>300</v>
      </c>
      <c r="P301" s="11" t="s">
        <v>93</v>
      </c>
      <c r="Q301" s="11" t="s">
        <v>441</v>
      </c>
      <c r="R301" s="11" t="s">
        <v>90</v>
      </c>
      <c r="S301" s="11" t="s">
        <v>94</v>
      </c>
      <c r="T301" s="11" t="s">
        <v>89</v>
      </c>
      <c r="U301" s="11" t="s">
        <v>436</v>
      </c>
      <c r="V301" s="11" t="s">
        <v>443</v>
      </c>
      <c r="W301" s="11" t="s">
        <v>442</v>
      </c>
    </row>
    <row r="302" spans="1:23">
      <c r="A302" s="11" t="s">
        <v>944</v>
      </c>
      <c r="B302" s="11">
        <f ca="1">+IF(A302=WORLDCUP!$BI$112,1,0)</f>
        <v>0</v>
      </c>
      <c r="C302" s="11" t="str">
        <f ca="1">+WORLDCUP!BD62</f>
        <v>Ecuador</v>
      </c>
      <c r="D302" s="11" t="str">
        <f ca="1">+WORLDCUP!BD66</f>
        <v>Senegal</v>
      </c>
      <c r="E302" s="11" t="str">
        <f ca="1">+WORLDCUP!BD59</f>
        <v>Bosnia y Herzegovina</v>
      </c>
      <c r="F302" s="11" t="str">
        <f ca="1">+WORLDCUP!BD63</f>
        <v>Japón</v>
      </c>
      <c r="G302" s="11" t="str">
        <f ca="1">+WORLDCUP!BD58</f>
        <v>República Checa</v>
      </c>
      <c r="H302" s="11" t="str">
        <f ca="1">+WORLDCUP!BD65</f>
        <v>España</v>
      </c>
      <c r="I302" s="11" t="str">
        <f ca="1">+WORLDCUP!BD69</f>
        <v>Panamá</v>
      </c>
      <c r="J302" s="11" t="str">
        <f ca="1">+WORLDCUP!BD68</f>
        <v>RD Congo</v>
      </c>
      <c r="N302" s="11" t="s">
        <v>944</v>
      </c>
      <c r="O302" s="11">
        <v>301</v>
      </c>
      <c r="P302" s="11" t="s">
        <v>93</v>
      </c>
      <c r="Q302" s="11" t="s">
        <v>440</v>
      </c>
      <c r="R302" s="11" t="s">
        <v>90</v>
      </c>
      <c r="S302" s="11" t="s">
        <v>94</v>
      </c>
      <c r="T302" s="11" t="s">
        <v>89</v>
      </c>
      <c r="U302" s="11" t="s">
        <v>436</v>
      </c>
      <c r="V302" s="11" t="s">
        <v>443</v>
      </c>
      <c r="W302" s="11" t="s">
        <v>442</v>
      </c>
    </row>
    <row r="303" spans="1:23">
      <c r="A303" s="11" t="s">
        <v>943</v>
      </c>
      <c r="B303" s="11">
        <f ca="1">+IF(A303=WORLDCUP!$BI$112,1,0)</f>
        <v>0</v>
      </c>
      <c r="C303" s="11" t="str">
        <f ca="1">+WORLDCUP!BD62</f>
        <v>Ecuador</v>
      </c>
      <c r="D303" s="11" t="str">
        <f ca="1">+WORLDCUP!BD67</f>
        <v>Jordania</v>
      </c>
      <c r="E303" s="11" t="str">
        <f ca="1">+WORLDCUP!BD59</f>
        <v>Bosnia y Herzegovina</v>
      </c>
      <c r="F303" s="11" t="str">
        <f ca="1">+WORLDCUP!BD63</f>
        <v>Japón</v>
      </c>
      <c r="G303" s="11" t="str">
        <f ca="1">+WORLDCUP!BD58</f>
        <v>República Checa</v>
      </c>
      <c r="H303" s="11" t="str">
        <f ca="1">+WORLDCUP!BD65</f>
        <v>España</v>
      </c>
      <c r="I303" s="11" t="str">
        <f ca="1">+WORLDCUP!BD69</f>
        <v>Panamá</v>
      </c>
      <c r="J303" s="11" t="str">
        <f ca="1">+WORLDCUP!BD66</f>
        <v>Senegal</v>
      </c>
      <c r="N303" s="11" t="s">
        <v>943</v>
      </c>
      <c r="O303" s="11">
        <v>302</v>
      </c>
      <c r="P303" s="11" t="s">
        <v>93</v>
      </c>
      <c r="Q303" s="11" t="s">
        <v>441</v>
      </c>
      <c r="R303" s="11" t="s">
        <v>90</v>
      </c>
      <c r="S303" s="11" t="s">
        <v>94</v>
      </c>
      <c r="T303" s="11" t="s">
        <v>89</v>
      </c>
      <c r="U303" s="11" t="s">
        <v>436</v>
      </c>
      <c r="V303" s="11" t="s">
        <v>443</v>
      </c>
      <c r="W303" s="11" t="s">
        <v>440</v>
      </c>
    </row>
    <row r="304" spans="1:23">
      <c r="A304" s="11" t="s">
        <v>942</v>
      </c>
      <c r="B304" s="11">
        <f ca="1">+IF(A304=WORLDCUP!$BI$112,1,0)</f>
        <v>0</v>
      </c>
      <c r="C304" s="11" t="str">
        <f ca="1">+WORLDCUP!BD62</f>
        <v>Ecuador</v>
      </c>
      <c r="D304" s="11" t="str">
        <f ca="1">+WORLDCUP!BD67</f>
        <v>Jordania</v>
      </c>
      <c r="E304" s="11" t="str">
        <f ca="1">+WORLDCUP!BD59</f>
        <v>Bosnia y Herzegovina</v>
      </c>
      <c r="F304" s="11" t="str">
        <f ca="1">+WORLDCUP!BD63</f>
        <v>Japón</v>
      </c>
      <c r="G304" s="11" t="str">
        <f ca="1">+WORLDCUP!BD58</f>
        <v>República Checa</v>
      </c>
      <c r="H304" s="11" t="str">
        <f ca="1">+WORLDCUP!BD65</f>
        <v>España</v>
      </c>
      <c r="I304" s="11" t="str">
        <f ca="1">+WORLDCUP!BD66</f>
        <v>Senegal</v>
      </c>
      <c r="J304" s="11" t="str">
        <f ca="1">+WORLDCUP!BD68</f>
        <v>RD Congo</v>
      </c>
      <c r="N304" s="11" t="s">
        <v>942</v>
      </c>
      <c r="O304" s="11">
        <v>303</v>
      </c>
      <c r="P304" s="11" t="s">
        <v>93</v>
      </c>
      <c r="Q304" s="11" t="s">
        <v>441</v>
      </c>
      <c r="R304" s="11" t="s">
        <v>90</v>
      </c>
      <c r="S304" s="11" t="s">
        <v>94</v>
      </c>
      <c r="T304" s="11" t="s">
        <v>89</v>
      </c>
      <c r="U304" s="11" t="s">
        <v>436</v>
      </c>
      <c r="V304" s="11" t="s">
        <v>440</v>
      </c>
      <c r="W304" s="11" t="s">
        <v>442</v>
      </c>
    </row>
    <row r="305" spans="1:23">
      <c r="A305" s="11" t="s">
        <v>941</v>
      </c>
      <c r="B305" s="11">
        <f ca="1">+IF(A305=WORLDCUP!$BI$112,1,0)</f>
        <v>0</v>
      </c>
      <c r="C305" s="11" t="str">
        <f ca="1">+WORLDCUP!BD62</f>
        <v>Ecuador</v>
      </c>
      <c r="D305" s="11" t="str">
        <f ca="1">+WORLDCUP!BD67</f>
        <v>Jordania</v>
      </c>
      <c r="E305" s="11" t="str">
        <f ca="1">+WORLDCUP!BD59</f>
        <v>Bosnia y Herzegovina</v>
      </c>
      <c r="F305" s="11" t="str">
        <f ca="1">+WORLDCUP!BD63</f>
        <v>Japón</v>
      </c>
      <c r="G305" s="11" t="str">
        <f ca="1">+WORLDCUP!BD58</f>
        <v>República Checa</v>
      </c>
      <c r="H305" s="11" t="str">
        <f ca="1">+WORLDCUP!BD64</f>
        <v>Bélgica</v>
      </c>
      <c r="I305" s="11" t="str">
        <f ca="1">+WORLDCUP!BD69</f>
        <v>Panamá</v>
      </c>
      <c r="J305" s="11" t="str">
        <f ca="1">+WORLDCUP!BD68</f>
        <v>RD Congo</v>
      </c>
      <c r="N305" s="11" t="s">
        <v>941</v>
      </c>
      <c r="O305" s="11">
        <v>304</v>
      </c>
      <c r="P305" s="11" t="s">
        <v>93</v>
      </c>
      <c r="Q305" s="11" t="s">
        <v>441</v>
      </c>
      <c r="R305" s="11" t="s">
        <v>90</v>
      </c>
      <c r="S305" s="11" t="s">
        <v>94</v>
      </c>
      <c r="T305" s="11" t="s">
        <v>89</v>
      </c>
      <c r="U305" s="11" t="s">
        <v>435</v>
      </c>
      <c r="V305" s="11" t="s">
        <v>443</v>
      </c>
      <c r="W305" s="11" t="s">
        <v>442</v>
      </c>
    </row>
    <row r="306" spans="1:23">
      <c r="A306" s="11" t="s">
        <v>940</v>
      </c>
      <c r="B306" s="11">
        <f ca="1">+IF(A306=WORLDCUP!$BI$112,1,0)</f>
        <v>0</v>
      </c>
      <c r="C306" s="11" t="str">
        <f ca="1">+WORLDCUP!BD62</f>
        <v>Ecuador</v>
      </c>
      <c r="D306" s="11" t="str">
        <f ca="1">+WORLDCUP!BD64</f>
        <v>Bélgica</v>
      </c>
      <c r="E306" s="11" t="str">
        <f ca="1">+WORLDCUP!BD59</f>
        <v>Bosnia y Herzegovina</v>
      </c>
      <c r="F306" s="11" t="str">
        <f ca="1">+WORLDCUP!BD58</f>
        <v>República Checa</v>
      </c>
      <c r="G306" s="11" t="str">
        <f ca="1">+WORLDCUP!BD66</f>
        <v>Senegal</v>
      </c>
      <c r="H306" s="11" t="str">
        <f ca="1">+WORLDCUP!BD63</f>
        <v>Japón</v>
      </c>
      <c r="I306" s="11" t="str">
        <f ca="1">+WORLDCUP!BD69</f>
        <v>Panamá</v>
      </c>
      <c r="J306" s="11" t="str">
        <f ca="1">+WORLDCUP!BD68</f>
        <v>RD Congo</v>
      </c>
      <c r="N306" s="11" t="s">
        <v>940</v>
      </c>
      <c r="O306" s="11">
        <v>305</v>
      </c>
      <c r="P306" s="11" t="s">
        <v>93</v>
      </c>
      <c r="Q306" s="11" t="s">
        <v>435</v>
      </c>
      <c r="R306" s="11" t="s">
        <v>90</v>
      </c>
      <c r="S306" s="11" t="s">
        <v>89</v>
      </c>
      <c r="T306" s="11" t="s">
        <v>440</v>
      </c>
      <c r="U306" s="11" t="s">
        <v>94</v>
      </c>
      <c r="V306" s="11" t="s">
        <v>443</v>
      </c>
      <c r="W306" s="11" t="s">
        <v>442</v>
      </c>
    </row>
    <row r="307" spans="1:23">
      <c r="A307" s="11" t="s">
        <v>939</v>
      </c>
      <c r="B307" s="11">
        <f ca="1">+IF(A307=WORLDCUP!$BI$112,1,0)</f>
        <v>0</v>
      </c>
      <c r="C307" s="11" t="str">
        <f ca="1">+WORLDCUP!BD62</f>
        <v>Ecuador</v>
      </c>
      <c r="D307" s="11" t="str">
        <f ca="1">+WORLDCUP!BD67</f>
        <v>Jordania</v>
      </c>
      <c r="E307" s="11" t="str">
        <f ca="1">+WORLDCUP!BD59</f>
        <v>Bosnia y Herzegovina</v>
      </c>
      <c r="F307" s="11" t="str">
        <f ca="1">+WORLDCUP!BD63</f>
        <v>Japón</v>
      </c>
      <c r="G307" s="11" t="str">
        <f ca="1">+WORLDCUP!BD58</f>
        <v>República Checa</v>
      </c>
      <c r="H307" s="11" t="str">
        <f ca="1">+WORLDCUP!BD64</f>
        <v>Bélgica</v>
      </c>
      <c r="I307" s="11" t="str">
        <f ca="1">+WORLDCUP!BD69</f>
        <v>Panamá</v>
      </c>
      <c r="J307" s="11" t="str">
        <f ca="1">+WORLDCUP!BD66</f>
        <v>Senegal</v>
      </c>
      <c r="N307" s="11" t="s">
        <v>939</v>
      </c>
      <c r="O307" s="11">
        <v>306</v>
      </c>
      <c r="P307" s="11" t="s">
        <v>93</v>
      </c>
      <c r="Q307" s="11" t="s">
        <v>441</v>
      </c>
      <c r="R307" s="11" t="s">
        <v>90</v>
      </c>
      <c r="S307" s="11" t="s">
        <v>94</v>
      </c>
      <c r="T307" s="11" t="s">
        <v>89</v>
      </c>
      <c r="U307" s="11" t="s">
        <v>435</v>
      </c>
      <c r="V307" s="11" t="s">
        <v>443</v>
      </c>
      <c r="W307" s="11" t="s">
        <v>440</v>
      </c>
    </row>
    <row r="308" spans="1:23">
      <c r="A308" s="11" t="s">
        <v>938</v>
      </c>
      <c r="B308" s="11">
        <f ca="1">+IF(A308=WORLDCUP!$BI$112,1,0)</f>
        <v>0</v>
      </c>
      <c r="C308" s="11" t="str">
        <f ca="1">+WORLDCUP!BD62</f>
        <v>Ecuador</v>
      </c>
      <c r="D308" s="11" t="str">
        <f ca="1">+WORLDCUP!BD67</f>
        <v>Jordania</v>
      </c>
      <c r="E308" s="11" t="str">
        <f ca="1">+WORLDCUP!BD59</f>
        <v>Bosnia y Herzegovina</v>
      </c>
      <c r="F308" s="11" t="str">
        <f ca="1">+WORLDCUP!BD63</f>
        <v>Japón</v>
      </c>
      <c r="G308" s="11" t="str">
        <f ca="1">+WORLDCUP!BD58</f>
        <v>República Checa</v>
      </c>
      <c r="H308" s="11" t="str">
        <f ca="1">+WORLDCUP!BD64</f>
        <v>Bélgica</v>
      </c>
      <c r="I308" s="11" t="str">
        <f ca="1">+WORLDCUP!BD66</f>
        <v>Senegal</v>
      </c>
      <c r="J308" s="11" t="str">
        <f ca="1">+WORLDCUP!BD68</f>
        <v>RD Congo</v>
      </c>
      <c r="N308" s="11" t="s">
        <v>938</v>
      </c>
      <c r="O308" s="11">
        <v>307</v>
      </c>
      <c r="P308" s="11" t="s">
        <v>93</v>
      </c>
      <c r="Q308" s="11" t="s">
        <v>441</v>
      </c>
      <c r="R308" s="11" t="s">
        <v>90</v>
      </c>
      <c r="S308" s="11" t="s">
        <v>94</v>
      </c>
      <c r="T308" s="11" t="s">
        <v>89</v>
      </c>
      <c r="U308" s="11" t="s">
        <v>435</v>
      </c>
      <c r="V308" s="11" t="s">
        <v>440</v>
      </c>
      <c r="W308" s="11" t="s">
        <v>442</v>
      </c>
    </row>
    <row r="309" spans="1:23">
      <c r="A309" s="11" t="s">
        <v>937</v>
      </c>
      <c r="B309" s="11">
        <f ca="1">+IF(A309=WORLDCUP!$BI$112,1,0)</f>
        <v>0</v>
      </c>
      <c r="C309" s="11" t="str">
        <f ca="1">+WORLDCUP!BD62</f>
        <v>Ecuador</v>
      </c>
      <c r="D309" s="11" t="str">
        <f ca="1">+WORLDCUP!BD64</f>
        <v>Bélgica</v>
      </c>
      <c r="E309" s="11" t="str">
        <f ca="1">+WORLDCUP!BD59</f>
        <v>Bosnia y Herzegovina</v>
      </c>
      <c r="F309" s="11" t="str">
        <f ca="1">+WORLDCUP!BD63</f>
        <v>Japón</v>
      </c>
      <c r="G309" s="11" t="str">
        <f ca="1">+WORLDCUP!BD58</f>
        <v>República Checa</v>
      </c>
      <c r="H309" s="11" t="str">
        <f ca="1">+WORLDCUP!BD65</f>
        <v>España</v>
      </c>
      <c r="I309" s="11" t="str">
        <f ca="1">+WORLDCUP!BD69</f>
        <v>Panamá</v>
      </c>
      <c r="J309" s="11" t="str">
        <f ca="1">+WORLDCUP!BD68</f>
        <v>RD Congo</v>
      </c>
      <c r="N309" s="11" t="s">
        <v>937</v>
      </c>
      <c r="O309" s="11">
        <v>308</v>
      </c>
      <c r="P309" s="11" t="s">
        <v>93</v>
      </c>
      <c r="Q309" s="11" t="s">
        <v>435</v>
      </c>
      <c r="R309" s="11" t="s">
        <v>90</v>
      </c>
      <c r="S309" s="11" t="s">
        <v>94</v>
      </c>
      <c r="T309" s="11" t="s">
        <v>89</v>
      </c>
      <c r="U309" s="11" t="s">
        <v>436</v>
      </c>
      <c r="V309" s="11" t="s">
        <v>443</v>
      </c>
      <c r="W309" s="11" t="s">
        <v>442</v>
      </c>
    </row>
    <row r="310" spans="1:23">
      <c r="A310" s="11" t="s">
        <v>936</v>
      </c>
      <c r="B310" s="11">
        <f ca="1">+IF(A310=WORLDCUP!$BI$112,1,0)</f>
        <v>0</v>
      </c>
      <c r="C310" s="11" t="str">
        <f ca="1">+WORLDCUP!BD65</f>
        <v>España</v>
      </c>
      <c r="D310" s="11" t="str">
        <f ca="1">+WORLDCUP!BD67</f>
        <v>Jordania</v>
      </c>
      <c r="E310" s="11" t="str">
        <f ca="1">+WORLDCUP!BD59</f>
        <v>Bosnia y Herzegovina</v>
      </c>
      <c r="F310" s="11" t="str">
        <f ca="1">+WORLDCUP!BD63</f>
        <v>Japón</v>
      </c>
      <c r="G310" s="11" t="str">
        <f ca="1">+WORLDCUP!BD58</f>
        <v>República Checa</v>
      </c>
      <c r="H310" s="11" t="str">
        <f ca="1">+WORLDCUP!BD64</f>
        <v>Bélgica</v>
      </c>
      <c r="I310" s="11" t="str">
        <f ca="1">+WORLDCUP!BD69</f>
        <v>Panamá</v>
      </c>
      <c r="J310" s="11" t="str">
        <f ca="1">+WORLDCUP!BD62</f>
        <v>Ecuador</v>
      </c>
      <c r="N310" s="11" t="s">
        <v>936</v>
      </c>
      <c r="O310" s="11">
        <v>309</v>
      </c>
      <c r="P310" s="11" t="s">
        <v>436</v>
      </c>
      <c r="Q310" s="11" t="s">
        <v>441</v>
      </c>
      <c r="R310" s="11" t="s">
        <v>90</v>
      </c>
      <c r="S310" s="11" t="s">
        <v>94</v>
      </c>
      <c r="T310" s="11" t="s">
        <v>89</v>
      </c>
      <c r="U310" s="11" t="s">
        <v>435</v>
      </c>
      <c r="V310" s="11" t="s">
        <v>443</v>
      </c>
      <c r="W310" s="11" t="s">
        <v>93</v>
      </c>
    </row>
    <row r="311" spans="1:23">
      <c r="A311" s="11" t="s">
        <v>935</v>
      </c>
      <c r="B311" s="11">
        <f ca="1">+IF(A311=WORLDCUP!$BI$112,1,0)</f>
        <v>0</v>
      </c>
      <c r="C311" s="11" t="str">
        <f ca="1">+WORLDCUP!BD65</f>
        <v>España</v>
      </c>
      <c r="D311" s="11" t="str">
        <f ca="1">+WORLDCUP!BD67</f>
        <v>Jordania</v>
      </c>
      <c r="E311" s="11" t="str">
        <f ca="1">+WORLDCUP!BD59</f>
        <v>Bosnia y Herzegovina</v>
      </c>
      <c r="F311" s="11" t="str">
        <f ca="1">+WORLDCUP!BD63</f>
        <v>Japón</v>
      </c>
      <c r="G311" s="11" t="str">
        <f ca="1">+WORLDCUP!BD58</f>
        <v>República Checa</v>
      </c>
      <c r="H311" s="11" t="str">
        <f ca="1">+WORLDCUP!BD64</f>
        <v>Bélgica</v>
      </c>
      <c r="I311" s="11" t="str">
        <f ca="1">+WORLDCUP!BD62</f>
        <v>Ecuador</v>
      </c>
      <c r="J311" s="11" t="str">
        <f ca="1">+WORLDCUP!BD68</f>
        <v>RD Congo</v>
      </c>
      <c r="N311" s="11" t="s">
        <v>935</v>
      </c>
      <c r="O311" s="11">
        <v>310</v>
      </c>
      <c r="P311" s="11" t="s">
        <v>436</v>
      </c>
      <c r="Q311" s="11" t="s">
        <v>441</v>
      </c>
      <c r="R311" s="11" t="s">
        <v>90</v>
      </c>
      <c r="S311" s="11" t="s">
        <v>94</v>
      </c>
      <c r="T311" s="11" t="s">
        <v>89</v>
      </c>
      <c r="U311" s="11" t="s">
        <v>435</v>
      </c>
      <c r="V311" s="11" t="s">
        <v>93</v>
      </c>
      <c r="W311" s="11" t="s">
        <v>442</v>
      </c>
    </row>
    <row r="312" spans="1:23">
      <c r="A312" s="11" t="s">
        <v>934</v>
      </c>
      <c r="B312" s="11">
        <f ca="1">+IF(A312=WORLDCUP!$BI$112,1,0)</f>
        <v>0</v>
      </c>
      <c r="C312" s="11" t="str">
        <f ca="1">+WORLDCUP!BD62</f>
        <v>Ecuador</v>
      </c>
      <c r="D312" s="11" t="str">
        <f ca="1">+WORLDCUP!BD64</f>
        <v>Bélgica</v>
      </c>
      <c r="E312" s="11" t="str">
        <f ca="1">+WORLDCUP!BD59</f>
        <v>Bosnia y Herzegovina</v>
      </c>
      <c r="F312" s="11" t="str">
        <f ca="1">+WORLDCUP!BD63</f>
        <v>Japón</v>
      </c>
      <c r="G312" s="11" t="str">
        <f ca="1">+WORLDCUP!BD58</f>
        <v>República Checa</v>
      </c>
      <c r="H312" s="11" t="str">
        <f ca="1">+WORLDCUP!BD65</f>
        <v>España</v>
      </c>
      <c r="I312" s="11" t="str">
        <f ca="1">+WORLDCUP!BD69</f>
        <v>Panamá</v>
      </c>
      <c r="J312" s="11" t="str">
        <f ca="1">+WORLDCUP!BD66</f>
        <v>Senegal</v>
      </c>
      <c r="N312" s="11" t="s">
        <v>934</v>
      </c>
      <c r="O312" s="11">
        <v>311</v>
      </c>
      <c r="P312" s="11" t="s">
        <v>93</v>
      </c>
      <c r="Q312" s="11" t="s">
        <v>435</v>
      </c>
      <c r="R312" s="11" t="s">
        <v>90</v>
      </c>
      <c r="S312" s="11" t="s">
        <v>94</v>
      </c>
      <c r="T312" s="11" t="s">
        <v>89</v>
      </c>
      <c r="U312" s="11" t="s">
        <v>436</v>
      </c>
      <c r="V312" s="11" t="s">
        <v>443</v>
      </c>
      <c r="W312" s="11" t="s">
        <v>440</v>
      </c>
    </row>
    <row r="313" spans="1:23">
      <c r="A313" s="11" t="s">
        <v>933</v>
      </c>
      <c r="B313" s="11">
        <f ca="1">+IF(A313=WORLDCUP!$BI$112,1,0)</f>
        <v>0</v>
      </c>
      <c r="C313" s="11" t="str">
        <f ca="1">+WORLDCUP!BD62</f>
        <v>Ecuador</v>
      </c>
      <c r="D313" s="11" t="str">
        <f ca="1">+WORLDCUP!BD64</f>
        <v>Bélgica</v>
      </c>
      <c r="E313" s="11" t="str">
        <f ca="1">+WORLDCUP!BD59</f>
        <v>Bosnia y Herzegovina</v>
      </c>
      <c r="F313" s="11" t="str">
        <f ca="1">+WORLDCUP!BD63</f>
        <v>Japón</v>
      </c>
      <c r="G313" s="11" t="str">
        <f ca="1">+WORLDCUP!BD58</f>
        <v>República Checa</v>
      </c>
      <c r="H313" s="11" t="str">
        <f ca="1">+WORLDCUP!BD65</f>
        <v>España</v>
      </c>
      <c r="I313" s="11" t="str">
        <f ca="1">+WORLDCUP!BD66</f>
        <v>Senegal</v>
      </c>
      <c r="J313" s="11" t="str">
        <f ca="1">+WORLDCUP!BD68</f>
        <v>RD Congo</v>
      </c>
      <c r="N313" s="11" t="s">
        <v>933</v>
      </c>
      <c r="O313" s="11">
        <v>312</v>
      </c>
      <c r="P313" s="11" t="s">
        <v>93</v>
      </c>
      <c r="Q313" s="11" t="s">
        <v>435</v>
      </c>
      <c r="R313" s="11" t="s">
        <v>90</v>
      </c>
      <c r="S313" s="11" t="s">
        <v>94</v>
      </c>
      <c r="T313" s="11" t="s">
        <v>89</v>
      </c>
      <c r="U313" s="11" t="s">
        <v>436</v>
      </c>
      <c r="V313" s="11" t="s">
        <v>440</v>
      </c>
      <c r="W313" s="11" t="s">
        <v>442</v>
      </c>
    </row>
    <row r="314" spans="1:23">
      <c r="A314" s="11" t="s">
        <v>932</v>
      </c>
      <c r="B314" s="11">
        <f ca="1">+IF(A314=WORLDCUP!$BI$112,1,0)</f>
        <v>0</v>
      </c>
      <c r="C314" s="11" t="str">
        <f ca="1">+WORLDCUP!BD65</f>
        <v>España</v>
      </c>
      <c r="D314" s="11" t="str">
        <f ca="1">+WORLDCUP!BD67</f>
        <v>Jordania</v>
      </c>
      <c r="E314" s="11" t="str">
        <f ca="1">+WORLDCUP!BD59</f>
        <v>Bosnia y Herzegovina</v>
      </c>
      <c r="F314" s="11" t="str">
        <f ca="1">+WORLDCUP!BD63</f>
        <v>Japón</v>
      </c>
      <c r="G314" s="11" t="str">
        <f ca="1">+WORLDCUP!BD58</f>
        <v>República Checa</v>
      </c>
      <c r="H314" s="11" t="str">
        <f ca="1">+WORLDCUP!BD64</f>
        <v>Bélgica</v>
      </c>
      <c r="I314" s="11" t="str">
        <f ca="1">+WORLDCUP!BD62</f>
        <v>Ecuador</v>
      </c>
      <c r="J314" s="11" t="str">
        <f ca="1">+WORLDCUP!BD66</f>
        <v>Senegal</v>
      </c>
      <c r="N314" s="11" t="s">
        <v>932</v>
      </c>
      <c r="O314" s="11">
        <v>313</v>
      </c>
      <c r="P314" s="11" t="s">
        <v>436</v>
      </c>
      <c r="Q314" s="11" t="s">
        <v>441</v>
      </c>
      <c r="R314" s="11" t="s">
        <v>90</v>
      </c>
      <c r="S314" s="11" t="s">
        <v>94</v>
      </c>
      <c r="T314" s="11" t="s">
        <v>89</v>
      </c>
      <c r="U314" s="11" t="s">
        <v>435</v>
      </c>
      <c r="V314" s="11" t="s">
        <v>93</v>
      </c>
      <c r="W314" s="11" t="s">
        <v>440</v>
      </c>
    </row>
    <row r="315" spans="1:23">
      <c r="A315" s="11" t="s">
        <v>931</v>
      </c>
      <c r="B315" s="11">
        <f ca="1">+IF(A315=WORLDCUP!$BI$112,1,0)</f>
        <v>0</v>
      </c>
      <c r="C315" s="11" t="str">
        <f ca="1">+WORLDCUP!BD66</f>
        <v>Senegal</v>
      </c>
      <c r="D315" s="11" t="str">
        <f ca="1">+WORLDCUP!BD67</f>
        <v>Jordania</v>
      </c>
      <c r="E315" s="11" t="str">
        <f ca="1">+WORLDCUP!BD59</f>
        <v>Bosnia y Herzegovina</v>
      </c>
      <c r="F315" s="11" t="str">
        <f ca="1">+WORLDCUP!BD61</f>
        <v>Paraguay</v>
      </c>
      <c r="G315" s="11" t="str">
        <f ca="1">+WORLDCUP!BD58</f>
        <v>República Checa</v>
      </c>
      <c r="H315" s="11" t="str">
        <f ca="1">+WORLDCUP!BD65</f>
        <v>España</v>
      </c>
      <c r="I315" s="11" t="str">
        <f ca="1">+WORLDCUP!BD69</f>
        <v>Panamá</v>
      </c>
      <c r="J315" s="11" t="str">
        <f ca="1">+WORLDCUP!BD68</f>
        <v>RD Congo</v>
      </c>
      <c r="N315" s="11" t="s">
        <v>931</v>
      </c>
      <c r="O315" s="11">
        <v>314</v>
      </c>
      <c r="P315" s="11" t="s">
        <v>440</v>
      </c>
      <c r="Q315" s="11" t="s">
        <v>441</v>
      </c>
      <c r="R315" s="11" t="s">
        <v>90</v>
      </c>
      <c r="S315" s="11" t="s">
        <v>92</v>
      </c>
      <c r="T315" s="11" t="s">
        <v>89</v>
      </c>
      <c r="U315" s="11" t="s">
        <v>436</v>
      </c>
      <c r="V315" s="11" t="s">
        <v>443</v>
      </c>
      <c r="W315" s="11" t="s">
        <v>442</v>
      </c>
    </row>
    <row r="316" spans="1:23">
      <c r="A316" s="11" t="s">
        <v>930</v>
      </c>
      <c r="B316" s="11">
        <f ca="1">+IF(A316=WORLDCUP!$BI$112,1,0)</f>
        <v>0</v>
      </c>
      <c r="C316" s="11" t="str">
        <f ca="1">+WORLDCUP!BD66</f>
        <v>Senegal</v>
      </c>
      <c r="D316" s="11" t="str">
        <f ca="1">+WORLDCUP!BD67</f>
        <v>Jordania</v>
      </c>
      <c r="E316" s="11" t="str">
        <f ca="1">+WORLDCUP!BD59</f>
        <v>Bosnia y Herzegovina</v>
      </c>
      <c r="F316" s="11" t="str">
        <f ca="1">+WORLDCUP!BD61</f>
        <v>Paraguay</v>
      </c>
      <c r="G316" s="11" t="str">
        <f ca="1">+WORLDCUP!BD58</f>
        <v>República Checa</v>
      </c>
      <c r="H316" s="11" t="str">
        <f ca="1">+WORLDCUP!BD64</f>
        <v>Bélgica</v>
      </c>
      <c r="I316" s="11" t="str">
        <f ca="1">+WORLDCUP!BD69</f>
        <v>Panamá</v>
      </c>
      <c r="J316" s="11" t="str">
        <f ca="1">+WORLDCUP!BD68</f>
        <v>RD Congo</v>
      </c>
      <c r="N316" s="11" t="s">
        <v>930</v>
      </c>
      <c r="O316" s="11">
        <v>315</v>
      </c>
      <c r="P316" s="11" t="s">
        <v>440</v>
      </c>
      <c r="Q316" s="11" t="s">
        <v>441</v>
      </c>
      <c r="R316" s="11" t="s">
        <v>90</v>
      </c>
      <c r="S316" s="11" t="s">
        <v>92</v>
      </c>
      <c r="T316" s="11" t="s">
        <v>89</v>
      </c>
      <c r="U316" s="11" t="s">
        <v>435</v>
      </c>
      <c r="V316" s="11" t="s">
        <v>443</v>
      </c>
      <c r="W316" s="11" t="s">
        <v>442</v>
      </c>
    </row>
    <row r="317" spans="1:23">
      <c r="A317" s="11" t="s">
        <v>929</v>
      </c>
      <c r="B317" s="11">
        <f ca="1">+IF(A317=WORLDCUP!$BI$112,1,0)</f>
        <v>0</v>
      </c>
      <c r="C317" s="11" t="str">
        <f ca="1">+WORLDCUP!BD65</f>
        <v>España</v>
      </c>
      <c r="D317" s="11" t="str">
        <f ca="1">+WORLDCUP!BD67</f>
        <v>Jordania</v>
      </c>
      <c r="E317" s="11" t="str">
        <f ca="1">+WORLDCUP!BD59</f>
        <v>Bosnia y Herzegovina</v>
      </c>
      <c r="F317" s="11" t="str">
        <f ca="1">+WORLDCUP!BD61</f>
        <v>Paraguay</v>
      </c>
      <c r="G317" s="11" t="str">
        <f ca="1">+WORLDCUP!BD58</f>
        <v>República Checa</v>
      </c>
      <c r="H317" s="11" t="str">
        <f ca="1">+WORLDCUP!BD64</f>
        <v>Bélgica</v>
      </c>
      <c r="I317" s="11" t="str">
        <f ca="1">+WORLDCUP!BD69</f>
        <v>Panamá</v>
      </c>
      <c r="J317" s="11" t="str">
        <f ca="1">+WORLDCUP!BD68</f>
        <v>RD Congo</v>
      </c>
      <c r="N317" s="11" t="s">
        <v>929</v>
      </c>
      <c r="O317" s="11">
        <v>316</v>
      </c>
      <c r="P317" s="11" t="s">
        <v>436</v>
      </c>
      <c r="Q317" s="11" t="s">
        <v>441</v>
      </c>
      <c r="R317" s="11" t="s">
        <v>90</v>
      </c>
      <c r="S317" s="11" t="s">
        <v>92</v>
      </c>
      <c r="T317" s="11" t="s">
        <v>89</v>
      </c>
      <c r="U317" s="11" t="s">
        <v>435</v>
      </c>
      <c r="V317" s="11" t="s">
        <v>443</v>
      </c>
      <c r="W317" s="11" t="s">
        <v>442</v>
      </c>
    </row>
    <row r="318" spans="1:23">
      <c r="A318" s="11" t="s">
        <v>928</v>
      </c>
      <c r="B318" s="11">
        <f ca="1">+IF(A318=WORLDCUP!$BI$112,1,0)</f>
        <v>0</v>
      </c>
      <c r="C318" s="11" t="str">
        <f ca="1">+WORLDCUP!BD66</f>
        <v>Senegal</v>
      </c>
      <c r="D318" s="11" t="str">
        <f ca="1">+WORLDCUP!BD64</f>
        <v>Bélgica</v>
      </c>
      <c r="E318" s="11" t="str">
        <f ca="1">+WORLDCUP!BD59</f>
        <v>Bosnia y Herzegovina</v>
      </c>
      <c r="F318" s="11" t="str">
        <f ca="1">+WORLDCUP!BD61</f>
        <v>Paraguay</v>
      </c>
      <c r="G318" s="11" t="str">
        <f ca="1">+WORLDCUP!BD58</f>
        <v>República Checa</v>
      </c>
      <c r="H318" s="11" t="str">
        <f ca="1">+WORLDCUP!BD65</f>
        <v>España</v>
      </c>
      <c r="I318" s="11" t="str">
        <f ca="1">+WORLDCUP!BD69</f>
        <v>Panamá</v>
      </c>
      <c r="J318" s="11" t="str">
        <f ca="1">+WORLDCUP!BD68</f>
        <v>RD Congo</v>
      </c>
      <c r="N318" s="11" t="s">
        <v>928</v>
      </c>
      <c r="O318" s="11">
        <v>317</v>
      </c>
      <c r="P318" s="11" t="s">
        <v>440</v>
      </c>
      <c r="Q318" s="11" t="s">
        <v>435</v>
      </c>
      <c r="R318" s="11" t="s">
        <v>90</v>
      </c>
      <c r="S318" s="11" t="s">
        <v>92</v>
      </c>
      <c r="T318" s="11" t="s">
        <v>89</v>
      </c>
      <c r="U318" s="11" t="s">
        <v>436</v>
      </c>
      <c r="V318" s="11" t="s">
        <v>443</v>
      </c>
      <c r="W318" s="11" t="s">
        <v>442</v>
      </c>
    </row>
    <row r="319" spans="1:23">
      <c r="A319" s="11" t="s">
        <v>927</v>
      </c>
      <c r="B319" s="11">
        <f ca="1">+IF(A319=WORLDCUP!$BI$112,1,0)</f>
        <v>0</v>
      </c>
      <c r="C319" s="11" t="str">
        <f ca="1">+WORLDCUP!BD65</f>
        <v>España</v>
      </c>
      <c r="D319" s="11" t="str">
        <f ca="1">+WORLDCUP!BD67</f>
        <v>Jordania</v>
      </c>
      <c r="E319" s="11" t="str">
        <f ca="1">+WORLDCUP!BD59</f>
        <v>Bosnia y Herzegovina</v>
      </c>
      <c r="F319" s="11" t="str">
        <f ca="1">+WORLDCUP!BD61</f>
        <v>Paraguay</v>
      </c>
      <c r="G319" s="11" t="str">
        <f ca="1">+WORLDCUP!BD58</f>
        <v>República Checa</v>
      </c>
      <c r="H319" s="11" t="str">
        <f ca="1">+WORLDCUP!BD64</f>
        <v>Bélgica</v>
      </c>
      <c r="I319" s="11" t="str">
        <f ca="1">+WORLDCUP!BD69</f>
        <v>Panamá</v>
      </c>
      <c r="J319" s="11" t="str">
        <f ca="1">+WORLDCUP!BD66</f>
        <v>Senegal</v>
      </c>
      <c r="N319" s="11" t="s">
        <v>927</v>
      </c>
      <c r="O319" s="11">
        <v>318</v>
      </c>
      <c r="P319" s="11" t="s">
        <v>436</v>
      </c>
      <c r="Q319" s="11" t="s">
        <v>441</v>
      </c>
      <c r="R319" s="11" t="s">
        <v>90</v>
      </c>
      <c r="S319" s="11" t="s">
        <v>92</v>
      </c>
      <c r="T319" s="11" t="s">
        <v>89</v>
      </c>
      <c r="U319" s="11" t="s">
        <v>435</v>
      </c>
      <c r="V319" s="11" t="s">
        <v>443</v>
      </c>
      <c r="W319" s="11" t="s">
        <v>440</v>
      </c>
    </row>
    <row r="320" spans="1:23">
      <c r="A320" s="11" t="s">
        <v>926</v>
      </c>
      <c r="B320" s="11">
        <f ca="1">+IF(A320=WORLDCUP!$BI$112,1,0)</f>
        <v>0</v>
      </c>
      <c r="C320" s="11" t="str">
        <f ca="1">+WORLDCUP!BD65</f>
        <v>España</v>
      </c>
      <c r="D320" s="11" t="str">
        <f ca="1">+WORLDCUP!BD67</f>
        <v>Jordania</v>
      </c>
      <c r="E320" s="11" t="str">
        <f ca="1">+WORLDCUP!BD59</f>
        <v>Bosnia y Herzegovina</v>
      </c>
      <c r="F320" s="11" t="str">
        <f ca="1">+WORLDCUP!BD61</f>
        <v>Paraguay</v>
      </c>
      <c r="G320" s="11" t="str">
        <f ca="1">+WORLDCUP!BD58</f>
        <v>República Checa</v>
      </c>
      <c r="H320" s="11" t="str">
        <f ca="1">+WORLDCUP!BD64</f>
        <v>Bélgica</v>
      </c>
      <c r="I320" s="11" t="str">
        <f ca="1">+WORLDCUP!BD66</f>
        <v>Senegal</v>
      </c>
      <c r="J320" s="11" t="str">
        <f ca="1">+WORLDCUP!BD68</f>
        <v>RD Congo</v>
      </c>
      <c r="N320" s="11" t="s">
        <v>926</v>
      </c>
      <c r="O320" s="11">
        <v>319</v>
      </c>
      <c r="P320" s="11" t="s">
        <v>436</v>
      </c>
      <c r="Q320" s="11" t="s">
        <v>441</v>
      </c>
      <c r="R320" s="11" t="s">
        <v>90</v>
      </c>
      <c r="S320" s="11" t="s">
        <v>92</v>
      </c>
      <c r="T320" s="11" t="s">
        <v>89</v>
      </c>
      <c r="U320" s="11" t="s">
        <v>435</v>
      </c>
      <c r="V320" s="11" t="s">
        <v>440</v>
      </c>
      <c r="W320" s="11" t="s">
        <v>442</v>
      </c>
    </row>
    <row r="321" spans="1:23">
      <c r="A321" s="11" t="s">
        <v>925</v>
      </c>
      <c r="B321" s="11">
        <f ca="1">+IF(A321=WORLDCUP!$BI$112,1,0)</f>
        <v>0</v>
      </c>
      <c r="C321" s="11" t="str">
        <f ca="1">+WORLDCUP!BD66</f>
        <v>Senegal</v>
      </c>
      <c r="D321" s="11" t="str">
        <f ca="1">+WORLDCUP!BD67</f>
        <v>Jordania</v>
      </c>
      <c r="E321" s="11" t="str">
        <f ca="1">+WORLDCUP!BD59</f>
        <v>Bosnia y Herzegovina</v>
      </c>
      <c r="F321" s="11" t="str">
        <f ca="1">+WORLDCUP!BD61</f>
        <v>Paraguay</v>
      </c>
      <c r="G321" s="11" t="str">
        <f ca="1">+WORLDCUP!BD58</f>
        <v>República Checa</v>
      </c>
      <c r="H321" s="11" t="str">
        <f ca="1">+WORLDCUP!BD63</f>
        <v>Japón</v>
      </c>
      <c r="I321" s="11" t="str">
        <f ca="1">+WORLDCUP!BD69</f>
        <v>Panamá</v>
      </c>
      <c r="J321" s="11" t="str">
        <f ca="1">+WORLDCUP!BD68</f>
        <v>RD Congo</v>
      </c>
      <c r="N321" s="11" t="s">
        <v>925</v>
      </c>
      <c r="O321" s="11">
        <v>320</v>
      </c>
      <c r="P321" s="11" t="s">
        <v>440</v>
      </c>
      <c r="Q321" s="11" t="s">
        <v>441</v>
      </c>
      <c r="R321" s="11" t="s">
        <v>90</v>
      </c>
      <c r="S321" s="11" t="s">
        <v>92</v>
      </c>
      <c r="T321" s="11" t="s">
        <v>89</v>
      </c>
      <c r="U321" s="11" t="s">
        <v>94</v>
      </c>
      <c r="V321" s="11" t="s">
        <v>443</v>
      </c>
      <c r="W321" s="11" t="s">
        <v>442</v>
      </c>
    </row>
    <row r="322" spans="1:23">
      <c r="A322" s="11" t="s">
        <v>924</v>
      </c>
      <c r="B322" s="11">
        <f ca="1">+IF(A322=WORLDCUP!$BI$112,1,0)</f>
        <v>0</v>
      </c>
      <c r="C322" s="11" t="str">
        <f ca="1">+WORLDCUP!BD65</f>
        <v>España</v>
      </c>
      <c r="D322" s="11" t="str">
        <f ca="1">+WORLDCUP!BD67</f>
        <v>Jordania</v>
      </c>
      <c r="E322" s="11" t="str">
        <f ca="1">+WORLDCUP!BD59</f>
        <v>Bosnia y Herzegovina</v>
      </c>
      <c r="F322" s="11" t="str">
        <f ca="1">+WORLDCUP!BD61</f>
        <v>Paraguay</v>
      </c>
      <c r="G322" s="11" t="str">
        <f ca="1">+WORLDCUP!BD58</f>
        <v>República Checa</v>
      </c>
      <c r="H322" s="11" t="str">
        <f ca="1">+WORLDCUP!BD63</f>
        <v>Japón</v>
      </c>
      <c r="I322" s="11" t="str">
        <f ca="1">+WORLDCUP!BD69</f>
        <v>Panamá</v>
      </c>
      <c r="J322" s="11" t="str">
        <f ca="1">+WORLDCUP!BD68</f>
        <v>RD Congo</v>
      </c>
      <c r="N322" s="11" t="s">
        <v>924</v>
      </c>
      <c r="O322" s="11">
        <v>321</v>
      </c>
      <c r="P322" s="11" t="s">
        <v>436</v>
      </c>
      <c r="Q322" s="11" t="s">
        <v>441</v>
      </c>
      <c r="R322" s="11" t="s">
        <v>90</v>
      </c>
      <c r="S322" s="11" t="s">
        <v>92</v>
      </c>
      <c r="T322" s="11" t="s">
        <v>89</v>
      </c>
      <c r="U322" s="11" t="s">
        <v>94</v>
      </c>
      <c r="V322" s="11" t="s">
        <v>443</v>
      </c>
      <c r="W322" s="11" t="s">
        <v>442</v>
      </c>
    </row>
    <row r="323" spans="1:23">
      <c r="A323" s="11" t="s">
        <v>923</v>
      </c>
      <c r="B323" s="11">
        <f ca="1">+IF(A323=WORLDCUP!$BI$112,1,0)</f>
        <v>0</v>
      </c>
      <c r="C323" s="11" t="str">
        <f ca="1">+WORLDCUP!BD65</f>
        <v>España</v>
      </c>
      <c r="D323" s="11" t="str">
        <f ca="1">+WORLDCUP!BD66</f>
        <v>Senegal</v>
      </c>
      <c r="E323" s="11" t="str">
        <f ca="1">+WORLDCUP!BD59</f>
        <v>Bosnia y Herzegovina</v>
      </c>
      <c r="F323" s="11" t="str">
        <f ca="1">+WORLDCUP!BD61</f>
        <v>Paraguay</v>
      </c>
      <c r="G323" s="11" t="str">
        <f ca="1">+WORLDCUP!BD58</f>
        <v>República Checa</v>
      </c>
      <c r="H323" s="11" t="str">
        <f ca="1">+WORLDCUP!BD63</f>
        <v>Japón</v>
      </c>
      <c r="I323" s="11" t="str">
        <f ca="1">+WORLDCUP!BD69</f>
        <v>Panamá</v>
      </c>
      <c r="J323" s="11" t="str">
        <f ca="1">+WORLDCUP!BD68</f>
        <v>RD Congo</v>
      </c>
      <c r="N323" s="11" t="s">
        <v>923</v>
      </c>
      <c r="O323" s="11">
        <v>322</v>
      </c>
      <c r="P323" s="11" t="s">
        <v>436</v>
      </c>
      <c r="Q323" s="11" t="s">
        <v>440</v>
      </c>
      <c r="R323" s="11" t="s">
        <v>90</v>
      </c>
      <c r="S323" s="11" t="s">
        <v>92</v>
      </c>
      <c r="T323" s="11" t="s">
        <v>89</v>
      </c>
      <c r="U323" s="11" t="s">
        <v>94</v>
      </c>
      <c r="V323" s="11" t="s">
        <v>443</v>
      </c>
      <c r="W323" s="11" t="s">
        <v>442</v>
      </c>
    </row>
    <row r="324" spans="1:23">
      <c r="A324" s="11" t="s">
        <v>922</v>
      </c>
      <c r="B324" s="11">
        <f ca="1">+IF(A324=WORLDCUP!$BI$112,1,0)</f>
        <v>0</v>
      </c>
      <c r="C324" s="11" t="str">
        <f ca="1">+WORLDCUP!BD65</f>
        <v>España</v>
      </c>
      <c r="D324" s="11" t="str">
        <f ca="1">+WORLDCUP!BD67</f>
        <v>Jordania</v>
      </c>
      <c r="E324" s="11" t="str">
        <f ca="1">+WORLDCUP!BD59</f>
        <v>Bosnia y Herzegovina</v>
      </c>
      <c r="F324" s="11" t="str">
        <f ca="1">+WORLDCUP!BD61</f>
        <v>Paraguay</v>
      </c>
      <c r="G324" s="11" t="str">
        <f ca="1">+WORLDCUP!BD58</f>
        <v>República Checa</v>
      </c>
      <c r="H324" s="11" t="str">
        <f ca="1">+WORLDCUP!BD63</f>
        <v>Japón</v>
      </c>
      <c r="I324" s="11" t="str">
        <f ca="1">+WORLDCUP!BD69</f>
        <v>Panamá</v>
      </c>
      <c r="J324" s="11" t="str">
        <f ca="1">+WORLDCUP!BD66</f>
        <v>Senegal</v>
      </c>
      <c r="N324" s="11" t="s">
        <v>922</v>
      </c>
      <c r="O324" s="11">
        <v>323</v>
      </c>
      <c r="P324" s="11" t="s">
        <v>436</v>
      </c>
      <c r="Q324" s="11" t="s">
        <v>441</v>
      </c>
      <c r="R324" s="11" t="s">
        <v>90</v>
      </c>
      <c r="S324" s="11" t="s">
        <v>92</v>
      </c>
      <c r="T324" s="11" t="s">
        <v>89</v>
      </c>
      <c r="U324" s="11" t="s">
        <v>94</v>
      </c>
      <c r="V324" s="11" t="s">
        <v>443</v>
      </c>
      <c r="W324" s="11" t="s">
        <v>440</v>
      </c>
    </row>
    <row r="325" spans="1:23">
      <c r="A325" s="11" t="s">
        <v>921</v>
      </c>
      <c r="B325" s="11">
        <f ca="1">+IF(A325=WORLDCUP!$BI$112,1,0)</f>
        <v>0</v>
      </c>
      <c r="C325" s="11" t="str">
        <f ca="1">+WORLDCUP!BD65</f>
        <v>España</v>
      </c>
      <c r="D325" s="11" t="str">
        <f ca="1">+WORLDCUP!BD67</f>
        <v>Jordania</v>
      </c>
      <c r="E325" s="11" t="str">
        <f ca="1">+WORLDCUP!BD59</f>
        <v>Bosnia y Herzegovina</v>
      </c>
      <c r="F325" s="11" t="str">
        <f ca="1">+WORLDCUP!BD61</f>
        <v>Paraguay</v>
      </c>
      <c r="G325" s="11" t="str">
        <f ca="1">+WORLDCUP!BD58</f>
        <v>República Checa</v>
      </c>
      <c r="H325" s="11" t="str">
        <f ca="1">+WORLDCUP!BD63</f>
        <v>Japón</v>
      </c>
      <c r="I325" s="11" t="str">
        <f ca="1">+WORLDCUP!BD66</f>
        <v>Senegal</v>
      </c>
      <c r="J325" s="11" t="str">
        <f ca="1">+WORLDCUP!BD68</f>
        <v>RD Congo</v>
      </c>
      <c r="N325" s="11" t="s">
        <v>921</v>
      </c>
      <c r="O325" s="11">
        <v>324</v>
      </c>
      <c r="P325" s="11" t="s">
        <v>436</v>
      </c>
      <c r="Q325" s="11" t="s">
        <v>441</v>
      </c>
      <c r="R325" s="11" t="s">
        <v>90</v>
      </c>
      <c r="S325" s="11" t="s">
        <v>92</v>
      </c>
      <c r="T325" s="11" t="s">
        <v>89</v>
      </c>
      <c r="U325" s="11" t="s">
        <v>94</v>
      </c>
      <c r="V325" s="11" t="s">
        <v>440</v>
      </c>
      <c r="W325" s="11" t="s">
        <v>442</v>
      </c>
    </row>
    <row r="326" spans="1:23">
      <c r="A326" s="11" t="s">
        <v>920</v>
      </c>
      <c r="B326" s="11">
        <f ca="1">+IF(A326=WORLDCUP!$BI$112,1,0)</f>
        <v>0</v>
      </c>
      <c r="C326" s="11" t="str">
        <f ca="1">+WORLDCUP!BD63</f>
        <v>Japón</v>
      </c>
      <c r="D326" s="11" t="str">
        <f ca="1">+WORLDCUP!BD67</f>
        <v>Jordania</v>
      </c>
      <c r="E326" s="11" t="str">
        <f ca="1">+WORLDCUP!BD59</f>
        <v>Bosnia y Herzegovina</v>
      </c>
      <c r="F326" s="11" t="str">
        <f ca="1">+WORLDCUP!BD61</f>
        <v>Paraguay</v>
      </c>
      <c r="G326" s="11" t="str">
        <f ca="1">+WORLDCUP!BD58</f>
        <v>República Checa</v>
      </c>
      <c r="H326" s="11" t="str">
        <f ca="1">+WORLDCUP!BD64</f>
        <v>Bélgica</v>
      </c>
      <c r="I326" s="11" t="str">
        <f ca="1">+WORLDCUP!BD69</f>
        <v>Panamá</v>
      </c>
      <c r="J326" s="11" t="str">
        <f ca="1">+WORLDCUP!BD68</f>
        <v>RD Congo</v>
      </c>
      <c r="N326" s="11" t="s">
        <v>920</v>
      </c>
      <c r="O326" s="11">
        <v>325</v>
      </c>
      <c r="P326" s="11" t="s">
        <v>94</v>
      </c>
      <c r="Q326" s="11" t="s">
        <v>441</v>
      </c>
      <c r="R326" s="11" t="s">
        <v>90</v>
      </c>
      <c r="S326" s="11" t="s">
        <v>92</v>
      </c>
      <c r="T326" s="11" t="s">
        <v>89</v>
      </c>
      <c r="U326" s="11" t="s">
        <v>435</v>
      </c>
      <c r="V326" s="11" t="s">
        <v>443</v>
      </c>
      <c r="W326" s="11" t="s">
        <v>442</v>
      </c>
    </row>
    <row r="327" spans="1:23">
      <c r="A327" s="11" t="s">
        <v>919</v>
      </c>
      <c r="B327" s="11">
        <f ca="1">+IF(A327=WORLDCUP!$BI$112,1,0)</f>
        <v>0</v>
      </c>
      <c r="C327" s="11" t="str">
        <f ca="1">+WORLDCUP!BD66</f>
        <v>Senegal</v>
      </c>
      <c r="D327" s="11" t="str">
        <f ca="1">+WORLDCUP!BD64</f>
        <v>Bélgica</v>
      </c>
      <c r="E327" s="11" t="str">
        <f ca="1">+WORLDCUP!BD59</f>
        <v>Bosnia y Herzegovina</v>
      </c>
      <c r="F327" s="11" t="str">
        <f ca="1">+WORLDCUP!BD61</f>
        <v>Paraguay</v>
      </c>
      <c r="G327" s="11" t="str">
        <f ca="1">+WORLDCUP!BD58</f>
        <v>República Checa</v>
      </c>
      <c r="H327" s="11" t="str">
        <f ca="1">+WORLDCUP!BD63</f>
        <v>Japón</v>
      </c>
      <c r="I327" s="11" t="str">
        <f ca="1">+WORLDCUP!BD69</f>
        <v>Panamá</v>
      </c>
      <c r="J327" s="11" t="str">
        <f ca="1">+WORLDCUP!BD68</f>
        <v>RD Congo</v>
      </c>
      <c r="N327" s="11" t="s">
        <v>919</v>
      </c>
      <c r="O327" s="11">
        <v>326</v>
      </c>
      <c r="P327" s="11" t="s">
        <v>440</v>
      </c>
      <c r="Q327" s="11" t="s">
        <v>435</v>
      </c>
      <c r="R327" s="11" t="s">
        <v>90</v>
      </c>
      <c r="S327" s="11" t="s">
        <v>92</v>
      </c>
      <c r="T327" s="11" t="s">
        <v>89</v>
      </c>
      <c r="U327" s="11" t="s">
        <v>94</v>
      </c>
      <c r="V327" s="11" t="s">
        <v>443</v>
      </c>
      <c r="W327" s="11" t="s">
        <v>442</v>
      </c>
    </row>
    <row r="328" spans="1:23">
      <c r="A328" s="11" t="s">
        <v>918</v>
      </c>
      <c r="B328" s="11">
        <f ca="1">+IF(A328=WORLDCUP!$BI$112,1,0)</f>
        <v>0</v>
      </c>
      <c r="C328" s="11" t="str">
        <f ca="1">+WORLDCUP!BD63</f>
        <v>Japón</v>
      </c>
      <c r="D328" s="11" t="str">
        <f ca="1">+WORLDCUP!BD67</f>
        <v>Jordania</v>
      </c>
      <c r="E328" s="11" t="str">
        <f ca="1">+WORLDCUP!BD59</f>
        <v>Bosnia y Herzegovina</v>
      </c>
      <c r="F328" s="11" t="str">
        <f ca="1">+WORLDCUP!BD61</f>
        <v>Paraguay</v>
      </c>
      <c r="G328" s="11" t="str">
        <f ca="1">+WORLDCUP!BD58</f>
        <v>República Checa</v>
      </c>
      <c r="H328" s="11" t="str">
        <f ca="1">+WORLDCUP!BD64</f>
        <v>Bélgica</v>
      </c>
      <c r="I328" s="11" t="str">
        <f ca="1">+WORLDCUP!BD69</f>
        <v>Panamá</v>
      </c>
      <c r="J328" s="11" t="str">
        <f ca="1">+WORLDCUP!BD66</f>
        <v>Senegal</v>
      </c>
      <c r="N328" s="11" t="s">
        <v>918</v>
      </c>
      <c r="O328" s="11">
        <v>327</v>
      </c>
      <c r="P328" s="11" t="s">
        <v>94</v>
      </c>
      <c r="Q328" s="11" t="s">
        <v>441</v>
      </c>
      <c r="R328" s="11" t="s">
        <v>90</v>
      </c>
      <c r="S328" s="11" t="s">
        <v>92</v>
      </c>
      <c r="T328" s="11" t="s">
        <v>89</v>
      </c>
      <c r="U328" s="11" t="s">
        <v>435</v>
      </c>
      <c r="V328" s="11" t="s">
        <v>443</v>
      </c>
      <c r="W328" s="11" t="s">
        <v>440</v>
      </c>
    </row>
    <row r="329" spans="1:23">
      <c r="A329" s="11" t="s">
        <v>917</v>
      </c>
      <c r="B329" s="11">
        <f ca="1">+IF(A329=WORLDCUP!$BI$112,1,0)</f>
        <v>0</v>
      </c>
      <c r="C329" s="11" t="str">
        <f ca="1">+WORLDCUP!BD63</f>
        <v>Japón</v>
      </c>
      <c r="D329" s="11" t="str">
        <f ca="1">+WORLDCUP!BD67</f>
        <v>Jordania</v>
      </c>
      <c r="E329" s="11" t="str">
        <f ca="1">+WORLDCUP!BD59</f>
        <v>Bosnia y Herzegovina</v>
      </c>
      <c r="F329" s="11" t="str">
        <f ca="1">+WORLDCUP!BD61</f>
        <v>Paraguay</v>
      </c>
      <c r="G329" s="11" t="str">
        <f ca="1">+WORLDCUP!BD58</f>
        <v>República Checa</v>
      </c>
      <c r="H329" s="11" t="str">
        <f ca="1">+WORLDCUP!BD64</f>
        <v>Bélgica</v>
      </c>
      <c r="I329" s="11" t="str">
        <f ca="1">+WORLDCUP!BD66</f>
        <v>Senegal</v>
      </c>
      <c r="J329" s="11" t="str">
        <f ca="1">+WORLDCUP!BD68</f>
        <v>RD Congo</v>
      </c>
      <c r="N329" s="11" t="s">
        <v>917</v>
      </c>
      <c r="O329" s="11">
        <v>328</v>
      </c>
      <c r="P329" s="11" t="s">
        <v>94</v>
      </c>
      <c r="Q329" s="11" t="s">
        <v>441</v>
      </c>
      <c r="R329" s="11" t="s">
        <v>90</v>
      </c>
      <c r="S329" s="11" t="s">
        <v>92</v>
      </c>
      <c r="T329" s="11" t="s">
        <v>89</v>
      </c>
      <c r="U329" s="11" t="s">
        <v>435</v>
      </c>
      <c r="V329" s="11" t="s">
        <v>440</v>
      </c>
      <c r="W329" s="11" t="s">
        <v>442</v>
      </c>
    </row>
    <row r="330" spans="1:23">
      <c r="A330" s="11" t="s">
        <v>916</v>
      </c>
      <c r="B330" s="11">
        <f ca="1">+IF(A330=WORLDCUP!$BI$112,1,0)</f>
        <v>0</v>
      </c>
      <c r="C330" s="11" t="str">
        <f ca="1">+WORLDCUP!BD65</f>
        <v>España</v>
      </c>
      <c r="D330" s="11" t="str">
        <f ca="1">+WORLDCUP!BD64</f>
        <v>Bélgica</v>
      </c>
      <c r="E330" s="11" t="str">
        <f ca="1">+WORLDCUP!BD59</f>
        <v>Bosnia y Herzegovina</v>
      </c>
      <c r="F330" s="11" t="str">
        <f ca="1">+WORLDCUP!BD61</f>
        <v>Paraguay</v>
      </c>
      <c r="G330" s="11" t="str">
        <f ca="1">+WORLDCUP!BD58</f>
        <v>República Checa</v>
      </c>
      <c r="H330" s="11" t="str">
        <f ca="1">+WORLDCUP!BD63</f>
        <v>Japón</v>
      </c>
      <c r="I330" s="11" t="str">
        <f ca="1">+WORLDCUP!BD69</f>
        <v>Panamá</v>
      </c>
      <c r="J330" s="11" t="str">
        <f ca="1">+WORLDCUP!BD68</f>
        <v>RD Congo</v>
      </c>
      <c r="N330" s="11" t="s">
        <v>916</v>
      </c>
      <c r="O330" s="11">
        <v>329</v>
      </c>
      <c r="P330" s="11" t="s">
        <v>436</v>
      </c>
      <c r="Q330" s="11" t="s">
        <v>435</v>
      </c>
      <c r="R330" s="11" t="s">
        <v>90</v>
      </c>
      <c r="S330" s="11" t="s">
        <v>92</v>
      </c>
      <c r="T330" s="11" t="s">
        <v>89</v>
      </c>
      <c r="U330" s="11" t="s">
        <v>94</v>
      </c>
      <c r="V330" s="11" t="s">
        <v>443</v>
      </c>
      <c r="W330" s="11" t="s">
        <v>442</v>
      </c>
    </row>
    <row r="331" spans="1:23">
      <c r="A331" s="11" t="s">
        <v>915</v>
      </c>
      <c r="B331" s="11">
        <f ca="1">+IF(A331=WORLDCUP!$BI$112,1,0)</f>
        <v>0</v>
      </c>
      <c r="C331" s="11" t="str">
        <f ca="1">+WORLDCUP!BD65</f>
        <v>España</v>
      </c>
      <c r="D331" s="11" t="str">
        <f ca="1">+WORLDCUP!BD64</f>
        <v>Bélgica</v>
      </c>
      <c r="E331" s="11" t="str">
        <f ca="1">+WORLDCUP!BD59</f>
        <v>Bosnia y Herzegovina</v>
      </c>
      <c r="F331" s="11" t="str">
        <f ca="1">+WORLDCUP!BD61</f>
        <v>Paraguay</v>
      </c>
      <c r="G331" s="11" t="str">
        <f ca="1">+WORLDCUP!BD58</f>
        <v>República Checa</v>
      </c>
      <c r="H331" s="11" t="str">
        <f ca="1">+WORLDCUP!BD63</f>
        <v>Japón</v>
      </c>
      <c r="I331" s="11" t="str">
        <f ca="1">+WORLDCUP!BD69</f>
        <v>Panamá</v>
      </c>
      <c r="J331" s="11" t="str">
        <f ca="1">+WORLDCUP!BD67</f>
        <v>Jordania</v>
      </c>
      <c r="N331" s="11" t="s">
        <v>915</v>
      </c>
      <c r="O331" s="11">
        <v>330</v>
      </c>
      <c r="P331" s="11" t="s">
        <v>436</v>
      </c>
      <c r="Q331" s="11" t="s">
        <v>435</v>
      </c>
      <c r="R331" s="11" t="s">
        <v>90</v>
      </c>
      <c r="S331" s="11" t="s">
        <v>92</v>
      </c>
      <c r="T331" s="11" t="s">
        <v>89</v>
      </c>
      <c r="U331" s="11" t="s">
        <v>94</v>
      </c>
      <c r="V331" s="11" t="s">
        <v>443</v>
      </c>
      <c r="W331" s="11" t="s">
        <v>441</v>
      </c>
    </row>
    <row r="332" spans="1:23">
      <c r="A332" s="11" t="s">
        <v>914</v>
      </c>
      <c r="B332" s="11">
        <f ca="1">+IF(A332=WORLDCUP!$BI$112,1,0)</f>
        <v>0</v>
      </c>
      <c r="C332" s="11" t="str">
        <f ca="1">+WORLDCUP!BD65</f>
        <v>España</v>
      </c>
      <c r="D332" s="11" t="str">
        <f ca="1">+WORLDCUP!BD64</f>
        <v>Bélgica</v>
      </c>
      <c r="E332" s="11" t="str">
        <f ca="1">+WORLDCUP!BD59</f>
        <v>Bosnia y Herzegovina</v>
      </c>
      <c r="F332" s="11" t="str">
        <f ca="1">+WORLDCUP!BD61</f>
        <v>Paraguay</v>
      </c>
      <c r="G332" s="11" t="str">
        <f ca="1">+WORLDCUP!BD58</f>
        <v>República Checa</v>
      </c>
      <c r="H332" s="11" t="str">
        <f ca="1">+WORLDCUP!BD63</f>
        <v>Japón</v>
      </c>
      <c r="I332" s="11" t="str">
        <f ca="1">+WORLDCUP!BD67</f>
        <v>Jordania</v>
      </c>
      <c r="J332" s="11" t="str">
        <f ca="1">+WORLDCUP!BD68</f>
        <v>RD Congo</v>
      </c>
      <c r="N332" s="11" t="s">
        <v>914</v>
      </c>
      <c r="O332" s="11">
        <v>331</v>
      </c>
      <c r="P332" s="11" t="s">
        <v>436</v>
      </c>
      <c r="Q332" s="11" t="s">
        <v>435</v>
      </c>
      <c r="R332" s="11" t="s">
        <v>90</v>
      </c>
      <c r="S332" s="11" t="s">
        <v>92</v>
      </c>
      <c r="T332" s="11" t="s">
        <v>89</v>
      </c>
      <c r="U332" s="11" t="s">
        <v>94</v>
      </c>
      <c r="V332" s="11" t="s">
        <v>441</v>
      </c>
      <c r="W332" s="11" t="s">
        <v>442</v>
      </c>
    </row>
    <row r="333" spans="1:23">
      <c r="A333" s="11" t="s">
        <v>913</v>
      </c>
      <c r="B333" s="11">
        <f ca="1">+IF(A333=WORLDCUP!$BI$112,1,0)</f>
        <v>0</v>
      </c>
      <c r="C333" s="11" t="str">
        <f ca="1">+WORLDCUP!BD65</f>
        <v>España</v>
      </c>
      <c r="D333" s="11" t="str">
        <f ca="1">+WORLDCUP!BD64</f>
        <v>Bélgica</v>
      </c>
      <c r="E333" s="11" t="str">
        <f ca="1">+WORLDCUP!BD59</f>
        <v>Bosnia y Herzegovina</v>
      </c>
      <c r="F333" s="11" t="str">
        <f ca="1">+WORLDCUP!BD61</f>
        <v>Paraguay</v>
      </c>
      <c r="G333" s="11" t="str">
        <f ca="1">+WORLDCUP!BD58</f>
        <v>República Checa</v>
      </c>
      <c r="H333" s="11" t="str">
        <f ca="1">+WORLDCUP!BD63</f>
        <v>Japón</v>
      </c>
      <c r="I333" s="11" t="str">
        <f ca="1">+WORLDCUP!BD69</f>
        <v>Panamá</v>
      </c>
      <c r="J333" s="11" t="str">
        <f ca="1">+WORLDCUP!BD66</f>
        <v>Senegal</v>
      </c>
      <c r="N333" s="11" t="s">
        <v>913</v>
      </c>
      <c r="O333" s="11">
        <v>332</v>
      </c>
      <c r="P333" s="11" t="s">
        <v>436</v>
      </c>
      <c r="Q333" s="11" t="s">
        <v>435</v>
      </c>
      <c r="R333" s="11" t="s">
        <v>90</v>
      </c>
      <c r="S333" s="11" t="s">
        <v>92</v>
      </c>
      <c r="T333" s="11" t="s">
        <v>89</v>
      </c>
      <c r="U333" s="11" t="s">
        <v>94</v>
      </c>
      <c r="V333" s="11" t="s">
        <v>443</v>
      </c>
      <c r="W333" s="11" t="s">
        <v>440</v>
      </c>
    </row>
    <row r="334" spans="1:23">
      <c r="A334" s="11" t="s">
        <v>912</v>
      </c>
      <c r="B334" s="11">
        <f ca="1">+IF(A334=WORLDCUP!$BI$112,1,0)</f>
        <v>0</v>
      </c>
      <c r="C334" s="11" t="str">
        <f ca="1">+WORLDCUP!BD65</f>
        <v>España</v>
      </c>
      <c r="D334" s="11" t="str">
        <f ca="1">+WORLDCUP!BD64</f>
        <v>Bélgica</v>
      </c>
      <c r="E334" s="11" t="str">
        <f ca="1">+WORLDCUP!BD59</f>
        <v>Bosnia y Herzegovina</v>
      </c>
      <c r="F334" s="11" t="str">
        <f ca="1">+WORLDCUP!BD61</f>
        <v>Paraguay</v>
      </c>
      <c r="G334" s="11" t="str">
        <f ca="1">+WORLDCUP!BD58</f>
        <v>República Checa</v>
      </c>
      <c r="H334" s="11" t="str">
        <f ca="1">+WORLDCUP!BD63</f>
        <v>Japón</v>
      </c>
      <c r="I334" s="11" t="str">
        <f ca="1">+WORLDCUP!BD66</f>
        <v>Senegal</v>
      </c>
      <c r="J334" s="11" t="str">
        <f ca="1">+WORLDCUP!BD68</f>
        <v>RD Congo</v>
      </c>
      <c r="N334" s="11" t="s">
        <v>912</v>
      </c>
      <c r="O334" s="11">
        <v>333</v>
      </c>
      <c r="P334" s="11" t="s">
        <v>436</v>
      </c>
      <c r="Q334" s="11" t="s">
        <v>435</v>
      </c>
      <c r="R334" s="11" t="s">
        <v>90</v>
      </c>
      <c r="S334" s="11" t="s">
        <v>92</v>
      </c>
      <c r="T334" s="11" t="s">
        <v>89</v>
      </c>
      <c r="U334" s="11" t="s">
        <v>94</v>
      </c>
      <c r="V334" s="11" t="s">
        <v>440</v>
      </c>
      <c r="W334" s="11" t="s">
        <v>442</v>
      </c>
    </row>
    <row r="335" spans="1:23">
      <c r="A335" s="11" t="s">
        <v>911</v>
      </c>
      <c r="B335" s="11">
        <f ca="1">+IF(A335=WORLDCUP!$BI$112,1,0)</f>
        <v>0</v>
      </c>
      <c r="C335" s="11" t="str">
        <f ca="1">+WORLDCUP!BD65</f>
        <v>España</v>
      </c>
      <c r="D335" s="11" t="str">
        <f ca="1">+WORLDCUP!BD64</f>
        <v>Bélgica</v>
      </c>
      <c r="E335" s="11" t="str">
        <f ca="1">+WORLDCUP!BD59</f>
        <v>Bosnia y Herzegovina</v>
      </c>
      <c r="F335" s="11" t="str">
        <f ca="1">+WORLDCUP!BD61</f>
        <v>Paraguay</v>
      </c>
      <c r="G335" s="11" t="str">
        <f ca="1">+WORLDCUP!BD58</f>
        <v>República Checa</v>
      </c>
      <c r="H335" s="11" t="str">
        <f ca="1">+WORLDCUP!BD63</f>
        <v>Japón</v>
      </c>
      <c r="I335" s="11" t="str">
        <f ca="1">+WORLDCUP!BD66</f>
        <v>Senegal</v>
      </c>
      <c r="J335" s="11" t="str">
        <f ca="1">+WORLDCUP!BD67</f>
        <v>Jordania</v>
      </c>
      <c r="N335" s="11" t="s">
        <v>911</v>
      </c>
      <c r="O335" s="11">
        <v>334</v>
      </c>
      <c r="P335" s="11" t="s">
        <v>436</v>
      </c>
      <c r="Q335" s="11" t="s">
        <v>435</v>
      </c>
      <c r="R335" s="11" t="s">
        <v>90</v>
      </c>
      <c r="S335" s="11" t="s">
        <v>92</v>
      </c>
      <c r="T335" s="11" t="s">
        <v>89</v>
      </c>
      <c r="U335" s="11" t="s">
        <v>94</v>
      </c>
      <c r="V335" s="11" t="s">
        <v>440</v>
      </c>
      <c r="W335" s="11" t="s">
        <v>441</v>
      </c>
    </row>
    <row r="336" spans="1:23">
      <c r="A336" s="11" t="s">
        <v>910</v>
      </c>
      <c r="B336" s="11">
        <f ca="1">+IF(A336=WORLDCUP!$BI$112,1,0)</f>
        <v>0</v>
      </c>
      <c r="C336" s="11" t="str">
        <f ca="1">+WORLDCUP!BD62</f>
        <v>Ecuador</v>
      </c>
      <c r="D336" s="11" t="str">
        <f ca="1">+WORLDCUP!BD67</f>
        <v>Jordania</v>
      </c>
      <c r="E336" s="11" t="str">
        <f ca="1">+WORLDCUP!BD59</f>
        <v>Bosnia y Herzegovina</v>
      </c>
      <c r="F336" s="11" t="str">
        <f ca="1">+WORLDCUP!BD58</f>
        <v>República Checa</v>
      </c>
      <c r="G336" s="11" t="str">
        <f ca="1">+WORLDCUP!BD66</f>
        <v>Senegal</v>
      </c>
      <c r="H336" s="11" t="str">
        <f ca="1">+WORLDCUP!BD61</f>
        <v>Paraguay</v>
      </c>
      <c r="I336" s="11" t="str">
        <f ca="1">+WORLDCUP!BD69</f>
        <v>Panamá</v>
      </c>
      <c r="J336" s="11" t="str">
        <f ca="1">+WORLDCUP!BD68</f>
        <v>RD Congo</v>
      </c>
      <c r="N336" s="11" t="s">
        <v>910</v>
      </c>
      <c r="O336" s="11">
        <v>335</v>
      </c>
      <c r="P336" s="11" t="s">
        <v>93</v>
      </c>
      <c r="Q336" s="11" t="s">
        <v>441</v>
      </c>
      <c r="R336" s="11" t="s">
        <v>90</v>
      </c>
      <c r="S336" s="11" t="s">
        <v>89</v>
      </c>
      <c r="T336" s="11" t="s">
        <v>440</v>
      </c>
      <c r="U336" s="11" t="s">
        <v>92</v>
      </c>
      <c r="V336" s="11" t="s">
        <v>443</v>
      </c>
      <c r="W336" s="11" t="s">
        <v>442</v>
      </c>
    </row>
    <row r="337" spans="1:23">
      <c r="A337" s="11" t="s">
        <v>909</v>
      </c>
      <c r="B337" s="11">
        <f ca="1">+IF(A337=WORLDCUP!$BI$112,1,0)</f>
        <v>0</v>
      </c>
      <c r="C337" s="11" t="str">
        <f ca="1">+WORLDCUP!BD62</f>
        <v>Ecuador</v>
      </c>
      <c r="D337" s="11" t="str">
        <f ca="1">+WORLDCUP!BD67</f>
        <v>Jordania</v>
      </c>
      <c r="E337" s="11" t="str">
        <f ca="1">+WORLDCUP!BD59</f>
        <v>Bosnia y Herzegovina</v>
      </c>
      <c r="F337" s="11" t="str">
        <f ca="1">+WORLDCUP!BD61</f>
        <v>Paraguay</v>
      </c>
      <c r="G337" s="11" t="str">
        <f ca="1">+WORLDCUP!BD58</f>
        <v>República Checa</v>
      </c>
      <c r="H337" s="11" t="str">
        <f ca="1">+WORLDCUP!BD65</f>
        <v>España</v>
      </c>
      <c r="I337" s="11" t="str">
        <f ca="1">+WORLDCUP!BD69</f>
        <v>Panamá</v>
      </c>
      <c r="J337" s="11" t="str">
        <f ca="1">+WORLDCUP!BD68</f>
        <v>RD Congo</v>
      </c>
      <c r="N337" s="11" t="s">
        <v>909</v>
      </c>
      <c r="O337" s="11">
        <v>336</v>
      </c>
      <c r="P337" s="11" t="s">
        <v>93</v>
      </c>
      <c r="Q337" s="11" t="s">
        <v>441</v>
      </c>
      <c r="R337" s="11" t="s">
        <v>90</v>
      </c>
      <c r="S337" s="11" t="s">
        <v>92</v>
      </c>
      <c r="T337" s="11" t="s">
        <v>89</v>
      </c>
      <c r="U337" s="11" t="s">
        <v>436</v>
      </c>
      <c r="V337" s="11" t="s">
        <v>443</v>
      </c>
      <c r="W337" s="11" t="s">
        <v>442</v>
      </c>
    </row>
    <row r="338" spans="1:23">
      <c r="A338" s="11" t="s">
        <v>908</v>
      </c>
      <c r="B338" s="11">
        <f ca="1">+IF(A338=WORLDCUP!$BI$112,1,0)</f>
        <v>0</v>
      </c>
      <c r="C338" s="11" t="str">
        <f ca="1">+WORLDCUP!BD62</f>
        <v>Ecuador</v>
      </c>
      <c r="D338" s="11" t="str">
        <f ca="1">+WORLDCUP!BD66</f>
        <v>Senegal</v>
      </c>
      <c r="E338" s="11" t="str">
        <f ca="1">+WORLDCUP!BD59</f>
        <v>Bosnia y Herzegovina</v>
      </c>
      <c r="F338" s="11" t="str">
        <f ca="1">+WORLDCUP!BD61</f>
        <v>Paraguay</v>
      </c>
      <c r="G338" s="11" t="str">
        <f ca="1">+WORLDCUP!BD58</f>
        <v>República Checa</v>
      </c>
      <c r="H338" s="11" t="str">
        <f ca="1">+WORLDCUP!BD65</f>
        <v>España</v>
      </c>
      <c r="I338" s="11" t="str">
        <f ca="1">+WORLDCUP!BD69</f>
        <v>Panamá</v>
      </c>
      <c r="J338" s="11" t="str">
        <f ca="1">+WORLDCUP!BD68</f>
        <v>RD Congo</v>
      </c>
      <c r="N338" s="11" t="s">
        <v>908</v>
      </c>
      <c r="O338" s="11">
        <v>337</v>
      </c>
      <c r="P338" s="11" t="s">
        <v>93</v>
      </c>
      <c r="Q338" s="11" t="s">
        <v>440</v>
      </c>
      <c r="R338" s="11" t="s">
        <v>90</v>
      </c>
      <c r="S338" s="11" t="s">
        <v>92</v>
      </c>
      <c r="T338" s="11" t="s">
        <v>89</v>
      </c>
      <c r="U338" s="11" t="s">
        <v>436</v>
      </c>
      <c r="V338" s="11" t="s">
        <v>443</v>
      </c>
      <c r="W338" s="11" t="s">
        <v>442</v>
      </c>
    </row>
    <row r="339" spans="1:23">
      <c r="A339" s="11" t="s">
        <v>907</v>
      </c>
      <c r="B339" s="11">
        <f ca="1">+IF(A339=WORLDCUP!$BI$112,1,0)</f>
        <v>0</v>
      </c>
      <c r="C339" s="11" t="str">
        <f ca="1">+WORLDCUP!BD62</f>
        <v>Ecuador</v>
      </c>
      <c r="D339" s="11" t="str">
        <f ca="1">+WORLDCUP!BD67</f>
        <v>Jordania</v>
      </c>
      <c r="E339" s="11" t="str">
        <f ca="1">+WORLDCUP!BD59</f>
        <v>Bosnia y Herzegovina</v>
      </c>
      <c r="F339" s="11" t="str">
        <f ca="1">+WORLDCUP!BD61</f>
        <v>Paraguay</v>
      </c>
      <c r="G339" s="11" t="str">
        <f ca="1">+WORLDCUP!BD58</f>
        <v>República Checa</v>
      </c>
      <c r="H339" s="11" t="str">
        <f ca="1">+WORLDCUP!BD65</f>
        <v>España</v>
      </c>
      <c r="I339" s="11" t="str">
        <f ca="1">+WORLDCUP!BD69</f>
        <v>Panamá</v>
      </c>
      <c r="J339" s="11" t="str">
        <f ca="1">+WORLDCUP!BD66</f>
        <v>Senegal</v>
      </c>
      <c r="N339" s="11" t="s">
        <v>907</v>
      </c>
      <c r="O339" s="11">
        <v>338</v>
      </c>
      <c r="P339" s="11" t="s">
        <v>93</v>
      </c>
      <c r="Q339" s="11" t="s">
        <v>441</v>
      </c>
      <c r="R339" s="11" t="s">
        <v>90</v>
      </c>
      <c r="S339" s="11" t="s">
        <v>92</v>
      </c>
      <c r="T339" s="11" t="s">
        <v>89</v>
      </c>
      <c r="U339" s="11" t="s">
        <v>436</v>
      </c>
      <c r="V339" s="11" t="s">
        <v>443</v>
      </c>
      <c r="W339" s="11" t="s">
        <v>440</v>
      </c>
    </row>
    <row r="340" spans="1:23">
      <c r="A340" s="11" t="s">
        <v>906</v>
      </c>
      <c r="B340" s="11">
        <f ca="1">+IF(A340=WORLDCUP!$BI$112,1,0)</f>
        <v>0</v>
      </c>
      <c r="C340" s="11" t="str">
        <f ca="1">+WORLDCUP!BD62</f>
        <v>Ecuador</v>
      </c>
      <c r="D340" s="11" t="str">
        <f ca="1">+WORLDCUP!BD67</f>
        <v>Jordania</v>
      </c>
      <c r="E340" s="11" t="str">
        <f ca="1">+WORLDCUP!BD59</f>
        <v>Bosnia y Herzegovina</v>
      </c>
      <c r="F340" s="11" t="str">
        <f ca="1">+WORLDCUP!BD61</f>
        <v>Paraguay</v>
      </c>
      <c r="G340" s="11" t="str">
        <f ca="1">+WORLDCUP!BD58</f>
        <v>República Checa</v>
      </c>
      <c r="H340" s="11" t="str">
        <f ca="1">+WORLDCUP!BD65</f>
        <v>España</v>
      </c>
      <c r="I340" s="11" t="str">
        <f ca="1">+WORLDCUP!BD66</f>
        <v>Senegal</v>
      </c>
      <c r="J340" s="11" t="str">
        <f ca="1">+WORLDCUP!BD68</f>
        <v>RD Congo</v>
      </c>
      <c r="N340" s="11" t="s">
        <v>906</v>
      </c>
      <c r="O340" s="11">
        <v>339</v>
      </c>
      <c r="P340" s="11" t="s">
        <v>93</v>
      </c>
      <c r="Q340" s="11" t="s">
        <v>441</v>
      </c>
      <c r="R340" s="11" t="s">
        <v>90</v>
      </c>
      <c r="S340" s="11" t="s">
        <v>92</v>
      </c>
      <c r="T340" s="11" t="s">
        <v>89</v>
      </c>
      <c r="U340" s="11" t="s">
        <v>436</v>
      </c>
      <c r="V340" s="11" t="s">
        <v>440</v>
      </c>
      <c r="W340" s="11" t="s">
        <v>442</v>
      </c>
    </row>
    <row r="341" spans="1:23">
      <c r="A341" s="11" t="s">
        <v>905</v>
      </c>
      <c r="B341" s="11">
        <f ca="1">+IF(A341=WORLDCUP!$BI$112,1,0)</f>
        <v>0</v>
      </c>
      <c r="C341" s="11" t="str">
        <f ca="1">+WORLDCUP!BD62</f>
        <v>Ecuador</v>
      </c>
      <c r="D341" s="11" t="str">
        <f ca="1">+WORLDCUP!BD67</f>
        <v>Jordania</v>
      </c>
      <c r="E341" s="11" t="str">
        <f ca="1">+WORLDCUP!BD59</f>
        <v>Bosnia y Herzegovina</v>
      </c>
      <c r="F341" s="11" t="str">
        <f ca="1">+WORLDCUP!BD61</f>
        <v>Paraguay</v>
      </c>
      <c r="G341" s="11" t="str">
        <f ca="1">+WORLDCUP!BD58</f>
        <v>República Checa</v>
      </c>
      <c r="H341" s="11" t="str">
        <f ca="1">+WORLDCUP!BD64</f>
        <v>Bélgica</v>
      </c>
      <c r="I341" s="11" t="str">
        <f ca="1">+WORLDCUP!BD69</f>
        <v>Panamá</v>
      </c>
      <c r="J341" s="11" t="str">
        <f ca="1">+WORLDCUP!BD68</f>
        <v>RD Congo</v>
      </c>
      <c r="N341" s="11" t="s">
        <v>905</v>
      </c>
      <c r="O341" s="11">
        <v>340</v>
      </c>
      <c r="P341" s="11" t="s">
        <v>93</v>
      </c>
      <c r="Q341" s="11" t="s">
        <v>441</v>
      </c>
      <c r="R341" s="11" t="s">
        <v>90</v>
      </c>
      <c r="S341" s="11" t="s">
        <v>92</v>
      </c>
      <c r="T341" s="11" t="s">
        <v>89</v>
      </c>
      <c r="U341" s="11" t="s">
        <v>435</v>
      </c>
      <c r="V341" s="11" t="s">
        <v>443</v>
      </c>
      <c r="W341" s="11" t="s">
        <v>442</v>
      </c>
    </row>
    <row r="342" spans="1:23">
      <c r="A342" s="11" t="s">
        <v>904</v>
      </c>
      <c r="B342" s="11">
        <f ca="1">+IF(A342=WORLDCUP!$BI$112,1,0)</f>
        <v>0</v>
      </c>
      <c r="C342" s="11" t="str">
        <f ca="1">+WORLDCUP!BD62</f>
        <v>Ecuador</v>
      </c>
      <c r="D342" s="11" t="str">
        <f ca="1">+WORLDCUP!BD64</f>
        <v>Bélgica</v>
      </c>
      <c r="E342" s="11" t="str">
        <f ca="1">+WORLDCUP!BD59</f>
        <v>Bosnia y Herzegovina</v>
      </c>
      <c r="F342" s="11" t="str">
        <f ca="1">+WORLDCUP!BD58</f>
        <v>República Checa</v>
      </c>
      <c r="G342" s="11" t="str">
        <f ca="1">+WORLDCUP!BD66</f>
        <v>Senegal</v>
      </c>
      <c r="H342" s="11" t="str">
        <f ca="1">+WORLDCUP!BD61</f>
        <v>Paraguay</v>
      </c>
      <c r="I342" s="11" t="str">
        <f ca="1">+WORLDCUP!BD69</f>
        <v>Panamá</v>
      </c>
      <c r="J342" s="11" t="str">
        <f ca="1">+WORLDCUP!BD68</f>
        <v>RD Congo</v>
      </c>
      <c r="N342" s="11" t="s">
        <v>904</v>
      </c>
      <c r="O342" s="11">
        <v>341</v>
      </c>
      <c r="P342" s="11" t="s">
        <v>93</v>
      </c>
      <c r="Q342" s="11" t="s">
        <v>435</v>
      </c>
      <c r="R342" s="11" t="s">
        <v>90</v>
      </c>
      <c r="S342" s="11" t="s">
        <v>89</v>
      </c>
      <c r="T342" s="11" t="s">
        <v>440</v>
      </c>
      <c r="U342" s="11" t="s">
        <v>92</v>
      </c>
      <c r="V342" s="11" t="s">
        <v>443</v>
      </c>
      <c r="W342" s="11" t="s">
        <v>442</v>
      </c>
    </row>
    <row r="343" spans="1:23">
      <c r="A343" s="11" t="s">
        <v>903</v>
      </c>
      <c r="B343" s="11">
        <f ca="1">+IF(A343=WORLDCUP!$BI$112,1,0)</f>
        <v>0</v>
      </c>
      <c r="C343" s="11" t="str">
        <f ca="1">+WORLDCUP!BD62</f>
        <v>Ecuador</v>
      </c>
      <c r="D343" s="11" t="str">
        <f ca="1">+WORLDCUP!BD67</f>
        <v>Jordania</v>
      </c>
      <c r="E343" s="11" t="str">
        <f ca="1">+WORLDCUP!BD59</f>
        <v>Bosnia y Herzegovina</v>
      </c>
      <c r="F343" s="11" t="str">
        <f ca="1">+WORLDCUP!BD61</f>
        <v>Paraguay</v>
      </c>
      <c r="G343" s="11" t="str">
        <f ca="1">+WORLDCUP!BD58</f>
        <v>República Checa</v>
      </c>
      <c r="H343" s="11" t="str">
        <f ca="1">+WORLDCUP!BD64</f>
        <v>Bélgica</v>
      </c>
      <c r="I343" s="11" t="str">
        <f ca="1">+WORLDCUP!BD69</f>
        <v>Panamá</v>
      </c>
      <c r="J343" s="11" t="str">
        <f ca="1">+WORLDCUP!BD66</f>
        <v>Senegal</v>
      </c>
      <c r="N343" s="11" t="s">
        <v>903</v>
      </c>
      <c r="O343" s="11">
        <v>342</v>
      </c>
      <c r="P343" s="11" t="s">
        <v>93</v>
      </c>
      <c r="Q343" s="11" t="s">
        <v>441</v>
      </c>
      <c r="R343" s="11" t="s">
        <v>90</v>
      </c>
      <c r="S343" s="11" t="s">
        <v>92</v>
      </c>
      <c r="T343" s="11" t="s">
        <v>89</v>
      </c>
      <c r="U343" s="11" t="s">
        <v>435</v>
      </c>
      <c r="V343" s="11" t="s">
        <v>443</v>
      </c>
      <c r="W343" s="11" t="s">
        <v>440</v>
      </c>
    </row>
    <row r="344" spans="1:23">
      <c r="A344" s="11" t="s">
        <v>902</v>
      </c>
      <c r="B344" s="11">
        <f ca="1">+IF(A344=WORLDCUP!$BI$112,1,0)</f>
        <v>0</v>
      </c>
      <c r="C344" s="11" t="str">
        <f ca="1">+WORLDCUP!BD62</f>
        <v>Ecuador</v>
      </c>
      <c r="D344" s="11" t="str">
        <f ca="1">+WORLDCUP!BD67</f>
        <v>Jordania</v>
      </c>
      <c r="E344" s="11" t="str">
        <f ca="1">+WORLDCUP!BD59</f>
        <v>Bosnia y Herzegovina</v>
      </c>
      <c r="F344" s="11" t="str">
        <f ca="1">+WORLDCUP!BD61</f>
        <v>Paraguay</v>
      </c>
      <c r="G344" s="11" t="str">
        <f ca="1">+WORLDCUP!BD58</f>
        <v>República Checa</v>
      </c>
      <c r="H344" s="11" t="str">
        <f ca="1">+WORLDCUP!BD64</f>
        <v>Bélgica</v>
      </c>
      <c r="I344" s="11" t="str">
        <f ca="1">+WORLDCUP!BD66</f>
        <v>Senegal</v>
      </c>
      <c r="J344" s="11" t="str">
        <f ca="1">+WORLDCUP!BD68</f>
        <v>RD Congo</v>
      </c>
      <c r="N344" s="11" t="s">
        <v>902</v>
      </c>
      <c r="O344" s="11">
        <v>343</v>
      </c>
      <c r="P344" s="11" t="s">
        <v>93</v>
      </c>
      <c r="Q344" s="11" t="s">
        <v>441</v>
      </c>
      <c r="R344" s="11" t="s">
        <v>90</v>
      </c>
      <c r="S344" s="11" t="s">
        <v>92</v>
      </c>
      <c r="T344" s="11" t="s">
        <v>89</v>
      </c>
      <c r="U344" s="11" t="s">
        <v>435</v>
      </c>
      <c r="V344" s="11" t="s">
        <v>440</v>
      </c>
      <c r="W344" s="11" t="s">
        <v>442</v>
      </c>
    </row>
    <row r="345" spans="1:23">
      <c r="A345" s="11" t="s">
        <v>901</v>
      </c>
      <c r="B345" s="11">
        <f ca="1">+IF(A345=WORLDCUP!$BI$112,1,0)</f>
        <v>0</v>
      </c>
      <c r="C345" s="11" t="str">
        <f ca="1">+WORLDCUP!BD62</f>
        <v>Ecuador</v>
      </c>
      <c r="D345" s="11" t="str">
        <f ca="1">+WORLDCUP!BD64</f>
        <v>Bélgica</v>
      </c>
      <c r="E345" s="11" t="str">
        <f ca="1">+WORLDCUP!BD59</f>
        <v>Bosnia y Herzegovina</v>
      </c>
      <c r="F345" s="11" t="str">
        <f ca="1">+WORLDCUP!BD61</f>
        <v>Paraguay</v>
      </c>
      <c r="G345" s="11" t="str">
        <f ca="1">+WORLDCUP!BD58</f>
        <v>República Checa</v>
      </c>
      <c r="H345" s="11" t="str">
        <f ca="1">+WORLDCUP!BD65</f>
        <v>España</v>
      </c>
      <c r="I345" s="11" t="str">
        <f ca="1">+WORLDCUP!BD69</f>
        <v>Panamá</v>
      </c>
      <c r="J345" s="11" t="str">
        <f ca="1">+WORLDCUP!BD68</f>
        <v>RD Congo</v>
      </c>
      <c r="N345" s="11" t="s">
        <v>901</v>
      </c>
      <c r="O345" s="11">
        <v>344</v>
      </c>
      <c r="P345" s="11" t="s">
        <v>93</v>
      </c>
      <c r="Q345" s="11" t="s">
        <v>435</v>
      </c>
      <c r="R345" s="11" t="s">
        <v>90</v>
      </c>
      <c r="S345" s="11" t="s">
        <v>92</v>
      </c>
      <c r="T345" s="11" t="s">
        <v>89</v>
      </c>
      <c r="U345" s="11" t="s">
        <v>436</v>
      </c>
      <c r="V345" s="11" t="s">
        <v>443</v>
      </c>
      <c r="W345" s="11" t="s">
        <v>442</v>
      </c>
    </row>
    <row r="346" spans="1:23">
      <c r="A346" s="11" t="s">
        <v>900</v>
      </c>
      <c r="B346" s="11">
        <f ca="1">+IF(A346=WORLDCUP!$BI$112,1,0)</f>
        <v>0</v>
      </c>
      <c r="C346" s="11" t="str">
        <f ca="1">+WORLDCUP!BD65</f>
        <v>España</v>
      </c>
      <c r="D346" s="11" t="str">
        <f ca="1">+WORLDCUP!BD67</f>
        <v>Jordania</v>
      </c>
      <c r="E346" s="11" t="str">
        <f ca="1">+WORLDCUP!BD59</f>
        <v>Bosnia y Herzegovina</v>
      </c>
      <c r="F346" s="11" t="str">
        <f ca="1">+WORLDCUP!BD61</f>
        <v>Paraguay</v>
      </c>
      <c r="G346" s="11" t="str">
        <f ca="1">+WORLDCUP!BD58</f>
        <v>República Checa</v>
      </c>
      <c r="H346" s="11" t="str">
        <f ca="1">+WORLDCUP!BD64</f>
        <v>Bélgica</v>
      </c>
      <c r="I346" s="11" t="str">
        <f ca="1">+WORLDCUP!BD69</f>
        <v>Panamá</v>
      </c>
      <c r="J346" s="11" t="str">
        <f ca="1">+WORLDCUP!BD62</f>
        <v>Ecuador</v>
      </c>
      <c r="N346" s="11" t="s">
        <v>900</v>
      </c>
      <c r="O346" s="11">
        <v>345</v>
      </c>
      <c r="P346" s="11" t="s">
        <v>436</v>
      </c>
      <c r="Q346" s="11" t="s">
        <v>441</v>
      </c>
      <c r="R346" s="11" t="s">
        <v>90</v>
      </c>
      <c r="S346" s="11" t="s">
        <v>92</v>
      </c>
      <c r="T346" s="11" t="s">
        <v>89</v>
      </c>
      <c r="U346" s="11" t="s">
        <v>435</v>
      </c>
      <c r="V346" s="11" t="s">
        <v>443</v>
      </c>
      <c r="W346" s="11" t="s">
        <v>93</v>
      </c>
    </row>
    <row r="347" spans="1:23">
      <c r="A347" s="11" t="s">
        <v>899</v>
      </c>
      <c r="B347" s="11">
        <f ca="1">+IF(A347=WORLDCUP!$BI$112,1,0)</f>
        <v>0</v>
      </c>
      <c r="C347" s="11" t="str">
        <f ca="1">+WORLDCUP!BD65</f>
        <v>España</v>
      </c>
      <c r="D347" s="11" t="str">
        <f ca="1">+WORLDCUP!BD67</f>
        <v>Jordania</v>
      </c>
      <c r="E347" s="11" t="str">
        <f ca="1">+WORLDCUP!BD59</f>
        <v>Bosnia y Herzegovina</v>
      </c>
      <c r="F347" s="11" t="str">
        <f ca="1">+WORLDCUP!BD61</f>
        <v>Paraguay</v>
      </c>
      <c r="G347" s="11" t="str">
        <f ca="1">+WORLDCUP!BD58</f>
        <v>República Checa</v>
      </c>
      <c r="H347" s="11" t="str">
        <f ca="1">+WORLDCUP!BD64</f>
        <v>Bélgica</v>
      </c>
      <c r="I347" s="11" t="str">
        <f ca="1">+WORLDCUP!BD62</f>
        <v>Ecuador</v>
      </c>
      <c r="J347" s="11" t="str">
        <f ca="1">+WORLDCUP!BD68</f>
        <v>RD Congo</v>
      </c>
      <c r="N347" s="11" t="s">
        <v>899</v>
      </c>
      <c r="O347" s="11">
        <v>346</v>
      </c>
      <c r="P347" s="11" t="s">
        <v>436</v>
      </c>
      <c r="Q347" s="11" t="s">
        <v>441</v>
      </c>
      <c r="R347" s="11" t="s">
        <v>90</v>
      </c>
      <c r="S347" s="11" t="s">
        <v>92</v>
      </c>
      <c r="T347" s="11" t="s">
        <v>89</v>
      </c>
      <c r="U347" s="11" t="s">
        <v>435</v>
      </c>
      <c r="V347" s="11" t="s">
        <v>93</v>
      </c>
      <c r="W347" s="11" t="s">
        <v>442</v>
      </c>
    </row>
    <row r="348" spans="1:23">
      <c r="A348" s="11" t="s">
        <v>898</v>
      </c>
      <c r="B348" s="11">
        <f ca="1">+IF(A348=WORLDCUP!$BI$112,1,0)</f>
        <v>0</v>
      </c>
      <c r="C348" s="11" t="str">
        <f ca="1">+WORLDCUP!BD62</f>
        <v>Ecuador</v>
      </c>
      <c r="D348" s="11" t="str">
        <f ca="1">+WORLDCUP!BD64</f>
        <v>Bélgica</v>
      </c>
      <c r="E348" s="11" t="str">
        <f ca="1">+WORLDCUP!BD59</f>
        <v>Bosnia y Herzegovina</v>
      </c>
      <c r="F348" s="11" t="str">
        <f ca="1">+WORLDCUP!BD61</f>
        <v>Paraguay</v>
      </c>
      <c r="G348" s="11" t="str">
        <f ca="1">+WORLDCUP!BD58</f>
        <v>República Checa</v>
      </c>
      <c r="H348" s="11" t="str">
        <f ca="1">+WORLDCUP!BD65</f>
        <v>España</v>
      </c>
      <c r="I348" s="11" t="str">
        <f ca="1">+WORLDCUP!BD69</f>
        <v>Panamá</v>
      </c>
      <c r="J348" s="11" t="str">
        <f ca="1">+WORLDCUP!BD66</f>
        <v>Senegal</v>
      </c>
      <c r="N348" s="11" t="s">
        <v>898</v>
      </c>
      <c r="O348" s="11">
        <v>347</v>
      </c>
      <c r="P348" s="11" t="s">
        <v>93</v>
      </c>
      <c r="Q348" s="11" t="s">
        <v>435</v>
      </c>
      <c r="R348" s="11" t="s">
        <v>90</v>
      </c>
      <c r="S348" s="11" t="s">
        <v>92</v>
      </c>
      <c r="T348" s="11" t="s">
        <v>89</v>
      </c>
      <c r="U348" s="11" t="s">
        <v>436</v>
      </c>
      <c r="V348" s="11" t="s">
        <v>443</v>
      </c>
      <c r="W348" s="11" t="s">
        <v>440</v>
      </c>
    </row>
    <row r="349" spans="1:23">
      <c r="A349" s="11" t="s">
        <v>897</v>
      </c>
      <c r="B349" s="11">
        <f ca="1">+IF(A349=WORLDCUP!$BI$112,1,0)</f>
        <v>0</v>
      </c>
      <c r="C349" s="11" t="str">
        <f ca="1">+WORLDCUP!BD62</f>
        <v>Ecuador</v>
      </c>
      <c r="D349" s="11" t="str">
        <f ca="1">+WORLDCUP!BD64</f>
        <v>Bélgica</v>
      </c>
      <c r="E349" s="11" t="str">
        <f ca="1">+WORLDCUP!BD59</f>
        <v>Bosnia y Herzegovina</v>
      </c>
      <c r="F349" s="11" t="str">
        <f ca="1">+WORLDCUP!BD61</f>
        <v>Paraguay</v>
      </c>
      <c r="G349" s="11" t="str">
        <f ca="1">+WORLDCUP!BD58</f>
        <v>República Checa</v>
      </c>
      <c r="H349" s="11" t="str">
        <f ca="1">+WORLDCUP!BD65</f>
        <v>España</v>
      </c>
      <c r="I349" s="11" t="str">
        <f ca="1">+WORLDCUP!BD66</f>
        <v>Senegal</v>
      </c>
      <c r="J349" s="11" t="str">
        <f ca="1">+WORLDCUP!BD68</f>
        <v>RD Congo</v>
      </c>
      <c r="N349" s="11" t="s">
        <v>897</v>
      </c>
      <c r="O349" s="11">
        <v>348</v>
      </c>
      <c r="P349" s="11" t="s">
        <v>93</v>
      </c>
      <c r="Q349" s="11" t="s">
        <v>435</v>
      </c>
      <c r="R349" s="11" t="s">
        <v>90</v>
      </c>
      <c r="S349" s="11" t="s">
        <v>92</v>
      </c>
      <c r="T349" s="11" t="s">
        <v>89</v>
      </c>
      <c r="U349" s="11" t="s">
        <v>436</v>
      </c>
      <c r="V349" s="11" t="s">
        <v>440</v>
      </c>
      <c r="W349" s="11" t="s">
        <v>442</v>
      </c>
    </row>
    <row r="350" spans="1:23">
      <c r="A350" s="11" t="s">
        <v>896</v>
      </c>
      <c r="B350" s="11">
        <f ca="1">+IF(A350=WORLDCUP!$BI$112,1,0)</f>
        <v>0</v>
      </c>
      <c r="C350" s="11" t="str">
        <f ca="1">+WORLDCUP!BD65</f>
        <v>España</v>
      </c>
      <c r="D350" s="11" t="str">
        <f ca="1">+WORLDCUP!BD67</f>
        <v>Jordania</v>
      </c>
      <c r="E350" s="11" t="str">
        <f ca="1">+WORLDCUP!BD59</f>
        <v>Bosnia y Herzegovina</v>
      </c>
      <c r="F350" s="11" t="str">
        <f ca="1">+WORLDCUP!BD61</f>
        <v>Paraguay</v>
      </c>
      <c r="G350" s="11" t="str">
        <f ca="1">+WORLDCUP!BD58</f>
        <v>República Checa</v>
      </c>
      <c r="H350" s="11" t="str">
        <f ca="1">+WORLDCUP!BD64</f>
        <v>Bélgica</v>
      </c>
      <c r="I350" s="11" t="str">
        <f ca="1">+WORLDCUP!BD62</f>
        <v>Ecuador</v>
      </c>
      <c r="J350" s="11" t="str">
        <f ca="1">+WORLDCUP!BD66</f>
        <v>Senegal</v>
      </c>
      <c r="N350" s="11" t="s">
        <v>896</v>
      </c>
      <c r="O350" s="11">
        <v>349</v>
      </c>
      <c r="P350" s="11" t="s">
        <v>436</v>
      </c>
      <c r="Q350" s="11" t="s">
        <v>441</v>
      </c>
      <c r="R350" s="11" t="s">
        <v>90</v>
      </c>
      <c r="S350" s="11" t="s">
        <v>92</v>
      </c>
      <c r="T350" s="11" t="s">
        <v>89</v>
      </c>
      <c r="U350" s="11" t="s">
        <v>435</v>
      </c>
      <c r="V350" s="11" t="s">
        <v>93</v>
      </c>
      <c r="W350" s="11" t="s">
        <v>440</v>
      </c>
    </row>
    <row r="351" spans="1:23">
      <c r="A351" s="11" t="s">
        <v>895</v>
      </c>
      <c r="B351" s="11">
        <f ca="1">+IF(A351=WORLDCUP!$BI$112,1,0)</f>
        <v>0</v>
      </c>
      <c r="C351" s="11" t="str">
        <f ca="1">+WORLDCUP!BD62</f>
        <v>Ecuador</v>
      </c>
      <c r="D351" s="11" t="str">
        <f ca="1">+WORLDCUP!BD67</f>
        <v>Jordania</v>
      </c>
      <c r="E351" s="11" t="str">
        <f ca="1">+WORLDCUP!BD59</f>
        <v>Bosnia y Herzegovina</v>
      </c>
      <c r="F351" s="11" t="str">
        <f ca="1">+WORLDCUP!BD61</f>
        <v>Paraguay</v>
      </c>
      <c r="G351" s="11" t="str">
        <f ca="1">+WORLDCUP!BD58</f>
        <v>República Checa</v>
      </c>
      <c r="H351" s="11" t="str">
        <f ca="1">+WORLDCUP!BD63</f>
        <v>Japón</v>
      </c>
      <c r="I351" s="11" t="str">
        <f ca="1">+WORLDCUP!BD69</f>
        <v>Panamá</v>
      </c>
      <c r="J351" s="11" t="str">
        <f ca="1">+WORLDCUP!BD68</f>
        <v>RD Congo</v>
      </c>
      <c r="N351" s="11" t="s">
        <v>895</v>
      </c>
      <c r="O351" s="11">
        <v>350</v>
      </c>
      <c r="P351" s="11" t="s">
        <v>93</v>
      </c>
      <c r="Q351" s="11" t="s">
        <v>441</v>
      </c>
      <c r="R351" s="11" t="s">
        <v>90</v>
      </c>
      <c r="S351" s="11" t="s">
        <v>92</v>
      </c>
      <c r="T351" s="11" t="s">
        <v>89</v>
      </c>
      <c r="U351" s="11" t="s">
        <v>94</v>
      </c>
      <c r="V351" s="11" t="s">
        <v>443</v>
      </c>
      <c r="W351" s="11" t="s">
        <v>442</v>
      </c>
    </row>
    <row r="352" spans="1:23">
      <c r="A352" s="11" t="s">
        <v>894</v>
      </c>
      <c r="B352" s="11">
        <f ca="1">+IF(A352=WORLDCUP!$BI$112,1,0)</f>
        <v>0</v>
      </c>
      <c r="C352" s="11" t="str">
        <f ca="1">+WORLDCUP!BD62</f>
        <v>Ecuador</v>
      </c>
      <c r="D352" s="11" t="str">
        <f ca="1">+WORLDCUP!BD66</f>
        <v>Senegal</v>
      </c>
      <c r="E352" s="11" t="str">
        <f ca="1">+WORLDCUP!BD59</f>
        <v>Bosnia y Herzegovina</v>
      </c>
      <c r="F352" s="11" t="str">
        <f ca="1">+WORLDCUP!BD61</f>
        <v>Paraguay</v>
      </c>
      <c r="G352" s="11" t="str">
        <f ca="1">+WORLDCUP!BD58</f>
        <v>República Checa</v>
      </c>
      <c r="H352" s="11" t="str">
        <f ca="1">+WORLDCUP!BD63</f>
        <v>Japón</v>
      </c>
      <c r="I352" s="11" t="str">
        <f ca="1">+WORLDCUP!BD69</f>
        <v>Panamá</v>
      </c>
      <c r="J352" s="11" t="str">
        <f ca="1">+WORLDCUP!BD68</f>
        <v>RD Congo</v>
      </c>
      <c r="N352" s="11" t="s">
        <v>894</v>
      </c>
      <c r="O352" s="11">
        <v>351</v>
      </c>
      <c r="P352" s="11" t="s">
        <v>93</v>
      </c>
      <c r="Q352" s="11" t="s">
        <v>440</v>
      </c>
      <c r="R352" s="11" t="s">
        <v>90</v>
      </c>
      <c r="S352" s="11" t="s">
        <v>92</v>
      </c>
      <c r="T352" s="11" t="s">
        <v>89</v>
      </c>
      <c r="U352" s="11" t="s">
        <v>94</v>
      </c>
      <c r="V352" s="11" t="s">
        <v>443</v>
      </c>
      <c r="W352" s="11" t="s">
        <v>442</v>
      </c>
    </row>
    <row r="353" spans="1:23">
      <c r="A353" s="11" t="s">
        <v>893</v>
      </c>
      <c r="B353" s="11">
        <f ca="1">+IF(A353=WORLDCUP!$BI$112,1,0)</f>
        <v>0</v>
      </c>
      <c r="C353" s="11" t="str">
        <f ca="1">+WORLDCUP!BD62</f>
        <v>Ecuador</v>
      </c>
      <c r="D353" s="11" t="str">
        <f ca="1">+WORLDCUP!BD67</f>
        <v>Jordania</v>
      </c>
      <c r="E353" s="11" t="str">
        <f ca="1">+WORLDCUP!BD59</f>
        <v>Bosnia y Herzegovina</v>
      </c>
      <c r="F353" s="11" t="str">
        <f ca="1">+WORLDCUP!BD61</f>
        <v>Paraguay</v>
      </c>
      <c r="G353" s="11" t="str">
        <f ca="1">+WORLDCUP!BD58</f>
        <v>República Checa</v>
      </c>
      <c r="H353" s="11" t="str">
        <f ca="1">+WORLDCUP!BD63</f>
        <v>Japón</v>
      </c>
      <c r="I353" s="11" t="str">
        <f ca="1">+WORLDCUP!BD69</f>
        <v>Panamá</v>
      </c>
      <c r="J353" s="11" t="str">
        <f ca="1">+WORLDCUP!BD66</f>
        <v>Senegal</v>
      </c>
      <c r="N353" s="11" t="s">
        <v>893</v>
      </c>
      <c r="O353" s="11">
        <v>352</v>
      </c>
      <c r="P353" s="11" t="s">
        <v>93</v>
      </c>
      <c r="Q353" s="11" t="s">
        <v>441</v>
      </c>
      <c r="R353" s="11" t="s">
        <v>90</v>
      </c>
      <c r="S353" s="11" t="s">
        <v>92</v>
      </c>
      <c r="T353" s="11" t="s">
        <v>89</v>
      </c>
      <c r="U353" s="11" t="s">
        <v>94</v>
      </c>
      <c r="V353" s="11" t="s">
        <v>443</v>
      </c>
      <c r="W353" s="11" t="s">
        <v>440</v>
      </c>
    </row>
    <row r="354" spans="1:23">
      <c r="A354" s="11" t="s">
        <v>892</v>
      </c>
      <c r="B354" s="11">
        <f ca="1">+IF(A354=WORLDCUP!$BI$112,1,0)</f>
        <v>0</v>
      </c>
      <c r="C354" s="11" t="str">
        <f ca="1">+WORLDCUP!BD62</f>
        <v>Ecuador</v>
      </c>
      <c r="D354" s="11" t="str">
        <f ca="1">+WORLDCUP!BD67</f>
        <v>Jordania</v>
      </c>
      <c r="E354" s="11" t="str">
        <f ca="1">+WORLDCUP!BD59</f>
        <v>Bosnia y Herzegovina</v>
      </c>
      <c r="F354" s="11" t="str">
        <f ca="1">+WORLDCUP!BD61</f>
        <v>Paraguay</v>
      </c>
      <c r="G354" s="11" t="str">
        <f ca="1">+WORLDCUP!BD58</f>
        <v>República Checa</v>
      </c>
      <c r="H354" s="11" t="str">
        <f ca="1">+WORLDCUP!BD63</f>
        <v>Japón</v>
      </c>
      <c r="I354" s="11" t="str">
        <f ca="1">+WORLDCUP!BD66</f>
        <v>Senegal</v>
      </c>
      <c r="J354" s="11" t="str">
        <f ca="1">+WORLDCUP!BD68</f>
        <v>RD Congo</v>
      </c>
      <c r="N354" s="11" t="s">
        <v>892</v>
      </c>
      <c r="O354" s="11">
        <v>353</v>
      </c>
      <c r="P354" s="11" t="s">
        <v>93</v>
      </c>
      <c r="Q354" s="11" t="s">
        <v>441</v>
      </c>
      <c r="R354" s="11" t="s">
        <v>90</v>
      </c>
      <c r="S354" s="11" t="s">
        <v>92</v>
      </c>
      <c r="T354" s="11" t="s">
        <v>89</v>
      </c>
      <c r="U354" s="11" t="s">
        <v>94</v>
      </c>
      <c r="V354" s="11" t="s">
        <v>440</v>
      </c>
      <c r="W354" s="11" t="s">
        <v>442</v>
      </c>
    </row>
    <row r="355" spans="1:23">
      <c r="A355" s="11" t="s">
        <v>891</v>
      </c>
      <c r="B355" s="11">
        <f ca="1">+IF(A355=WORLDCUP!$BI$112,1,0)</f>
        <v>0</v>
      </c>
      <c r="C355" s="11" t="str">
        <f ca="1">+WORLDCUP!BD65</f>
        <v>España</v>
      </c>
      <c r="D355" s="11" t="str">
        <f ca="1">+WORLDCUP!BD62</f>
        <v>Ecuador</v>
      </c>
      <c r="E355" s="11" t="str">
        <f ca="1">+WORLDCUP!BD59</f>
        <v>Bosnia y Herzegovina</v>
      </c>
      <c r="F355" s="11" t="str">
        <f ca="1">+WORLDCUP!BD61</f>
        <v>Paraguay</v>
      </c>
      <c r="G355" s="11" t="str">
        <f ca="1">+WORLDCUP!BD58</f>
        <v>República Checa</v>
      </c>
      <c r="H355" s="11" t="str">
        <f ca="1">+WORLDCUP!BD63</f>
        <v>Japón</v>
      </c>
      <c r="I355" s="11" t="str">
        <f ca="1">+WORLDCUP!BD69</f>
        <v>Panamá</v>
      </c>
      <c r="J355" s="11" t="str">
        <f ca="1">+WORLDCUP!BD68</f>
        <v>RD Congo</v>
      </c>
      <c r="N355" s="11" t="s">
        <v>891</v>
      </c>
      <c r="O355" s="11">
        <v>354</v>
      </c>
      <c r="P355" s="11" t="s">
        <v>436</v>
      </c>
      <c r="Q355" s="11" t="s">
        <v>93</v>
      </c>
      <c r="R355" s="11" t="s">
        <v>90</v>
      </c>
      <c r="S355" s="11" t="s">
        <v>92</v>
      </c>
      <c r="T355" s="11" t="s">
        <v>89</v>
      </c>
      <c r="U355" s="11" t="s">
        <v>94</v>
      </c>
      <c r="V355" s="11" t="s">
        <v>443</v>
      </c>
      <c r="W355" s="11" t="s">
        <v>442</v>
      </c>
    </row>
    <row r="356" spans="1:23">
      <c r="A356" s="11" t="s">
        <v>890</v>
      </c>
      <c r="B356" s="11">
        <f ca="1">+IF(A356=WORLDCUP!$BI$112,1,0)</f>
        <v>0</v>
      </c>
      <c r="C356" s="11" t="str">
        <f ca="1">+WORLDCUP!BD65</f>
        <v>España</v>
      </c>
      <c r="D356" s="11" t="str">
        <f ca="1">+WORLDCUP!BD67</f>
        <v>Jordania</v>
      </c>
      <c r="E356" s="11" t="str">
        <f ca="1">+WORLDCUP!BD59</f>
        <v>Bosnia y Herzegovina</v>
      </c>
      <c r="F356" s="11" t="str">
        <f ca="1">+WORLDCUP!BD61</f>
        <v>Paraguay</v>
      </c>
      <c r="G356" s="11" t="str">
        <f ca="1">+WORLDCUP!BD58</f>
        <v>República Checa</v>
      </c>
      <c r="H356" s="11" t="str">
        <f ca="1">+WORLDCUP!BD63</f>
        <v>Japón</v>
      </c>
      <c r="I356" s="11" t="str">
        <f ca="1">+WORLDCUP!BD69</f>
        <v>Panamá</v>
      </c>
      <c r="J356" s="11" t="str">
        <f ca="1">+WORLDCUP!BD62</f>
        <v>Ecuador</v>
      </c>
      <c r="N356" s="11" t="s">
        <v>890</v>
      </c>
      <c r="O356" s="11">
        <v>355</v>
      </c>
      <c r="P356" s="11" t="s">
        <v>436</v>
      </c>
      <c r="Q356" s="11" t="s">
        <v>441</v>
      </c>
      <c r="R356" s="11" t="s">
        <v>90</v>
      </c>
      <c r="S356" s="11" t="s">
        <v>92</v>
      </c>
      <c r="T356" s="11" t="s">
        <v>89</v>
      </c>
      <c r="U356" s="11" t="s">
        <v>94</v>
      </c>
      <c r="V356" s="11" t="s">
        <v>443</v>
      </c>
      <c r="W356" s="11" t="s">
        <v>93</v>
      </c>
    </row>
    <row r="357" spans="1:23">
      <c r="A357" s="11" t="s">
        <v>889</v>
      </c>
      <c r="B357" s="11">
        <f ca="1">+IF(A357=WORLDCUP!$BI$112,1,0)</f>
        <v>0</v>
      </c>
      <c r="C357" s="11" t="str">
        <f ca="1">+WORLDCUP!BD65</f>
        <v>España</v>
      </c>
      <c r="D357" s="11" t="str">
        <f ca="1">+WORLDCUP!BD67</f>
        <v>Jordania</v>
      </c>
      <c r="E357" s="11" t="str">
        <f ca="1">+WORLDCUP!BD59</f>
        <v>Bosnia y Herzegovina</v>
      </c>
      <c r="F357" s="11" t="str">
        <f ca="1">+WORLDCUP!BD61</f>
        <v>Paraguay</v>
      </c>
      <c r="G357" s="11" t="str">
        <f ca="1">+WORLDCUP!BD58</f>
        <v>República Checa</v>
      </c>
      <c r="H357" s="11" t="str">
        <f ca="1">+WORLDCUP!BD63</f>
        <v>Japón</v>
      </c>
      <c r="I357" s="11" t="str">
        <f ca="1">+WORLDCUP!BD62</f>
        <v>Ecuador</v>
      </c>
      <c r="J357" s="11" t="str">
        <f ca="1">+WORLDCUP!BD68</f>
        <v>RD Congo</v>
      </c>
      <c r="N357" s="11" t="s">
        <v>889</v>
      </c>
      <c r="O357" s="11">
        <v>356</v>
      </c>
      <c r="P357" s="11" t="s">
        <v>436</v>
      </c>
      <c r="Q357" s="11" t="s">
        <v>441</v>
      </c>
      <c r="R357" s="11" t="s">
        <v>90</v>
      </c>
      <c r="S357" s="11" t="s">
        <v>92</v>
      </c>
      <c r="T357" s="11" t="s">
        <v>89</v>
      </c>
      <c r="U357" s="11" t="s">
        <v>94</v>
      </c>
      <c r="V357" s="11" t="s">
        <v>93</v>
      </c>
      <c r="W357" s="11" t="s">
        <v>442</v>
      </c>
    </row>
    <row r="358" spans="1:23">
      <c r="A358" s="11" t="s">
        <v>888</v>
      </c>
      <c r="B358" s="11">
        <f ca="1">+IF(A358=WORLDCUP!$BI$112,1,0)</f>
        <v>0</v>
      </c>
      <c r="C358" s="11" t="str">
        <f ca="1">+WORLDCUP!BD65</f>
        <v>España</v>
      </c>
      <c r="D358" s="11" t="str">
        <f ca="1">+WORLDCUP!BD62</f>
        <v>Ecuador</v>
      </c>
      <c r="E358" s="11" t="str">
        <f ca="1">+WORLDCUP!BD59</f>
        <v>Bosnia y Herzegovina</v>
      </c>
      <c r="F358" s="11" t="str">
        <f ca="1">+WORLDCUP!BD61</f>
        <v>Paraguay</v>
      </c>
      <c r="G358" s="11" t="str">
        <f ca="1">+WORLDCUP!BD58</f>
        <v>República Checa</v>
      </c>
      <c r="H358" s="11" t="str">
        <f ca="1">+WORLDCUP!BD63</f>
        <v>Japón</v>
      </c>
      <c r="I358" s="11" t="str">
        <f ca="1">+WORLDCUP!BD69</f>
        <v>Panamá</v>
      </c>
      <c r="J358" s="11" t="str">
        <f ca="1">+WORLDCUP!BD66</f>
        <v>Senegal</v>
      </c>
      <c r="N358" s="11" t="s">
        <v>888</v>
      </c>
      <c r="O358" s="11">
        <v>357</v>
      </c>
      <c r="P358" s="11" t="s">
        <v>436</v>
      </c>
      <c r="Q358" s="11" t="s">
        <v>93</v>
      </c>
      <c r="R358" s="11" t="s">
        <v>90</v>
      </c>
      <c r="S358" s="11" t="s">
        <v>92</v>
      </c>
      <c r="T358" s="11" t="s">
        <v>89</v>
      </c>
      <c r="U358" s="11" t="s">
        <v>94</v>
      </c>
      <c r="V358" s="11" t="s">
        <v>443</v>
      </c>
      <c r="W358" s="11" t="s">
        <v>440</v>
      </c>
    </row>
    <row r="359" spans="1:23">
      <c r="A359" s="11" t="s">
        <v>887</v>
      </c>
      <c r="B359" s="11">
        <f ca="1">+IF(A359=WORLDCUP!$BI$112,1,0)</f>
        <v>0</v>
      </c>
      <c r="C359" s="11" t="str">
        <f ca="1">+WORLDCUP!BD65</f>
        <v>España</v>
      </c>
      <c r="D359" s="11" t="str">
        <f ca="1">+WORLDCUP!BD62</f>
        <v>Ecuador</v>
      </c>
      <c r="E359" s="11" t="str">
        <f ca="1">+WORLDCUP!BD59</f>
        <v>Bosnia y Herzegovina</v>
      </c>
      <c r="F359" s="11" t="str">
        <f ca="1">+WORLDCUP!BD61</f>
        <v>Paraguay</v>
      </c>
      <c r="G359" s="11" t="str">
        <f ca="1">+WORLDCUP!BD58</f>
        <v>República Checa</v>
      </c>
      <c r="H359" s="11" t="str">
        <f ca="1">+WORLDCUP!BD63</f>
        <v>Japón</v>
      </c>
      <c r="I359" s="11" t="str">
        <f ca="1">+WORLDCUP!BD66</f>
        <v>Senegal</v>
      </c>
      <c r="J359" s="11" t="str">
        <f ca="1">+WORLDCUP!BD68</f>
        <v>RD Congo</v>
      </c>
      <c r="N359" s="11" t="s">
        <v>887</v>
      </c>
      <c r="O359" s="11">
        <v>358</v>
      </c>
      <c r="P359" s="11" t="s">
        <v>436</v>
      </c>
      <c r="Q359" s="11" t="s">
        <v>93</v>
      </c>
      <c r="R359" s="11" t="s">
        <v>90</v>
      </c>
      <c r="S359" s="11" t="s">
        <v>92</v>
      </c>
      <c r="T359" s="11" t="s">
        <v>89</v>
      </c>
      <c r="U359" s="11" t="s">
        <v>94</v>
      </c>
      <c r="V359" s="11" t="s">
        <v>440</v>
      </c>
      <c r="W359" s="11" t="s">
        <v>442</v>
      </c>
    </row>
    <row r="360" spans="1:23">
      <c r="A360" s="11" t="s">
        <v>886</v>
      </c>
      <c r="B360" s="11">
        <f ca="1">+IF(A360=WORLDCUP!$BI$112,1,0)</f>
        <v>0</v>
      </c>
      <c r="C360" s="11" t="str">
        <f ca="1">+WORLDCUP!BD65</f>
        <v>España</v>
      </c>
      <c r="D360" s="11" t="str">
        <f ca="1">+WORLDCUP!BD67</f>
        <v>Jordania</v>
      </c>
      <c r="E360" s="11" t="str">
        <f ca="1">+WORLDCUP!BD59</f>
        <v>Bosnia y Herzegovina</v>
      </c>
      <c r="F360" s="11" t="str">
        <f ca="1">+WORLDCUP!BD61</f>
        <v>Paraguay</v>
      </c>
      <c r="G360" s="11" t="str">
        <f ca="1">+WORLDCUP!BD58</f>
        <v>República Checa</v>
      </c>
      <c r="H360" s="11" t="str">
        <f ca="1">+WORLDCUP!BD63</f>
        <v>Japón</v>
      </c>
      <c r="I360" s="11" t="str">
        <f ca="1">+WORLDCUP!BD62</f>
        <v>Ecuador</v>
      </c>
      <c r="J360" s="11" t="str">
        <f ca="1">+WORLDCUP!BD66</f>
        <v>Senegal</v>
      </c>
      <c r="N360" s="11" t="s">
        <v>886</v>
      </c>
      <c r="O360" s="11">
        <v>359</v>
      </c>
      <c r="P360" s="11" t="s">
        <v>436</v>
      </c>
      <c r="Q360" s="11" t="s">
        <v>441</v>
      </c>
      <c r="R360" s="11" t="s">
        <v>90</v>
      </c>
      <c r="S360" s="11" t="s">
        <v>92</v>
      </c>
      <c r="T360" s="11" t="s">
        <v>89</v>
      </c>
      <c r="U360" s="11" t="s">
        <v>94</v>
      </c>
      <c r="V360" s="11" t="s">
        <v>93</v>
      </c>
      <c r="W360" s="11" t="s">
        <v>440</v>
      </c>
    </row>
    <row r="361" spans="1:23">
      <c r="A361" s="11" t="s">
        <v>885</v>
      </c>
      <c r="B361" s="11">
        <f ca="1">+IF(A361=WORLDCUP!$BI$112,1,0)</f>
        <v>0</v>
      </c>
      <c r="C361" s="11" t="str">
        <f ca="1">+WORLDCUP!BD62</f>
        <v>Ecuador</v>
      </c>
      <c r="D361" s="11" t="str">
        <f ca="1">+WORLDCUP!BD64</f>
        <v>Bélgica</v>
      </c>
      <c r="E361" s="11" t="str">
        <f ca="1">+WORLDCUP!BD59</f>
        <v>Bosnia y Herzegovina</v>
      </c>
      <c r="F361" s="11" t="str">
        <f ca="1">+WORLDCUP!BD61</f>
        <v>Paraguay</v>
      </c>
      <c r="G361" s="11" t="str">
        <f ca="1">+WORLDCUP!BD58</f>
        <v>República Checa</v>
      </c>
      <c r="H361" s="11" t="str">
        <f ca="1">+WORLDCUP!BD63</f>
        <v>Japón</v>
      </c>
      <c r="I361" s="11" t="str">
        <f ca="1">+WORLDCUP!BD69</f>
        <v>Panamá</v>
      </c>
      <c r="J361" s="11" t="str">
        <f ca="1">+WORLDCUP!BD68</f>
        <v>RD Congo</v>
      </c>
      <c r="N361" s="11" t="s">
        <v>885</v>
      </c>
      <c r="O361" s="11">
        <v>360</v>
      </c>
      <c r="P361" s="11" t="s">
        <v>93</v>
      </c>
      <c r="Q361" s="11" t="s">
        <v>435</v>
      </c>
      <c r="R361" s="11" t="s">
        <v>90</v>
      </c>
      <c r="S361" s="11" t="s">
        <v>92</v>
      </c>
      <c r="T361" s="11" t="s">
        <v>89</v>
      </c>
      <c r="U361" s="11" t="s">
        <v>94</v>
      </c>
      <c r="V361" s="11" t="s">
        <v>443</v>
      </c>
      <c r="W361" s="11" t="s">
        <v>442</v>
      </c>
    </row>
    <row r="362" spans="1:23">
      <c r="A362" s="11" t="s">
        <v>884</v>
      </c>
      <c r="B362" s="11">
        <f ca="1">+IF(A362=WORLDCUP!$BI$112,1,0)</f>
        <v>0</v>
      </c>
      <c r="C362" s="11" t="str">
        <f ca="1">+WORLDCUP!BD62</f>
        <v>Ecuador</v>
      </c>
      <c r="D362" s="11" t="str">
        <f ca="1">+WORLDCUP!BD64</f>
        <v>Bélgica</v>
      </c>
      <c r="E362" s="11" t="str">
        <f ca="1">+WORLDCUP!BD59</f>
        <v>Bosnia y Herzegovina</v>
      </c>
      <c r="F362" s="11" t="str">
        <f ca="1">+WORLDCUP!BD61</f>
        <v>Paraguay</v>
      </c>
      <c r="G362" s="11" t="str">
        <f ca="1">+WORLDCUP!BD58</f>
        <v>República Checa</v>
      </c>
      <c r="H362" s="11" t="str">
        <f ca="1">+WORLDCUP!BD63</f>
        <v>Japón</v>
      </c>
      <c r="I362" s="11" t="str">
        <f ca="1">+WORLDCUP!BD69</f>
        <v>Panamá</v>
      </c>
      <c r="J362" s="11" t="str">
        <f ca="1">+WORLDCUP!BD67</f>
        <v>Jordania</v>
      </c>
      <c r="N362" s="11" t="s">
        <v>884</v>
      </c>
      <c r="O362" s="11">
        <v>361</v>
      </c>
      <c r="P362" s="11" t="s">
        <v>93</v>
      </c>
      <c r="Q362" s="11" t="s">
        <v>435</v>
      </c>
      <c r="R362" s="11" t="s">
        <v>90</v>
      </c>
      <c r="S362" s="11" t="s">
        <v>92</v>
      </c>
      <c r="T362" s="11" t="s">
        <v>89</v>
      </c>
      <c r="U362" s="11" t="s">
        <v>94</v>
      </c>
      <c r="V362" s="11" t="s">
        <v>443</v>
      </c>
      <c r="W362" s="11" t="s">
        <v>441</v>
      </c>
    </row>
    <row r="363" spans="1:23">
      <c r="A363" s="11" t="s">
        <v>883</v>
      </c>
      <c r="B363" s="11">
        <f ca="1">+IF(A363=WORLDCUP!$BI$112,1,0)</f>
        <v>0</v>
      </c>
      <c r="C363" s="11" t="str">
        <f ca="1">+WORLDCUP!BD62</f>
        <v>Ecuador</v>
      </c>
      <c r="D363" s="11" t="str">
        <f ca="1">+WORLDCUP!BD64</f>
        <v>Bélgica</v>
      </c>
      <c r="E363" s="11" t="str">
        <f ca="1">+WORLDCUP!BD59</f>
        <v>Bosnia y Herzegovina</v>
      </c>
      <c r="F363" s="11" t="str">
        <f ca="1">+WORLDCUP!BD61</f>
        <v>Paraguay</v>
      </c>
      <c r="G363" s="11" t="str">
        <f ca="1">+WORLDCUP!BD58</f>
        <v>República Checa</v>
      </c>
      <c r="H363" s="11" t="str">
        <f ca="1">+WORLDCUP!BD63</f>
        <v>Japón</v>
      </c>
      <c r="I363" s="11" t="str">
        <f ca="1">+WORLDCUP!BD67</f>
        <v>Jordania</v>
      </c>
      <c r="J363" s="11" t="str">
        <f ca="1">+WORLDCUP!BD68</f>
        <v>RD Congo</v>
      </c>
      <c r="N363" s="11" t="s">
        <v>883</v>
      </c>
      <c r="O363" s="11">
        <v>362</v>
      </c>
      <c r="P363" s="11" t="s">
        <v>93</v>
      </c>
      <c r="Q363" s="11" t="s">
        <v>435</v>
      </c>
      <c r="R363" s="11" t="s">
        <v>90</v>
      </c>
      <c r="S363" s="11" t="s">
        <v>92</v>
      </c>
      <c r="T363" s="11" t="s">
        <v>89</v>
      </c>
      <c r="U363" s="11" t="s">
        <v>94</v>
      </c>
      <c r="V363" s="11" t="s">
        <v>441</v>
      </c>
      <c r="W363" s="11" t="s">
        <v>442</v>
      </c>
    </row>
    <row r="364" spans="1:23">
      <c r="A364" s="11" t="s">
        <v>882</v>
      </c>
      <c r="B364" s="11">
        <f ca="1">+IF(A364=WORLDCUP!$BI$112,1,0)</f>
        <v>0</v>
      </c>
      <c r="C364" s="11" t="str">
        <f ca="1">+WORLDCUP!BD62</f>
        <v>Ecuador</v>
      </c>
      <c r="D364" s="11" t="str">
        <f ca="1">+WORLDCUP!BD64</f>
        <v>Bélgica</v>
      </c>
      <c r="E364" s="11" t="str">
        <f ca="1">+WORLDCUP!BD59</f>
        <v>Bosnia y Herzegovina</v>
      </c>
      <c r="F364" s="11" t="str">
        <f ca="1">+WORLDCUP!BD61</f>
        <v>Paraguay</v>
      </c>
      <c r="G364" s="11" t="str">
        <f ca="1">+WORLDCUP!BD58</f>
        <v>República Checa</v>
      </c>
      <c r="H364" s="11" t="str">
        <f ca="1">+WORLDCUP!BD63</f>
        <v>Japón</v>
      </c>
      <c r="I364" s="11" t="str">
        <f ca="1">+WORLDCUP!BD69</f>
        <v>Panamá</v>
      </c>
      <c r="J364" s="11" t="str">
        <f ca="1">+WORLDCUP!BD66</f>
        <v>Senegal</v>
      </c>
      <c r="N364" s="11" t="s">
        <v>882</v>
      </c>
      <c r="O364" s="11">
        <v>363</v>
      </c>
      <c r="P364" s="11" t="s">
        <v>93</v>
      </c>
      <c r="Q364" s="11" t="s">
        <v>435</v>
      </c>
      <c r="R364" s="11" t="s">
        <v>90</v>
      </c>
      <c r="S364" s="11" t="s">
        <v>92</v>
      </c>
      <c r="T364" s="11" t="s">
        <v>89</v>
      </c>
      <c r="U364" s="11" t="s">
        <v>94</v>
      </c>
      <c r="V364" s="11" t="s">
        <v>443</v>
      </c>
      <c r="W364" s="11" t="s">
        <v>440</v>
      </c>
    </row>
    <row r="365" spans="1:23">
      <c r="A365" s="11" t="s">
        <v>881</v>
      </c>
      <c r="B365" s="11">
        <f ca="1">+IF(A365=WORLDCUP!$BI$112,1,0)</f>
        <v>0</v>
      </c>
      <c r="C365" s="11" t="str">
        <f ca="1">+WORLDCUP!BD62</f>
        <v>Ecuador</v>
      </c>
      <c r="D365" s="11" t="str">
        <f ca="1">+WORLDCUP!BD64</f>
        <v>Bélgica</v>
      </c>
      <c r="E365" s="11" t="str">
        <f ca="1">+WORLDCUP!BD59</f>
        <v>Bosnia y Herzegovina</v>
      </c>
      <c r="F365" s="11" t="str">
        <f ca="1">+WORLDCUP!BD61</f>
        <v>Paraguay</v>
      </c>
      <c r="G365" s="11" t="str">
        <f ca="1">+WORLDCUP!BD58</f>
        <v>República Checa</v>
      </c>
      <c r="H365" s="11" t="str">
        <f ca="1">+WORLDCUP!BD63</f>
        <v>Japón</v>
      </c>
      <c r="I365" s="11" t="str">
        <f ca="1">+WORLDCUP!BD66</f>
        <v>Senegal</v>
      </c>
      <c r="J365" s="11" t="str">
        <f ca="1">+WORLDCUP!BD68</f>
        <v>RD Congo</v>
      </c>
      <c r="N365" s="11" t="s">
        <v>881</v>
      </c>
      <c r="O365" s="11">
        <v>364</v>
      </c>
      <c r="P365" s="11" t="s">
        <v>93</v>
      </c>
      <c r="Q365" s="11" t="s">
        <v>435</v>
      </c>
      <c r="R365" s="11" t="s">
        <v>90</v>
      </c>
      <c r="S365" s="11" t="s">
        <v>92</v>
      </c>
      <c r="T365" s="11" t="s">
        <v>89</v>
      </c>
      <c r="U365" s="11" t="s">
        <v>94</v>
      </c>
      <c r="V365" s="11" t="s">
        <v>440</v>
      </c>
      <c r="W365" s="11" t="s">
        <v>442</v>
      </c>
    </row>
    <row r="366" spans="1:23">
      <c r="A366" s="11" t="s">
        <v>880</v>
      </c>
      <c r="B366" s="11">
        <f ca="1">+IF(A366=WORLDCUP!$BI$112,1,0)</f>
        <v>0</v>
      </c>
      <c r="C366" s="11" t="str">
        <f ca="1">+WORLDCUP!BD62</f>
        <v>Ecuador</v>
      </c>
      <c r="D366" s="11" t="str">
        <f ca="1">+WORLDCUP!BD64</f>
        <v>Bélgica</v>
      </c>
      <c r="E366" s="11" t="str">
        <f ca="1">+WORLDCUP!BD59</f>
        <v>Bosnia y Herzegovina</v>
      </c>
      <c r="F366" s="11" t="str">
        <f ca="1">+WORLDCUP!BD61</f>
        <v>Paraguay</v>
      </c>
      <c r="G366" s="11" t="str">
        <f ca="1">+WORLDCUP!BD58</f>
        <v>República Checa</v>
      </c>
      <c r="H366" s="11" t="str">
        <f ca="1">+WORLDCUP!BD63</f>
        <v>Japón</v>
      </c>
      <c r="I366" s="11" t="str">
        <f ca="1">+WORLDCUP!BD66</f>
        <v>Senegal</v>
      </c>
      <c r="J366" s="11" t="str">
        <f ca="1">+WORLDCUP!BD67</f>
        <v>Jordania</v>
      </c>
      <c r="N366" s="11" t="s">
        <v>880</v>
      </c>
      <c r="O366" s="11">
        <v>365</v>
      </c>
      <c r="P366" s="11" t="s">
        <v>93</v>
      </c>
      <c r="Q366" s="11" t="s">
        <v>435</v>
      </c>
      <c r="R366" s="11" t="s">
        <v>90</v>
      </c>
      <c r="S366" s="11" t="s">
        <v>92</v>
      </c>
      <c r="T366" s="11" t="s">
        <v>89</v>
      </c>
      <c r="U366" s="11" t="s">
        <v>94</v>
      </c>
      <c r="V366" s="11" t="s">
        <v>440</v>
      </c>
      <c r="W366" s="11" t="s">
        <v>441</v>
      </c>
    </row>
    <row r="367" spans="1:23">
      <c r="A367" s="11" t="s">
        <v>879</v>
      </c>
      <c r="B367" s="11">
        <f ca="1">+IF(A367=WORLDCUP!$BI$112,1,0)</f>
        <v>0</v>
      </c>
      <c r="C367" s="11" t="str">
        <f ca="1">+WORLDCUP!BD65</f>
        <v>España</v>
      </c>
      <c r="D367" s="11" t="str">
        <f ca="1">+WORLDCUP!BD64</f>
        <v>Bélgica</v>
      </c>
      <c r="E367" s="11" t="str">
        <f ca="1">+WORLDCUP!BD59</f>
        <v>Bosnia y Herzegovina</v>
      </c>
      <c r="F367" s="11" t="str">
        <f ca="1">+WORLDCUP!BD61</f>
        <v>Paraguay</v>
      </c>
      <c r="G367" s="11" t="str">
        <f ca="1">+WORLDCUP!BD58</f>
        <v>República Checa</v>
      </c>
      <c r="H367" s="11" t="str">
        <f ca="1">+WORLDCUP!BD63</f>
        <v>Japón</v>
      </c>
      <c r="I367" s="11" t="str">
        <f ca="1">+WORLDCUP!BD69</f>
        <v>Panamá</v>
      </c>
      <c r="J367" s="11" t="str">
        <f ca="1">+WORLDCUP!BD62</f>
        <v>Ecuador</v>
      </c>
      <c r="N367" s="11" t="s">
        <v>879</v>
      </c>
      <c r="O367" s="11">
        <v>366</v>
      </c>
      <c r="P367" s="11" t="s">
        <v>436</v>
      </c>
      <c r="Q367" s="11" t="s">
        <v>435</v>
      </c>
      <c r="R367" s="11" t="s">
        <v>90</v>
      </c>
      <c r="S367" s="11" t="s">
        <v>92</v>
      </c>
      <c r="T367" s="11" t="s">
        <v>89</v>
      </c>
      <c r="U367" s="11" t="s">
        <v>94</v>
      </c>
      <c r="V367" s="11" t="s">
        <v>443</v>
      </c>
      <c r="W367" s="11" t="s">
        <v>93</v>
      </c>
    </row>
    <row r="368" spans="1:23">
      <c r="A368" s="11" t="s">
        <v>878</v>
      </c>
      <c r="B368" s="11">
        <f ca="1">+IF(A368=WORLDCUP!$BI$112,1,0)</f>
        <v>0</v>
      </c>
      <c r="C368" s="11" t="str">
        <f ca="1">+WORLDCUP!BD65</f>
        <v>España</v>
      </c>
      <c r="D368" s="11" t="str">
        <f ca="1">+WORLDCUP!BD64</f>
        <v>Bélgica</v>
      </c>
      <c r="E368" s="11" t="str">
        <f ca="1">+WORLDCUP!BD59</f>
        <v>Bosnia y Herzegovina</v>
      </c>
      <c r="F368" s="11" t="str">
        <f ca="1">+WORLDCUP!BD61</f>
        <v>Paraguay</v>
      </c>
      <c r="G368" s="11" t="str">
        <f ca="1">+WORLDCUP!BD58</f>
        <v>República Checa</v>
      </c>
      <c r="H368" s="11" t="str">
        <f ca="1">+WORLDCUP!BD63</f>
        <v>Japón</v>
      </c>
      <c r="I368" s="11" t="str">
        <f ca="1">+WORLDCUP!BD62</f>
        <v>Ecuador</v>
      </c>
      <c r="J368" s="11" t="str">
        <f ca="1">+WORLDCUP!BD68</f>
        <v>RD Congo</v>
      </c>
      <c r="N368" s="11" t="s">
        <v>878</v>
      </c>
      <c r="O368" s="11">
        <v>367</v>
      </c>
      <c r="P368" s="11" t="s">
        <v>436</v>
      </c>
      <c r="Q368" s="11" t="s">
        <v>435</v>
      </c>
      <c r="R368" s="11" t="s">
        <v>90</v>
      </c>
      <c r="S368" s="11" t="s">
        <v>92</v>
      </c>
      <c r="T368" s="11" t="s">
        <v>89</v>
      </c>
      <c r="U368" s="11" t="s">
        <v>94</v>
      </c>
      <c r="V368" s="11" t="s">
        <v>93</v>
      </c>
      <c r="W368" s="11" t="s">
        <v>442</v>
      </c>
    </row>
    <row r="369" spans="1:23">
      <c r="A369" s="11" t="s">
        <v>877</v>
      </c>
      <c r="B369" s="11">
        <f ca="1">+IF(A369=WORLDCUP!$BI$112,1,0)</f>
        <v>0</v>
      </c>
      <c r="C369" s="11" t="str">
        <f ca="1">+WORLDCUP!BD65</f>
        <v>España</v>
      </c>
      <c r="D369" s="11" t="str">
        <f ca="1">+WORLDCUP!BD64</f>
        <v>Bélgica</v>
      </c>
      <c r="E369" s="11" t="str">
        <f ca="1">+WORLDCUP!BD59</f>
        <v>Bosnia y Herzegovina</v>
      </c>
      <c r="F369" s="11" t="str">
        <f ca="1">+WORLDCUP!BD61</f>
        <v>Paraguay</v>
      </c>
      <c r="G369" s="11" t="str">
        <f ca="1">+WORLDCUP!BD58</f>
        <v>República Checa</v>
      </c>
      <c r="H369" s="11" t="str">
        <f ca="1">+WORLDCUP!BD63</f>
        <v>Japón</v>
      </c>
      <c r="I369" s="11" t="str">
        <f ca="1">+WORLDCUP!BD62</f>
        <v>Ecuador</v>
      </c>
      <c r="J369" s="11" t="str">
        <f ca="1">+WORLDCUP!BD67</f>
        <v>Jordania</v>
      </c>
      <c r="N369" s="11" t="s">
        <v>877</v>
      </c>
      <c r="O369" s="11">
        <v>368</v>
      </c>
      <c r="P369" s="11" t="s">
        <v>436</v>
      </c>
      <c r="Q369" s="11" t="s">
        <v>435</v>
      </c>
      <c r="R369" s="11" t="s">
        <v>90</v>
      </c>
      <c r="S369" s="11" t="s">
        <v>92</v>
      </c>
      <c r="T369" s="11" t="s">
        <v>89</v>
      </c>
      <c r="U369" s="11" t="s">
        <v>94</v>
      </c>
      <c r="V369" s="11" t="s">
        <v>93</v>
      </c>
      <c r="W369" s="11" t="s">
        <v>441</v>
      </c>
    </row>
    <row r="370" spans="1:23">
      <c r="A370" s="11" t="s">
        <v>876</v>
      </c>
      <c r="B370" s="11">
        <f ca="1">+IF(A370=WORLDCUP!$BI$112,1,0)</f>
        <v>0</v>
      </c>
      <c r="C370" s="11" t="str">
        <f ca="1">+WORLDCUP!BD65</f>
        <v>España</v>
      </c>
      <c r="D370" s="11" t="str">
        <f ca="1">+WORLDCUP!BD64</f>
        <v>Bélgica</v>
      </c>
      <c r="E370" s="11" t="str">
        <f ca="1">+WORLDCUP!BD59</f>
        <v>Bosnia y Herzegovina</v>
      </c>
      <c r="F370" s="11" t="str">
        <f ca="1">+WORLDCUP!BD61</f>
        <v>Paraguay</v>
      </c>
      <c r="G370" s="11" t="str">
        <f ca="1">+WORLDCUP!BD58</f>
        <v>República Checa</v>
      </c>
      <c r="H370" s="11" t="str">
        <f ca="1">+WORLDCUP!BD63</f>
        <v>Japón</v>
      </c>
      <c r="I370" s="11" t="str">
        <f ca="1">+WORLDCUP!BD62</f>
        <v>Ecuador</v>
      </c>
      <c r="J370" s="11" t="str">
        <f ca="1">+WORLDCUP!BD66</f>
        <v>Senegal</v>
      </c>
      <c r="N370" s="11" t="s">
        <v>876</v>
      </c>
      <c r="O370" s="11">
        <v>369</v>
      </c>
      <c r="P370" s="11" t="s">
        <v>436</v>
      </c>
      <c r="Q370" s="11" t="s">
        <v>435</v>
      </c>
      <c r="R370" s="11" t="s">
        <v>90</v>
      </c>
      <c r="S370" s="11" t="s">
        <v>92</v>
      </c>
      <c r="T370" s="11" t="s">
        <v>89</v>
      </c>
      <c r="U370" s="11" t="s">
        <v>94</v>
      </c>
      <c r="V370" s="11" t="s">
        <v>93</v>
      </c>
      <c r="W370" s="11" t="s">
        <v>440</v>
      </c>
    </row>
    <row r="371" spans="1:23">
      <c r="A371" s="11" t="s">
        <v>875</v>
      </c>
      <c r="B371" s="11">
        <f ca="1">+IF(A371=WORLDCUP!$BI$112,1,0)</f>
        <v>0</v>
      </c>
      <c r="C371" s="11" t="str">
        <f ca="1">+WORLDCUP!BD66</f>
        <v>Senegal</v>
      </c>
      <c r="D371" s="11" t="str">
        <f ca="1">+WORLDCUP!BD67</f>
        <v>Jordania</v>
      </c>
      <c r="E371" s="11" t="str">
        <f ca="1">+WORLDCUP!BD59</f>
        <v>Bosnia y Herzegovina</v>
      </c>
      <c r="F371" s="11" t="str">
        <f ca="1">+WORLDCUP!BD60</f>
        <v>Escocia</v>
      </c>
      <c r="G371" s="11" t="str">
        <f ca="1">+WORLDCUP!BD58</f>
        <v>República Checa</v>
      </c>
      <c r="H371" s="11" t="str">
        <f ca="1">+WORLDCUP!BD65</f>
        <v>España</v>
      </c>
      <c r="I371" s="11" t="str">
        <f ca="1">+WORLDCUP!BD69</f>
        <v>Panamá</v>
      </c>
      <c r="J371" s="11" t="str">
        <f ca="1">+WORLDCUP!BD68</f>
        <v>RD Congo</v>
      </c>
      <c r="N371" s="11" t="s">
        <v>875</v>
      </c>
      <c r="O371" s="11">
        <v>370</v>
      </c>
      <c r="P371" s="11" t="s">
        <v>440</v>
      </c>
      <c r="Q371" s="11" t="s">
        <v>441</v>
      </c>
      <c r="R371" s="11" t="s">
        <v>90</v>
      </c>
      <c r="S371" s="11" t="s">
        <v>91</v>
      </c>
      <c r="T371" s="11" t="s">
        <v>89</v>
      </c>
      <c r="U371" s="11" t="s">
        <v>436</v>
      </c>
      <c r="V371" s="11" t="s">
        <v>443</v>
      </c>
      <c r="W371" s="11" t="s">
        <v>442</v>
      </c>
    </row>
    <row r="372" spans="1:23">
      <c r="A372" s="11" t="s">
        <v>874</v>
      </c>
      <c r="B372" s="11">
        <f ca="1">+IF(A372=WORLDCUP!$BI$112,1,0)</f>
        <v>0</v>
      </c>
      <c r="C372" s="11" t="str">
        <f ca="1">+WORLDCUP!BD66</f>
        <v>Senegal</v>
      </c>
      <c r="D372" s="11" t="str">
        <f ca="1">+WORLDCUP!BD67</f>
        <v>Jordania</v>
      </c>
      <c r="E372" s="11" t="str">
        <f ca="1">+WORLDCUP!BD59</f>
        <v>Bosnia y Herzegovina</v>
      </c>
      <c r="F372" s="11" t="str">
        <f ca="1">+WORLDCUP!BD60</f>
        <v>Escocia</v>
      </c>
      <c r="G372" s="11" t="str">
        <f ca="1">+WORLDCUP!BD58</f>
        <v>República Checa</v>
      </c>
      <c r="H372" s="11" t="str">
        <f ca="1">+WORLDCUP!BD64</f>
        <v>Bélgica</v>
      </c>
      <c r="I372" s="11" t="str">
        <f ca="1">+WORLDCUP!BD69</f>
        <v>Panamá</v>
      </c>
      <c r="J372" s="11" t="str">
        <f ca="1">+WORLDCUP!BD68</f>
        <v>RD Congo</v>
      </c>
      <c r="N372" s="11" t="s">
        <v>874</v>
      </c>
      <c r="O372" s="11">
        <v>371</v>
      </c>
      <c r="P372" s="11" t="s">
        <v>440</v>
      </c>
      <c r="Q372" s="11" t="s">
        <v>441</v>
      </c>
      <c r="R372" s="11" t="s">
        <v>90</v>
      </c>
      <c r="S372" s="11" t="s">
        <v>91</v>
      </c>
      <c r="T372" s="11" t="s">
        <v>89</v>
      </c>
      <c r="U372" s="11" t="s">
        <v>435</v>
      </c>
      <c r="V372" s="11" t="s">
        <v>443</v>
      </c>
      <c r="W372" s="11" t="s">
        <v>442</v>
      </c>
    </row>
    <row r="373" spans="1:23">
      <c r="A373" s="11" t="s">
        <v>873</v>
      </c>
      <c r="B373" s="11">
        <f ca="1">+IF(A373=WORLDCUP!$BI$112,1,0)</f>
        <v>0</v>
      </c>
      <c r="C373" s="11" t="str">
        <f ca="1">+WORLDCUP!BD65</f>
        <v>España</v>
      </c>
      <c r="D373" s="11" t="str">
        <f ca="1">+WORLDCUP!BD67</f>
        <v>Jordania</v>
      </c>
      <c r="E373" s="11" t="str">
        <f ca="1">+WORLDCUP!BD59</f>
        <v>Bosnia y Herzegovina</v>
      </c>
      <c r="F373" s="11" t="str">
        <f ca="1">+WORLDCUP!BD60</f>
        <v>Escocia</v>
      </c>
      <c r="G373" s="11" t="str">
        <f ca="1">+WORLDCUP!BD58</f>
        <v>República Checa</v>
      </c>
      <c r="H373" s="11" t="str">
        <f ca="1">+WORLDCUP!BD64</f>
        <v>Bélgica</v>
      </c>
      <c r="I373" s="11" t="str">
        <f ca="1">+WORLDCUP!BD69</f>
        <v>Panamá</v>
      </c>
      <c r="J373" s="11" t="str">
        <f ca="1">+WORLDCUP!BD68</f>
        <v>RD Congo</v>
      </c>
      <c r="N373" s="11" t="s">
        <v>873</v>
      </c>
      <c r="O373" s="11">
        <v>372</v>
      </c>
      <c r="P373" s="11" t="s">
        <v>436</v>
      </c>
      <c r="Q373" s="11" t="s">
        <v>441</v>
      </c>
      <c r="R373" s="11" t="s">
        <v>90</v>
      </c>
      <c r="S373" s="11" t="s">
        <v>91</v>
      </c>
      <c r="T373" s="11" t="s">
        <v>89</v>
      </c>
      <c r="U373" s="11" t="s">
        <v>435</v>
      </c>
      <c r="V373" s="11" t="s">
        <v>443</v>
      </c>
      <c r="W373" s="11" t="s">
        <v>442</v>
      </c>
    </row>
    <row r="374" spans="1:23">
      <c r="A374" s="11" t="s">
        <v>872</v>
      </c>
      <c r="B374" s="11">
        <f ca="1">+IF(A374=WORLDCUP!$BI$112,1,0)</f>
        <v>0</v>
      </c>
      <c r="C374" s="11" t="str">
        <f ca="1">+WORLDCUP!BD66</f>
        <v>Senegal</v>
      </c>
      <c r="D374" s="11" t="str">
        <f ca="1">+WORLDCUP!BD64</f>
        <v>Bélgica</v>
      </c>
      <c r="E374" s="11" t="str">
        <f ca="1">+WORLDCUP!BD59</f>
        <v>Bosnia y Herzegovina</v>
      </c>
      <c r="F374" s="11" t="str">
        <f ca="1">+WORLDCUP!BD60</f>
        <v>Escocia</v>
      </c>
      <c r="G374" s="11" t="str">
        <f ca="1">+WORLDCUP!BD58</f>
        <v>República Checa</v>
      </c>
      <c r="H374" s="11" t="str">
        <f ca="1">+WORLDCUP!BD65</f>
        <v>España</v>
      </c>
      <c r="I374" s="11" t="str">
        <f ca="1">+WORLDCUP!BD69</f>
        <v>Panamá</v>
      </c>
      <c r="J374" s="11" t="str">
        <f ca="1">+WORLDCUP!BD68</f>
        <v>RD Congo</v>
      </c>
      <c r="N374" s="11" t="s">
        <v>872</v>
      </c>
      <c r="O374" s="11">
        <v>373</v>
      </c>
      <c r="P374" s="11" t="s">
        <v>440</v>
      </c>
      <c r="Q374" s="11" t="s">
        <v>435</v>
      </c>
      <c r="R374" s="11" t="s">
        <v>90</v>
      </c>
      <c r="S374" s="11" t="s">
        <v>91</v>
      </c>
      <c r="T374" s="11" t="s">
        <v>89</v>
      </c>
      <c r="U374" s="11" t="s">
        <v>436</v>
      </c>
      <c r="V374" s="11" t="s">
        <v>443</v>
      </c>
      <c r="W374" s="11" t="s">
        <v>442</v>
      </c>
    </row>
    <row r="375" spans="1:23">
      <c r="A375" s="11" t="s">
        <v>871</v>
      </c>
      <c r="B375" s="11">
        <f ca="1">+IF(A375=WORLDCUP!$BI$112,1,0)</f>
        <v>0</v>
      </c>
      <c r="C375" s="11" t="str">
        <f ca="1">+WORLDCUP!BD65</f>
        <v>España</v>
      </c>
      <c r="D375" s="11" t="str">
        <f ca="1">+WORLDCUP!BD67</f>
        <v>Jordania</v>
      </c>
      <c r="E375" s="11" t="str">
        <f ca="1">+WORLDCUP!BD59</f>
        <v>Bosnia y Herzegovina</v>
      </c>
      <c r="F375" s="11" t="str">
        <f ca="1">+WORLDCUP!BD60</f>
        <v>Escocia</v>
      </c>
      <c r="G375" s="11" t="str">
        <f ca="1">+WORLDCUP!BD58</f>
        <v>República Checa</v>
      </c>
      <c r="H375" s="11" t="str">
        <f ca="1">+WORLDCUP!BD64</f>
        <v>Bélgica</v>
      </c>
      <c r="I375" s="11" t="str">
        <f ca="1">+WORLDCUP!BD69</f>
        <v>Panamá</v>
      </c>
      <c r="J375" s="11" t="str">
        <f ca="1">+WORLDCUP!BD66</f>
        <v>Senegal</v>
      </c>
      <c r="N375" s="11" t="s">
        <v>871</v>
      </c>
      <c r="O375" s="11">
        <v>374</v>
      </c>
      <c r="P375" s="11" t="s">
        <v>436</v>
      </c>
      <c r="Q375" s="11" t="s">
        <v>441</v>
      </c>
      <c r="R375" s="11" t="s">
        <v>90</v>
      </c>
      <c r="S375" s="11" t="s">
        <v>91</v>
      </c>
      <c r="T375" s="11" t="s">
        <v>89</v>
      </c>
      <c r="U375" s="11" t="s">
        <v>435</v>
      </c>
      <c r="V375" s="11" t="s">
        <v>443</v>
      </c>
      <c r="W375" s="11" t="s">
        <v>440</v>
      </c>
    </row>
    <row r="376" spans="1:23">
      <c r="A376" s="11" t="s">
        <v>870</v>
      </c>
      <c r="B376" s="11">
        <f ca="1">+IF(A376=WORLDCUP!$BI$112,1,0)</f>
        <v>0</v>
      </c>
      <c r="C376" s="11" t="str">
        <f ca="1">+WORLDCUP!BD65</f>
        <v>España</v>
      </c>
      <c r="D376" s="11" t="str">
        <f ca="1">+WORLDCUP!BD67</f>
        <v>Jordania</v>
      </c>
      <c r="E376" s="11" t="str">
        <f ca="1">+WORLDCUP!BD59</f>
        <v>Bosnia y Herzegovina</v>
      </c>
      <c r="F376" s="11" t="str">
        <f ca="1">+WORLDCUP!BD60</f>
        <v>Escocia</v>
      </c>
      <c r="G376" s="11" t="str">
        <f ca="1">+WORLDCUP!BD58</f>
        <v>República Checa</v>
      </c>
      <c r="H376" s="11" t="str">
        <f ca="1">+WORLDCUP!BD64</f>
        <v>Bélgica</v>
      </c>
      <c r="I376" s="11" t="str">
        <f ca="1">+WORLDCUP!BD66</f>
        <v>Senegal</v>
      </c>
      <c r="J376" s="11" t="str">
        <f ca="1">+WORLDCUP!BD68</f>
        <v>RD Congo</v>
      </c>
      <c r="N376" s="11" t="s">
        <v>870</v>
      </c>
      <c r="O376" s="11">
        <v>375</v>
      </c>
      <c r="P376" s="11" t="s">
        <v>436</v>
      </c>
      <c r="Q376" s="11" t="s">
        <v>441</v>
      </c>
      <c r="R376" s="11" t="s">
        <v>90</v>
      </c>
      <c r="S376" s="11" t="s">
        <v>91</v>
      </c>
      <c r="T376" s="11" t="s">
        <v>89</v>
      </c>
      <c r="U376" s="11" t="s">
        <v>435</v>
      </c>
      <c r="V376" s="11" t="s">
        <v>440</v>
      </c>
      <c r="W376" s="11" t="s">
        <v>442</v>
      </c>
    </row>
    <row r="377" spans="1:23">
      <c r="A377" s="11" t="s">
        <v>869</v>
      </c>
      <c r="B377" s="11">
        <f ca="1">+IF(A377=WORLDCUP!$BI$112,1,0)</f>
        <v>0</v>
      </c>
      <c r="C377" s="11" t="str">
        <f ca="1">+WORLDCUP!BD66</f>
        <v>Senegal</v>
      </c>
      <c r="D377" s="11" t="str">
        <f ca="1">+WORLDCUP!BD67</f>
        <v>Jordania</v>
      </c>
      <c r="E377" s="11" t="str">
        <f ca="1">+WORLDCUP!BD59</f>
        <v>Bosnia y Herzegovina</v>
      </c>
      <c r="F377" s="11" t="str">
        <f ca="1">+WORLDCUP!BD60</f>
        <v>Escocia</v>
      </c>
      <c r="G377" s="11" t="str">
        <f ca="1">+WORLDCUP!BD58</f>
        <v>República Checa</v>
      </c>
      <c r="H377" s="11" t="str">
        <f ca="1">+WORLDCUP!BD63</f>
        <v>Japón</v>
      </c>
      <c r="I377" s="11" t="str">
        <f ca="1">+WORLDCUP!BD69</f>
        <v>Panamá</v>
      </c>
      <c r="J377" s="11" t="str">
        <f ca="1">+WORLDCUP!BD68</f>
        <v>RD Congo</v>
      </c>
      <c r="N377" s="11" t="s">
        <v>869</v>
      </c>
      <c r="O377" s="11">
        <v>376</v>
      </c>
      <c r="P377" s="11" t="s">
        <v>440</v>
      </c>
      <c r="Q377" s="11" t="s">
        <v>441</v>
      </c>
      <c r="R377" s="11" t="s">
        <v>90</v>
      </c>
      <c r="S377" s="11" t="s">
        <v>91</v>
      </c>
      <c r="T377" s="11" t="s">
        <v>89</v>
      </c>
      <c r="U377" s="11" t="s">
        <v>94</v>
      </c>
      <c r="V377" s="11" t="s">
        <v>443</v>
      </c>
      <c r="W377" s="11" t="s">
        <v>442</v>
      </c>
    </row>
    <row r="378" spans="1:23">
      <c r="A378" s="11" t="s">
        <v>868</v>
      </c>
      <c r="B378" s="11">
        <f ca="1">+IF(A378=WORLDCUP!$BI$112,1,0)</f>
        <v>0</v>
      </c>
      <c r="C378" s="11" t="str">
        <f ca="1">+WORLDCUP!BD65</f>
        <v>España</v>
      </c>
      <c r="D378" s="11" t="str">
        <f ca="1">+WORLDCUP!BD67</f>
        <v>Jordania</v>
      </c>
      <c r="E378" s="11" t="str">
        <f ca="1">+WORLDCUP!BD59</f>
        <v>Bosnia y Herzegovina</v>
      </c>
      <c r="F378" s="11" t="str">
        <f ca="1">+WORLDCUP!BD60</f>
        <v>Escocia</v>
      </c>
      <c r="G378" s="11" t="str">
        <f ca="1">+WORLDCUP!BD58</f>
        <v>República Checa</v>
      </c>
      <c r="H378" s="11" t="str">
        <f ca="1">+WORLDCUP!BD63</f>
        <v>Japón</v>
      </c>
      <c r="I378" s="11" t="str">
        <f ca="1">+WORLDCUP!BD69</f>
        <v>Panamá</v>
      </c>
      <c r="J378" s="11" t="str">
        <f ca="1">+WORLDCUP!BD68</f>
        <v>RD Congo</v>
      </c>
      <c r="N378" s="11" t="s">
        <v>868</v>
      </c>
      <c r="O378" s="11">
        <v>377</v>
      </c>
      <c r="P378" s="11" t="s">
        <v>436</v>
      </c>
      <c r="Q378" s="11" t="s">
        <v>441</v>
      </c>
      <c r="R378" s="11" t="s">
        <v>90</v>
      </c>
      <c r="S378" s="11" t="s">
        <v>91</v>
      </c>
      <c r="T378" s="11" t="s">
        <v>89</v>
      </c>
      <c r="U378" s="11" t="s">
        <v>94</v>
      </c>
      <c r="V378" s="11" t="s">
        <v>443</v>
      </c>
      <c r="W378" s="11" t="s">
        <v>442</v>
      </c>
    </row>
    <row r="379" spans="1:23">
      <c r="A379" s="11" t="s">
        <v>867</v>
      </c>
      <c r="B379" s="11">
        <f ca="1">+IF(A379=WORLDCUP!$BI$112,1,0)</f>
        <v>0</v>
      </c>
      <c r="C379" s="11" t="str">
        <f ca="1">+WORLDCUP!BD65</f>
        <v>España</v>
      </c>
      <c r="D379" s="11" t="str">
        <f ca="1">+WORLDCUP!BD66</f>
        <v>Senegal</v>
      </c>
      <c r="E379" s="11" t="str">
        <f ca="1">+WORLDCUP!BD59</f>
        <v>Bosnia y Herzegovina</v>
      </c>
      <c r="F379" s="11" t="str">
        <f ca="1">+WORLDCUP!BD60</f>
        <v>Escocia</v>
      </c>
      <c r="G379" s="11" t="str">
        <f ca="1">+WORLDCUP!BD58</f>
        <v>República Checa</v>
      </c>
      <c r="H379" s="11" t="str">
        <f ca="1">+WORLDCUP!BD63</f>
        <v>Japón</v>
      </c>
      <c r="I379" s="11" t="str">
        <f ca="1">+WORLDCUP!BD69</f>
        <v>Panamá</v>
      </c>
      <c r="J379" s="11" t="str">
        <f ca="1">+WORLDCUP!BD68</f>
        <v>RD Congo</v>
      </c>
      <c r="N379" s="11" t="s">
        <v>867</v>
      </c>
      <c r="O379" s="11">
        <v>378</v>
      </c>
      <c r="P379" s="11" t="s">
        <v>436</v>
      </c>
      <c r="Q379" s="11" t="s">
        <v>440</v>
      </c>
      <c r="R379" s="11" t="s">
        <v>90</v>
      </c>
      <c r="S379" s="11" t="s">
        <v>91</v>
      </c>
      <c r="T379" s="11" t="s">
        <v>89</v>
      </c>
      <c r="U379" s="11" t="s">
        <v>94</v>
      </c>
      <c r="V379" s="11" t="s">
        <v>443</v>
      </c>
      <c r="W379" s="11" t="s">
        <v>442</v>
      </c>
    </row>
    <row r="380" spans="1:23">
      <c r="A380" s="11" t="s">
        <v>866</v>
      </c>
      <c r="B380" s="11">
        <f ca="1">+IF(A380=WORLDCUP!$BI$112,1,0)</f>
        <v>0</v>
      </c>
      <c r="C380" s="11" t="str">
        <f ca="1">+WORLDCUP!BD65</f>
        <v>España</v>
      </c>
      <c r="D380" s="11" t="str">
        <f ca="1">+WORLDCUP!BD67</f>
        <v>Jordania</v>
      </c>
      <c r="E380" s="11" t="str">
        <f ca="1">+WORLDCUP!BD59</f>
        <v>Bosnia y Herzegovina</v>
      </c>
      <c r="F380" s="11" t="str">
        <f ca="1">+WORLDCUP!BD60</f>
        <v>Escocia</v>
      </c>
      <c r="G380" s="11" t="str">
        <f ca="1">+WORLDCUP!BD58</f>
        <v>República Checa</v>
      </c>
      <c r="H380" s="11" t="str">
        <f ca="1">+WORLDCUP!BD63</f>
        <v>Japón</v>
      </c>
      <c r="I380" s="11" t="str">
        <f ca="1">+WORLDCUP!BD69</f>
        <v>Panamá</v>
      </c>
      <c r="J380" s="11" t="str">
        <f ca="1">+WORLDCUP!BD66</f>
        <v>Senegal</v>
      </c>
      <c r="N380" s="11" t="s">
        <v>866</v>
      </c>
      <c r="O380" s="11">
        <v>379</v>
      </c>
      <c r="P380" s="11" t="s">
        <v>436</v>
      </c>
      <c r="Q380" s="11" t="s">
        <v>441</v>
      </c>
      <c r="R380" s="11" t="s">
        <v>90</v>
      </c>
      <c r="S380" s="11" t="s">
        <v>91</v>
      </c>
      <c r="T380" s="11" t="s">
        <v>89</v>
      </c>
      <c r="U380" s="11" t="s">
        <v>94</v>
      </c>
      <c r="V380" s="11" t="s">
        <v>443</v>
      </c>
      <c r="W380" s="11" t="s">
        <v>440</v>
      </c>
    </row>
    <row r="381" spans="1:23">
      <c r="A381" s="11" t="s">
        <v>865</v>
      </c>
      <c r="B381" s="11">
        <f ca="1">+IF(A381=WORLDCUP!$BI$112,1,0)</f>
        <v>0</v>
      </c>
      <c r="C381" s="11" t="str">
        <f ca="1">+WORLDCUP!BD65</f>
        <v>España</v>
      </c>
      <c r="D381" s="11" t="str">
        <f ca="1">+WORLDCUP!BD67</f>
        <v>Jordania</v>
      </c>
      <c r="E381" s="11" t="str">
        <f ca="1">+WORLDCUP!BD59</f>
        <v>Bosnia y Herzegovina</v>
      </c>
      <c r="F381" s="11" t="str">
        <f ca="1">+WORLDCUP!BD60</f>
        <v>Escocia</v>
      </c>
      <c r="G381" s="11" t="str">
        <f ca="1">+WORLDCUP!BD58</f>
        <v>República Checa</v>
      </c>
      <c r="H381" s="11" t="str">
        <f ca="1">+WORLDCUP!BD63</f>
        <v>Japón</v>
      </c>
      <c r="I381" s="11" t="str">
        <f ca="1">+WORLDCUP!BD66</f>
        <v>Senegal</v>
      </c>
      <c r="J381" s="11" t="str">
        <f ca="1">+WORLDCUP!BD68</f>
        <v>RD Congo</v>
      </c>
      <c r="N381" s="11" t="s">
        <v>865</v>
      </c>
      <c r="O381" s="11">
        <v>380</v>
      </c>
      <c r="P381" s="11" t="s">
        <v>436</v>
      </c>
      <c r="Q381" s="11" t="s">
        <v>441</v>
      </c>
      <c r="R381" s="11" t="s">
        <v>90</v>
      </c>
      <c r="S381" s="11" t="s">
        <v>91</v>
      </c>
      <c r="T381" s="11" t="s">
        <v>89</v>
      </c>
      <c r="U381" s="11" t="s">
        <v>94</v>
      </c>
      <c r="V381" s="11" t="s">
        <v>440</v>
      </c>
      <c r="W381" s="11" t="s">
        <v>442</v>
      </c>
    </row>
    <row r="382" spans="1:23">
      <c r="A382" s="11" t="s">
        <v>864</v>
      </c>
      <c r="B382" s="11">
        <f ca="1">+IF(A382=WORLDCUP!$BI$112,1,0)</f>
        <v>0</v>
      </c>
      <c r="C382" s="11" t="str">
        <f ca="1">+WORLDCUP!BD60</f>
        <v>Escocia</v>
      </c>
      <c r="D382" s="11" t="str">
        <f ca="1">+WORLDCUP!BD67</f>
        <v>Jordania</v>
      </c>
      <c r="E382" s="11" t="str">
        <f ca="1">+WORLDCUP!BD59</f>
        <v>Bosnia y Herzegovina</v>
      </c>
      <c r="F382" s="11" t="str">
        <f ca="1">+WORLDCUP!BD63</f>
        <v>Japón</v>
      </c>
      <c r="G382" s="11" t="str">
        <f ca="1">+WORLDCUP!BD58</f>
        <v>República Checa</v>
      </c>
      <c r="H382" s="11" t="str">
        <f ca="1">+WORLDCUP!BD64</f>
        <v>Bélgica</v>
      </c>
      <c r="I382" s="11" t="str">
        <f ca="1">+WORLDCUP!BD69</f>
        <v>Panamá</v>
      </c>
      <c r="J382" s="11" t="str">
        <f ca="1">+WORLDCUP!BD68</f>
        <v>RD Congo</v>
      </c>
      <c r="N382" s="11" t="s">
        <v>864</v>
      </c>
      <c r="O382" s="11">
        <v>381</v>
      </c>
      <c r="P382" s="11" t="s">
        <v>91</v>
      </c>
      <c r="Q382" s="11" t="s">
        <v>441</v>
      </c>
      <c r="R382" s="11" t="s">
        <v>90</v>
      </c>
      <c r="S382" s="11" t="s">
        <v>94</v>
      </c>
      <c r="T382" s="11" t="s">
        <v>89</v>
      </c>
      <c r="U382" s="11" t="s">
        <v>435</v>
      </c>
      <c r="V382" s="11" t="s">
        <v>443</v>
      </c>
      <c r="W382" s="11" t="s">
        <v>442</v>
      </c>
    </row>
    <row r="383" spans="1:23">
      <c r="A383" s="11" t="s">
        <v>863</v>
      </c>
      <c r="B383" s="11">
        <f ca="1">+IF(A383=WORLDCUP!$BI$112,1,0)</f>
        <v>0</v>
      </c>
      <c r="C383" s="11" t="str">
        <f ca="1">+WORLDCUP!BD66</f>
        <v>Senegal</v>
      </c>
      <c r="D383" s="11" t="str">
        <f ca="1">+WORLDCUP!BD64</f>
        <v>Bélgica</v>
      </c>
      <c r="E383" s="11" t="str">
        <f ca="1">+WORLDCUP!BD59</f>
        <v>Bosnia y Herzegovina</v>
      </c>
      <c r="F383" s="11" t="str">
        <f ca="1">+WORLDCUP!BD60</f>
        <v>Escocia</v>
      </c>
      <c r="G383" s="11" t="str">
        <f ca="1">+WORLDCUP!BD58</f>
        <v>República Checa</v>
      </c>
      <c r="H383" s="11" t="str">
        <f ca="1">+WORLDCUP!BD63</f>
        <v>Japón</v>
      </c>
      <c r="I383" s="11" t="str">
        <f ca="1">+WORLDCUP!BD69</f>
        <v>Panamá</v>
      </c>
      <c r="J383" s="11" t="str">
        <f ca="1">+WORLDCUP!BD68</f>
        <v>RD Congo</v>
      </c>
      <c r="N383" s="11" t="s">
        <v>863</v>
      </c>
      <c r="O383" s="11">
        <v>382</v>
      </c>
      <c r="P383" s="11" t="s">
        <v>440</v>
      </c>
      <c r="Q383" s="11" t="s">
        <v>435</v>
      </c>
      <c r="R383" s="11" t="s">
        <v>90</v>
      </c>
      <c r="S383" s="11" t="s">
        <v>91</v>
      </c>
      <c r="T383" s="11" t="s">
        <v>89</v>
      </c>
      <c r="U383" s="11" t="s">
        <v>94</v>
      </c>
      <c r="V383" s="11" t="s">
        <v>443</v>
      </c>
      <c r="W383" s="11" t="s">
        <v>442</v>
      </c>
    </row>
    <row r="384" spans="1:23">
      <c r="A384" s="11" t="s">
        <v>862</v>
      </c>
      <c r="B384" s="11">
        <f ca="1">+IF(A384=WORLDCUP!$BI$112,1,0)</f>
        <v>0</v>
      </c>
      <c r="C384" s="11" t="str">
        <f ca="1">+WORLDCUP!BD60</f>
        <v>Escocia</v>
      </c>
      <c r="D384" s="11" t="str">
        <f ca="1">+WORLDCUP!BD67</f>
        <v>Jordania</v>
      </c>
      <c r="E384" s="11" t="str">
        <f ca="1">+WORLDCUP!BD59</f>
        <v>Bosnia y Herzegovina</v>
      </c>
      <c r="F384" s="11" t="str">
        <f ca="1">+WORLDCUP!BD63</f>
        <v>Japón</v>
      </c>
      <c r="G384" s="11" t="str">
        <f ca="1">+WORLDCUP!BD58</f>
        <v>República Checa</v>
      </c>
      <c r="H384" s="11" t="str">
        <f ca="1">+WORLDCUP!BD64</f>
        <v>Bélgica</v>
      </c>
      <c r="I384" s="11" t="str">
        <f ca="1">+WORLDCUP!BD69</f>
        <v>Panamá</v>
      </c>
      <c r="J384" s="11" t="str">
        <f ca="1">+WORLDCUP!BD66</f>
        <v>Senegal</v>
      </c>
      <c r="N384" s="11" t="s">
        <v>862</v>
      </c>
      <c r="O384" s="11">
        <v>383</v>
      </c>
      <c r="P384" s="11" t="s">
        <v>91</v>
      </c>
      <c r="Q384" s="11" t="s">
        <v>441</v>
      </c>
      <c r="R384" s="11" t="s">
        <v>90</v>
      </c>
      <c r="S384" s="11" t="s">
        <v>94</v>
      </c>
      <c r="T384" s="11" t="s">
        <v>89</v>
      </c>
      <c r="U384" s="11" t="s">
        <v>435</v>
      </c>
      <c r="V384" s="11" t="s">
        <v>443</v>
      </c>
      <c r="W384" s="11" t="s">
        <v>440</v>
      </c>
    </row>
    <row r="385" spans="1:23">
      <c r="A385" s="11" t="s">
        <v>861</v>
      </c>
      <c r="B385" s="11">
        <f ca="1">+IF(A385=WORLDCUP!$BI$112,1,0)</f>
        <v>0</v>
      </c>
      <c r="C385" s="11" t="str">
        <f ca="1">+WORLDCUP!BD60</f>
        <v>Escocia</v>
      </c>
      <c r="D385" s="11" t="str">
        <f ca="1">+WORLDCUP!BD67</f>
        <v>Jordania</v>
      </c>
      <c r="E385" s="11" t="str">
        <f ca="1">+WORLDCUP!BD59</f>
        <v>Bosnia y Herzegovina</v>
      </c>
      <c r="F385" s="11" t="str">
        <f ca="1">+WORLDCUP!BD63</f>
        <v>Japón</v>
      </c>
      <c r="G385" s="11" t="str">
        <f ca="1">+WORLDCUP!BD58</f>
        <v>República Checa</v>
      </c>
      <c r="H385" s="11" t="str">
        <f ca="1">+WORLDCUP!BD64</f>
        <v>Bélgica</v>
      </c>
      <c r="I385" s="11" t="str">
        <f ca="1">+WORLDCUP!BD66</f>
        <v>Senegal</v>
      </c>
      <c r="J385" s="11" t="str">
        <f ca="1">+WORLDCUP!BD68</f>
        <v>RD Congo</v>
      </c>
      <c r="N385" s="11" t="s">
        <v>861</v>
      </c>
      <c r="O385" s="11">
        <v>384</v>
      </c>
      <c r="P385" s="11" t="s">
        <v>91</v>
      </c>
      <c r="Q385" s="11" t="s">
        <v>441</v>
      </c>
      <c r="R385" s="11" t="s">
        <v>90</v>
      </c>
      <c r="S385" s="11" t="s">
        <v>94</v>
      </c>
      <c r="T385" s="11" t="s">
        <v>89</v>
      </c>
      <c r="U385" s="11" t="s">
        <v>435</v>
      </c>
      <c r="V385" s="11" t="s">
        <v>440</v>
      </c>
      <c r="W385" s="11" t="s">
        <v>442</v>
      </c>
    </row>
    <row r="386" spans="1:23">
      <c r="A386" s="11" t="s">
        <v>860</v>
      </c>
      <c r="B386" s="11">
        <f ca="1">+IF(A386=WORLDCUP!$BI$112,1,0)</f>
        <v>0</v>
      </c>
      <c r="C386" s="11" t="str">
        <f ca="1">+WORLDCUP!BD65</f>
        <v>España</v>
      </c>
      <c r="D386" s="11" t="str">
        <f ca="1">+WORLDCUP!BD64</f>
        <v>Bélgica</v>
      </c>
      <c r="E386" s="11" t="str">
        <f ca="1">+WORLDCUP!BD59</f>
        <v>Bosnia y Herzegovina</v>
      </c>
      <c r="F386" s="11" t="str">
        <f ca="1">+WORLDCUP!BD60</f>
        <v>Escocia</v>
      </c>
      <c r="G386" s="11" t="str">
        <f ca="1">+WORLDCUP!BD58</f>
        <v>República Checa</v>
      </c>
      <c r="H386" s="11" t="str">
        <f ca="1">+WORLDCUP!BD63</f>
        <v>Japón</v>
      </c>
      <c r="I386" s="11" t="str">
        <f ca="1">+WORLDCUP!BD69</f>
        <v>Panamá</v>
      </c>
      <c r="J386" s="11" t="str">
        <f ca="1">+WORLDCUP!BD68</f>
        <v>RD Congo</v>
      </c>
      <c r="N386" s="11" t="s">
        <v>860</v>
      </c>
      <c r="O386" s="11">
        <v>385</v>
      </c>
      <c r="P386" s="11" t="s">
        <v>436</v>
      </c>
      <c r="Q386" s="11" t="s">
        <v>435</v>
      </c>
      <c r="R386" s="11" t="s">
        <v>90</v>
      </c>
      <c r="S386" s="11" t="s">
        <v>91</v>
      </c>
      <c r="T386" s="11" t="s">
        <v>89</v>
      </c>
      <c r="U386" s="11" t="s">
        <v>94</v>
      </c>
      <c r="V386" s="11" t="s">
        <v>443</v>
      </c>
      <c r="W386" s="11" t="s">
        <v>442</v>
      </c>
    </row>
    <row r="387" spans="1:23">
      <c r="A387" s="11" t="s">
        <v>859</v>
      </c>
      <c r="B387" s="11">
        <f ca="1">+IF(A387=WORLDCUP!$BI$112,1,0)</f>
        <v>0</v>
      </c>
      <c r="C387" s="11" t="str">
        <f ca="1">+WORLDCUP!BD65</f>
        <v>España</v>
      </c>
      <c r="D387" s="11" t="str">
        <f ca="1">+WORLDCUP!BD64</f>
        <v>Bélgica</v>
      </c>
      <c r="E387" s="11" t="str">
        <f ca="1">+WORLDCUP!BD59</f>
        <v>Bosnia y Herzegovina</v>
      </c>
      <c r="F387" s="11" t="str">
        <f ca="1">+WORLDCUP!BD60</f>
        <v>Escocia</v>
      </c>
      <c r="G387" s="11" t="str">
        <f ca="1">+WORLDCUP!BD58</f>
        <v>República Checa</v>
      </c>
      <c r="H387" s="11" t="str">
        <f ca="1">+WORLDCUP!BD63</f>
        <v>Japón</v>
      </c>
      <c r="I387" s="11" t="str">
        <f ca="1">+WORLDCUP!BD69</f>
        <v>Panamá</v>
      </c>
      <c r="J387" s="11" t="str">
        <f ca="1">+WORLDCUP!BD67</f>
        <v>Jordania</v>
      </c>
      <c r="N387" s="11" t="s">
        <v>859</v>
      </c>
      <c r="O387" s="11">
        <v>386</v>
      </c>
      <c r="P387" s="11" t="s">
        <v>436</v>
      </c>
      <c r="Q387" s="11" t="s">
        <v>435</v>
      </c>
      <c r="R387" s="11" t="s">
        <v>90</v>
      </c>
      <c r="S387" s="11" t="s">
        <v>91</v>
      </c>
      <c r="T387" s="11" t="s">
        <v>89</v>
      </c>
      <c r="U387" s="11" t="s">
        <v>94</v>
      </c>
      <c r="V387" s="11" t="s">
        <v>443</v>
      </c>
      <c r="W387" s="11" t="s">
        <v>441</v>
      </c>
    </row>
    <row r="388" spans="1:23">
      <c r="A388" s="11" t="s">
        <v>858</v>
      </c>
      <c r="B388" s="11">
        <f ca="1">+IF(A388=WORLDCUP!$BI$112,1,0)</f>
        <v>0</v>
      </c>
      <c r="C388" s="11" t="str">
        <f ca="1">+WORLDCUP!BD65</f>
        <v>España</v>
      </c>
      <c r="D388" s="11" t="str">
        <f ca="1">+WORLDCUP!BD64</f>
        <v>Bélgica</v>
      </c>
      <c r="E388" s="11" t="str">
        <f ca="1">+WORLDCUP!BD59</f>
        <v>Bosnia y Herzegovina</v>
      </c>
      <c r="F388" s="11" t="str">
        <f ca="1">+WORLDCUP!BD60</f>
        <v>Escocia</v>
      </c>
      <c r="G388" s="11" t="str">
        <f ca="1">+WORLDCUP!BD58</f>
        <v>República Checa</v>
      </c>
      <c r="H388" s="11" t="str">
        <f ca="1">+WORLDCUP!BD63</f>
        <v>Japón</v>
      </c>
      <c r="I388" s="11" t="str">
        <f ca="1">+WORLDCUP!BD67</f>
        <v>Jordania</v>
      </c>
      <c r="J388" s="11" t="str">
        <f ca="1">+WORLDCUP!BD68</f>
        <v>RD Congo</v>
      </c>
      <c r="N388" s="11" t="s">
        <v>858</v>
      </c>
      <c r="O388" s="11">
        <v>387</v>
      </c>
      <c r="P388" s="11" t="s">
        <v>436</v>
      </c>
      <c r="Q388" s="11" t="s">
        <v>435</v>
      </c>
      <c r="R388" s="11" t="s">
        <v>90</v>
      </c>
      <c r="S388" s="11" t="s">
        <v>91</v>
      </c>
      <c r="T388" s="11" t="s">
        <v>89</v>
      </c>
      <c r="U388" s="11" t="s">
        <v>94</v>
      </c>
      <c r="V388" s="11" t="s">
        <v>441</v>
      </c>
      <c r="W388" s="11" t="s">
        <v>442</v>
      </c>
    </row>
    <row r="389" spans="1:23">
      <c r="A389" s="11" t="s">
        <v>857</v>
      </c>
      <c r="B389" s="11">
        <f ca="1">+IF(A389=WORLDCUP!$BI$112,1,0)</f>
        <v>0</v>
      </c>
      <c r="C389" s="11" t="str">
        <f ca="1">+WORLDCUP!BD65</f>
        <v>España</v>
      </c>
      <c r="D389" s="11" t="str">
        <f ca="1">+WORLDCUP!BD64</f>
        <v>Bélgica</v>
      </c>
      <c r="E389" s="11" t="str">
        <f ca="1">+WORLDCUP!BD59</f>
        <v>Bosnia y Herzegovina</v>
      </c>
      <c r="F389" s="11" t="str">
        <f ca="1">+WORLDCUP!BD60</f>
        <v>Escocia</v>
      </c>
      <c r="G389" s="11" t="str">
        <f ca="1">+WORLDCUP!BD58</f>
        <v>República Checa</v>
      </c>
      <c r="H389" s="11" t="str">
        <f ca="1">+WORLDCUP!BD63</f>
        <v>Japón</v>
      </c>
      <c r="I389" s="11" t="str">
        <f ca="1">+WORLDCUP!BD69</f>
        <v>Panamá</v>
      </c>
      <c r="J389" s="11" t="str">
        <f ca="1">+WORLDCUP!BD66</f>
        <v>Senegal</v>
      </c>
      <c r="N389" s="11" t="s">
        <v>857</v>
      </c>
      <c r="O389" s="11">
        <v>388</v>
      </c>
      <c r="P389" s="11" t="s">
        <v>436</v>
      </c>
      <c r="Q389" s="11" t="s">
        <v>435</v>
      </c>
      <c r="R389" s="11" t="s">
        <v>90</v>
      </c>
      <c r="S389" s="11" t="s">
        <v>91</v>
      </c>
      <c r="T389" s="11" t="s">
        <v>89</v>
      </c>
      <c r="U389" s="11" t="s">
        <v>94</v>
      </c>
      <c r="V389" s="11" t="s">
        <v>443</v>
      </c>
      <c r="W389" s="11" t="s">
        <v>440</v>
      </c>
    </row>
    <row r="390" spans="1:23">
      <c r="A390" s="11" t="s">
        <v>856</v>
      </c>
      <c r="B390" s="11">
        <f ca="1">+IF(A390=WORLDCUP!$BI$112,1,0)</f>
        <v>0</v>
      </c>
      <c r="C390" s="11" t="str">
        <f ca="1">+WORLDCUP!BD65</f>
        <v>España</v>
      </c>
      <c r="D390" s="11" t="str">
        <f ca="1">+WORLDCUP!BD64</f>
        <v>Bélgica</v>
      </c>
      <c r="E390" s="11" t="str">
        <f ca="1">+WORLDCUP!BD59</f>
        <v>Bosnia y Herzegovina</v>
      </c>
      <c r="F390" s="11" t="str">
        <f ca="1">+WORLDCUP!BD60</f>
        <v>Escocia</v>
      </c>
      <c r="G390" s="11" t="str">
        <f ca="1">+WORLDCUP!BD58</f>
        <v>República Checa</v>
      </c>
      <c r="H390" s="11" t="str">
        <f ca="1">+WORLDCUP!BD63</f>
        <v>Japón</v>
      </c>
      <c r="I390" s="11" t="str">
        <f ca="1">+WORLDCUP!BD66</f>
        <v>Senegal</v>
      </c>
      <c r="J390" s="11" t="str">
        <f ca="1">+WORLDCUP!BD68</f>
        <v>RD Congo</v>
      </c>
      <c r="N390" s="11" t="s">
        <v>856</v>
      </c>
      <c r="O390" s="11">
        <v>389</v>
      </c>
      <c r="P390" s="11" t="s">
        <v>436</v>
      </c>
      <c r="Q390" s="11" t="s">
        <v>435</v>
      </c>
      <c r="R390" s="11" t="s">
        <v>90</v>
      </c>
      <c r="S390" s="11" t="s">
        <v>91</v>
      </c>
      <c r="T390" s="11" t="s">
        <v>89</v>
      </c>
      <c r="U390" s="11" t="s">
        <v>94</v>
      </c>
      <c r="V390" s="11" t="s">
        <v>440</v>
      </c>
      <c r="W390" s="11" t="s">
        <v>442</v>
      </c>
    </row>
    <row r="391" spans="1:23">
      <c r="A391" s="11" t="s">
        <v>855</v>
      </c>
      <c r="B391" s="11">
        <f ca="1">+IF(A391=WORLDCUP!$BI$112,1,0)</f>
        <v>0</v>
      </c>
      <c r="C391" s="11" t="str">
        <f ca="1">+WORLDCUP!BD65</f>
        <v>España</v>
      </c>
      <c r="D391" s="11" t="str">
        <f ca="1">+WORLDCUP!BD64</f>
        <v>Bélgica</v>
      </c>
      <c r="E391" s="11" t="str">
        <f ca="1">+WORLDCUP!BD59</f>
        <v>Bosnia y Herzegovina</v>
      </c>
      <c r="F391" s="11" t="str">
        <f ca="1">+WORLDCUP!BD60</f>
        <v>Escocia</v>
      </c>
      <c r="G391" s="11" t="str">
        <f ca="1">+WORLDCUP!BD58</f>
        <v>República Checa</v>
      </c>
      <c r="H391" s="11" t="str">
        <f ca="1">+WORLDCUP!BD63</f>
        <v>Japón</v>
      </c>
      <c r="I391" s="11" t="str">
        <f ca="1">+WORLDCUP!BD66</f>
        <v>Senegal</v>
      </c>
      <c r="J391" s="11" t="str">
        <f ca="1">+WORLDCUP!BD67</f>
        <v>Jordania</v>
      </c>
      <c r="N391" s="11" t="s">
        <v>855</v>
      </c>
      <c r="O391" s="11">
        <v>390</v>
      </c>
      <c r="P391" s="11" t="s">
        <v>436</v>
      </c>
      <c r="Q391" s="11" t="s">
        <v>435</v>
      </c>
      <c r="R391" s="11" t="s">
        <v>90</v>
      </c>
      <c r="S391" s="11" t="s">
        <v>91</v>
      </c>
      <c r="T391" s="11" t="s">
        <v>89</v>
      </c>
      <c r="U391" s="11" t="s">
        <v>94</v>
      </c>
      <c r="V391" s="11" t="s">
        <v>440</v>
      </c>
      <c r="W391" s="11" t="s">
        <v>441</v>
      </c>
    </row>
    <row r="392" spans="1:23">
      <c r="A392" s="11" t="s">
        <v>854</v>
      </c>
      <c r="B392" s="11">
        <f ca="1">+IF(A392=WORLDCUP!$BI$112,1,0)</f>
        <v>0</v>
      </c>
      <c r="C392" s="11" t="str">
        <f ca="1">+WORLDCUP!BD62</f>
        <v>Ecuador</v>
      </c>
      <c r="D392" s="11" t="str">
        <f ca="1">+WORLDCUP!BD67</f>
        <v>Jordania</v>
      </c>
      <c r="E392" s="11" t="str">
        <f ca="1">+WORLDCUP!BD59</f>
        <v>Bosnia y Herzegovina</v>
      </c>
      <c r="F392" s="11" t="str">
        <f ca="1">+WORLDCUP!BD58</f>
        <v>República Checa</v>
      </c>
      <c r="G392" s="11" t="str">
        <f ca="1">+WORLDCUP!BD66</f>
        <v>Senegal</v>
      </c>
      <c r="H392" s="11" t="str">
        <f ca="1">+WORLDCUP!BD60</f>
        <v>Escocia</v>
      </c>
      <c r="I392" s="11" t="str">
        <f ca="1">+WORLDCUP!BD69</f>
        <v>Panamá</v>
      </c>
      <c r="J392" s="11" t="str">
        <f ca="1">+WORLDCUP!BD68</f>
        <v>RD Congo</v>
      </c>
      <c r="N392" s="11" t="s">
        <v>854</v>
      </c>
      <c r="O392" s="11">
        <v>391</v>
      </c>
      <c r="P392" s="11" t="s">
        <v>93</v>
      </c>
      <c r="Q392" s="11" t="s">
        <v>441</v>
      </c>
      <c r="R392" s="11" t="s">
        <v>90</v>
      </c>
      <c r="S392" s="11" t="s">
        <v>89</v>
      </c>
      <c r="T392" s="11" t="s">
        <v>440</v>
      </c>
      <c r="U392" s="11" t="s">
        <v>91</v>
      </c>
      <c r="V392" s="11" t="s">
        <v>443</v>
      </c>
      <c r="W392" s="11" t="s">
        <v>442</v>
      </c>
    </row>
    <row r="393" spans="1:23">
      <c r="A393" s="11" t="s">
        <v>853</v>
      </c>
      <c r="B393" s="11">
        <f ca="1">+IF(A393=WORLDCUP!$BI$112,1,0)</f>
        <v>0</v>
      </c>
      <c r="C393" s="11" t="str">
        <f ca="1">+WORLDCUP!BD62</f>
        <v>Ecuador</v>
      </c>
      <c r="D393" s="11" t="str">
        <f ca="1">+WORLDCUP!BD67</f>
        <v>Jordania</v>
      </c>
      <c r="E393" s="11" t="str">
        <f ca="1">+WORLDCUP!BD59</f>
        <v>Bosnia y Herzegovina</v>
      </c>
      <c r="F393" s="11" t="str">
        <f ca="1">+WORLDCUP!BD60</f>
        <v>Escocia</v>
      </c>
      <c r="G393" s="11" t="str">
        <f ca="1">+WORLDCUP!BD58</f>
        <v>República Checa</v>
      </c>
      <c r="H393" s="11" t="str">
        <f ca="1">+WORLDCUP!BD65</f>
        <v>España</v>
      </c>
      <c r="I393" s="11" t="str">
        <f ca="1">+WORLDCUP!BD69</f>
        <v>Panamá</v>
      </c>
      <c r="J393" s="11" t="str">
        <f ca="1">+WORLDCUP!BD68</f>
        <v>RD Congo</v>
      </c>
      <c r="N393" s="11" t="s">
        <v>853</v>
      </c>
      <c r="O393" s="11">
        <v>392</v>
      </c>
      <c r="P393" s="11" t="s">
        <v>93</v>
      </c>
      <c r="Q393" s="11" t="s">
        <v>441</v>
      </c>
      <c r="R393" s="11" t="s">
        <v>90</v>
      </c>
      <c r="S393" s="11" t="s">
        <v>91</v>
      </c>
      <c r="T393" s="11" t="s">
        <v>89</v>
      </c>
      <c r="U393" s="11" t="s">
        <v>436</v>
      </c>
      <c r="V393" s="11" t="s">
        <v>443</v>
      </c>
      <c r="W393" s="11" t="s">
        <v>442</v>
      </c>
    </row>
    <row r="394" spans="1:23">
      <c r="A394" s="11" t="s">
        <v>852</v>
      </c>
      <c r="B394" s="11">
        <f ca="1">+IF(A394=WORLDCUP!$BI$112,1,0)</f>
        <v>0</v>
      </c>
      <c r="C394" s="11" t="str">
        <f ca="1">+WORLDCUP!BD62</f>
        <v>Ecuador</v>
      </c>
      <c r="D394" s="11" t="str">
        <f ca="1">+WORLDCUP!BD66</f>
        <v>Senegal</v>
      </c>
      <c r="E394" s="11" t="str">
        <f ca="1">+WORLDCUP!BD59</f>
        <v>Bosnia y Herzegovina</v>
      </c>
      <c r="F394" s="11" t="str">
        <f ca="1">+WORLDCUP!BD60</f>
        <v>Escocia</v>
      </c>
      <c r="G394" s="11" t="str">
        <f ca="1">+WORLDCUP!BD58</f>
        <v>República Checa</v>
      </c>
      <c r="H394" s="11" t="str">
        <f ca="1">+WORLDCUP!BD65</f>
        <v>España</v>
      </c>
      <c r="I394" s="11" t="str">
        <f ca="1">+WORLDCUP!BD69</f>
        <v>Panamá</v>
      </c>
      <c r="J394" s="11" t="str">
        <f ca="1">+WORLDCUP!BD68</f>
        <v>RD Congo</v>
      </c>
      <c r="N394" s="11" t="s">
        <v>852</v>
      </c>
      <c r="O394" s="11">
        <v>393</v>
      </c>
      <c r="P394" s="11" t="s">
        <v>93</v>
      </c>
      <c r="Q394" s="11" t="s">
        <v>440</v>
      </c>
      <c r="R394" s="11" t="s">
        <v>90</v>
      </c>
      <c r="S394" s="11" t="s">
        <v>91</v>
      </c>
      <c r="T394" s="11" t="s">
        <v>89</v>
      </c>
      <c r="U394" s="11" t="s">
        <v>436</v>
      </c>
      <c r="V394" s="11" t="s">
        <v>443</v>
      </c>
      <c r="W394" s="11" t="s">
        <v>442</v>
      </c>
    </row>
    <row r="395" spans="1:23">
      <c r="A395" s="11" t="s">
        <v>851</v>
      </c>
      <c r="B395" s="11">
        <f ca="1">+IF(A395=WORLDCUP!$BI$112,1,0)</f>
        <v>0</v>
      </c>
      <c r="C395" s="11" t="str">
        <f ca="1">+WORLDCUP!BD62</f>
        <v>Ecuador</v>
      </c>
      <c r="D395" s="11" t="str">
        <f ca="1">+WORLDCUP!BD67</f>
        <v>Jordania</v>
      </c>
      <c r="E395" s="11" t="str">
        <f ca="1">+WORLDCUP!BD59</f>
        <v>Bosnia y Herzegovina</v>
      </c>
      <c r="F395" s="11" t="str">
        <f ca="1">+WORLDCUP!BD60</f>
        <v>Escocia</v>
      </c>
      <c r="G395" s="11" t="str">
        <f ca="1">+WORLDCUP!BD58</f>
        <v>República Checa</v>
      </c>
      <c r="H395" s="11" t="str">
        <f ca="1">+WORLDCUP!BD65</f>
        <v>España</v>
      </c>
      <c r="I395" s="11" t="str">
        <f ca="1">+WORLDCUP!BD69</f>
        <v>Panamá</v>
      </c>
      <c r="J395" s="11" t="str">
        <f ca="1">+WORLDCUP!BD66</f>
        <v>Senegal</v>
      </c>
      <c r="N395" s="11" t="s">
        <v>851</v>
      </c>
      <c r="O395" s="11">
        <v>394</v>
      </c>
      <c r="P395" s="11" t="s">
        <v>93</v>
      </c>
      <c r="Q395" s="11" t="s">
        <v>441</v>
      </c>
      <c r="R395" s="11" t="s">
        <v>90</v>
      </c>
      <c r="S395" s="11" t="s">
        <v>91</v>
      </c>
      <c r="T395" s="11" t="s">
        <v>89</v>
      </c>
      <c r="U395" s="11" t="s">
        <v>436</v>
      </c>
      <c r="V395" s="11" t="s">
        <v>443</v>
      </c>
      <c r="W395" s="11" t="s">
        <v>440</v>
      </c>
    </row>
    <row r="396" spans="1:23">
      <c r="A396" s="11" t="s">
        <v>850</v>
      </c>
      <c r="B396" s="11">
        <f ca="1">+IF(A396=WORLDCUP!$BI$112,1,0)</f>
        <v>0</v>
      </c>
      <c r="C396" s="11" t="str">
        <f ca="1">+WORLDCUP!BD62</f>
        <v>Ecuador</v>
      </c>
      <c r="D396" s="11" t="str">
        <f ca="1">+WORLDCUP!BD67</f>
        <v>Jordania</v>
      </c>
      <c r="E396" s="11" t="str">
        <f ca="1">+WORLDCUP!BD59</f>
        <v>Bosnia y Herzegovina</v>
      </c>
      <c r="F396" s="11" t="str">
        <f ca="1">+WORLDCUP!BD60</f>
        <v>Escocia</v>
      </c>
      <c r="G396" s="11" t="str">
        <f ca="1">+WORLDCUP!BD58</f>
        <v>República Checa</v>
      </c>
      <c r="H396" s="11" t="str">
        <f ca="1">+WORLDCUP!BD65</f>
        <v>España</v>
      </c>
      <c r="I396" s="11" t="str">
        <f ca="1">+WORLDCUP!BD66</f>
        <v>Senegal</v>
      </c>
      <c r="J396" s="11" t="str">
        <f ca="1">+WORLDCUP!BD68</f>
        <v>RD Congo</v>
      </c>
      <c r="N396" s="11" t="s">
        <v>850</v>
      </c>
      <c r="O396" s="11">
        <v>395</v>
      </c>
      <c r="P396" s="11" t="s">
        <v>93</v>
      </c>
      <c r="Q396" s="11" t="s">
        <v>441</v>
      </c>
      <c r="R396" s="11" t="s">
        <v>90</v>
      </c>
      <c r="S396" s="11" t="s">
        <v>91</v>
      </c>
      <c r="T396" s="11" t="s">
        <v>89</v>
      </c>
      <c r="U396" s="11" t="s">
        <v>436</v>
      </c>
      <c r="V396" s="11" t="s">
        <v>440</v>
      </c>
      <c r="W396" s="11" t="s">
        <v>442</v>
      </c>
    </row>
    <row r="397" spans="1:23">
      <c r="A397" s="11" t="s">
        <v>849</v>
      </c>
      <c r="B397" s="11">
        <f ca="1">+IF(A397=WORLDCUP!$BI$112,1,0)</f>
        <v>0</v>
      </c>
      <c r="C397" s="11" t="str">
        <f ca="1">+WORLDCUP!BD62</f>
        <v>Ecuador</v>
      </c>
      <c r="D397" s="11" t="str">
        <f ca="1">+WORLDCUP!BD67</f>
        <v>Jordania</v>
      </c>
      <c r="E397" s="11" t="str">
        <f ca="1">+WORLDCUP!BD59</f>
        <v>Bosnia y Herzegovina</v>
      </c>
      <c r="F397" s="11" t="str">
        <f ca="1">+WORLDCUP!BD60</f>
        <v>Escocia</v>
      </c>
      <c r="G397" s="11" t="str">
        <f ca="1">+WORLDCUP!BD58</f>
        <v>República Checa</v>
      </c>
      <c r="H397" s="11" t="str">
        <f ca="1">+WORLDCUP!BD64</f>
        <v>Bélgica</v>
      </c>
      <c r="I397" s="11" t="str">
        <f ca="1">+WORLDCUP!BD69</f>
        <v>Panamá</v>
      </c>
      <c r="J397" s="11" t="str">
        <f ca="1">+WORLDCUP!BD68</f>
        <v>RD Congo</v>
      </c>
      <c r="N397" s="11" t="s">
        <v>849</v>
      </c>
      <c r="O397" s="11">
        <v>396</v>
      </c>
      <c r="P397" s="11" t="s">
        <v>93</v>
      </c>
      <c r="Q397" s="11" t="s">
        <v>441</v>
      </c>
      <c r="R397" s="11" t="s">
        <v>90</v>
      </c>
      <c r="S397" s="11" t="s">
        <v>91</v>
      </c>
      <c r="T397" s="11" t="s">
        <v>89</v>
      </c>
      <c r="U397" s="11" t="s">
        <v>435</v>
      </c>
      <c r="V397" s="11" t="s">
        <v>443</v>
      </c>
      <c r="W397" s="11" t="s">
        <v>442</v>
      </c>
    </row>
    <row r="398" spans="1:23">
      <c r="A398" s="11" t="s">
        <v>848</v>
      </c>
      <c r="B398" s="11">
        <f ca="1">+IF(A398=WORLDCUP!$BI$112,1,0)</f>
        <v>0</v>
      </c>
      <c r="C398" s="11" t="str">
        <f ca="1">+WORLDCUP!BD62</f>
        <v>Ecuador</v>
      </c>
      <c r="D398" s="11" t="str">
        <f ca="1">+WORLDCUP!BD64</f>
        <v>Bélgica</v>
      </c>
      <c r="E398" s="11" t="str">
        <f ca="1">+WORLDCUP!BD59</f>
        <v>Bosnia y Herzegovina</v>
      </c>
      <c r="F398" s="11" t="str">
        <f ca="1">+WORLDCUP!BD58</f>
        <v>República Checa</v>
      </c>
      <c r="G398" s="11" t="str">
        <f ca="1">+WORLDCUP!BD66</f>
        <v>Senegal</v>
      </c>
      <c r="H398" s="11" t="str">
        <f ca="1">+WORLDCUP!BD60</f>
        <v>Escocia</v>
      </c>
      <c r="I398" s="11" t="str">
        <f ca="1">+WORLDCUP!BD69</f>
        <v>Panamá</v>
      </c>
      <c r="J398" s="11" t="str">
        <f ca="1">+WORLDCUP!BD68</f>
        <v>RD Congo</v>
      </c>
      <c r="N398" s="11" t="s">
        <v>848</v>
      </c>
      <c r="O398" s="11">
        <v>397</v>
      </c>
      <c r="P398" s="11" t="s">
        <v>93</v>
      </c>
      <c r="Q398" s="11" t="s">
        <v>435</v>
      </c>
      <c r="R398" s="11" t="s">
        <v>90</v>
      </c>
      <c r="S398" s="11" t="s">
        <v>89</v>
      </c>
      <c r="T398" s="11" t="s">
        <v>440</v>
      </c>
      <c r="U398" s="11" t="s">
        <v>91</v>
      </c>
      <c r="V398" s="11" t="s">
        <v>443</v>
      </c>
      <c r="W398" s="11" t="s">
        <v>442</v>
      </c>
    </row>
    <row r="399" spans="1:23">
      <c r="A399" s="11" t="s">
        <v>847</v>
      </c>
      <c r="B399" s="11">
        <f ca="1">+IF(A399=WORLDCUP!$BI$112,1,0)</f>
        <v>0</v>
      </c>
      <c r="C399" s="11" t="str">
        <f ca="1">+WORLDCUP!BD62</f>
        <v>Ecuador</v>
      </c>
      <c r="D399" s="11" t="str">
        <f ca="1">+WORLDCUP!BD67</f>
        <v>Jordania</v>
      </c>
      <c r="E399" s="11" t="str">
        <f ca="1">+WORLDCUP!BD59</f>
        <v>Bosnia y Herzegovina</v>
      </c>
      <c r="F399" s="11" t="str">
        <f ca="1">+WORLDCUP!BD60</f>
        <v>Escocia</v>
      </c>
      <c r="G399" s="11" t="str">
        <f ca="1">+WORLDCUP!BD58</f>
        <v>República Checa</v>
      </c>
      <c r="H399" s="11" t="str">
        <f ca="1">+WORLDCUP!BD64</f>
        <v>Bélgica</v>
      </c>
      <c r="I399" s="11" t="str">
        <f ca="1">+WORLDCUP!BD69</f>
        <v>Panamá</v>
      </c>
      <c r="J399" s="11" t="str">
        <f ca="1">+WORLDCUP!BD66</f>
        <v>Senegal</v>
      </c>
      <c r="N399" s="11" t="s">
        <v>847</v>
      </c>
      <c r="O399" s="11">
        <v>398</v>
      </c>
      <c r="P399" s="11" t="s">
        <v>93</v>
      </c>
      <c r="Q399" s="11" t="s">
        <v>441</v>
      </c>
      <c r="R399" s="11" t="s">
        <v>90</v>
      </c>
      <c r="S399" s="11" t="s">
        <v>91</v>
      </c>
      <c r="T399" s="11" t="s">
        <v>89</v>
      </c>
      <c r="U399" s="11" t="s">
        <v>435</v>
      </c>
      <c r="V399" s="11" t="s">
        <v>443</v>
      </c>
      <c r="W399" s="11" t="s">
        <v>440</v>
      </c>
    </row>
    <row r="400" spans="1:23">
      <c r="A400" s="11" t="s">
        <v>846</v>
      </c>
      <c r="B400" s="11">
        <f ca="1">+IF(A400=WORLDCUP!$BI$112,1,0)</f>
        <v>0</v>
      </c>
      <c r="C400" s="11" t="str">
        <f ca="1">+WORLDCUP!BD62</f>
        <v>Ecuador</v>
      </c>
      <c r="D400" s="11" t="str">
        <f ca="1">+WORLDCUP!BD67</f>
        <v>Jordania</v>
      </c>
      <c r="E400" s="11" t="str">
        <f ca="1">+WORLDCUP!BD59</f>
        <v>Bosnia y Herzegovina</v>
      </c>
      <c r="F400" s="11" t="str">
        <f ca="1">+WORLDCUP!BD60</f>
        <v>Escocia</v>
      </c>
      <c r="G400" s="11" t="str">
        <f ca="1">+WORLDCUP!BD58</f>
        <v>República Checa</v>
      </c>
      <c r="H400" s="11" t="str">
        <f ca="1">+WORLDCUP!BD64</f>
        <v>Bélgica</v>
      </c>
      <c r="I400" s="11" t="str">
        <f ca="1">+WORLDCUP!BD66</f>
        <v>Senegal</v>
      </c>
      <c r="J400" s="11" t="str">
        <f ca="1">+WORLDCUP!BD68</f>
        <v>RD Congo</v>
      </c>
      <c r="N400" s="11" t="s">
        <v>846</v>
      </c>
      <c r="O400" s="11">
        <v>399</v>
      </c>
      <c r="P400" s="11" t="s">
        <v>93</v>
      </c>
      <c r="Q400" s="11" t="s">
        <v>441</v>
      </c>
      <c r="R400" s="11" t="s">
        <v>90</v>
      </c>
      <c r="S400" s="11" t="s">
        <v>91</v>
      </c>
      <c r="T400" s="11" t="s">
        <v>89</v>
      </c>
      <c r="U400" s="11" t="s">
        <v>435</v>
      </c>
      <c r="V400" s="11" t="s">
        <v>440</v>
      </c>
      <c r="W400" s="11" t="s">
        <v>442</v>
      </c>
    </row>
    <row r="401" spans="1:23">
      <c r="A401" s="11" t="s">
        <v>845</v>
      </c>
      <c r="B401" s="11">
        <f ca="1">+IF(A401=WORLDCUP!$BI$112,1,0)</f>
        <v>0</v>
      </c>
      <c r="C401" s="11" t="str">
        <f ca="1">+WORLDCUP!BD62</f>
        <v>Ecuador</v>
      </c>
      <c r="D401" s="11" t="str">
        <f ca="1">+WORLDCUP!BD64</f>
        <v>Bélgica</v>
      </c>
      <c r="E401" s="11" t="str">
        <f ca="1">+WORLDCUP!BD59</f>
        <v>Bosnia y Herzegovina</v>
      </c>
      <c r="F401" s="11" t="str">
        <f ca="1">+WORLDCUP!BD60</f>
        <v>Escocia</v>
      </c>
      <c r="G401" s="11" t="str">
        <f ca="1">+WORLDCUP!BD58</f>
        <v>República Checa</v>
      </c>
      <c r="H401" s="11" t="str">
        <f ca="1">+WORLDCUP!BD65</f>
        <v>España</v>
      </c>
      <c r="I401" s="11" t="str">
        <f ca="1">+WORLDCUP!BD69</f>
        <v>Panamá</v>
      </c>
      <c r="J401" s="11" t="str">
        <f ca="1">+WORLDCUP!BD68</f>
        <v>RD Congo</v>
      </c>
      <c r="N401" s="11" t="s">
        <v>845</v>
      </c>
      <c r="O401" s="11">
        <v>400</v>
      </c>
      <c r="P401" s="11" t="s">
        <v>93</v>
      </c>
      <c r="Q401" s="11" t="s">
        <v>435</v>
      </c>
      <c r="R401" s="11" t="s">
        <v>90</v>
      </c>
      <c r="S401" s="11" t="s">
        <v>91</v>
      </c>
      <c r="T401" s="11" t="s">
        <v>89</v>
      </c>
      <c r="U401" s="11" t="s">
        <v>436</v>
      </c>
      <c r="V401" s="11" t="s">
        <v>443</v>
      </c>
      <c r="W401" s="11" t="s">
        <v>442</v>
      </c>
    </row>
    <row r="402" spans="1:23">
      <c r="A402" s="11" t="s">
        <v>844</v>
      </c>
      <c r="B402" s="11">
        <f ca="1">+IF(A402=WORLDCUP!$BI$112,1,0)</f>
        <v>0</v>
      </c>
      <c r="C402" s="11" t="str">
        <f ca="1">+WORLDCUP!BD65</f>
        <v>España</v>
      </c>
      <c r="D402" s="11" t="str">
        <f ca="1">+WORLDCUP!BD67</f>
        <v>Jordania</v>
      </c>
      <c r="E402" s="11" t="str">
        <f ca="1">+WORLDCUP!BD59</f>
        <v>Bosnia y Herzegovina</v>
      </c>
      <c r="F402" s="11" t="str">
        <f ca="1">+WORLDCUP!BD60</f>
        <v>Escocia</v>
      </c>
      <c r="G402" s="11" t="str">
        <f ca="1">+WORLDCUP!BD58</f>
        <v>República Checa</v>
      </c>
      <c r="H402" s="11" t="str">
        <f ca="1">+WORLDCUP!BD64</f>
        <v>Bélgica</v>
      </c>
      <c r="I402" s="11" t="str">
        <f ca="1">+WORLDCUP!BD69</f>
        <v>Panamá</v>
      </c>
      <c r="J402" s="11" t="str">
        <f ca="1">+WORLDCUP!BD62</f>
        <v>Ecuador</v>
      </c>
      <c r="N402" s="11" t="s">
        <v>844</v>
      </c>
      <c r="O402" s="11">
        <v>401</v>
      </c>
      <c r="P402" s="11" t="s">
        <v>436</v>
      </c>
      <c r="Q402" s="11" t="s">
        <v>441</v>
      </c>
      <c r="R402" s="11" t="s">
        <v>90</v>
      </c>
      <c r="S402" s="11" t="s">
        <v>91</v>
      </c>
      <c r="T402" s="11" t="s">
        <v>89</v>
      </c>
      <c r="U402" s="11" t="s">
        <v>435</v>
      </c>
      <c r="V402" s="11" t="s">
        <v>443</v>
      </c>
      <c r="W402" s="11" t="s">
        <v>93</v>
      </c>
    </row>
    <row r="403" spans="1:23">
      <c r="A403" s="11" t="s">
        <v>843</v>
      </c>
      <c r="B403" s="11">
        <f ca="1">+IF(A403=WORLDCUP!$BI$112,1,0)</f>
        <v>0</v>
      </c>
      <c r="C403" s="11" t="str">
        <f ca="1">+WORLDCUP!BD65</f>
        <v>España</v>
      </c>
      <c r="D403" s="11" t="str">
        <f ca="1">+WORLDCUP!BD67</f>
        <v>Jordania</v>
      </c>
      <c r="E403" s="11" t="str">
        <f ca="1">+WORLDCUP!BD59</f>
        <v>Bosnia y Herzegovina</v>
      </c>
      <c r="F403" s="11" t="str">
        <f ca="1">+WORLDCUP!BD60</f>
        <v>Escocia</v>
      </c>
      <c r="G403" s="11" t="str">
        <f ca="1">+WORLDCUP!BD58</f>
        <v>República Checa</v>
      </c>
      <c r="H403" s="11" t="str">
        <f ca="1">+WORLDCUP!BD64</f>
        <v>Bélgica</v>
      </c>
      <c r="I403" s="11" t="str">
        <f ca="1">+WORLDCUP!BD62</f>
        <v>Ecuador</v>
      </c>
      <c r="J403" s="11" t="str">
        <f ca="1">+WORLDCUP!BD68</f>
        <v>RD Congo</v>
      </c>
      <c r="N403" s="11" t="s">
        <v>843</v>
      </c>
      <c r="O403" s="11">
        <v>402</v>
      </c>
      <c r="P403" s="11" t="s">
        <v>436</v>
      </c>
      <c r="Q403" s="11" t="s">
        <v>441</v>
      </c>
      <c r="R403" s="11" t="s">
        <v>90</v>
      </c>
      <c r="S403" s="11" t="s">
        <v>91</v>
      </c>
      <c r="T403" s="11" t="s">
        <v>89</v>
      </c>
      <c r="U403" s="11" t="s">
        <v>435</v>
      </c>
      <c r="V403" s="11" t="s">
        <v>93</v>
      </c>
      <c r="W403" s="11" t="s">
        <v>442</v>
      </c>
    </row>
    <row r="404" spans="1:23">
      <c r="A404" s="11" t="s">
        <v>842</v>
      </c>
      <c r="B404" s="11">
        <f ca="1">+IF(A404=WORLDCUP!$BI$112,1,0)</f>
        <v>0</v>
      </c>
      <c r="C404" s="11" t="str">
        <f ca="1">+WORLDCUP!BD62</f>
        <v>Ecuador</v>
      </c>
      <c r="D404" s="11" t="str">
        <f ca="1">+WORLDCUP!BD64</f>
        <v>Bélgica</v>
      </c>
      <c r="E404" s="11" t="str">
        <f ca="1">+WORLDCUP!BD59</f>
        <v>Bosnia y Herzegovina</v>
      </c>
      <c r="F404" s="11" t="str">
        <f ca="1">+WORLDCUP!BD60</f>
        <v>Escocia</v>
      </c>
      <c r="G404" s="11" t="str">
        <f ca="1">+WORLDCUP!BD58</f>
        <v>República Checa</v>
      </c>
      <c r="H404" s="11" t="str">
        <f ca="1">+WORLDCUP!BD65</f>
        <v>España</v>
      </c>
      <c r="I404" s="11" t="str">
        <f ca="1">+WORLDCUP!BD69</f>
        <v>Panamá</v>
      </c>
      <c r="J404" s="11" t="str">
        <f ca="1">+WORLDCUP!BD66</f>
        <v>Senegal</v>
      </c>
      <c r="N404" s="11" t="s">
        <v>842</v>
      </c>
      <c r="O404" s="11">
        <v>403</v>
      </c>
      <c r="P404" s="11" t="s">
        <v>93</v>
      </c>
      <c r="Q404" s="11" t="s">
        <v>435</v>
      </c>
      <c r="R404" s="11" t="s">
        <v>90</v>
      </c>
      <c r="S404" s="11" t="s">
        <v>91</v>
      </c>
      <c r="T404" s="11" t="s">
        <v>89</v>
      </c>
      <c r="U404" s="11" t="s">
        <v>436</v>
      </c>
      <c r="V404" s="11" t="s">
        <v>443</v>
      </c>
      <c r="W404" s="11" t="s">
        <v>440</v>
      </c>
    </row>
    <row r="405" spans="1:23">
      <c r="A405" s="11" t="s">
        <v>841</v>
      </c>
      <c r="B405" s="11">
        <f ca="1">+IF(A405=WORLDCUP!$BI$112,1,0)</f>
        <v>0</v>
      </c>
      <c r="C405" s="11" t="str">
        <f ca="1">+WORLDCUP!BD62</f>
        <v>Ecuador</v>
      </c>
      <c r="D405" s="11" t="str">
        <f ca="1">+WORLDCUP!BD64</f>
        <v>Bélgica</v>
      </c>
      <c r="E405" s="11" t="str">
        <f ca="1">+WORLDCUP!BD59</f>
        <v>Bosnia y Herzegovina</v>
      </c>
      <c r="F405" s="11" t="str">
        <f ca="1">+WORLDCUP!BD60</f>
        <v>Escocia</v>
      </c>
      <c r="G405" s="11" t="str">
        <f ca="1">+WORLDCUP!BD58</f>
        <v>República Checa</v>
      </c>
      <c r="H405" s="11" t="str">
        <f ca="1">+WORLDCUP!BD65</f>
        <v>España</v>
      </c>
      <c r="I405" s="11" t="str">
        <f ca="1">+WORLDCUP!BD66</f>
        <v>Senegal</v>
      </c>
      <c r="J405" s="11" t="str">
        <f ca="1">+WORLDCUP!BD68</f>
        <v>RD Congo</v>
      </c>
      <c r="N405" s="11" t="s">
        <v>841</v>
      </c>
      <c r="O405" s="11">
        <v>404</v>
      </c>
      <c r="P405" s="11" t="s">
        <v>93</v>
      </c>
      <c r="Q405" s="11" t="s">
        <v>435</v>
      </c>
      <c r="R405" s="11" t="s">
        <v>90</v>
      </c>
      <c r="S405" s="11" t="s">
        <v>91</v>
      </c>
      <c r="T405" s="11" t="s">
        <v>89</v>
      </c>
      <c r="U405" s="11" t="s">
        <v>436</v>
      </c>
      <c r="V405" s="11" t="s">
        <v>440</v>
      </c>
      <c r="W405" s="11" t="s">
        <v>442</v>
      </c>
    </row>
    <row r="406" spans="1:23">
      <c r="A406" s="11" t="s">
        <v>840</v>
      </c>
      <c r="B406" s="11">
        <f ca="1">+IF(A406=WORLDCUP!$BI$112,1,0)</f>
        <v>0</v>
      </c>
      <c r="C406" s="11" t="str">
        <f ca="1">+WORLDCUP!BD65</f>
        <v>España</v>
      </c>
      <c r="D406" s="11" t="str">
        <f ca="1">+WORLDCUP!BD67</f>
        <v>Jordania</v>
      </c>
      <c r="E406" s="11" t="str">
        <f ca="1">+WORLDCUP!BD59</f>
        <v>Bosnia y Herzegovina</v>
      </c>
      <c r="F406" s="11" t="str">
        <f ca="1">+WORLDCUP!BD60</f>
        <v>Escocia</v>
      </c>
      <c r="G406" s="11" t="str">
        <f ca="1">+WORLDCUP!BD58</f>
        <v>República Checa</v>
      </c>
      <c r="H406" s="11" t="str">
        <f ca="1">+WORLDCUP!BD64</f>
        <v>Bélgica</v>
      </c>
      <c r="I406" s="11" t="str">
        <f ca="1">+WORLDCUP!BD62</f>
        <v>Ecuador</v>
      </c>
      <c r="J406" s="11" t="str">
        <f ca="1">+WORLDCUP!BD66</f>
        <v>Senegal</v>
      </c>
      <c r="N406" s="11" t="s">
        <v>840</v>
      </c>
      <c r="O406" s="11">
        <v>405</v>
      </c>
      <c r="P406" s="11" t="s">
        <v>436</v>
      </c>
      <c r="Q406" s="11" t="s">
        <v>441</v>
      </c>
      <c r="R406" s="11" t="s">
        <v>90</v>
      </c>
      <c r="S406" s="11" t="s">
        <v>91</v>
      </c>
      <c r="T406" s="11" t="s">
        <v>89</v>
      </c>
      <c r="U406" s="11" t="s">
        <v>435</v>
      </c>
      <c r="V406" s="11" t="s">
        <v>93</v>
      </c>
      <c r="W406" s="11" t="s">
        <v>440</v>
      </c>
    </row>
    <row r="407" spans="1:23">
      <c r="A407" s="11" t="s">
        <v>839</v>
      </c>
      <c r="B407" s="11">
        <f ca="1">+IF(A407=WORLDCUP!$BI$112,1,0)</f>
        <v>0</v>
      </c>
      <c r="C407" s="11" t="str">
        <f ca="1">+WORLDCUP!BD62</f>
        <v>Ecuador</v>
      </c>
      <c r="D407" s="11" t="str">
        <f ca="1">+WORLDCUP!BD67</f>
        <v>Jordania</v>
      </c>
      <c r="E407" s="11" t="str">
        <f ca="1">+WORLDCUP!BD59</f>
        <v>Bosnia y Herzegovina</v>
      </c>
      <c r="F407" s="11" t="str">
        <f ca="1">+WORLDCUP!BD60</f>
        <v>Escocia</v>
      </c>
      <c r="G407" s="11" t="str">
        <f ca="1">+WORLDCUP!BD58</f>
        <v>República Checa</v>
      </c>
      <c r="H407" s="11" t="str">
        <f ca="1">+WORLDCUP!BD63</f>
        <v>Japón</v>
      </c>
      <c r="I407" s="11" t="str">
        <f ca="1">+WORLDCUP!BD69</f>
        <v>Panamá</v>
      </c>
      <c r="J407" s="11" t="str">
        <f ca="1">+WORLDCUP!BD68</f>
        <v>RD Congo</v>
      </c>
      <c r="N407" s="11" t="s">
        <v>839</v>
      </c>
      <c r="O407" s="11">
        <v>406</v>
      </c>
      <c r="P407" s="11" t="s">
        <v>93</v>
      </c>
      <c r="Q407" s="11" t="s">
        <v>441</v>
      </c>
      <c r="R407" s="11" t="s">
        <v>90</v>
      </c>
      <c r="S407" s="11" t="s">
        <v>91</v>
      </c>
      <c r="T407" s="11" t="s">
        <v>89</v>
      </c>
      <c r="U407" s="11" t="s">
        <v>94</v>
      </c>
      <c r="V407" s="11" t="s">
        <v>443</v>
      </c>
      <c r="W407" s="11" t="s">
        <v>442</v>
      </c>
    </row>
    <row r="408" spans="1:23">
      <c r="A408" s="11" t="s">
        <v>838</v>
      </c>
      <c r="B408" s="11">
        <f ca="1">+IF(A408=WORLDCUP!$BI$112,1,0)</f>
        <v>0</v>
      </c>
      <c r="C408" s="11" t="str">
        <f ca="1">+WORLDCUP!BD62</f>
        <v>Ecuador</v>
      </c>
      <c r="D408" s="11" t="str">
        <f ca="1">+WORLDCUP!BD66</f>
        <v>Senegal</v>
      </c>
      <c r="E408" s="11" t="str">
        <f ca="1">+WORLDCUP!BD59</f>
        <v>Bosnia y Herzegovina</v>
      </c>
      <c r="F408" s="11" t="str">
        <f ca="1">+WORLDCUP!BD60</f>
        <v>Escocia</v>
      </c>
      <c r="G408" s="11" t="str">
        <f ca="1">+WORLDCUP!BD58</f>
        <v>República Checa</v>
      </c>
      <c r="H408" s="11" t="str">
        <f ca="1">+WORLDCUP!BD63</f>
        <v>Japón</v>
      </c>
      <c r="I408" s="11" t="str">
        <f ca="1">+WORLDCUP!BD69</f>
        <v>Panamá</v>
      </c>
      <c r="J408" s="11" t="str">
        <f ca="1">+WORLDCUP!BD68</f>
        <v>RD Congo</v>
      </c>
      <c r="N408" s="11" t="s">
        <v>838</v>
      </c>
      <c r="O408" s="11">
        <v>407</v>
      </c>
      <c r="P408" s="11" t="s">
        <v>93</v>
      </c>
      <c r="Q408" s="11" t="s">
        <v>440</v>
      </c>
      <c r="R408" s="11" t="s">
        <v>90</v>
      </c>
      <c r="S408" s="11" t="s">
        <v>91</v>
      </c>
      <c r="T408" s="11" t="s">
        <v>89</v>
      </c>
      <c r="U408" s="11" t="s">
        <v>94</v>
      </c>
      <c r="V408" s="11" t="s">
        <v>443</v>
      </c>
      <c r="W408" s="11" t="s">
        <v>442</v>
      </c>
    </row>
    <row r="409" spans="1:23">
      <c r="A409" s="11" t="s">
        <v>837</v>
      </c>
      <c r="B409" s="11">
        <f ca="1">+IF(A409=WORLDCUP!$BI$112,1,0)</f>
        <v>0</v>
      </c>
      <c r="C409" s="11" t="str">
        <f ca="1">+WORLDCUP!BD62</f>
        <v>Ecuador</v>
      </c>
      <c r="D409" s="11" t="str">
        <f ca="1">+WORLDCUP!BD67</f>
        <v>Jordania</v>
      </c>
      <c r="E409" s="11" t="str">
        <f ca="1">+WORLDCUP!BD59</f>
        <v>Bosnia y Herzegovina</v>
      </c>
      <c r="F409" s="11" t="str">
        <f ca="1">+WORLDCUP!BD60</f>
        <v>Escocia</v>
      </c>
      <c r="G409" s="11" t="str">
        <f ca="1">+WORLDCUP!BD58</f>
        <v>República Checa</v>
      </c>
      <c r="H409" s="11" t="str">
        <f ca="1">+WORLDCUP!BD63</f>
        <v>Japón</v>
      </c>
      <c r="I409" s="11" t="str">
        <f ca="1">+WORLDCUP!BD69</f>
        <v>Panamá</v>
      </c>
      <c r="J409" s="11" t="str">
        <f ca="1">+WORLDCUP!BD66</f>
        <v>Senegal</v>
      </c>
      <c r="N409" s="11" t="s">
        <v>837</v>
      </c>
      <c r="O409" s="11">
        <v>408</v>
      </c>
      <c r="P409" s="11" t="s">
        <v>93</v>
      </c>
      <c r="Q409" s="11" t="s">
        <v>441</v>
      </c>
      <c r="R409" s="11" t="s">
        <v>90</v>
      </c>
      <c r="S409" s="11" t="s">
        <v>91</v>
      </c>
      <c r="T409" s="11" t="s">
        <v>89</v>
      </c>
      <c r="U409" s="11" t="s">
        <v>94</v>
      </c>
      <c r="V409" s="11" t="s">
        <v>443</v>
      </c>
      <c r="W409" s="11" t="s">
        <v>440</v>
      </c>
    </row>
    <row r="410" spans="1:23">
      <c r="A410" s="11" t="s">
        <v>836</v>
      </c>
      <c r="B410" s="11">
        <f ca="1">+IF(A410=WORLDCUP!$BI$112,1,0)</f>
        <v>0</v>
      </c>
      <c r="C410" s="11" t="str">
        <f ca="1">+WORLDCUP!BD62</f>
        <v>Ecuador</v>
      </c>
      <c r="D410" s="11" t="str">
        <f ca="1">+WORLDCUP!BD67</f>
        <v>Jordania</v>
      </c>
      <c r="E410" s="11" t="str">
        <f ca="1">+WORLDCUP!BD59</f>
        <v>Bosnia y Herzegovina</v>
      </c>
      <c r="F410" s="11" t="str">
        <f ca="1">+WORLDCUP!BD60</f>
        <v>Escocia</v>
      </c>
      <c r="G410" s="11" t="str">
        <f ca="1">+WORLDCUP!BD58</f>
        <v>República Checa</v>
      </c>
      <c r="H410" s="11" t="str">
        <f ca="1">+WORLDCUP!BD63</f>
        <v>Japón</v>
      </c>
      <c r="I410" s="11" t="str">
        <f ca="1">+WORLDCUP!BD66</f>
        <v>Senegal</v>
      </c>
      <c r="J410" s="11" t="str">
        <f ca="1">+WORLDCUP!BD68</f>
        <v>RD Congo</v>
      </c>
      <c r="N410" s="11" t="s">
        <v>836</v>
      </c>
      <c r="O410" s="11">
        <v>409</v>
      </c>
      <c r="P410" s="11" t="s">
        <v>93</v>
      </c>
      <c r="Q410" s="11" t="s">
        <v>441</v>
      </c>
      <c r="R410" s="11" t="s">
        <v>90</v>
      </c>
      <c r="S410" s="11" t="s">
        <v>91</v>
      </c>
      <c r="T410" s="11" t="s">
        <v>89</v>
      </c>
      <c r="U410" s="11" t="s">
        <v>94</v>
      </c>
      <c r="V410" s="11" t="s">
        <v>440</v>
      </c>
      <c r="W410" s="11" t="s">
        <v>442</v>
      </c>
    </row>
    <row r="411" spans="1:23">
      <c r="A411" s="11" t="s">
        <v>835</v>
      </c>
      <c r="B411" s="11">
        <f ca="1">+IF(A411=WORLDCUP!$BI$112,1,0)</f>
        <v>0</v>
      </c>
      <c r="C411" s="11" t="str">
        <f ca="1">+WORLDCUP!BD65</f>
        <v>España</v>
      </c>
      <c r="D411" s="11" t="str">
        <f ca="1">+WORLDCUP!BD62</f>
        <v>Ecuador</v>
      </c>
      <c r="E411" s="11" t="str">
        <f ca="1">+WORLDCUP!BD59</f>
        <v>Bosnia y Herzegovina</v>
      </c>
      <c r="F411" s="11" t="str">
        <f ca="1">+WORLDCUP!BD60</f>
        <v>Escocia</v>
      </c>
      <c r="G411" s="11" t="str">
        <f ca="1">+WORLDCUP!BD58</f>
        <v>República Checa</v>
      </c>
      <c r="H411" s="11" t="str">
        <f ca="1">+WORLDCUP!BD63</f>
        <v>Japón</v>
      </c>
      <c r="I411" s="11" t="str">
        <f ca="1">+WORLDCUP!BD69</f>
        <v>Panamá</v>
      </c>
      <c r="J411" s="11" t="str">
        <f ca="1">+WORLDCUP!BD68</f>
        <v>RD Congo</v>
      </c>
      <c r="N411" s="11" t="s">
        <v>835</v>
      </c>
      <c r="O411" s="11">
        <v>410</v>
      </c>
      <c r="P411" s="11" t="s">
        <v>436</v>
      </c>
      <c r="Q411" s="11" t="s">
        <v>93</v>
      </c>
      <c r="R411" s="11" t="s">
        <v>90</v>
      </c>
      <c r="S411" s="11" t="s">
        <v>91</v>
      </c>
      <c r="T411" s="11" t="s">
        <v>89</v>
      </c>
      <c r="U411" s="11" t="s">
        <v>94</v>
      </c>
      <c r="V411" s="11" t="s">
        <v>443</v>
      </c>
      <c r="W411" s="11" t="s">
        <v>442</v>
      </c>
    </row>
    <row r="412" spans="1:23">
      <c r="A412" s="11" t="s">
        <v>834</v>
      </c>
      <c r="B412" s="11">
        <f ca="1">+IF(A412=WORLDCUP!$BI$112,1,0)</f>
        <v>0</v>
      </c>
      <c r="C412" s="11" t="str">
        <f ca="1">+WORLDCUP!BD65</f>
        <v>España</v>
      </c>
      <c r="D412" s="11" t="str">
        <f ca="1">+WORLDCUP!BD67</f>
        <v>Jordania</v>
      </c>
      <c r="E412" s="11" t="str">
        <f ca="1">+WORLDCUP!BD59</f>
        <v>Bosnia y Herzegovina</v>
      </c>
      <c r="F412" s="11" t="str">
        <f ca="1">+WORLDCUP!BD60</f>
        <v>Escocia</v>
      </c>
      <c r="G412" s="11" t="str">
        <f ca="1">+WORLDCUP!BD58</f>
        <v>República Checa</v>
      </c>
      <c r="H412" s="11" t="str">
        <f ca="1">+WORLDCUP!BD63</f>
        <v>Japón</v>
      </c>
      <c r="I412" s="11" t="str">
        <f ca="1">+WORLDCUP!BD69</f>
        <v>Panamá</v>
      </c>
      <c r="J412" s="11" t="str">
        <f ca="1">+WORLDCUP!BD62</f>
        <v>Ecuador</v>
      </c>
      <c r="N412" s="11" t="s">
        <v>834</v>
      </c>
      <c r="O412" s="11">
        <v>411</v>
      </c>
      <c r="P412" s="11" t="s">
        <v>436</v>
      </c>
      <c r="Q412" s="11" t="s">
        <v>441</v>
      </c>
      <c r="R412" s="11" t="s">
        <v>90</v>
      </c>
      <c r="S412" s="11" t="s">
        <v>91</v>
      </c>
      <c r="T412" s="11" t="s">
        <v>89</v>
      </c>
      <c r="U412" s="11" t="s">
        <v>94</v>
      </c>
      <c r="V412" s="11" t="s">
        <v>443</v>
      </c>
      <c r="W412" s="11" t="s">
        <v>93</v>
      </c>
    </row>
    <row r="413" spans="1:23">
      <c r="A413" s="11" t="s">
        <v>833</v>
      </c>
      <c r="B413" s="11">
        <f ca="1">+IF(A413=WORLDCUP!$BI$112,1,0)</f>
        <v>0</v>
      </c>
      <c r="C413" s="11" t="str">
        <f ca="1">+WORLDCUP!BD65</f>
        <v>España</v>
      </c>
      <c r="D413" s="11" t="str">
        <f ca="1">+WORLDCUP!BD67</f>
        <v>Jordania</v>
      </c>
      <c r="E413" s="11" t="str">
        <f ca="1">+WORLDCUP!BD59</f>
        <v>Bosnia y Herzegovina</v>
      </c>
      <c r="F413" s="11" t="str">
        <f ca="1">+WORLDCUP!BD60</f>
        <v>Escocia</v>
      </c>
      <c r="G413" s="11" t="str">
        <f ca="1">+WORLDCUP!BD58</f>
        <v>República Checa</v>
      </c>
      <c r="H413" s="11" t="str">
        <f ca="1">+WORLDCUP!BD63</f>
        <v>Japón</v>
      </c>
      <c r="I413" s="11" t="str">
        <f ca="1">+WORLDCUP!BD62</f>
        <v>Ecuador</v>
      </c>
      <c r="J413" s="11" t="str">
        <f ca="1">+WORLDCUP!BD68</f>
        <v>RD Congo</v>
      </c>
      <c r="N413" s="11" t="s">
        <v>833</v>
      </c>
      <c r="O413" s="11">
        <v>412</v>
      </c>
      <c r="P413" s="11" t="s">
        <v>436</v>
      </c>
      <c r="Q413" s="11" t="s">
        <v>441</v>
      </c>
      <c r="R413" s="11" t="s">
        <v>90</v>
      </c>
      <c r="S413" s="11" t="s">
        <v>91</v>
      </c>
      <c r="T413" s="11" t="s">
        <v>89</v>
      </c>
      <c r="U413" s="11" t="s">
        <v>94</v>
      </c>
      <c r="V413" s="11" t="s">
        <v>93</v>
      </c>
      <c r="W413" s="11" t="s">
        <v>442</v>
      </c>
    </row>
    <row r="414" spans="1:23">
      <c r="A414" s="11" t="s">
        <v>765</v>
      </c>
      <c r="B414" s="11">
        <f ca="1">+IF(A414=WORLDCUP!$BI$112,1,0)</f>
        <v>0</v>
      </c>
      <c r="C414" s="11" t="str">
        <f ca="1">+WORLDCUP!BD65</f>
        <v>España</v>
      </c>
      <c r="D414" s="11" t="str">
        <f ca="1">+WORLDCUP!BD62</f>
        <v>Ecuador</v>
      </c>
      <c r="E414" s="11" t="str">
        <f ca="1">+WORLDCUP!BD59</f>
        <v>Bosnia y Herzegovina</v>
      </c>
      <c r="F414" s="11" t="str">
        <f ca="1">+WORLDCUP!BD60</f>
        <v>Escocia</v>
      </c>
      <c r="G414" s="11" t="str">
        <f ca="1">+WORLDCUP!BD58</f>
        <v>República Checa</v>
      </c>
      <c r="H414" s="11" t="str">
        <f ca="1">+WORLDCUP!BD63</f>
        <v>Japón</v>
      </c>
      <c r="I414" s="11" t="str">
        <f ca="1">+WORLDCUP!BD69</f>
        <v>Panamá</v>
      </c>
      <c r="J414" s="11" t="str">
        <f ca="1">+WORLDCUP!BD66</f>
        <v>Senegal</v>
      </c>
      <c r="N414" s="11" t="s">
        <v>765</v>
      </c>
      <c r="O414" s="11">
        <v>413</v>
      </c>
      <c r="P414" s="11" t="s">
        <v>436</v>
      </c>
      <c r="Q414" s="11" t="s">
        <v>93</v>
      </c>
      <c r="R414" s="11" t="s">
        <v>90</v>
      </c>
      <c r="S414" s="11" t="s">
        <v>91</v>
      </c>
      <c r="T414" s="11" t="s">
        <v>89</v>
      </c>
      <c r="U414" s="11" t="s">
        <v>94</v>
      </c>
      <c r="V414" s="11" t="s">
        <v>443</v>
      </c>
      <c r="W414" s="11" t="s">
        <v>440</v>
      </c>
    </row>
    <row r="415" spans="1:23">
      <c r="A415" s="11" t="s">
        <v>832</v>
      </c>
      <c r="B415" s="11">
        <f ca="1">+IF(A415=WORLDCUP!$BI$112,1,0)</f>
        <v>0</v>
      </c>
      <c r="C415" s="11" t="str">
        <f ca="1">+WORLDCUP!BD65</f>
        <v>España</v>
      </c>
      <c r="D415" s="11" t="str">
        <f ca="1">+WORLDCUP!BD62</f>
        <v>Ecuador</v>
      </c>
      <c r="E415" s="11" t="str">
        <f ca="1">+WORLDCUP!BD59</f>
        <v>Bosnia y Herzegovina</v>
      </c>
      <c r="F415" s="11" t="str">
        <f ca="1">+WORLDCUP!BD60</f>
        <v>Escocia</v>
      </c>
      <c r="G415" s="11" t="str">
        <f ca="1">+WORLDCUP!BD58</f>
        <v>República Checa</v>
      </c>
      <c r="H415" s="11" t="str">
        <f ca="1">+WORLDCUP!BD63</f>
        <v>Japón</v>
      </c>
      <c r="I415" s="11" t="str">
        <f ca="1">+WORLDCUP!BD66</f>
        <v>Senegal</v>
      </c>
      <c r="J415" s="11" t="str">
        <f ca="1">+WORLDCUP!BD68</f>
        <v>RD Congo</v>
      </c>
      <c r="N415" s="11" t="s">
        <v>832</v>
      </c>
      <c r="O415" s="11">
        <v>414</v>
      </c>
      <c r="P415" s="11" t="s">
        <v>436</v>
      </c>
      <c r="Q415" s="11" t="s">
        <v>93</v>
      </c>
      <c r="R415" s="11" t="s">
        <v>90</v>
      </c>
      <c r="S415" s="11" t="s">
        <v>91</v>
      </c>
      <c r="T415" s="11" t="s">
        <v>89</v>
      </c>
      <c r="U415" s="11" t="s">
        <v>94</v>
      </c>
      <c r="V415" s="11" t="s">
        <v>440</v>
      </c>
      <c r="W415" s="11" t="s">
        <v>442</v>
      </c>
    </row>
    <row r="416" spans="1:23">
      <c r="A416" s="11" t="s">
        <v>831</v>
      </c>
      <c r="B416" s="11">
        <f ca="1">+IF(A416=WORLDCUP!$BI$112,1,0)</f>
        <v>0</v>
      </c>
      <c r="C416" s="11" t="str">
        <f ca="1">+WORLDCUP!BD65</f>
        <v>España</v>
      </c>
      <c r="D416" s="11" t="str">
        <f ca="1">+WORLDCUP!BD67</f>
        <v>Jordania</v>
      </c>
      <c r="E416" s="11" t="str">
        <f ca="1">+WORLDCUP!BD59</f>
        <v>Bosnia y Herzegovina</v>
      </c>
      <c r="F416" s="11" t="str">
        <f ca="1">+WORLDCUP!BD60</f>
        <v>Escocia</v>
      </c>
      <c r="G416" s="11" t="str">
        <f ca="1">+WORLDCUP!BD58</f>
        <v>República Checa</v>
      </c>
      <c r="H416" s="11" t="str">
        <f ca="1">+WORLDCUP!BD63</f>
        <v>Japón</v>
      </c>
      <c r="I416" s="11" t="str">
        <f ca="1">+WORLDCUP!BD62</f>
        <v>Ecuador</v>
      </c>
      <c r="J416" s="11" t="str">
        <f ca="1">+WORLDCUP!BD66</f>
        <v>Senegal</v>
      </c>
      <c r="N416" s="11" t="s">
        <v>831</v>
      </c>
      <c r="O416" s="11">
        <v>415</v>
      </c>
      <c r="P416" s="11" t="s">
        <v>436</v>
      </c>
      <c r="Q416" s="11" t="s">
        <v>441</v>
      </c>
      <c r="R416" s="11" t="s">
        <v>90</v>
      </c>
      <c r="S416" s="11" t="s">
        <v>91</v>
      </c>
      <c r="T416" s="11" t="s">
        <v>89</v>
      </c>
      <c r="U416" s="11" t="s">
        <v>94</v>
      </c>
      <c r="V416" s="11" t="s">
        <v>93</v>
      </c>
      <c r="W416" s="11" t="s">
        <v>440</v>
      </c>
    </row>
    <row r="417" spans="1:23">
      <c r="A417" s="11" t="s">
        <v>830</v>
      </c>
      <c r="B417" s="11">
        <f ca="1">+IF(A417=WORLDCUP!$BI$112,1,0)</f>
        <v>0</v>
      </c>
      <c r="C417" s="11" t="str">
        <f ca="1">+WORLDCUP!BD62</f>
        <v>Ecuador</v>
      </c>
      <c r="D417" s="11" t="str">
        <f ca="1">+WORLDCUP!BD64</f>
        <v>Bélgica</v>
      </c>
      <c r="E417" s="11" t="str">
        <f ca="1">+WORLDCUP!BD59</f>
        <v>Bosnia y Herzegovina</v>
      </c>
      <c r="F417" s="11" t="str">
        <f ca="1">+WORLDCUP!BD60</f>
        <v>Escocia</v>
      </c>
      <c r="G417" s="11" t="str">
        <f ca="1">+WORLDCUP!BD58</f>
        <v>República Checa</v>
      </c>
      <c r="H417" s="11" t="str">
        <f ca="1">+WORLDCUP!BD63</f>
        <v>Japón</v>
      </c>
      <c r="I417" s="11" t="str">
        <f ca="1">+WORLDCUP!BD69</f>
        <v>Panamá</v>
      </c>
      <c r="J417" s="11" t="str">
        <f ca="1">+WORLDCUP!BD68</f>
        <v>RD Congo</v>
      </c>
      <c r="N417" s="11" t="s">
        <v>830</v>
      </c>
      <c r="O417" s="11">
        <v>416</v>
      </c>
      <c r="P417" s="11" t="s">
        <v>93</v>
      </c>
      <c r="Q417" s="11" t="s">
        <v>435</v>
      </c>
      <c r="R417" s="11" t="s">
        <v>90</v>
      </c>
      <c r="S417" s="11" t="s">
        <v>91</v>
      </c>
      <c r="T417" s="11" t="s">
        <v>89</v>
      </c>
      <c r="U417" s="11" t="s">
        <v>94</v>
      </c>
      <c r="V417" s="11" t="s">
        <v>443</v>
      </c>
      <c r="W417" s="11" t="s">
        <v>442</v>
      </c>
    </row>
    <row r="418" spans="1:23">
      <c r="A418" s="11" t="s">
        <v>829</v>
      </c>
      <c r="B418" s="11">
        <f ca="1">+IF(A418=WORLDCUP!$BI$112,1,0)</f>
        <v>0</v>
      </c>
      <c r="C418" s="11" t="str">
        <f ca="1">+WORLDCUP!BD62</f>
        <v>Ecuador</v>
      </c>
      <c r="D418" s="11" t="str">
        <f ca="1">+WORLDCUP!BD64</f>
        <v>Bélgica</v>
      </c>
      <c r="E418" s="11" t="str">
        <f ca="1">+WORLDCUP!BD59</f>
        <v>Bosnia y Herzegovina</v>
      </c>
      <c r="F418" s="11" t="str">
        <f ca="1">+WORLDCUP!BD60</f>
        <v>Escocia</v>
      </c>
      <c r="G418" s="11" t="str">
        <f ca="1">+WORLDCUP!BD58</f>
        <v>República Checa</v>
      </c>
      <c r="H418" s="11" t="str">
        <f ca="1">+WORLDCUP!BD63</f>
        <v>Japón</v>
      </c>
      <c r="I418" s="11" t="str">
        <f ca="1">+WORLDCUP!BD69</f>
        <v>Panamá</v>
      </c>
      <c r="J418" s="11" t="str">
        <f ca="1">+WORLDCUP!BD67</f>
        <v>Jordania</v>
      </c>
      <c r="N418" s="11" t="s">
        <v>829</v>
      </c>
      <c r="O418" s="11">
        <v>417</v>
      </c>
      <c r="P418" s="11" t="s">
        <v>93</v>
      </c>
      <c r="Q418" s="11" t="s">
        <v>435</v>
      </c>
      <c r="R418" s="11" t="s">
        <v>90</v>
      </c>
      <c r="S418" s="11" t="s">
        <v>91</v>
      </c>
      <c r="T418" s="11" t="s">
        <v>89</v>
      </c>
      <c r="U418" s="11" t="s">
        <v>94</v>
      </c>
      <c r="V418" s="11" t="s">
        <v>443</v>
      </c>
      <c r="W418" s="11" t="s">
        <v>441</v>
      </c>
    </row>
    <row r="419" spans="1:23">
      <c r="A419" s="11" t="s">
        <v>828</v>
      </c>
      <c r="B419" s="11">
        <f ca="1">+IF(A419=WORLDCUP!$BI$112,1,0)</f>
        <v>0</v>
      </c>
      <c r="C419" s="11" t="str">
        <f ca="1">+WORLDCUP!BD62</f>
        <v>Ecuador</v>
      </c>
      <c r="D419" s="11" t="str">
        <f ca="1">+WORLDCUP!BD64</f>
        <v>Bélgica</v>
      </c>
      <c r="E419" s="11" t="str">
        <f ca="1">+WORLDCUP!BD59</f>
        <v>Bosnia y Herzegovina</v>
      </c>
      <c r="F419" s="11" t="str">
        <f ca="1">+WORLDCUP!BD60</f>
        <v>Escocia</v>
      </c>
      <c r="G419" s="11" t="str">
        <f ca="1">+WORLDCUP!BD58</f>
        <v>República Checa</v>
      </c>
      <c r="H419" s="11" t="str">
        <f ca="1">+WORLDCUP!BD63</f>
        <v>Japón</v>
      </c>
      <c r="I419" s="11" t="str">
        <f ca="1">+WORLDCUP!BD67</f>
        <v>Jordania</v>
      </c>
      <c r="J419" s="11" t="str">
        <f ca="1">+WORLDCUP!BD68</f>
        <v>RD Congo</v>
      </c>
      <c r="N419" s="11" t="s">
        <v>828</v>
      </c>
      <c r="O419" s="11">
        <v>418</v>
      </c>
      <c r="P419" s="11" t="s">
        <v>93</v>
      </c>
      <c r="Q419" s="11" t="s">
        <v>435</v>
      </c>
      <c r="R419" s="11" t="s">
        <v>90</v>
      </c>
      <c r="S419" s="11" t="s">
        <v>91</v>
      </c>
      <c r="T419" s="11" t="s">
        <v>89</v>
      </c>
      <c r="U419" s="11" t="s">
        <v>94</v>
      </c>
      <c r="V419" s="11" t="s">
        <v>441</v>
      </c>
      <c r="W419" s="11" t="s">
        <v>442</v>
      </c>
    </row>
    <row r="420" spans="1:23">
      <c r="A420" s="11" t="s">
        <v>827</v>
      </c>
      <c r="B420" s="11">
        <f ca="1">+IF(A420=WORLDCUP!$BI$112,1,0)</f>
        <v>0</v>
      </c>
      <c r="C420" s="11" t="str">
        <f ca="1">+WORLDCUP!BD62</f>
        <v>Ecuador</v>
      </c>
      <c r="D420" s="11" t="str">
        <f ca="1">+WORLDCUP!BD64</f>
        <v>Bélgica</v>
      </c>
      <c r="E420" s="11" t="str">
        <f ca="1">+WORLDCUP!BD59</f>
        <v>Bosnia y Herzegovina</v>
      </c>
      <c r="F420" s="11" t="str">
        <f ca="1">+WORLDCUP!BD60</f>
        <v>Escocia</v>
      </c>
      <c r="G420" s="11" t="str">
        <f ca="1">+WORLDCUP!BD58</f>
        <v>República Checa</v>
      </c>
      <c r="H420" s="11" t="str">
        <f ca="1">+WORLDCUP!BD63</f>
        <v>Japón</v>
      </c>
      <c r="I420" s="11" t="str">
        <f ca="1">+WORLDCUP!BD69</f>
        <v>Panamá</v>
      </c>
      <c r="J420" s="11" t="str">
        <f ca="1">+WORLDCUP!BD66</f>
        <v>Senegal</v>
      </c>
      <c r="N420" s="11" t="s">
        <v>827</v>
      </c>
      <c r="O420" s="11">
        <v>419</v>
      </c>
      <c r="P420" s="11" t="s">
        <v>93</v>
      </c>
      <c r="Q420" s="11" t="s">
        <v>435</v>
      </c>
      <c r="R420" s="11" t="s">
        <v>90</v>
      </c>
      <c r="S420" s="11" t="s">
        <v>91</v>
      </c>
      <c r="T420" s="11" t="s">
        <v>89</v>
      </c>
      <c r="U420" s="11" t="s">
        <v>94</v>
      </c>
      <c r="V420" s="11" t="s">
        <v>443</v>
      </c>
      <c r="W420" s="11" t="s">
        <v>440</v>
      </c>
    </row>
    <row r="421" spans="1:23">
      <c r="A421" s="11" t="s">
        <v>826</v>
      </c>
      <c r="B421" s="11">
        <f ca="1">+IF(A421=WORLDCUP!$BI$112,1,0)</f>
        <v>0</v>
      </c>
      <c r="C421" s="11" t="str">
        <f ca="1">+WORLDCUP!BD62</f>
        <v>Ecuador</v>
      </c>
      <c r="D421" s="11" t="str">
        <f ca="1">+WORLDCUP!BD64</f>
        <v>Bélgica</v>
      </c>
      <c r="E421" s="11" t="str">
        <f ca="1">+WORLDCUP!BD59</f>
        <v>Bosnia y Herzegovina</v>
      </c>
      <c r="F421" s="11" t="str">
        <f ca="1">+WORLDCUP!BD60</f>
        <v>Escocia</v>
      </c>
      <c r="G421" s="11" t="str">
        <f ca="1">+WORLDCUP!BD58</f>
        <v>República Checa</v>
      </c>
      <c r="H421" s="11" t="str">
        <f ca="1">+WORLDCUP!BD63</f>
        <v>Japón</v>
      </c>
      <c r="I421" s="11" t="str">
        <f ca="1">+WORLDCUP!BD66</f>
        <v>Senegal</v>
      </c>
      <c r="J421" s="11" t="str">
        <f ca="1">+WORLDCUP!BD68</f>
        <v>RD Congo</v>
      </c>
      <c r="N421" s="11" t="s">
        <v>826</v>
      </c>
      <c r="O421" s="11">
        <v>420</v>
      </c>
      <c r="P421" s="11" t="s">
        <v>93</v>
      </c>
      <c r="Q421" s="11" t="s">
        <v>435</v>
      </c>
      <c r="R421" s="11" t="s">
        <v>90</v>
      </c>
      <c r="S421" s="11" t="s">
        <v>91</v>
      </c>
      <c r="T421" s="11" t="s">
        <v>89</v>
      </c>
      <c r="U421" s="11" t="s">
        <v>94</v>
      </c>
      <c r="V421" s="11" t="s">
        <v>440</v>
      </c>
      <c r="W421" s="11" t="s">
        <v>442</v>
      </c>
    </row>
    <row r="422" spans="1:23">
      <c r="A422" s="11" t="s">
        <v>825</v>
      </c>
      <c r="B422" s="11">
        <f ca="1">+IF(A422=WORLDCUP!$BI$112,1,0)</f>
        <v>0</v>
      </c>
      <c r="C422" s="11" t="str">
        <f ca="1">+WORLDCUP!BD62</f>
        <v>Ecuador</v>
      </c>
      <c r="D422" s="11" t="str">
        <f ca="1">+WORLDCUP!BD64</f>
        <v>Bélgica</v>
      </c>
      <c r="E422" s="11" t="str">
        <f ca="1">+WORLDCUP!BD59</f>
        <v>Bosnia y Herzegovina</v>
      </c>
      <c r="F422" s="11" t="str">
        <f ca="1">+WORLDCUP!BD60</f>
        <v>Escocia</v>
      </c>
      <c r="G422" s="11" t="str">
        <f ca="1">+WORLDCUP!BD58</f>
        <v>República Checa</v>
      </c>
      <c r="H422" s="11" t="str">
        <f ca="1">+WORLDCUP!BD63</f>
        <v>Japón</v>
      </c>
      <c r="I422" s="11" t="str">
        <f ca="1">+WORLDCUP!BD66</f>
        <v>Senegal</v>
      </c>
      <c r="J422" s="11" t="str">
        <f ca="1">+WORLDCUP!BD67</f>
        <v>Jordania</v>
      </c>
      <c r="N422" s="11" t="s">
        <v>825</v>
      </c>
      <c r="O422" s="11">
        <v>421</v>
      </c>
      <c r="P422" s="11" t="s">
        <v>93</v>
      </c>
      <c r="Q422" s="11" t="s">
        <v>435</v>
      </c>
      <c r="R422" s="11" t="s">
        <v>90</v>
      </c>
      <c r="S422" s="11" t="s">
        <v>91</v>
      </c>
      <c r="T422" s="11" t="s">
        <v>89</v>
      </c>
      <c r="U422" s="11" t="s">
        <v>94</v>
      </c>
      <c r="V422" s="11" t="s">
        <v>440</v>
      </c>
      <c r="W422" s="11" t="s">
        <v>441</v>
      </c>
    </row>
    <row r="423" spans="1:23">
      <c r="A423" s="11" t="s">
        <v>824</v>
      </c>
      <c r="B423" s="11">
        <f ca="1">+IF(A423=WORLDCUP!$BI$112,1,0)</f>
        <v>0</v>
      </c>
      <c r="C423" s="11" t="str">
        <f ca="1">+WORLDCUP!BD65</f>
        <v>España</v>
      </c>
      <c r="D423" s="11" t="str">
        <f ca="1">+WORLDCUP!BD64</f>
        <v>Bélgica</v>
      </c>
      <c r="E423" s="11" t="str">
        <f ca="1">+WORLDCUP!BD59</f>
        <v>Bosnia y Herzegovina</v>
      </c>
      <c r="F423" s="11" t="str">
        <f ca="1">+WORLDCUP!BD60</f>
        <v>Escocia</v>
      </c>
      <c r="G423" s="11" t="str">
        <f ca="1">+WORLDCUP!BD58</f>
        <v>República Checa</v>
      </c>
      <c r="H423" s="11" t="str">
        <f ca="1">+WORLDCUP!BD63</f>
        <v>Japón</v>
      </c>
      <c r="I423" s="11" t="str">
        <f ca="1">+WORLDCUP!BD69</f>
        <v>Panamá</v>
      </c>
      <c r="J423" s="11" t="str">
        <f ca="1">+WORLDCUP!BD62</f>
        <v>Ecuador</v>
      </c>
      <c r="N423" s="11" t="s">
        <v>824</v>
      </c>
      <c r="O423" s="11">
        <v>422</v>
      </c>
      <c r="P423" s="11" t="s">
        <v>436</v>
      </c>
      <c r="Q423" s="11" t="s">
        <v>435</v>
      </c>
      <c r="R423" s="11" t="s">
        <v>90</v>
      </c>
      <c r="S423" s="11" t="s">
        <v>91</v>
      </c>
      <c r="T423" s="11" t="s">
        <v>89</v>
      </c>
      <c r="U423" s="11" t="s">
        <v>94</v>
      </c>
      <c r="V423" s="11" t="s">
        <v>443</v>
      </c>
      <c r="W423" s="11" t="s">
        <v>93</v>
      </c>
    </row>
    <row r="424" spans="1:23">
      <c r="A424" s="11" t="s">
        <v>823</v>
      </c>
      <c r="B424" s="11">
        <f ca="1">+IF(A424=WORLDCUP!$BI$112,1,0)</f>
        <v>0</v>
      </c>
      <c r="C424" s="11" t="str">
        <f ca="1">+WORLDCUP!BD65</f>
        <v>España</v>
      </c>
      <c r="D424" s="11" t="str">
        <f ca="1">+WORLDCUP!BD64</f>
        <v>Bélgica</v>
      </c>
      <c r="E424" s="11" t="str">
        <f ca="1">+WORLDCUP!BD59</f>
        <v>Bosnia y Herzegovina</v>
      </c>
      <c r="F424" s="11" t="str">
        <f ca="1">+WORLDCUP!BD60</f>
        <v>Escocia</v>
      </c>
      <c r="G424" s="11" t="str">
        <f ca="1">+WORLDCUP!BD58</f>
        <v>República Checa</v>
      </c>
      <c r="H424" s="11" t="str">
        <f ca="1">+WORLDCUP!BD63</f>
        <v>Japón</v>
      </c>
      <c r="I424" s="11" t="str">
        <f ca="1">+WORLDCUP!BD62</f>
        <v>Ecuador</v>
      </c>
      <c r="J424" s="11" t="str">
        <f ca="1">+WORLDCUP!BD68</f>
        <v>RD Congo</v>
      </c>
      <c r="N424" s="11" t="s">
        <v>823</v>
      </c>
      <c r="O424" s="11">
        <v>423</v>
      </c>
      <c r="P424" s="11" t="s">
        <v>436</v>
      </c>
      <c r="Q424" s="11" t="s">
        <v>435</v>
      </c>
      <c r="R424" s="11" t="s">
        <v>90</v>
      </c>
      <c r="S424" s="11" t="s">
        <v>91</v>
      </c>
      <c r="T424" s="11" t="s">
        <v>89</v>
      </c>
      <c r="U424" s="11" t="s">
        <v>94</v>
      </c>
      <c r="V424" s="11" t="s">
        <v>93</v>
      </c>
      <c r="W424" s="11" t="s">
        <v>442</v>
      </c>
    </row>
    <row r="425" spans="1:23">
      <c r="A425" s="11" t="s">
        <v>822</v>
      </c>
      <c r="B425" s="11">
        <f ca="1">+IF(A425=WORLDCUP!$BI$112,1,0)</f>
        <v>0</v>
      </c>
      <c r="C425" s="11" t="str">
        <f ca="1">+WORLDCUP!BD65</f>
        <v>España</v>
      </c>
      <c r="D425" s="11" t="str">
        <f ca="1">+WORLDCUP!BD64</f>
        <v>Bélgica</v>
      </c>
      <c r="E425" s="11" t="str">
        <f ca="1">+WORLDCUP!BD59</f>
        <v>Bosnia y Herzegovina</v>
      </c>
      <c r="F425" s="11" t="str">
        <f ca="1">+WORLDCUP!BD60</f>
        <v>Escocia</v>
      </c>
      <c r="G425" s="11" t="str">
        <f ca="1">+WORLDCUP!BD58</f>
        <v>República Checa</v>
      </c>
      <c r="H425" s="11" t="str">
        <f ca="1">+WORLDCUP!BD63</f>
        <v>Japón</v>
      </c>
      <c r="I425" s="11" t="str">
        <f ca="1">+WORLDCUP!BD62</f>
        <v>Ecuador</v>
      </c>
      <c r="J425" s="11" t="str">
        <f ca="1">+WORLDCUP!BD67</f>
        <v>Jordania</v>
      </c>
      <c r="N425" s="11" t="s">
        <v>822</v>
      </c>
      <c r="O425" s="11">
        <v>424</v>
      </c>
      <c r="P425" s="11" t="s">
        <v>436</v>
      </c>
      <c r="Q425" s="11" t="s">
        <v>435</v>
      </c>
      <c r="R425" s="11" t="s">
        <v>90</v>
      </c>
      <c r="S425" s="11" t="s">
        <v>91</v>
      </c>
      <c r="T425" s="11" t="s">
        <v>89</v>
      </c>
      <c r="U425" s="11" t="s">
        <v>94</v>
      </c>
      <c r="V425" s="11" t="s">
        <v>93</v>
      </c>
      <c r="W425" s="11" t="s">
        <v>441</v>
      </c>
    </row>
    <row r="426" spans="1:23">
      <c r="A426" s="11" t="s">
        <v>821</v>
      </c>
      <c r="B426" s="11">
        <f ca="1">+IF(A426=WORLDCUP!$BI$112,1,0)</f>
        <v>0</v>
      </c>
      <c r="C426" s="11" t="str">
        <f ca="1">+WORLDCUP!BD65</f>
        <v>España</v>
      </c>
      <c r="D426" s="11" t="str">
        <f ca="1">+WORLDCUP!BD64</f>
        <v>Bélgica</v>
      </c>
      <c r="E426" s="11" t="str">
        <f ca="1">+WORLDCUP!BD59</f>
        <v>Bosnia y Herzegovina</v>
      </c>
      <c r="F426" s="11" t="str">
        <f ca="1">+WORLDCUP!BD60</f>
        <v>Escocia</v>
      </c>
      <c r="G426" s="11" t="str">
        <f ca="1">+WORLDCUP!BD58</f>
        <v>República Checa</v>
      </c>
      <c r="H426" s="11" t="str">
        <f ca="1">+WORLDCUP!BD63</f>
        <v>Japón</v>
      </c>
      <c r="I426" s="11" t="str">
        <f ca="1">+WORLDCUP!BD62</f>
        <v>Ecuador</v>
      </c>
      <c r="J426" s="11" t="str">
        <f ca="1">+WORLDCUP!BD66</f>
        <v>Senegal</v>
      </c>
      <c r="N426" s="11" t="s">
        <v>821</v>
      </c>
      <c r="O426" s="11">
        <v>425</v>
      </c>
      <c r="P426" s="11" t="s">
        <v>436</v>
      </c>
      <c r="Q426" s="11" t="s">
        <v>435</v>
      </c>
      <c r="R426" s="11" t="s">
        <v>90</v>
      </c>
      <c r="S426" s="11" t="s">
        <v>91</v>
      </c>
      <c r="T426" s="11" t="s">
        <v>89</v>
      </c>
      <c r="U426" s="11" t="s">
        <v>94</v>
      </c>
      <c r="V426" s="11" t="s">
        <v>93</v>
      </c>
      <c r="W426" s="11" t="s">
        <v>440</v>
      </c>
    </row>
    <row r="427" spans="1:23">
      <c r="A427" s="11" t="s">
        <v>820</v>
      </c>
      <c r="B427" s="11">
        <f ca="1">+IF(A427=WORLDCUP!$BI$112,1,0)</f>
        <v>0</v>
      </c>
      <c r="C427" s="11" t="str">
        <f ca="1">+WORLDCUP!BD66</f>
        <v>Senegal</v>
      </c>
      <c r="D427" s="11" t="str">
        <f ca="1">+WORLDCUP!BD67</f>
        <v>Jordania</v>
      </c>
      <c r="E427" s="11" t="str">
        <f ca="1">+WORLDCUP!BD59</f>
        <v>Bosnia y Herzegovina</v>
      </c>
      <c r="F427" s="11" t="str">
        <f ca="1">+WORLDCUP!BD60</f>
        <v>Escocia</v>
      </c>
      <c r="G427" s="11" t="str">
        <f ca="1">+WORLDCUP!BD58</f>
        <v>República Checa</v>
      </c>
      <c r="H427" s="11" t="str">
        <f ca="1">+WORLDCUP!BD61</f>
        <v>Paraguay</v>
      </c>
      <c r="I427" s="11" t="str">
        <f ca="1">+WORLDCUP!BD69</f>
        <v>Panamá</v>
      </c>
      <c r="J427" s="11" t="str">
        <f ca="1">+WORLDCUP!BD68</f>
        <v>RD Congo</v>
      </c>
      <c r="N427" s="11" t="s">
        <v>820</v>
      </c>
      <c r="O427" s="11">
        <v>426</v>
      </c>
      <c r="P427" s="11" t="s">
        <v>440</v>
      </c>
      <c r="Q427" s="11" t="s">
        <v>441</v>
      </c>
      <c r="R427" s="11" t="s">
        <v>90</v>
      </c>
      <c r="S427" s="11" t="s">
        <v>91</v>
      </c>
      <c r="T427" s="11" t="s">
        <v>89</v>
      </c>
      <c r="U427" s="11" t="s">
        <v>92</v>
      </c>
      <c r="V427" s="11" t="s">
        <v>443</v>
      </c>
      <c r="W427" s="11" t="s">
        <v>442</v>
      </c>
    </row>
    <row r="428" spans="1:23">
      <c r="A428" s="11" t="s">
        <v>819</v>
      </c>
      <c r="B428" s="11">
        <f ca="1">+IF(A428=WORLDCUP!$BI$112,1,0)</f>
        <v>0</v>
      </c>
      <c r="C428" s="11" t="str">
        <f ca="1">+WORLDCUP!BD65</f>
        <v>España</v>
      </c>
      <c r="D428" s="11" t="str">
        <f ca="1">+WORLDCUP!BD67</f>
        <v>Jordania</v>
      </c>
      <c r="E428" s="11" t="str">
        <f ca="1">+WORLDCUP!BD59</f>
        <v>Bosnia y Herzegovina</v>
      </c>
      <c r="F428" s="11" t="str">
        <f ca="1">+WORLDCUP!BD60</f>
        <v>Escocia</v>
      </c>
      <c r="G428" s="11" t="str">
        <f ca="1">+WORLDCUP!BD58</f>
        <v>República Checa</v>
      </c>
      <c r="H428" s="11" t="str">
        <f ca="1">+WORLDCUP!BD61</f>
        <v>Paraguay</v>
      </c>
      <c r="I428" s="11" t="str">
        <f ca="1">+WORLDCUP!BD69</f>
        <v>Panamá</v>
      </c>
      <c r="J428" s="11" t="str">
        <f ca="1">+WORLDCUP!BD68</f>
        <v>RD Congo</v>
      </c>
      <c r="N428" s="11" t="s">
        <v>819</v>
      </c>
      <c r="O428" s="11">
        <v>427</v>
      </c>
      <c r="P428" s="11" t="s">
        <v>436</v>
      </c>
      <c r="Q428" s="11" t="s">
        <v>441</v>
      </c>
      <c r="R428" s="11" t="s">
        <v>90</v>
      </c>
      <c r="S428" s="11" t="s">
        <v>91</v>
      </c>
      <c r="T428" s="11" t="s">
        <v>89</v>
      </c>
      <c r="U428" s="11" t="s">
        <v>92</v>
      </c>
      <c r="V428" s="11" t="s">
        <v>443</v>
      </c>
      <c r="W428" s="11" t="s">
        <v>442</v>
      </c>
    </row>
    <row r="429" spans="1:23">
      <c r="A429" s="11" t="s">
        <v>818</v>
      </c>
      <c r="B429" s="11">
        <f ca="1">+IF(A429=WORLDCUP!$BI$112,1,0)</f>
        <v>0</v>
      </c>
      <c r="C429" s="11" t="str">
        <f ca="1">+WORLDCUP!BD65</f>
        <v>España</v>
      </c>
      <c r="D429" s="11" t="str">
        <f ca="1">+WORLDCUP!BD66</f>
        <v>Senegal</v>
      </c>
      <c r="E429" s="11" t="str">
        <f ca="1">+WORLDCUP!BD59</f>
        <v>Bosnia y Herzegovina</v>
      </c>
      <c r="F429" s="11" t="str">
        <f ca="1">+WORLDCUP!BD60</f>
        <v>Escocia</v>
      </c>
      <c r="G429" s="11" t="str">
        <f ca="1">+WORLDCUP!BD58</f>
        <v>República Checa</v>
      </c>
      <c r="H429" s="11" t="str">
        <f ca="1">+WORLDCUP!BD61</f>
        <v>Paraguay</v>
      </c>
      <c r="I429" s="11" t="str">
        <f ca="1">+WORLDCUP!BD69</f>
        <v>Panamá</v>
      </c>
      <c r="J429" s="11" t="str">
        <f ca="1">+WORLDCUP!BD68</f>
        <v>RD Congo</v>
      </c>
      <c r="N429" s="11" t="s">
        <v>818</v>
      </c>
      <c r="O429" s="11">
        <v>428</v>
      </c>
      <c r="P429" s="11" t="s">
        <v>436</v>
      </c>
      <c r="Q429" s="11" t="s">
        <v>440</v>
      </c>
      <c r="R429" s="11" t="s">
        <v>90</v>
      </c>
      <c r="S429" s="11" t="s">
        <v>91</v>
      </c>
      <c r="T429" s="11" t="s">
        <v>89</v>
      </c>
      <c r="U429" s="11" t="s">
        <v>92</v>
      </c>
      <c r="V429" s="11" t="s">
        <v>443</v>
      </c>
      <c r="W429" s="11" t="s">
        <v>442</v>
      </c>
    </row>
    <row r="430" spans="1:23">
      <c r="A430" s="11" t="s">
        <v>817</v>
      </c>
      <c r="B430" s="11">
        <f ca="1">+IF(A430=WORLDCUP!$BI$112,1,0)</f>
        <v>0</v>
      </c>
      <c r="C430" s="11" t="str">
        <f ca="1">+WORLDCUP!BD65</f>
        <v>España</v>
      </c>
      <c r="D430" s="11" t="str">
        <f ca="1">+WORLDCUP!BD67</f>
        <v>Jordania</v>
      </c>
      <c r="E430" s="11" t="str">
        <f ca="1">+WORLDCUP!BD59</f>
        <v>Bosnia y Herzegovina</v>
      </c>
      <c r="F430" s="11" t="str">
        <f ca="1">+WORLDCUP!BD60</f>
        <v>Escocia</v>
      </c>
      <c r="G430" s="11" t="str">
        <f ca="1">+WORLDCUP!BD58</f>
        <v>República Checa</v>
      </c>
      <c r="H430" s="11" t="str">
        <f ca="1">+WORLDCUP!BD61</f>
        <v>Paraguay</v>
      </c>
      <c r="I430" s="11" t="str">
        <f ca="1">+WORLDCUP!BD69</f>
        <v>Panamá</v>
      </c>
      <c r="J430" s="11" t="str">
        <f ca="1">+WORLDCUP!BD66</f>
        <v>Senegal</v>
      </c>
      <c r="N430" s="11" t="s">
        <v>817</v>
      </c>
      <c r="O430" s="11">
        <v>429</v>
      </c>
      <c r="P430" s="11" t="s">
        <v>436</v>
      </c>
      <c r="Q430" s="11" t="s">
        <v>441</v>
      </c>
      <c r="R430" s="11" t="s">
        <v>90</v>
      </c>
      <c r="S430" s="11" t="s">
        <v>91</v>
      </c>
      <c r="T430" s="11" t="s">
        <v>89</v>
      </c>
      <c r="U430" s="11" t="s">
        <v>92</v>
      </c>
      <c r="V430" s="11" t="s">
        <v>443</v>
      </c>
      <c r="W430" s="11" t="s">
        <v>440</v>
      </c>
    </row>
    <row r="431" spans="1:23">
      <c r="A431" s="11" t="s">
        <v>816</v>
      </c>
      <c r="B431" s="11">
        <f ca="1">+IF(A431=WORLDCUP!$BI$112,1,0)</f>
        <v>0</v>
      </c>
      <c r="C431" s="11" t="str">
        <f ca="1">+WORLDCUP!BD65</f>
        <v>España</v>
      </c>
      <c r="D431" s="11" t="str">
        <f ca="1">+WORLDCUP!BD67</f>
        <v>Jordania</v>
      </c>
      <c r="E431" s="11" t="str">
        <f ca="1">+WORLDCUP!BD59</f>
        <v>Bosnia y Herzegovina</v>
      </c>
      <c r="F431" s="11" t="str">
        <f ca="1">+WORLDCUP!BD60</f>
        <v>Escocia</v>
      </c>
      <c r="G431" s="11" t="str">
        <f ca="1">+WORLDCUP!BD58</f>
        <v>República Checa</v>
      </c>
      <c r="H431" s="11" t="str">
        <f ca="1">+WORLDCUP!BD61</f>
        <v>Paraguay</v>
      </c>
      <c r="I431" s="11" t="str">
        <f ca="1">+WORLDCUP!BD66</f>
        <v>Senegal</v>
      </c>
      <c r="J431" s="11" t="str">
        <f ca="1">+WORLDCUP!BD68</f>
        <v>RD Congo</v>
      </c>
      <c r="N431" s="11" t="s">
        <v>816</v>
      </c>
      <c r="O431" s="11">
        <v>430</v>
      </c>
      <c r="P431" s="11" t="s">
        <v>436</v>
      </c>
      <c r="Q431" s="11" t="s">
        <v>441</v>
      </c>
      <c r="R431" s="11" t="s">
        <v>90</v>
      </c>
      <c r="S431" s="11" t="s">
        <v>91</v>
      </c>
      <c r="T431" s="11" t="s">
        <v>89</v>
      </c>
      <c r="U431" s="11" t="s">
        <v>92</v>
      </c>
      <c r="V431" s="11" t="s">
        <v>440</v>
      </c>
      <c r="W431" s="11" t="s">
        <v>442</v>
      </c>
    </row>
    <row r="432" spans="1:23">
      <c r="A432" s="11" t="s">
        <v>815</v>
      </c>
      <c r="B432" s="11">
        <f ca="1">+IF(A432=WORLDCUP!$BI$112,1,0)</f>
        <v>0</v>
      </c>
      <c r="C432" s="11" t="str">
        <f ca="1">+WORLDCUP!BD60</f>
        <v>Escocia</v>
      </c>
      <c r="D432" s="11" t="str">
        <f ca="1">+WORLDCUP!BD67</f>
        <v>Jordania</v>
      </c>
      <c r="E432" s="11" t="str">
        <f ca="1">+WORLDCUP!BD59</f>
        <v>Bosnia y Herzegovina</v>
      </c>
      <c r="F432" s="11" t="str">
        <f ca="1">+WORLDCUP!BD61</f>
        <v>Paraguay</v>
      </c>
      <c r="G432" s="11" t="str">
        <f ca="1">+WORLDCUP!BD58</f>
        <v>República Checa</v>
      </c>
      <c r="H432" s="11" t="str">
        <f ca="1">+WORLDCUP!BD64</f>
        <v>Bélgica</v>
      </c>
      <c r="I432" s="11" t="str">
        <f ca="1">+WORLDCUP!BD69</f>
        <v>Panamá</v>
      </c>
      <c r="J432" s="11" t="str">
        <f ca="1">+WORLDCUP!BD68</f>
        <v>RD Congo</v>
      </c>
      <c r="N432" s="11" t="s">
        <v>815</v>
      </c>
      <c r="O432" s="11">
        <v>431</v>
      </c>
      <c r="P432" s="11" t="s">
        <v>91</v>
      </c>
      <c r="Q432" s="11" t="s">
        <v>441</v>
      </c>
      <c r="R432" s="11" t="s">
        <v>90</v>
      </c>
      <c r="S432" s="11" t="s">
        <v>92</v>
      </c>
      <c r="T432" s="11" t="s">
        <v>89</v>
      </c>
      <c r="U432" s="11" t="s">
        <v>435</v>
      </c>
      <c r="V432" s="11" t="s">
        <v>443</v>
      </c>
      <c r="W432" s="11" t="s">
        <v>442</v>
      </c>
    </row>
    <row r="433" spans="1:23">
      <c r="A433" s="11" t="s">
        <v>814</v>
      </c>
      <c r="B433" s="11">
        <f ca="1">+IF(A433=WORLDCUP!$BI$112,1,0)</f>
        <v>0</v>
      </c>
      <c r="C433" s="11" t="str">
        <f ca="1">+WORLDCUP!BD66</f>
        <v>Senegal</v>
      </c>
      <c r="D433" s="11" t="str">
        <f ca="1">+WORLDCUP!BD64</f>
        <v>Bélgica</v>
      </c>
      <c r="E433" s="11" t="str">
        <f ca="1">+WORLDCUP!BD59</f>
        <v>Bosnia y Herzegovina</v>
      </c>
      <c r="F433" s="11" t="str">
        <f ca="1">+WORLDCUP!BD60</f>
        <v>Escocia</v>
      </c>
      <c r="G433" s="11" t="str">
        <f ca="1">+WORLDCUP!BD58</f>
        <v>República Checa</v>
      </c>
      <c r="H433" s="11" t="str">
        <f ca="1">+WORLDCUP!BD61</f>
        <v>Paraguay</v>
      </c>
      <c r="I433" s="11" t="str">
        <f ca="1">+WORLDCUP!BD69</f>
        <v>Panamá</v>
      </c>
      <c r="J433" s="11" t="str">
        <f ca="1">+WORLDCUP!BD68</f>
        <v>RD Congo</v>
      </c>
      <c r="N433" s="11" t="s">
        <v>814</v>
      </c>
      <c r="O433" s="11">
        <v>432</v>
      </c>
      <c r="P433" s="11" t="s">
        <v>440</v>
      </c>
      <c r="Q433" s="11" t="s">
        <v>435</v>
      </c>
      <c r="R433" s="11" t="s">
        <v>90</v>
      </c>
      <c r="S433" s="11" t="s">
        <v>91</v>
      </c>
      <c r="T433" s="11" t="s">
        <v>89</v>
      </c>
      <c r="U433" s="11" t="s">
        <v>92</v>
      </c>
      <c r="V433" s="11" t="s">
        <v>443</v>
      </c>
      <c r="W433" s="11" t="s">
        <v>442</v>
      </c>
    </row>
    <row r="434" spans="1:23">
      <c r="A434" s="11" t="s">
        <v>813</v>
      </c>
      <c r="B434" s="11">
        <f ca="1">+IF(A434=WORLDCUP!$BI$112,1,0)</f>
        <v>0</v>
      </c>
      <c r="C434" s="11" t="str">
        <f ca="1">+WORLDCUP!BD60</f>
        <v>Escocia</v>
      </c>
      <c r="D434" s="11" t="str">
        <f ca="1">+WORLDCUP!BD67</f>
        <v>Jordania</v>
      </c>
      <c r="E434" s="11" t="str">
        <f ca="1">+WORLDCUP!BD59</f>
        <v>Bosnia y Herzegovina</v>
      </c>
      <c r="F434" s="11" t="str">
        <f ca="1">+WORLDCUP!BD61</f>
        <v>Paraguay</v>
      </c>
      <c r="G434" s="11" t="str">
        <f ca="1">+WORLDCUP!BD58</f>
        <v>República Checa</v>
      </c>
      <c r="H434" s="11" t="str">
        <f ca="1">+WORLDCUP!BD64</f>
        <v>Bélgica</v>
      </c>
      <c r="I434" s="11" t="str">
        <f ca="1">+WORLDCUP!BD69</f>
        <v>Panamá</v>
      </c>
      <c r="J434" s="11" t="str">
        <f ca="1">+WORLDCUP!BD66</f>
        <v>Senegal</v>
      </c>
      <c r="N434" s="11" t="s">
        <v>813</v>
      </c>
      <c r="O434" s="11">
        <v>433</v>
      </c>
      <c r="P434" s="11" t="s">
        <v>91</v>
      </c>
      <c r="Q434" s="11" t="s">
        <v>441</v>
      </c>
      <c r="R434" s="11" t="s">
        <v>90</v>
      </c>
      <c r="S434" s="11" t="s">
        <v>92</v>
      </c>
      <c r="T434" s="11" t="s">
        <v>89</v>
      </c>
      <c r="U434" s="11" t="s">
        <v>435</v>
      </c>
      <c r="V434" s="11" t="s">
        <v>443</v>
      </c>
      <c r="W434" s="11" t="s">
        <v>440</v>
      </c>
    </row>
    <row r="435" spans="1:23">
      <c r="A435" s="11" t="s">
        <v>812</v>
      </c>
      <c r="B435" s="11">
        <f ca="1">+IF(A435=WORLDCUP!$BI$112,1,0)</f>
        <v>0</v>
      </c>
      <c r="C435" s="11" t="str">
        <f ca="1">+WORLDCUP!BD60</f>
        <v>Escocia</v>
      </c>
      <c r="D435" s="11" t="str">
        <f ca="1">+WORLDCUP!BD67</f>
        <v>Jordania</v>
      </c>
      <c r="E435" s="11" t="str">
        <f ca="1">+WORLDCUP!BD59</f>
        <v>Bosnia y Herzegovina</v>
      </c>
      <c r="F435" s="11" t="str">
        <f ca="1">+WORLDCUP!BD61</f>
        <v>Paraguay</v>
      </c>
      <c r="G435" s="11" t="str">
        <f ca="1">+WORLDCUP!BD58</f>
        <v>República Checa</v>
      </c>
      <c r="H435" s="11" t="str">
        <f ca="1">+WORLDCUP!BD64</f>
        <v>Bélgica</v>
      </c>
      <c r="I435" s="11" t="str">
        <f ca="1">+WORLDCUP!BD66</f>
        <v>Senegal</v>
      </c>
      <c r="J435" s="11" t="str">
        <f ca="1">+WORLDCUP!BD68</f>
        <v>RD Congo</v>
      </c>
      <c r="N435" s="11" t="s">
        <v>812</v>
      </c>
      <c r="O435" s="11">
        <v>434</v>
      </c>
      <c r="P435" s="11" t="s">
        <v>91</v>
      </c>
      <c r="Q435" s="11" t="s">
        <v>441</v>
      </c>
      <c r="R435" s="11" t="s">
        <v>90</v>
      </c>
      <c r="S435" s="11" t="s">
        <v>92</v>
      </c>
      <c r="T435" s="11" t="s">
        <v>89</v>
      </c>
      <c r="U435" s="11" t="s">
        <v>435</v>
      </c>
      <c r="V435" s="11" t="s">
        <v>440</v>
      </c>
      <c r="W435" s="11" t="s">
        <v>442</v>
      </c>
    </row>
    <row r="436" spans="1:23">
      <c r="A436" s="11" t="s">
        <v>811</v>
      </c>
      <c r="B436" s="11">
        <f ca="1">+IF(A436=WORLDCUP!$BI$112,1,0)</f>
        <v>0</v>
      </c>
      <c r="C436" s="11" t="str">
        <f ca="1">+WORLDCUP!BD65</f>
        <v>España</v>
      </c>
      <c r="D436" s="11" t="str">
        <f ca="1">+WORLDCUP!BD64</f>
        <v>Bélgica</v>
      </c>
      <c r="E436" s="11" t="str">
        <f ca="1">+WORLDCUP!BD59</f>
        <v>Bosnia y Herzegovina</v>
      </c>
      <c r="F436" s="11" t="str">
        <f ca="1">+WORLDCUP!BD60</f>
        <v>Escocia</v>
      </c>
      <c r="G436" s="11" t="str">
        <f ca="1">+WORLDCUP!BD58</f>
        <v>República Checa</v>
      </c>
      <c r="H436" s="11" t="str">
        <f ca="1">+WORLDCUP!BD61</f>
        <v>Paraguay</v>
      </c>
      <c r="I436" s="11" t="str">
        <f ca="1">+WORLDCUP!BD69</f>
        <v>Panamá</v>
      </c>
      <c r="J436" s="11" t="str">
        <f ca="1">+WORLDCUP!BD68</f>
        <v>RD Congo</v>
      </c>
      <c r="N436" s="11" t="s">
        <v>811</v>
      </c>
      <c r="O436" s="11">
        <v>435</v>
      </c>
      <c r="P436" s="11" t="s">
        <v>436</v>
      </c>
      <c r="Q436" s="11" t="s">
        <v>435</v>
      </c>
      <c r="R436" s="11" t="s">
        <v>90</v>
      </c>
      <c r="S436" s="11" t="s">
        <v>91</v>
      </c>
      <c r="T436" s="11" t="s">
        <v>89</v>
      </c>
      <c r="U436" s="11" t="s">
        <v>92</v>
      </c>
      <c r="V436" s="11" t="s">
        <v>443</v>
      </c>
      <c r="W436" s="11" t="s">
        <v>442</v>
      </c>
    </row>
    <row r="437" spans="1:23">
      <c r="A437" s="11" t="s">
        <v>810</v>
      </c>
      <c r="B437" s="11">
        <f ca="1">+IF(A437=WORLDCUP!$BI$112,1,0)</f>
        <v>0</v>
      </c>
      <c r="C437" s="11" t="str">
        <f ca="1">+WORLDCUP!BD65</f>
        <v>España</v>
      </c>
      <c r="D437" s="11" t="str">
        <f ca="1">+WORLDCUP!BD64</f>
        <v>Bélgica</v>
      </c>
      <c r="E437" s="11" t="str">
        <f ca="1">+WORLDCUP!BD59</f>
        <v>Bosnia y Herzegovina</v>
      </c>
      <c r="F437" s="11" t="str">
        <f ca="1">+WORLDCUP!BD60</f>
        <v>Escocia</v>
      </c>
      <c r="G437" s="11" t="str">
        <f ca="1">+WORLDCUP!BD58</f>
        <v>República Checa</v>
      </c>
      <c r="H437" s="11" t="str">
        <f ca="1">+WORLDCUP!BD61</f>
        <v>Paraguay</v>
      </c>
      <c r="I437" s="11" t="str">
        <f ca="1">+WORLDCUP!BD69</f>
        <v>Panamá</v>
      </c>
      <c r="J437" s="11" t="str">
        <f ca="1">+WORLDCUP!BD67</f>
        <v>Jordania</v>
      </c>
      <c r="N437" s="11" t="s">
        <v>810</v>
      </c>
      <c r="O437" s="11">
        <v>436</v>
      </c>
      <c r="P437" s="11" t="s">
        <v>436</v>
      </c>
      <c r="Q437" s="11" t="s">
        <v>435</v>
      </c>
      <c r="R437" s="11" t="s">
        <v>90</v>
      </c>
      <c r="S437" s="11" t="s">
        <v>91</v>
      </c>
      <c r="T437" s="11" t="s">
        <v>89</v>
      </c>
      <c r="U437" s="11" t="s">
        <v>92</v>
      </c>
      <c r="V437" s="11" t="s">
        <v>443</v>
      </c>
      <c r="W437" s="11" t="s">
        <v>441</v>
      </c>
    </row>
    <row r="438" spans="1:23">
      <c r="A438" s="11" t="s">
        <v>809</v>
      </c>
      <c r="B438" s="11">
        <f ca="1">+IF(A438=WORLDCUP!$BI$112,1,0)</f>
        <v>0</v>
      </c>
      <c r="C438" s="11" t="str">
        <f ca="1">+WORLDCUP!BD65</f>
        <v>España</v>
      </c>
      <c r="D438" s="11" t="str">
        <f ca="1">+WORLDCUP!BD64</f>
        <v>Bélgica</v>
      </c>
      <c r="E438" s="11" t="str">
        <f ca="1">+WORLDCUP!BD59</f>
        <v>Bosnia y Herzegovina</v>
      </c>
      <c r="F438" s="11" t="str">
        <f ca="1">+WORLDCUP!BD60</f>
        <v>Escocia</v>
      </c>
      <c r="G438" s="11" t="str">
        <f ca="1">+WORLDCUP!BD58</f>
        <v>República Checa</v>
      </c>
      <c r="H438" s="11" t="str">
        <f ca="1">+WORLDCUP!BD61</f>
        <v>Paraguay</v>
      </c>
      <c r="I438" s="11" t="str">
        <f ca="1">+WORLDCUP!BD67</f>
        <v>Jordania</v>
      </c>
      <c r="J438" s="11" t="str">
        <f ca="1">+WORLDCUP!BD68</f>
        <v>RD Congo</v>
      </c>
      <c r="N438" s="11" t="s">
        <v>809</v>
      </c>
      <c r="O438" s="11">
        <v>437</v>
      </c>
      <c r="P438" s="11" t="s">
        <v>436</v>
      </c>
      <c r="Q438" s="11" t="s">
        <v>435</v>
      </c>
      <c r="R438" s="11" t="s">
        <v>90</v>
      </c>
      <c r="S438" s="11" t="s">
        <v>91</v>
      </c>
      <c r="T438" s="11" t="s">
        <v>89</v>
      </c>
      <c r="U438" s="11" t="s">
        <v>92</v>
      </c>
      <c r="V438" s="11" t="s">
        <v>441</v>
      </c>
      <c r="W438" s="11" t="s">
        <v>442</v>
      </c>
    </row>
    <row r="439" spans="1:23">
      <c r="A439" s="11" t="s">
        <v>808</v>
      </c>
      <c r="B439" s="11">
        <f ca="1">+IF(A439=WORLDCUP!$BI$112,1,0)</f>
        <v>0</v>
      </c>
      <c r="C439" s="11" t="str">
        <f ca="1">+WORLDCUP!BD65</f>
        <v>España</v>
      </c>
      <c r="D439" s="11" t="str">
        <f ca="1">+WORLDCUP!BD64</f>
        <v>Bélgica</v>
      </c>
      <c r="E439" s="11" t="str">
        <f ca="1">+WORLDCUP!BD59</f>
        <v>Bosnia y Herzegovina</v>
      </c>
      <c r="F439" s="11" t="str">
        <f ca="1">+WORLDCUP!BD60</f>
        <v>Escocia</v>
      </c>
      <c r="G439" s="11" t="str">
        <f ca="1">+WORLDCUP!BD58</f>
        <v>República Checa</v>
      </c>
      <c r="H439" s="11" t="str">
        <f ca="1">+WORLDCUP!BD61</f>
        <v>Paraguay</v>
      </c>
      <c r="I439" s="11" t="str">
        <f ca="1">+WORLDCUP!BD69</f>
        <v>Panamá</v>
      </c>
      <c r="J439" s="11" t="str">
        <f ca="1">+WORLDCUP!BD66</f>
        <v>Senegal</v>
      </c>
      <c r="N439" s="11" t="s">
        <v>808</v>
      </c>
      <c r="O439" s="11">
        <v>438</v>
      </c>
      <c r="P439" s="11" t="s">
        <v>436</v>
      </c>
      <c r="Q439" s="11" t="s">
        <v>435</v>
      </c>
      <c r="R439" s="11" t="s">
        <v>90</v>
      </c>
      <c r="S439" s="11" t="s">
        <v>91</v>
      </c>
      <c r="T439" s="11" t="s">
        <v>89</v>
      </c>
      <c r="U439" s="11" t="s">
        <v>92</v>
      </c>
      <c r="V439" s="11" t="s">
        <v>443</v>
      </c>
      <c r="W439" s="11" t="s">
        <v>440</v>
      </c>
    </row>
    <row r="440" spans="1:23">
      <c r="A440" s="11" t="s">
        <v>807</v>
      </c>
      <c r="B440" s="11">
        <f ca="1">+IF(A440=WORLDCUP!$BI$112,1,0)</f>
        <v>0</v>
      </c>
      <c r="C440" s="11" t="str">
        <f ca="1">+WORLDCUP!BD65</f>
        <v>España</v>
      </c>
      <c r="D440" s="11" t="str">
        <f ca="1">+WORLDCUP!BD64</f>
        <v>Bélgica</v>
      </c>
      <c r="E440" s="11" t="str">
        <f ca="1">+WORLDCUP!BD59</f>
        <v>Bosnia y Herzegovina</v>
      </c>
      <c r="F440" s="11" t="str">
        <f ca="1">+WORLDCUP!BD60</f>
        <v>Escocia</v>
      </c>
      <c r="G440" s="11" t="str">
        <f ca="1">+WORLDCUP!BD58</f>
        <v>República Checa</v>
      </c>
      <c r="H440" s="11" t="str">
        <f ca="1">+WORLDCUP!BD61</f>
        <v>Paraguay</v>
      </c>
      <c r="I440" s="11" t="str">
        <f ca="1">+WORLDCUP!BD66</f>
        <v>Senegal</v>
      </c>
      <c r="J440" s="11" t="str">
        <f ca="1">+WORLDCUP!BD68</f>
        <v>RD Congo</v>
      </c>
      <c r="N440" s="11" t="s">
        <v>807</v>
      </c>
      <c r="O440" s="11">
        <v>439</v>
      </c>
      <c r="P440" s="11" t="s">
        <v>436</v>
      </c>
      <c r="Q440" s="11" t="s">
        <v>435</v>
      </c>
      <c r="R440" s="11" t="s">
        <v>90</v>
      </c>
      <c r="S440" s="11" t="s">
        <v>91</v>
      </c>
      <c r="T440" s="11" t="s">
        <v>89</v>
      </c>
      <c r="U440" s="11" t="s">
        <v>92</v>
      </c>
      <c r="V440" s="11" t="s">
        <v>440</v>
      </c>
      <c r="W440" s="11" t="s">
        <v>442</v>
      </c>
    </row>
    <row r="441" spans="1:23">
      <c r="A441" s="11" t="s">
        <v>806</v>
      </c>
      <c r="B441" s="11">
        <f ca="1">+IF(A441=WORLDCUP!$BI$112,1,0)</f>
        <v>0</v>
      </c>
      <c r="C441" s="11" t="str">
        <f ca="1">+WORLDCUP!BD65</f>
        <v>España</v>
      </c>
      <c r="D441" s="11" t="str">
        <f ca="1">+WORLDCUP!BD64</f>
        <v>Bélgica</v>
      </c>
      <c r="E441" s="11" t="str">
        <f ca="1">+WORLDCUP!BD59</f>
        <v>Bosnia y Herzegovina</v>
      </c>
      <c r="F441" s="11" t="str">
        <f ca="1">+WORLDCUP!BD60</f>
        <v>Escocia</v>
      </c>
      <c r="G441" s="11" t="str">
        <f ca="1">+WORLDCUP!BD58</f>
        <v>República Checa</v>
      </c>
      <c r="H441" s="11" t="str">
        <f ca="1">+WORLDCUP!BD61</f>
        <v>Paraguay</v>
      </c>
      <c r="I441" s="11" t="str">
        <f ca="1">+WORLDCUP!BD66</f>
        <v>Senegal</v>
      </c>
      <c r="J441" s="11" t="str">
        <f ca="1">+WORLDCUP!BD67</f>
        <v>Jordania</v>
      </c>
      <c r="N441" s="11" t="s">
        <v>806</v>
      </c>
      <c r="O441" s="11">
        <v>440</v>
      </c>
      <c r="P441" s="11" t="s">
        <v>436</v>
      </c>
      <c r="Q441" s="11" t="s">
        <v>435</v>
      </c>
      <c r="R441" s="11" t="s">
        <v>90</v>
      </c>
      <c r="S441" s="11" t="s">
        <v>91</v>
      </c>
      <c r="T441" s="11" t="s">
        <v>89</v>
      </c>
      <c r="U441" s="11" t="s">
        <v>92</v>
      </c>
      <c r="V441" s="11" t="s">
        <v>440</v>
      </c>
      <c r="W441" s="11" t="s">
        <v>441</v>
      </c>
    </row>
    <row r="442" spans="1:23">
      <c r="A442" s="11" t="s">
        <v>805</v>
      </c>
      <c r="B442" s="11">
        <f ca="1">+IF(A442=WORLDCUP!$BI$112,1,0)</f>
        <v>0</v>
      </c>
      <c r="C442" s="11" t="str">
        <f ca="1">+WORLDCUP!BD60</f>
        <v>Escocia</v>
      </c>
      <c r="D442" s="11" t="str">
        <f ca="1">+WORLDCUP!BD67</f>
        <v>Jordania</v>
      </c>
      <c r="E442" s="11" t="str">
        <f ca="1">+WORLDCUP!BD59</f>
        <v>Bosnia y Herzegovina</v>
      </c>
      <c r="F442" s="11" t="str">
        <f ca="1">+WORLDCUP!BD61</f>
        <v>Paraguay</v>
      </c>
      <c r="G442" s="11" t="str">
        <f ca="1">+WORLDCUP!BD58</f>
        <v>República Checa</v>
      </c>
      <c r="H442" s="11" t="str">
        <f ca="1">+WORLDCUP!BD63</f>
        <v>Japón</v>
      </c>
      <c r="I442" s="11" t="str">
        <f ca="1">+WORLDCUP!BD69</f>
        <v>Panamá</v>
      </c>
      <c r="J442" s="11" t="str">
        <f ca="1">+WORLDCUP!BD68</f>
        <v>RD Congo</v>
      </c>
      <c r="N442" s="11" t="s">
        <v>805</v>
      </c>
      <c r="O442" s="11">
        <v>441</v>
      </c>
      <c r="P442" s="11" t="s">
        <v>91</v>
      </c>
      <c r="Q442" s="11" t="s">
        <v>441</v>
      </c>
      <c r="R442" s="11" t="s">
        <v>90</v>
      </c>
      <c r="S442" s="11" t="s">
        <v>92</v>
      </c>
      <c r="T442" s="11" t="s">
        <v>89</v>
      </c>
      <c r="U442" s="11" t="s">
        <v>94</v>
      </c>
      <c r="V442" s="11" t="s">
        <v>443</v>
      </c>
      <c r="W442" s="11" t="s">
        <v>442</v>
      </c>
    </row>
    <row r="443" spans="1:23">
      <c r="A443" s="11" t="s">
        <v>804</v>
      </c>
      <c r="B443" s="11">
        <f ca="1">+IF(A443=WORLDCUP!$BI$112,1,0)</f>
        <v>0</v>
      </c>
      <c r="C443" s="11" t="str">
        <f ca="1">+WORLDCUP!BD60</f>
        <v>Escocia</v>
      </c>
      <c r="D443" s="11" t="str">
        <f ca="1">+WORLDCUP!BD66</f>
        <v>Senegal</v>
      </c>
      <c r="E443" s="11" t="str">
        <f ca="1">+WORLDCUP!BD59</f>
        <v>Bosnia y Herzegovina</v>
      </c>
      <c r="F443" s="11" t="str">
        <f ca="1">+WORLDCUP!BD61</f>
        <v>Paraguay</v>
      </c>
      <c r="G443" s="11" t="str">
        <f ca="1">+WORLDCUP!BD58</f>
        <v>República Checa</v>
      </c>
      <c r="H443" s="11" t="str">
        <f ca="1">+WORLDCUP!BD63</f>
        <v>Japón</v>
      </c>
      <c r="I443" s="11" t="str">
        <f ca="1">+WORLDCUP!BD69</f>
        <v>Panamá</v>
      </c>
      <c r="J443" s="11" t="str">
        <f ca="1">+WORLDCUP!BD68</f>
        <v>RD Congo</v>
      </c>
      <c r="N443" s="11" t="s">
        <v>804</v>
      </c>
      <c r="O443" s="11">
        <v>442</v>
      </c>
      <c r="P443" s="11" t="s">
        <v>91</v>
      </c>
      <c r="Q443" s="11" t="s">
        <v>440</v>
      </c>
      <c r="R443" s="11" t="s">
        <v>90</v>
      </c>
      <c r="S443" s="11" t="s">
        <v>92</v>
      </c>
      <c r="T443" s="11" t="s">
        <v>89</v>
      </c>
      <c r="U443" s="11" t="s">
        <v>94</v>
      </c>
      <c r="V443" s="11" t="s">
        <v>443</v>
      </c>
      <c r="W443" s="11" t="s">
        <v>442</v>
      </c>
    </row>
    <row r="444" spans="1:23">
      <c r="A444" s="11" t="s">
        <v>803</v>
      </c>
      <c r="B444" s="11">
        <f ca="1">+IF(A444=WORLDCUP!$BI$112,1,0)</f>
        <v>0</v>
      </c>
      <c r="C444" s="11" t="str">
        <f ca="1">+WORLDCUP!BD60</f>
        <v>Escocia</v>
      </c>
      <c r="D444" s="11" t="str">
        <f ca="1">+WORLDCUP!BD67</f>
        <v>Jordania</v>
      </c>
      <c r="E444" s="11" t="str">
        <f ca="1">+WORLDCUP!BD59</f>
        <v>Bosnia y Herzegovina</v>
      </c>
      <c r="F444" s="11" t="str">
        <f ca="1">+WORLDCUP!BD61</f>
        <v>Paraguay</v>
      </c>
      <c r="G444" s="11" t="str">
        <f ca="1">+WORLDCUP!BD58</f>
        <v>República Checa</v>
      </c>
      <c r="H444" s="11" t="str">
        <f ca="1">+WORLDCUP!BD63</f>
        <v>Japón</v>
      </c>
      <c r="I444" s="11" t="str">
        <f ca="1">+WORLDCUP!BD69</f>
        <v>Panamá</v>
      </c>
      <c r="J444" s="11" t="str">
        <f ca="1">+WORLDCUP!BD66</f>
        <v>Senegal</v>
      </c>
      <c r="N444" s="11" t="s">
        <v>803</v>
      </c>
      <c r="O444" s="11">
        <v>443</v>
      </c>
      <c r="P444" s="11" t="s">
        <v>91</v>
      </c>
      <c r="Q444" s="11" t="s">
        <v>441</v>
      </c>
      <c r="R444" s="11" t="s">
        <v>90</v>
      </c>
      <c r="S444" s="11" t="s">
        <v>92</v>
      </c>
      <c r="T444" s="11" t="s">
        <v>89</v>
      </c>
      <c r="U444" s="11" t="s">
        <v>94</v>
      </c>
      <c r="V444" s="11" t="s">
        <v>443</v>
      </c>
      <c r="W444" s="11" t="s">
        <v>440</v>
      </c>
    </row>
    <row r="445" spans="1:23">
      <c r="A445" s="11" t="s">
        <v>802</v>
      </c>
      <c r="B445" s="11">
        <f ca="1">+IF(A445=WORLDCUP!$BI$112,1,0)</f>
        <v>0</v>
      </c>
      <c r="C445" s="11" t="str">
        <f ca="1">+WORLDCUP!BD60</f>
        <v>Escocia</v>
      </c>
      <c r="D445" s="11" t="str">
        <f ca="1">+WORLDCUP!BD67</f>
        <v>Jordania</v>
      </c>
      <c r="E445" s="11" t="str">
        <f ca="1">+WORLDCUP!BD59</f>
        <v>Bosnia y Herzegovina</v>
      </c>
      <c r="F445" s="11" t="str">
        <f ca="1">+WORLDCUP!BD61</f>
        <v>Paraguay</v>
      </c>
      <c r="G445" s="11" t="str">
        <f ca="1">+WORLDCUP!BD58</f>
        <v>República Checa</v>
      </c>
      <c r="H445" s="11" t="str">
        <f ca="1">+WORLDCUP!BD63</f>
        <v>Japón</v>
      </c>
      <c r="I445" s="11" t="str">
        <f ca="1">+WORLDCUP!BD66</f>
        <v>Senegal</v>
      </c>
      <c r="J445" s="11" t="str">
        <f ca="1">+WORLDCUP!BD68</f>
        <v>RD Congo</v>
      </c>
      <c r="N445" s="11" t="s">
        <v>802</v>
      </c>
      <c r="O445" s="11">
        <v>444</v>
      </c>
      <c r="P445" s="11" t="s">
        <v>91</v>
      </c>
      <c r="Q445" s="11" t="s">
        <v>441</v>
      </c>
      <c r="R445" s="11" t="s">
        <v>90</v>
      </c>
      <c r="S445" s="11" t="s">
        <v>92</v>
      </c>
      <c r="T445" s="11" t="s">
        <v>89</v>
      </c>
      <c r="U445" s="11" t="s">
        <v>94</v>
      </c>
      <c r="V445" s="11" t="s">
        <v>440</v>
      </c>
      <c r="W445" s="11" t="s">
        <v>442</v>
      </c>
    </row>
    <row r="446" spans="1:23">
      <c r="A446" s="11" t="s">
        <v>801</v>
      </c>
      <c r="B446" s="11">
        <f ca="1">+IF(A446=WORLDCUP!$BI$112,1,0)</f>
        <v>0</v>
      </c>
      <c r="C446" s="11" t="str">
        <f ca="1">+WORLDCUP!BD65</f>
        <v>España</v>
      </c>
      <c r="D446" s="11" t="str">
        <f ca="1">+WORLDCUP!BD63</f>
        <v>Japón</v>
      </c>
      <c r="E446" s="11" t="str">
        <f ca="1">+WORLDCUP!BD59</f>
        <v>Bosnia y Herzegovina</v>
      </c>
      <c r="F446" s="11" t="str">
        <f ca="1">+WORLDCUP!BD60</f>
        <v>Escocia</v>
      </c>
      <c r="G446" s="11" t="str">
        <f ca="1">+WORLDCUP!BD58</f>
        <v>República Checa</v>
      </c>
      <c r="H446" s="11" t="str">
        <f ca="1">+WORLDCUP!BD61</f>
        <v>Paraguay</v>
      </c>
      <c r="I446" s="11" t="str">
        <f ca="1">+WORLDCUP!BD69</f>
        <v>Panamá</v>
      </c>
      <c r="J446" s="11" t="str">
        <f ca="1">+WORLDCUP!BD68</f>
        <v>RD Congo</v>
      </c>
      <c r="N446" s="11" t="s">
        <v>801</v>
      </c>
      <c r="O446" s="11">
        <v>445</v>
      </c>
      <c r="P446" s="11" t="s">
        <v>436</v>
      </c>
      <c r="Q446" s="11" t="s">
        <v>94</v>
      </c>
      <c r="R446" s="11" t="s">
        <v>90</v>
      </c>
      <c r="S446" s="11" t="s">
        <v>91</v>
      </c>
      <c r="T446" s="11" t="s">
        <v>89</v>
      </c>
      <c r="U446" s="11" t="s">
        <v>92</v>
      </c>
      <c r="V446" s="11" t="s">
        <v>443</v>
      </c>
      <c r="W446" s="11" t="s">
        <v>442</v>
      </c>
    </row>
    <row r="447" spans="1:23">
      <c r="A447" s="11" t="s">
        <v>800</v>
      </c>
      <c r="B447" s="11">
        <f ca="1">+IF(A447=WORLDCUP!$BI$112,1,0)</f>
        <v>0</v>
      </c>
      <c r="C447" s="11" t="str">
        <f ca="1">+WORLDCUP!BD60</f>
        <v>Escocia</v>
      </c>
      <c r="D447" s="11" t="str">
        <f ca="1">+WORLDCUP!BD67</f>
        <v>Jordania</v>
      </c>
      <c r="E447" s="11" t="str">
        <f ca="1">+WORLDCUP!BD59</f>
        <v>Bosnia y Herzegovina</v>
      </c>
      <c r="F447" s="11" t="str">
        <f ca="1">+WORLDCUP!BD61</f>
        <v>Paraguay</v>
      </c>
      <c r="G447" s="11" t="str">
        <f ca="1">+WORLDCUP!BD58</f>
        <v>República Checa</v>
      </c>
      <c r="H447" s="11" t="str">
        <f ca="1">+WORLDCUP!BD63</f>
        <v>Japón</v>
      </c>
      <c r="I447" s="11" t="str">
        <f ca="1">+WORLDCUP!BD69</f>
        <v>Panamá</v>
      </c>
      <c r="J447" s="11" t="str">
        <f ca="1">+WORLDCUP!BD65</f>
        <v>España</v>
      </c>
      <c r="N447" s="11" t="s">
        <v>800</v>
      </c>
      <c r="O447" s="11">
        <v>446</v>
      </c>
      <c r="P447" s="11" t="s">
        <v>91</v>
      </c>
      <c r="Q447" s="11" t="s">
        <v>441</v>
      </c>
      <c r="R447" s="11" t="s">
        <v>90</v>
      </c>
      <c r="S447" s="11" t="s">
        <v>92</v>
      </c>
      <c r="T447" s="11" t="s">
        <v>89</v>
      </c>
      <c r="U447" s="11" t="s">
        <v>94</v>
      </c>
      <c r="V447" s="11" t="s">
        <v>443</v>
      </c>
      <c r="W447" s="11" t="s">
        <v>436</v>
      </c>
    </row>
    <row r="448" spans="1:23">
      <c r="A448" s="11" t="s">
        <v>799</v>
      </c>
      <c r="B448" s="11">
        <f ca="1">+IF(A448=WORLDCUP!$BI$112,1,0)</f>
        <v>0</v>
      </c>
      <c r="C448" s="11" t="str">
        <f ca="1">+WORLDCUP!BD65</f>
        <v>España</v>
      </c>
      <c r="D448" s="11" t="str">
        <f ca="1">+WORLDCUP!BD67</f>
        <v>Jordania</v>
      </c>
      <c r="E448" s="11" t="str">
        <f ca="1">+WORLDCUP!BD59</f>
        <v>Bosnia y Herzegovina</v>
      </c>
      <c r="F448" s="11" t="str">
        <f ca="1">+WORLDCUP!BD60</f>
        <v>Escocia</v>
      </c>
      <c r="G448" s="11" t="str">
        <f ca="1">+WORLDCUP!BD58</f>
        <v>República Checa</v>
      </c>
      <c r="H448" s="11" t="str">
        <f ca="1">+WORLDCUP!BD63</f>
        <v>Japón</v>
      </c>
      <c r="I448" s="11" t="str">
        <f ca="1">+WORLDCUP!BD61</f>
        <v>Paraguay</v>
      </c>
      <c r="J448" s="11" t="str">
        <f ca="1">+WORLDCUP!BD68</f>
        <v>RD Congo</v>
      </c>
      <c r="N448" s="11" t="s">
        <v>799</v>
      </c>
      <c r="O448" s="11">
        <v>447</v>
      </c>
      <c r="P448" s="11" t="s">
        <v>436</v>
      </c>
      <c r="Q448" s="11" t="s">
        <v>441</v>
      </c>
      <c r="R448" s="11" t="s">
        <v>90</v>
      </c>
      <c r="S448" s="11" t="s">
        <v>91</v>
      </c>
      <c r="T448" s="11" t="s">
        <v>89</v>
      </c>
      <c r="U448" s="11" t="s">
        <v>94</v>
      </c>
      <c r="V448" s="11" t="s">
        <v>92</v>
      </c>
      <c r="W448" s="11" t="s">
        <v>442</v>
      </c>
    </row>
    <row r="449" spans="1:23">
      <c r="A449" s="11" t="s">
        <v>798</v>
      </c>
      <c r="B449" s="11">
        <f ca="1">+IF(A449=WORLDCUP!$BI$112,1,0)</f>
        <v>0</v>
      </c>
      <c r="C449" s="11" t="str">
        <f ca="1">+WORLDCUP!BD65</f>
        <v>España</v>
      </c>
      <c r="D449" s="11" t="str">
        <f ca="1">+WORLDCUP!BD63</f>
        <v>Japón</v>
      </c>
      <c r="E449" s="11" t="str">
        <f ca="1">+WORLDCUP!BD59</f>
        <v>Bosnia y Herzegovina</v>
      </c>
      <c r="F449" s="11" t="str">
        <f ca="1">+WORLDCUP!BD60</f>
        <v>Escocia</v>
      </c>
      <c r="G449" s="11" t="str">
        <f ca="1">+WORLDCUP!BD58</f>
        <v>República Checa</v>
      </c>
      <c r="H449" s="11" t="str">
        <f ca="1">+WORLDCUP!BD61</f>
        <v>Paraguay</v>
      </c>
      <c r="I449" s="11" t="str">
        <f ca="1">+WORLDCUP!BD69</f>
        <v>Panamá</v>
      </c>
      <c r="J449" s="11" t="str">
        <f ca="1">+WORLDCUP!BD66</f>
        <v>Senegal</v>
      </c>
      <c r="N449" s="11" t="s">
        <v>798</v>
      </c>
      <c r="O449" s="11">
        <v>448</v>
      </c>
      <c r="P449" s="11" t="s">
        <v>436</v>
      </c>
      <c r="Q449" s="11" t="s">
        <v>94</v>
      </c>
      <c r="R449" s="11" t="s">
        <v>90</v>
      </c>
      <c r="S449" s="11" t="s">
        <v>91</v>
      </c>
      <c r="T449" s="11" t="s">
        <v>89</v>
      </c>
      <c r="U449" s="11" t="s">
        <v>92</v>
      </c>
      <c r="V449" s="11" t="s">
        <v>443</v>
      </c>
      <c r="W449" s="11" t="s">
        <v>440</v>
      </c>
    </row>
    <row r="450" spans="1:23">
      <c r="A450" s="11" t="s">
        <v>797</v>
      </c>
      <c r="B450" s="11">
        <f ca="1">+IF(A450=WORLDCUP!$BI$112,1,0)</f>
        <v>0</v>
      </c>
      <c r="C450" s="11" t="str">
        <f ca="1">+WORLDCUP!BD65</f>
        <v>España</v>
      </c>
      <c r="D450" s="11" t="str">
        <f ca="1">+WORLDCUP!BD63</f>
        <v>Japón</v>
      </c>
      <c r="E450" s="11" t="str">
        <f ca="1">+WORLDCUP!BD59</f>
        <v>Bosnia y Herzegovina</v>
      </c>
      <c r="F450" s="11" t="str">
        <f ca="1">+WORLDCUP!BD60</f>
        <v>Escocia</v>
      </c>
      <c r="G450" s="11" t="str">
        <f ca="1">+WORLDCUP!BD58</f>
        <v>República Checa</v>
      </c>
      <c r="H450" s="11" t="str">
        <f ca="1">+WORLDCUP!BD61</f>
        <v>Paraguay</v>
      </c>
      <c r="I450" s="11" t="str">
        <f ca="1">+WORLDCUP!BD66</f>
        <v>Senegal</v>
      </c>
      <c r="J450" s="11" t="str">
        <f ca="1">+WORLDCUP!BD68</f>
        <v>RD Congo</v>
      </c>
      <c r="N450" s="11" t="s">
        <v>797</v>
      </c>
      <c r="O450" s="11">
        <v>449</v>
      </c>
      <c r="P450" s="11" t="s">
        <v>436</v>
      </c>
      <c r="Q450" s="11" t="s">
        <v>94</v>
      </c>
      <c r="R450" s="11" t="s">
        <v>90</v>
      </c>
      <c r="S450" s="11" t="s">
        <v>91</v>
      </c>
      <c r="T450" s="11" t="s">
        <v>89</v>
      </c>
      <c r="U450" s="11" t="s">
        <v>92</v>
      </c>
      <c r="V450" s="11" t="s">
        <v>440</v>
      </c>
      <c r="W450" s="11" t="s">
        <v>442</v>
      </c>
    </row>
    <row r="451" spans="1:23">
      <c r="A451" s="11" t="s">
        <v>796</v>
      </c>
      <c r="B451" s="11">
        <f ca="1">+IF(A451=WORLDCUP!$BI$112,1,0)</f>
        <v>0</v>
      </c>
      <c r="C451" s="11" t="str">
        <f ca="1">+WORLDCUP!BD65</f>
        <v>España</v>
      </c>
      <c r="D451" s="11" t="str">
        <f ca="1">+WORLDCUP!BD67</f>
        <v>Jordania</v>
      </c>
      <c r="E451" s="11" t="str">
        <f ca="1">+WORLDCUP!BD59</f>
        <v>Bosnia y Herzegovina</v>
      </c>
      <c r="F451" s="11" t="str">
        <f ca="1">+WORLDCUP!BD60</f>
        <v>Escocia</v>
      </c>
      <c r="G451" s="11" t="str">
        <f ca="1">+WORLDCUP!BD58</f>
        <v>República Checa</v>
      </c>
      <c r="H451" s="11" t="str">
        <f ca="1">+WORLDCUP!BD63</f>
        <v>Japón</v>
      </c>
      <c r="I451" s="11" t="str">
        <f ca="1">+WORLDCUP!BD61</f>
        <v>Paraguay</v>
      </c>
      <c r="J451" s="11" t="str">
        <f ca="1">+WORLDCUP!BD66</f>
        <v>Senegal</v>
      </c>
      <c r="N451" s="11" t="s">
        <v>796</v>
      </c>
      <c r="O451" s="11">
        <v>450</v>
      </c>
      <c r="P451" s="11" t="s">
        <v>436</v>
      </c>
      <c r="Q451" s="11" t="s">
        <v>441</v>
      </c>
      <c r="R451" s="11" t="s">
        <v>90</v>
      </c>
      <c r="S451" s="11" t="s">
        <v>91</v>
      </c>
      <c r="T451" s="11" t="s">
        <v>89</v>
      </c>
      <c r="U451" s="11" t="s">
        <v>94</v>
      </c>
      <c r="V451" s="11" t="s">
        <v>92</v>
      </c>
      <c r="W451" s="11" t="s">
        <v>440</v>
      </c>
    </row>
    <row r="452" spans="1:23">
      <c r="A452" s="11" t="s">
        <v>795</v>
      </c>
      <c r="B452" s="11">
        <f ca="1">+IF(A452=WORLDCUP!$BI$112,1,0)</f>
        <v>0</v>
      </c>
      <c r="C452" s="11" t="str">
        <f ca="1">+WORLDCUP!BD60</f>
        <v>Escocia</v>
      </c>
      <c r="D452" s="11" t="str">
        <f ca="1">+WORLDCUP!BD64</f>
        <v>Bélgica</v>
      </c>
      <c r="E452" s="11" t="str">
        <f ca="1">+WORLDCUP!BD59</f>
        <v>Bosnia y Herzegovina</v>
      </c>
      <c r="F452" s="11" t="str">
        <f ca="1">+WORLDCUP!BD61</f>
        <v>Paraguay</v>
      </c>
      <c r="G452" s="11" t="str">
        <f ca="1">+WORLDCUP!BD58</f>
        <v>República Checa</v>
      </c>
      <c r="H452" s="11" t="str">
        <f ca="1">+WORLDCUP!BD63</f>
        <v>Japón</v>
      </c>
      <c r="I452" s="11" t="str">
        <f ca="1">+WORLDCUP!BD69</f>
        <v>Panamá</v>
      </c>
      <c r="J452" s="11" t="str">
        <f ca="1">+WORLDCUP!BD68</f>
        <v>RD Congo</v>
      </c>
      <c r="N452" s="11" t="s">
        <v>795</v>
      </c>
      <c r="O452" s="11">
        <v>451</v>
      </c>
      <c r="P452" s="11" t="s">
        <v>91</v>
      </c>
      <c r="Q452" s="11" t="s">
        <v>435</v>
      </c>
      <c r="R452" s="11" t="s">
        <v>90</v>
      </c>
      <c r="S452" s="11" t="s">
        <v>92</v>
      </c>
      <c r="T452" s="11" t="s">
        <v>89</v>
      </c>
      <c r="U452" s="11" t="s">
        <v>94</v>
      </c>
      <c r="V452" s="11" t="s">
        <v>443</v>
      </c>
      <c r="W452" s="11" t="s">
        <v>442</v>
      </c>
    </row>
    <row r="453" spans="1:23">
      <c r="A453" s="11" t="s">
        <v>794</v>
      </c>
      <c r="B453" s="11">
        <f ca="1">+IF(A453=WORLDCUP!$BI$112,1,0)</f>
        <v>0</v>
      </c>
      <c r="C453" s="11" t="str">
        <f ca="1">+WORLDCUP!BD60</f>
        <v>Escocia</v>
      </c>
      <c r="D453" s="11" t="str">
        <f ca="1">+WORLDCUP!BD64</f>
        <v>Bélgica</v>
      </c>
      <c r="E453" s="11" t="str">
        <f ca="1">+WORLDCUP!BD59</f>
        <v>Bosnia y Herzegovina</v>
      </c>
      <c r="F453" s="11" t="str">
        <f ca="1">+WORLDCUP!BD61</f>
        <v>Paraguay</v>
      </c>
      <c r="G453" s="11" t="str">
        <f ca="1">+WORLDCUP!BD58</f>
        <v>República Checa</v>
      </c>
      <c r="H453" s="11" t="str">
        <f ca="1">+WORLDCUP!BD63</f>
        <v>Japón</v>
      </c>
      <c r="I453" s="11" t="str">
        <f ca="1">+WORLDCUP!BD69</f>
        <v>Panamá</v>
      </c>
      <c r="J453" s="11" t="str">
        <f ca="1">+WORLDCUP!BD67</f>
        <v>Jordania</v>
      </c>
      <c r="N453" s="11" t="s">
        <v>794</v>
      </c>
      <c r="O453" s="11">
        <v>452</v>
      </c>
      <c r="P453" s="11" t="s">
        <v>91</v>
      </c>
      <c r="Q453" s="11" t="s">
        <v>435</v>
      </c>
      <c r="R453" s="11" t="s">
        <v>90</v>
      </c>
      <c r="S453" s="11" t="s">
        <v>92</v>
      </c>
      <c r="T453" s="11" t="s">
        <v>89</v>
      </c>
      <c r="U453" s="11" t="s">
        <v>94</v>
      </c>
      <c r="V453" s="11" t="s">
        <v>443</v>
      </c>
      <c r="W453" s="11" t="s">
        <v>441</v>
      </c>
    </row>
    <row r="454" spans="1:23">
      <c r="A454" s="11" t="s">
        <v>793</v>
      </c>
      <c r="B454" s="11">
        <f ca="1">+IF(A454=WORLDCUP!$BI$112,1,0)</f>
        <v>0</v>
      </c>
      <c r="C454" s="11" t="str">
        <f ca="1">+WORLDCUP!BD60</f>
        <v>Escocia</v>
      </c>
      <c r="D454" s="11" t="str">
        <f ca="1">+WORLDCUP!BD64</f>
        <v>Bélgica</v>
      </c>
      <c r="E454" s="11" t="str">
        <f ca="1">+WORLDCUP!BD59</f>
        <v>Bosnia y Herzegovina</v>
      </c>
      <c r="F454" s="11" t="str">
        <f ca="1">+WORLDCUP!BD61</f>
        <v>Paraguay</v>
      </c>
      <c r="G454" s="11" t="str">
        <f ca="1">+WORLDCUP!BD58</f>
        <v>República Checa</v>
      </c>
      <c r="H454" s="11" t="str">
        <f ca="1">+WORLDCUP!BD63</f>
        <v>Japón</v>
      </c>
      <c r="I454" s="11" t="str">
        <f ca="1">+WORLDCUP!BD67</f>
        <v>Jordania</v>
      </c>
      <c r="J454" s="11" t="str">
        <f ca="1">+WORLDCUP!BD68</f>
        <v>RD Congo</v>
      </c>
      <c r="N454" s="11" t="s">
        <v>793</v>
      </c>
      <c r="O454" s="11">
        <v>453</v>
      </c>
      <c r="P454" s="11" t="s">
        <v>91</v>
      </c>
      <c r="Q454" s="11" t="s">
        <v>435</v>
      </c>
      <c r="R454" s="11" t="s">
        <v>90</v>
      </c>
      <c r="S454" s="11" t="s">
        <v>92</v>
      </c>
      <c r="T454" s="11" t="s">
        <v>89</v>
      </c>
      <c r="U454" s="11" t="s">
        <v>94</v>
      </c>
      <c r="V454" s="11" t="s">
        <v>441</v>
      </c>
      <c r="W454" s="11" t="s">
        <v>442</v>
      </c>
    </row>
    <row r="455" spans="1:23">
      <c r="A455" s="11" t="s">
        <v>792</v>
      </c>
      <c r="B455" s="11">
        <f ca="1">+IF(A455=WORLDCUP!$BI$112,1,0)</f>
        <v>0</v>
      </c>
      <c r="C455" s="11" t="str">
        <f ca="1">+WORLDCUP!BD60</f>
        <v>Escocia</v>
      </c>
      <c r="D455" s="11" t="str">
        <f ca="1">+WORLDCUP!BD64</f>
        <v>Bélgica</v>
      </c>
      <c r="E455" s="11" t="str">
        <f ca="1">+WORLDCUP!BD59</f>
        <v>Bosnia y Herzegovina</v>
      </c>
      <c r="F455" s="11" t="str">
        <f ca="1">+WORLDCUP!BD61</f>
        <v>Paraguay</v>
      </c>
      <c r="G455" s="11" t="str">
        <f ca="1">+WORLDCUP!BD58</f>
        <v>República Checa</v>
      </c>
      <c r="H455" s="11" t="str">
        <f ca="1">+WORLDCUP!BD63</f>
        <v>Japón</v>
      </c>
      <c r="I455" s="11" t="str">
        <f ca="1">+WORLDCUP!BD69</f>
        <v>Panamá</v>
      </c>
      <c r="J455" s="11" t="str">
        <f ca="1">+WORLDCUP!BD66</f>
        <v>Senegal</v>
      </c>
      <c r="N455" s="11" t="s">
        <v>792</v>
      </c>
      <c r="O455" s="11">
        <v>454</v>
      </c>
      <c r="P455" s="11" t="s">
        <v>91</v>
      </c>
      <c r="Q455" s="11" t="s">
        <v>435</v>
      </c>
      <c r="R455" s="11" t="s">
        <v>90</v>
      </c>
      <c r="S455" s="11" t="s">
        <v>92</v>
      </c>
      <c r="T455" s="11" t="s">
        <v>89</v>
      </c>
      <c r="U455" s="11" t="s">
        <v>94</v>
      </c>
      <c r="V455" s="11" t="s">
        <v>443</v>
      </c>
      <c r="W455" s="11" t="s">
        <v>440</v>
      </c>
    </row>
    <row r="456" spans="1:23">
      <c r="A456" s="11" t="s">
        <v>791</v>
      </c>
      <c r="B456" s="11">
        <f ca="1">+IF(A456=WORLDCUP!$BI$112,1,0)</f>
        <v>0</v>
      </c>
      <c r="C456" s="11" t="str">
        <f ca="1">+WORLDCUP!BD60</f>
        <v>Escocia</v>
      </c>
      <c r="D456" s="11" t="str">
        <f ca="1">+WORLDCUP!BD64</f>
        <v>Bélgica</v>
      </c>
      <c r="E456" s="11" t="str">
        <f ca="1">+WORLDCUP!BD59</f>
        <v>Bosnia y Herzegovina</v>
      </c>
      <c r="F456" s="11" t="str">
        <f ca="1">+WORLDCUP!BD61</f>
        <v>Paraguay</v>
      </c>
      <c r="G456" s="11" t="str">
        <f ca="1">+WORLDCUP!BD58</f>
        <v>República Checa</v>
      </c>
      <c r="H456" s="11" t="str">
        <f ca="1">+WORLDCUP!BD63</f>
        <v>Japón</v>
      </c>
      <c r="I456" s="11" t="str">
        <f ca="1">+WORLDCUP!BD66</f>
        <v>Senegal</v>
      </c>
      <c r="J456" s="11" t="str">
        <f ca="1">+WORLDCUP!BD68</f>
        <v>RD Congo</v>
      </c>
      <c r="N456" s="11" t="s">
        <v>791</v>
      </c>
      <c r="O456" s="11">
        <v>455</v>
      </c>
      <c r="P456" s="11" t="s">
        <v>91</v>
      </c>
      <c r="Q456" s="11" t="s">
        <v>435</v>
      </c>
      <c r="R456" s="11" t="s">
        <v>90</v>
      </c>
      <c r="S456" s="11" t="s">
        <v>92</v>
      </c>
      <c r="T456" s="11" t="s">
        <v>89</v>
      </c>
      <c r="U456" s="11" t="s">
        <v>94</v>
      </c>
      <c r="V456" s="11" t="s">
        <v>440</v>
      </c>
      <c r="W456" s="11" t="s">
        <v>442</v>
      </c>
    </row>
    <row r="457" spans="1:23">
      <c r="A457" s="11" t="s">
        <v>790</v>
      </c>
      <c r="B457" s="11">
        <f ca="1">+IF(A457=WORLDCUP!$BI$112,1,0)</f>
        <v>0</v>
      </c>
      <c r="C457" s="11" t="str">
        <f ca="1">+WORLDCUP!BD60</f>
        <v>Escocia</v>
      </c>
      <c r="D457" s="11" t="str">
        <f ca="1">+WORLDCUP!BD64</f>
        <v>Bélgica</v>
      </c>
      <c r="E457" s="11" t="str">
        <f ca="1">+WORLDCUP!BD59</f>
        <v>Bosnia y Herzegovina</v>
      </c>
      <c r="F457" s="11" t="str">
        <f ca="1">+WORLDCUP!BD61</f>
        <v>Paraguay</v>
      </c>
      <c r="G457" s="11" t="str">
        <f ca="1">+WORLDCUP!BD58</f>
        <v>República Checa</v>
      </c>
      <c r="H457" s="11" t="str">
        <f ca="1">+WORLDCUP!BD63</f>
        <v>Japón</v>
      </c>
      <c r="I457" s="11" t="str">
        <f ca="1">+WORLDCUP!BD66</f>
        <v>Senegal</v>
      </c>
      <c r="J457" s="11" t="str">
        <f ca="1">+WORLDCUP!BD67</f>
        <v>Jordania</v>
      </c>
      <c r="N457" s="11" t="s">
        <v>790</v>
      </c>
      <c r="O457" s="11">
        <v>456</v>
      </c>
      <c r="P457" s="11" t="s">
        <v>91</v>
      </c>
      <c r="Q457" s="11" t="s">
        <v>435</v>
      </c>
      <c r="R457" s="11" t="s">
        <v>90</v>
      </c>
      <c r="S457" s="11" t="s">
        <v>92</v>
      </c>
      <c r="T457" s="11" t="s">
        <v>89</v>
      </c>
      <c r="U457" s="11" t="s">
        <v>94</v>
      </c>
      <c r="V457" s="11" t="s">
        <v>440</v>
      </c>
      <c r="W457" s="11" t="s">
        <v>441</v>
      </c>
    </row>
    <row r="458" spans="1:23">
      <c r="A458" s="11" t="s">
        <v>789</v>
      </c>
      <c r="B458" s="11">
        <f ca="1">+IF(A458=WORLDCUP!$BI$112,1,0)</f>
        <v>0</v>
      </c>
      <c r="C458" s="11" t="str">
        <f ca="1">+WORLDCUP!BD60</f>
        <v>Escocia</v>
      </c>
      <c r="D458" s="11" t="str">
        <f ca="1">+WORLDCUP!BD64</f>
        <v>Bélgica</v>
      </c>
      <c r="E458" s="11" t="str">
        <f ca="1">+WORLDCUP!BD59</f>
        <v>Bosnia y Herzegovina</v>
      </c>
      <c r="F458" s="11" t="str">
        <f ca="1">+WORLDCUP!BD61</f>
        <v>Paraguay</v>
      </c>
      <c r="G458" s="11" t="str">
        <f ca="1">+WORLDCUP!BD58</f>
        <v>República Checa</v>
      </c>
      <c r="H458" s="11" t="str">
        <f ca="1">+WORLDCUP!BD63</f>
        <v>Japón</v>
      </c>
      <c r="I458" s="11" t="str">
        <f ca="1">+WORLDCUP!BD69</f>
        <v>Panamá</v>
      </c>
      <c r="J458" s="11" t="str">
        <f ca="1">+WORLDCUP!BD65</f>
        <v>España</v>
      </c>
      <c r="N458" s="11" t="s">
        <v>789</v>
      </c>
      <c r="O458" s="11">
        <v>457</v>
      </c>
      <c r="P458" s="11" t="s">
        <v>91</v>
      </c>
      <c r="Q458" s="11" t="s">
        <v>435</v>
      </c>
      <c r="R458" s="11" t="s">
        <v>90</v>
      </c>
      <c r="S458" s="11" t="s">
        <v>92</v>
      </c>
      <c r="T458" s="11" t="s">
        <v>89</v>
      </c>
      <c r="U458" s="11" t="s">
        <v>94</v>
      </c>
      <c r="V458" s="11" t="s">
        <v>443</v>
      </c>
      <c r="W458" s="11" t="s">
        <v>436</v>
      </c>
    </row>
    <row r="459" spans="1:23">
      <c r="A459" s="11" t="s">
        <v>788</v>
      </c>
      <c r="B459" s="11">
        <f ca="1">+IF(A459=WORLDCUP!$BI$112,1,0)</f>
        <v>1</v>
      </c>
      <c r="C459" s="11" t="str">
        <f ca="1">+WORLDCUP!BD65</f>
        <v>España</v>
      </c>
      <c r="D459" s="11" t="str">
        <f ca="1">+WORLDCUP!BD64</f>
        <v>Bélgica</v>
      </c>
      <c r="E459" s="11" t="str">
        <f ca="1">+WORLDCUP!BD59</f>
        <v>Bosnia y Herzegovina</v>
      </c>
      <c r="F459" s="11" t="str">
        <f ca="1">+WORLDCUP!BD60</f>
        <v>Escocia</v>
      </c>
      <c r="G459" s="11" t="str">
        <f ca="1">+WORLDCUP!BD58</f>
        <v>República Checa</v>
      </c>
      <c r="H459" s="11" t="str">
        <f ca="1">+WORLDCUP!BD63</f>
        <v>Japón</v>
      </c>
      <c r="I459" s="11" t="str">
        <f ca="1">+WORLDCUP!BD61</f>
        <v>Paraguay</v>
      </c>
      <c r="J459" s="11" t="str">
        <f ca="1">+WORLDCUP!BD68</f>
        <v>RD Congo</v>
      </c>
      <c r="N459" s="11" t="s">
        <v>788</v>
      </c>
      <c r="O459" s="11">
        <v>458</v>
      </c>
      <c r="P459" s="11" t="s">
        <v>436</v>
      </c>
      <c r="Q459" s="11" t="s">
        <v>435</v>
      </c>
      <c r="R459" s="11" t="s">
        <v>90</v>
      </c>
      <c r="S459" s="11" t="s">
        <v>91</v>
      </c>
      <c r="T459" s="11" t="s">
        <v>89</v>
      </c>
      <c r="U459" s="11" t="s">
        <v>94</v>
      </c>
      <c r="V459" s="11" t="s">
        <v>92</v>
      </c>
      <c r="W459" s="11" t="s">
        <v>442</v>
      </c>
    </row>
    <row r="460" spans="1:23">
      <c r="A460" s="11" t="s">
        <v>787</v>
      </c>
      <c r="B460" s="11">
        <f ca="1">+IF(A460=WORLDCUP!$BI$112,1,0)</f>
        <v>0</v>
      </c>
      <c r="C460" s="11" t="str">
        <f ca="1">+WORLDCUP!BD65</f>
        <v>España</v>
      </c>
      <c r="D460" s="11" t="str">
        <f ca="1">+WORLDCUP!BD64</f>
        <v>Bélgica</v>
      </c>
      <c r="E460" s="11" t="str">
        <f ca="1">+WORLDCUP!BD59</f>
        <v>Bosnia y Herzegovina</v>
      </c>
      <c r="F460" s="11" t="str">
        <f ca="1">+WORLDCUP!BD60</f>
        <v>Escocia</v>
      </c>
      <c r="G460" s="11" t="str">
        <f ca="1">+WORLDCUP!BD58</f>
        <v>República Checa</v>
      </c>
      <c r="H460" s="11" t="str">
        <f ca="1">+WORLDCUP!BD63</f>
        <v>Japón</v>
      </c>
      <c r="I460" s="11" t="str">
        <f ca="1">+WORLDCUP!BD61</f>
        <v>Paraguay</v>
      </c>
      <c r="J460" s="11" t="str">
        <f ca="1">+WORLDCUP!BD67</f>
        <v>Jordania</v>
      </c>
      <c r="N460" s="11" t="s">
        <v>787</v>
      </c>
      <c r="O460" s="11">
        <v>459</v>
      </c>
      <c r="P460" s="11" t="s">
        <v>436</v>
      </c>
      <c r="Q460" s="11" t="s">
        <v>435</v>
      </c>
      <c r="R460" s="11" t="s">
        <v>90</v>
      </c>
      <c r="S460" s="11" t="s">
        <v>91</v>
      </c>
      <c r="T460" s="11" t="s">
        <v>89</v>
      </c>
      <c r="U460" s="11" t="s">
        <v>94</v>
      </c>
      <c r="V460" s="11" t="s">
        <v>92</v>
      </c>
      <c r="W460" s="11" t="s">
        <v>441</v>
      </c>
    </row>
    <row r="461" spans="1:23">
      <c r="A461" s="11" t="s">
        <v>786</v>
      </c>
      <c r="B461" s="11">
        <f ca="1">+IF(A461=WORLDCUP!$BI$112,1,0)</f>
        <v>0</v>
      </c>
      <c r="C461" s="11" t="str">
        <f ca="1">+WORLDCUP!BD65</f>
        <v>España</v>
      </c>
      <c r="D461" s="11" t="str">
        <f ca="1">+WORLDCUP!BD64</f>
        <v>Bélgica</v>
      </c>
      <c r="E461" s="11" t="str">
        <f ca="1">+WORLDCUP!BD59</f>
        <v>Bosnia y Herzegovina</v>
      </c>
      <c r="F461" s="11" t="str">
        <f ca="1">+WORLDCUP!BD60</f>
        <v>Escocia</v>
      </c>
      <c r="G461" s="11" t="str">
        <f ca="1">+WORLDCUP!BD58</f>
        <v>República Checa</v>
      </c>
      <c r="H461" s="11" t="str">
        <f ca="1">+WORLDCUP!BD63</f>
        <v>Japón</v>
      </c>
      <c r="I461" s="11" t="str">
        <f ca="1">+WORLDCUP!BD61</f>
        <v>Paraguay</v>
      </c>
      <c r="J461" s="11" t="str">
        <f ca="1">+WORLDCUP!BD66</f>
        <v>Senegal</v>
      </c>
      <c r="N461" s="11" t="s">
        <v>786</v>
      </c>
      <c r="O461" s="11">
        <v>460</v>
      </c>
      <c r="P461" s="11" t="s">
        <v>436</v>
      </c>
      <c r="Q461" s="11" t="s">
        <v>435</v>
      </c>
      <c r="R461" s="11" t="s">
        <v>90</v>
      </c>
      <c r="S461" s="11" t="s">
        <v>91</v>
      </c>
      <c r="T461" s="11" t="s">
        <v>89</v>
      </c>
      <c r="U461" s="11" t="s">
        <v>94</v>
      </c>
      <c r="V461" s="11" t="s">
        <v>92</v>
      </c>
      <c r="W461" s="11" t="s">
        <v>440</v>
      </c>
    </row>
    <row r="462" spans="1:23">
      <c r="A462" s="11" t="s">
        <v>785</v>
      </c>
      <c r="B462" s="11">
        <f ca="1">+IF(A462=WORLDCUP!$BI$112,1,0)</f>
        <v>0</v>
      </c>
      <c r="C462" s="11" t="str">
        <f ca="1">+WORLDCUP!BD62</f>
        <v>Ecuador</v>
      </c>
      <c r="D462" s="11" t="str">
        <f ca="1">+WORLDCUP!BD67</f>
        <v>Jordania</v>
      </c>
      <c r="E462" s="11" t="str">
        <f ca="1">+WORLDCUP!BD59</f>
        <v>Bosnia y Herzegovina</v>
      </c>
      <c r="F462" s="11" t="str">
        <f ca="1">+WORLDCUP!BD60</f>
        <v>Escocia</v>
      </c>
      <c r="G462" s="11" t="str">
        <f ca="1">+WORLDCUP!BD58</f>
        <v>República Checa</v>
      </c>
      <c r="H462" s="11" t="str">
        <f ca="1">+WORLDCUP!BD61</f>
        <v>Paraguay</v>
      </c>
      <c r="I462" s="11" t="str">
        <f ca="1">+WORLDCUP!BD69</f>
        <v>Panamá</v>
      </c>
      <c r="J462" s="11" t="str">
        <f ca="1">+WORLDCUP!BD68</f>
        <v>RD Congo</v>
      </c>
      <c r="N462" s="11" t="s">
        <v>785</v>
      </c>
      <c r="O462" s="11">
        <v>461</v>
      </c>
      <c r="P462" s="11" t="s">
        <v>93</v>
      </c>
      <c r="Q462" s="11" t="s">
        <v>441</v>
      </c>
      <c r="R462" s="11" t="s">
        <v>90</v>
      </c>
      <c r="S462" s="11" t="s">
        <v>91</v>
      </c>
      <c r="T462" s="11" t="s">
        <v>89</v>
      </c>
      <c r="U462" s="11" t="s">
        <v>92</v>
      </c>
      <c r="V462" s="11" t="s">
        <v>443</v>
      </c>
      <c r="W462" s="11" t="s">
        <v>442</v>
      </c>
    </row>
    <row r="463" spans="1:23">
      <c r="A463" s="11" t="s">
        <v>784</v>
      </c>
      <c r="B463" s="11">
        <f ca="1">+IF(A463=WORLDCUP!$BI$112,1,0)</f>
        <v>0</v>
      </c>
      <c r="C463" s="11" t="str">
        <f ca="1">+WORLDCUP!BD62</f>
        <v>Ecuador</v>
      </c>
      <c r="D463" s="11" t="str">
        <f ca="1">+WORLDCUP!BD66</f>
        <v>Senegal</v>
      </c>
      <c r="E463" s="11" t="str">
        <f ca="1">+WORLDCUP!BD59</f>
        <v>Bosnia y Herzegovina</v>
      </c>
      <c r="F463" s="11" t="str">
        <f ca="1">+WORLDCUP!BD60</f>
        <v>Escocia</v>
      </c>
      <c r="G463" s="11" t="str">
        <f ca="1">+WORLDCUP!BD58</f>
        <v>República Checa</v>
      </c>
      <c r="H463" s="11" t="str">
        <f ca="1">+WORLDCUP!BD61</f>
        <v>Paraguay</v>
      </c>
      <c r="I463" s="11" t="str">
        <f ca="1">+WORLDCUP!BD69</f>
        <v>Panamá</v>
      </c>
      <c r="J463" s="11" t="str">
        <f ca="1">+WORLDCUP!BD68</f>
        <v>RD Congo</v>
      </c>
      <c r="N463" s="11" t="s">
        <v>784</v>
      </c>
      <c r="O463" s="11">
        <v>462</v>
      </c>
      <c r="P463" s="11" t="s">
        <v>93</v>
      </c>
      <c r="Q463" s="11" t="s">
        <v>440</v>
      </c>
      <c r="R463" s="11" t="s">
        <v>90</v>
      </c>
      <c r="S463" s="11" t="s">
        <v>91</v>
      </c>
      <c r="T463" s="11" t="s">
        <v>89</v>
      </c>
      <c r="U463" s="11" t="s">
        <v>92</v>
      </c>
      <c r="V463" s="11" t="s">
        <v>443</v>
      </c>
      <c r="W463" s="11" t="s">
        <v>442</v>
      </c>
    </row>
    <row r="464" spans="1:23">
      <c r="A464" s="11" t="s">
        <v>783</v>
      </c>
      <c r="B464" s="11">
        <f ca="1">+IF(A464=WORLDCUP!$BI$112,1,0)</f>
        <v>0</v>
      </c>
      <c r="C464" s="11" t="str">
        <f ca="1">+WORLDCUP!BD62</f>
        <v>Ecuador</v>
      </c>
      <c r="D464" s="11" t="str">
        <f ca="1">+WORLDCUP!BD67</f>
        <v>Jordania</v>
      </c>
      <c r="E464" s="11" t="str">
        <f ca="1">+WORLDCUP!BD59</f>
        <v>Bosnia y Herzegovina</v>
      </c>
      <c r="F464" s="11" t="str">
        <f ca="1">+WORLDCUP!BD60</f>
        <v>Escocia</v>
      </c>
      <c r="G464" s="11" t="str">
        <f ca="1">+WORLDCUP!BD58</f>
        <v>República Checa</v>
      </c>
      <c r="H464" s="11" t="str">
        <f ca="1">+WORLDCUP!BD61</f>
        <v>Paraguay</v>
      </c>
      <c r="I464" s="11" t="str">
        <f ca="1">+WORLDCUP!BD69</f>
        <v>Panamá</v>
      </c>
      <c r="J464" s="11" t="str">
        <f ca="1">+WORLDCUP!BD66</f>
        <v>Senegal</v>
      </c>
      <c r="N464" s="11" t="s">
        <v>783</v>
      </c>
      <c r="O464" s="11">
        <v>463</v>
      </c>
      <c r="P464" s="11" t="s">
        <v>93</v>
      </c>
      <c r="Q464" s="11" t="s">
        <v>441</v>
      </c>
      <c r="R464" s="11" t="s">
        <v>90</v>
      </c>
      <c r="S464" s="11" t="s">
        <v>91</v>
      </c>
      <c r="T464" s="11" t="s">
        <v>89</v>
      </c>
      <c r="U464" s="11" t="s">
        <v>92</v>
      </c>
      <c r="V464" s="11" t="s">
        <v>443</v>
      </c>
      <c r="W464" s="11" t="s">
        <v>440</v>
      </c>
    </row>
    <row r="465" spans="1:23">
      <c r="A465" s="11" t="s">
        <v>782</v>
      </c>
      <c r="B465" s="11">
        <f ca="1">+IF(A465=WORLDCUP!$BI$112,1,0)</f>
        <v>0</v>
      </c>
      <c r="C465" s="11" t="str">
        <f ca="1">+WORLDCUP!BD62</f>
        <v>Ecuador</v>
      </c>
      <c r="D465" s="11" t="str">
        <f ca="1">+WORLDCUP!BD67</f>
        <v>Jordania</v>
      </c>
      <c r="E465" s="11" t="str">
        <f ca="1">+WORLDCUP!BD59</f>
        <v>Bosnia y Herzegovina</v>
      </c>
      <c r="F465" s="11" t="str">
        <f ca="1">+WORLDCUP!BD60</f>
        <v>Escocia</v>
      </c>
      <c r="G465" s="11" t="str">
        <f ca="1">+WORLDCUP!BD58</f>
        <v>República Checa</v>
      </c>
      <c r="H465" s="11" t="str">
        <f ca="1">+WORLDCUP!BD61</f>
        <v>Paraguay</v>
      </c>
      <c r="I465" s="11" t="str">
        <f ca="1">+WORLDCUP!BD66</f>
        <v>Senegal</v>
      </c>
      <c r="J465" s="11" t="str">
        <f ca="1">+WORLDCUP!BD68</f>
        <v>RD Congo</v>
      </c>
      <c r="N465" s="11" t="s">
        <v>782</v>
      </c>
      <c r="O465" s="11">
        <v>464</v>
      </c>
      <c r="P465" s="11" t="s">
        <v>93</v>
      </c>
      <c r="Q465" s="11" t="s">
        <v>441</v>
      </c>
      <c r="R465" s="11" t="s">
        <v>90</v>
      </c>
      <c r="S465" s="11" t="s">
        <v>91</v>
      </c>
      <c r="T465" s="11" t="s">
        <v>89</v>
      </c>
      <c r="U465" s="11" t="s">
        <v>92</v>
      </c>
      <c r="V465" s="11" t="s">
        <v>440</v>
      </c>
      <c r="W465" s="11" t="s">
        <v>442</v>
      </c>
    </row>
    <row r="466" spans="1:23">
      <c r="A466" s="11" t="s">
        <v>781</v>
      </c>
      <c r="B466" s="11">
        <f ca="1">+IF(A466=WORLDCUP!$BI$112,1,0)</f>
        <v>0</v>
      </c>
      <c r="C466" s="11" t="str">
        <f ca="1">+WORLDCUP!BD65</f>
        <v>España</v>
      </c>
      <c r="D466" s="11" t="str">
        <f ca="1">+WORLDCUP!BD62</f>
        <v>Ecuador</v>
      </c>
      <c r="E466" s="11" t="str">
        <f ca="1">+WORLDCUP!BD59</f>
        <v>Bosnia y Herzegovina</v>
      </c>
      <c r="F466" s="11" t="str">
        <f ca="1">+WORLDCUP!BD60</f>
        <v>Escocia</v>
      </c>
      <c r="G466" s="11" t="str">
        <f ca="1">+WORLDCUP!BD58</f>
        <v>República Checa</v>
      </c>
      <c r="H466" s="11" t="str">
        <f ca="1">+WORLDCUP!BD61</f>
        <v>Paraguay</v>
      </c>
      <c r="I466" s="11" t="str">
        <f ca="1">+WORLDCUP!BD69</f>
        <v>Panamá</v>
      </c>
      <c r="J466" s="11" t="str">
        <f ca="1">+WORLDCUP!BD68</f>
        <v>RD Congo</v>
      </c>
      <c r="N466" s="11" t="s">
        <v>781</v>
      </c>
      <c r="O466" s="11">
        <v>465</v>
      </c>
      <c r="P466" s="11" t="s">
        <v>436</v>
      </c>
      <c r="Q466" s="11" t="s">
        <v>93</v>
      </c>
      <c r="R466" s="11" t="s">
        <v>90</v>
      </c>
      <c r="S466" s="11" t="s">
        <v>91</v>
      </c>
      <c r="T466" s="11" t="s">
        <v>89</v>
      </c>
      <c r="U466" s="11" t="s">
        <v>92</v>
      </c>
      <c r="V466" s="11" t="s">
        <v>443</v>
      </c>
      <c r="W466" s="11" t="s">
        <v>442</v>
      </c>
    </row>
    <row r="467" spans="1:23">
      <c r="A467" s="11" t="s">
        <v>780</v>
      </c>
      <c r="B467" s="11">
        <f ca="1">+IF(A467=WORLDCUP!$BI$112,1,0)</f>
        <v>0</v>
      </c>
      <c r="C467" s="11" t="str">
        <f ca="1">+WORLDCUP!BD65</f>
        <v>España</v>
      </c>
      <c r="D467" s="11" t="str">
        <f ca="1">+WORLDCUP!BD67</f>
        <v>Jordania</v>
      </c>
      <c r="E467" s="11" t="str">
        <f ca="1">+WORLDCUP!BD59</f>
        <v>Bosnia y Herzegovina</v>
      </c>
      <c r="F467" s="11" t="str">
        <f ca="1">+WORLDCUP!BD60</f>
        <v>Escocia</v>
      </c>
      <c r="G467" s="11" t="str">
        <f ca="1">+WORLDCUP!BD58</f>
        <v>República Checa</v>
      </c>
      <c r="H467" s="11" t="str">
        <f ca="1">+WORLDCUP!BD61</f>
        <v>Paraguay</v>
      </c>
      <c r="I467" s="11" t="str">
        <f ca="1">+WORLDCUP!BD69</f>
        <v>Panamá</v>
      </c>
      <c r="J467" s="11" t="str">
        <f ca="1">+WORLDCUP!BD62</f>
        <v>Ecuador</v>
      </c>
      <c r="N467" s="11" t="s">
        <v>780</v>
      </c>
      <c r="O467" s="11">
        <v>466</v>
      </c>
      <c r="P467" s="11" t="s">
        <v>436</v>
      </c>
      <c r="Q467" s="11" t="s">
        <v>441</v>
      </c>
      <c r="R467" s="11" t="s">
        <v>90</v>
      </c>
      <c r="S467" s="11" t="s">
        <v>91</v>
      </c>
      <c r="T467" s="11" t="s">
        <v>89</v>
      </c>
      <c r="U467" s="11" t="s">
        <v>92</v>
      </c>
      <c r="V467" s="11" t="s">
        <v>443</v>
      </c>
      <c r="W467" s="11" t="s">
        <v>93</v>
      </c>
    </row>
    <row r="468" spans="1:23">
      <c r="A468" s="11" t="s">
        <v>779</v>
      </c>
      <c r="B468" s="11">
        <f ca="1">+IF(A468=WORLDCUP!$BI$112,1,0)</f>
        <v>0</v>
      </c>
      <c r="C468" s="11" t="str">
        <f ca="1">+WORLDCUP!BD65</f>
        <v>España</v>
      </c>
      <c r="D468" s="11" t="str">
        <f ca="1">+WORLDCUP!BD67</f>
        <v>Jordania</v>
      </c>
      <c r="E468" s="11" t="str">
        <f ca="1">+WORLDCUP!BD59</f>
        <v>Bosnia y Herzegovina</v>
      </c>
      <c r="F468" s="11" t="str">
        <f ca="1">+WORLDCUP!BD60</f>
        <v>Escocia</v>
      </c>
      <c r="G468" s="11" t="str">
        <f ca="1">+WORLDCUP!BD58</f>
        <v>República Checa</v>
      </c>
      <c r="H468" s="11" t="str">
        <f ca="1">+WORLDCUP!BD61</f>
        <v>Paraguay</v>
      </c>
      <c r="I468" s="11" t="str">
        <f ca="1">+WORLDCUP!BD62</f>
        <v>Ecuador</v>
      </c>
      <c r="J468" s="11" t="str">
        <f ca="1">+WORLDCUP!BD68</f>
        <v>RD Congo</v>
      </c>
      <c r="N468" s="11" t="s">
        <v>779</v>
      </c>
      <c r="O468" s="11">
        <v>467</v>
      </c>
      <c r="P468" s="11" t="s">
        <v>436</v>
      </c>
      <c r="Q468" s="11" t="s">
        <v>441</v>
      </c>
      <c r="R468" s="11" t="s">
        <v>90</v>
      </c>
      <c r="S468" s="11" t="s">
        <v>91</v>
      </c>
      <c r="T468" s="11" t="s">
        <v>89</v>
      </c>
      <c r="U468" s="11" t="s">
        <v>92</v>
      </c>
      <c r="V468" s="11" t="s">
        <v>93</v>
      </c>
      <c r="W468" s="11" t="s">
        <v>442</v>
      </c>
    </row>
    <row r="469" spans="1:23">
      <c r="A469" s="11" t="s">
        <v>778</v>
      </c>
      <c r="B469" s="11">
        <f ca="1">+IF(A469=WORLDCUP!$BI$112,1,0)</f>
        <v>0</v>
      </c>
      <c r="C469" s="11" t="str">
        <f ca="1">+WORLDCUP!BD65</f>
        <v>España</v>
      </c>
      <c r="D469" s="11" t="str">
        <f ca="1">+WORLDCUP!BD62</f>
        <v>Ecuador</v>
      </c>
      <c r="E469" s="11" t="str">
        <f ca="1">+WORLDCUP!BD59</f>
        <v>Bosnia y Herzegovina</v>
      </c>
      <c r="F469" s="11" t="str">
        <f ca="1">+WORLDCUP!BD60</f>
        <v>Escocia</v>
      </c>
      <c r="G469" s="11" t="str">
        <f ca="1">+WORLDCUP!BD58</f>
        <v>República Checa</v>
      </c>
      <c r="H469" s="11" t="str">
        <f ca="1">+WORLDCUP!BD61</f>
        <v>Paraguay</v>
      </c>
      <c r="I469" s="11" t="str">
        <f ca="1">+WORLDCUP!BD69</f>
        <v>Panamá</v>
      </c>
      <c r="J469" s="11" t="str">
        <f ca="1">+WORLDCUP!BD66</f>
        <v>Senegal</v>
      </c>
      <c r="N469" s="11" t="s">
        <v>778</v>
      </c>
      <c r="O469" s="11">
        <v>468</v>
      </c>
      <c r="P469" s="11" t="s">
        <v>436</v>
      </c>
      <c r="Q469" s="11" t="s">
        <v>93</v>
      </c>
      <c r="R469" s="11" t="s">
        <v>90</v>
      </c>
      <c r="S469" s="11" t="s">
        <v>91</v>
      </c>
      <c r="T469" s="11" t="s">
        <v>89</v>
      </c>
      <c r="U469" s="11" t="s">
        <v>92</v>
      </c>
      <c r="V469" s="11" t="s">
        <v>443</v>
      </c>
      <c r="W469" s="11" t="s">
        <v>440</v>
      </c>
    </row>
    <row r="470" spans="1:23">
      <c r="A470" s="11" t="s">
        <v>777</v>
      </c>
      <c r="B470" s="11">
        <f ca="1">+IF(A470=WORLDCUP!$BI$112,1,0)</f>
        <v>0</v>
      </c>
      <c r="C470" s="11" t="str">
        <f ca="1">+WORLDCUP!BD65</f>
        <v>España</v>
      </c>
      <c r="D470" s="11" t="str">
        <f ca="1">+WORLDCUP!BD62</f>
        <v>Ecuador</v>
      </c>
      <c r="E470" s="11" t="str">
        <f ca="1">+WORLDCUP!BD59</f>
        <v>Bosnia y Herzegovina</v>
      </c>
      <c r="F470" s="11" t="str">
        <f ca="1">+WORLDCUP!BD60</f>
        <v>Escocia</v>
      </c>
      <c r="G470" s="11" t="str">
        <f ca="1">+WORLDCUP!BD58</f>
        <v>República Checa</v>
      </c>
      <c r="H470" s="11" t="str">
        <f ca="1">+WORLDCUP!BD61</f>
        <v>Paraguay</v>
      </c>
      <c r="I470" s="11" t="str">
        <f ca="1">+WORLDCUP!BD66</f>
        <v>Senegal</v>
      </c>
      <c r="J470" s="11" t="str">
        <f ca="1">+WORLDCUP!BD68</f>
        <v>RD Congo</v>
      </c>
      <c r="N470" s="11" t="s">
        <v>777</v>
      </c>
      <c r="O470" s="11">
        <v>469</v>
      </c>
      <c r="P470" s="11" t="s">
        <v>436</v>
      </c>
      <c r="Q470" s="11" t="s">
        <v>93</v>
      </c>
      <c r="R470" s="11" t="s">
        <v>90</v>
      </c>
      <c r="S470" s="11" t="s">
        <v>91</v>
      </c>
      <c r="T470" s="11" t="s">
        <v>89</v>
      </c>
      <c r="U470" s="11" t="s">
        <v>92</v>
      </c>
      <c r="V470" s="11" t="s">
        <v>440</v>
      </c>
      <c r="W470" s="11" t="s">
        <v>442</v>
      </c>
    </row>
    <row r="471" spans="1:23">
      <c r="A471" s="11" t="s">
        <v>776</v>
      </c>
      <c r="B471" s="11">
        <f ca="1">+IF(A471=WORLDCUP!$BI$112,1,0)</f>
        <v>0</v>
      </c>
      <c r="C471" s="11" t="str">
        <f ca="1">+WORLDCUP!BD65</f>
        <v>España</v>
      </c>
      <c r="D471" s="11" t="str">
        <f ca="1">+WORLDCUP!BD67</f>
        <v>Jordania</v>
      </c>
      <c r="E471" s="11" t="str">
        <f ca="1">+WORLDCUP!BD59</f>
        <v>Bosnia y Herzegovina</v>
      </c>
      <c r="F471" s="11" t="str">
        <f ca="1">+WORLDCUP!BD60</f>
        <v>Escocia</v>
      </c>
      <c r="G471" s="11" t="str">
        <f ca="1">+WORLDCUP!BD58</f>
        <v>República Checa</v>
      </c>
      <c r="H471" s="11" t="str">
        <f ca="1">+WORLDCUP!BD61</f>
        <v>Paraguay</v>
      </c>
      <c r="I471" s="11" t="str">
        <f ca="1">+WORLDCUP!BD62</f>
        <v>Ecuador</v>
      </c>
      <c r="J471" s="11" t="str">
        <f ca="1">+WORLDCUP!BD66</f>
        <v>Senegal</v>
      </c>
      <c r="N471" s="11" t="s">
        <v>776</v>
      </c>
      <c r="O471" s="11">
        <v>470</v>
      </c>
      <c r="P471" s="11" t="s">
        <v>436</v>
      </c>
      <c r="Q471" s="11" t="s">
        <v>441</v>
      </c>
      <c r="R471" s="11" t="s">
        <v>90</v>
      </c>
      <c r="S471" s="11" t="s">
        <v>91</v>
      </c>
      <c r="T471" s="11" t="s">
        <v>89</v>
      </c>
      <c r="U471" s="11" t="s">
        <v>92</v>
      </c>
      <c r="V471" s="11" t="s">
        <v>93</v>
      </c>
      <c r="W471" s="11" t="s">
        <v>440</v>
      </c>
    </row>
    <row r="472" spans="1:23">
      <c r="A472" s="11" t="s">
        <v>775</v>
      </c>
      <c r="B472" s="11">
        <f ca="1">+IF(A472=WORLDCUP!$BI$112,1,0)</f>
        <v>0</v>
      </c>
      <c r="C472" s="11" t="str">
        <f ca="1">+WORLDCUP!BD62</f>
        <v>Ecuador</v>
      </c>
      <c r="D472" s="11" t="str">
        <f ca="1">+WORLDCUP!BD64</f>
        <v>Bélgica</v>
      </c>
      <c r="E472" s="11" t="str">
        <f ca="1">+WORLDCUP!BD59</f>
        <v>Bosnia y Herzegovina</v>
      </c>
      <c r="F472" s="11" t="str">
        <f ca="1">+WORLDCUP!BD60</f>
        <v>Escocia</v>
      </c>
      <c r="G472" s="11" t="str">
        <f ca="1">+WORLDCUP!BD58</f>
        <v>República Checa</v>
      </c>
      <c r="H472" s="11" t="str">
        <f ca="1">+WORLDCUP!BD61</f>
        <v>Paraguay</v>
      </c>
      <c r="I472" s="11" t="str">
        <f ca="1">+WORLDCUP!BD69</f>
        <v>Panamá</v>
      </c>
      <c r="J472" s="11" t="str">
        <f ca="1">+WORLDCUP!BD68</f>
        <v>RD Congo</v>
      </c>
      <c r="N472" s="11" t="s">
        <v>775</v>
      </c>
      <c r="O472" s="11">
        <v>471</v>
      </c>
      <c r="P472" s="11" t="s">
        <v>93</v>
      </c>
      <c r="Q472" s="11" t="s">
        <v>435</v>
      </c>
      <c r="R472" s="11" t="s">
        <v>90</v>
      </c>
      <c r="S472" s="11" t="s">
        <v>91</v>
      </c>
      <c r="T472" s="11" t="s">
        <v>89</v>
      </c>
      <c r="U472" s="11" t="s">
        <v>92</v>
      </c>
      <c r="V472" s="11" t="s">
        <v>443</v>
      </c>
      <c r="W472" s="11" t="s">
        <v>442</v>
      </c>
    </row>
    <row r="473" spans="1:23">
      <c r="A473" s="11" t="s">
        <v>774</v>
      </c>
      <c r="B473" s="11">
        <f ca="1">+IF(A473=WORLDCUP!$BI$112,1,0)</f>
        <v>0</v>
      </c>
      <c r="C473" s="11" t="str">
        <f ca="1">+WORLDCUP!BD62</f>
        <v>Ecuador</v>
      </c>
      <c r="D473" s="11" t="str">
        <f ca="1">+WORLDCUP!BD64</f>
        <v>Bélgica</v>
      </c>
      <c r="E473" s="11" t="str">
        <f ca="1">+WORLDCUP!BD59</f>
        <v>Bosnia y Herzegovina</v>
      </c>
      <c r="F473" s="11" t="str">
        <f ca="1">+WORLDCUP!BD60</f>
        <v>Escocia</v>
      </c>
      <c r="G473" s="11" t="str">
        <f ca="1">+WORLDCUP!BD58</f>
        <v>República Checa</v>
      </c>
      <c r="H473" s="11" t="str">
        <f ca="1">+WORLDCUP!BD61</f>
        <v>Paraguay</v>
      </c>
      <c r="I473" s="11" t="str">
        <f ca="1">+WORLDCUP!BD69</f>
        <v>Panamá</v>
      </c>
      <c r="J473" s="11" t="str">
        <f ca="1">+WORLDCUP!BD67</f>
        <v>Jordania</v>
      </c>
      <c r="N473" s="11" t="s">
        <v>774</v>
      </c>
      <c r="O473" s="11">
        <v>472</v>
      </c>
      <c r="P473" s="11" t="s">
        <v>93</v>
      </c>
      <c r="Q473" s="11" t="s">
        <v>435</v>
      </c>
      <c r="R473" s="11" t="s">
        <v>90</v>
      </c>
      <c r="S473" s="11" t="s">
        <v>91</v>
      </c>
      <c r="T473" s="11" t="s">
        <v>89</v>
      </c>
      <c r="U473" s="11" t="s">
        <v>92</v>
      </c>
      <c r="V473" s="11" t="s">
        <v>443</v>
      </c>
      <c r="W473" s="11" t="s">
        <v>441</v>
      </c>
    </row>
    <row r="474" spans="1:23">
      <c r="A474" s="11" t="s">
        <v>773</v>
      </c>
      <c r="B474" s="11">
        <f ca="1">+IF(A474=WORLDCUP!$BI$112,1,0)</f>
        <v>0</v>
      </c>
      <c r="C474" s="11" t="str">
        <f ca="1">+WORLDCUP!BD62</f>
        <v>Ecuador</v>
      </c>
      <c r="D474" s="11" t="str">
        <f ca="1">+WORLDCUP!BD64</f>
        <v>Bélgica</v>
      </c>
      <c r="E474" s="11" t="str">
        <f ca="1">+WORLDCUP!BD59</f>
        <v>Bosnia y Herzegovina</v>
      </c>
      <c r="F474" s="11" t="str">
        <f ca="1">+WORLDCUP!BD60</f>
        <v>Escocia</v>
      </c>
      <c r="G474" s="11" t="str">
        <f ca="1">+WORLDCUP!BD58</f>
        <v>República Checa</v>
      </c>
      <c r="H474" s="11" t="str">
        <f ca="1">+WORLDCUP!BD61</f>
        <v>Paraguay</v>
      </c>
      <c r="I474" s="11" t="str">
        <f ca="1">+WORLDCUP!BD67</f>
        <v>Jordania</v>
      </c>
      <c r="J474" s="11" t="str">
        <f ca="1">+WORLDCUP!BD68</f>
        <v>RD Congo</v>
      </c>
      <c r="N474" s="11" t="s">
        <v>773</v>
      </c>
      <c r="O474" s="11">
        <v>473</v>
      </c>
      <c r="P474" s="11" t="s">
        <v>93</v>
      </c>
      <c r="Q474" s="11" t="s">
        <v>435</v>
      </c>
      <c r="R474" s="11" t="s">
        <v>90</v>
      </c>
      <c r="S474" s="11" t="s">
        <v>91</v>
      </c>
      <c r="T474" s="11" t="s">
        <v>89</v>
      </c>
      <c r="U474" s="11" t="s">
        <v>92</v>
      </c>
      <c r="V474" s="11" t="s">
        <v>441</v>
      </c>
      <c r="W474" s="11" t="s">
        <v>442</v>
      </c>
    </row>
    <row r="475" spans="1:23">
      <c r="A475" s="11" t="s">
        <v>772</v>
      </c>
      <c r="B475" s="11">
        <f ca="1">+IF(A475=WORLDCUP!$BI$112,1,0)</f>
        <v>0</v>
      </c>
      <c r="C475" s="11" t="str">
        <f ca="1">+WORLDCUP!BD62</f>
        <v>Ecuador</v>
      </c>
      <c r="D475" s="11" t="str">
        <f ca="1">+WORLDCUP!BD64</f>
        <v>Bélgica</v>
      </c>
      <c r="E475" s="11" t="str">
        <f ca="1">+WORLDCUP!BD59</f>
        <v>Bosnia y Herzegovina</v>
      </c>
      <c r="F475" s="11" t="str">
        <f ca="1">+WORLDCUP!BD60</f>
        <v>Escocia</v>
      </c>
      <c r="G475" s="11" t="str">
        <f ca="1">+WORLDCUP!BD58</f>
        <v>República Checa</v>
      </c>
      <c r="H475" s="11" t="str">
        <f ca="1">+WORLDCUP!BD61</f>
        <v>Paraguay</v>
      </c>
      <c r="I475" s="11" t="str">
        <f ca="1">+WORLDCUP!BD69</f>
        <v>Panamá</v>
      </c>
      <c r="J475" s="11" t="str">
        <f ca="1">+WORLDCUP!BD66</f>
        <v>Senegal</v>
      </c>
      <c r="N475" s="11" t="s">
        <v>772</v>
      </c>
      <c r="O475" s="11">
        <v>474</v>
      </c>
      <c r="P475" s="11" t="s">
        <v>93</v>
      </c>
      <c r="Q475" s="11" t="s">
        <v>435</v>
      </c>
      <c r="R475" s="11" t="s">
        <v>90</v>
      </c>
      <c r="S475" s="11" t="s">
        <v>91</v>
      </c>
      <c r="T475" s="11" t="s">
        <v>89</v>
      </c>
      <c r="U475" s="11" t="s">
        <v>92</v>
      </c>
      <c r="V475" s="11" t="s">
        <v>443</v>
      </c>
      <c r="W475" s="11" t="s">
        <v>440</v>
      </c>
    </row>
    <row r="476" spans="1:23">
      <c r="A476" s="11" t="s">
        <v>771</v>
      </c>
      <c r="B476" s="11">
        <f ca="1">+IF(A476=WORLDCUP!$BI$112,1,0)</f>
        <v>0</v>
      </c>
      <c r="C476" s="11" t="str">
        <f ca="1">+WORLDCUP!BD62</f>
        <v>Ecuador</v>
      </c>
      <c r="D476" s="11" t="str">
        <f ca="1">+WORLDCUP!BD64</f>
        <v>Bélgica</v>
      </c>
      <c r="E476" s="11" t="str">
        <f ca="1">+WORLDCUP!BD59</f>
        <v>Bosnia y Herzegovina</v>
      </c>
      <c r="F476" s="11" t="str">
        <f ca="1">+WORLDCUP!BD60</f>
        <v>Escocia</v>
      </c>
      <c r="G476" s="11" t="str">
        <f ca="1">+WORLDCUP!BD58</f>
        <v>República Checa</v>
      </c>
      <c r="H476" s="11" t="str">
        <f ca="1">+WORLDCUP!BD61</f>
        <v>Paraguay</v>
      </c>
      <c r="I476" s="11" t="str">
        <f ca="1">+WORLDCUP!BD66</f>
        <v>Senegal</v>
      </c>
      <c r="J476" s="11" t="str">
        <f ca="1">+WORLDCUP!BD68</f>
        <v>RD Congo</v>
      </c>
      <c r="N476" s="11" t="s">
        <v>771</v>
      </c>
      <c r="O476" s="11">
        <v>475</v>
      </c>
      <c r="P476" s="11" t="s">
        <v>93</v>
      </c>
      <c r="Q476" s="11" t="s">
        <v>435</v>
      </c>
      <c r="R476" s="11" t="s">
        <v>90</v>
      </c>
      <c r="S476" s="11" t="s">
        <v>91</v>
      </c>
      <c r="T476" s="11" t="s">
        <v>89</v>
      </c>
      <c r="U476" s="11" t="s">
        <v>92</v>
      </c>
      <c r="V476" s="11" t="s">
        <v>440</v>
      </c>
      <c r="W476" s="11" t="s">
        <v>442</v>
      </c>
    </row>
    <row r="477" spans="1:23">
      <c r="A477" s="11" t="s">
        <v>770</v>
      </c>
      <c r="B477" s="11">
        <f ca="1">+IF(A477=WORLDCUP!$BI$112,1,0)</f>
        <v>0</v>
      </c>
      <c r="C477" s="11" t="str">
        <f ca="1">+WORLDCUP!BD62</f>
        <v>Ecuador</v>
      </c>
      <c r="D477" s="11" t="str">
        <f ca="1">+WORLDCUP!BD64</f>
        <v>Bélgica</v>
      </c>
      <c r="E477" s="11" t="str">
        <f ca="1">+WORLDCUP!BD59</f>
        <v>Bosnia y Herzegovina</v>
      </c>
      <c r="F477" s="11" t="str">
        <f ca="1">+WORLDCUP!BD60</f>
        <v>Escocia</v>
      </c>
      <c r="G477" s="11" t="str">
        <f ca="1">+WORLDCUP!BD58</f>
        <v>República Checa</v>
      </c>
      <c r="H477" s="11" t="str">
        <f ca="1">+WORLDCUP!BD61</f>
        <v>Paraguay</v>
      </c>
      <c r="I477" s="11" t="str">
        <f ca="1">+WORLDCUP!BD66</f>
        <v>Senegal</v>
      </c>
      <c r="J477" s="11" t="str">
        <f ca="1">+WORLDCUP!BD67</f>
        <v>Jordania</v>
      </c>
      <c r="N477" s="11" t="s">
        <v>770</v>
      </c>
      <c r="O477" s="11">
        <v>476</v>
      </c>
      <c r="P477" s="11" t="s">
        <v>93</v>
      </c>
      <c r="Q477" s="11" t="s">
        <v>435</v>
      </c>
      <c r="R477" s="11" t="s">
        <v>90</v>
      </c>
      <c r="S477" s="11" t="s">
        <v>91</v>
      </c>
      <c r="T477" s="11" t="s">
        <v>89</v>
      </c>
      <c r="U477" s="11" t="s">
        <v>92</v>
      </c>
      <c r="V477" s="11" t="s">
        <v>440</v>
      </c>
      <c r="W477" s="11" t="s">
        <v>441</v>
      </c>
    </row>
    <row r="478" spans="1:23">
      <c r="A478" s="11" t="s">
        <v>769</v>
      </c>
      <c r="B478" s="11">
        <f ca="1">+IF(A478=WORLDCUP!$BI$112,1,0)</f>
        <v>0</v>
      </c>
      <c r="C478" s="11" t="str">
        <f ca="1">+WORLDCUP!BD65</f>
        <v>España</v>
      </c>
      <c r="D478" s="11" t="str">
        <f ca="1">+WORLDCUP!BD64</f>
        <v>Bélgica</v>
      </c>
      <c r="E478" s="11" t="str">
        <f ca="1">+WORLDCUP!BD59</f>
        <v>Bosnia y Herzegovina</v>
      </c>
      <c r="F478" s="11" t="str">
        <f ca="1">+WORLDCUP!BD60</f>
        <v>Escocia</v>
      </c>
      <c r="G478" s="11" t="str">
        <f ca="1">+WORLDCUP!BD58</f>
        <v>República Checa</v>
      </c>
      <c r="H478" s="11" t="str">
        <f ca="1">+WORLDCUP!BD61</f>
        <v>Paraguay</v>
      </c>
      <c r="I478" s="11" t="str">
        <f ca="1">+WORLDCUP!BD69</f>
        <v>Panamá</v>
      </c>
      <c r="J478" s="11" t="str">
        <f ca="1">+WORLDCUP!BD62</f>
        <v>Ecuador</v>
      </c>
      <c r="N478" s="11" t="s">
        <v>769</v>
      </c>
      <c r="O478" s="11">
        <v>477</v>
      </c>
      <c r="P478" s="11" t="s">
        <v>436</v>
      </c>
      <c r="Q478" s="11" t="s">
        <v>435</v>
      </c>
      <c r="R478" s="11" t="s">
        <v>90</v>
      </c>
      <c r="S478" s="11" t="s">
        <v>91</v>
      </c>
      <c r="T478" s="11" t="s">
        <v>89</v>
      </c>
      <c r="U478" s="11" t="s">
        <v>92</v>
      </c>
      <c r="V478" s="11" t="s">
        <v>443</v>
      </c>
      <c r="W478" s="11" t="s">
        <v>93</v>
      </c>
    </row>
    <row r="479" spans="1:23">
      <c r="A479" s="11" t="s">
        <v>768</v>
      </c>
      <c r="B479" s="11">
        <f ca="1">+IF(A479=WORLDCUP!$BI$112,1,0)</f>
        <v>0</v>
      </c>
      <c r="C479" s="11" t="str">
        <f ca="1">+WORLDCUP!BD65</f>
        <v>España</v>
      </c>
      <c r="D479" s="11" t="str">
        <f ca="1">+WORLDCUP!BD64</f>
        <v>Bélgica</v>
      </c>
      <c r="E479" s="11" t="str">
        <f ca="1">+WORLDCUP!BD59</f>
        <v>Bosnia y Herzegovina</v>
      </c>
      <c r="F479" s="11" t="str">
        <f ca="1">+WORLDCUP!BD60</f>
        <v>Escocia</v>
      </c>
      <c r="G479" s="11" t="str">
        <f ca="1">+WORLDCUP!BD58</f>
        <v>República Checa</v>
      </c>
      <c r="H479" s="11" t="str">
        <f ca="1">+WORLDCUP!BD61</f>
        <v>Paraguay</v>
      </c>
      <c r="I479" s="11" t="str">
        <f ca="1">+WORLDCUP!BD62</f>
        <v>Ecuador</v>
      </c>
      <c r="J479" s="11" t="str">
        <f ca="1">+WORLDCUP!BD68</f>
        <v>RD Congo</v>
      </c>
      <c r="N479" s="11" t="s">
        <v>768</v>
      </c>
      <c r="O479" s="11">
        <v>478</v>
      </c>
      <c r="P479" s="11" t="s">
        <v>436</v>
      </c>
      <c r="Q479" s="11" t="s">
        <v>435</v>
      </c>
      <c r="R479" s="11" t="s">
        <v>90</v>
      </c>
      <c r="S479" s="11" t="s">
        <v>91</v>
      </c>
      <c r="T479" s="11" t="s">
        <v>89</v>
      </c>
      <c r="U479" s="11" t="s">
        <v>92</v>
      </c>
      <c r="V479" s="11" t="s">
        <v>93</v>
      </c>
      <c r="W479" s="11" t="s">
        <v>442</v>
      </c>
    </row>
    <row r="480" spans="1:23">
      <c r="A480" s="11" t="s">
        <v>767</v>
      </c>
      <c r="B480" s="11">
        <f ca="1">+IF(A480=WORLDCUP!$BI$112,1,0)</f>
        <v>0</v>
      </c>
      <c r="C480" s="11" t="str">
        <f ca="1">+WORLDCUP!BD65</f>
        <v>España</v>
      </c>
      <c r="D480" s="11" t="str">
        <f ca="1">+WORLDCUP!BD64</f>
        <v>Bélgica</v>
      </c>
      <c r="E480" s="11" t="str">
        <f ca="1">+WORLDCUP!BD59</f>
        <v>Bosnia y Herzegovina</v>
      </c>
      <c r="F480" s="11" t="str">
        <f ca="1">+WORLDCUP!BD60</f>
        <v>Escocia</v>
      </c>
      <c r="G480" s="11" t="str">
        <f ca="1">+WORLDCUP!BD58</f>
        <v>República Checa</v>
      </c>
      <c r="H480" s="11" t="str">
        <f ca="1">+WORLDCUP!BD61</f>
        <v>Paraguay</v>
      </c>
      <c r="I480" s="11" t="str">
        <f ca="1">+WORLDCUP!BD62</f>
        <v>Ecuador</v>
      </c>
      <c r="J480" s="11" t="str">
        <f ca="1">+WORLDCUP!BD67</f>
        <v>Jordania</v>
      </c>
      <c r="N480" s="11" t="s">
        <v>767</v>
      </c>
      <c r="O480" s="11">
        <v>479</v>
      </c>
      <c r="P480" s="11" t="s">
        <v>436</v>
      </c>
      <c r="Q480" s="11" t="s">
        <v>435</v>
      </c>
      <c r="R480" s="11" t="s">
        <v>90</v>
      </c>
      <c r="S480" s="11" t="s">
        <v>91</v>
      </c>
      <c r="T480" s="11" t="s">
        <v>89</v>
      </c>
      <c r="U480" s="11" t="s">
        <v>92</v>
      </c>
      <c r="V480" s="11" t="s">
        <v>93</v>
      </c>
      <c r="W480" s="11" t="s">
        <v>441</v>
      </c>
    </row>
    <row r="481" spans="1:23">
      <c r="A481" s="11" t="s">
        <v>766</v>
      </c>
      <c r="B481" s="11">
        <f ca="1">+IF(A481=WORLDCUP!$BI$112,1,0)</f>
        <v>0</v>
      </c>
      <c r="C481" s="11" t="str">
        <f ca="1">+WORLDCUP!BD65</f>
        <v>España</v>
      </c>
      <c r="D481" s="11" t="str">
        <f ca="1">+WORLDCUP!BD64</f>
        <v>Bélgica</v>
      </c>
      <c r="E481" s="11" t="str">
        <f ca="1">+WORLDCUP!BD59</f>
        <v>Bosnia y Herzegovina</v>
      </c>
      <c r="F481" s="11" t="str">
        <f ca="1">+WORLDCUP!BD60</f>
        <v>Escocia</v>
      </c>
      <c r="G481" s="11" t="str">
        <f ca="1">+WORLDCUP!BD58</f>
        <v>República Checa</v>
      </c>
      <c r="H481" s="11" t="str">
        <f ca="1">+WORLDCUP!BD61</f>
        <v>Paraguay</v>
      </c>
      <c r="I481" s="11" t="str">
        <f ca="1">+WORLDCUP!BD62</f>
        <v>Ecuador</v>
      </c>
      <c r="J481" s="11" t="str">
        <f ca="1">+WORLDCUP!BD66</f>
        <v>Senegal</v>
      </c>
      <c r="N481" s="11" t="s">
        <v>766</v>
      </c>
      <c r="O481" s="11">
        <v>480</v>
      </c>
      <c r="P481" s="11" t="s">
        <v>436</v>
      </c>
      <c r="Q481" s="11" t="s">
        <v>435</v>
      </c>
      <c r="R481" s="11" t="s">
        <v>90</v>
      </c>
      <c r="S481" s="11" t="s">
        <v>91</v>
      </c>
      <c r="T481" s="11" t="s">
        <v>89</v>
      </c>
      <c r="U481" s="11" t="s">
        <v>92</v>
      </c>
      <c r="V481" s="11" t="s">
        <v>93</v>
      </c>
      <c r="W481" s="11" t="s">
        <v>440</v>
      </c>
    </row>
    <row r="482" spans="1:23">
      <c r="A482" s="11" t="s">
        <v>459</v>
      </c>
      <c r="B482" s="11">
        <f ca="1">+IF(A482=WORLDCUP!$BI$112,1,0)</f>
        <v>0</v>
      </c>
      <c r="C482" s="11" t="str">
        <f ca="1">+WORLDCUP!BD60</f>
        <v>Escocia</v>
      </c>
      <c r="D482" s="11" t="str">
        <f ca="1">+WORLDCUP!BD62</f>
        <v>Ecuador</v>
      </c>
      <c r="E482" s="11" t="str">
        <f ca="1">+WORLDCUP!BD59</f>
        <v>Bosnia y Herzegovina</v>
      </c>
      <c r="F482" s="11" t="str">
        <f ca="1">+WORLDCUP!BD61</f>
        <v>Paraguay</v>
      </c>
      <c r="G482" s="11" t="str">
        <f ca="1">+WORLDCUP!BD58</f>
        <v>República Checa</v>
      </c>
      <c r="H482" s="11" t="str">
        <f ca="1">+WORLDCUP!BD63</f>
        <v>Japón</v>
      </c>
      <c r="I482" s="11" t="str">
        <f ca="1">+WORLDCUP!BD69</f>
        <v>Panamá</v>
      </c>
      <c r="J482" s="11" t="str">
        <f ca="1">+WORLDCUP!BD68</f>
        <v>RD Congo</v>
      </c>
      <c r="N482" s="11" t="s">
        <v>459</v>
      </c>
      <c r="O482" s="11">
        <v>481</v>
      </c>
      <c r="P482" s="11" t="s">
        <v>91</v>
      </c>
      <c r="Q482" s="11" t="s">
        <v>93</v>
      </c>
      <c r="R482" s="11" t="s">
        <v>90</v>
      </c>
      <c r="S482" s="11" t="s">
        <v>92</v>
      </c>
      <c r="T482" s="11" t="s">
        <v>89</v>
      </c>
      <c r="U482" s="11" t="s">
        <v>94</v>
      </c>
      <c r="V482" s="11" t="s">
        <v>443</v>
      </c>
      <c r="W482" s="11" t="s">
        <v>442</v>
      </c>
    </row>
    <row r="483" spans="1:23">
      <c r="A483" s="11" t="s">
        <v>458</v>
      </c>
      <c r="B483" s="11">
        <f ca="1">+IF(A483=WORLDCUP!$BI$112,1,0)</f>
        <v>0</v>
      </c>
      <c r="C483" s="11" t="str">
        <f ca="1">+WORLDCUP!BD60</f>
        <v>Escocia</v>
      </c>
      <c r="D483" s="11" t="str">
        <f ca="1">+WORLDCUP!BD67</f>
        <v>Jordania</v>
      </c>
      <c r="E483" s="11" t="str">
        <f ca="1">+WORLDCUP!BD59</f>
        <v>Bosnia y Herzegovina</v>
      </c>
      <c r="F483" s="11" t="str">
        <f ca="1">+WORLDCUP!BD61</f>
        <v>Paraguay</v>
      </c>
      <c r="G483" s="11" t="str">
        <f ca="1">+WORLDCUP!BD58</f>
        <v>República Checa</v>
      </c>
      <c r="H483" s="11" t="str">
        <f ca="1">+WORLDCUP!BD63</f>
        <v>Japón</v>
      </c>
      <c r="I483" s="11" t="str">
        <f ca="1">+WORLDCUP!BD69</f>
        <v>Panamá</v>
      </c>
      <c r="J483" s="11" t="str">
        <f ca="1">+WORLDCUP!BD62</f>
        <v>Ecuador</v>
      </c>
      <c r="N483" s="11" t="s">
        <v>458</v>
      </c>
      <c r="O483" s="11">
        <v>482</v>
      </c>
      <c r="P483" s="11" t="s">
        <v>91</v>
      </c>
      <c r="Q483" s="11" t="s">
        <v>441</v>
      </c>
      <c r="R483" s="11" t="s">
        <v>90</v>
      </c>
      <c r="S483" s="11" t="s">
        <v>92</v>
      </c>
      <c r="T483" s="11" t="s">
        <v>89</v>
      </c>
      <c r="U483" s="11" t="s">
        <v>94</v>
      </c>
      <c r="V483" s="11" t="s">
        <v>443</v>
      </c>
      <c r="W483" s="11" t="s">
        <v>93</v>
      </c>
    </row>
    <row r="484" spans="1:23">
      <c r="A484" s="11" t="s">
        <v>457</v>
      </c>
      <c r="B484" s="11">
        <f ca="1">+IF(A484=WORLDCUP!$BI$112,1,0)</f>
        <v>0</v>
      </c>
      <c r="C484" s="11" t="str">
        <f ca="1">+WORLDCUP!BD60</f>
        <v>Escocia</v>
      </c>
      <c r="D484" s="11" t="str">
        <f ca="1">+WORLDCUP!BD67</f>
        <v>Jordania</v>
      </c>
      <c r="E484" s="11" t="str">
        <f ca="1">+WORLDCUP!BD59</f>
        <v>Bosnia y Herzegovina</v>
      </c>
      <c r="F484" s="11" t="str">
        <f ca="1">+WORLDCUP!BD61</f>
        <v>Paraguay</v>
      </c>
      <c r="G484" s="11" t="str">
        <f ca="1">+WORLDCUP!BD58</f>
        <v>República Checa</v>
      </c>
      <c r="H484" s="11" t="str">
        <f ca="1">+WORLDCUP!BD63</f>
        <v>Japón</v>
      </c>
      <c r="I484" s="11" t="str">
        <f ca="1">+WORLDCUP!BD62</f>
        <v>Ecuador</v>
      </c>
      <c r="J484" s="11" t="str">
        <f ca="1">+WORLDCUP!BD68</f>
        <v>RD Congo</v>
      </c>
      <c r="N484" s="11" t="s">
        <v>457</v>
      </c>
      <c r="O484" s="11">
        <v>483</v>
      </c>
      <c r="P484" s="11" t="s">
        <v>91</v>
      </c>
      <c r="Q484" s="11" t="s">
        <v>441</v>
      </c>
      <c r="R484" s="11" t="s">
        <v>90</v>
      </c>
      <c r="S484" s="11" t="s">
        <v>92</v>
      </c>
      <c r="T484" s="11" t="s">
        <v>89</v>
      </c>
      <c r="U484" s="11" t="s">
        <v>94</v>
      </c>
      <c r="V484" s="11" t="s">
        <v>93</v>
      </c>
      <c r="W484" s="11" t="s">
        <v>442</v>
      </c>
    </row>
    <row r="485" spans="1:23">
      <c r="A485" s="11" t="s">
        <v>456</v>
      </c>
      <c r="B485" s="11">
        <f ca="1">+IF(A485=WORLDCUP!$BI$112,1,0)</f>
        <v>0</v>
      </c>
      <c r="C485" s="11" t="str">
        <f ca="1">+WORLDCUP!BD60</f>
        <v>Escocia</v>
      </c>
      <c r="D485" s="11" t="str">
        <f ca="1">+WORLDCUP!BD62</f>
        <v>Ecuador</v>
      </c>
      <c r="E485" s="11" t="str">
        <f ca="1">+WORLDCUP!BD59</f>
        <v>Bosnia y Herzegovina</v>
      </c>
      <c r="F485" s="11" t="str">
        <f ca="1">+WORLDCUP!BD61</f>
        <v>Paraguay</v>
      </c>
      <c r="G485" s="11" t="str">
        <f ca="1">+WORLDCUP!BD58</f>
        <v>República Checa</v>
      </c>
      <c r="H485" s="11" t="str">
        <f ca="1">+WORLDCUP!BD63</f>
        <v>Japón</v>
      </c>
      <c r="I485" s="11" t="str">
        <f ca="1">+WORLDCUP!BD69</f>
        <v>Panamá</v>
      </c>
      <c r="J485" s="11" t="str">
        <f ca="1">+WORLDCUP!BD66</f>
        <v>Senegal</v>
      </c>
      <c r="N485" s="11" t="s">
        <v>456</v>
      </c>
      <c r="O485" s="11">
        <v>484</v>
      </c>
      <c r="P485" s="11" t="s">
        <v>91</v>
      </c>
      <c r="Q485" s="11" t="s">
        <v>93</v>
      </c>
      <c r="R485" s="11" t="s">
        <v>90</v>
      </c>
      <c r="S485" s="11" t="s">
        <v>92</v>
      </c>
      <c r="T485" s="11" t="s">
        <v>89</v>
      </c>
      <c r="U485" s="11" t="s">
        <v>94</v>
      </c>
      <c r="V485" s="11" t="s">
        <v>443</v>
      </c>
      <c r="W485" s="11" t="s">
        <v>440</v>
      </c>
    </row>
    <row r="486" spans="1:23">
      <c r="A486" s="11" t="s">
        <v>455</v>
      </c>
      <c r="B486" s="11">
        <f ca="1">+IF(A486=WORLDCUP!$BI$112,1,0)</f>
        <v>0</v>
      </c>
      <c r="C486" s="11" t="str">
        <f ca="1">+WORLDCUP!BD60</f>
        <v>Escocia</v>
      </c>
      <c r="D486" s="11" t="str">
        <f ca="1">+WORLDCUP!BD62</f>
        <v>Ecuador</v>
      </c>
      <c r="E486" s="11" t="str">
        <f ca="1">+WORLDCUP!BD59</f>
        <v>Bosnia y Herzegovina</v>
      </c>
      <c r="F486" s="11" t="str">
        <f ca="1">+WORLDCUP!BD61</f>
        <v>Paraguay</v>
      </c>
      <c r="G486" s="11" t="str">
        <f ca="1">+WORLDCUP!BD58</f>
        <v>República Checa</v>
      </c>
      <c r="H486" s="11" t="str">
        <f ca="1">+WORLDCUP!BD63</f>
        <v>Japón</v>
      </c>
      <c r="I486" s="11" t="str">
        <f ca="1">+WORLDCUP!BD66</f>
        <v>Senegal</v>
      </c>
      <c r="J486" s="11" t="str">
        <f ca="1">+WORLDCUP!BD68</f>
        <v>RD Congo</v>
      </c>
      <c r="N486" s="11" t="s">
        <v>455</v>
      </c>
      <c r="O486" s="11">
        <v>485</v>
      </c>
      <c r="P486" s="11" t="s">
        <v>91</v>
      </c>
      <c r="Q486" s="11" t="s">
        <v>93</v>
      </c>
      <c r="R486" s="11" t="s">
        <v>90</v>
      </c>
      <c r="S486" s="11" t="s">
        <v>92</v>
      </c>
      <c r="T486" s="11" t="s">
        <v>89</v>
      </c>
      <c r="U486" s="11" t="s">
        <v>94</v>
      </c>
      <c r="V486" s="11" t="s">
        <v>440</v>
      </c>
      <c r="W486" s="11" t="s">
        <v>442</v>
      </c>
    </row>
    <row r="487" spans="1:23">
      <c r="A487" s="11" t="s">
        <v>454</v>
      </c>
      <c r="B487" s="11">
        <f ca="1">+IF(A487=WORLDCUP!$BI$112,1,0)</f>
        <v>0</v>
      </c>
      <c r="C487" s="11" t="str">
        <f ca="1">+WORLDCUP!BD60</f>
        <v>Escocia</v>
      </c>
      <c r="D487" s="11" t="str">
        <f ca="1">+WORLDCUP!BD67</f>
        <v>Jordania</v>
      </c>
      <c r="E487" s="11" t="str">
        <f ca="1">+WORLDCUP!BD59</f>
        <v>Bosnia y Herzegovina</v>
      </c>
      <c r="F487" s="11" t="str">
        <f ca="1">+WORLDCUP!BD61</f>
        <v>Paraguay</v>
      </c>
      <c r="G487" s="11" t="str">
        <f ca="1">+WORLDCUP!BD58</f>
        <v>República Checa</v>
      </c>
      <c r="H487" s="11" t="str">
        <f ca="1">+WORLDCUP!BD63</f>
        <v>Japón</v>
      </c>
      <c r="I487" s="11" t="str">
        <f ca="1">+WORLDCUP!BD62</f>
        <v>Ecuador</v>
      </c>
      <c r="J487" s="11" t="str">
        <f ca="1">+WORLDCUP!BD66</f>
        <v>Senegal</v>
      </c>
      <c r="N487" s="11" t="s">
        <v>454</v>
      </c>
      <c r="O487" s="11">
        <v>486</v>
      </c>
      <c r="P487" s="11" t="s">
        <v>91</v>
      </c>
      <c r="Q487" s="11" t="s">
        <v>441</v>
      </c>
      <c r="R487" s="11" t="s">
        <v>90</v>
      </c>
      <c r="S487" s="11" t="s">
        <v>92</v>
      </c>
      <c r="T487" s="11" t="s">
        <v>89</v>
      </c>
      <c r="U487" s="11" t="s">
        <v>94</v>
      </c>
      <c r="V487" s="11" t="s">
        <v>93</v>
      </c>
      <c r="W487" s="11" t="s">
        <v>440</v>
      </c>
    </row>
    <row r="488" spans="1:23">
      <c r="A488" s="11" t="s">
        <v>453</v>
      </c>
      <c r="B488" s="11">
        <f ca="1">+IF(A488=WORLDCUP!$BI$112,1,0)</f>
        <v>0</v>
      </c>
      <c r="C488" s="11" t="str">
        <f ca="1">+WORLDCUP!BD65</f>
        <v>España</v>
      </c>
      <c r="D488" s="11" t="str">
        <f ca="1">+WORLDCUP!BD63</f>
        <v>Japón</v>
      </c>
      <c r="E488" s="11" t="str">
        <f ca="1">+WORLDCUP!BD59</f>
        <v>Bosnia y Herzegovina</v>
      </c>
      <c r="F488" s="11" t="str">
        <f ca="1">+WORLDCUP!BD60</f>
        <v>Escocia</v>
      </c>
      <c r="G488" s="11" t="str">
        <f ca="1">+WORLDCUP!BD58</f>
        <v>República Checa</v>
      </c>
      <c r="H488" s="11" t="str">
        <f ca="1">+WORLDCUP!BD61</f>
        <v>Paraguay</v>
      </c>
      <c r="I488" s="11" t="str">
        <f ca="1">+WORLDCUP!BD69</f>
        <v>Panamá</v>
      </c>
      <c r="J488" s="11" t="str">
        <f ca="1">+WORLDCUP!BD62</f>
        <v>Ecuador</v>
      </c>
      <c r="N488" s="11" t="s">
        <v>453</v>
      </c>
      <c r="O488" s="11">
        <v>487</v>
      </c>
      <c r="P488" s="11" t="s">
        <v>436</v>
      </c>
      <c r="Q488" s="11" t="s">
        <v>94</v>
      </c>
      <c r="R488" s="11" t="s">
        <v>90</v>
      </c>
      <c r="S488" s="11" t="s">
        <v>91</v>
      </c>
      <c r="T488" s="11" t="s">
        <v>89</v>
      </c>
      <c r="U488" s="11" t="s">
        <v>92</v>
      </c>
      <c r="V488" s="11" t="s">
        <v>443</v>
      </c>
      <c r="W488" s="11" t="s">
        <v>93</v>
      </c>
    </row>
    <row r="489" spans="1:23">
      <c r="A489" s="11" t="s">
        <v>452</v>
      </c>
      <c r="B489" s="11">
        <f ca="1">+IF(A489=WORLDCUP!$BI$112,1,0)</f>
        <v>0</v>
      </c>
      <c r="C489" s="11" t="str">
        <f ca="1">+WORLDCUP!BD65</f>
        <v>España</v>
      </c>
      <c r="D489" s="11" t="str">
        <f ca="1">+WORLDCUP!BD62</f>
        <v>Ecuador</v>
      </c>
      <c r="E489" s="11" t="str">
        <f ca="1">+WORLDCUP!BD59</f>
        <v>Bosnia y Herzegovina</v>
      </c>
      <c r="F489" s="11" t="str">
        <f ca="1">+WORLDCUP!BD60</f>
        <v>Escocia</v>
      </c>
      <c r="G489" s="11" t="str">
        <f ca="1">+WORLDCUP!BD58</f>
        <v>República Checa</v>
      </c>
      <c r="H489" s="11" t="str">
        <f ca="1">+WORLDCUP!BD63</f>
        <v>Japón</v>
      </c>
      <c r="I489" s="11" t="str">
        <f ca="1">+WORLDCUP!BD61</f>
        <v>Paraguay</v>
      </c>
      <c r="J489" s="11" t="str">
        <f ca="1">+WORLDCUP!BD68</f>
        <v>RD Congo</v>
      </c>
      <c r="N489" s="11" t="s">
        <v>452</v>
      </c>
      <c r="O489" s="11">
        <v>488</v>
      </c>
      <c r="P489" s="11" t="s">
        <v>436</v>
      </c>
      <c r="Q489" s="11" t="s">
        <v>93</v>
      </c>
      <c r="R489" s="11" t="s">
        <v>90</v>
      </c>
      <c r="S489" s="11" t="s">
        <v>91</v>
      </c>
      <c r="T489" s="11" t="s">
        <v>89</v>
      </c>
      <c r="U489" s="11" t="s">
        <v>94</v>
      </c>
      <c r="V489" s="11" t="s">
        <v>92</v>
      </c>
      <c r="W489" s="11" t="s">
        <v>442</v>
      </c>
    </row>
    <row r="490" spans="1:23">
      <c r="A490" s="11" t="s">
        <v>451</v>
      </c>
      <c r="B490" s="11">
        <f ca="1">+IF(A490=WORLDCUP!$BI$112,1,0)</f>
        <v>0</v>
      </c>
      <c r="C490" s="11" t="str">
        <f ca="1">+WORLDCUP!BD65</f>
        <v>España</v>
      </c>
      <c r="D490" s="11" t="str">
        <f ca="1">+WORLDCUP!BD67</f>
        <v>Jordania</v>
      </c>
      <c r="E490" s="11" t="str">
        <f ca="1">+WORLDCUP!BD59</f>
        <v>Bosnia y Herzegovina</v>
      </c>
      <c r="F490" s="11" t="str">
        <f ca="1">+WORLDCUP!BD60</f>
        <v>Escocia</v>
      </c>
      <c r="G490" s="11" t="str">
        <f ca="1">+WORLDCUP!BD58</f>
        <v>República Checa</v>
      </c>
      <c r="H490" s="11" t="str">
        <f ca="1">+WORLDCUP!BD63</f>
        <v>Japón</v>
      </c>
      <c r="I490" s="11" t="str">
        <f ca="1">+WORLDCUP!BD61</f>
        <v>Paraguay</v>
      </c>
      <c r="J490" s="11" t="str">
        <f ca="1">+WORLDCUP!BD62</f>
        <v>Ecuador</v>
      </c>
      <c r="N490" s="11" t="s">
        <v>451</v>
      </c>
      <c r="O490" s="11">
        <v>489</v>
      </c>
      <c r="P490" s="11" t="s">
        <v>436</v>
      </c>
      <c r="Q490" s="11" t="s">
        <v>441</v>
      </c>
      <c r="R490" s="11" t="s">
        <v>90</v>
      </c>
      <c r="S490" s="11" t="s">
        <v>91</v>
      </c>
      <c r="T490" s="11" t="s">
        <v>89</v>
      </c>
      <c r="U490" s="11" t="s">
        <v>94</v>
      </c>
      <c r="V490" s="11" t="s">
        <v>92</v>
      </c>
      <c r="W490" s="11" t="s">
        <v>93</v>
      </c>
    </row>
    <row r="491" spans="1:23">
      <c r="A491" s="11" t="s">
        <v>450</v>
      </c>
      <c r="B491" s="11">
        <f ca="1">+IF(A491=WORLDCUP!$BI$112,1,0)</f>
        <v>0</v>
      </c>
      <c r="C491" s="11" t="str">
        <f ca="1">+WORLDCUP!BD65</f>
        <v>España</v>
      </c>
      <c r="D491" s="11" t="str">
        <f ca="1">+WORLDCUP!BD62</f>
        <v>Ecuador</v>
      </c>
      <c r="E491" s="11" t="str">
        <f ca="1">+WORLDCUP!BD59</f>
        <v>Bosnia y Herzegovina</v>
      </c>
      <c r="F491" s="11" t="str">
        <f ca="1">+WORLDCUP!BD60</f>
        <v>Escocia</v>
      </c>
      <c r="G491" s="11" t="str">
        <f ca="1">+WORLDCUP!BD58</f>
        <v>República Checa</v>
      </c>
      <c r="H491" s="11" t="str">
        <f ca="1">+WORLDCUP!BD63</f>
        <v>Japón</v>
      </c>
      <c r="I491" s="11" t="str">
        <f ca="1">+WORLDCUP!BD61</f>
        <v>Paraguay</v>
      </c>
      <c r="J491" s="11" t="str">
        <f ca="1">+WORLDCUP!BD66</f>
        <v>Senegal</v>
      </c>
      <c r="N491" s="11" t="s">
        <v>450</v>
      </c>
      <c r="O491" s="11">
        <v>490</v>
      </c>
      <c r="P491" s="11" t="s">
        <v>436</v>
      </c>
      <c r="Q491" s="11" t="s">
        <v>93</v>
      </c>
      <c r="R491" s="11" t="s">
        <v>90</v>
      </c>
      <c r="S491" s="11" t="s">
        <v>91</v>
      </c>
      <c r="T491" s="11" t="s">
        <v>89</v>
      </c>
      <c r="U491" s="11" t="s">
        <v>94</v>
      </c>
      <c r="V491" s="11" t="s">
        <v>92</v>
      </c>
      <c r="W491" s="11" t="s">
        <v>440</v>
      </c>
    </row>
    <row r="492" spans="1:23">
      <c r="A492" s="11" t="s">
        <v>449</v>
      </c>
      <c r="B492" s="11">
        <f ca="1">+IF(A492=WORLDCUP!$BI$112,1,0)</f>
        <v>0</v>
      </c>
      <c r="C492" s="11" t="str">
        <f ca="1">+WORLDCUP!BD60</f>
        <v>Escocia</v>
      </c>
      <c r="D492" s="11" t="str">
        <f ca="1">+WORLDCUP!BD64</f>
        <v>Bélgica</v>
      </c>
      <c r="E492" s="11" t="str">
        <f ca="1">+WORLDCUP!BD59</f>
        <v>Bosnia y Herzegovina</v>
      </c>
      <c r="F492" s="11" t="str">
        <f ca="1">+WORLDCUP!BD61</f>
        <v>Paraguay</v>
      </c>
      <c r="G492" s="11" t="str">
        <f ca="1">+WORLDCUP!BD58</f>
        <v>República Checa</v>
      </c>
      <c r="H492" s="11" t="str">
        <f ca="1">+WORLDCUP!BD63</f>
        <v>Japón</v>
      </c>
      <c r="I492" s="11" t="str">
        <f ca="1">+WORLDCUP!BD69</f>
        <v>Panamá</v>
      </c>
      <c r="J492" s="11" t="str">
        <f ca="1">+WORLDCUP!BD62</f>
        <v>Ecuador</v>
      </c>
      <c r="N492" s="11" t="s">
        <v>449</v>
      </c>
      <c r="O492" s="11">
        <v>491</v>
      </c>
      <c r="P492" s="11" t="s">
        <v>91</v>
      </c>
      <c r="Q492" s="11" t="s">
        <v>435</v>
      </c>
      <c r="R492" s="11" t="s">
        <v>90</v>
      </c>
      <c r="S492" s="11" t="s">
        <v>92</v>
      </c>
      <c r="T492" s="11" t="s">
        <v>89</v>
      </c>
      <c r="U492" s="11" t="s">
        <v>94</v>
      </c>
      <c r="V492" s="11" t="s">
        <v>443</v>
      </c>
      <c r="W492" s="11" t="s">
        <v>93</v>
      </c>
    </row>
    <row r="493" spans="1:23">
      <c r="A493" s="11" t="s">
        <v>448</v>
      </c>
      <c r="B493" s="11">
        <f ca="1">+IF(A493=WORLDCUP!$BI$112,1,0)</f>
        <v>0</v>
      </c>
      <c r="C493" s="11" t="str">
        <f ca="1">+WORLDCUP!BD60</f>
        <v>Escocia</v>
      </c>
      <c r="D493" s="11" t="str">
        <f ca="1">+WORLDCUP!BD64</f>
        <v>Bélgica</v>
      </c>
      <c r="E493" s="11" t="str">
        <f ca="1">+WORLDCUP!BD59</f>
        <v>Bosnia y Herzegovina</v>
      </c>
      <c r="F493" s="11" t="str">
        <f ca="1">+WORLDCUP!BD61</f>
        <v>Paraguay</v>
      </c>
      <c r="G493" s="11" t="str">
        <f ca="1">+WORLDCUP!BD58</f>
        <v>República Checa</v>
      </c>
      <c r="H493" s="11" t="str">
        <f ca="1">+WORLDCUP!BD63</f>
        <v>Japón</v>
      </c>
      <c r="I493" s="11" t="str">
        <f ca="1">+WORLDCUP!BD62</f>
        <v>Ecuador</v>
      </c>
      <c r="J493" s="11" t="str">
        <f ca="1">+WORLDCUP!BD68</f>
        <v>RD Congo</v>
      </c>
      <c r="N493" s="11" t="s">
        <v>448</v>
      </c>
      <c r="O493" s="11">
        <v>492</v>
      </c>
      <c r="P493" s="11" t="s">
        <v>91</v>
      </c>
      <c r="Q493" s="11" t="s">
        <v>435</v>
      </c>
      <c r="R493" s="11" t="s">
        <v>90</v>
      </c>
      <c r="S493" s="11" t="s">
        <v>92</v>
      </c>
      <c r="T493" s="11" t="s">
        <v>89</v>
      </c>
      <c r="U493" s="11" t="s">
        <v>94</v>
      </c>
      <c r="V493" s="11" t="s">
        <v>93</v>
      </c>
      <c r="W493" s="11" t="s">
        <v>442</v>
      </c>
    </row>
    <row r="494" spans="1:23">
      <c r="A494" s="11" t="s">
        <v>447</v>
      </c>
      <c r="B494" s="11">
        <f ca="1">+IF(A494=WORLDCUP!$BI$112,1,0)</f>
        <v>0</v>
      </c>
      <c r="C494" s="11" t="str">
        <f ca="1">+WORLDCUP!BD60</f>
        <v>Escocia</v>
      </c>
      <c r="D494" s="11" t="str">
        <f ca="1">+WORLDCUP!BD64</f>
        <v>Bélgica</v>
      </c>
      <c r="E494" s="11" t="str">
        <f ca="1">+WORLDCUP!BD59</f>
        <v>Bosnia y Herzegovina</v>
      </c>
      <c r="F494" s="11" t="str">
        <f ca="1">+WORLDCUP!BD61</f>
        <v>Paraguay</v>
      </c>
      <c r="G494" s="11" t="str">
        <f ca="1">+WORLDCUP!BD58</f>
        <v>República Checa</v>
      </c>
      <c r="H494" s="11" t="str">
        <f ca="1">+WORLDCUP!BD63</f>
        <v>Japón</v>
      </c>
      <c r="I494" s="11" t="str">
        <f ca="1">+WORLDCUP!BD62</f>
        <v>Ecuador</v>
      </c>
      <c r="J494" s="11" t="str">
        <f ca="1">+WORLDCUP!BD67</f>
        <v>Jordania</v>
      </c>
      <c r="N494" s="11" t="s">
        <v>447</v>
      </c>
      <c r="O494" s="11">
        <v>493</v>
      </c>
      <c r="P494" s="11" t="s">
        <v>91</v>
      </c>
      <c r="Q494" s="11" t="s">
        <v>435</v>
      </c>
      <c r="R494" s="11" t="s">
        <v>90</v>
      </c>
      <c r="S494" s="11" t="s">
        <v>92</v>
      </c>
      <c r="T494" s="11" t="s">
        <v>89</v>
      </c>
      <c r="U494" s="11" t="s">
        <v>94</v>
      </c>
      <c r="V494" s="11" t="s">
        <v>93</v>
      </c>
      <c r="W494" s="11" t="s">
        <v>441</v>
      </c>
    </row>
    <row r="495" spans="1:23">
      <c r="A495" s="11" t="s">
        <v>446</v>
      </c>
      <c r="B495" s="11">
        <f ca="1">+IF(A495=WORLDCUP!$BI$112,1,0)</f>
        <v>0</v>
      </c>
      <c r="C495" s="11" t="str">
        <f ca="1">+WORLDCUP!BD60</f>
        <v>Escocia</v>
      </c>
      <c r="D495" s="11" t="str">
        <f ca="1">+WORLDCUP!BD64</f>
        <v>Bélgica</v>
      </c>
      <c r="E495" s="11" t="str">
        <f ca="1">+WORLDCUP!BD59</f>
        <v>Bosnia y Herzegovina</v>
      </c>
      <c r="F495" s="11" t="str">
        <f ca="1">+WORLDCUP!BD61</f>
        <v>Paraguay</v>
      </c>
      <c r="G495" s="11" t="str">
        <f ca="1">+WORLDCUP!BD58</f>
        <v>República Checa</v>
      </c>
      <c r="H495" s="11" t="str">
        <f ca="1">+WORLDCUP!BD63</f>
        <v>Japón</v>
      </c>
      <c r="I495" s="11" t="str">
        <f ca="1">+WORLDCUP!BD62</f>
        <v>Ecuador</v>
      </c>
      <c r="J495" s="11" t="str">
        <f ca="1">+WORLDCUP!BD66</f>
        <v>Senegal</v>
      </c>
      <c r="N495" s="11" t="s">
        <v>446</v>
      </c>
      <c r="O495" s="11">
        <v>494</v>
      </c>
      <c r="P495" s="11" t="s">
        <v>91</v>
      </c>
      <c r="Q495" s="11" t="s">
        <v>435</v>
      </c>
      <c r="R495" s="11" t="s">
        <v>90</v>
      </c>
      <c r="S495" s="11" t="s">
        <v>92</v>
      </c>
      <c r="T495" s="11" t="s">
        <v>89</v>
      </c>
      <c r="U495" s="11" t="s">
        <v>94</v>
      </c>
      <c r="V495" s="11" t="s">
        <v>93</v>
      </c>
      <c r="W495" s="11" t="s">
        <v>440</v>
      </c>
    </row>
    <row r="496" spans="1:23">
      <c r="A496" s="11" t="s">
        <v>445</v>
      </c>
      <c r="B496" s="11">
        <f ca="1">+IF(A496=WORLDCUP!$BI$112,1,0)</f>
        <v>0</v>
      </c>
      <c r="C496" s="11" t="str">
        <f ca="1">+WORLDCUP!BD65</f>
        <v>España</v>
      </c>
      <c r="D496" s="11" t="str">
        <f ca="1">+WORLDCUP!BD64</f>
        <v>Bélgica</v>
      </c>
      <c r="E496" s="11" t="str">
        <f ca="1">+WORLDCUP!BD59</f>
        <v>Bosnia y Herzegovina</v>
      </c>
      <c r="F496" s="11" t="str">
        <f ca="1">+WORLDCUP!BD60</f>
        <v>Escocia</v>
      </c>
      <c r="G496" s="11" t="str">
        <f ca="1">+WORLDCUP!BD58</f>
        <v>República Checa</v>
      </c>
      <c r="H496" s="11" t="str">
        <f ca="1">+WORLDCUP!BD63</f>
        <v>Japón</v>
      </c>
      <c r="I496" s="11" t="str">
        <f ca="1">+WORLDCUP!BD61</f>
        <v>Paraguay</v>
      </c>
      <c r="J496" s="11" t="str">
        <f ca="1">+WORLDCUP!BD62</f>
        <v>Ecuador</v>
      </c>
      <c r="N496" s="11" t="s">
        <v>445</v>
      </c>
      <c r="O496" s="11">
        <v>495</v>
      </c>
      <c r="P496" s="11" t="s">
        <v>436</v>
      </c>
      <c r="Q496" s="11" t="s">
        <v>435</v>
      </c>
      <c r="R496" s="11" t="s">
        <v>90</v>
      </c>
      <c r="S496" s="11" t="s">
        <v>91</v>
      </c>
      <c r="T496" s="11" t="s">
        <v>89</v>
      </c>
      <c r="U496" s="11" t="s">
        <v>94</v>
      </c>
      <c r="V496" s="11" t="s">
        <v>92</v>
      </c>
      <c r="W496" s="11" t="s">
        <v>93</v>
      </c>
    </row>
    <row r="497" spans="1:10">
      <c r="A497" s="11" t="s">
        <v>721</v>
      </c>
      <c r="B497" s="11" t="str">
        <f ca="1">+IF(AND(WORLDCUP!$H$113=144,SUM(Combinaciones3!$B$2:$B$496)=1),"OK",IF(AND(WORLDCUP!$H$113=144,SUM(Combinaciones3!$B$2:$B$496)=0),"Error1",IF(AND(WORLDCUP!$H$113&lt;&gt;144,SUM(Combinaciones3!$B$2:$B$496)=1),"Error2",IF(AND(WORLDCUP!$H$113&lt;&gt;144,SUM(Combinaciones3!$B$2:$B$496)=0),"Faltan partidos","OTRA COSA"))))</f>
        <v>Error2</v>
      </c>
      <c r="C497" s="11"/>
      <c r="D497" s="11"/>
      <c r="E497" s="11"/>
      <c r="F497" s="11"/>
      <c r="G497" s="11"/>
      <c r="H497" s="11"/>
      <c r="I497" s="11"/>
      <c r="J497" s="11"/>
    </row>
  </sheetData>
  <sheetProtection algorithmName="SHA-512" hashValue="qI4c12G1I6L7yU0culiOqjPvGdLYzJRRPQ2wJIMhZUSDACWCD6cvxf7cVzQgPa/AptiaxQ8BQgRjzqjvYi044w==" saltValue="7i5yJWtK4VlQiOPT83YeGw==" spinCount="100000" sheet="1" objects="1" scenarios="1" selectLockedCells="1" selectUnlockedCells="1"/>
  <pageMargins left="0.7" right="0.7" top="0.75" bottom="0.75" header="0.3" footer="0.3"/>
  <headerFooter>
    <oddFooter>&amp;L_x000D_&amp;1#&amp;"Aptos"&amp;8&amp;K000000 Clasificación: Interna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PT1936" workbookViewId="0">
      <selection activeCell="PT1937" sqref="PT1937"/>
    </sheetView>
  </sheetViews>
  <sheetFormatPr defaultColWidth="11.5546875" defaultRowHeight="14.4"/>
  <cols>
    <col min="4" max="4" width="10.77734375" customWidth="1"/>
  </cols>
  <sheetData>
    <row r="1" spans="1:6">
      <c r="A1" s="431"/>
      <c r="B1" s="451" t="str">
        <f>Idiomas!D515</f>
        <v>Gráfico solo en fase de grupos</v>
      </c>
      <c r="C1" s="431"/>
      <c r="D1" s="431"/>
      <c r="F1" s="431"/>
    </row>
    <row r="2" spans="1:6">
      <c r="A2" s="410"/>
      <c r="B2" s="17"/>
      <c r="C2" s="17"/>
      <c r="D2" s="17"/>
    </row>
    <row r="3" spans="1:6">
      <c r="A3" s="410"/>
      <c r="B3" s="17"/>
      <c r="C3" s="17"/>
      <c r="D3" s="17"/>
    </row>
    <row r="4" spans="1:6">
      <c r="A4" s="410"/>
      <c r="B4" s="17"/>
      <c r="C4" s="17"/>
      <c r="D4" s="17"/>
    </row>
    <row r="5" spans="1:6">
      <c r="A5" s="410"/>
      <c r="B5" s="17"/>
      <c r="C5" s="17"/>
      <c r="D5" s="17"/>
    </row>
    <row r="6" spans="1:6">
      <c r="A6" s="410"/>
      <c r="B6" s="17"/>
      <c r="C6" s="17"/>
      <c r="D6" s="17"/>
    </row>
    <row r="7" spans="1:6">
      <c r="A7" s="410"/>
      <c r="B7" s="17"/>
      <c r="C7" s="17"/>
      <c r="D7" s="17"/>
    </row>
    <row r="8" spans="1:6">
      <c r="A8" s="410"/>
      <c r="B8" s="17"/>
      <c r="C8" s="17"/>
      <c r="D8" s="17"/>
    </row>
    <row r="9" spans="1:6">
      <c r="A9" s="410"/>
      <c r="B9" s="17"/>
      <c r="C9" s="17"/>
      <c r="D9" s="17"/>
    </row>
    <row r="10" spans="1:6">
      <c r="A10" s="410"/>
      <c r="B10" s="17"/>
      <c r="C10" s="17"/>
      <c r="D10" s="17"/>
    </row>
    <row r="11" spans="1:6">
      <c r="A11" s="410"/>
      <c r="B11" s="17"/>
      <c r="C11" s="17"/>
      <c r="D11" s="17"/>
    </row>
    <row r="12" spans="1:6">
      <c r="A12" s="410"/>
      <c r="B12" s="17"/>
      <c r="C12" s="17"/>
      <c r="D12" s="17"/>
    </row>
    <row r="13" spans="1:6">
      <c r="A13" s="410"/>
      <c r="B13" s="17"/>
      <c r="C13" s="17"/>
      <c r="D13" s="17"/>
    </row>
    <row r="14" spans="1:6">
      <c r="A14" s="410"/>
      <c r="B14" s="17"/>
      <c r="C14" s="17"/>
      <c r="D14" s="17"/>
    </row>
    <row r="15" spans="1:6">
      <c r="A15" s="411"/>
      <c r="B15" s="412"/>
      <c r="C15" s="412"/>
      <c r="D15" s="412"/>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sheetProtection sheet="1" objects="1" scenarios="1" selectLockedCells="1" selectUnlockedCells="1"/>
  <pageMargins left="0.7" right="0.7" top="0.75" bottom="0.75" header="0.3" footer="0.3"/>
  <headerFooter>
    <oddFooter>&amp;L_x000D_&amp;1#&amp;"Aptos"&amp;8&amp;K000000 Clasificación: Interna</oddFooter>
  </headerFooter>
  <drawing r:id="rId1"/>
</worksheet>
</file>

<file path=docMetadata/LabelInfo.xml><?xml version="1.0" encoding="utf-8"?>
<clbl:labelList xmlns:clbl="http://schemas.microsoft.com/office/2020/mipLabelMetadata">
  <clbl:label id="{8d042bc0-58d2-4b54-ad1b-dc20b9e95fcb}" enabled="1" method="Privileged" siteId="{a341e1ed-779d-40e2-bfa2-038614b129c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19</vt:i4>
      </vt:variant>
    </vt:vector>
  </HeadingPairs>
  <TitlesOfParts>
    <vt:vector size="29" baseType="lpstr">
      <vt:lpstr>Home</vt:lpstr>
      <vt:lpstr>WORLDCUP</vt:lpstr>
      <vt:lpstr>ADMIN</vt:lpstr>
      <vt:lpstr>CLAS</vt:lpstr>
      <vt:lpstr>DailyPrediction</vt:lpstr>
      <vt:lpstr>DailyClas</vt:lpstr>
      <vt:lpstr>Idiomas</vt:lpstr>
      <vt:lpstr>Stats</vt:lpstr>
      <vt:lpstr>Credits</vt:lpstr>
      <vt:lpstr>Fixture</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Gonzalo Ballesteros Bretos</cp:lastModifiedBy>
  <cp:lastPrinted>2018-12-06T18:06:35Z</cp:lastPrinted>
  <dcterms:created xsi:type="dcterms:W3CDTF">2015-10-31T09:41:54Z</dcterms:created>
  <dcterms:modified xsi:type="dcterms:W3CDTF">2026-06-20T06:43:13Z</dcterms:modified>
  <cp:category/>
</cp:coreProperties>
</file>