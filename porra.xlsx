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175" documentId="13_ncr:1_{AF5F34E1-3CEA-4E5C-856E-DF27FFEF07FE}" xr6:coauthVersionLast="47" xr6:coauthVersionMax="47" xr10:uidLastSave="{F1EA0196-18B7-47B6-B7E0-89BAA14DF179}"/>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L206" i="46"/>
  <c r="L207" i="46"/>
  <c r="M207" i="46"/>
  <c r="I1" i="50"/>
  <c r="M262" i="46"/>
  <c r="N6" i="46"/>
  <c r="O6" i="46"/>
  <c r="P6" i="46"/>
  <c r="D204" i="46"/>
  <c r="A165" i="46"/>
  <c r="B165" i="46"/>
  <c r="A167" i="46"/>
  <c r="B167" i="46"/>
  <c r="A168" i="46"/>
  <c r="E168" i="46" s="1"/>
  <c r="B168" i="46"/>
  <c r="A169" i="46"/>
  <c r="B169" i="46"/>
  <c r="Q169" i="46" s="1"/>
  <c r="E169" i="46"/>
  <c r="A170" i="46"/>
  <c r="Q170" i="46" s="1"/>
  <c r="B170" i="46"/>
  <c r="A171" i="46"/>
  <c r="B171" i="46"/>
  <c r="A172" i="46"/>
  <c r="B172" i="46"/>
  <c r="A173" i="46"/>
  <c r="B173" i="46"/>
  <c r="E173" i="46"/>
  <c r="A174" i="46"/>
  <c r="B174" i="46"/>
  <c r="A175" i="46"/>
  <c r="B175" i="46"/>
  <c r="A176" i="46"/>
  <c r="B176" i="46"/>
  <c r="A177" i="46"/>
  <c r="B177" i="46"/>
  <c r="A178" i="46"/>
  <c r="B178" i="46"/>
  <c r="A179" i="46"/>
  <c r="B179" i="46"/>
  <c r="A164" i="46"/>
  <c r="B164" i="46"/>
  <c r="N165" i="46"/>
  <c r="O165" i="46"/>
  <c r="P165" i="46" s="1"/>
  <c r="N167" i="46"/>
  <c r="O167" i="46"/>
  <c r="N168" i="46"/>
  <c r="O168" i="46"/>
  <c r="N169" i="46"/>
  <c r="O169" i="46"/>
  <c r="N170" i="46"/>
  <c r="O170" i="46"/>
  <c r="P170" i="46" s="1"/>
  <c r="N171" i="46"/>
  <c r="O171" i="46"/>
  <c r="N172" i="46"/>
  <c r="O172" i="46"/>
  <c r="N173" i="46"/>
  <c r="O173" i="46"/>
  <c r="N174" i="46"/>
  <c r="O174" i="46"/>
  <c r="N175" i="46"/>
  <c r="O175" i="46"/>
  <c r="N176" i="46"/>
  <c r="O176" i="46"/>
  <c r="N177" i="46"/>
  <c r="O177" i="46"/>
  <c r="N178" i="46"/>
  <c r="O178" i="46"/>
  <c r="N179" i="46"/>
  <c r="O179" i="46"/>
  <c r="N164" i="46"/>
  <c r="P164" i="46" s="1"/>
  <c r="O164" i="46"/>
  <c r="N8" i="46"/>
  <c r="O8" i="46"/>
  <c r="M8" i="46"/>
  <c r="P8" i="46"/>
  <c r="N7" i="46"/>
  <c r="O7" i="46"/>
  <c r="P7" i="46"/>
  <c r="Q32" i="6"/>
  <c r="Q26" i="6"/>
  <c r="L247" i="46"/>
  <c r="M247" i="46"/>
  <c r="L244" i="46"/>
  <c r="L233" i="46"/>
  <c r="L232" i="46"/>
  <c r="M232" i="46"/>
  <c r="L223" i="46"/>
  <c r="L222" i="46"/>
  <c r="L221" i="46"/>
  <c r="L220" i="46"/>
  <c r="M220" i="46"/>
  <c r="L201" i="46"/>
  <c r="M201" i="46"/>
  <c r="L200" i="46"/>
  <c r="L179" i="46"/>
  <c r="L178" i="46"/>
  <c r="L177" i="46"/>
  <c r="L176" i="46"/>
  <c r="L175" i="46"/>
  <c r="L174" i="46"/>
  <c r="L173" i="46"/>
  <c r="L172" i="46"/>
  <c r="L171" i="46"/>
  <c r="M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c r="B203" i="46"/>
  <c r="A203" i="46"/>
  <c r="B202" i="46"/>
  <c r="Q202" i="46"/>
  <c r="A202" i="46"/>
  <c r="E202" i="46"/>
  <c r="B201" i="46"/>
  <c r="A201" i="46"/>
  <c r="E201" i="46"/>
  <c r="B200" i="46"/>
  <c r="A200" i="46"/>
  <c r="O207" i="46"/>
  <c r="N207" i="46"/>
  <c r="O206" i="46"/>
  <c r="N206" i="46"/>
  <c r="O205" i="46"/>
  <c r="N205" i="46"/>
  <c r="O204" i="46"/>
  <c r="N204" i="46"/>
  <c r="O203" i="46"/>
  <c r="N203" i="46"/>
  <c r="O202" i="46"/>
  <c r="N202" i="46"/>
  <c r="O201" i="46"/>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P202" i="46"/>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P203" i="46"/>
  <c r="Q203" i="46"/>
  <c r="Q207" i="46"/>
  <c r="Q65" i="46"/>
  <c r="BD65" i="46"/>
  <c r="Q232" i="46"/>
  <c r="Q33" i="46"/>
  <c r="AO33" i="46"/>
  <c r="Q37" i="46"/>
  <c r="Q41" i="46"/>
  <c r="AR41" i="46"/>
  <c r="Q49" i="46"/>
  <c r="AU49" i="46"/>
  <c r="P204" i="46"/>
  <c r="P247" i="46"/>
  <c r="Q39" i="46"/>
  <c r="Q77" i="46"/>
  <c r="P222" i="46"/>
  <c r="M177"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P221" i="46"/>
  <c r="Q222" i="46"/>
  <c r="Q68" i="46"/>
  <c r="Q16" i="46"/>
  <c r="T65" i="46"/>
  <c r="Q29" i="46"/>
  <c r="Q220" i="46"/>
  <c r="Q14" i="46"/>
  <c r="Q233" i="46"/>
  <c r="Q8" i="46"/>
  <c r="P178" i="46"/>
  <c r="P174" i="46"/>
  <c r="Q173" i="46"/>
  <c r="T47" i="46"/>
  <c r="Q50" i="46"/>
  <c r="Q70" i="46"/>
  <c r="Q71" i="46"/>
  <c r="Q23" i="46"/>
  <c r="M46" i="46"/>
  <c r="M71" i="46"/>
  <c r="M70" i="46"/>
  <c r="M23" i="46"/>
  <c r="Q22" i="46"/>
  <c r="M22" i="46"/>
  <c r="Q200" i="46"/>
  <c r="T53" i="46"/>
  <c r="T26" i="46"/>
  <c r="Q43" i="46"/>
  <c r="T17" i="46"/>
  <c r="Q64" i="46"/>
  <c r="T36" i="46"/>
  <c r="T13" i="46"/>
  <c r="Q34" i="46"/>
  <c r="T7" i="46"/>
  <c r="F5" i="48" a="1"/>
  <c r="F5" i="48" s="1"/>
  <c r="V267" i="46"/>
  <c r="M39" i="46"/>
  <c r="M28" i="46"/>
  <c r="Q28" i="46"/>
  <c r="Q12" i="46"/>
  <c r="E205" i="46"/>
  <c r="Q205" i="46"/>
  <c r="M233" i="46"/>
  <c r="P233" i="46"/>
  <c r="M244" i="46"/>
  <c r="P244" i="46"/>
  <c r="E164" i="46"/>
  <c r="Q164" i="46"/>
  <c r="E176" i="46"/>
  <c r="Q172" i="46"/>
  <c r="M35" i="46"/>
  <c r="Q35" i="46"/>
  <c r="M51" i="46"/>
  <c r="AL51" i="46"/>
  <c r="Q51" i="46"/>
  <c r="T63" i="46"/>
  <c r="Q11" i="46"/>
  <c r="M64" i="46"/>
  <c r="M25" i="46"/>
  <c r="M10" i="46"/>
  <c r="Q18" i="46"/>
  <c r="Q57" i="46"/>
  <c r="T57" i="46"/>
  <c r="Q61" i="46"/>
  <c r="Q69" i="46"/>
  <c r="Q73" i="46"/>
  <c r="M73" i="46"/>
  <c r="M12" i="46"/>
  <c r="M24" i="46"/>
  <c r="Q171" i="46"/>
  <c r="M32" i="46"/>
  <c r="M40" i="46"/>
  <c r="T40" i="46"/>
  <c r="Q48" i="46"/>
  <c r="M27" i="46"/>
  <c r="M19" i="46"/>
  <c r="D65" i="46"/>
  <c r="M59" i="46"/>
  <c r="T59" i="46"/>
  <c r="M15" i="46"/>
  <c r="M60" i="46"/>
  <c r="M68" i="46"/>
  <c r="T68" i="46"/>
  <c r="M200"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20" i="46"/>
  <c r="P207" i="46"/>
  <c r="Q206" i="46"/>
  <c r="P205" i="46"/>
  <c r="Q204" i="46"/>
  <c r="P201" i="46"/>
  <c r="E200" i="46"/>
  <c r="M206" i="46"/>
  <c r="M205" i="46"/>
  <c r="P179" i="46"/>
  <c r="Q177" i="46"/>
  <c r="E171" i="46"/>
  <c r="Q178" i="46"/>
  <c r="E177" i="46"/>
  <c r="Q175" i="46"/>
  <c r="Q166" i="46"/>
  <c r="M55" i="46"/>
  <c r="AL55" i="46"/>
  <c r="M30" i="46"/>
  <c r="Q54" i="46"/>
  <c r="M167" i="46"/>
  <c r="M175" i="46"/>
  <c r="E175" i="46"/>
  <c r="Q165" i="46"/>
  <c r="M164" i="46"/>
  <c r="M67" i="46"/>
  <c r="L27" i="6"/>
  <c r="M27" i="6"/>
  <c r="O237" i="36"/>
  <c r="J237" i="36"/>
  <c r="G237" i="36" s="1"/>
  <c r="D237" i="36" s="1"/>
  <c r="Q42" i="46"/>
  <c r="T66" i="46"/>
  <c r="M6" i="46"/>
  <c r="D10" i="51"/>
  <c r="D9" i="51"/>
  <c r="E178" i="46"/>
  <c r="M170" i="46"/>
  <c r="P177" i="46"/>
  <c r="M173" i="46"/>
  <c r="M176" i="46"/>
  <c r="M168" i="46"/>
  <c r="Q176" i="46"/>
  <c r="E172" i="46"/>
  <c r="M174" i="46"/>
  <c r="Q167" i="46"/>
  <c r="Q174" i="46"/>
  <c r="P166" i="46"/>
  <c r="M172" i="46"/>
  <c r="P169" i="46"/>
  <c r="P176" i="46"/>
  <c r="P173"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D112" i="3"/>
  <c r="D111" i="3"/>
  <c r="N124" i="3" s="1"/>
  <c r="AF124" i="3" s="1"/>
  <c r="AE17" i="45" s="1"/>
  <c r="D114" i="3"/>
  <c r="D115" i="3"/>
  <c r="AG115" i="3"/>
  <c r="M126" i="3"/>
  <c r="AA126" i="3" s="1"/>
  <c r="AG114" i="3"/>
  <c r="N126" i="3"/>
  <c r="AF126" i="3" s="1"/>
  <c r="M196" i="46" s="1"/>
  <c r="AG111" i="3"/>
  <c r="AG112" i="3"/>
  <c r="M124" i="3"/>
  <c r="AA124" i="3" s="1"/>
  <c r="AE16" i="45" s="1"/>
  <c r="D120" i="3"/>
  <c r="N131" i="3" s="1"/>
  <c r="AF131" i="3" s="1"/>
  <c r="AI8" i="45" s="1"/>
  <c r="D124" i="3"/>
  <c r="D122" i="3"/>
  <c r="M133" i="3" s="1"/>
  <c r="AA133" i="3" s="1"/>
  <c r="D126" i="3"/>
  <c r="AG126" i="3" s="1"/>
  <c r="D134" i="3"/>
  <c r="N139" i="3" s="1"/>
  <c r="AF139" i="3" s="1"/>
  <c r="AF143" i="3"/>
  <c r="AQ32" i="45" s="1"/>
  <c r="H139" i="3"/>
  <c r="D116" i="3"/>
  <c r="D113" i="3"/>
  <c r="D110" i="3"/>
  <c r="D108" i="3"/>
  <c r="N123" i="3" s="1"/>
  <c r="AF123" i="3" s="1"/>
  <c r="M193" i="46" s="1"/>
  <c r="D109" i="3"/>
  <c r="AG109" i="3"/>
  <c r="AG116" i="3"/>
  <c r="N127" i="3"/>
  <c r="AF127" i="3" s="1"/>
  <c r="AG113" i="3"/>
  <c r="M127" i="3"/>
  <c r="AA127" i="3" s="1"/>
  <c r="M125" i="3"/>
  <c r="AA125" i="3" s="1"/>
  <c r="AE22" i="45" s="1"/>
  <c r="AG110" i="3"/>
  <c r="N125" i="3"/>
  <c r="AF125" i="3" s="1"/>
  <c r="AG108" i="3"/>
  <c r="D127" i="3"/>
  <c r="N134" i="3" s="1"/>
  <c r="AF134" i="3" s="1"/>
  <c r="D125" i="3"/>
  <c r="N132" i="3" s="1"/>
  <c r="AF132" i="3" s="1"/>
  <c r="D121" i="3"/>
  <c r="M131" i="3" s="1"/>
  <c r="AA131" i="3" s="1"/>
  <c r="D123" i="3"/>
  <c r="N133" i="3" s="1"/>
  <c r="AF133" i="3" s="1"/>
  <c r="D132" i="3"/>
  <c r="D133" i="3"/>
  <c r="AG133" i="3" s="1"/>
  <c r="D131" i="3"/>
  <c r="AA143" i="3"/>
  <c r="AQ31" i="45" s="1"/>
  <c r="H138" i="3"/>
  <c r="AF147" i="3"/>
  <c r="AU26" i="45" s="1"/>
  <c r="D139" i="3"/>
  <c r="N147" i="3" s="1"/>
  <c r="AA151" i="3"/>
  <c r="M251" i="46" s="1"/>
  <c r="H147" i="3"/>
  <c r="AA152" i="3"/>
  <c r="M252" i="46" s="1"/>
  <c r="D143" i="3"/>
  <c r="AG143" i="3" s="1"/>
  <c r="AA147" i="3"/>
  <c r="D138" i="3"/>
  <c r="AG138" i="3" s="1"/>
  <c r="AA150" i="3"/>
  <c r="AG150" i="3" s="1"/>
  <c r="D147" i="3"/>
  <c r="AG147" i="3" s="1"/>
  <c r="W42" i="46"/>
  <c r="E170" i="46" l="1"/>
  <c r="Q168" i="46"/>
  <c r="K247" i="46"/>
  <c r="BA21" i="45"/>
  <c r="M250" i="46"/>
  <c r="FK250" i="46" s="1"/>
  <c r="M143" i="3"/>
  <c r="AG151" i="3"/>
  <c r="AG134" i="3"/>
  <c r="DT126" i="3"/>
  <c r="BB23" i="45"/>
  <c r="M134" i="3"/>
  <c r="AA134" i="3" s="1"/>
  <c r="K223" i="46" s="1"/>
  <c r="M165" i="46"/>
  <c r="C205" i="46"/>
  <c r="E7" i="48"/>
  <c r="F6" i="48" a="1"/>
  <c r="F6" i="48" s="1"/>
  <c r="DT133" i="3"/>
  <c r="AI32" i="45"/>
  <c r="ED250" i="46"/>
  <c r="AG123" i="3"/>
  <c r="AE35" i="45"/>
  <c r="BA250" i="46"/>
  <c r="K244" i="46"/>
  <c r="AO250" i="46"/>
  <c r="ES250" i="46"/>
  <c r="C244" i="46"/>
  <c r="AG122" i="3"/>
  <c r="M147" i="3"/>
  <c r="DT143" i="3"/>
  <c r="AG125" i="3"/>
  <c r="AG120" i="3"/>
  <c r="AF250" i="46"/>
  <c r="AU250" i="46"/>
  <c r="W250" i="46"/>
  <c r="C247" i="46"/>
  <c r="BD247" i="46" s="1"/>
  <c r="BD248" i="46" s="1"/>
  <c r="AG139" i="3"/>
  <c r="BV252" i="46"/>
  <c r="EY252" i="46"/>
  <c r="EA252" i="46"/>
  <c r="CB252" i="46"/>
  <c r="CQ252" i="46"/>
  <c r="DC252" i="46"/>
  <c r="BY252" i="46"/>
  <c r="AO252" i="46"/>
  <c r="ED252" i="46"/>
  <c r="FK252" i="46"/>
  <c r="EG252" i="46"/>
  <c r="EJ252" i="46"/>
  <c r="AI252" i="46"/>
  <c r="BJ252" i="46"/>
  <c r="BM252" i="46"/>
  <c r="M215" i="46"/>
  <c r="AI20" i="45"/>
  <c r="AO251" i="46"/>
  <c r="EY251" i="46"/>
  <c r="BD251" i="46"/>
  <c r="EP251" i="46"/>
  <c r="BP251" i="46"/>
  <c r="W251" i="46"/>
  <c r="CE251" i="46"/>
  <c r="CQ251" i="46"/>
  <c r="AX251" i="46"/>
  <c r="DI251" i="46"/>
  <c r="DR251" i="46"/>
  <c r="EJ251" i="46"/>
  <c r="AF251" i="46"/>
  <c r="FE251" i="46"/>
  <c r="BG251" i="46"/>
  <c r="AU251" i="46"/>
  <c r="DC251" i="46"/>
  <c r="DX251" i="46"/>
  <c r="BY251" i="46"/>
  <c r="AR251" i="46"/>
  <c r="T251" i="46"/>
  <c r="BS251" i="46"/>
  <c r="CH251" i="46"/>
  <c r="FB251" i="46"/>
  <c r="AC251" i="46"/>
  <c r="ES251" i="46"/>
  <c r="CZ251" i="46"/>
  <c r="FK251" i="46"/>
  <c r="EA251" i="46"/>
  <c r="CT251" i="46"/>
  <c r="Z251" i="46"/>
  <c r="CK251" i="46"/>
  <c r="EV251" i="46"/>
  <c r="EM251" i="46"/>
  <c r="AI251" i="46"/>
  <c r="AL251" i="46"/>
  <c r="DU251" i="46"/>
  <c r="BA251" i="46"/>
  <c r="DL251" i="46"/>
  <c r="BJ251" i="46"/>
  <c r="CB251" i="46"/>
  <c r="DF251" i="46"/>
  <c r="BV251" i="46"/>
  <c r="EG251" i="46"/>
  <c r="BM251" i="46"/>
  <c r="ED251" i="46"/>
  <c r="CW251" i="46"/>
  <c r="FH251" i="46"/>
  <c r="CN251" i="46"/>
  <c r="DO251" i="46"/>
  <c r="EM250" i="46"/>
  <c r="M236" i="46"/>
  <c r="AG121" i="3"/>
  <c r="C222" i="46"/>
  <c r="M237" i="46"/>
  <c r="M188" i="46"/>
  <c r="M241" i="46"/>
  <c r="M216" i="46"/>
  <c r="AZ25" i="45"/>
  <c r="K206" i="46"/>
  <c r="AG127" i="3"/>
  <c r="EP250" i="46"/>
  <c r="AG152" i="3"/>
  <c r="N143" i="3"/>
  <c r="DL250" i="46"/>
  <c r="DT147" i="3"/>
  <c r="M139" i="3"/>
  <c r="AA139" i="3" s="1"/>
  <c r="M227" i="46"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AG132" i="3"/>
  <c r="N138" i="3"/>
  <c r="AF138" i="3" s="1"/>
  <c r="Z250" i="46"/>
  <c r="DR250" i="46"/>
  <c r="DI250" i="46"/>
  <c r="AE23" i="45"/>
  <c r="M195" i="46"/>
  <c r="FB250" i="46"/>
  <c r="AR250" i="46"/>
  <c r="AL250" i="46"/>
  <c r="AI7" i="45"/>
  <c r="C220" i="46"/>
  <c r="M210" i="46"/>
  <c r="K220" i="46"/>
  <c r="DT131" i="3"/>
  <c r="M138" i="3"/>
  <c r="AA138" i="3" s="1"/>
  <c r="AG131" i="3"/>
  <c r="DF250" i="46"/>
  <c r="BM250" i="46"/>
  <c r="AX250" i="46"/>
  <c r="FE250" i="46"/>
  <c r="DO250" i="46"/>
  <c r="EG250" i="46"/>
  <c r="AI250" i="46"/>
  <c r="CN250" i="46"/>
  <c r="EV250" i="46"/>
  <c r="BY250" i="46"/>
  <c r="BP250" i="46"/>
  <c r="BS250" i="46"/>
  <c r="EY250" i="46"/>
  <c r="CK250" i="46"/>
  <c r="FE252" i="46"/>
  <c r="Z252" i="46"/>
  <c r="CK252" i="46"/>
  <c r="FB252" i="46"/>
  <c r="T252" i="46"/>
  <c r="BD252" i="46"/>
  <c r="DL252" i="46"/>
  <c r="CT252" i="46"/>
  <c r="AC252" i="46"/>
  <c r="CE252" i="46"/>
  <c r="EM252" i="46"/>
  <c r="DX252" i="46"/>
  <c r="BA252" i="46"/>
  <c r="DF252" i="46"/>
  <c r="AL252" i="46"/>
  <c r="BP252" i="46"/>
  <c r="CW252" i="46"/>
  <c r="FH252" i="46"/>
  <c r="CN252" i="46"/>
  <c r="CZ252" i="46"/>
  <c r="DU252" i="46"/>
  <c r="AF252" i="46"/>
  <c r="DO252" i="46"/>
  <c r="AR252" i="46"/>
  <c r="ES252" i="46"/>
  <c r="BG252" i="46"/>
  <c r="EP252" i="46"/>
  <c r="DR252" i="46"/>
  <c r="W252" i="46"/>
  <c r="CH252" i="46"/>
  <c r="BS252" i="46"/>
  <c r="AU252" i="46"/>
  <c r="AX252" i="46"/>
  <c r="DI252" i="46"/>
  <c r="EV252" i="46"/>
  <c r="BJ250" i="46"/>
  <c r="M217" i="46"/>
  <c r="AI44" i="45"/>
  <c r="DT125" i="3"/>
  <c r="M240" i="46"/>
  <c r="AU25" i="45"/>
  <c r="K222" i="46"/>
  <c r="DT127" i="3"/>
  <c r="M189" i="46"/>
  <c r="AE46" i="45"/>
  <c r="K207" i="46"/>
  <c r="M197" i="46"/>
  <c r="AE47" i="45"/>
  <c r="C207" i="46"/>
  <c r="M187" i="46"/>
  <c r="K205" i="46"/>
  <c r="M214" i="46"/>
  <c r="AI31" i="45"/>
  <c r="M212" i="46"/>
  <c r="M186" i="46"/>
  <c r="DT124" i="3"/>
  <c r="K204" i="46"/>
  <c r="M132" i="3"/>
  <c r="AA132" i="3" s="1"/>
  <c r="C221" i="46" s="1"/>
  <c r="AG124" i="3"/>
  <c r="M194" i="46"/>
  <c r="C204" i="46"/>
  <c r="AM38" i="45" a="1"/>
  <c r="AM38" i="45" s="1"/>
  <c r="M229" i="46"/>
  <c r="C206" i="46"/>
  <c r="AE41" i="45"/>
  <c r="AE40" i="45"/>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ES237" i="46" l="1"/>
  <c r="DC250" i="46"/>
  <c r="DC259" i="46" s="1"/>
  <c r="DU250" i="46"/>
  <c r="CH250" i="46"/>
  <c r="CH259" i="46" s="1"/>
  <c r="BD250" i="46"/>
  <c r="CT250" i="46"/>
  <c r="CZ250" i="46"/>
  <c r="CE250" i="46"/>
  <c r="CE259" i="46" s="1"/>
  <c r="FH250" i="46"/>
  <c r="FH259" i="46" s="1"/>
  <c r="EJ250" i="46"/>
  <c r="EJ259" i="46" s="1"/>
  <c r="EA250" i="46"/>
  <c r="EA259" i="46" s="1"/>
  <c r="DX250" i="46"/>
  <c r="DX259" i="46" s="1"/>
  <c r="T250" i="46"/>
  <c r="T259" i="46" s="1"/>
  <c r="CQ250" i="46"/>
  <c r="CQ259" i="46" s="1"/>
  <c r="AC250" i="46"/>
  <c r="AC259" i="46" s="1"/>
  <c r="CW250" i="46"/>
  <c r="CW259" i="46" s="1"/>
  <c r="CB250" i="46"/>
  <c r="CB259" i="46" s="1"/>
  <c r="BV250" i="46"/>
  <c r="BV259" i="46" s="1"/>
  <c r="BG250" i="46"/>
  <c r="FK244" i="46"/>
  <c r="FK245" i="46" s="1"/>
  <c r="CN244" i="46"/>
  <c r="CN245" i="46" s="1"/>
  <c r="W236" i="46"/>
  <c r="BD244" i="46"/>
  <c r="BD245" i="46" s="1"/>
  <c r="AU259" i="46"/>
  <c r="AU247" i="46"/>
  <c r="AU248" i="46" s="1"/>
  <c r="AI43" i="45"/>
  <c r="C223" i="46"/>
  <c r="EM244" i="46"/>
  <c r="EM245" i="46" s="1"/>
  <c r="DT134" i="3"/>
  <c r="BV247" i="46"/>
  <c r="BV248" i="46" s="1"/>
  <c r="BG247" i="46"/>
  <c r="BG248" i="46" s="1"/>
  <c r="CW247" i="46"/>
  <c r="CW248" i="46" s="1"/>
  <c r="CT247" i="46"/>
  <c r="CT248" i="46" s="1"/>
  <c r="FH244" i="46"/>
  <c r="FH245" i="46" s="1"/>
  <c r="EP247" i="46"/>
  <c r="EP248" i="46" s="1"/>
  <c r="BJ247" i="46"/>
  <c r="BJ248" i="46" s="1"/>
  <c r="BY259" i="46"/>
  <c r="EJ247" i="46"/>
  <c r="EJ248" i="46" s="1"/>
  <c r="BG244" i="46"/>
  <c r="BG245" i="46" s="1"/>
  <c r="FE247" i="46"/>
  <c r="FE248" i="46" s="1"/>
  <c r="AL247" i="46"/>
  <c r="AL248" i="46" s="1"/>
  <c r="BS247" i="46"/>
  <c r="BS248" i="46" s="1"/>
  <c r="M213" i="46"/>
  <c r="DF244" i="46"/>
  <c r="DF245" i="46" s="1"/>
  <c r="EG244" i="46"/>
  <c r="EG245" i="46" s="1"/>
  <c r="AR244" i="46"/>
  <c r="AR245" i="46" s="1"/>
  <c r="CB247" i="46"/>
  <c r="CB248" i="46" s="1"/>
  <c r="ES244" i="46"/>
  <c r="ES245" i="46" s="1"/>
  <c r="CN247" i="46"/>
  <c r="CN248" i="46" s="1"/>
  <c r="CT244" i="46"/>
  <c r="CT245" i="46" s="1"/>
  <c r="EY244" i="46"/>
  <c r="EY245" i="46" s="1"/>
  <c r="EV247" i="46"/>
  <c r="EV248" i="46" s="1"/>
  <c r="CH244" i="46"/>
  <c r="CH245" i="46" s="1"/>
  <c r="DU244" i="46"/>
  <c r="DU245" i="46" s="1"/>
  <c r="AO247" i="46"/>
  <c r="AO248" i="46" s="1"/>
  <c r="DO244" i="46"/>
  <c r="DO245" i="46" s="1"/>
  <c r="ED244" i="46"/>
  <c r="ED245" i="46" s="1"/>
  <c r="EP244" i="46"/>
  <c r="EP245" i="46" s="1"/>
  <c r="DL247" i="46"/>
  <c r="DL248" i="46" s="1"/>
  <c r="BP247" i="46"/>
  <c r="BP248" i="46" s="1"/>
  <c r="FB244" i="46"/>
  <c r="FB245" i="46" s="1"/>
  <c r="DR247" i="46"/>
  <c r="DR248" i="46" s="1"/>
  <c r="CE244" i="46"/>
  <c r="CE245" i="46" s="1"/>
  <c r="AO244" i="46"/>
  <c r="AO245" i="46" s="1"/>
  <c r="CZ244" i="46"/>
  <c r="CZ245" i="46" s="1"/>
  <c r="EA236" i="46"/>
  <c r="AC244" i="46"/>
  <c r="AC245" i="46" s="1"/>
  <c r="DX236" i="46"/>
  <c r="EG237" i="46"/>
  <c r="BM244" i="46"/>
  <c r="BM245" i="46" s="1"/>
  <c r="FH247" i="46"/>
  <c r="FH248" i="46" s="1"/>
  <c r="BA247" i="46"/>
  <c r="BA248" i="46" s="1"/>
  <c r="FK259" i="46"/>
  <c r="FB236" i="46"/>
  <c r="DR244" i="46"/>
  <c r="DR245" i="46" s="1"/>
  <c r="FK247" i="46"/>
  <c r="FK248" i="46" s="1"/>
  <c r="BJ259" i="46"/>
  <c r="AL244" i="46"/>
  <c r="AL245" i="46" s="1"/>
  <c r="DO247" i="46"/>
  <c r="DO248" i="46" s="1"/>
  <c r="BD259" i="46"/>
  <c r="BS236" i="46"/>
  <c r="DR237" i="46"/>
  <c r="CK237" i="46"/>
  <c r="CW237" i="46"/>
  <c r="CH237" i="46"/>
  <c r="BA259" i="46"/>
  <c r="AI237" i="46"/>
  <c r="Z237" i="46"/>
  <c r="ES259" i="46"/>
  <c r="EV236" i="46"/>
  <c r="BG237" i="46"/>
  <c r="BJ236" i="46"/>
  <c r="DC236" i="46"/>
  <c r="FH237" i="46"/>
  <c r="CZ259" i="46"/>
  <c r="AO259" i="46"/>
  <c r="CT237" i="46"/>
  <c r="AI244" i="46"/>
  <c r="AI245" i="46" s="1"/>
  <c r="BM237" i="46"/>
  <c r="ES247" i="46"/>
  <c r="ES248" i="46" s="1"/>
  <c r="FK236" i="46"/>
  <c r="EJ236" i="46"/>
  <c r="ED259" i="46"/>
  <c r="AX237" i="46"/>
  <c r="F7" i="48" a="1"/>
  <c r="F7" i="48" s="1"/>
  <c r="E8" i="48"/>
  <c r="AX247" i="46"/>
  <c r="AX248" i="46" s="1"/>
  <c r="BS244" i="46"/>
  <c r="BS245" i="46" s="1"/>
  <c r="EA244" i="46"/>
  <c r="EA245" i="46" s="1"/>
  <c r="DC244" i="46"/>
  <c r="DC245" i="46" s="1"/>
  <c r="EM247" i="46"/>
  <c r="EM248" i="46" s="1"/>
  <c r="DI247" i="46"/>
  <c r="DI248" i="46" s="1"/>
  <c r="DU247" i="46"/>
  <c r="DU248" i="46" s="1"/>
  <c r="BY247" i="46"/>
  <c r="BY248" i="46" s="1"/>
  <c r="FE244" i="46"/>
  <c r="FE245" i="46" s="1"/>
  <c r="EV244" i="46"/>
  <c r="EV245" i="46" s="1"/>
  <c r="W244" i="46"/>
  <c r="W245" i="46" s="1"/>
  <c r="FB247" i="46"/>
  <c r="FB248" i="46" s="1"/>
  <c r="CH247" i="46"/>
  <c r="CH248" i="46" s="1"/>
  <c r="DF247" i="46"/>
  <c r="DF248" i="46" s="1"/>
  <c r="CW244" i="46"/>
  <c r="CW245" i="46" s="1"/>
  <c r="EA247" i="46"/>
  <c r="EA248" i="46" s="1"/>
  <c r="BG259" i="46"/>
  <c r="DL244" i="46"/>
  <c r="DL245" i="46" s="1"/>
  <c r="DI244" i="46"/>
  <c r="DI245" i="46" s="1"/>
  <c r="EJ244" i="46"/>
  <c r="EJ245" i="46" s="1"/>
  <c r="Z247" i="46"/>
  <c r="Z248" i="46" s="1"/>
  <c r="CZ247" i="46"/>
  <c r="CZ248" i="46" s="1"/>
  <c r="EP259" i="46"/>
  <c r="EY259" i="46"/>
  <c r="AX244" i="46"/>
  <c r="AX245" i="46" s="1"/>
  <c r="BP244" i="46"/>
  <c r="BP245" i="46" s="1"/>
  <c r="BM247" i="46"/>
  <c r="BM248" i="46" s="1"/>
  <c r="ED247" i="46"/>
  <c r="ED248" i="46" s="1"/>
  <c r="BV244" i="46"/>
  <c r="BV245" i="46" s="1"/>
  <c r="T244" i="46"/>
  <c r="T245" i="46" s="1"/>
  <c r="AF244" i="46"/>
  <c r="AF245" i="46" s="1"/>
  <c r="W247" i="46"/>
  <c r="W248" i="46" s="1"/>
  <c r="AR247" i="46"/>
  <c r="AR248" i="46" s="1"/>
  <c r="EG247" i="46"/>
  <c r="EG248" i="46" s="1"/>
  <c r="CT259" i="46"/>
  <c r="BA244" i="46"/>
  <c r="BA245" i="46" s="1"/>
  <c r="DC247" i="46"/>
  <c r="DC248" i="46" s="1"/>
  <c r="CQ244" i="46"/>
  <c r="CQ245" i="46" s="1"/>
  <c r="AC247" i="46"/>
  <c r="AC248" i="46" s="1"/>
  <c r="CK247" i="46"/>
  <c r="CK248" i="46" s="1"/>
  <c r="DX247" i="46"/>
  <c r="DX248" i="46" s="1"/>
  <c r="Z244" i="46"/>
  <c r="Z245" i="46" s="1"/>
  <c r="AU244" i="46"/>
  <c r="AU245" i="46" s="1"/>
  <c r="BJ244" i="46"/>
  <c r="BJ245" i="46" s="1"/>
  <c r="CK244" i="46"/>
  <c r="CK245" i="46" s="1"/>
  <c r="DF259" i="46"/>
  <c r="CE247" i="46"/>
  <c r="CE248" i="46" s="1"/>
  <c r="AF247" i="46"/>
  <c r="AF248" i="46" s="1"/>
  <c r="EY247" i="46"/>
  <c r="EY248" i="46" s="1"/>
  <c r="BY244" i="46"/>
  <c r="BY245" i="46" s="1"/>
  <c r="DX244" i="46"/>
  <c r="DX245" i="46" s="1"/>
  <c r="CB244" i="46"/>
  <c r="CB245" i="46" s="1"/>
  <c r="CQ247" i="46"/>
  <c r="CQ248" i="46" s="1"/>
  <c r="CW236" i="46"/>
  <c r="AI247" i="46"/>
  <c r="AI248" i="46" s="1"/>
  <c r="T247" i="46"/>
  <c r="T248" i="46" s="1"/>
  <c r="DL259" i="46"/>
  <c r="CE236" i="46"/>
  <c r="BD237" i="46"/>
  <c r="DI237" i="46"/>
  <c r="AI259" i="46"/>
  <c r="W259" i="46"/>
  <c r="EM236" i="46"/>
  <c r="DU236" i="46"/>
  <c r="BA237" i="46"/>
  <c r="DI236" i="46"/>
  <c r="T237" i="46"/>
  <c r="AL237" i="46"/>
  <c r="ES236" i="46"/>
  <c r="ES238" i="46" s="1"/>
  <c r="CH236" i="46"/>
  <c r="AC237" i="46"/>
  <c r="ED237" i="46"/>
  <c r="CZ237" i="46"/>
  <c r="DF237" i="46"/>
  <c r="AR237" i="46"/>
  <c r="EY236" i="46"/>
  <c r="EV237" i="46"/>
  <c r="EV238" i="46" s="1"/>
  <c r="CN237" i="46"/>
  <c r="CN236" i="46"/>
  <c r="BD236" i="46"/>
  <c r="CT236" i="46"/>
  <c r="BV237" i="46"/>
  <c r="BS237" i="46"/>
  <c r="DO236" i="46"/>
  <c r="BG236" i="46"/>
  <c r="AR236" i="46"/>
  <c r="DU237" i="46"/>
  <c r="AF237" i="46"/>
  <c r="BV236" i="46"/>
  <c r="CK236" i="46"/>
  <c r="DL236" i="46"/>
  <c r="CB236" i="46"/>
  <c r="ED236" i="46"/>
  <c r="FE237" i="46"/>
  <c r="BY236" i="46"/>
  <c r="T236" i="46"/>
  <c r="BP236" i="46"/>
  <c r="FB237" i="46"/>
  <c r="EJ237" i="46"/>
  <c r="AI236" i="46"/>
  <c r="BM236" i="46"/>
  <c r="EY237" i="46"/>
  <c r="CE237" i="46"/>
  <c r="DR236" i="46"/>
  <c r="CZ236" i="46"/>
  <c r="AL236" i="46"/>
  <c r="EA237" i="46"/>
  <c r="AU237" i="46"/>
  <c r="EP237" i="46"/>
  <c r="AO236" i="46"/>
  <c r="DC237" i="46"/>
  <c r="EP236" i="46"/>
  <c r="W237" i="46"/>
  <c r="BY237" i="46"/>
  <c r="AO237" i="46"/>
  <c r="AU236" i="46"/>
  <c r="AC236" i="46"/>
  <c r="CQ237" i="46"/>
  <c r="DF236" i="46"/>
  <c r="CQ236" i="46"/>
  <c r="BA236" i="46"/>
  <c r="BA238" i="46" s="1"/>
  <c r="DO237" i="46"/>
  <c r="CB237" i="46"/>
  <c r="FK237" i="46"/>
  <c r="BJ237" i="46"/>
  <c r="AX236" i="46"/>
  <c r="EG259" i="46"/>
  <c r="EM259" i="46"/>
  <c r="FH236" i="46"/>
  <c r="FE236" i="46"/>
  <c r="DX237" i="46"/>
  <c r="AR259" i="46"/>
  <c r="Z236" i="46"/>
  <c r="EG236" i="46"/>
  <c r="EM237" i="46"/>
  <c r="C233" i="46"/>
  <c r="K233" i="46"/>
  <c r="AM37" i="45"/>
  <c r="DT139" i="3"/>
  <c r="BP237" i="46"/>
  <c r="AF236" i="46"/>
  <c r="DL237" i="46"/>
  <c r="AF259" i="46"/>
  <c r="BM259" i="46"/>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FB259" i="46"/>
  <c r="A14" i="3"/>
  <c r="BD11" i="3"/>
  <c r="AI19" i="32"/>
  <c r="BD8" i="3"/>
  <c r="A7" i="3"/>
  <c r="BD9" i="3"/>
  <c r="A8" i="3"/>
  <c r="A94" i="3"/>
  <c r="BD51" i="3"/>
  <c r="BC35" i="3"/>
  <c r="AM13" i="45"/>
  <c r="M226" i="46"/>
  <c r="K232" i="46"/>
  <c r="DT138" i="3"/>
  <c r="BD40" i="3"/>
  <c r="A71" i="3"/>
  <c r="AI46" i="32"/>
  <c r="BC46" i="3"/>
  <c r="A22" i="3"/>
  <c r="BD15" i="3"/>
  <c r="AI44" i="32"/>
  <c r="AI17" i="32"/>
  <c r="AI48" i="32"/>
  <c r="EV259" i="46"/>
  <c r="AI43" i="32"/>
  <c r="AI5" i="32"/>
  <c r="AI22" i="32"/>
  <c r="AI23" i="32"/>
  <c r="A87" i="3"/>
  <c r="BD48" i="3"/>
  <c r="BD28" i="3"/>
  <c r="A47" i="3"/>
  <c r="CK259" i="46"/>
  <c r="CN259" i="46"/>
  <c r="A61" i="3"/>
  <c r="BD34" i="3"/>
  <c r="A29" i="3"/>
  <c r="BD18" i="3"/>
  <c r="AI32" i="32"/>
  <c r="AI50" i="32"/>
  <c r="AI27" i="32"/>
  <c r="AF72" i="3"/>
  <c r="AY70" i="3"/>
  <c r="AA68" i="3"/>
  <c r="AA70" i="3"/>
  <c r="BD6" i="3"/>
  <c r="A5" i="3"/>
  <c r="DO241" i="46"/>
  <c r="EP241" i="46"/>
  <c r="BM240" i="46"/>
  <c r="DL240" i="46"/>
  <c r="AU240" i="46"/>
  <c r="DU240" i="46"/>
  <c r="BM241" i="46"/>
  <c r="FK241" i="46"/>
  <c r="BJ240" i="46"/>
  <c r="DI240" i="46"/>
  <c r="FH240" i="46"/>
  <c r="CH241" i="46"/>
  <c r="DF241" i="46"/>
  <c r="ED241" i="46"/>
  <c r="AI240" i="46"/>
  <c r="CH240" i="46"/>
  <c r="EG240" i="46"/>
  <c r="AI241" i="46"/>
  <c r="EJ241" i="46"/>
  <c r="FH241" i="46"/>
  <c r="ES240" i="46"/>
  <c r="BD240" i="46"/>
  <c r="CE240" i="46"/>
  <c r="ED240" i="46"/>
  <c r="AF241" i="46"/>
  <c r="CE241" i="46"/>
  <c r="DO240" i="46"/>
  <c r="EM240" i="46"/>
  <c r="CB240" i="46"/>
  <c r="DC240" i="46"/>
  <c r="FB240" i="46"/>
  <c r="BD241" i="46"/>
  <c r="DC241" i="46"/>
  <c r="CK241" i="46"/>
  <c r="AR241" i="46"/>
  <c r="DX240" i="46"/>
  <c r="EY240" i="46"/>
  <c r="BA241" i="46"/>
  <c r="CZ241" i="46"/>
  <c r="EY241" i="46"/>
  <c r="BA240" i="46"/>
  <c r="W240" i="46"/>
  <c r="EV240" i="46"/>
  <c r="Z241" i="46"/>
  <c r="BY241" i="46"/>
  <c r="DX241" i="46"/>
  <c r="AC240" i="46"/>
  <c r="DR240" i="46"/>
  <c r="BY240" i="46"/>
  <c r="CQ241" i="46"/>
  <c r="AO240" i="46"/>
  <c r="EG241" i="46"/>
  <c r="Z240" i="46"/>
  <c r="EM241" i="46"/>
  <c r="CK240" i="46"/>
  <c r="CW240" i="46"/>
  <c r="CQ240" i="46"/>
  <c r="BG240" i="46"/>
  <c r="FE240" i="46"/>
  <c r="AX240" i="46"/>
  <c r="EA240" i="46"/>
  <c r="CB241" i="46"/>
  <c r="FB241" i="46"/>
  <c r="AX241" i="46"/>
  <c r="EV241" i="46"/>
  <c r="AL241" i="46"/>
  <c r="BV241" i="46"/>
  <c r="AR240" i="46"/>
  <c r="CN241" i="46"/>
  <c r="CT241" i="46"/>
  <c r="BP240" i="46"/>
  <c r="FE241" i="46"/>
  <c r="DR241" i="46"/>
  <c r="CN240" i="46"/>
  <c r="BS240" i="46"/>
  <c r="T240" i="46"/>
  <c r="AL240" i="46"/>
  <c r="EJ240" i="46"/>
  <c r="AO241" i="46"/>
  <c r="T241" i="46"/>
  <c r="AF240" i="46"/>
  <c r="AF242" i="46" s="1"/>
  <c r="DF240" i="46"/>
  <c r="BG241" i="46"/>
  <c r="BV240" i="46"/>
  <c r="CZ240" i="46"/>
  <c r="AC241" i="46"/>
  <c r="EA241" i="46"/>
  <c r="DI241" i="46"/>
  <c r="W241" i="46"/>
  <c r="CW241" i="46"/>
  <c r="CT240" i="46"/>
  <c r="EP240" i="46"/>
  <c r="ES241" i="46"/>
  <c r="FK240" i="46"/>
  <c r="BP241" i="46"/>
  <c r="BJ241" i="46"/>
  <c r="DL241" i="46"/>
  <c r="AU241" i="46"/>
  <c r="BS241" i="46"/>
  <c r="DU241" i="46"/>
  <c r="AI28" i="32"/>
  <c r="DO259" i="46"/>
  <c r="M228" i="46"/>
  <c r="AM14" i="45"/>
  <c r="C232" i="46"/>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BS259" i="46"/>
  <c r="FE259" i="46"/>
  <c r="DI259" i="46"/>
  <c r="A79" i="3"/>
  <c r="BD44" i="3"/>
  <c r="AI40" i="32"/>
  <c r="AI19" i="45"/>
  <c r="M211" i="46"/>
  <c r="K221" i="46"/>
  <c r="DT132" i="3"/>
  <c r="AX259" i="46"/>
  <c r="DR259" i="46"/>
  <c r="BD33" i="3"/>
  <c r="A56" i="3"/>
  <c r="AI47" i="32"/>
  <c r="AI35" i="32"/>
  <c r="A37" i="3"/>
  <c r="BD22" i="3"/>
  <c r="BC20" i="3"/>
  <c r="A6" i="3"/>
  <c r="BD7" i="3"/>
  <c r="BD21" i="3"/>
  <c r="A32" i="3"/>
  <c r="A63" i="3"/>
  <c r="BD36" i="3"/>
  <c r="BP259" i="46"/>
  <c r="DU259" i="46"/>
  <c r="AL259" i="46"/>
  <c r="Z259" i="46"/>
  <c r="DL220" i="46" l="1"/>
  <c r="W238" i="46"/>
  <c r="CT238" i="46"/>
  <c r="FB238" i="46"/>
  <c r="DU217" i="46"/>
  <c r="BY242" i="46"/>
  <c r="CK238" i="46"/>
  <c r="EJ238" i="46"/>
  <c r="EG238" i="46"/>
  <c r="EA238" i="46"/>
  <c r="AL242" i="46"/>
  <c r="AI238" i="46"/>
  <c r="DC238" i="46"/>
  <c r="CH238" i="46"/>
  <c r="BS238" i="46"/>
  <c r="CW238" i="46"/>
  <c r="DR238" i="46"/>
  <c r="DX238" i="46"/>
  <c r="FK238" i="46"/>
  <c r="FH238" i="46"/>
  <c r="EA242" i="46"/>
  <c r="BM238" i="46"/>
  <c r="AX238" i="46"/>
  <c r="BG238" i="46"/>
  <c r="BJ238" i="46"/>
  <c r="Z238" i="46"/>
  <c r="CN238" i="46"/>
  <c r="Z242" i="46"/>
  <c r="CK213" i="46"/>
  <c r="AL238" i="46"/>
  <c r="BA210" i="46"/>
  <c r="FK217" i="46"/>
  <c r="EP242" i="46"/>
  <c r="AF210" i="46"/>
  <c r="DU242" i="46"/>
  <c r="AC242" i="46"/>
  <c r="DF238" i="46"/>
  <c r="EV223" i="46"/>
  <c r="CQ238" i="46"/>
  <c r="EY238" i="46"/>
  <c r="BG222" i="46"/>
  <c r="FE242" i="46"/>
  <c r="FE238" i="46"/>
  <c r="E9" i="48"/>
  <c r="F8" i="48" a="1"/>
  <c r="F8" i="48" s="1"/>
  <c r="EA213" i="46"/>
  <c r="CT220" i="46"/>
  <c r="EP213" i="46"/>
  <c r="FB214" i="46"/>
  <c r="DO212" i="46"/>
  <c r="EY215" i="46"/>
  <c r="ED211" i="46"/>
  <c r="EP214" i="46"/>
  <c r="BG216" i="46"/>
  <c r="CE211" i="46"/>
  <c r="Z220" i="46"/>
  <c r="DX210" i="46"/>
  <c r="DF242" i="46"/>
  <c r="DL238" i="46"/>
  <c r="AR238" i="46"/>
  <c r="AO238" i="46"/>
  <c r="EM238" i="46"/>
  <c r="EP238" i="46"/>
  <c r="DO238" i="46"/>
  <c r="AF238" i="46"/>
  <c r="T238" i="46"/>
  <c r="M238" i="46"/>
  <c r="BG221" i="46"/>
  <c r="CH222" i="46"/>
  <c r="FH211" i="46"/>
  <c r="EV220" i="46"/>
  <c r="EG211" i="46"/>
  <c r="DF215" i="46"/>
  <c r="FB216" i="46"/>
  <c r="DR214" i="46"/>
  <c r="AR223" i="46"/>
  <c r="DX222" i="46"/>
  <c r="BY238" i="46"/>
  <c r="DI215" i="46"/>
  <c r="DL213" i="46"/>
  <c r="BJ217" i="46"/>
  <c r="BJ210" i="46"/>
  <c r="DI212" i="46"/>
  <c r="AI220" i="46"/>
  <c r="FH222" i="46"/>
  <c r="DI238" i="46"/>
  <c r="BD238" i="46"/>
  <c r="EG212" i="46"/>
  <c r="BM217" i="46"/>
  <c r="BP238" i="46"/>
  <c r="AI216" i="46"/>
  <c r="AX242" i="46"/>
  <c r="AR215" i="46"/>
  <c r="EM210" i="46"/>
  <c r="EA211" i="46"/>
  <c r="AI211" i="46"/>
  <c r="CB220" i="46"/>
  <c r="EY220" i="46"/>
  <c r="CZ242" i="46"/>
  <c r="BP242" i="46"/>
  <c r="CQ242" i="46"/>
  <c r="EV242" i="46"/>
  <c r="CB242" i="46"/>
  <c r="AI242" i="46"/>
  <c r="ED238" i="46"/>
  <c r="CE238" i="46"/>
  <c r="DR223" i="46"/>
  <c r="AR211" i="46"/>
  <c r="BD211" i="46"/>
  <c r="BG211" i="46"/>
  <c r="FE221" i="46"/>
  <c r="FH216" i="46"/>
  <c r="AX211" i="46"/>
  <c r="AF211" i="46"/>
  <c r="BM215" i="46"/>
  <c r="EJ215" i="46"/>
  <c r="CK220" i="46"/>
  <c r="BJ221" i="46"/>
  <c r="BV242" i="46"/>
  <c r="CW242" i="46"/>
  <c r="CB238" i="46"/>
  <c r="DU238" i="46"/>
  <c r="EM217" i="46"/>
  <c r="BJ222" i="46"/>
  <c r="DO217" i="46"/>
  <c r="BA214" i="46"/>
  <c r="AO220" i="46"/>
  <c r="EV215" i="46"/>
  <c r="CW210" i="46"/>
  <c r="CT216" i="46"/>
  <c r="BV214" i="46"/>
  <c r="BS222" i="46"/>
  <c r="CT221" i="46"/>
  <c r="CK242" i="46"/>
  <c r="CZ238" i="46"/>
  <c r="DC215" i="46"/>
  <c r="AR216" i="46"/>
  <c r="BA221" i="46"/>
  <c r="BS212" i="46"/>
  <c r="DF216" i="46"/>
  <c r="EJ210" i="46"/>
  <c r="FH242" i="46"/>
  <c r="AC238" i="46"/>
  <c r="BV238" i="46"/>
  <c r="ED221" i="46"/>
  <c r="AF216" i="46"/>
  <c r="BM212" i="46"/>
  <c r="DU223" i="46"/>
  <c r="AR242" i="46"/>
  <c r="DI217" i="46"/>
  <c r="CE220" i="46"/>
  <c r="W221" i="46"/>
  <c r="DR217" i="46"/>
  <c r="CK214" i="46"/>
  <c r="EJ212" i="46"/>
  <c r="FE213" i="46"/>
  <c r="FH223" i="46"/>
  <c r="AC221" i="46"/>
  <c r="FK242" i="46"/>
  <c r="DI242" i="46"/>
  <c r="AU238" i="46"/>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K61" i="46" s="1"/>
  <c r="AY31" i="3"/>
  <c r="AF28" i="3"/>
  <c r="AF31" i="3"/>
  <c r="AF39" i="3"/>
  <c r="AY39" i="3"/>
  <c r="AF36" i="3"/>
  <c r="AA40" i="3"/>
  <c r="AF40" i="3"/>
  <c r="AA37" i="3"/>
  <c r="AY40" i="3"/>
  <c r="AF38" i="3"/>
  <c r="AY71" i="3"/>
  <c r="AF71" i="3"/>
  <c r="AA73" i="3"/>
  <c r="AF68" i="3"/>
  <c r="DT68" i="3" s="1"/>
  <c r="AA63" i="3"/>
  <c r="AA65" i="3"/>
  <c r="AF61" i="3"/>
  <c r="AY65" i="3"/>
  <c r="FH210" i="46"/>
  <c r="FK212" i="46"/>
  <c r="CB212" i="46"/>
  <c r="FK215" i="46"/>
  <c r="CN210" i="46"/>
  <c r="CW211" i="46"/>
  <c r="CW214" i="46"/>
  <c r="DC217" i="46"/>
  <c r="BV212" i="46"/>
  <c r="CB216" i="46"/>
  <c r="DF214" i="46"/>
  <c r="EY210" i="46"/>
  <c r="DC212" i="46"/>
  <c r="EM213" i="46"/>
  <c r="BG210" i="46"/>
  <c r="FH217" i="46"/>
  <c r="CQ213" i="46"/>
  <c r="FE212" i="46"/>
  <c r="CN217" i="46"/>
  <c r="AU213" i="46"/>
  <c r="AO212" i="46"/>
  <c r="FB213" i="46"/>
  <c r="BD210" i="46"/>
  <c r="ED213" i="46"/>
  <c r="W210" i="46"/>
  <c r="CH213" i="46"/>
  <c r="ED212" i="46"/>
  <c r="Z217" i="46"/>
  <c r="DR210" i="46"/>
  <c r="CT223" i="46"/>
  <c r="AF222" i="46"/>
  <c r="EY222" i="46"/>
  <c r="Z222" i="46"/>
  <c r="CW220" i="46"/>
  <c r="EY223" i="46"/>
  <c r="EM220" i="46"/>
  <c r="CK222" i="46"/>
  <c r="AL223" i="46"/>
  <c r="BM222" i="46"/>
  <c r="AO222" i="46"/>
  <c r="DR221" i="46"/>
  <c r="AX223" i="46"/>
  <c r="BS220" i="46"/>
  <c r="W242" i="46"/>
  <c r="EM242" i="46"/>
  <c r="AA7" i="3"/>
  <c r="AA4" i="3"/>
  <c r="AF8" i="3"/>
  <c r="AY6" i="3"/>
  <c r="O15" i="45"/>
  <c r="AB64" i="3" a="1"/>
  <c r="AB64" i="3" s="1"/>
  <c r="BC10" i="3"/>
  <c r="BC21" i="3"/>
  <c r="AY57" i="3"/>
  <c r="AA57" i="3"/>
  <c r="AF53" i="3"/>
  <c r="AA55" i="3"/>
  <c r="DL210" i="46"/>
  <c r="EG214" i="46"/>
  <c r="ES216" i="46"/>
  <c r="BG212" i="46"/>
  <c r="AO214" i="46"/>
  <c r="DR212" i="46"/>
  <c r="EV216" i="46"/>
  <c r="BV213" i="46"/>
  <c r="W212" i="46"/>
  <c r="BG213" i="46"/>
  <c r="DR215" i="46"/>
  <c r="CH210" i="46"/>
  <c r="AL215" i="46"/>
  <c r="BV215" i="46"/>
  <c r="DF212" i="46"/>
  <c r="EM214" i="46"/>
  <c r="EY214" i="46"/>
  <c r="BJ212" i="46"/>
  <c r="BS214" i="46"/>
  <c r="DC214" i="46"/>
  <c r="FE211" i="46"/>
  <c r="AU217" i="46"/>
  <c r="EP210" i="46"/>
  <c r="W217" i="46"/>
  <c r="DI210" i="46"/>
  <c r="DX216" i="46"/>
  <c r="AX210" i="46"/>
  <c r="DU214" i="46"/>
  <c r="BA211" i="46"/>
  <c r="AR220" i="46"/>
  <c r="AO223" i="46"/>
  <c r="T223" i="46"/>
  <c r="CB221" i="46"/>
  <c r="FK220" i="46"/>
  <c r="FE222" i="46"/>
  <c r="CQ223" i="46"/>
  <c r="CQ221" i="46"/>
  <c r="BP222" i="46"/>
  <c r="BA223" i="46"/>
  <c r="AC223" i="46"/>
  <c r="ED222" i="46"/>
  <c r="ED220" i="46"/>
  <c r="BY222" i="46"/>
  <c r="BA242" i="46"/>
  <c r="DO242" i="46"/>
  <c r="BC6" i="3"/>
  <c r="BC51" i="3"/>
  <c r="R14" i="45"/>
  <c r="AE63" i="3" a="1"/>
  <c r="AE63" i="3" s="1"/>
  <c r="AA15" i="3"/>
  <c r="AY14" i="3"/>
  <c r="AA12" i="3"/>
  <c r="AF16" i="3"/>
  <c r="BC33" i="3"/>
  <c r="AA23" i="3"/>
  <c r="AA20" i="3"/>
  <c r="AF24" i="3"/>
  <c r="AY22" i="3"/>
  <c r="EY212" i="46"/>
  <c r="EM212" i="46"/>
  <c r="AI214" i="46"/>
  <c r="CQ217" i="46"/>
  <c r="BY215" i="46"/>
  <c r="DI211" i="46"/>
  <c r="BA216" i="46"/>
  <c r="AO216" i="46"/>
  <c r="EV210" i="46"/>
  <c r="DX211" i="46"/>
  <c r="DX214" i="46"/>
  <c r="T211" i="46"/>
  <c r="BP214" i="46"/>
  <c r="CB214" i="46"/>
  <c r="T214" i="46"/>
  <c r="DU213" i="46"/>
  <c r="AF214" i="46"/>
  <c r="T210" i="46"/>
  <c r="BY213" i="46"/>
  <c r="DI213" i="46"/>
  <c r="AC212" i="46"/>
  <c r="FB211" i="46"/>
  <c r="DX217" i="46"/>
  <c r="AU210" i="46"/>
  <c r="EM216" i="46"/>
  <c r="EJ217" i="46"/>
  <c r="T217" i="46"/>
  <c r="EG215" i="46"/>
  <c r="AC210" i="46"/>
  <c r="FK223" i="46"/>
  <c r="CW221" i="46"/>
  <c r="DO223" i="46"/>
  <c r="BY223" i="46"/>
  <c r="EM223" i="46"/>
  <c r="DL221" i="46"/>
  <c r="AX220" i="46"/>
  <c r="BM220" i="46"/>
  <c r="AU221" i="46"/>
  <c r="FH221" i="46"/>
  <c r="EJ221" i="46"/>
  <c r="CN221" i="46"/>
  <c r="DR222" i="46"/>
  <c r="EJ223" i="46"/>
  <c r="AY9" i="3"/>
  <c r="AA6" i="3"/>
  <c r="AF5" i="3"/>
  <c r="AA8" i="3"/>
  <c r="BC50" i="3"/>
  <c r="BM213" i="46"/>
  <c r="T212" i="46"/>
  <c r="W214" i="46"/>
  <c r="Z214" i="46"/>
  <c r="FE216" i="46"/>
  <c r="CB211" i="46"/>
  <c r="CZ212" i="46"/>
  <c r="AR213" i="46"/>
  <c r="ES210" i="46"/>
  <c r="FH214" i="46"/>
  <c r="AX217" i="46"/>
  <c r="CZ217" i="46"/>
  <c r="BV210" i="46"/>
  <c r="EA216" i="46"/>
  <c r="BG217" i="46"/>
  <c r="DR211" i="46"/>
  <c r="CE216" i="46"/>
  <c r="BM214" i="46"/>
  <c r="BP211" i="46"/>
  <c r="DL215" i="46"/>
  <c r="AL217" i="46"/>
  <c r="FB215" i="46"/>
  <c r="CQ216" i="46"/>
  <c r="ED215" i="46"/>
  <c r="CE212" i="46"/>
  <c r="CH215" i="46"/>
  <c r="BS216" i="46"/>
  <c r="CE213" i="46"/>
  <c r="BS223" i="46"/>
  <c r="ES223" i="46"/>
  <c r="DF220" i="46"/>
  <c r="CE222" i="46"/>
  <c r="EA221" i="46"/>
  <c r="CN220" i="46"/>
  <c r="BG223" i="46"/>
  <c r="ES222" i="46"/>
  <c r="BD220" i="46"/>
  <c r="BG220" i="46"/>
  <c r="BY220" i="46"/>
  <c r="CB222" i="46"/>
  <c r="ED223" i="46"/>
  <c r="BV222" i="46"/>
  <c r="ED242" i="46"/>
  <c r="AB70" i="3" a="1"/>
  <c r="AB70" i="3" s="1"/>
  <c r="O21" i="45"/>
  <c r="BC15" i="3"/>
  <c r="BC9" i="3"/>
  <c r="R11" i="45"/>
  <c r="AE60" i="3" a="1"/>
  <c r="AE60" i="3" s="1"/>
  <c r="AY94" i="3"/>
  <c r="AA94" i="3"/>
  <c r="AF96" i="3"/>
  <c r="AA92" i="3"/>
  <c r="CW212" i="46"/>
  <c r="ES215" i="46"/>
  <c r="CZ211" i="46"/>
  <c r="CW216" i="46"/>
  <c r="CN213" i="46"/>
  <c r="W211" i="46"/>
  <c r="BG215" i="46"/>
  <c r="CQ215" i="46"/>
  <c r="AF215" i="46"/>
  <c r="EG210" i="46"/>
  <c r="AC214" i="46"/>
  <c r="CH217" i="46"/>
  <c r="DO211" i="46"/>
  <c r="BJ213" i="46"/>
  <c r="AU216" i="46"/>
  <c r="FE210" i="46"/>
  <c r="DU212" i="46"/>
  <c r="EV217" i="46"/>
  <c r="BM210" i="46"/>
  <c r="CB210" i="46"/>
  <c r="CT213" i="46"/>
  <c r="DX213" i="46"/>
  <c r="BV211" i="46"/>
  <c r="CZ213" i="46"/>
  <c r="CB217" i="46"/>
  <c r="BD213" i="46"/>
  <c r="DO216" i="46"/>
  <c r="DU216" i="46"/>
  <c r="DI223" i="46"/>
  <c r="BV223" i="46"/>
  <c r="AX222" i="46"/>
  <c r="DO220" i="46"/>
  <c r="CH220" i="46"/>
  <c r="CQ220" i="46"/>
  <c r="DI222" i="46"/>
  <c r="FB221" i="46"/>
  <c r="ES220" i="46"/>
  <c r="DC220" i="46"/>
  <c r="CZ220" i="46"/>
  <c r="DF221" i="46"/>
  <c r="CZ221" i="46"/>
  <c r="CH223" i="46"/>
  <c r="AO242" i="46"/>
  <c r="EY242" i="46"/>
  <c r="CE242" i="46"/>
  <c r="BJ242" i="46"/>
  <c r="O19" i="45"/>
  <c r="AB68" i="3" a="1"/>
  <c r="AB68" i="3" s="1"/>
  <c r="BC18" i="3"/>
  <c r="AF20" i="3"/>
  <c r="AF22" i="3"/>
  <c r="AA25" i="3"/>
  <c r="AY23" i="3"/>
  <c r="DO233" i="46"/>
  <c r="AF232" i="46"/>
  <c r="BD233" i="46"/>
  <c r="EY233" i="46"/>
  <c r="AR233" i="46"/>
  <c r="EJ233" i="46"/>
  <c r="EG232" i="46"/>
  <c r="EP232" i="46"/>
  <c r="DL232" i="46"/>
  <c r="CW233" i="46"/>
  <c r="DC232" i="46"/>
  <c r="DF232" i="46"/>
  <c r="ED233" i="46"/>
  <c r="AO232" i="46"/>
  <c r="EM232" i="46"/>
  <c r="Z233" i="46"/>
  <c r="ES233" i="46"/>
  <c r="EV232" i="46"/>
  <c r="EY232" i="46"/>
  <c r="BP233" i="46"/>
  <c r="BY232" i="46"/>
  <c r="FB232" i="46"/>
  <c r="AX233" i="46"/>
  <c r="AU232" i="46"/>
  <c r="AI233" i="46"/>
  <c r="AO233" i="46"/>
  <c r="EG233" i="46"/>
  <c r="CW232" i="46"/>
  <c r="CN232" i="46"/>
  <c r="CT233" i="46"/>
  <c r="CZ233" i="46"/>
  <c r="EJ232" i="46"/>
  <c r="CN233" i="46"/>
  <c r="DO232" i="46"/>
  <c r="DR233" i="46"/>
  <c r="DX233" i="46"/>
  <c r="DF233" i="46"/>
  <c r="FB233" i="46"/>
  <c r="BS232" i="46"/>
  <c r="EP233" i="46"/>
  <c r="EV233" i="46"/>
  <c r="FH233" i="46"/>
  <c r="FE233" i="46"/>
  <c r="W233" i="46"/>
  <c r="BV232" i="46"/>
  <c r="AI232" i="46"/>
  <c r="BD232" i="46"/>
  <c r="AL233" i="46"/>
  <c r="AU233" i="46"/>
  <c r="CZ232" i="46"/>
  <c r="DR232" i="46"/>
  <c r="CT232" i="46"/>
  <c r="CK232" i="46"/>
  <c r="BS233" i="46"/>
  <c r="AC233" i="46"/>
  <c r="BG233" i="46"/>
  <c r="DI233" i="46"/>
  <c r="BM232" i="46"/>
  <c r="T232" i="46"/>
  <c r="CQ233" i="46"/>
  <c r="BA233" i="46"/>
  <c r="CE233" i="46"/>
  <c r="BJ233" i="46"/>
  <c r="ES232" i="46"/>
  <c r="T233" i="46"/>
  <c r="EM233" i="46"/>
  <c r="BY233" i="46"/>
  <c r="DC233" i="46"/>
  <c r="DL233" i="46"/>
  <c r="BA232" i="46"/>
  <c r="FK233" i="46"/>
  <c r="DU233" i="46"/>
  <c r="EA233" i="46"/>
  <c r="CE232" i="46"/>
  <c r="DI232" i="46"/>
  <c r="AR232" i="46"/>
  <c r="BJ232" i="46"/>
  <c r="CB232" i="46"/>
  <c r="BM233" i="46"/>
  <c r="AC232" i="46"/>
  <c r="BG232" i="46"/>
  <c r="ED232" i="46"/>
  <c r="CQ232" i="46"/>
  <c r="DX232" i="46"/>
  <c r="DU232" i="46"/>
  <c r="CH232" i="46"/>
  <c r="FH232" i="46"/>
  <c r="FK232" i="46"/>
  <c r="CH233" i="46"/>
  <c r="FE232" i="46"/>
  <c r="CB233" i="46"/>
  <c r="AL232" i="46"/>
  <c r="BP232" i="46"/>
  <c r="CK233" i="46"/>
  <c r="Z232" i="46"/>
  <c r="W232" i="46"/>
  <c r="AX232" i="46"/>
  <c r="EA232" i="46"/>
  <c r="BV233" i="46"/>
  <c r="AF233" i="46"/>
  <c r="AY8" i="3"/>
  <c r="AF7" i="3"/>
  <c r="AA5" i="3"/>
  <c r="AF9" i="3"/>
  <c r="AY56" i="3"/>
  <c r="AA53" i="3"/>
  <c r="AF56" i="3"/>
  <c r="AF54" i="3"/>
  <c r="DF217" i="46"/>
  <c r="CT214" i="46"/>
  <c r="EJ213" i="46"/>
  <c r="CB213" i="46"/>
  <c r="EM215" i="46"/>
  <c r="BP210" i="46"/>
  <c r="CT211" i="46"/>
  <c r="CT217" i="46"/>
  <c r="BD215" i="46"/>
  <c r="Z212" i="46"/>
  <c r="BD216" i="46"/>
  <c r="DX215" i="46"/>
  <c r="FB210" i="46"/>
  <c r="FE215" i="46"/>
  <c r="AX213" i="46"/>
  <c r="CQ210" i="46"/>
  <c r="CK215" i="46"/>
  <c r="CN216" i="46"/>
  <c r="FH212" i="46"/>
  <c r="AO215" i="46"/>
  <c r="EJ216" i="46"/>
  <c r="EP216" i="46"/>
  <c r="DL216" i="46"/>
  <c r="DR216" i="46"/>
  <c r="BP216" i="46"/>
  <c r="BV216" i="46"/>
  <c r="DR213" i="46"/>
  <c r="CQ214" i="46"/>
  <c r="BM223" i="46"/>
  <c r="T222" i="46"/>
  <c r="EV221" i="46"/>
  <c r="DX220" i="46"/>
  <c r="BD223" i="46"/>
  <c r="BV220" i="46"/>
  <c r="DO221" i="46"/>
  <c r="BJ223" i="46"/>
  <c r="AU220" i="46"/>
  <c r="BP220" i="46"/>
  <c r="W223" i="46"/>
  <c r="CZ222" i="46"/>
  <c r="CN222" i="46"/>
  <c r="BD221" i="46"/>
  <c r="EJ242" i="46"/>
  <c r="DX242" i="46"/>
  <c r="BD242" i="46"/>
  <c r="AA28" i="3"/>
  <c r="AY30" i="3"/>
  <c r="AA30" i="3"/>
  <c r="AF32" i="3"/>
  <c r="FB227" i="46"/>
  <c r="BD228" i="46"/>
  <c r="BY226" i="46"/>
  <c r="EA226" i="46"/>
  <c r="Z228" i="46"/>
  <c r="CT227" i="46"/>
  <c r="DI226" i="46"/>
  <c r="DX229" i="46"/>
  <c r="CZ229" i="46"/>
  <c r="Z229" i="46"/>
  <c r="CT228" i="46"/>
  <c r="DO227" i="46"/>
  <c r="Z227" i="46"/>
  <c r="ED228" i="46"/>
  <c r="DO226" i="46"/>
  <c r="EP226" i="46"/>
  <c r="AU229" i="46"/>
  <c r="CB226" i="46"/>
  <c r="ED226" i="46"/>
  <c r="AL229" i="46"/>
  <c r="DI228" i="46"/>
  <c r="AI228" i="46"/>
  <c r="EJ227" i="46"/>
  <c r="BY227" i="46"/>
  <c r="AR226" i="46"/>
  <c r="DF229" i="46"/>
  <c r="FB228" i="46"/>
  <c r="CK229" i="46"/>
  <c r="FK226" i="46"/>
  <c r="BM227" i="46"/>
  <c r="CQ229" i="46"/>
  <c r="DX226" i="46"/>
  <c r="CK226" i="46"/>
  <c r="CN229" i="46"/>
  <c r="FK228" i="46"/>
  <c r="CK228" i="46"/>
  <c r="BM228" i="46"/>
  <c r="EM227" i="46"/>
  <c r="AX227" i="46"/>
  <c r="AL227" i="46"/>
  <c r="CK227" i="46"/>
  <c r="DO229" i="46"/>
  <c r="EV226" i="46"/>
  <c r="AC227" i="46"/>
  <c r="DR229" i="46"/>
  <c r="AO229" i="46"/>
  <c r="DL228" i="46"/>
  <c r="CN228" i="46"/>
  <c r="AO228" i="46"/>
  <c r="BS226" i="46"/>
  <c r="EG227" i="46"/>
  <c r="DU226" i="46"/>
  <c r="FB226" i="46"/>
  <c r="BP227" i="46"/>
  <c r="EA227" i="46"/>
  <c r="EP228" i="46"/>
  <c r="CB229" i="46"/>
  <c r="CE229" i="46"/>
  <c r="BG229" i="46"/>
  <c r="DR227" i="46"/>
  <c r="CQ226" i="46"/>
  <c r="FE227" i="46"/>
  <c r="ES226" i="46"/>
  <c r="BG227" i="46"/>
  <c r="DX227" i="46"/>
  <c r="FK227" i="46"/>
  <c r="AX229" i="46"/>
  <c r="DC229" i="46"/>
  <c r="EG229" i="46"/>
  <c r="CH229" i="46"/>
  <c r="DC228" i="46"/>
  <c r="EM226" i="46"/>
  <c r="AF228" i="46"/>
  <c r="AF226" i="46"/>
  <c r="CQ227" i="46"/>
  <c r="FH227" i="46"/>
  <c r="BJ228" i="46"/>
  <c r="BY229" i="46"/>
  <c r="ED229" i="46"/>
  <c r="FH229" i="46"/>
  <c r="DI229" i="46"/>
  <c r="EP229" i="46"/>
  <c r="BJ227" i="46"/>
  <c r="CB228" i="46"/>
  <c r="BD226" i="46"/>
  <c r="DU227" i="46"/>
  <c r="AC228" i="46"/>
  <c r="EM228" i="46"/>
  <c r="EA229" i="46"/>
  <c r="FE229" i="46"/>
  <c r="BM226" i="46"/>
  <c r="EJ229" i="46"/>
  <c r="EV227" i="46"/>
  <c r="CH227" i="46"/>
  <c r="CZ228" i="46"/>
  <c r="CZ226" i="46"/>
  <c r="EY227" i="46"/>
  <c r="BG228" i="46"/>
  <c r="AR229" i="46"/>
  <c r="FB229" i="46"/>
  <c r="EJ226" i="46"/>
  <c r="FE226" i="46"/>
  <c r="AI229" i="46"/>
  <c r="FE228" i="46"/>
  <c r="DF227" i="46"/>
  <c r="DX228" i="46"/>
  <c r="AI226" i="46"/>
  <c r="BA228" i="46"/>
  <c r="CH228" i="46"/>
  <c r="BV229" i="46"/>
  <c r="AO226" i="46"/>
  <c r="CB227" i="46"/>
  <c r="W227" i="46"/>
  <c r="BP226" i="46"/>
  <c r="ED227" i="46"/>
  <c r="EV228" i="46"/>
  <c r="BG226" i="46"/>
  <c r="CE228" i="46"/>
  <c r="EJ228" i="46"/>
  <c r="CW229" i="46"/>
  <c r="EG226" i="46"/>
  <c r="DL227" i="46"/>
  <c r="BA227" i="46"/>
  <c r="W228" i="46"/>
  <c r="Z226" i="46"/>
  <c r="W229" i="46"/>
  <c r="CE226" i="46"/>
  <c r="DF228" i="46"/>
  <c r="BP229" i="46"/>
  <c r="EY229" i="46"/>
  <c r="AU227" i="46"/>
  <c r="EP227" i="46"/>
  <c r="CE227" i="46"/>
  <c r="BJ229" i="46"/>
  <c r="AX226" i="46"/>
  <c r="BS229" i="46"/>
  <c r="DC226" i="46"/>
  <c r="EG228" i="46"/>
  <c r="CT229" i="46"/>
  <c r="DL226" i="46"/>
  <c r="DC227" i="46"/>
  <c r="AR228" i="46"/>
  <c r="ES227" i="46"/>
  <c r="FH226" i="46"/>
  <c r="BV226" i="46"/>
  <c r="EM229" i="46"/>
  <c r="EY226" i="46"/>
  <c r="FH228" i="46"/>
  <c r="DU229" i="46"/>
  <c r="AR227" i="46"/>
  <c r="BP228" i="46"/>
  <c r="BS228" i="46"/>
  <c r="AU228" i="46"/>
  <c r="BD227" i="46"/>
  <c r="T227" i="46"/>
  <c r="CT226" i="46"/>
  <c r="FK229" i="46"/>
  <c r="AL226" i="46"/>
  <c r="BM229" i="46"/>
  <c r="EV229" i="46"/>
  <c r="BV227" i="46"/>
  <c r="CQ228" i="46"/>
  <c r="DU228" i="46"/>
  <c r="BV228" i="46"/>
  <c r="AX228" i="46"/>
  <c r="T229" i="46"/>
  <c r="DR226" i="46"/>
  <c r="AC226" i="46"/>
  <c r="BJ226" i="46"/>
  <c r="ES229" i="46"/>
  <c r="AI227" i="46"/>
  <c r="CZ227" i="46"/>
  <c r="DR228" i="46"/>
  <c r="EY228" i="46"/>
  <c r="CW228" i="46"/>
  <c r="CN227" i="46"/>
  <c r="T228" i="46"/>
  <c r="AF227" i="46"/>
  <c r="BS227" i="46"/>
  <c r="CW227" i="46"/>
  <c r="AL228" i="46"/>
  <c r="DO228" i="46"/>
  <c r="W226" i="46"/>
  <c r="ES228" i="46"/>
  <c r="AU226" i="46"/>
  <c r="BA229" i="46"/>
  <c r="AO227" i="46"/>
  <c r="AC229" i="46"/>
  <c r="DI227" i="46"/>
  <c r="BD229" i="46"/>
  <c r="BA226" i="46"/>
  <c r="EA228" i="46"/>
  <c r="T226" i="46"/>
  <c r="CW226" i="46"/>
  <c r="AF229" i="46"/>
  <c r="CH226" i="46"/>
  <c r="BY228" i="46"/>
  <c r="CN226" i="46"/>
  <c r="DL229" i="46"/>
  <c r="DF226" i="46"/>
  <c r="BC8" i="3"/>
  <c r="BC41" i="3"/>
  <c r="AF92" i="3"/>
  <c r="AY95" i="3"/>
  <c r="AA97" i="3"/>
  <c r="AF95" i="3"/>
  <c r="CN215" i="46"/>
  <c r="DL212" i="46"/>
  <c r="EV213" i="46"/>
  <c r="EA215" i="46"/>
  <c r="EP217" i="46"/>
  <c r="EV212" i="46"/>
  <c r="CT212" i="46"/>
  <c r="BY214" i="46"/>
  <c r="EA217" i="46"/>
  <c r="CK211" i="46"/>
  <c r="AI213" i="46"/>
  <c r="AL214" i="46"/>
  <c r="CK210" i="46"/>
  <c r="BA212" i="46"/>
  <c r="DO213" i="46"/>
  <c r="Z210" i="46"/>
  <c r="DL217" i="46"/>
  <c r="BS213" i="46"/>
  <c r="CK212" i="46"/>
  <c r="BP217" i="46"/>
  <c r="CH214" i="46"/>
  <c r="DL214" i="46"/>
  <c r="BJ214" i="46"/>
  <c r="CN214" i="46"/>
  <c r="FK213" i="46"/>
  <c r="AR214" i="46"/>
  <c r="FK216" i="46"/>
  <c r="EG217" i="46"/>
  <c r="FK222" i="46"/>
  <c r="DU220" i="46"/>
  <c r="DR220" i="46"/>
  <c r="DL223" i="46"/>
  <c r="DF222" i="46"/>
  <c r="BM221" i="46"/>
  <c r="AR221" i="46"/>
  <c r="EJ222" i="46"/>
  <c r="EV222" i="46"/>
  <c r="BD222" i="46"/>
  <c r="CN223" i="46"/>
  <c r="EP222" i="46"/>
  <c r="CB223" i="46"/>
  <c r="AR222" i="46"/>
  <c r="CT242" i="46"/>
  <c r="ES242" i="46"/>
  <c r="R23" i="45"/>
  <c r="AE72" i="3" a="1"/>
  <c r="AE72" i="3" s="1"/>
  <c r="BC34" i="3"/>
  <c r="AB29" i="3" a="1"/>
  <c r="AB29" i="3" s="1"/>
  <c r="C28" i="45"/>
  <c r="BC48" i="3"/>
  <c r="AA39" i="3"/>
  <c r="AF37" i="3"/>
  <c r="AA41" i="3"/>
  <c r="AY41" i="3"/>
  <c r="AA71" i="3"/>
  <c r="AY73" i="3"/>
  <c r="AA72" i="3"/>
  <c r="AF69" i="3"/>
  <c r="BC7" i="3"/>
  <c r="CZ210" i="46"/>
  <c r="DU215" i="46"/>
  <c r="BY211" i="46"/>
  <c r="AF212" i="46"/>
  <c r="ES214" i="46"/>
  <c r="DI214" i="46"/>
  <c r="AU212" i="46"/>
  <c r="CZ216" i="46"/>
  <c r="ED214" i="46"/>
  <c r="AC211" i="46"/>
  <c r="BJ215" i="46"/>
  <c r="CT215" i="46"/>
  <c r="FB212" i="46"/>
  <c r="FK214" i="46"/>
  <c r="Z215" i="46"/>
  <c r="CH212" i="46"/>
  <c r="DO214" i="46"/>
  <c r="EA214" i="46"/>
  <c r="AL212" i="46"/>
  <c r="AU214" i="46"/>
  <c r="EG216" i="46"/>
  <c r="EV211" i="46"/>
  <c r="DI216" i="46"/>
  <c r="DU211" i="46"/>
  <c r="BM216" i="46"/>
  <c r="BS211" i="46"/>
  <c r="BA215" i="46"/>
  <c r="CE215" i="46"/>
  <c r="BV221" i="46"/>
  <c r="EM222" i="46"/>
  <c r="EG221" i="46"/>
  <c r="CW223" i="46"/>
  <c r="AC222" i="46"/>
  <c r="AI222" i="46"/>
  <c r="EP220" i="46"/>
  <c r="FH220" i="46"/>
  <c r="EP221" i="46"/>
  <c r="BP223" i="46"/>
  <c r="DU222" i="46"/>
  <c r="CH221" i="46"/>
  <c r="FB223" i="46"/>
  <c r="Z221" i="46"/>
  <c r="AF223" i="46"/>
  <c r="T242" i="46"/>
  <c r="M242" i="46"/>
  <c r="DR242" i="46"/>
  <c r="AF65" i="3"/>
  <c r="AA62" i="3"/>
  <c r="AY62" i="3"/>
  <c r="AA60" i="3"/>
  <c r="AA85" i="3"/>
  <c r="AF89" i="3"/>
  <c r="AY88" i="3"/>
  <c r="AF86" i="3"/>
  <c r="AY72" i="3"/>
  <c r="AA69" i="3"/>
  <c r="AF70" i="3"/>
  <c r="K46" i="46" s="1"/>
  <c r="AF73" i="3"/>
  <c r="BC25" i="3"/>
  <c r="AF76" i="3"/>
  <c r="AF79" i="3"/>
  <c r="AA80" i="3"/>
  <c r="AY79" i="3"/>
  <c r="O35" i="45"/>
  <c r="AB84" i="3" a="1"/>
  <c r="AB84" i="3" s="1"/>
  <c r="BC14" i="3"/>
  <c r="BC47" i="3"/>
  <c r="BD217" i="46"/>
  <c r="AX214" i="46"/>
  <c r="CB215" i="46"/>
  <c r="EP212" i="46"/>
  <c r="BS217" i="46"/>
  <c r="AC215" i="46"/>
  <c r="CH211" i="46"/>
  <c r="DC213" i="46"/>
  <c r="EP215" i="46"/>
  <c r="DO210" i="46"/>
  <c r="FE217" i="46"/>
  <c r="ES217" i="46"/>
  <c r="BY210" i="46"/>
  <c r="CK217" i="46"/>
  <c r="BA217" i="46"/>
  <c r="EY211" i="46"/>
  <c r="AO217" i="46"/>
  <c r="ED216" i="46"/>
  <c r="DC211" i="46"/>
  <c r="AX216" i="46"/>
  <c r="CE214" i="46"/>
  <c r="FK210" i="46"/>
  <c r="BG214" i="46"/>
  <c r="ED210" i="46"/>
  <c r="FH213" i="46"/>
  <c r="BS210" i="46"/>
  <c r="W213" i="46"/>
  <c r="AC213" i="46"/>
  <c r="FB220" i="46"/>
  <c r="ES221" i="46"/>
  <c r="CK221" i="46"/>
  <c r="DC222" i="46"/>
  <c r="EY221" i="46"/>
  <c r="FE220" i="46"/>
  <c r="EA223" i="46"/>
  <c r="AC220" i="46"/>
  <c r="BS221" i="46"/>
  <c r="FE223" i="46"/>
  <c r="EG223" i="46"/>
  <c r="CK223" i="46"/>
  <c r="DX221" i="46"/>
  <c r="AL222" i="46"/>
  <c r="BJ220" i="46"/>
  <c r="BS242" i="46"/>
  <c r="AU242" i="46"/>
  <c r="BC40" i="3"/>
  <c r="BC43" i="3"/>
  <c r="AY87" i="3"/>
  <c r="AF84" i="3"/>
  <c r="K26" i="46" s="1"/>
  <c r="AA89" i="3"/>
  <c r="AF87" i="3"/>
  <c r="CH216" i="46"/>
  <c r="BP215" i="46"/>
  <c r="CN212" i="46"/>
  <c r="ED217" i="46"/>
  <c r="CQ212" i="46"/>
  <c r="EY213" i="46"/>
  <c r="CK216" i="46"/>
  <c r="Z211" i="46"/>
  <c r="AC216" i="46"/>
  <c r="BY212" i="46"/>
  <c r="DU210" i="46"/>
  <c r="EJ214" i="46"/>
  <c r="CZ214" i="46"/>
  <c r="T215" i="46"/>
  <c r="ES213" i="46"/>
  <c r="BD214" i="46"/>
  <c r="T216" i="46"/>
  <c r="CW213" i="46"/>
  <c r="EG213" i="46"/>
  <c r="T213" i="46"/>
  <c r="BA213" i="46"/>
  <c r="CW217" i="46"/>
  <c r="BM211" i="46"/>
  <c r="BY217" i="46"/>
  <c r="AL211" i="46"/>
  <c r="AC217" i="46"/>
  <c r="EA210" i="46"/>
  <c r="AX215" i="46"/>
  <c r="ES211" i="46"/>
  <c r="EJ220" i="46"/>
  <c r="DU221" i="46"/>
  <c r="CT222" i="46"/>
  <c r="W220" i="46"/>
  <c r="AF221" i="46"/>
  <c r="EA220" i="46"/>
  <c r="EG222" i="46"/>
  <c r="DI221" i="46"/>
  <c r="EG220" i="46"/>
  <c r="DC221" i="46"/>
  <c r="CE221" i="46"/>
  <c r="AI221" i="46"/>
  <c r="DL222" i="46"/>
  <c r="Z223" i="46"/>
  <c r="EM221" i="46"/>
  <c r="CN242" i="46"/>
  <c r="DL242" i="46"/>
  <c r="BC11" i="3"/>
  <c r="BC29" i="3"/>
  <c r="BC36" i="3"/>
  <c r="AF78" i="3"/>
  <c r="AA77" i="3"/>
  <c r="AF80" i="3"/>
  <c r="AY80" i="3"/>
  <c r="AY64" i="3"/>
  <c r="AF62" i="3"/>
  <c r="AA61" i="3"/>
  <c r="AF64" i="3"/>
  <c r="BC22" i="3"/>
  <c r="BJ216" i="46"/>
  <c r="AL210" i="46"/>
  <c r="ES212" i="46"/>
  <c r="CW215" i="46"/>
  <c r="FK211" i="46"/>
  <c r="BY216" i="46"/>
  <c r="BP213" i="46"/>
  <c r="CE210" i="46"/>
  <c r="AI212" i="46"/>
  <c r="W215" i="46"/>
  <c r="FB217" i="46"/>
  <c r="DC210" i="46"/>
  <c r="EY216" i="46"/>
  <c r="AI217" i="46"/>
  <c r="AO210" i="46"/>
  <c r="DC216" i="46"/>
  <c r="CZ215" i="46"/>
  <c r="CQ211" i="46"/>
  <c r="FH215" i="46"/>
  <c r="Z213" i="46"/>
  <c r="AO211" i="46"/>
  <c r="BS215" i="46"/>
  <c r="EM211" i="46"/>
  <c r="AU215" i="46"/>
  <c r="DL211" i="46"/>
  <c r="EV214" i="46"/>
  <c r="BJ211" i="46"/>
  <c r="EA212" i="46"/>
  <c r="AX212" i="46"/>
  <c r="EP223" i="46"/>
  <c r="T221" i="46"/>
  <c r="W222" i="46"/>
  <c r="AF220" i="46"/>
  <c r="DX223" i="46"/>
  <c r="AL221" i="46"/>
  <c r="FK221" i="46"/>
  <c r="CW222" i="46"/>
  <c r="BA220" i="46"/>
  <c r="DO222" i="46"/>
  <c r="CQ222" i="46"/>
  <c r="AU222" i="46"/>
  <c r="CZ223" i="46"/>
  <c r="AL220" i="46"/>
  <c r="EA222" i="46"/>
  <c r="FB242" i="46"/>
  <c r="EG242" i="46"/>
  <c r="BM242" i="46"/>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Z216" i="46"/>
  <c r="W216" i="46"/>
  <c r="AR217" i="46"/>
  <c r="AU211" i="46"/>
  <c r="DF211" i="46"/>
  <c r="AF213" i="46"/>
  <c r="DO215" i="46"/>
  <c r="AR210" i="46"/>
  <c r="AI215" i="46"/>
  <c r="BV217" i="46"/>
  <c r="EY217" i="46"/>
  <c r="EP211" i="46"/>
  <c r="DF213" i="46"/>
  <c r="AF217" i="46"/>
  <c r="CN211" i="46"/>
  <c r="AL213" i="46"/>
  <c r="FE214" i="46"/>
  <c r="CT210" i="46"/>
  <c r="BD212" i="46"/>
  <c r="CE217" i="46"/>
  <c r="AI210" i="46"/>
  <c r="AO213" i="46"/>
  <c r="BP212" i="46"/>
  <c r="DX212" i="46"/>
  <c r="AR212" i="46"/>
  <c r="DF210" i="46"/>
  <c r="EJ211" i="46"/>
  <c r="AL216" i="46"/>
  <c r="T220" i="46"/>
  <c r="DI220" i="46"/>
  <c r="BY221" i="46"/>
  <c r="AO221" i="46"/>
  <c r="FB222" i="46"/>
  <c r="AU223" i="46"/>
  <c r="BP221" i="46"/>
  <c r="DF223" i="46"/>
  <c r="BA222" i="46"/>
  <c r="DC223" i="46"/>
  <c r="CE223" i="46"/>
  <c r="AI223" i="46"/>
  <c r="AX221" i="46"/>
  <c r="BG242" i="46"/>
  <c r="DC242" i="46"/>
  <c r="CH242" i="46"/>
  <c r="BC28" i="3"/>
  <c r="BC37" i="3"/>
  <c r="BJ234" i="46" l="1"/>
  <c r="CW234" i="46"/>
  <c r="AR234" i="46"/>
  <c r="DF230" i="46"/>
  <c r="CK224" i="46"/>
  <c r="DC230" i="46"/>
  <c r="FB230" i="46"/>
  <c r="EA234" i="46"/>
  <c r="DX234" i="46"/>
  <c r="AO234" i="46"/>
  <c r="CT224" i="46"/>
  <c r="E10" i="48"/>
  <c r="F9" i="48" a="1"/>
  <c r="F9" i="48" s="1"/>
  <c r="DU218" i="46"/>
  <c r="EP234" i="46"/>
  <c r="BS224" i="46"/>
  <c r="BG218" i="46"/>
  <c r="FE234" i="46"/>
  <c r="DO234" i="46"/>
  <c r="DL224" i="46"/>
  <c r="ES224" i="46"/>
  <c r="O37" i="45"/>
  <c r="DT86" i="3"/>
  <c r="EG230" i="46"/>
  <c r="AI230" i="46"/>
  <c r="F29" i="45"/>
  <c r="AC234" i="46"/>
  <c r="Z224" i="46"/>
  <c r="BJ218" i="46"/>
  <c r="DO218" i="46"/>
  <c r="EV234" i="46"/>
  <c r="EJ218" i="46"/>
  <c r="AL224" i="46"/>
  <c r="AO218" i="46"/>
  <c r="BA230" i="46"/>
  <c r="EV224" i="46"/>
  <c r="CQ224" i="46"/>
  <c r="AR218" i="46"/>
  <c r="BA224" i="46"/>
  <c r="CQ218" i="46"/>
  <c r="CW218" i="46"/>
  <c r="BA218" i="46"/>
  <c r="AO224" i="46"/>
  <c r="CT218" i="46"/>
  <c r="EJ224" i="46"/>
  <c r="EY224" i="46"/>
  <c r="AU230" i="46"/>
  <c r="CH218" i="46"/>
  <c r="DX218" i="46"/>
  <c r="AX230" i="46"/>
  <c r="DR224" i="46"/>
  <c r="DR218" i="46"/>
  <c r="EM218" i="46"/>
  <c r="CN234" i="46"/>
  <c r="BA234" i="46"/>
  <c r="AF218" i="46"/>
  <c r="BJ230" i="46"/>
  <c r="Z234" i="46"/>
  <c r="BS234" i="46"/>
  <c r="DC234" i="46"/>
  <c r="BG224" i="46"/>
  <c r="CH234" i="46"/>
  <c r="EA218" i="46"/>
  <c r="CH230" i="46"/>
  <c r="CT234" i="46"/>
  <c r="AU234" i="46"/>
  <c r="EA224" i="46"/>
  <c r="DU234" i="46"/>
  <c r="AI224" i="46"/>
  <c r="CB224" i="46"/>
  <c r="DL230" i="46"/>
  <c r="CE224" i="46"/>
  <c r="BJ224" i="46"/>
  <c r="AO230" i="46"/>
  <c r="BP234" i="46"/>
  <c r="DR234" i="46"/>
  <c r="DL234" i="46"/>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DL218" i="46"/>
  <c r="BG21" i="3"/>
  <c r="BK10" i="3"/>
  <c r="FH218" i="46"/>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CE218" i="46"/>
  <c r="BG22" i="3"/>
  <c r="BJ36" i="3"/>
  <c r="BI11" i="3"/>
  <c r="BH43" i="3"/>
  <c r="BJ25" i="3"/>
  <c r="FH224" i="46"/>
  <c r="BI7" i="3"/>
  <c r="AE69" i="3" a="1"/>
  <c r="AE69" i="3" s="1"/>
  <c r="R20" i="45"/>
  <c r="BH48" i="3"/>
  <c r="BH8" i="3"/>
  <c r="BS230" i="46"/>
  <c r="K12" i="46"/>
  <c r="C27" i="45"/>
  <c r="AB28" i="3" a="1"/>
  <c r="AB28" i="3" s="1"/>
  <c r="DT28" i="3"/>
  <c r="DX224" i="46"/>
  <c r="AL234" i="46"/>
  <c r="CB234" i="46"/>
  <c r="ES234" i="46"/>
  <c r="CZ234" i="46"/>
  <c r="FB234" i="46"/>
  <c r="DT25" i="3"/>
  <c r="K59" i="46"/>
  <c r="C24" i="45"/>
  <c r="AB25" i="3" a="1"/>
  <c r="AB25" i="3" s="1"/>
  <c r="BK18" i="3"/>
  <c r="BI9" i="3"/>
  <c r="BD224" i="46"/>
  <c r="ES218" i="46"/>
  <c r="BG50" i="3"/>
  <c r="F23" i="45"/>
  <c r="AE24" i="3" a="1"/>
  <c r="AE24" i="3" s="1"/>
  <c r="DT24" i="3"/>
  <c r="K58" i="46"/>
  <c r="BI33" i="3"/>
  <c r="F15" i="45"/>
  <c r="K56" i="46"/>
  <c r="AE16" i="3" a="1"/>
  <c r="AE16" i="3" s="1"/>
  <c r="DT16" i="3"/>
  <c r="BI51" i="3"/>
  <c r="ED224" i="46"/>
  <c r="BI10" i="3"/>
  <c r="BJ9" i="3"/>
  <c r="BK33" i="3"/>
  <c r="DF218" i="46"/>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EP224" i="46"/>
  <c r="BJ7" i="3"/>
  <c r="DT72" i="3"/>
  <c r="K70" i="46"/>
  <c r="O23" i="45"/>
  <c r="AB72" i="3" a="1"/>
  <c r="AB72" i="3" s="1"/>
  <c r="BK48" i="3"/>
  <c r="BK8" i="3"/>
  <c r="EY230" i="46"/>
  <c r="BM230" i="46"/>
  <c r="ES230" i="46"/>
  <c r="DI230" i="46"/>
  <c r="BY234" i="46"/>
  <c r="EG234" i="46"/>
  <c r="F21" i="45"/>
  <c r="DT22" i="3"/>
  <c r="AE22" i="3" a="1"/>
  <c r="AE22" i="3" s="1"/>
  <c r="K34" i="46"/>
  <c r="BI18" i="3"/>
  <c r="BG9" i="3"/>
  <c r="C7" i="45"/>
  <c r="AB8" i="3" a="1"/>
  <c r="AB8" i="3" s="1"/>
  <c r="DT8" i="3"/>
  <c r="K54" i="46"/>
  <c r="C19" i="45"/>
  <c r="K10" i="46"/>
  <c r="AB20" i="3" a="1"/>
  <c r="AB20" i="3" s="1"/>
  <c r="DT20" i="3"/>
  <c r="BJ33" i="3"/>
  <c r="C11" i="45"/>
  <c r="AB12" i="3" a="1"/>
  <c r="AB12" i="3" s="1"/>
  <c r="K8" i="46"/>
  <c r="DT12" i="3"/>
  <c r="AX218" i="46"/>
  <c r="BI21" i="3"/>
  <c r="T3" i="32"/>
  <c r="L8" i="51"/>
  <c r="X3" i="32"/>
  <c r="BG4" i="45"/>
  <c r="S3" i="32"/>
  <c r="R3" i="32"/>
  <c r="C3" i="32"/>
  <c r="DT60" i="3"/>
  <c r="O11" i="45"/>
  <c r="AB60" i="3" a="1"/>
  <c r="AB60" i="3" s="1"/>
  <c r="K20" i="46"/>
  <c r="S34" i="32"/>
  <c r="X34" i="32"/>
  <c r="BG35" i="45"/>
  <c r="T34" i="32"/>
  <c r="L39" i="51"/>
  <c r="R34" i="32"/>
  <c r="BH22" i="3"/>
  <c r="BH14" i="3"/>
  <c r="F8" i="45"/>
  <c r="AE9" i="3" a="1"/>
  <c r="AE9" i="3" s="1"/>
  <c r="CB218" i="46"/>
  <c r="AE5" i="3" a="1"/>
  <c r="AE5" i="3" s="1"/>
  <c r="F4" i="45"/>
  <c r="BG51" i="3"/>
  <c r="EY218" i="46"/>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AF224" i="46"/>
  <c r="BK22" i="3"/>
  <c r="BK11" i="3"/>
  <c r="R38" i="45"/>
  <c r="DT87" i="3"/>
  <c r="K51" i="46"/>
  <c r="AE87" i="3" a="1"/>
  <c r="AE87" i="3" s="1"/>
  <c r="FB224" i="46"/>
  <c r="BJ14" i="3"/>
  <c r="O22" i="45"/>
  <c r="DT71" i="3"/>
  <c r="K47" i="46"/>
  <c r="AB71" i="3" a="1"/>
  <c r="AB71" i="3" s="1"/>
  <c r="BG48" i="3"/>
  <c r="BJ34" i="3"/>
  <c r="DU224" i="46"/>
  <c r="BH41" i="3"/>
  <c r="BV230" i="46"/>
  <c r="BG230" i="46"/>
  <c r="CQ230" i="46"/>
  <c r="CK230" i="46"/>
  <c r="ED230" i="46"/>
  <c r="DT5" i="3"/>
  <c r="K7" i="46"/>
  <c r="C4" i="45"/>
  <c r="AB5" i="3" a="1"/>
  <c r="AB5" i="3" s="1"/>
  <c r="DI234" i="46"/>
  <c r="BD234" i="46"/>
  <c r="EY234" i="46"/>
  <c r="BG18" i="3"/>
  <c r="CH224" i="46"/>
  <c r="BM218" i="46"/>
  <c r="DT70" i="3"/>
  <c r="CN224" i="46"/>
  <c r="DT6" i="3"/>
  <c r="K30" i="46"/>
  <c r="AB6" i="3" a="1"/>
  <c r="AB6" i="3" s="1"/>
  <c r="C5" i="45"/>
  <c r="AU218" i="46"/>
  <c r="AB15" i="3" a="1"/>
  <c r="AB15" i="3" s="1"/>
  <c r="DT15" i="3"/>
  <c r="K33" i="46"/>
  <c r="C14" i="45"/>
  <c r="BH51" i="3"/>
  <c r="DI218" i="46"/>
  <c r="DT55" i="3"/>
  <c r="K43" i="46"/>
  <c r="AB55" i="3" a="1"/>
  <c r="AB55" i="3" s="1"/>
  <c r="O6" i="45"/>
  <c r="BK21" i="3"/>
  <c r="W218" i="46"/>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AL230" i="46"/>
  <c r="FH230" i="46"/>
  <c r="FE230" i="46"/>
  <c r="AF230" i="46"/>
  <c r="DX230" i="46"/>
  <c r="CB230" i="46"/>
  <c r="EA230" i="46"/>
  <c r="R5" i="45"/>
  <c r="DT54" i="3"/>
  <c r="K42" i="46"/>
  <c r="AE54" i="3" a="1"/>
  <c r="AE54" i="3" s="1"/>
  <c r="F6" i="45"/>
  <c r="AE7" i="3" a="1"/>
  <c r="AE7" i="3" s="1"/>
  <c r="FK234" i="46"/>
  <c r="CE234" i="46"/>
  <c r="AI234" i="46"/>
  <c r="EJ234" i="46"/>
  <c r="BH18" i="3"/>
  <c r="DO224" i="46"/>
  <c r="BM224" i="46"/>
  <c r="EV218" i="46"/>
  <c r="BG33" i="3"/>
  <c r="R4" i="45"/>
  <c r="AE53" i="3" a="1"/>
  <c r="AE53" i="3" s="1"/>
  <c r="AE61" i="3" a="1"/>
  <c r="AE61" i="3" s="1"/>
  <c r="R12" i="45"/>
  <c r="BJ43" i="3"/>
  <c r="BJ28" i="3"/>
  <c r="X12" i="32"/>
  <c r="L17" i="51"/>
  <c r="T12" i="32"/>
  <c r="S12" i="32"/>
  <c r="R12" i="32"/>
  <c r="BG13" i="45"/>
  <c r="AE20" i="3" a="1"/>
  <c r="AE20" i="3" s="1"/>
  <c r="F19" i="45"/>
  <c r="BK37" i="3"/>
  <c r="AI218" i="46"/>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EG224" i="46"/>
  <c r="AE84" i="3" a="1"/>
  <c r="AE84" i="3" s="1"/>
  <c r="R35" i="45"/>
  <c r="BY218" i="46"/>
  <c r="BG14" i="3"/>
  <c r="AB80" i="3" a="1"/>
  <c r="AB80" i="3" s="1"/>
  <c r="DT80" i="3"/>
  <c r="O31" i="45"/>
  <c r="K72" i="46"/>
  <c r="R24" i="45"/>
  <c r="AE73" i="3" a="1"/>
  <c r="AE73" i="3" s="1"/>
  <c r="K71" i="46"/>
  <c r="DT73" i="3"/>
  <c r="BK34" i="3"/>
  <c r="Z218" i="46"/>
  <c r="BI41" i="3"/>
  <c r="EJ230" i="46"/>
  <c r="BY230" i="46"/>
  <c r="FB218" i="46"/>
  <c r="AE56" i="3" a="1"/>
  <c r="AE56" i="3" s="1"/>
  <c r="R7" i="45"/>
  <c r="DT56" i="3"/>
  <c r="K66" i="46"/>
  <c r="FH234" i="46"/>
  <c r="T234" i="46"/>
  <c r="BV234" i="46"/>
  <c r="AX224" i="46"/>
  <c r="EP218" i="46"/>
  <c r="K67" i="46"/>
  <c r="DT57" i="3"/>
  <c r="O8" i="45"/>
  <c r="AB57" i="3" a="1"/>
  <c r="AB57" i="3" s="1"/>
  <c r="BD218" i="46"/>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AL218" i="46"/>
  <c r="K21" i="46"/>
  <c r="AB61" i="3" a="1"/>
  <c r="AB61" i="3" s="1"/>
  <c r="DT61" i="3"/>
  <c r="O12" i="45"/>
  <c r="BH29" i="3"/>
  <c r="BS218" i="46"/>
  <c r="BI47" i="3"/>
  <c r="BK14" i="3"/>
  <c r="R30" i="45"/>
  <c r="AE79" i="3" a="1"/>
  <c r="AE79" i="3" s="1"/>
  <c r="DT79" i="3"/>
  <c r="K49" i="46"/>
  <c r="R21" i="45"/>
  <c r="AE70" i="3" a="1"/>
  <c r="AE70" i="3" s="1"/>
  <c r="BH34" i="3"/>
  <c r="BJ41" i="3"/>
  <c r="CN230" i="46"/>
  <c r="CT230" i="46"/>
  <c r="BP230" i="46"/>
  <c r="EM230" i="46"/>
  <c r="EP230" i="46"/>
  <c r="K19" i="46"/>
  <c r="O4" i="45"/>
  <c r="DT53" i="3"/>
  <c r="AB53" i="3" a="1"/>
  <c r="AB53" i="3" s="1"/>
  <c r="BM234" i="46"/>
  <c r="AF234" i="46"/>
  <c r="FE218" i="46"/>
  <c r="DF224" i="46"/>
  <c r="EM224" i="46"/>
  <c r="O14" i="45"/>
  <c r="DT63" i="3"/>
  <c r="K45" i="46"/>
  <c r="AB63" i="3" a="1"/>
  <c r="AB63" i="3" s="1"/>
  <c r="K23" i="46"/>
  <c r="DT69" i="3"/>
  <c r="AB69" i="3" a="1"/>
  <c r="AB69" i="3" s="1"/>
  <c r="O20" i="45"/>
  <c r="CZ218" i="46"/>
  <c r="AB41" i="3" a="1"/>
  <c r="AB41" i="3" s="1"/>
  <c r="K63" i="46"/>
  <c r="DT41" i="3"/>
  <c r="C40" i="45"/>
  <c r="BG34" i="3"/>
  <c r="W230" i="46"/>
  <c r="CE230" i="46"/>
  <c r="BD230" i="46"/>
  <c r="EV230" i="46"/>
  <c r="FK230" i="46"/>
  <c r="DO230" i="46"/>
  <c r="EM234" i="46"/>
  <c r="BH6" i="3"/>
  <c r="F7" i="45"/>
  <c r="AE8" i="3" a="1"/>
  <c r="AE8" i="3" s="1"/>
  <c r="AE37" i="3" a="1"/>
  <c r="AE37" i="3" s="1"/>
  <c r="F36" i="45"/>
  <c r="K15" i="46"/>
  <c r="DT37" i="3"/>
  <c r="CK218" i="46"/>
  <c r="AC230" i="46"/>
  <c r="BP224" i="46"/>
  <c r="K28" i="46"/>
  <c r="O43" i="45"/>
  <c r="DT92" i="3"/>
  <c r="AB92" i="3" a="1"/>
  <c r="AB92" i="3" s="1"/>
  <c r="BH15" i="3"/>
  <c r="FK224" i="46"/>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CW224" i="46"/>
  <c r="BJ40" i="3"/>
  <c r="AE86" i="3" a="1"/>
  <c r="AE86" i="3" s="1"/>
  <c r="R37" i="45"/>
  <c r="C38" i="45"/>
  <c r="AB39" i="3" a="1"/>
  <c r="AB39" i="3" s="1"/>
  <c r="K39" i="46"/>
  <c r="DT39" i="3"/>
  <c r="DR230" i="46"/>
  <c r="Z230" i="46"/>
  <c r="AU224" i="46"/>
  <c r="AX234" i="46"/>
  <c r="CQ234" i="46"/>
  <c r="R47" i="45"/>
  <c r="AE96" i="3" a="1"/>
  <c r="AE96" i="3" s="1"/>
  <c r="DT96" i="3"/>
  <c r="K76" i="46"/>
  <c r="BJ15" i="3"/>
  <c r="T218" i="46"/>
  <c r="M218" i="46"/>
  <c r="BJ6" i="3"/>
  <c r="K68" i="46"/>
  <c r="C6" i="45"/>
  <c r="K31" i="46"/>
  <c r="AB7" i="3" a="1"/>
  <c r="AB7" i="3" s="1"/>
  <c r="DT7" i="3"/>
  <c r="CN218" i="46"/>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ED218" i="46"/>
  <c r="BJ47" i="3"/>
  <c r="R15" i="32"/>
  <c r="BG16" i="45"/>
  <c r="L20" i="51"/>
  <c r="S15" i="32"/>
  <c r="T15" i="32"/>
  <c r="X15" i="32"/>
  <c r="BG47" i="45"/>
  <c r="X46" i="32"/>
  <c r="T46" i="32"/>
  <c r="S46" i="32"/>
  <c r="R46" i="32"/>
  <c r="L51" i="51"/>
  <c r="X41" i="32"/>
  <c r="S41" i="32"/>
  <c r="BG42" i="45"/>
  <c r="T41" i="32"/>
  <c r="R41" i="32"/>
  <c r="L46" i="51"/>
  <c r="K38" i="46"/>
  <c r="AB38" i="3" a="1"/>
  <c r="AB38" i="3" s="1"/>
  <c r="DT38" i="3"/>
  <c r="C37" i="45"/>
  <c r="DI224" i="46"/>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DC218" i="46"/>
  <c r="AE80" i="3" a="1"/>
  <c r="AE80" i="3" s="1"/>
  <c r="R31" i="45"/>
  <c r="BJ29" i="3"/>
  <c r="W224" i="46"/>
  <c r="BK43" i="3"/>
  <c r="BK40" i="3"/>
  <c r="AC224" i="46"/>
  <c r="FK218" i="46"/>
  <c r="BK47" i="3"/>
  <c r="BG25" i="3"/>
  <c r="R46" i="45"/>
  <c r="AE95" i="3" a="1"/>
  <c r="AE95" i="3" s="1"/>
  <c r="K53" i="46"/>
  <c r="DT95" i="3"/>
  <c r="CW230" i="46"/>
  <c r="CZ230" i="46"/>
  <c r="W234" i="46"/>
  <c r="ED234" i="46"/>
  <c r="DF234" i="46"/>
  <c r="O45" i="45"/>
  <c r="K52" i="46"/>
  <c r="DT94" i="3"/>
  <c r="AB94" i="3" a="1"/>
  <c r="AB94" i="3" s="1"/>
  <c r="BK15" i="3"/>
  <c r="BV218" i="46"/>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M230" i="46"/>
  <c r="T230" i="46"/>
  <c r="AR230" i="46"/>
  <c r="F31" i="45"/>
  <c r="AE32" i="3" a="1"/>
  <c r="AE32" i="3" s="1"/>
  <c r="BG234" i="46"/>
  <c r="CK234" i="46"/>
  <c r="CZ224" i="46"/>
  <c r="BH9" i="3"/>
  <c r="BI15" i="3"/>
  <c r="BH50" i="3"/>
  <c r="BK6" i="3"/>
  <c r="BJ10" i="3"/>
  <c r="BJ22" i="3"/>
  <c r="BG47" i="3"/>
  <c r="R27" i="45"/>
  <c r="AE76" i="3" a="1"/>
  <c r="AE76" i="3" s="1"/>
  <c r="K24" i="46"/>
  <c r="DT76" i="3"/>
  <c r="T224" i="46"/>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FE224" i="46"/>
  <c r="DT84" i="3"/>
  <c r="BH25" i="3"/>
  <c r="AB85" i="3" a="1"/>
  <c r="AB85" i="3" s="1"/>
  <c r="O36" i="45"/>
  <c r="K27" i="46"/>
  <c r="DT85" i="3"/>
  <c r="BK7" i="3"/>
  <c r="BI8" i="3"/>
  <c r="DU230" i="46"/>
  <c r="AB30" i="3" a="1"/>
  <c r="AB30" i="3" s="1"/>
  <c r="DT30" i="3"/>
  <c r="C29" i="45"/>
  <c r="K36" i="46"/>
  <c r="BV224" i="46"/>
  <c r="BP218" i="46"/>
  <c r="DC224" i="46"/>
  <c r="EG218" i="46"/>
  <c r="BK9" i="3"/>
  <c r="BG15" i="3"/>
  <c r="BY224" i="46"/>
  <c r="BK50" i="3"/>
  <c r="AC218" i="46"/>
  <c r="AR224" i="46"/>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S27" i="51"/>
  <c r="R27" i="51"/>
  <c r="T27" i="51"/>
  <c r="BL49" i="3"/>
  <c r="BE49" i="3"/>
  <c r="BF49" i="3"/>
  <c r="BO49" i="3" s="1"/>
  <c r="BE34" i="3"/>
  <c r="BF34" i="3"/>
  <c r="BE36" i="3"/>
  <c r="BF36" i="3"/>
  <c r="BO36" i="3" s="1"/>
  <c r="S16" i="51"/>
  <c r="R16" i="51"/>
  <c r="T16" i="51"/>
  <c r="BN43" i="45"/>
  <c r="BM43" i="45"/>
  <c r="BO43" i="45"/>
  <c r="BL9" i="3"/>
  <c r="BL25" i="3"/>
  <c r="BE10" i="3"/>
  <c r="BF10" i="3"/>
  <c r="R23" i="51"/>
  <c r="S23" i="51"/>
  <c r="T23" i="51"/>
  <c r="BL35" i="3"/>
  <c r="BL10" i="3"/>
  <c r="BN24" i="45"/>
  <c r="BM24" i="45"/>
  <c r="BO24" i="45"/>
  <c r="BL27" i="3"/>
  <c r="BE13" i="3"/>
  <c r="BF13" i="3"/>
  <c r="BO13" i="3" s="1"/>
  <c r="BL39" i="3"/>
  <c r="BE16" i="3"/>
  <c r="BF16" i="3"/>
  <c r="BO16" i="3" s="1"/>
  <c r="R26" i="51"/>
  <c r="S26" i="51"/>
  <c r="T26" i="51"/>
  <c r="S13" i="51"/>
  <c r="R13" i="51"/>
  <c r="T13" i="51"/>
  <c r="R18" i="51"/>
  <c r="S18" i="51"/>
  <c r="T18" i="51"/>
  <c r="BF11" i="3"/>
  <c r="BO11" i="3" s="1"/>
  <c r="BE11" i="3"/>
  <c r="BF9" i="3"/>
  <c r="BO9" i="3" s="1"/>
  <c r="BE9" i="3"/>
  <c r="T19" i="51"/>
  <c r="R19" i="51"/>
  <c r="S19" i="51"/>
  <c r="BE14" i="3"/>
  <c r="BF14" i="3"/>
  <c r="BM14" i="45"/>
  <c r="BN14" i="45"/>
  <c r="BO14" i="45"/>
  <c r="BN11" i="45"/>
  <c r="BM11" i="45"/>
  <c r="BO11" i="45"/>
  <c r="BL52" i="3"/>
  <c r="BE19" i="3"/>
  <c r="BF19" i="3"/>
  <c r="BO19" i="3" s="1"/>
  <c r="BM21" i="45"/>
  <c r="BN21" i="45"/>
  <c r="BO21" i="45"/>
  <c r="S44" i="51"/>
  <c r="R44" i="51"/>
  <c r="T44" i="51"/>
  <c r="R48" i="51"/>
  <c r="S48" i="51"/>
  <c r="T48" i="51"/>
  <c r="BN13" i="45"/>
  <c r="BM13" i="45"/>
  <c r="BO13" i="45"/>
  <c r="BF33" i="3"/>
  <c r="BO33" i="3" s="1"/>
  <c r="BE33" i="3"/>
  <c r="BM41" i="45"/>
  <c r="BO41" i="45"/>
  <c r="BN41" i="45"/>
  <c r="S41" i="51"/>
  <c r="R41" i="51"/>
  <c r="T41" i="51"/>
  <c r="BL7" i="3"/>
  <c r="BL32" i="3"/>
  <c r="BE21" i="3"/>
  <c r="BF21" i="3"/>
  <c r="BO21" i="3" s="1"/>
  <c r="BM47" i="45"/>
  <c r="BN47" i="45"/>
  <c r="BO47" i="45"/>
  <c r="BE43" i="3"/>
  <c r="BF43" i="3"/>
  <c r="BO43" i="3" s="1"/>
  <c r="S29" i="51"/>
  <c r="R29" i="51"/>
  <c r="T29" i="51"/>
  <c r="R24" i="51"/>
  <c r="S24" i="51"/>
  <c r="T24" i="51"/>
  <c r="R49" i="51"/>
  <c r="S49" i="51"/>
  <c r="T49" i="51"/>
  <c r="T20" i="51"/>
  <c r="S20" i="51"/>
  <c r="R20" i="51"/>
  <c r="S31" i="51"/>
  <c r="R31" i="51"/>
  <c r="T31" i="51"/>
  <c r="G2" i="47"/>
  <c r="F2" i="47"/>
  <c r="E3" i="47"/>
  <c r="F3" i="47"/>
  <c r="E2" i="47"/>
  <c r="BO44" i="45"/>
  <c r="BN44" i="45"/>
  <c r="BM44" i="45"/>
  <c r="BN37" i="45"/>
  <c r="BO37" i="45"/>
  <c r="BM37" i="45"/>
  <c r="R50" i="51"/>
  <c r="T50" i="51"/>
  <c r="S50" i="51"/>
  <c r="BN4" i="45"/>
  <c r="BM4" i="45"/>
  <c r="BO4" i="45"/>
  <c r="BN42" i="45"/>
  <c r="BO42" i="45"/>
  <c r="BM42" i="45"/>
  <c r="BF15" i="3"/>
  <c r="BO15" i="3" s="1"/>
  <c r="BE15" i="3"/>
  <c r="BO25" i="45"/>
  <c r="BM25" i="45"/>
  <c r="BN25" i="45"/>
  <c r="BO20" i="45"/>
  <c r="BM20" i="45"/>
  <c r="BN20" i="45"/>
  <c r="BN34" i="45"/>
  <c r="BM34" i="45"/>
  <c r="BO34" i="45"/>
  <c r="BL13" i="3"/>
  <c r="BF32" i="3"/>
  <c r="BO32" i="3" s="1"/>
  <c r="BE32" i="3"/>
  <c r="BN9" i="45"/>
  <c r="BM9" i="45"/>
  <c r="BO9" i="45"/>
  <c r="T45" i="51"/>
  <c r="S45" i="51"/>
  <c r="R45" i="51"/>
  <c r="S22" i="51"/>
  <c r="T22" i="51"/>
  <c r="R22" i="51"/>
  <c r="BE22" i="3"/>
  <c r="BF22" i="3"/>
  <c r="BM12" i="45"/>
  <c r="BN12" i="45"/>
  <c r="BO12" i="45"/>
  <c r="BE26" i="3"/>
  <c r="BF26" i="3"/>
  <c r="BF25" i="3"/>
  <c r="BO25" i="3" s="1"/>
  <c r="BE25" i="3"/>
  <c r="R9" i="51"/>
  <c r="S9" i="51"/>
  <c r="T9" i="51"/>
  <c r="BM32" i="45"/>
  <c r="BN32" i="45"/>
  <c r="BO32" i="45"/>
  <c r="BM5" i="45"/>
  <c r="BN5" i="45"/>
  <c r="BO5" i="45"/>
  <c r="R51" i="51"/>
  <c r="T51" i="51"/>
  <c r="S51" i="51"/>
  <c r="BM16" i="45"/>
  <c r="BN16" i="45"/>
  <c r="BO16" i="45"/>
  <c r="BL20" i="3"/>
  <c r="BF12" i="3"/>
  <c r="BO12" i="3" s="1"/>
  <c r="BE12" i="3"/>
  <c r="BF39" i="3"/>
  <c r="BO39" i="3" s="1"/>
  <c r="BE39" i="3"/>
  <c r="R25" i="51"/>
  <c r="S25" i="51"/>
  <c r="T25" i="51"/>
  <c r="S52" i="51"/>
  <c r="T52" i="51"/>
  <c r="R52" i="51"/>
  <c r="BL14" i="3"/>
  <c r="BN8" i="45"/>
  <c r="BM8" i="45"/>
  <c r="BO8" i="45"/>
  <c r="BN31" i="45"/>
  <c r="BO31" i="45"/>
  <c r="BM31" i="45"/>
  <c r="S8" i="51"/>
  <c r="T8" i="51"/>
  <c r="R8" i="51"/>
  <c r="R30" i="51"/>
  <c r="T30" i="51"/>
  <c r="S30" i="51"/>
  <c r="BO10" i="45"/>
  <c r="BM10" i="45"/>
  <c r="BN10" i="45"/>
  <c r="BN15" i="45"/>
  <c r="BO15" i="45"/>
  <c r="BM15" i="45"/>
  <c r="BL50" i="3"/>
  <c r="BL6" i="3"/>
  <c r="BN40" i="45"/>
  <c r="BM40" i="45"/>
  <c r="BO40" i="45"/>
  <c r="BN51" i="45"/>
  <c r="BM51" i="45"/>
  <c r="BO51" i="45"/>
  <c r="BM27" i="45"/>
  <c r="BO27" i="45"/>
  <c r="BN27" i="45"/>
  <c r="R32" i="51"/>
  <c r="S32" i="51"/>
  <c r="T32" i="51"/>
  <c r="S53" i="51"/>
  <c r="R53" i="51"/>
  <c r="T53" i="51"/>
  <c r="BL15" i="3"/>
  <c r="BL40" i="3"/>
  <c r="BE53" i="3"/>
  <c r="BF53" i="3"/>
  <c r="BO53" i="3" s="1"/>
  <c r="BL46" i="3"/>
  <c r="BF28" i="3"/>
  <c r="BO28" i="3" s="1"/>
  <c r="BE28" i="3"/>
  <c r="BL34" i="3"/>
  <c r="R35" i="51"/>
  <c r="S35" i="51"/>
  <c r="T35" i="51"/>
  <c r="BN33" i="45"/>
  <c r="BM33" i="45"/>
  <c r="BO33" i="45"/>
  <c r="BL33" i="3"/>
  <c r="BN26" i="45"/>
  <c r="BM26" i="45"/>
  <c r="BO26" i="45"/>
  <c r="BE52" i="3"/>
  <c r="BF52" i="3"/>
  <c r="BO52" i="3" s="1"/>
  <c r="BM29" i="45"/>
  <c r="BN29" i="45"/>
  <c r="BO29" i="45"/>
  <c r="S36" i="51"/>
  <c r="R36" i="51"/>
  <c r="T36" i="51"/>
  <c r="S54" i="51"/>
  <c r="R54" i="51"/>
  <c r="T54" i="51"/>
  <c r="BN45" i="45"/>
  <c r="BO45" i="45"/>
  <c r="BM45" i="45"/>
  <c r="R38" i="51"/>
  <c r="T38" i="51"/>
  <c r="S38" i="51"/>
  <c r="BM28" i="45"/>
  <c r="BN28" i="45"/>
  <c r="BO28" i="45"/>
  <c r="BF23" i="3"/>
  <c r="BO23" i="3" s="1"/>
  <c r="BE23" i="3"/>
  <c r="BF46" i="3"/>
  <c r="BE46" i="3"/>
  <c r="BL45" i="3"/>
  <c r="BE24" i="3"/>
  <c r="BF24" i="3"/>
  <c r="BO24" i="3" s="1"/>
  <c r="BF27" i="3"/>
  <c r="BO27" i="3" s="1"/>
  <c r="BE27" i="3"/>
  <c r="BF37" i="3"/>
  <c r="BO37" i="3" s="1"/>
  <c r="BE37" i="3"/>
  <c r="BF48" i="3"/>
  <c r="BO48" i="3" s="1"/>
  <c r="BE48" i="3"/>
  <c r="R33" i="51"/>
  <c r="T33" i="51"/>
  <c r="S33" i="51"/>
  <c r="S39" i="51"/>
  <c r="R39" i="51"/>
  <c r="T39" i="51"/>
  <c r="BN17" i="45"/>
  <c r="BM17" i="45"/>
  <c r="BO17" i="45"/>
  <c r="BE18" i="3"/>
  <c r="BF18" i="3"/>
  <c r="R15" i="51"/>
  <c r="S15" i="51"/>
  <c r="T15" i="51"/>
  <c r="BN50" i="45"/>
  <c r="BM50" i="45"/>
  <c r="BO50" i="45"/>
  <c r="R11" i="51"/>
  <c r="T11" i="51"/>
  <c r="S11" i="51"/>
  <c r="BL38" i="3"/>
  <c r="BF42" i="3"/>
  <c r="BE42" i="3"/>
  <c r="BE17" i="3"/>
  <c r="BF17" i="3"/>
  <c r="BO17" i="3" s="1"/>
  <c r="BL19" i="3"/>
  <c r="BN6" i="45"/>
  <c r="BM6" i="45"/>
  <c r="BO6" i="45"/>
  <c r="BN22" i="45"/>
  <c r="BO22" i="45"/>
  <c r="BM22" i="45"/>
  <c r="R17" i="51"/>
  <c r="S17" i="51"/>
  <c r="T17" i="51"/>
  <c r="BL11" i="3"/>
  <c r="BF30" i="3"/>
  <c r="BE30" i="3"/>
  <c r="BN30" i="45"/>
  <c r="BM30" i="45"/>
  <c r="BO30" i="45"/>
  <c r="BN19" i="45"/>
  <c r="BM19" i="45"/>
  <c r="BO19" i="45"/>
  <c r="BN7" i="45"/>
  <c r="BM7" i="45"/>
  <c r="BO7" i="45"/>
  <c r="T28" i="51"/>
  <c r="R28" i="51"/>
  <c r="S28" i="51"/>
  <c r="R46" i="51"/>
  <c r="S46" i="51"/>
  <c r="T46" i="51"/>
  <c r="BL47" i="3"/>
  <c r="BN49" i="45"/>
  <c r="BM49" i="45"/>
  <c r="BO49" i="45"/>
  <c r="BL42" i="3"/>
  <c r="BL41" i="3"/>
  <c r="T40" i="51"/>
  <c r="S40" i="51"/>
  <c r="R40" i="51"/>
  <c r="R10" i="51"/>
  <c r="T10" i="51"/>
  <c r="S10" i="51"/>
  <c r="BL44" i="3"/>
  <c r="R12" i="51"/>
  <c r="S12" i="51"/>
  <c r="T12" i="51"/>
  <c r="BM46" i="45"/>
  <c r="BN46" i="45"/>
  <c r="BO46" i="45"/>
  <c r="BM35" i="45"/>
  <c r="BN35" i="45"/>
  <c r="BO35" i="45"/>
  <c r="R14" i="51"/>
  <c r="S14" i="51"/>
  <c r="T14" i="51"/>
  <c r="R43" i="51"/>
  <c r="S43" i="51"/>
  <c r="T43" i="51"/>
  <c r="R21" i="51"/>
  <c r="S21" i="51"/>
  <c r="T21" i="51"/>
  <c r="BN38" i="45"/>
  <c r="BM38" i="45"/>
  <c r="BO38" i="45"/>
  <c r="R55" i="51"/>
  <c r="S55" i="51"/>
  <c r="T55" i="51"/>
  <c r="BE20" i="3"/>
  <c r="BF20" i="3"/>
  <c r="BO20" i="3" s="1"/>
  <c r="BE7" i="3"/>
  <c r="BF7" i="3"/>
  <c r="BO7" i="3" s="1"/>
  <c r="BE29" i="3"/>
  <c r="BF29" i="3"/>
  <c r="BO29" i="3" s="1"/>
  <c r="BF38" i="3"/>
  <c r="BE38" i="3"/>
  <c r="BL17" i="3"/>
  <c r="BF31" i="3"/>
  <c r="BO31" i="3" s="1"/>
  <c r="BE31" i="3"/>
  <c r="BL16" i="3"/>
  <c r="BN36" i="45"/>
  <c r="BM36" i="45"/>
  <c r="BO36" i="45"/>
  <c r="BL28" i="3"/>
  <c r="S42" i="51"/>
  <c r="T42" i="51"/>
  <c r="R42" i="51"/>
  <c r="BF41" i="3"/>
  <c r="BO41" i="3" s="1"/>
  <c r="BE44" i="3"/>
  <c r="BF44" i="3"/>
  <c r="BO44" i="3" s="1"/>
  <c r="S34" i="51"/>
  <c r="R34" i="51"/>
  <c r="T34" i="51"/>
  <c r="BE47" i="3"/>
  <c r="BF47" i="3"/>
  <c r="BO47" i="3" s="1"/>
  <c r="BE40" i="3"/>
  <c r="BF40" i="3"/>
  <c r="BO40" i="3" s="1"/>
  <c r="BM23" i="45"/>
  <c r="BO23" i="45"/>
  <c r="BN23" i="45"/>
  <c r="BE35" i="3"/>
  <c r="BF35" i="3"/>
  <c r="BO35" i="3" s="1"/>
  <c r="BL23" i="3"/>
  <c r="BL31" i="3"/>
  <c r="BF45" i="3"/>
  <c r="BO45" i="3" s="1"/>
  <c r="BE45" i="3"/>
  <c r="BL43" i="3"/>
  <c r="BO48" i="45"/>
  <c r="BM48" i="45"/>
  <c r="BN48" i="45"/>
  <c r="BL18" i="3"/>
  <c r="R37" i="51"/>
  <c r="S37" i="51"/>
  <c r="T37" i="51"/>
  <c r="BE51" i="3"/>
  <c r="BF51" i="3"/>
  <c r="BO51" i="3" s="1"/>
  <c r="BO18" i="45"/>
  <c r="BM18" i="45"/>
  <c r="BN18" i="45"/>
  <c r="S47" i="51"/>
  <c r="R47" i="51"/>
  <c r="T47" i="51"/>
  <c r="BE50" i="3"/>
  <c r="BF50" i="3"/>
  <c r="BO39" i="45"/>
  <c r="BM39" i="45"/>
  <c r="BN39" i="45"/>
  <c r="Q51" i="51" l="1"/>
  <c r="P51" i="51" s="1"/>
  <c r="F11" i="48" a="1"/>
  <c r="F11" i="48" s="1"/>
  <c r="E12" i="48"/>
  <c r="Q40" i="51"/>
  <c r="P40" i="51" s="1"/>
  <c r="Q38" i="51"/>
  <c r="P38" i="51" s="1"/>
  <c r="Q23" i="51"/>
  <c r="P23" i="51" s="1"/>
  <c r="Q19" i="51"/>
  <c r="P19" i="51" s="1"/>
  <c r="BL6" i="45"/>
  <c r="BK6" i="45" s="1"/>
  <c r="Q27" i="51"/>
  <c r="P27" i="51" s="1"/>
  <c r="Q21" i="51"/>
  <c r="P21" i="51" s="1"/>
  <c r="Q24" i="51"/>
  <c r="P24" i="51" s="1"/>
  <c r="BL22" i="45"/>
  <c r="BK22" i="45" s="1"/>
  <c r="BL31" i="45"/>
  <c r="BK31" i="45" s="1"/>
  <c r="BL41" i="45"/>
  <c r="BK41" i="45" s="1"/>
  <c r="Q28" i="51"/>
  <c r="P28" i="51" s="1"/>
  <c r="Q10" i="51"/>
  <c r="P10" i="51" s="1"/>
  <c r="Q33" i="51"/>
  <c r="P33" i="51" s="1"/>
  <c r="BL15" i="45"/>
  <c r="BK15" i="45" s="1"/>
  <c r="BL25" i="45"/>
  <c r="BK25" i="45" s="1"/>
  <c r="BL37" i="45"/>
  <c r="BK37" i="45" s="1"/>
  <c r="Q12" i="51"/>
  <c r="P12" i="51" s="1"/>
  <c r="BL23" i="45"/>
  <c r="BK23" i="45" s="1"/>
  <c r="BL42" i="45"/>
  <c r="BK42" i="45" s="1"/>
  <c r="BL26" i="45"/>
  <c r="BK26" i="45" s="1"/>
  <c r="Q25" i="51"/>
  <c r="P25" i="51" s="1"/>
  <c r="BL11" i="45"/>
  <c r="BK11" i="45" s="1"/>
  <c r="Q41" i="51"/>
  <c r="P41" i="51" s="1"/>
  <c r="Q18" i="51"/>
  <c r="P18" i="51" s="1"/>
  <c r="BL24" i="45"/>
  <c r="BK24" i="45" s="1"/>
  <c r="Q29" i="51"/>
  <c r="P29" i="51" s="1"/>
  <c r="Q16" i="51"/>
  <c r="P16" i="51" s="1"/>
  <c r="BL30" i="45"/>
  <c r="BK30" i="45" s="1"/>
  <c r="Q9" i="51"/>
  <c r="P9" i="51" s="1"/>
  <c r="BL18" i="45"/>
  <c r="BK18" i="45" s="1"/>
  <c r="Q44" i="51"/>
  <c r="P44" i="51" s="1"/>
  <c r="BL46" i="45"/>
  <c r="BK46" i="45" s="1"/>
  <c r="BL39" i="45"/>
  <c r="BK39" i="45" s="1"/>
  <c r="BL16" i="45"/>
  <c r="BK16" i="45" s="1"/>
  <c r="Q20" i="51"/>
  <c r="P20" i="51" s="1"/>
  <c r="BL13" i="45"/>
  <c r="BK13" i="45" s="1"/>
  <c r="Q47" i="51"/>
  <c r="P47" i="51" s="1"/>
  <c r="Q52" i="51"/>
  <c r="P52" i="51" s="1"/>
  <c r="BL9" i="45"/>
  <c r="BK9" i="45" s="1"/>
  <c r="BL44" i="45"/>
  <c r="BK44" i="45" s="1"/>
  <c r="BL51" i="45"/>
  <c r="BK51" i="45" s="1"/>
  <c r="Q39" i="51"/>
  <c r="P39" i="51" s="1"/>
  <c r="Q54" i="51"/>
  <c r="P54" i="51" s="1"/>
  <c r="BL40" i="45"/>
  <c r="BK40" i="45" s="1"/>
  <c r="Q8" i="51"/>
  <c r="P8" i="51" s="1"/>
  <c r="BL19" i="45"/>
  <c r="BK19" i="45" s="1"/>
  <c r="Q53" i="51"/>
  <c r="P53" i="51" s="1"/>
  <c r="BL21" i="45"/>
  <c r="BK21" i="45" s="1"/>
  <c r="BL12" i="45"/>
  <c r="BK12" i="45" s="1"/>
  <c r="BL47" i="45"/>
  <c r="BK47" i="45" s="1"/>
  <c r="Q13" i="51"/>
  <c r="P13" i="51" s="1"/>
  <c r="BL35" i="45"/>
  <c r="BK35" i="45" s="1"/>
  <c r="BL50" i="45"/>
  <c r="BK50" i="45" s="1"/>
  <c r="BL5" i="45"/>
  <c r="BK5" i="45" s="1"/>
  <c r="Q32" i="51"/>
  <c r="P32" i="51" s="1"/>
  <c r="BL28" i="45"/>
  <c r="BK28" i="45" s="1"/>
  <c r="Q36" i="51"/>
  <c r="P36" i="51" s="1"/>
  <c r="Q49" i="51"/>
  <c r="P49" i="51" s="1"/>
  <c r="Q35" i="51"/>
  <c r="P35" i="51" s="1"/>
  <c r="BL34" i="45"/>
  <c r="BK34" i="45" s="1"/>
  <c r="Q15" i="51"/>
  <c r="P15" i="51" s="1"/>
  <c r="BL29" i="45"/>
  <c r="BK29" i="45" s="1"/>
  <c r="BL27" i="45"/>
  <c r="BK27" i="45" s="1"/>
  <c r="BL32" i="45"/>
  <c r="BK32" i="45" s="1"/>
  <c r="Q22" i="51"/>
  <c r="P22" i="51" s="1"/>
  <c r="Q26" i="51"/>
  <c r="P26" i="51" s="1"/>
  <c r="BL33" i="45"/>
  <c r="BK33" i="45" s="1"/>
  <c r="BL43" i="45"/>
  <c r="BK43" i="45" s="1"/>
  <c r="BL49" i="45"/>
  <c r="BK49" i="45" s="1"/>
  <c r="Q43" i="51"/>
  <c r="P43" i="51" s="1"/>
  <c r="BL48" i="45"/>
  <c r="BK48" i="45" s="1"/>
  <c r="Q14" i="51"/>
  <c r="P14" i="51" s="1"/>
  <c r="Q46" i="51"/>
  <c r="P46" i="51" s="1"/>
  <c r="BL8" i="45"/>
  <c r="BK8" i="45" s="1"/>
  <c r="Q42" i="51"/>
  <c r="P42" i="51" s="1"/>
  <c r="Q37" i="51"/>
  <c r="P37" i="51" s="1"/>
  <c r="BL36" i="45"/>
  <c r="BK36" i="45" s="1"/>
  <c r="Q55" i="51"/>
  <c r="P55" i="51" s="1"/>
  <c r="BL10" i="45"/>
  <c r="BK10" i="45" s="1"/>
  <c r="Q45" i="51"/>
  <c r="P45" i="51" s="1"/>
  <c r="BL20" i="45"/>
  <c r="BK20" i="45" s="1"/>
  <c r="BL4" i="45"/>
  <c r="BK4" i="45" s="1"/>
  <c r="Q48" i="51"/>
  <c r="P48" i="51" s="1"/>
  <c r="BL17" i="45"/>
  <c r="BK17" i="45" s="1"/>
  <c r="Q17" i="51"/>
  <c r="P17" i="51" s="1"/>
  <c r="BL45" i="45"/>
  <c r="BK45" i="45" s="1"/>
  <c r="Q50" i="51"/>
  <c r="P50" i="51" s="1"/>
  <c r="Q31" i="51"/>
  <c r="P31" i="51" s="1"/>
  <c r="Q34" i="51"/>
  <c r="P34" i="51" s="1"/>
  <c r="BL38" i="45"/>
  <c r="BK38" i="45" s="1"/>
  <c r="BL7" i="45"/>
  <c r="BK7" i="45" s="1"/>
  <c r="Q11" i="51"/>
  <c r="P11" i="51" s="1"/>
  <c r="Q30" i="51"/>
  <c r="P30" i="51" s="1"/>
  <c r="BL14" i="45"/>
  <c r="BK14" i="45" s="1"/>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CA13" i="3"/>
  <c r="H14" i="3"/>
  <c r="I13" i="3"/>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70" i="3" l="1"/>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C11" i="3" s="1"/>
  <c r="CA36" i="3"/>
  <c r="CB36" i="3"/>
  <c r="CA43" i="3"/>
  <c r="CB15" i="3"/>
  <c r="CA19" i="3"/>
  <c r="B46" i="51"/>
  <c r="B47" i="51" s="1"/>
  <c r="CC14" i="3" l="1"/>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L57" i="3"/>
  <c r="CF39" i="3"/>
  <c r="L31" i="3" l="1"/>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3" i="3"/>
  <c r="CG40" i="3"/>
  <c r="CG17" i="3"/>
  <c r="CG24" i="3"/>
  <c r="CG13" i="3"/>
  <c r="CG42" i="3"/>
  <c r="CG28" i="3"/>
  <c r="E29" i="48" l="1"/>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N39" i="3"/>
  <c r="O37" i="3"/>
  <c r="CJ8" i="3"/>
  <c r="CL8" i="3"/>
  <c r="N28" i="3" l="1"/>
  <c r="N30" i="3"/>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K19" i="3"/>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20"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R22" i="3"/>
  <c r="Q25" i="3"/>
  <c r="CP35" i="3"/>
  <c r="CQ35" i="3"/>
  <c r="CO35" i="3"/>
  <c r="Q45" i="3"/>
  <c r="Q48" i="3"/>
  <c r="CQ28" i="3" l="1"/>
  <c r="CP28" i="3"/>
  <c r="CO28" i="3"/>
  <c r="R48" i="3"/>
  <c r="R63" i="3"/>
  <c r="CO27" i="3"/>
  <c r="Q64" i="3"/>
  <c r="F34" i="48" a="1"/>
  <c r="F34" i="48" s="1"/>
  <c r="E35" i="48"/>
  <c r="R24" i="3"/>
  <c r="CP6" i="3"/>
  <c r="Q6" i="3"/>
  <c r="CQ13" i="3"/>
  <c r="Q88" i="3"/>
  <c r="CQ6" i="3"/>
  <c r="CP13" i="3"/>
  <c r="Q16" i="3"/>
  <c r="Q20" i="3"/>
  <c r="CO6" i="3"/>
  <c r="Q7" i="3"/>
  <c r="R8" i="3"/>
  <c r="R53" i="3"/>
  <c r="Q85" i="3"/>
  <c r="Q57" i="3"/>
  <c r="CO48" i="3"/>
  <c r="Q62" i="3"/>
  <c r="CP36" i="3" s="1"/>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CO30" i="3" s="1"/>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6" i="3"/>
  <c r="CP10" i="3" l="1"/>
  <c r="CP19" i="3"/>
  <c r="E36" i="48"/>
  <c r="F35" i="48" a="1"/>
  <c r="F35" i="48" s="1"/>
  <c r="CO11" i="3"/>
  <c r="CO37" i="3"/>
  <c r="CO19" i="3"/>
  <c r="CP37" i="3"/>
  <c r="CR24" i="3"/>
  <c r="CR34" i="3"/>
  <c r="CO15" i="3"/>
  <c r="CR47" i="3"/>
  <c r="CR7" i="3"/>
  <c r="CQ36" i="3"/>
  <c r="CO10" i="3"/>
  <c r="CQ10" i="3" s="1"/>
  <c r="CO20" i="3"/>
  <c r="CR35" i="3"/>
  <c r="CP11" i="3"/>
  <c r="CR41" i="3"/>
  <c r="CP15" i="3"/>
  <c r="CR52" i="3"/>
  <c r="CR50" i="3"/>
  <c r="CR16" i="3"/>
  <c r="CR22" i="3"/>
  <c r="CR38" i="3"/>
  <c r="CP30" i="3"/>
  <c r="CQ30" i="3" s="1"/>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11" i="3" l="1"/>
  <c r="CQ19" i="3"/>
  <c r="CQ37" i="3"/>
  <c r="CR37" i="3" s="1"/>
  <c r="F36" i="48" a="1"/>
  <c r="F36" i="48" s="1"/>
  <c r="E37" i="48"/>
  <c r="CQ20" i="3"/>
  <c r="CQ15" i="3"/>
  <c r="CR36" i="3"/>
  <c r="CQ14" i="3"/>
  <c r="CQ43" i="3"/>
  <c r="CQ44" i="3"/>
  <c r="CR44" i="3" s="1"/>
  <c r="CR10" i="3"/>
  <c r="CQ31" i="3"/>
  <c r="CR31" i="3" s="1"/>
  <c r="CR20" i="3"/>
  <c r="F37" i="48" l="1"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U24" i="3"/>
  <c r="CS40" i="3"/>
  <c r="CS20" i="3"/>
  <c r="F39" i="48" l="1"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37" i="3" s="1"/>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E42" i="48" l="1"/>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X11" i="3" s="1"/>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F44" i="48" l="1"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G43" i="3"/>
  <c r="DC43" i="3"/>
  <c r="DB19" i="3"/>
  <c r="DB44" i="3"/>
  <c r="DB9" i="3"/>
  <c r="DB36" i="3"/>
  <c r="DB46" i="3"/>
  <c r="DB10" i="3"/>
  <c r="DB32" i="3"/>
  <c r="DB6" i="3"/>
  <c r="DB49" i="3"/>
  <c r="DB38" i="3"/>
  <c r="DB39" i="3"/>
  <c r="DB23" i="3"/>
  <c r="DB24" i="3"/>
  <c r="DC21" i="3" l="1"/>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BF60" i="3" l="1"/>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AS55" i="3"/>
  <c r="AN55" i="3"/>
  <c r="AP55" i="3"/>
  <c r="AQ72" i="3"/>
  <c r="AO72" i="3"/>
  <c r="AK72" i="3" a="1"/>
  <c r="AK72" i="3" s="1"/>
  <c r="AT72" i="3"/>
  <c r="V22" i="45" s="1"/>
  <c r="T22" i="45"/>
  <c r="AS72" i="3"/>
  <c r="AM72" i="3"/>
  <c r="U22" i="45" s="1"/>
  <c r="AP72" i="3"/>
  <c r="AN72" i="3"/>
  <c r="AR72" i="3"/>
  <c r="AR62" i="3"/>
  <c r="T12" i="45"/>
  <c r="AP62" i="3"/>
  <c r="M112" i="3"/>
  <c r="AA111" i="3" s="1"/>
  <c r="AK62" i="3" a="1"/>
  <c r="AK62" i="3" s="1"/>
  <c r="AM62" i="3"/>
  <c r="U12" i="45" s="1"/>
  <c r="AO62" i="3"/>
  <c r="AT62" i="3"/>
  <c r="V12" i="45" s="1"/>
  <c r="AN62" i="3"/>
  <c r="AS62" i="3"/>
  <c r="AQ62" i="3"/>
  <c r="M108" i="3"/>
  <c r="AA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N45" i="3" a="1"/>
  <c r="DN45" i="3" s="1"/>
  <c r="DM45" i="3"/>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AT54" i="3"/>
  <c r="V4" i="45" s="1"/>
  <c r="AR54" i="3"/>
  <c r="AQ54" i="3"/>
  <c r="AK54" i="3" a="1"/>
  <c r="AK54" i="3" s="1"/>
  <c r="DL16" i="3"/>
  <c r="AU24" i="3" s="1"/>
  <c r="DL30" i="3"/>
  <c r="AU54" i="3" s="1"/>
  <c r="DL23" i="3"/>
  <c r="AU39" i="3" s="1"/>
  <c r="AQ30" i="3"/>
  <c r="AR30" i="3"/>
  <c r="AK30" i="3" a="1"/>
  <c r="AK30" i="3" s="1"/>
  <c r="AO30" i="3"/>
  <c r="M109" i="3"/>
  <c r="AA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AT89" i="3"/>
  <c r="V39" i="45" s="1"/>
  <c r="AQ89" i="3"/>
  <c r="AN89" i="3"/>
  <c r="T39" i="45"/>
  <c r="AP89" i="3"/>
  <c r="AK89" i="3" a="1"/>
  <c r="AK89" i="3" s="1"/>
  <c r="AR89" i="3"/>
  <c r="AO89" i="3"/>
  <c r="AM89" i="3"/>
  <c r="U39" i="45" s="1"/>
  <c r="AS89" i="3"/>
  <c r="BL61" i="3"/>
  <c r="DL39" i="3"/>
  <c r="AU71" i="3" s="1"/>
  <c r="DL26" i="3"/>
  <c r="DL33" i="3"/>
  <c r="AU57" i="3" s="1"/>
  <c r="DL12" i="3"/>
  <c r="AU16" i="3" s="1"/>
  <c r="M123" i="3" l="1"/>
  <c r="AA123" i="3" s="1"/>
  <c r="AG107" i="3"/>
  <c r="N120" i="3"/>
  <c r="AF121" i="3" s="1"/>
  <c r="AG106" i="3"/>
  <c r="N122" i="3"/>
  <c r="AF122" i="3" s="1"/>
  <c r="AG105" i="3"/>
  <c r="AG104" i="3"/>
  <c r="N121" i="3"/>
  <c r="AF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K203" i="46" l="1"/>
  <c r="DT123" i="3"/>
  <c r="AE34" i="45"/>
  <c r="C203" i="46"/>
  <c r="M185" i="46"/>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34" i="48" a="1"/>
  <c r="C34" i="48" s="1"/>
  <c r="B34" i="48" s="1"/>
  <c r="B34" i="50" a="1"/>
  <c r="B34" i="50" s="1"/>
  <c r="C33" i="48" a="1"/>
  <c r="C33" i="48" s="1"/>
  <c r="B33" i="48" s="1"/>
  <c r="B33" i="50" a="1"/>
  <c r="B33" i="50" s="1"/>
  <c r="C12" i="48" a="1"/>
  <c r="C12" i="48" s="1"/>
  <c r="C31" i="48" a="1"/>
  <c r="C31" i="48" s="1"/>
  <c r="B31" i="48" s="1"/>
  <c r="B31" i="50" a="1"/>
  <c r="B31" i="50" s="1"/>
  <c r="C15" i="48" a="1"/>
  <c r="C15" i="48" s="1"/>
  <c r="B15" i="50" a="1"/>
  <c r="B15" i="50" s="1"/>
  <c r="C23" i="48" a="1"/>
  <c r="C23" i="48" s="1"/>
  <c r="B23" i="48" s="1"/>
  <c r="B23" i="50" a="1"/>
  <c r="B23"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48" s="1"/>
  <c r="B5" i="50" a="1"/>
  <c r="B5" i="50" s="1"/>
  <c r="B24" i="50" a="1"/>
  <c r="B24" i="50" s="1"/>
  <c r="C24" i="48" a="1"/>
  <c r="C24" i="48" s="1"/>
  <c r="B24" i="48"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B4" i="48" l="1"/>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BV63" i="3" l="1"/>
  <c r="BV61" i="3"/>
  <c r="BV62" i="3"/>
  <c r="BV58" i="3"/>
  <c r="BV68" i="3"/>
  <c r="BV64" i="3"/>
  <c r="BV60" i="3"/>
  <c r="BV67" i="3"/>
  <c r="BV69" i="3"/>
  <c r="BV66" i="3"/>
  <c r="BW58" i="3" l="1"/>
  <c r="BX58" i="3" s="1"/>
  <c r="BW66" i="3"/>
  <c r="BX66" i="3" s="1"/>
  <c r="BW64" i="3"/>
  <c r="BW68" i="3"/>
  <c r="BW59" i="3"/>
  <c r="BW69" i="3"/>
  <c r="BX69" i="3" s="1"/>
  <c r="BW63" i="3"/>
  <c r="BW62" i="3"/>
  <c r="BW61" i="3"/>
  <c r="BW65" i="3"/>
  <c r="BW67" i="3"/>
  <c r="BW60" i="3"/>
  <c r="BX62" i="3" l="1"/>
  <c r="BX60" i="3"/>
  <c r="BX59" i="3"/>
  <c r="BX61" i="3"/>
  <c r="BX67" i="3"/>
  <c r="BX63" i="3"/>
  <c r="BY69" i="3" s="1"/>
  <c r="BX68" i="3"/>
  <c r="BX65" i="3"/>
  <c r="BX64" i="3"/>
  <c r="BY62" i="3" l="1"/>
  <c r="BY67" i="3"/>
  <c r="BY64" i="3"/>
  <c r="BY58" i="3"/>
  <c r="BY63" i="3"/>
  <c r="BY66" i="3"/>
  <c r="BY60" i="3"/>
  <c r="BY61" i="3"/>
  <c r="BY65" i="3"/>
  <c r="BY68" i="3"/>
  <c r="BY59" i="3"/>
  <c r="BZ62" i="3" l="1"/>
  <c r="CA62" i="3" s="1"/>
  <c r="BZ65" i="3"/>
  <c r="BZ61" i="3"/>
  <c r="BZ66" i="3"/>
  <c r="BZ59" i="3"/>
  <c r="BZ67" i="3"/>
  <c r="BZ69" i="3"/>
  <c r="BZ58" i="3"/>
  <c r="BZ68" i="3"/>
  <c r="BZ63" i="3"/>
  <c r="BZ64" i="3"/>
  <c r="BZ60" i="3"/>
  <c r="CE59" i="3" l="1"/>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AL106" i="3" s="1"/>
  <c r="CB64" i="3"/>
  <c r="BM64" i="3" s="1"/>
  <c r="CB60" i="3"/>
  <c r="BM60" i="3" s="1"/>
  <c r="CF67" i="3"/>
  <c r="BN67" i="3" s="1"/>
  <c r="CB62" i="3"/>
  <c r="BM62" i="3" s="1"/>
  <c r="CB67" i="3"/>
  <c r="BM67" i="3" s="1"/>
  <c r="CB63" i="3"/>
  <c r="BM63" i="3" s="1"/>
  <c r="CF64" i="3"/>
  <c r="BN64" i="3" s="1"/>
  <c r="CB59" i="3"/>
  <c r="BM59" i="3" s="1"/>
  <c r="AV110" i="3" l="1"/>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AN106" i="3"/>
  <c r="AK106" i="3" a="1"/>
  <c r="AK106" i="3" s="1"/>
  <c r="AO106" i="3"/>
  <c r="AS106" i="3"/>
  <c r="BF107" i="3"/>
  <c r="AP106" i="3"/>
  <c r="AT106" i="3"/>
  <c r="AR106" i="3"/>
  <c r="AM106" i="3"/>
  <c r="AQ106" i="3"/>
  <c r="DQ64" i="3"/>
  <c r="DJ64" i="3" s="1"/>
  <c r="AV111" i="3"/>
  <c r="AV109" i="3"/>
  <c r="DQ58" i="3"/>
  <c r="DJ58" i="3" s="1"/>
  <c r="DQ60" i="3"/>
  <c r="DJ60" i="3" s="1"/>
  <c r="DQ69" i="3"/>
  <c r="DJ69" i="3" s="1"/>
  <c r="DQ62" i="3"/>
  <c r="DJ62" i="3" s="1"/>
  <c r="AL112" i="3"/>
  <c r="DL65" i="3" l="1"/>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s="1"/>
  <c r="BN69" i="3" s="1"/>
  <c r="CF62" i="3" l="1"/>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Q102" i="3"/>
  <c r="AK102" i="3" a="1"/>
  <c r="AK102" i="3" s="1"/>
  <c r="AK104" i="3" a="1"/>
  <c r="AK104" i="3" s="1"/>
  <c r="AS104" i="3"/>
  <c r="AN103" i="3"/>
  <c r="BF104" i="3"/>
  <c r="AP103" i="3"/>
  <c r="AQ103" i="3"/>
  <c r="AK103" i="3" a="1"/>
  <c r="AK103" i="3" s="1"/>
  <c r="AO103" i="3"/>
  <c r="AR103" i="3"/>
  <c r="AT103" i="3"/>
  <c r="AS103" i="3"/>
  <c r="AM103" i="3"/>
  <c r="AO104" i="3" l="1"/>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G105" i="3"/>
  <c r="BG108" i="3"/>
  <c r="BG106" i="3"/>
  <c r="BG109" i="3"/>
  <c r="BG107" i="3"/>
  <c r="BG104" i="3"/>
  <c r="BJ106" i="3" s="1"/>
  <c r="BG110" i="3"/>
  <c r="BJ109" i="3"/>
  <c r="BJ108" i="3" l="1"/>
  <c r="BJ104" i="3"/>
  <c r="BJ103" i="3"/>
  <c r="BJ110" i="3"/>
  <c r="BJ105" i="3"/>
  <c r="BJ107" i="3"/>
  <c r="BI112" i="3" l="1"/>
  <c r="B64" i="40" s="1"/>
  <c r="B313" i="40"/>
  <c r="B202" i="40"/>
  <c r="B211" i="40"/>
  <c r="B36" i="40"/>
  <c r="B282" i="40"/>
  <c r="B365" i="40"/>
  <c r="B358" i="40"/>
  <c r="B355" i="40"/>
  <c r="B230" i="40"/>
  <c r="B260" i="40"/>
  <c r="B109" i="40"/>
  <c r="B344" i="40"/>
  <c r="B52" i="40"/>
  <c r="B265" i="40"/>
  <c r="B207" i="40"/>
  <c r="B452" i="40"/>
  <c r="B245" i="40"/>
  <c r="B422" i="40"/>
  <c r="B134" i="40"/>
  <c r="B255" i="40"/>
  <c r="B342" i="40"/>
  <c r="B95" i="40"/>
  <c r="B329" i="40"/>
  <c r="B66" i="40"/>
  <c r="B475" i="40"/>
  <c r="B127" i="40"/>
  <c r="B464" i="40"/>
  <c r="B299" i="40"/>
  <c r="B156" i="40"/>
  <c r="B308" i="40"/>
  <c r="B436" i="40"/>
  <c r="B22" i="40"/>
  <c r="B295" i="40"/>
  <c r="B316" i="40"/>
  <c r="B418" i="40"/>
  <c r="B119" i="40"/>
  <c r="B386" i="40"/>
  <c r="B55" i="40"/>
  <c r="B284" i="40"/>
  <c r="B405" i="40"/>
  <c r="B425" i="40"/>
  <c r="B494" i="40"/>
  <c r="B84" i="40"/>
  <c r="B478" i="40"/>
  <c r="B409" i="40"/>
  <c r="B206" i="40"/>
  <c r="B449" i="40"/>
  <c r="B262" i="40"/>
  <c r="B453" i="40"/>
  <c r="B279" i="40"/>
  <c r="B351" i="40"/>
  <c r="B322" i="40"/>
  <c r="B259" i="40"/>
  <c r="B391" i="40"/>
  <c r="B86" i="40"/>
  <c r="B63" i="40"/>
  <c r="B130" i="40"/>
  <c r="B139" i="40"/>
  <c r="B388" i="40"/>
  <c r="B39" i="40"/>
  <c r="B195" i="40"/>
  <c r="B96" i="40"/>
  <c r="B488" i="40"/>
  <c r="B40" i="40"/>
  <c r="B236" i="40"/>
  <c r="B33" i="40"/>
  <c r="B439" i="40"/>
  <c r="B161" i="40"/>
  <c r="B198" i="40"/>
  <c r="B458" i="40"/>
  <c r="B117" i="40"/>
  <c r="B250" i="40"/>
  <c r="B10" i="40"/>
  <c r="B331" i="40"/>
  <c r="B408" i="40"/>
  <c r="B182" i="40"/>
  <c r="B466" i="40"/>
  <c r="B340" i="40"/>
  <c r="B27" i="40"/>
  <c r="B113" i="40"/>
  <c r="B153" i="40"/>
  <c r="B219" i="40"/>
  <c r="B42" i="40"/>
  <c r="B146" i="40"/>
  <c r="B420" i="40"/>
  <c r="B187" i="40"/>
  <c r="B6" i="40"/>
  <c r="B477" i="40"/>
  <c r="B194" i="40"/>
  <c r="B380" i="40"/>
  <c r="B51" i="40"/>
  <c r="B296" i="40"/>
  <c r="B333" i="40"/>
  <c r="B362" i="40"/>
  <c r="B225" i="40"/>
  <c r="B163" i="40"/>
  <c r="B394" i="40"/>
  <c r="B410" i="40"/>
  <c r="AZ101" i="3"/>
  <c r="B244" i="40"/>
  <c r="B304" i="40"/>
  <c r="B47" i="40"/>
  <c r="B397" i="40"/>
  <c r="B269" i="40"/>
  <c r="B366" i="40"/>
  <c r="B432" i="40"/>
  <c r="B215" i="40"/>
  <c r="B454" i="40"/>
  <c r="B396" i="40"/>
  <c r="B209" i="40"/>
  <c r="B25" i="40"/>
  <c r="B237" i="40"/>
  <c r="B181" i="40"/>
  <c r="B18" i="40"/>
  <c r="B3" i="40"/>
  <c r="B128" i="40"/>
  <c r="B158" i="40"/>
  <c r="B356" i="40"/>
  <c r="B224" i="40"/>
  <c r="B59" i="40"/>
  <c r="B175" i="40"/>
  <c r="B317" i="40"/>
  <c r="B157" i="40"/>
  <c r="B238" i="40"/>
  <c r="B32" i="40"/>
  <c r="B167" i="40"/>
  <c r="B361" i="40"/>
  <c r="B346" i="40"/>
  <c r="B129" i="40"/>
  <c r="B489" i="40"/>
  <c r="B110" i="40"/>
  <c r="B465" i="40"/>
  <c r="B62" i="40"/>
  <c r="B325" i="40"/>
  <c r="B377" i="40"/>
  <c r="B94" i="40"/>
  <c r="B286" i="40"/>
  <c r="B75" i="40"/>
  <c r="B445" i="40"/>
  <c r="B168" i="40"/>
  <c r="B345" i="40"/>
  <c r="B493" i="40"/>
  <c r="B21" i="40"/>
  <c r="B256" i="40"/>
  <c r="B131" i="40"/>
  <c r="B145" i="40"/>
  <c r="B101" i="40"/>
  <c r="B132" i="40"/>
  <c r="B189" i="40"/>
  <c r="B185" i="40"/>
  <c r="B46" i="40"/>
  <c r="B112" i="40"/>
  <c r="B305" i="40"/>
  <c r="B384" i="40"/>
  <c r="B13" i="40"/>
  <c r="B253" i="40"/>
  <c r="B77" i="40"/>
  <c r="B140" i="40"/>
  <c r="B423" i="40"/>
  <c r="B481" i="40"/>
  <c r="B247" i="40"/>
  <c r="B43" i="40"/>
  <c r="B232" i="40"/>
  <c r="B108" i="40"/>
  <c r="B26" i="40"/>
  <c r="B71" i="40"/>
  <c r="B123" i="40"/>
  <c r="B283" i="40"/>
  <c r="B352" i="40"/>
  <c r="B440" i="40"/>
  <c r="B347" i="40"/>
  <c r="B150" i="40"/>
  <c r="B427" i="40"/>
  <c r="B19" i="40"/>
  <c r="B214" i="40"/>
  <c r="B144" i="40"/>
  <c r="B343" i="40"/>
  <c r="B421" i="40"/>
  <c r="B401" i="40"/>
  <c r="B274" i="40"/>
  <c r="B364" i="40"/>
  <c r="B350" i="40"/>
  <c r="B114" i="40"/>
  <c r="B78" i="40"/>
  <c r="B176" i="40"/>
  <c r="B354" i="40"/>
  <c r="B102" i="40"/>
  <c r="B103" i="40"/>
  <c r="B28" i="40"/>
  <c r="B50" i="40"/>
  <c r="B353" i="40"/>
  <c r="B490" i="40"/>
  <c r="B229" i="40"/>
  <c r="B179" i="40"/>
  <c r="B254" i="40"/>
  <c r="B242" i="40"/>
  <c r="B34" i="40"/>
  <c r="B495" i="40"/>
  <c r="B438" i="40"/>
  <c r="B261" i="40"/>
  <c r="B337" i="40"/>
  <c r="B339" i="40"/>
  <c r="B446" i="40"/>
  <c r="B190" i="40"/>
  <c r="B16" i="40"/>
  <c r="B251" i="40"/>
  <c r="B459" i="40"/>
  <c r="B416" i="40"/>
  <c r="B271" i="40"/>
  <c r="B376" i="40"/>
  <c r="B239" i="40"/>
  <c r="B76" i="40"/>
  <c r="B363" i="40"/>
  <c r="B404" i="40"/>
  <c r="B276" i="40"/>
  <c r="B227" i="40"/>
  <c r="B479" i="40"/>
  <c r="B160" i="40"/>
  <c r="B201" i="40"/>
  <c r="B417" i="40"/>
  <c r="B60" i="40"/>
  <c r="B429" i="40"/>
  <c r="B37" i="40"/>
  <c r="B428" i="40"/>
  <c r="B297" i="40"/>
  <c r="B307" i="40"/>
  <c r="B184" i="40"/>
  <c r="B183" i="40"/>
  <c r="B148" i="40"/>
  <c r="B53" i="40"/>
  <c r="B383" i="40"/>
  <c r="B56" i="40"/>
  <c r="B288" i="40"/>
  <c r="B68" i="40"/>
  <c r="B124" i="40"/>
  <c r="B450" i="40"/>
  <c r="B300" i="40"/>
  <c r="B433" i="40"/>
  <c r="B315" i="40"/>
  <c r="B100" i="40"/>
  <c r="B392" i="40"/>
  <c r="B14" i="40"/>
  <c r="B335" i="40"/>
  <c r="B174" i="40"/>
  <c r="B216" i="40"/>
  <c r="B370" i="40"/>
  <c r="B272" i="40"/>
  <c r="B226" i="40"/>
  <c r="B24" i="40"/>
  <c r="B319" i="40"/>
  <c r="B4" i="40"/>
  <c r="B165" i="40"/>
  <c r="B492" i="40"/>
  <c r="B111" i="40"/>
  <c r="B49" i="40"/>
  <c r="B136" i="40"/>
  <c r="B496" i="40"/>
  <c r="B126" i="40"/>
  <c r="B476" i="40"/>
  <c r="B472" i="40"/>
  <c r="B199" i="40"/>
  <c r="B7" i="40"/>
  <c r="B330" i="40"/>
  <c r="B435" i="40"/>
  <c r="B11" i="40"/>
  <c r="B115" i="40"/>
  <c r="B122" i="40"/>
  <c r="B203" i="40"/>
  <c r="B241" i="40"/>
  <c r="B348" i="40"/>
  <c r="B373" i="40"/>
  <c r="B70" i="40"/>
  <c r="B243" i="40"/>
  <c r="B328" i="40"/>
  <c r="B213" i="40"/>
  <c r="B287" i="40"/>
  <c r="B485" i="40"/>
  <c r="B172" i="40"/>
  <c r="B264" i="40"/>
  <c r="B437" i="40"/>
  <c r="B98" i="40"/>
  <c r="B121" i="40"/>
  <c r="B443" i="40"/>
  <c r="B381" i="40"/>
  <c r="B45" i="40"/>
  <c r="B170" i="40"/>
  <c r="B20" i="40"/>
  <c r="B151" i="40"/>
  <c r="B67" i="40"/>
  <c r="B281" i="40"/>
  <c r="B414" i="40"/>
  <c r="B310" i="40"/>
  <c r="B204" i="40"/>
  <c r="B314" i="40"/>
  <c r="B8" i="40"/>
  <c r="B41" i="40"/>
  <c r="B318" i="40"/>
  <c r="B210" i="40"/>
  <c r="B306" i="40"/>
  <c r="B389" i="40"/>
  <c r="B403" i="40"/>
  <c r="B447" i="40"/>
  <c r="B371" i="40"/>
  <c r="B374" i="40"/>
  <c r="B118" i="40"/>
  <c r="B468" i="40"/>
  <c r="B169" i="40"/>
  <c r="B89" i="40"/>
  <c r="B192" i="40"/>
  <c r="B357" i="40"/>
  <c r="B159" i="40"/>
  <c r="B15" i="40"/>
  <c r="B486" i="40"/>
  <c r="B222" i="40"/>
  <c r="B400" i="40"/>
  <c r="B88" i="40"/>
  <c r="B382" i="40"/>
  <c r="B246" i="40"/>
  <c r="B200" i="40"/>
  <c r="B143" i="40"/>
  <c r="B155" i="40"/>
  <c r="B332" i="40"/>
  <c r="B17" i="40"/>
  <c r="B29" i="40"/>
  <c r="B441" i="40"/>
  <c r="B186" i="40"/>
  <c r="B38" i="40"/>
  <c r="B385" i="40"/>
  <c r="B65" i="40"/>
  <c r="B303" i="40"/>
  <c r="B73" i="40"/>
  <c r="B233" i="40"/>
  <c r="B142" i="40"/>
  <c r="B99" i="40"/>
  <c r="B456" i="40"/>
  <c r="B402" i="40"/>
  <c r="B35" i="40"/>
  <c r="B324" i="40"/>
  <c r="B164" i="40"/>
  <c r="B301" i="40"/>
  <c r="B257" i="40"/>
  <c r="B97" i="40"/>
  <c r="B220" i="40"/>
  <c r="B240" i="40"/>
  <c r="B85" i="40"/>
  <c r="B326" i="40"/>
  <c r="B413" i="40"/>
  <c r="B197" i="40"/>
  <c r="B375" i="40"/>
  <c r="B205" i="40"/>
  <c r="B395" i="40"/>
  <c r="B336" i="40"/>
  <c r="B152" i="40"/>
  <c r="B228" i="40"/>
  <c r="B273" i="40"/>
  <c r="B309" i="40"/>
  <c r="B430" i="40"/>
  <c r="B280" i="40"/>
  <c r="B460" i="40"/>
  <c r="B30" i="40"/>
  <c r="B457" i="40"/>
  <c r="B217" i="40"/>
  <c r="B149" i="40"/>
  <c r="B484" i="40"/>
  <c r="B80" i="40"/>
  <c r="B87" i="40"/>
  <c r="B469" i="40"/>
  <c r="B193" i="40"/>
  <c r="B72" i="40"/>
  <c r="B188" i="40"/>
  <c r="B104" i="40"/>
  <c r="B451" i="40"/>
  <c r="B292" i="40"/>
  <c r="B268" i="40"/>
  <c r="B82" i="40"/>
  <c r="B196" i="40"/>
  <c r="B462" i="40"/>
  <c r="B412" i="40"/>
  <c r="B285" i="40"/>
  <c r="B294" i="40"/>
  <c r="B379" i="40"/>
  <c r="B398" i="40"/>
  <c r="B249" i="40"/>
  <c r="B378" i="40"/>
  <c r="B463" i="40"/>
  <c r="B349" i="40"/>
  <c r="B81" i="40"/>
  <c r="B483" i="40"/>
  <c r="B137" i="40"/>
  <c r="B298" i="40"/>
  <c r="B105" i="40"/>
  <c r="B277" i="40"/>
  <c r="B162" i="40"/>
  <c r="B23" i="40"/>
  <c r="B166" i="40"/>
  <c r="B218" i="40"/>
  <c r="B270" i="40"/>
  <c r="B221" i="40"/>
  <c r="B359" i="40"/>
  <c r="B424" i="40"/>
  <c r="B275" i="40"/>
  <c r="B471" i="40"/>
  <c r="B258" i="40"/>
  <c r="B278" i="40"/>
  <c r="B407" i="40"/>
  <c r="B455" i="40"/>
  <c r="B360" i="40"/>
  <c r="B171" i="40"/>
  <c r="B368" i="40"/>
  <c r="B491" i="40"/>
  <c r="B426" i="40"/>
  <c r="B266" i="40"/>
  <c r="B177" i="40"/>
  <c r="B173" i="40"/>
  <c r="B367" i="40"/>
  <c r="B133" i="40"/>
  <c r="B399" i="40"/>
  <c r="B473" i="40"/>
  <c r="B321" i="40"/>
  <c r="B252" i="40"/>
  <c r="B125" i="40"/>
  <c r="B180" i="40"/>
  <c r="B107" i="40"/>
  <c r="B208" i="40"/>
  <c r="B411" i="40"/>
  <c r="B372" i="40"/>
  <c r="B106" i="40"/>
  <c r="B2" i="40"/>
  <c r="B147" i="40"/>
  <c r="B135" i="40"/>
  <c r="B338" i="40"/>
  <c r="B415" i="40"/>
  <c r="B312" i="40"/>
  <c r="B487" i="40"/>
  <c r="B341" i="40"/>
  <c r="B406" i="40"/>
  <c r="B74" i="40"/>
  <c r="B91" i="40"/>
  <c r="B69" i="40"/>
  <c r="B470" i="40"/>
  <c r="B431" i="40"/>
  <c r="B57" i="40"/>
  <c r="B58" i="40"/>
  <c r="B235" i="40"/>
  <c r="B393" i="40"/>
  <c r="B434" i="40"/>
  <c r="B93" i="40"/>
  <c r="B231" i="40"/>
  <c r="B83" i="40"/>
  <c r="B369" i="40"/>
  <c r="B154" i="40"/>
  <c r="B120" i="40"/>
  <c r="B234" i="40"/>
  <c r="B90" i="40"/>
  <c r="B79" i="40"/>
  <c r="B263" i="40"/>
  <c r="B442" i="40"/>
  <c r="B9" i="40"/>
  <c r="B212" i="40"/>
  <c r="B311" i="40"/>
  <c r="B327" i="40"/>
  <c r="B116" i="40"/>
  <c r="B302" i="40"/>
  <c r="B92" i="40"/>
  <c r="B323" i="40"/>
  <c r="B482" i="40"/>
  <c r="B474" i="40"/>
  <c r="B267" i="40"/>
  <c r="B480" i="40"/>
  <c r="B178" i="40"/>
  <c r="B293" i="40"/>
  <c r="B290" i="40"/>
  <c r="B223" i="40"/>
  <c r="B334" i="40"/>
  <c r="B387" i="40"/>
  <c r="B138" i="40"/>
  <c r="B448" i="40"/>
  <c r="B12" i="40"/>
  <c r="B291" i="40"/>
  <c r="B48" i="40"/>
  <c r="B467" i="40" l="1"/>
  <c r="B5" i="40"/>
  <c r="B461" i="40"/>
  <c r="B289" i="40"/>
  <c r="B54" i="40"/>
  <c r="B419" i="40"/>
  <c r="B44" i="40"/>
  <c r="N110" i="3" s="1"/>
  <c r="AF109" i="3" s="1"/>
  <c r="B141" i="40"/>
  <c r="B390" i="40"/>
  <c r="B320" i="40"/>
  <c r="B61" i="40"/>
  <c r="B444" i="40"/>
  <c r="B248" i="40"/>
  <c r="B191" i="40"/>
  <c r="B31" i="40"/>
  <c r="N113" i="3"/>
  <c r="AF113" i="3" s="1"/>
  <c r="N105" i="3"/>
  <c r="AF106" i="3" s="1"/>
  <c r="N107" i="3"/>
  <c r="AF107" i="3" s="1"/>
  <c r="N102" i="3"/>
  <c r="AF103" i="3" s="1"/>
  <c r="D103" i="3" s="1"/>
  <c r="N108" i="3"/>
  <c r="AF108" i="3" s="1"/>
  <c r="BG121" i="3" l="1"/>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AG103" i="3"/>
  <c r="M120" i="3"/>
  <c r="AA121" i="3" s="1"/>
  <c r="AA22" i="45"/>
  <c r="M153" i="46"/>
  <c r="AA37" i="45"/>
  <c r="K171" i="46"/>
  <c r="DT108" i="3"/>
  <c r="C171" i="46"/>
  <c r="D11" i="48" s="1" a="1"/>
  <c r="D11" i="48" s="1"/>
  <c r="AA4" i="45"/>
  <c r="M148" i="46"/>
  <c r="DT103" i="3"/>
  <c r="K166" i="46"/>
  <c r="C166" i="46"/>
  <c r="D6" i="48" s="1" a="1"/>
  <c r="D6" i="48" s="1"/>
  <c r="AA34" i="45"/>
  <c r="M152" i="46"/>
  <c r="DT107" i="3"/>
  <c r="C170" i="46"/>
  <c r="D10" i="48" s="1" a="1"/>
  <c r="D10" i="48" s="1"/>
  <c r="K170" i="46"/>
  <c r="AA7" i="45"/>
  <c r="M151" i="46"/>
  <c r="DT106" i="3"/>
  <c r="K169" i="46"/>
  <c r="C169" i="46"/>
  <c r="D9" i="48" s="1" a="1"/>
  <c r="D9" i="48" s="1"/>
  <c r="AA46" i="45"/>
  <c r="M158" i="46"/>
  <c r="C176" i="46"/>
  <c r="D16" i="48" s="1" a="1"/>
  <c r="D16" i="48" s="1"/>
  <c r="DT113" i="3"/>
  <c r="K176" i="46"/>
  <c r="AA25" i="45"/>
  <c r="M154" i="46"/>
  <c r="DT109" i="3"/>
  <c r="K172" i="46"/>
  <c r="C172" i="46"/>
  <c r="D12" i="48" s="1" a="1"/>
  <c r="D12" i="48" s="1"/>
  <c r="M155" i="46" l="1"/>
  <c r="C173" i="46"/>
  <c r="D13" i="48" s="1" a="1"/>
  <c r="D13" i="48" s="1"/>
  <c r="K173" i="46"/>
  <c r="C179" i="46"/>
  <c r="D19" i="48" s="1" a="1"/>
  <c r="D19" i="48" s="1"/>
  <c r="AA49" i="45"/>
  <c r="M161" i="46"/>
  <c r="DT116" i="3"/>
  <c r="AE4" i="45"/>
  <c r="DT121" i="3"/>
  <c r="M183" i="46"/>
  <c r="C201" i="46"/>
  <c r="K201" i="46"/>
  <c r="M2" i="47" s="1"/>
  <c r="AJ151" i="3"/>
  <c r="AJ155" i="3"/>
  <c r="L5" i="51"/>
  <c r="A12" i="50" a="1"/>
  <c r="A12" i="50" s="1"/>
  <c r="A12" i="48" a="1"/>
  <c r="A12" i="48" s="1"/>
  <c r="B12" i="48" s="1"/>
  <c r="B12" i="50" a="1"/>
  <c r="B12" i="50" s="1"/>
  <c r="A10" i="48" a="1"/>
  <c r="A10" i="48" s="1"/>
  <c r="B10" i="48" s="1"/>
  <c r="A10" i="50" a="1"/>
  <c r="A10" i="50" s="1"/>
  <c r="B10" i="50" a="1"/>
  <c r="B10" i="50" s="1"/>
  <c r="A19" i="48" a="1"/>
  <c r="A19" i="48" s="1"/>
  <c r="B19" i="48" s="1"/>
  <c r="A19" i="50" a="1"/>
  <c r="A19" i="50" s="1"/>
  <c r="B19" i="50" a="1"/>
  <c r="B19" i="50" s="1"/>
  <c r="A16" i="50" a="1"/>
  <c r="A16" i="50" s="1"/>
  <c r="A16" i="48" a="1"/>
  <c r="A16" i="48" s="1"/>
  <c r="B16" i="48" s="1"/>
  <c r="B16" i="50" a="1"/>
  <c r="B16" i="50" s="1"/>
  <c r="A6" i="50" a="1"/>
  <c r="A6" i="50" s="1"/>
  <c r="A6" i="48" a="1"/>
  <c r="A6" i="48" s="1"/>
  <c r="B6" i="50" a="1"/>
  <c r="B6" i="50" s="1"/>
  <c r="A9" i="50" a="1"/>
  <c r="A9" i="50" s="1"/>
  <c r="A9" i="48" a="1"/>
  <c r="A9" i="48" s="1"/>
  <c r="B9" i="48" s="1"/>
  <c r="B9" i="50" a="1"/>
  <c r="B9" i="50" s="1"/>
  <c r="A11" i="50" a="1"/>
  <c r="A11" i="50" s="1"/>
  <c r="A11" i="48" a="1"/>
  <c r="A11" i="48" s="1"/>
  <c r="B11" i="48" s="1"/>
  <c r="B11" i="50" a="1"/>
  <c r="B11" i="50" s="1"/>
  <c r="A13" i="48" a="1"/>
  <c r="A13" i="48" s="1"/>
  <c r="B13" i="48" s="1"/>
  <c r="A13" i="50" a="1"/>
  <c r="A13" i="50" s="1"/>
  <c r="B13" i="50" a="1"/>
  <c r="B13"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DL165" i="46"/>
  <c r="CH178" i="46"/>
  <c r="AC170" i="46"/>
  <c r="BM172" i="46"/>
  <c r="CB173" i="46"/>
  <c r="EP175" i="46"/>
  <c r="CN168" i="46"/>
  <c r="DF164" i="46"/>
  <c r="BA171" i="46"/>
  <c r="AL165" i="46"/>
  <c r="EP171" i="46"/>
  <c r="AL172" i="46"/>
  <c r="DI165" i="46"/>
  <c r="AU171" i="46"/>
  <c r="CH179" i="46"/>
  <c r="AL174" i="46"/>
  <c r="EV168" i="46"/>
  <c r="AF174" i="46"/>
  <c r="BM164" i="46"/>
  <c r="BP165" i="46"/>
  <c r="BS170" i="46"/>
  <c r="ED176" i="46"/>
  <c r="AX169" i="46"/>
  <c r="DI168" i="46"/>
  <c r="CE176" i="46"/>
  <c r="EA166" i="46"/>
  <c r="EG175" i="46"/>
  <c r="CE168" i="46"/>
  <c r="DO166" i="46"/>
  <c r="CW166" i="46"/>
  <c r="BV175" i="46"/>
  <c r="AC174" i="46"/>
  <c r="CZ172" i="46"/>
  <c r="DF175" i="46"/>
  <c r="EY164" i="46"/>
  <c r="DU174" i="46"/>
  <c r="AF169" i="46"/>
  <c r="DX169" i="46"/>
  <c r="AR179" i="46"/>
  <c r="FE170" i="46"/>
  <c r="BY173" i="46"/>
  <c r="EP176" i="46"/>
  <c r="ES172" i="46"/>
  <c r="T170" i="46"/>
  <c r="AR167" i="46"/>
  <c r="BM176" i="46"/>
  <c r="BJ171" i="46"/>
  <c r="BS178" i="46"/>
  <c r="CH166" i="46"/>
  <c r="FH177" i="46"/>
  <c r="Z165" i="46"/>
  <c r="FK166" i="46"/>
  <c r="CE164" i="46"/>
  <c r="BA169" i="46"/>
  <c r="DI164" i="46"/>
  <c r="AL173" i="46"/>
  <c r="AO170" i="46"/>
  <c r="DO175" i="46"/>
  <c r="EP169" i="46"/>
  <c r="FH164" i="46"/>
  <c r="BJ178" i="46"/>
  <c r="T178" i="46"/>
  <c r="FB171" i="46"/>
  <c r="FB167" i="46"/>
  <c r="W164" i="46"/>
  <c r="BD176" i="46"/>
  <c r="BM177" i="46"/>
  <c r="FE169" i="46"/>
  <c r="EP165" i="46"/>
  <c r="CK172" i="46"/>
  <c r="DL178" i="46"/>
  <c r="BV165" i="46"/>
  <c r="BV168" i="46"/>
  <c r="AL176" i="46"/>
  <c r="FE168" i="46"/>
  <c r="DX173" i="46"/>
  <c r="ES167" i="46"/>
  <c r="DL179" i="46"/>
  <c r="BG178" i="46"/>
  <c r="AO174" i="46"/>
  <c r="DC165" i="46"/>
  <c r="FH174" i="46"/>
  <c r="CK171" i="46"/>
  <c r="BY175" i="46"/>
  <c r="EJ175" i="46"/>
  <c r="DO173" i="46"/>
  <c r="EA167" i="46"/>
  <c r="EV176" i="46"/>
  <c r="AU172" i="46"/>
  <c r="CK165" i="46"/>
  <c r="BY172" i="46"/>
  <c r="BJ179" i="46"/>
  <c r="EV170" i="46"/>
  <c r="BD165" i="46"/>
  <c r="BJ167" i="46"/>
  <c r="AO171" i="46"/>
  <c r="DX174" i="46"/>
  <c r="AO176" i="46"/>
  <c r="FB172" i="46"/>
  <c r="CT164" i="46"/>
  <c r="CK164" i="46"/>
  <c r="AR165" i="46"/>
  <c r="EA174" i="46"/>
  <c r="BD168" i="46"/>
  <c r="CE179" i="46"/>
  <c r="CK170" i="46"/>
  <c r="CN173" i="46"/>
  <c r="FE166" i="46"/>
  <c r="BA170" i="46"/>
  <c r="FK171" i="46"/>
  <c r="BV166" i="46"/>
  <c r="BM167" i="46"/>
  <c r="BD164" i="46"/>
  <c r="CW176" i="46"/>
  <c r="CW165" i="46"/>
  <c r="CN172" i="46"/>
  <c r="CQ174" i="46"/>
  <c r="CZ169" i="46"/>
  <c r="CK179" i="46"/>
  <c r="EA175" i="46"/>
  <c r="DI166" i="46"/>
  <c r="AX173" i="46"/>
  <c r="ES173" i="46"/>
  <c r="CZ176" i="46"/>
  <c r="CB178" i="46"/>
  <c r="DX170" i="46"/>
  <c r="CQ169" i="46"/>
  <c r="BD174" i="46"/>
  <c r="CT170" i="46"/>
  <c r="BJ165" i="46"/>
  <c r="DU166" i="46"/>
  <c r="BP169" i="46"/>
  <c r="AX171" i="46"/>
  <c r="DX171" i="46"/>
  <c r="EY174" i="46"/>
  <c r="DR170" i="46"/>
  <c r="EJ168" i="46"/>
  <c r="CW169" i="46"/>
  <c r="CW173" i="46"/>
  <c r="EM179" i="46"/>
  <c r="EP168" i="46"/>
  <c r="W165" i="46"/>
  <c r="DL177" i="46"/>
  <c r="CW167" i="46"/>
  <c r="BV176" i="46"/>
  <c r="FE165" i="46"/>
  <c r="AX167" i="46"/>
  <c r="BA174" i="46"/>
  <c r="CE178" i="46"/>
  <c r="AF168" i="46"/>
  <c r="EP166" i="46"/>
  <c r="AX166" i="46"/>
  <c r="FH166" i="46"/>
  <c r="T167" i="46"/>
  <c r="BV177" i="46"/>
  <c r="FH176" i="46"/>
  <c r="EG167" i="46"/>
  <c r="CQ178" i="46"/>
  <c r="CE166" i="46"/>
  <c r="W170" i="46"/>
  <c r="AL166" i="46"/>
  <c r="BM173" i="46"/>
  <c r="DI177" i="46"/>
  <c r="Z167" i="46"/>
  <c r="EM166" i="46"/>
  <c r="EP172" i="46"/>
  <c r="AO169" i="46"/>
  <c r="FK176" i="46"/>
  <c r="DF171" i="46"/>
  <c r="ES176" i="46"/>
  <c r="BV178" i="46"/>
  <c r="BP179" i="46"/>
  <c r="EA177" i="46"/>
  <c r="AF173" i="46"/>
  <c r="Z179" i="46"/>
  <c r="AF176" i="46"/>
  <c r="CW175" i="46"/>
  <c r="BS171" i="46"/>
  <c r="FE176" i="46"/>
  <c r="FB176" i="46"/>
  <c r="AF167" i="46"/>
  <c r="Z166" i="46"/>
  <c r="AU178" i="46"/>
  <c r="CQ168" i="46"/>
  <c r="DR172" i="46"/>
  <c r="AR170" i="46"/>
  <c r="AX168" i="46"/>
  <c r="AX164" i="46"/>
  <c r="DL166" i="46"/>
  <c r="EG172" i="46"/>
  <c r="AI173" i="46"/>
  <c r="DO178" i="46"/>
  <c r="AO179" i="46"/>
  <c r="DL173" i="46"/>
  <c r="FE173" i="46"/>
  <c r="FB170" i="46"/>
  <c r="EA165" i="46"/>
  <c r="EJ172" i="46"/>
  <c r="BP175" i="46"/>
  <c r="BA175" i="46"/>
  <c r="BP172" i="46"/>
  <c r="AF170" i="46"/>
  <c r="FE179" i="46"/>
  <c r="BJ170" i="46"/>
  <c r="AI179" i="46"/>
  <c r="AX177" i="46"/>
  <c r="BG171" i="46"/>
  <c r="AI172" i="46"/>
  <c r="BG169" i="46"/>
  <c r="BA178" i="46"/>
  <c r="AX179" i="46"/>
  <c r="CH167" i="46"/>
  <c r="T179" i="46"/>
  <c r="EA172" i="46"/>
  <c r="DO177" i="46"/>
  <c r="FH172" i="46"/>
  <c r="EP170" i="46"/>
  <c r="EM175" i="46"/>
  <c r="DI175" i="46"/>
  <c r="AF171" i="46"/>
  <c r="DF167" i="46"/>
  <c r="W168" i="46"/>
  <c r="BG170" i="46"/>
  <c r="FK175" i="46"/>
  <c r="BG164" i="46"/>
  <c r="EG164" i="46"/>
  <c r="EP174" i="46"/>
  <c r="BY166" i="46"/>
  <c r="ED179" i="46"/>
  <c r="DU164" i="46"/>
  <c r="EV164" i="46"/>
  <c r="AR169" i="46"/>
  <c r="DR174" i="46"/>
  <c r="CE173" i="46"/>
  <c r="Z177" i="46"/>
  <c r="FK164" i="46"/>
  <c r="AC176" i="46"/>
  <c r="DO174" i="46"/>
  <c r="ES174" i="46"/>
  <c r="CN171" i="46"/>
  <c r="BS168" i="46"/>
  <c r="BY177" i="46"/>
  <c r="DL170" i="46"/>
  <c r="BJ177" i="46"/>
  <c r="FB177" i="46"/>
  <c r="CW164" i="46"/>
  <c r="CQ173" i="46"/>
  <c r="EG168" i="46"/>
  <c r="DL164" i="46"/>
  <c r="EY173" i="46"/>
  <c r="BG177" i="46"/>
  <c r="AC164" i="46"/>
  <c r="CQ171" i="46"/>
  <c r="CQ176" i="46"/>
  <c r="FH167" i="46"/>
  <c r="BY179" i="46"/>
  <c r="DF179" i="46"/>
  <c r="CT168" i="46"/>
  <c r="EA170" i="46"/>
  <c r="AC177" i="46"/>
  <c r="AU175" i="46"/>
  <c r="FB166" i="46"/>
  <c r="DI169" i="46"/>
  <c r="EM164" i="46"/>
  <c r="FE171" i="46"/>
  <c r="FK170" i="46"/>
  <c r="CZ167" i="46"/>
  <c r="BJ173" i="46"/>
  <c r="BG168" i="46"/>
  <c r="I2" i="47"/>
  <c r="AI176" i="46"/>
  <c r="CE169" i="46"/>
  <c r="EM167" i="46"/>
  <c r="AU179" i="46"/>
  <c r="DX164" i="46"/>
  <c r="CZ178" i="46"/>
  <c r="CB170" i="46"/>
  <c r="BA177" i="46"/>
  <c r="EJ176" i="46"/>
  <c r="CZ171" i="46"/>
  <c r="AO175" i="46"/>
  <c r="ED173" i="46"/>
  <c r="AU165" i="46"/>
  <c r="AO165" i="46"/>
  <c r="ED178" i="46"/>
  <c r="AL170" i="46"/>
  <c r="Z174" i="46"/>
  <c r="CW168" i="46"/>
  <c r="W177" i="46"/>
  <c r="BS173" i="46"/>
  <c r="AC179" i="46"/>
  <c r="AF166" i="46"/>
  <c r="AX174" i="46"/>
  <c r="DX179" i="46"/>
  <c r="Z169" i="46"/>
  <c r="BP164" i="46"/>
  <c r="FH179" i="46"/>
  <c r="BY178" i="46"/>
  <c r="DL172" i="46"/>
  <c r="EG165" i="46"/>
  <c r="EG173" i="46"/>
  <c r="BG172" i="46"/>
  <c r="DU175" i="46"/>
  <c r="FK174" i="46"/>
  <c r="CB169" i="46"/>
  <c r="EP179" i="46"/>
  <c r="DX166" i="46"/>
  <c r="Z168" i="46"/>
  <c r="AX172" i="46"/>
  <c r="EV174" i="46"/>
  <c r="BA164" i="46"/>
  <c r="AC175" i="46"/>
  <c r="CW171" i="46"/>
  <c r="FK177" i="46"/>
  <c r="DC166" i="46"/>
  <c r="CH176" i="46"/>
  <c r="T169" i="46"/>
  <c r="EJ169" i="46"/>
  <c r="AL169" i="46"/>
  <c r="BP166" i="46"/>
  <c r="ES165" i="46"/>
  <c r="FE178" i="46"/>
  <c r="DI170" i="46"/>
  <c r="BD175" i="46"/>
  <c r="AI167" i="46"/>
  <c r="BP167" i="46"/>
  <c r="AL179" i="46"/>
  <c r="DF174" i="46"/>
  <c r="FE174" i="46"/>
  <c r="CH177" i="46"/>
  <c r="AI169" i="46"/>
  <c r="CN170" i="46"/>
  <c r="ED164" i="46"/>
  <c r="DU171" i="46"/>
  <c r="ED175" i="46"/>
  <c r="EY178" i="46"/>
  <c r="BY174" i="46"/>
  <c r="BV173" i="46"/>
  <c r="Z175" i="46"/>
  <c r="T172" i="46"/>
  <c r="FE167" i="46"/>
  <c r="AL164" i="46"/>
  <c r="AO173" i="46"/>
  <c r="BA167" i="46"/>
  <c r="ES177" i="46"/>
  <c r="EA171" i="46"/>
  <c r="DL171" i="46"/>
  <c r="AU166" i="46"/>
  <c r="AI168" i="46"/>
  <c r="CT171" i="46"/>
  <c r="T164" i="46"/>
  <c r="CN165" i="46"/>
  <c r="AC169" i="46"/>
  <c r="EY166" i="46"/>
  <c r="ES178" i="46"/>
  <c r="CE172" i="46"/>
  <c r="ED174" i="46"/>
  <c r="W176" i="46"/>
  <c r="BV171" i="46"/>
  <c r="DO170" i="46"/>
  <c r="BS165" i="46"/>
  <c r="BS177" i="46"/>
  <c r="CW179" i="46"/>
  <c r="BM165" i="46"/>
  <c r="DI178" i="46"/>
  <c r="DF172" i="46"/>
  <c r="BD179" i="46"/>
  <c r="EJ179" i="46"/>
  <c r="AR172" i="46"/>
  <c r="DX165" i="46"/>
  <c r="T177" i="46"/>
  <c r="CT166" i="46"/>
  <c r="DC167" i="46"/>
  <c r="BM175" i="46"/>
  <c r="FE175" i="46"/>
  <c r="FH171" i="46"/>
  <c r="AF177" i="46"/>
  <c r="EV166" i="46"/>
  <c r="BP170" i="46"/>
  <c r="AU176" i="46"/>
  <c r="BG175" i="46"/>
  <c r="DR175" i="46"/>
  <c r="DC169" i="46"/>
  <c r="EV175" i="46"/>
  <c r="EG174" i="46"/>
  <c r="CB168" i="46"/>
  <c r="AF164" i="46"/>
  <c r="DR173" i="46"/>
  <c r="CQ177" i="46"/>
  <c r="BS172" i="46"/>
  <c r="CN174" i="46"/>
  <c r="BY171" i="46"/>
  <c r="EV169" i="46"/>
  <c r="DI179" i="46"/>
  <c r="EY175" i="46"/>
  <c r="BJ164" i="46"/>
  <c r="CQ167" i="46"/>
  <c r="CT169" i="46"/>
  <c r="CZ168" i="46"/>
  <c r="DR178" i="46"/>
  <c r="CQ165" i="46"/>
  <c r="DX172" i="46"/>
  <c r="CH168" i="46"/>
  <c r="BS179" i="46"/>
  <c r="DC170" i="46"/>
  <c r="EG177" i="46"/>
  <c r="CK166" i="46"/>
  <c r="DU176" i="46"/>
  <c r="DR171" i="46"/>
  <c r="EJ165" i="46"/>
  <c r="DU165" i="46"/>
  <c r="ES166" i="46"/>
  <c r="BM179" i="46"/>
  <c r="EY170" i="46"/>
  <c r="BY176" i="46"/>
  <c r="EP178" i="46"/>
  <c r="ED170" i="46"/>
  <c r="BY170" i="46"/>
  <c r="BY165" i="46"/>
  <c r="CZ170" i="46"/>
  <c r="DF168" i="46"/>
  <c r="AF179" i="46"/>
  <c r="BY167" i="46"/>
  <c r="BV174" i="46"/>
  <c r="DO165" i="46"/>
  <c r="FB165" i="46"/>
  <c r="AI174" i="46"/>
  <c r="BP173" i="46"/>
  <c r="BS176" i="46"/>
  <c r="EA176" i="46"/>
  <c r="FB179" i="46"/>
  <c r="EG179" i="46"/>
  <c r="EM177" i="46"/>
  <c r="EY165" i="46"/>
  <c r="EG169" i="46"/>
  <c r="BS164" i="46"/>
  <c r="DC173" i="46"/>
  <c r="AC166" i="46"/>
  <c r="BS167" i="46"/>
  <c r="T173" i="46"/>
  <c r="BG176" i="46"/>
  <c r="CW177" i="46"/>
  <c r="BM178" i="46"/>
  <c r="DX177" i="46"/>
  <c r="CZ166" i="46"/>
  <c r="AC167" i="46"/>
  <c r="BA168" i="46"/>
  <c r="CB167" i="46"/>
  <c r="FE177" i="46"/>
  <c r="T165" i="46"/>
  <c r="CT178" i="46"/>
  <c r="FH168" i="46"/>
  <c r="EY179" i="46"/>
  <c r="BD178" i="46"/>
  <c r="EY172" i="46"/>
  <c r="AO168" i="46"/>
  <c r="BJ175" i="46"/>
  <c r="AR177" i="46"/>
  <c r="AU167" i="46"/>
  <c r="ES169" i="46"/>
  <c r="DO167" i="46"/>
  <c r="AU177" i="46"/>
  <c r="BM171" i="46"/>
  <c r="BS166" i="46"/>
  <c r="AX175" i="46"/>
  <c r="DI171" i="46"/>
  <c r="CB166" i="46"/>
  <c r="AO167" i="46"/>
  <c r="CT179" i="46"/>
  <c r="AC165" i="46"/>
  <c r="CH173" i="46"/>
  <c r="CE171" i="46"/>
  <c r="FK165" i="46"/>
  <c r="CW170" i="46"/>
  <c r="EM170" i="46"/>
  <c r="W172" i="46"/>
  <c r="AR168" i="46"/>
  <c r="EV171" i="46"/>
  <c r="BV164" i="46"/>
  <c r="DC178" i="46"/>
  <c r="BS174" i="46"/>
  <c r="AI177" i="46"/>
  <c r="CN164" i="46"/>
  <c r="DO176" i="46"/>
  <c r="AI166" i="46"/>
  <c r="EM174" i="46"/>
  <c r="EV173" i="46"/>
  <c r="BM169" i="46"/>
  <c r="AI164" i="46"/>
  <c r="EM171" i="46"/>
  <c r="FE164" i="46"/>
  <c r="BV172" i="46"/>
  <c r="EJ164" i="46"/>
  <c r="AR175" i="46"/>
  <c r="EY168" i="46"/>
  <c r="AR174" i="46"/>
  <c r="BJ176" i="46"/>
  <c r="AF175" i="46"/>
  <c r="EA179" i="46"/>
  <c r="EA173" i="46"/>
  <c r="BJ169" i="46"/>
  <c r="CK177" i="46"/>
  <c r="BP168" i="46"/>
  <c r="DR167" i="46"/>
  <c r="CB177" i="46"/>
  <c r="DU168" i="46"/>
  <c r="AI165" i="46"/>
  <c r="AU164" i="46"/>
  <c r="CN169" i="46"/>
  <c r="CE167" i="46"/>
  <c r="Z171" i="46"/>
  <c r="AI170" i="46"/>
  <c r="CT173" i="46"/>
  <c r="CZ179" i="46"/>
  <c r="CB174" i="46"/>
  <c r="EG171" i="46"/>
  <c r="BM170" i="46"/>
  <c r="FB168" i="46"/>
  <c r="DF177" i="46"/>
  <c r="CN179" i="46"/>
  <c r="BJ174" i="46"/>
  <c r="DL174" i="46"/>
  <c r="DO172" i="46"/>
  <c r="CT176" i="46"/>
  <c r="DF176" i="46"/>
  <c r="BV169" i="46"/>
  <c r="W171" i="46"/>
  <c r="CZ177" i="46"/>
  <c r="EJ174" i="46"/>
  <c r="DC176" i="46"/>
  <c r="CE175" i="46"/>
  <c r="DR166" i="46"/>
  <c r="DC172" i="46"/>
  <c r="BG166" i="46"/>
  <c r="CN176" i="46"/>
  <c r="T168" i="46"/>
  <c r="BY164" i="46"/>
  <c r="CH171" i="46"/>
  <c r="AI171" i="46"/>
  <c r="CZ174" i="46"/>
  <c r="AL171" i="46"/>
  <c r="FH175" i="46"/>
  <c r="Z178" i="46"/>
  <c r="CN166" i="46"/>
  <c r="W173" i="46"/>
  <c r="BG173" i="46"/>
  <c r="BD171" i="46"/>
  <c r="CT167" i="46"/>
  <c r="CB175" i="46"/>
  <c r="Z170" i="46"/>
  <c r="EY177" i="46"/>
  <c r="AL177" i="46"/>
  <c r="DU177" i="46"/>
  <c r="AL167" i="46"/>
  <c r="DR165" i="46"/>
  <c r="ED165" i="46"/>
  <c r="AO166" i="46"/>
  <c r="BD166" i="46"/>
  <c r="DI173" i="46"/>
  <c r="CH172" i="46"/>
  <c r="CW178" i="46"/>
  <c r="CK168" i="46"/>
  <c r="T176" i="46"/>
  <c r="CT172" i="46"/>
  <c r="AU174" i="46"/>
  <c r="AR166" i="46"/>
  <c r="DI174" i="46"/>
  <c r="DR169" i="46"/>
  <c r="AL178" i="46"/>
  <c r="Z172" i="46"/>
  <c r="EY169" i="46"/>
  <c r="DU167" i="46"/>
  <c r="DO164" i="46"/>
  <c r="ED167" i="46"/>
  <c r="EV179" i="46"/>
  <c r="DC171" i="46"/>
  <c r="AR171" i="46"/>
  <c r="BD173" i="46"/>
  <c r="ES164" i="46"/>
  <c r="CE177" i="46"/>
  <c r="FK179" i="46"/>
  <c r="CQ179" i="46"/>
  <c r="BY169" i="46"/>
  <c r="CQ170" i="46"/>
  <c r="ES179" i="46"/>
  <c r="DL176" i="46"/>
  <c r="BG165" i="46"/>
  <c r="W174" i="46"/>
  <c r="AR164" i="46"/>
  <c r="CK173" i="46"/>
  <c r="CT165" i="46"/>
  <c r="Z173" i="46"/>
  <c r="T166" i="46"/>
  <c r="AI178" i="46"/>
  <c r="AF165" i="46"/>
  <c r="FK172" i="46"/>
  <c r="AR178" i="46"/>
  <c r="AU168" i="46"/>
  <c r="BJ166" i="46"/>
  <c r="DU173" i="46"/>
  <c r="BD167" i="46"/>
  <c r="BP174" i="46"/>
  <c r="CQ166" i="46"/>
  <c r="CN167" i="46"/>
  <c r="CB172" i="46"/>
  <c r="BP176" i="46"/>
  <c r="DC164" i="46"/>
  <c r="CQ164" i="46"/>
  <c r="CH165" i="46"/>
  <c r="FB169" i="46"/>
  <c r="AF178" i="46"/>
  <c r="EY176" i="46"/>
  <c r="BM166" i="46"/>
  <c r="FK167" i="46"/>
  <c r="AC173" i="46"/>
  <c r="FH170" i="46"/>
  <c r="EJ166" i="46"/>
  <c r="DO171" i="46"/>
  <c r="BP177" i="46"/>
  <c r="FH173" i="46"/>
  <c r="AR173" i="46"/>
  <c r="EY167" i="46"/>
  <c r="BA173" i="46"/>
  <c r="W178" i="46"/>
  <c r="BJ172" i="46"/>
  <c r="CK169" i="46"/>
  <c r="CH164" i="46"/>
  <c r="EP173" i="46"/>
  <c r="DX178" i="46"/>
  <c r="W175" i="46"/>
  <c r="AU169" i="46"/>
  <c r="EM169" i="46"/>
  <c r="BJ168" i="46"/>
  <c r="EM178" i="46"/>
  <c r="AR176" i="46"/>
  <c r="ED166" i="46"/>
  <c r="CE170" i="46"/>
  <c r="DF169" i="46"/>
  <c r="DF165" i="46"/>
  <c r="AC168" i="46"/>
  <c r="DI167" i="46"/>
  <c r="CB176" i="46"/>
  <c r="FB175" i="46"/>
  <c r="AL175" i="46"/>
  <c r="BG179" i="46"/>
  <c r="DO169" i="46"/>
  <c r="FB173" i="46"/>
  <c r="AF172" i="46"/>
  <c r="CW172" i="46"/>
  <c r="BD177" i="46"/>
  <c r="BM168" i="46"/>
  <c r="CB165" i="46"/>
  <c r="EJ167" i="46"/>
  <c r="Z164" i="46"/>
  <c r="DR179" i="46"/>
  <c r="W167" i="46"/>
  <c r="DI176" i="46"/>
  <c r="EP164" i="46"/>
  <c r="EM165" i="46"/>
  <c r="CE165" i="46"/>
  <c r="BD169" i="46"/>
  <c r="EY171" i="46"/>
  <c r="DC168" i="46"/>
  <c r="DU178" i="46"/>
  <c r="T171" i="46"/>
  <c r="AO178" i="46"/>
  <c r="DX168" i="46"/>
  <c r="CB171" i="46"/>
  <c r="DC174" i="46"/>
  <c r="AO177" i="46"/>
  <c r="CZ173" i="46"/>
  <c r="DL169" i="46"/>
  <c r="ES175" i="46"/>
  <c r="EV167" i="46"/>
  <c r="BG167" i="46"/>
  <c r="DC179" i="46"/>
  <c r="EG178" i="46"/>
  <c r="ED168" i="46"/>
  <c r="AO172" i="46"/>
  <c r="CH170" i="46"/>
  <c r="CB164" i="46"/>
  <c r="EV165" i="46"/>
  <c r="DF173" i="46"/>
  <c r="FE172" i="46"/>
  <c r="CT177" i="46"/>
  <c r="DO168" i="46"/>
  <c r="EM172" i="46"/>
  <c r="CT174" i="46"/>
  <c r="BV179" i="46"/>
  <c r="CB179" i="46"/>
  <c r="H2" i="47"/>
  <c r="CH175" i="46"/>
  <c r="CK176" i="46"/>
  <c r="DF170" i="46"/>
  <c r="EM173" i="46"/>
  <c r="FK173" i="46"/>
  <c r="AU170" i="46"/>
  <c r="BV170" i="46"/>
  <c r="CT175" i="46"/>
  <c r="EP177" i="46"/>
  <c r="BM174" i="46"/>
  <c r="ED172" i="46"/>
  <c r="FH178" i="46"/>
  <c r="BA165" i="46"/>
  <c r="AC172" i="46"/>
  <c r="DX175" i="46"/>
  <c r="BD172" i="46"/>
  <c r="BA166" i="46"/>
  <c r="EA168" i="46"/>
  <c r="CQ175" i="46"/>
  <c r="BP171" i="46"/>
  <c r="DU179" i="46"/>
  <c r="CK167" i="46"/>
  <c r="W169" i="46"/>
  <c r="CQ172" i="46"/>
  <c r="AI175" i="46"/>
  <c r="EJ170" i="46"/>
  <c r="EM168" i="46"/>
  <c r="EJ171" i="46"/>
  <c r="CZ164" i="46"/>
  <c r="EJ178" i="46"/>
  <c r="AC178" i="46"/>
  <c r="AX176" i="46"/>
  <c r="BY168" i="46"/>
  <c r="BG174" i="46"/>
  <c r="AU173" i="46"/>
  <c r="EV178" i="46"/>
  <c r="ED169" i="46"/>
  <c r="DX167" i="46"/>
  <c r="ES170" i="46"/>
  <c r="FK178" i="46"/>
  <c r="AC171" i="46"/>
  <c r="CK175" i="46"/>
  <c r="EG166" i="46"/>
  <c r="DF166" i="46"/>
  <c r="DU169" i="46"/>
  <c r="DR164" i="46"/>
  <c r="DR177" i="46"/>
  <c r="CZ165" i="46"/>
  <c r="CE174" i="46"/>
  <c r="T175" i="46"/>
  <c r="FB174" i="46"/>
  <c r="CN178" i="46"/>
  <c r="CK174" i="46"/>
  <c r="DR176" i="46"/>
  <c r="CZ175" i="46"/>
  <c r="EM176" i="46"/>
  <c r="EV177" i="46"/>
  <c r="FK169" i="46"/>
  <c r="DL167" i="46"/>
  <c r="CN177" i="46"/>
  <c r="FH165" i="46"/>
  <c r="ES168" i="46"/>
  <c r="BP178" i="46"/>
  <c r="EG176" i="46"/>
  <c r="DU170" i="46"/>
  <c r="EG170" i="46"/>
  <c r="EJ177" i="46"/>
  <c r="T174" i="46"/>
  <c r="BA172" i="46"/>
  <c r="DO179" i="46"/>
  <c r="FH169" i="46"/>
  <c r="CH174" i="46"/>
  <c r="FK168" i="46"/>
  <c r="DI172" i="46"/>
  <c r="CW174" i="46"/>
  <c r="EJ173" i="46"/>
  <c r="CN175" i="46"/>
  <c r="ES171" i="46"/>
  <c r="EA164" i="46"/>
  <c r="DL168" i="46"/>
  <c r="BV167" i="46"/>
  <c r="AX165" i="46"/>
  <c r="ED171" i="46"/>
  <c r="FB164" i="46"/>
  <c r="EV172" i="46"/>
  <c r="EA169" i="46"/>
  <c r="H3" i="47"/>
  <c r="CH169" i="46"/>
  <c r="EP167" i="46"/>
  <c r="AO164" i="46"/>
  <c r="W166" i="46"/>
  <c r="DC175" i="46"/>
  <c r="AX178" i="46"/>
  <c r="BS175" i="46"/>
  <c r="CK178" i="46"/>
  <c r="AX170" i="46"/>
  <c r="ED177" i="46"/>
  <c r="AL168" i="46"/>
  <c r="DC177" i="46"/>
  <c r="DR168" i="46"/>
  <c r="W179" i="46"/>
  <c r="BS169" i="46"/>
  <c r="EA178" i="46"/>
  <c r="DU172" i="46"/>
  <c r="DX176" i="46"/>
  <c r="BD170" i="46"/>
  <c r="FB178" i="46"/>
  <c r="DL175" i="46"/>
  <c r="Z176" i="46"/>
  <c r="DF178" i="46"/>
  <c r="BA176" i="46"/>
  <c r="BA179" i="46"/>
  <c r="EG136" i="46"/>
  <c r="EY135" i="46"/>
  <c r="CK136" i="46"/>
  <c r="CK134" i="46"/>
  <c r="BM133" i="46"/>
  <c r="DI138" i="46"/>
  <c r="CQ138" i="46"/>
  <c r="DU131" i="46"/>
  <c r="DO143" i="46"/>
  <c r="CZ141" i="46"/>
  <c r="DL153" i="46"/>
  <c r="EM154" i="46"/>
  <c r="BM138" i="46"/>
  <c r="DF145" i="46"/>
  <c r="EG155" i="46"/>
  <c r="DO136" i="46"/>
  <c r="DU139" i="46"/>
  <c r="BD141" i="46"/>
  <c r="AI132" i="46"/>
  <c r="BM140" i="46"/>
  <c r="BD137" i="46"/>
  <c r="CB160" i="46"/>
  <c r="FK134" i="46"/>
  <c r="EG160" i="46"/>
  <c r="CE155" i="46"/>
  <c r="BG158" i="46"/>
  <c r="CH138" i="46"/>
  <c r="DL150" i="46"/>
  <c r="CQ141" i="46"/>
  <c r="BD146" i="46"/>
  <c r="EM131" i="46"/>
  <c r="AF152" i="46"/>
  <c r="T132" i="46"/>
  <c r="ED143" i="46"/>
  <c r="DF139" i="46"/>
  <c r="FE135" i="46"/>
  <c r="CK141" i="46"/>
  <c r="T153" i="46"/>
  <c r="CK155" i="46"/>
  <c r="BG153" i="46"/>
  <c r="FE142" i="46"/>
  <c r="AC144" i="46"/>
  <c r="EA130" i="46"/>
  <c r="EY142" i="46"/>
  <c r="EM137" i="46"/>
  <c r="BG142" i="46"/>
  <c r="BD134" i="46"/>
  <c r="AO152" i="46"/>
  <c r="ED158" i="46"/>
  <c r="AF138" i="46"/>
  <c r="BM131" i="46"/>
  <c r="BS154" i="46"/>
  <c r="EM157" i="46"/>
  <c r="AF158" i="46"/>
  <c r="BD143" i="46"/>
  <c r="CH137" i="46"/>
  <c r="DC133" i="46"/>
  <c r="EV160" i="46"/>
  <c r="FK140" i="46"/>
  <c r="CQ140" i="46"/>
  <c r="AR152" i="46"/>
  <c r="EP158" i="46"/>
  <c r="BV142" i="46"/>
  <c r="CH139" i="46"/>
  <c r="FE159" i="46"/>
  <c r="AI150" i="46"/>
  <c r="AL154" i="46"/>
  <c r="FH148" i="46"/>
  <c r="EG157" i="46"/>
  <c r="BV138" i="46"/>
  <c r="EG151" i="46"/>
  <c r="AF132" i="46"/>
  <c r="EJ153" i="46"/>
  <c r="AF135" i="46"/>
  <c r="AF155" i="46"/>
  <c r="CE141" i="46"/>
  <c r="EP131" i="46"/>
  <c r="DC159" i="46"/>
  <c r="AR132" i="46"/>
  <c r="EG146" i="46"/>
  <c r="W161" i="46"/>
  <c r="AU138" i="46"/>
  <c r="ED151" i="46"/>
  <c r="Z159" i="46"/>
  <c r="FB131" i="46"/>
  <c r="FB149" i="46"/>
  <c r="CZ142" i="46"/>
  <c r="CT158" i="46"/>
  <c r="BS133" i="46"/>
  <c r="AC160" i="46"/>
  <c r="AX152" i="46"/>
  <c r="CZ147" i="46"/>
  <c r="T149" i="46"/>
  <c r="AX155" i="46"/>
  <c r="EJ133" i="46"/>
  <c r="AO141" i="46"/>
  <c r="AI138" i="46"/>
  <c r="EG144" i="46"/>
  <c r="CQ131" i="46"/>
  <c r="AC138" i="46"/>
  <c r="AU155" i="46"/>
  <c r="CK138" i="46"/>
  <c r="CE149" i="46"/>
  <c r="EY152" i="46"/>
  <c r="BG141" i="46"/>
  <c r="EJ156" i="46"/>
  <c r="EV146" i="46"/>
  <c r="CB148" i="46"/>
  <c r="CB149" i="46"/>
  <c r="FK148" i="46"/>
  <c r="CW158" i="46"/>
  <c r="BD140" i="46"/>
  <c r="DL130" i="46"/>
  <c r="BM148" i="46"/>
  <c r="CW153" i="46"/>
  <c r="AX161" i="46"/>
  <c r="AO158" i="46"/>
  <c r="BG157" i="46"/>
  <c r="EV140" i="46"/>
  <c r="BD136" i="46"/>
  <c r="FH154" i="46"/>
  <c r="BM145" i="46"/>
  <c r="BJ150" i="46"/>
  <c r="CN148" i="46"/>
  <c r="BD148" i="46"/>
  <c r="BV156" i="46"/>
  <c r="BS151" i="46"/>
  <c r="FB140" i="46"/>
  <c r="FH150" i="46"/>
  <c r="AF154" i="46"/>
  <c r="EY147" i="46"/>
  <c r="EV133" i="46"/>
  <c r="AF131" i="46"/>
  <c r="EG141" i="46"/>
  <c r="EJ134" i="46"/>
  <c r="EP144" i="46"/>
  <c r="CT143" i="46"/>
  <c r="DR160" i="46"/>
  <c r="CK159" i="46"/>
  <c r="ES148" i="46"/>
  <c r="CW150" i="46"/>
  <c r="DO148" i="46"/>
  <c r="FH140" i="46"/>
  <c r="EJ150" i="46"/>
  <c r="CN158" i="46"/>
  <c r="CB147" i="46"/>
  <c r="DR149" i="46"/>
  <c r="BV145" i="46"/>
  <c r="BY155" i="46"/>
  <c r="EA161" i="46"/>
  <c r="W147" i="46"/>
  <c r="BP137" i="46"/>
  <c r="EG130" i="46"/>
  <c r="W140" i="46"/>
  <c r="EG142" i="46"/>
  <c r="BJ141" i="46"/>
  <c r="DC139" i="46"/>
  <c r="CW161" i="46"/>
  <c r="BV154" i="46"/>
  <c r="DX131" i="46"/>
  <c r="CK142" i="46"/>
  <c r="EG154" i="46"/>
  <c r="BP146" i="46"/>
  <c r="DF150" i="46"/>
  <c r="AR134" i="46"/>
  <c r="AF130" i="46"/>
  <c r="BG143" i="46"/>
  <c r="DO133" i="46"/>
  <c r="BM132" i="46"/>
  <c r="EM146" i="46"/>
  <c r="BY156" i="46"/>
  <c r="CK147" i="46"/>
  <c r="EV141" i="46"/>
  <c r="CB135" i="46"/>
  <c r="AC137" i="46"/>
  <c r="DF140" i="46"/>
  <c r="EV145" i="46"/>
  <c r="FH158" i="46"/>
  <c r="AR147" i="46"/>
  <c r="EA142" i="46"/>
  <c r="DC130" i="46"/>
  <c r="AO146" i="46"/>
  <c r="T134" i="46"/>
  <c r="DO151" i="46"/>
  <c r="EP141" i="46"/>
  <c r="CN150" i="46"/>
  <c r="AC151" i="46"/>
  <c r="CT131" i="46"/>
  <c r="CQ139" i="46"/>
  <c r="DX145" i="46"/>
  <c r="FB144" i="46"/>
  <c r="BJ152" i="46"/>
  <c r="AC130" i="46"/>
  <c r="DF161" i="46"/>
  <c r="AX159" i="46"/>
  <c r="EJ140" i="46"/>
  <c r="FH134" i="46"/>
  <c r="FB136" i="46"/>
  <c r="DX152" i="46"/>
  <c r="W151" i="46"/>
  <c r="AC145" i="46"/>
  <c r="ED137" i="46"/>
  <c r="EJ138" i="46"/>
  <c r="AO161" i="46"/>
  <c r="BA135" i="46"/>
  <c r="Z138" i="46"/>
  <c r="AL147" i="46"/>
  <c r="BP150" i="46"/>
  <c r="W144" i="46"/>
  <c r="DU136" i="46"/>
  <c r="DU143" i="46"/>
  <c r="EA144" i="46"/>
  <c r="CK133" i="46"/>
  <c r="CH133" i="46"/>
  <c r="CE150" i="46"/>
  <c r="BY135" i="46"/>
  <c r="EV130" i="46"/>
  <c r="BV141" i="46"/>
  <c r="DI133" i="46"/>
  <c r="ED146" i="46"/>
  <c r="EY131" i="46"/>
  <c r="DI159" i="46"/>
  <c r="BY136" i="46"/>
  <c r="FK146" i="46"/>
  <c r="AC143" i="46"/>
  <c r="DX143" i="46"/>
  <c r="CE152" i="46"/>
  <c r="CN156" i="46"/>
  <c r="EM139" i="46"/>
  <c r="EJ161" i="46"/>
  <c r="DR156" i="46"/>
  <c r="DR143" i="46"/>
  <c r="AL155" i="46"/>
  <c r="W139" i="46"/>
  <c r="DC141" i="46"/>
  <c r="DI152" i="46"/>
  <c r="DC145" i="46"/>
  <c r="BP132" i="46"/>
  <c r="BP155" i="46"/>
  <c r="BJ139" i="46"/>
  <c r="ES146" i="46"/>
  <c r="CT147" i="46"/>
  <c r="CH134" i="46"/>
  <c r="FH155" i="46"/>
  <c r="BM137" i="46"/>
  <c r="FH156" i="46"/>
  <c r="EJ144" i="46"/>
  <c r="EY141" i="46"/>
  <c r="AO136" i="46"/>
  <c r="AU133" i="46"/>
  <c r="AR135" i="46"/>
  <c r="ED155" i="46"/>
  <c r="BA133" i="46"/>
  <c r="AU140" i="46"/>
  <c r="FH149" i="46"/>
  <c r="BP142" i="46"/>
  <c r="FB143" i="46"/>
  <c r="CT152" i="46"/>
  <c r="EA155" i="46"/>
  <c r="EP151" i="46"/>
  <c r="EA134" i="46"/>
  <c r="AR161" i="46"/>
  <c r="BJ140" i="46"/>
  <c r="BY143" i="46"/>
  <c r="ES157" i="46"/>
  <c r="AR136" i="46"/>
  <c r="T158" i="46"/>
  <c r="BP131" i="46"/>
  <c r="AX146" i="46"/>
  <c r="CE144" i="46"/>
  <c r="BA157" i="46"/>
  <c r="BG146" i="46"/>
  <c r="DR147" i="46"/>
  <c r="AL140" i="46"/>
  <c r="W131" i="46"/>
  <c r="AI157" i="46"/>
  <c r="CN130" i="46"/>
  <c r="CT139" i="46"/>
  <c r="CQ133" i="46"/>
  <c r="EY136" i="46"/>
  <c r="EG143" i="46"/>
  <c r="DU133" i="46"/>
  <c r="DR135" i="46"/>
  <c r="DR130" i="46"/>
  <c r="EJ131" i="46"/>
  <c r="BM156" i="46"/>
  <c r="DX138" i="46"/>
  <c r="EM158" i="46"/>
  <c r="AU141" i="46"/>
  <c r="FE131" i="46"/>
  <c r="EJ135" i="46"/>
  <c r="BD142" i="46"/>
  <c r="AX143" i="46"/>
  <c r="CB158" i="46"/>
  <c r="FH135" i="46"/>
  <c r="CW132" i="46"/>
  <c r="BJ159" i="46"/>
  <c r="AI159" i="46"/>
  <c r="DO156" i="46"/>
  <c r="CK131" i="46"/>
  <c r="CZ158" i="46"/>
  <c r="CW157" i="46"/>
  <c r="BY148" i="46"/>
  <c r="CN136" i="46"/>
  <c r="CB155" i="46"/>
  <c r="FH141" i="46"/>
  <c r="EP156" i="46"/>
  <c r="BY152" i="46"/>
  <c r="CT136" i="46"/>
  <c r="ED138" i="46"/>
  <c r="CE151" i="46"/>
  <c r="BG152" i="46"/>
  <c r="AU156" i="46"/>
  <c r="CE153" i="46"/>
  <c r="FB150" i="46"/>
  <c r="EA145" i="46"/>
  <c r="FH137" i="46"/>
  <c r="CT146" i="46"/>
  <c r="BM160" i="46"/>
  <c r="AX156" i="46"/>
  <c r="CH131" i="46"/>
  <c r="DL149" i="46"/>
  <c r="Z130" i="46"/>
  <c r="AO153" i="46"/>
  <c r="AC133" i="46"/>
  <c r="BA155" i="46"/>
  <c r="BJ144" i="46"/>
  <c r="CQ158" i="46"/>
  <c r="CH157" i="46"/>
  <c r="AI135" i="46"/>
  <c r="BJ138" i="46"/>
  <c r="FE149" i="46"/>
  <c r="BP135" i="46"/>
  <c r="CH151" i="46"/>
  <c r="T131" i="46"/>
  <c r="FK153" i="46"/>
  <c r="EP134" i="46"/>
  <c r="EM147" i="46"/>
  <c r="BJ155" i="46"/>
  <c r="AI147" i="46"/>
  <c r="AR144" i="46"/>
  <c r="CB153" i="46"/>
  <c r="EV156" i="46"/>
  <c r="W133" i="46"/>
  <c r="W149" i="46"/>
  <c r="BM161" i="46"/>
  <c r="CQ137" i="46"/>
  <c r="EV147" i="46"/>
  <c r="AU145" i="46"/>
  <c r="AF141" i="46"/>
  <c r="CH146" i="46"/>
  <c r="EV144" i="46"/>
  <c r="AO142" i="46"/>
  <c r="AF160" i="46"/>
  <c r="BJ149" i="46"/>
  <c r="BJ146" i="46"/>
  <c r="DU155" i="46"/>
  <c r="FE160" i="46"/>
  <c r="BD132" i="46"/>
  <c r="Z140" i="46"/>
  <c r="FE161" i="46"/>
  <c r="EV143" i="46"/>
  <c r="BS152" i="46"/>
  <c r="CE142" i="46"/>
  <c r="FE140" i="46"/>
  <c r="CB140" i="46"/>
  <c r="W145" i="46"/>
  <c r="CT153" i="46"/>
  <c r="DI135" i="46"/>
  <c r="Z145" i="46"/>
  <c r="EY149" i="46"/>
  <c r="AU160" i="46"/>
  <c r="BY161" i="46"/>
  <c r="DL136" i="46"/>
  <c r="BV133" i="46"/>
  <c r="FE132" i="46"/>
  <c r="CW160" i="46"/>
  <c r="T148" i="46"/>
  <c r="EV148" i="46"/>
  <c r="BV140" i="46"/>
  <c r="CB139" i="46"/>
  <c r="BM141" i="46"/>
  <c r="DU149" i="46"/>
  <c r="DU156" i="46"/>
  <c r="DC147" i="46"/>
  <c r="FH144" i="46"/>
  <c r="BP140" i="46"/>
  <c r="DF130" i="46"/>
  <c r="FH143" i="46"/>
  <c r="AR145" i="46"/>
  <c r="CN154" i="46"/>
  <c r="CT132" i="46"/>
  <c r="DR144" i="46"/>
  <c r="AL130" i="46"/>
  <c r="BA131" i="46"/>
  <c r="AC156" i="46"/>
  <c r="FH160" i="46"/>
  <c r="AO140" i="46"/>
  <c r="DO159" i="46"/>
  <c r="DI141" i="46"/>
  <c r="DC136" i="46"/>
  <c r="DU157" i="46"/>
  <c r="AR154" i="46"/>
  <c r="AI160" i="46"/>
  <c r="T133" i="46"/>
  <c r="T138" i="46"/>
  <c r="BY154" i="46"/>
  <c r="DR150" i="46"/>
  <c r="EV152" i="46"/>
  <c r="FK149" i="46"/>
  <c r="DL151" i="46"/>
  <c r="AX158" i="46"/>
  <c r="W138" i="46"/>
  <c r="ED144" i="46"/>
  <c r="BD130" i="46"/>
  <c r="CH161" i="46"/>
  <c r="AI146" i="46"/>
  <c r="CN131" i="46"/>
  <c r="BG140" i="46"/>
  <c r="BJ132" i="46"/>
  <c r="EP139" i="46"/>
  <c r="CB151" i="46"/>
  <c r="FK142" i="46"/>
  <c r="CT161" i="46"/>
  <c r="EJ130" i="46"/>
  <c r="ED153" i="46"/>
  <c r="BJ147" i="46"/>
  <c r="FE148" i="46"/>
  <c r="EY137" i="46"/>
  <c r="CB133" i="46"/>
  <c r="DR133" i="46"/>
  <c r="W130" i="46"/>
  <c r="ED152" i="46"/>
  <c r="W150" i="46"/>
  <c r="BG133" i="46"/>
  <c r="FE138" i="46"/>
  <c r="CQ132" i="46"/>
  <c r="FE141" i="46"/>
  <c r="FB153" i="46"/>
  <c r="AI134" i="46"/>
  <c r="BJ135" i="46"/>
  <c r="EV151" i="46"/>
  <c r="BV159" i="46"/>
  <c r="ED140" i="46"/>
  <c r="T143" i="46"/>
  <c r="DF132" i="46"/>
  <c r="AL157" i="46"/>
  <c r="AF148" i="46"/>
  <c r="CZ133" i="46"/>
  <c r="DO140" i="46"/>
  <c r="FK130" i="46"/>
  <c r="FK158" i="46"/>
  <c r="CB141" i="46"/>
  <c r="AL138" i="46"/>
  <c r="CK150" i="46"/>
  <c r="CK146" i="46"/>
  <c r="DF153" i="46"/>
  <c r="DL158" i="46"/>
  <c r="BV157" i="46"/>
  <c r="EY133" i="46"/>
  <c r="EJ147" i="46"/>
  <c r="Z151" i="46"/>
  <c r="BJ157" i="46"/>
  <c r="CW151" i="46"/>
  <c r="CH145" i="46"/>
  <c r="CK132" i="46"/>
  <c r="DL137" i="46"/>
  <c r="DX157" i="46"/>
  <c r="AR151" i="46"/>
  <c r="DR146" i="46"/>
  <c r="EY161" i="46"/>
  <c r="BP133" i="46"/>
  <c r="W135" i="46"/>
  <c r="EY146" i="46"/>
  <c r="AO151" i="46"/>
  <c r="W154" i="46"/>
  <c r="BA161" i="46"/>
  <c r="DL138" i="46"/>
  <c r="AO132" i="46"/>
  <c r="CN142" i="46"/>
  <c r="CH142" i="46"/>
  <c r="W156" i="46"/>
  <c r="EJ136" i="46"/>
  <c r="ED148" i="46"/>
  <c r="FH145" i="46"/>
  <c r="AX145" i="46"/>
  <c r="AR149" i="46"/>
  <c r="DF143" i="46"/>
  <c r="BS138" i="46"/>
  <c r="EM149" i="46"/>
  <c r="DL161" i="46"/>
  <c r="ED157" i="46"/>
  <c r="AR141" i="46"/>
  <c r="CH140" i="46"/>
  <c r="BP157" i="46"/>
  <c r="DL133" i="46"/>
  <c r="BY151" i="46"/>
  <c r="BP154" i="46"/>
  <c r="T150" i="46"/>
  <c r="EG150" i="46"/>
  <c r="FH139" i="46"/>
  <c r="EJ155" i="46"/>
  <c r="BP152" i="46"/>
  <c r="EG132" i="46"/>
  <c r="W143" i="46"/>
  <c r="CT130" i="46"/>
  <c r="FE134" i="46"/>
  <c r="EM161" i="46"/>
  <c r="DF148" i="46"/>
  <c r="DO141" i="46"/>
  <c r="AR137" i="46"/>
  <c r="AO143" i="46"/>
  <c r="DR136" i="46"/>
  <c r="FE150" i="46"/>
  <c r="BD149" i="46"/>
  <c r="BA154" i="46"/>
  <c r="DR142" i="46"/>
  <c r="CB138" i="46"/>
  <c r="T146" i="46"/>
  <c r="DX137" i="46"/>
  <c r="FK157" i="46"/>
  <c r="CZ136" i="46"/>
  <c r="BD131" i="46"/>
  <c r="ES160" i="46"/>
  <c r="ES150" i="46"/>
  <c r="ES154" i="46"/>
  <c r="EJ160" i="46"/>
  <c r="EM159" i="46"/>
  <c r="AL131" i="46"/>
  <c r="BG154" i="46"/>
  <c r="AU161" i="46"/>
  <c r="EG135" i="46"/>
  <c r="EJ159" i="46"/>
  <c r="DC143" i="46"/>
  <c r="DC132" i="46"/>
  <c r="AX160" i="46"/>
  <c r="DX134" i="46"/>
  <c r="FE133" i="46"/>
  <c r="AU147" i="46"/>
  <c r="ED132" i="46"/>
  <c r="EA140" i="46"/>
  <c r="AR157" i="46"/>
  <c r="FB157" i="46"/>
  <c r="CQ148" i="46"/>
  <c r="DL135" i="46"/>
  <c r="EY143" i="46"/>
  <c r="CZ131" i="46"/>
  <c r="EM135" i="46"/>
  <c r="DO139" i="46"/>
  <c r="CK148" i="46"/>
  <c r="DO130" i="46"/>
  <c r="CQ157" i="46"/>
  <c r="AI153" i="46"/>
  <c r="EA141" i="46"/>
  <c r="ES136" i="46"/>
  <c r="EG147" i="46"/>
  <c r="BJ137" i="46"/>
  <c r="BV153" i="46"/>
  <c r="DX161" i="46"/>
  <c r="EV159" i="46"/>
  <c r="DX144" i="46"/>
  <c r="FH142" i="46"/>
  <c r="CT142" i="46"/>
  <c r="BG132" i="46"/>
  <c r="AX153" i="46"/>
  <c r="FH131" i="46"/>
  <c r="AC146" i="46"/>
  <c r="BS147" i="46"/>
  <c r="EJ139" i="46"/>
  <c r="DX141" i="46"/>
  <c r="BM147" i="46"/>
  <c r="BS161" i="46"/>
  <c r="EG137" i="46"/>
  <c r="DF138" i="46"/>
  <c r="EM151" i="46"/>
  <c r="AC131" i="46"/>
  <c r="AX138" i="46"/>
  <c r="DU158" i="46"/>
  <c r="EA159" i="46"/>
  <c r="BS139" i="46"/>
  <c r="ES141" i="46"/>
  <c r="CZ153" i="46"/>
  <c r="EJ143" i="46"/>
  <c r="CZ149" i="46"/>
  <c r="DI158" i="46"/>
  <c r="AC135" i="46"/>
  <c r="BP144" i="46"/>
  <c r="DI156" i="46"/>
  <c r="CB146" i="46"/>
  <c r="EJ154" i="46"/>
  <c r="AU151" i="46"/>
  <c r="CH130" i="46"/>
  <c r="DC156" i="46"/>
  <c r="EA149" i="46"/>
  <c r="BA153" i="46"/>
  <c r="BG149" i="46"/>
  <c r="FB160" i="46"/>
  <c r="CW136" i="46"/>
  <c r="CZ151" i="46"/>
  <c r="FE136" i="46"/>
  <c r="EJ149" i="46"/>
  <c r="FH157" i="46"/>
  <c r="Z148" i="46"/>
  <c r="BP160" i="46"/>
  <c r="DX158" i="46"/>
  <c r="CH154" i="46"/>
  <c r="BV155" i="46"/>
  <c r="EJ132" i="46"/>
  <c r="DU160" i="46"/>
  <c r="DL132" i="46"/>
  <c r="EP137" i="46"/>
  <c r="CT134" i="46"/>
  <c r="DU147" i="46"/>
  <c r="FB146" i="46"/>
  <c r="EV149" i="46"/>
  <c r="BG147" i="46"/>
  <c r="AF153" i="46"/>
  <c r="FH147" i="46"/>
  <c r="EV153" i="46"/>
  <c r="AX149" i="46"/>
  <c r="W153" i="46"/>
  <c r="AF143" i="46"/>
  <c r="FK152" i="46"/>
  <c r="FK156" i="46"/>
  <c r="BA134" i="46"/>
  <c r="CK160" i="46"/>
  <c r="AI161" i="46"/>
  <c r="EY134" i="46"/>
  <c r="CH144" i="46"/>
  <c r="EY130" i="46"/>
  <c r="CE146" i="46"/>
  <c r="CQ136" i="46"/>
  <c r="DU152" i="46"/>
  <c r="BG137" i="46"/>
  <c r="FB133" i="46"/>
  <c r="DI145" i="46"/>
  <c r="FK145" i="46"/>
  <c r="ES139" i="46"/>
  <c r="DF160" i="46"/>
  <c r="T151" i="46"/>
  <c r="Z160" i="46"/>
  <c r="CB132" i="46"/>
  <c r="CW142" i="46"/>
  <c r="Z156" i="46"/>
  <c r="T147" i="46"/>
  <c r="ES159" i="46"/>
  <c r="FE152" i="46"/>
  <c r="CW145" i="46"/>
  <c r="FH161" i="46"/>
  <c r="DL156" i="46"/>
  <c r="DC142" i="46"/>
  <c r="CK145" i="46"/>
  <c r="EY154" i="46"/>
  <c r="AU148" i="46"/>
  <c r="Z134" i="46"/>
  <c r="AO155" i="46"/>
  <c r="ES130" i="46"/>
  <c r="BM134" i="46"/>
  <c r="FB156" i="46"/>
  <c r="DR151" i="46"/>
  <c r="EY138" i="46"/>
  <c r="AO138" i="46"/>
  <c r="CW154" i="46"/>
  <c r="DU145" i="46"/>
  <c r="EV155" i="46"/>
  <c r="FB137" i="46"/>
  <c r="BM151" i="46"/>
  <c r="ES133" i="46"/>
  <c r="CK156" i="46"/>
  <c r="ES147" i="46"/>
  <c r="CE147" i="46"/>
  <c r="EY153" i="46"/>
  <c r="FE153" i="46"/>
  <c r="BM136" i="46"/>
  <c r="AI137" i="46"/>
  <c r="CN139" i="46"/>
  <c r="EY151" i="46"/>
  <c r="BA130" i="46"/>
  <c r="EM141" i="46"/>
  <c r="ED154" i="46"/>
  <c r="DF131" i="46"/>
  <c r="AU149" i="46"/>
  <c r="DO149" i="46"/>
  <c r="AX148" i="46"/>
  <c r="CT154" i="46"/>
  <c r="ES137" i="46"/>
  <c r="AI140" i="46"/>
  <c r="EM145" i="46"/>
  <c r="CT150" i="46"/>
  <c r="BS157" i="46"/>
  <c r="EY150" i="46"/>
  <c r="T145" i="46"/>
  <c r="AO144" i="46"/>
  <c r="ES138" i="46"/>
  <c r="BS144" i="46"/>
  <c r="BG131" i="46"/>
  <c r="CQ151" i="46"/>
  <c r="ES149" i="46"/>
  <c r="EP133" i="46"/>
  <c r="EM130" i="46"/>
  <c r="DO145" i="46"/>
  <c r="EG158" i="46"/>
  <c r="CH155" i="46"/>
  <c r="DU130" i="46"/>
  <c r="BY138" i="46"/>
  <c r="DU150" i="46"/>
  <c r="BA152" i="46"/>
  <c r="AF142" i="46"/>
  <c r="AX150" i="46"/>
  <c r="BM149" i="46"/>
  <c r="CQ156" i="46"/>
  <c r="EA154" i="46"/>
  <c r="EA136" i="46"/>
  <c r="W132" i="46"/>
  <c r="AF146" i="46"/>
  <c r="CN144" i="46"/>
  <c r="DX160" i="46"/>
  <c r="EP159" i="46"/>
  <c r="AC142" i="46"/>
  <c r="BS149" i="46"/>
  <c r="BA140" i="46"/>
  <c r="FB130" i="46"/>
  <c r="FK133" i="46"/>
  <c r="FH133" i="46"/>
  <c r="AR153" i="46"/>
  <c r="BA138" i="46"/>
  <c r="BS146" i="46"/>
  <c r="AX151" i="46"/>
  <c r="EA152" i="46"/>
  <c r="ED135" i="46"/>
  <c r="BS143" i="46"/>
  <c r="BV139" i="46"/>
  <c r="BJ145" i="46"/>
  <c r="AI149" i="46"/>
  <c r="AO156" i="46"/>
  <c r="AL148" i="46"/>
  <c r="DF149" i="46"/>
  <c r="BD153" i="46"/>
  <c r="FB152" i="46"/>
  <c r="FK155" i="46"/>
  <c r="BS153" i="46"/>
  <c r="ES155" i="46"/>
  <c r="CW146" i="46"/>
  <c r="DF151" i="46"/>
  <c r="DL145" i="46"/>
  <c r="BS158" i="46"/>
  <c r="CE140" i="46"/>
  <c r="DL139" i="46"/>
  <c r="ES145" i="46"/>
  <c r="EJ141" i="46"/>
  <c r="CK135" i="46"/>
  <c r="DF159" i="46"/>
  <c r="CZ148" i="46"/>
  <c r="DX136" i="46"/>
  <c r="DU159" i="46"/>
  <c r="CQ159" i="46"/>
  <c r="FK154" i="46"/>
  <c r="DC140" i="46"/>
  <c r="ES143" i="46"/>
  <c r="BM154" i="46"/>
  <c r="FE143" i="46"/>
  <c r="CN145" i="46"/>
  <c r="BD135" i="46"/>
  <c r="CW148" i="46"/>
  <c r="ES140" i="46"/>
  <c r="CB134" i="46"/>
  <c r="EY139" i="46"/>
  <c r="DF152" i="46"/>
  <c r="AI139" i="46"/>
  <c r="DO154" i="46"/>
  <c r="BS140" i="46"/>
  <c r="DI148" i="46"/>
  <c r="DC160" i="46"/>
  <c r="AL142" i="46"/>
  <c r="CQ134" i="46"/>
  <c r="EP138" i="46"/>
  <c r="FK137" i="46"/>
  <c r="ED131" i="46"/>
  <c r="T144" i="46"/>
  <c r="AI148" i="46"/>
  <c r="CW141" i="46"/>
  <c r="AR133" i="46"/>
  <c r="DU151" i="46"/>
  <c r="AL150" i="46"/>
  <c r="FH152" i="46"/>
  <c r="DI136" i="46"/>
  <c r="DO131" i="46"/>
  <c r="EV157" i="46"/>
  <c r="BG159" i="46"/>
  <c r="EG152" i="46"/>
  <c r="CW152" i="46"/>
  <c r="AI130" i="46"/>
  <c r="EP152" i="46"/>
  <c r="DU135" i="46"/>
  <c r="CH158" i="46"/>
  <c r="AF133" i="46"/>
  <c r="EV139" i="46"/>
  <c r="EY158" i="46"/>
  <c r="AC157" i="46"/>
  <c r="DL154" i="46"/>
  <c r="EA139" i="46"/>
  <c r="DU146" i="46"/>
  <c r="FK141" i="46"/>
  <c r="CB152" i="46"/>
  <c r="CT137" i="46"/>
  <c r="BA158" i="46"/>
  <c r="EY145" i="46"/>
  <c r="T140" i="46"/>
  <c r="CE130" i="46"/>
  <c r="AO145" i="46"/>
  <c r="T139" i="46"/>
  <c r="BA132" i="46"/>
  <c r="BY131" i="46"/>
  <c r="BD160" i="46"/>
  <c r="AO150" i="46"/>
  <c r="DX149" i="46"/>
  <c r="BM153" i="46"/>
  <c r="DX132" i="46"/>
  <c r="EG140" i="46"/>
  <c r="DF158" i="46"/>
  <c r="CN160" i="46"/>
  <c r="ED149" i="46"/>
  <c r="BS145" i="46"/>
  <c r="CK157" i="46"/>
  <c r="CB145" i="46"/>
  <c r="BA149" i="46"/>
  <c r="AX132" i="46"/>
  <c r="ES142" i="46"/>
  <c r="CH135" i="46"/>
  <c r="EP149" i="46"/>
  <c r="BG161" i="46"/>
  <c r="FK138" i="46"/>
  <c r="W152" i="46"/>
  <c r="CB154" i="46"/>
  <c r="AL159" i="46"/>
  <c r="CK143" i="46"/>
  <c r="AI158" i="46"/>
  <c r="BA144" i="46"/>
  <c r="CQ152" i="46"/>
  <c r="BJ136" i="46"/>
  <c r="FH153" i="46"/>
  <c r="EP154" i="46"/>
  <c r="BM152" i="46"/>
  <c r="BJ131" i="46"/>
  <c r="W142" i="46"/>
  <c r="CE137" i="46"/>
  <c r="AR131" i="46"/>
  <c r="CW133" i="46"/>
  <c r="DO132" i="46"/>
  <c r="CH143" i="46"/>
  <c r="DO155" i="46"/>
  <c r="CK161" i="46"/>
  <c r="EG134" i="46"/>
  <c r="Z144" i="46"/>
  <c r="FE157" i="46"/>
  <c r="AO137" i="46"/>
  <c r="EG148" i="46"/>
  <c r="BP147" i="46"/>
  <c r="EV158" i="46"/>
  <c r="EV135" i="46"/>
  <c r="FE130" i="46"/>
  <c r="DO152" i="46"/>
  <c r="BJ158" i="46"/>
  <c r="CN137" i="46"/>
  <c r="CW130" i="46"/>
  <c r="DI143" i="46"/>
  <c r="DU141" i="46"/>
  <c r="AF145" i="46"/>
  <c r="AF147" i="46"/>
  <c r="AX142" i="46"/>
  <c r="DX133" i="46"/>
  <c r="BP149" i="46"/>
  <c r="BY140" i="46"/>
  <c r="CZ160" i="46"/>
  <c r="AC136" i="46"/>
  <c r="CZ146" i="46"/>
  <c r="AU134" i="46"/>
  <c r="DX156" i="46"/>
  <c r="AL137" i="46"/>
  <c r="CW139" i="46"/>
  <c r="BM158" i="46"/>
  <c r="T142" i="46"/>
  <c r="FH132" i="46"/>
  <c r="AU142" i="46"/>
  <c r="BA137" i="46"/>
  <c r="DC153" i="46"/>
  <c r="EP147" i="46"/>
  <c r="DL160" i="46"/>
  <c r="CH160" i="46"/>
  <c r="CZ132" i="46"/>
  <c r="ED160" i="46"/>
  <c r="DX139" i="46"/>
  <c r="BD139" i="46"/>
  <c r="CH136" i="46"/>
  <c r="AL134" i="46"/>
  <c r="W148" i="46"/>
  <c r="CE157" i="46"/>
  <c r="ES134" i="46"/>
  <c r="DU148" i="46"/>
  <c r="FK151" i="46"/>
  <c r="AU154" i="46"/>
  <c r="BJ143" i="46"/>
  <c r="BJ153" i="46"/>
  <c r="CT135" i="46"/>
  <c r="BV134" i="46"/>
  <c r="CZ152" i="46"/>
  <c r="CZ130" i="46"/>
  <c r="ES151" i="46"/>
  <c r="Z146" i="46"/>
  <c r="BA148" i="46"/>
  <c r="AL151" i="46"/>
  <c r="DO150" i="46"/>
  <c r="DC144" i="46"/>
  <c r="DF144" i="46"/>
  <c r="DC150" i="46"/>
  <c r="FK161" i="46"/>
  <c r="DX151" i="46"/>
  <c r="BV143" i="46"/>
  <c r="BV147" i="46"/>
  <c r="AO139" i="46"/>
  <c r="FB141" i="46"/>
  <c r="DX148" i="46"/>
  <c r="BG156" i="46"/>
  <c r="DF133" i="46"/>
  <c r="CZ139" i="46"/>
  <c r="CQ150" i="46"/>
  <c r="CK144" i="46"/>
  <c r="CT133" i="46"/>
  <c r="AU150" i="46"/>
  <c r="DI139" i="46"/>
  <c r="EP136" i="46"/>
  <c r="DR139" i="46"/>
  <c r="BY160" i="46"/>
  <c r="AF149" i="46"/>
  <c r="EA132" i="46"/>
  <c r="DI131" i="46"/>
  <c r="AL156" i="46"/>
  <c r="EV161" i="46"/>
  <c r="BP134" i="46"/>
  <c r="BV149" i="46"/>
  <c r="CE161" i="46"/>
  <c r="BP153" i="46"/>
  <c r="CK137" i="46"/>
  <c r="EP135" i="46"/>
  <c r="AC158" i="46"/>
  <c r="EP157" i="46"/>
  <c r="Z154" i="46"/>
  <c r="ES152" i="46"/>
  <c r="BS137" i="46"/>
  <c r="AI141" i="46"/>
  <c r="W137" i="46"/>
  <c r="AL133" i="46"/>
  <c r="BV161" i="46"/>
  <c r="EY144" i="46"/>
  <c r="EA137" i="46"/>
  <c r="CH150" i="46"/>
  <c r="DU153" i="46"/>
  <c r="BM150" i="46"/>
  <c r="DI151" i="46"/>
  <c r="BP138" i="46"/>
  <c r="EJ148" i="46"/>
  <c r="T157" i="46"/>
  <c r="CE158" i="46"/>
  <c r="DX159" i="46"/>
  <c r="BS136" i="46"/>
  <c r="EP130" i="46"/>
  <c r="BY139" i="46"/>
  <c r="CK139" i="46"/>
  <c r="BA159" i="46"/>
  <c r="AI145" i="46"/>
  <c r="BY130" i="46"/>
  <c r="DO147" i="46"/>
  <c r="EG149" i="46"/>
  <c r="CZ154" i="46"/>
  <c r="EV131" i="46"/>
  <c r="BD161" i="46"/>
  <c r="DU154" i="46"/>
  <c r="BJ156" i="46"/>
  <c r="T135" i="46"/>
  <c r="BS160" i="46"/>
  <c r="EM152" i="46"/>
  <c r="DF137" i="46"/>
  <c r="AU135" i="46"/>
  <c r="CH156" i="46"/>
  <c r="DX147" i="46"/>
  <c r="CN138" i="46"/>
  <c r="BD138" i="46"/>
  <c r="BA143" i="46"/>
  <c r="BY141" i="46"/>
  <c r="AF161" i="46"/>
  <c r="EG133" i="46"/>
  <c r="BG130" i="46"/>
  <c r="AC139" i="46"/>
  <c r="DL147" i="46"/>
  <c r="AL145" i="46"/>
  <c r="CT149" i="46"/>
  <c r="BV132" i="46"/>
  <c r="EJ146" i="46"/>
  <c r="T152" i="46"/>
  <c r="ES158" i="46"/>
  <c r="CT148" i="46"/>
  <c r="EA148" i="46"/>
  <c r="BG139" i="46"/>
  <c r="DI147" i="46"/>
  <c r="EA147" i="46"/>
  <c r="FE139" i="46"/>
  <c r="BJ142" i="46"/>
  <c r="AL139" i="46"/>
  <c r="CH132" i="46"/>
  <c r="FK135" i="46"/>
  <c r="CE156" i="46"/>
  <c r="FB132" i="46"/>
  <c r="BM144" i="46"/>
  <c r="CZ140" i="46"/>
  <c r="AR148" i="46"/>
  <c r="AL158" i="46"/>
  <c r="ED133" i="46"/>
  <c r="W155" i="46"/>
  <c r="FK139" i="46"/>
  <c r="BV144" i="46"/>
  <c r="DC148" i="46"/>
  <c r="FH159" i="46"/>
  <c r="AL146" i="46"/>
  <c r="BV137" i="46"/>
  <c r="ED142" i="46"/>
  <c r="ES131" i="46"/>
  <c r="Z158" i="46"/>
  <c r="BS135" i="46"/>
  <c r="BV146" i="46"/>
  <c r="BD155" i="46"/>
  <c r="FE145" i="46"/>
  <c r="CK140" i="46"/>
  <c r="AC147" i="46"/>
  <c r="AR160" i="46"/>
  <c r="DF147" i="46"/>
  <c r="DI146" i="46"/>
  <c r="CE160" i="46"/>
  <c r="BM135" i="46"/>
  <c r="Z139" i="46"/>
  <c r="EA150" i="46"/>
  <c r="Z132" i="46"/>
  <c r="CQ143" i="46"/>
  <c r="BV135" i="46"/>
  <c r="CB159" i="46"/>
  <c r="AU152" i="46"/>
  <c r="AR139" i="46"/>
  <c r="DO135" i="46"/>
  <c r="CE145" i="46"/>
  <c r="DX130" i="46"/>
  <c r="BG135" i="46"/>
  <c r="AX135" i="46"/>
  <c r="EY155" i="46"/>
  <c r="CW131" i="46"/>
  <c r="CT155" i="46"/>
  <c r="AX133" i="46"/>
  <c r="DR140" i="46"/>
  <c r="EV154" i="46"/>
  <c r="CE136" i="46"/>
  <c r="AL144" i="46"/>
  <c r="FB154" i="46"/>
  <c r="CB143" i="46"/>
  <c r="ES156" i="46"/>
  <c r="Z135" i="46"/>
  <c r="DR131" i="46"/>
  <c r="FB135" i="46"/>
  <c r="EA133" i="46"/>
  <c r="CQ149" i="46"/>
  <c r="EJ137" i="46"/>
  <c r="DR161" i="46"/>
  <c r="DL159" i="46"/>
  <c r="DF155" i="46"/>
  <c r="BA136" i="46"/>
  <c r="EG138" i="46"/>
  <c r="AR140" i="46"/>
  <c r="BP156" i="46"/>
  <c r="DF135" i="46"/>
  <c r="BA150" i="46"/>
  <c r="EG156" i="46"/>
  <c r="CN147" i="46"/>
  <c r="AF157" i="46"/>
  <c r="BS141" i="46"/>
  <c r="CB157" i="46"/>
  <c r="CQ147" i="46"/>
  <c r="FB138" i="46"/>
  <c r="DL146" i="46"/>
  <c r="DO158" i="46"/>
  <c r="ED130" i="46"/>
  <c r="CK158" i="46"/>
  <c r="EA153" i="46"/>
  <c r="CZ150" i="46"/>
  <c r="CE154" i="46"/>
  <c r="DO157" i="46"/>
  <c r="EA156" i="46"/>
  <c r="CH149" i="46"/>
  <c r="AX134" i="46"/>
  <c r="EV136" i="46"/>
  <c r="AI156" i="46"/>
  <c r="CW156" i="46"/>
  <c r="CE133" i="46"/>
  <c r="BY158" i="46"/>
  <c r="AO133" i="46"/>
  <c r="EP143" i="46"/>
  <c r="DR132" i="46"/>
  <c r="BJ160" i="46"/>
  <c r="AF137" i="46"/>
  <c r="DI157" i="46"/>
  <c r="ES135" i="46"/>
  <c r="AX144" i="46"/>
  <c r="AO148" i="46"/>
  <c r="W136" i="46"/>
  <c r="FH130" i="46"/>
  <c r="ES161" i="46"/>
  <c r="CT159" i="46"/>
  <c r="AR156" i="46"/>
  <c r="DC155" i="46"/>
  <c r="DF141" i="46"/>
  <c r="EM133" i="46"/>
  <c r="EG153" i="46"/>
  <c r="EY159" i="46"/>
  <c r="AO154" i="46"/>
  <c r="EA131" i="46"/>
  <c r="DI149" i="46"/>
  <c r="EG145" i="46"/>
  <c r="EY156" i="46"/>
  <c r="W146" i="46"/>
  <c r="CN132" i="46"/>
  <c r="BJ151" i="46"/>
  <c r="FK143" i="46"/>
  <c r="AI131" i="46"/>
  <c r="BA145" i="46"/>
  <c r="AC134" i="46"/>
  <c r="BY159" i="46"/>
  <c r="EP142" i="46"/>
  <c r="CZ137" i="46"/>
  <c r="CN134" i="46"/>
  <c r="DC138" i="46"/>
  <c r="AI143" i="46"/>
  <c r="EV138" i="46"/>
  <c r="EV150" i="46"/>
  <c r="CZ138" i="46"/>
  <c r="AX157" i="46"/>
  <c r="DU132" i="46"/>
  <c r="CK154" i="46"/>
  <c r="DU144" i="46"/>
  <c r="CE138" i="46"/>
  <c r="FE144" i="46"/>
  <c r="EA157" i="46"/>
  <c r="AR158" i="46"/>
  <c r="CH152" i="46"/>
  <c r="AC132" i="46"/>
  <c r="CZ155" i="46"/>
  <c r="BV148" i="46"/>
  <c r="DI160" i="46"/>
  <c r="BM146" i="46"/>
  <c r="CZ156" i="46"/>
  <c r="CW144" i="46"/>
  <c r="EM153" i="46"/>
  <c r="BM155" i="46"/>
  <c r="DR159" i="46"/>
  <c r="BA142" i="46"/>
  <c r="FB145" i="46"/>
  <c r="AL161" i="46"/>
  <c r="DR138" i="46"/>
  <c r="BY134" i="46"/>
  <c r="BD150" i="46"/>
  <c r="EM132" i="46"/>
  <c r="CB137" i="46"/>
  <c r="AO149" i="46"/>
  <c r="EM155" i="46"/>
  <c r="EP153" i="46"/>
  <c r="BA151" i="46"/>
  <c r="BV160" i="46"/>
  <c r="CW135" i="46"/>
  <c r="AF134" i="46"/>
  <c r="BY147" i="46"/>
  <c r="CZ135" i="46"/>
  <c r="DI132" i="46"/>
  <c r="CW140" i="46"/>
  <c r="AI151" i="46"/>
  <c r="BA160" i="46"/>
  <c r="FK159" i="46"/>
  <c r="T161" i="46"/>
  <c r="CT160" i="46"/>
  <c r="DC131" i="46"/>
  <c r="DI161" i="46"/>
  <c r="AL153" i="46"/>
  <c r="CW147" i="46"/>
  <c r="CB142" i="46"/>
  <c r="AF139" i="46"/>
  <c r="DI153" i="46"/>
  <c r="BS142" i="46"/>
  <c r="AR138" i="46"/>
  <c r="EP145" i="46"/>
  <c r="FK147" i="46"/>
  <c r="CN135" i="46"/>
  <c r="CT145" i="46"/>
  <c r="BG150" i="46"/>
  <c r="AU146" i="46"/>
  <c r="DL131" i="46"/>
  <c r="DO137" i="46"/>
  <c r="AI136" i="46"/>
  <c r="DF154" i="46"/>
  <c r="CT141" i="46"/>
  <c r="FE137" i="46"/>
  <c r="DL134" i="46"/>
  <c r="AU139" i="46"/>
  <c r="CB150" i="46"/>
  <c r="EJ157" i="46"/>
  <c r="EJ151" i="46"/>
  <c r="DR137" i="46"/>
  <c r="CN133" i="46"/>
  <c r="EM134" i="46"/>
  <c r="T137" i="46"/>
  <c r="Z147" i="46"/>
  <c r="DO134" i="46"/>
  <c r="DL155" i="46"/>
  <c r="AX131" i="46"/>
  <c r="BY133" i="46"/>
  <c r="BY157" i="46"/>
  <c r="DR157" i="46"/>
  <c r="EM140" i="46"/>
  <c r="FK136" i="46"/>
  <c r="BV152" i="46"/>
  <c r="BG160" i="46"/>
  <c r="AI133" i="46"/>
  <c r="Z137" i="46"/>
  <c r="CQ154" i="46"/>
  <c r="ES153" i="46"/>
  <c r="DU161" i="46"/>
  <c r="BS130" i="46"/>
  <c r="AU131" i="46"/>
  <c r="T136" i="46"/>
  <c r="CQ161" i="46"/>
  <c r="CE139" i="46"/>
  <c r="ED134" i="46"/>
  <c r="CH141" i="46"/>
  <c r="T141" i="46"/>
  <c r="BG138" i="46"/>
  <c r="W157" i="46"/>
  <c r="EV137" i="46"/>
  <c r="DC149" i="46"/>
  <c r="EM136" i="46"/>
  <c r="CT138" i="46"/>
  <c r="EP155" i="46"/>
  <c r="AL135" i="46"/>
  <c r="EV142" i="46"/>
  <c r="DF146" i="46"/>
  <c r="CB156" i="46"/>
  <c r="DR141" i="46"/>
  <c r="BY153" i="46"/>
  <c r="BD145" i="46"/>
  <c r="BP151" i="46"/>
  <c r="W160" i="46"/>
  <c r="BG136" i="46"/>
  <c r="AO147" i="46"/>
  <c r="DX153" i="46"/>
  <c r="BY146" i="46"/>
  <c r="DF136" i="46"/>
  <c r="DX155" i="46"/>
  <c r="BM139" i="46"/>
  <c r="FK144" i="46"/>
  <c r="EP161" i="46"/>
  <c r="AR130" i="46"/>
  <c r="AR155" i="46"/>
  <c r="FH151" i="46"/>
  <c r="CW159" i="46"/>
  <c r="EM148" i="46"/>
  <c r="CN151" i="46"/>
  <c r="AF140" i="46"/>
  <c r="DI144" i="46"/>
  <c r="CN161" i="46"/>
  <c r="CZ161" i="46"/>
  <c r="CW137" i="46"/>
  <c r="T160" i="46"/>
  <c r="CQ144" i="46"/>
  <c r="EM150" i="46"/>
  <c r="EY160" i="46"/>
  <c r="FK132" i="46"/>
  <c r="CQ153" i="46"/>
  <c r="BA146" i="46"/>
  <c r="CZ145" i="46"/>
  <c r="CE148" i="46"/>
  <c r="DC146" i="46"/>
  <c r="AF144" i="46"/>
  <c r="EV134" i="46"/>
  <c r="BD159" i="46"/>
  <c r="DI137" i="46"/>
  <c r="Z142" i="46"/>
  <c r="DI155" i="46"/>
  <c r="BY150" i="46"/>
  <c r="EM160" i="46"/>
  <c r="EM143" i="46"/>
  <c r="CK153" i="46"/>
  <c r="DI150" i="46"/>
  <c r="DI142" i="46"/>
  <c r="EM142" i="46"/>
  <c r="BS132" i="46"/>
  <c r="AF136" i="46"/>
  <c r="EP150" i="46"/>
  <c r="CZ134" i="46"/>
  <c r="AC140" i="46"/>
  <c r="CW155" i="46"/>
  <c r="ED159" i="46"/>
  <c r="AF156" i="46"/>
  <c r="BD158" i="46"/>
  <c r="DF134" i="46"/>
  <c r="AO157" i="46"/>
  <c r="BD154" i="46"/>
  <c r="BG144" i="46"/>
  <c r="FK131" i="46"/>
  <c r="AL136" i="46"/>
  <c r="CH147" i="46"/>
  <c r="FK150" i="46"/>
  <c r="ED150" i="46"/>
  <c r="BG145" i="46"/>
  <c r="FB134" i="46"/>
  <c r="AO131" i="46"/>
  <c r="AI155" i="46"/>
  <c r="FE146" i="46"/>
  <c r="FE151" i="46"/>
  <c r="BV158" i="46"/>
  <c r="DO161" i="46"/>
  <c r="ED136" i="46"/>
  <c r="BY132" i="46"/>
  <c r="CN143" i="46"/>
  <c r="AC161" i="46"/>
  <c r="AI144" i="46"/>
  <c r="ED139" i="46"/>
  <c r="DL141" i="46"/>
  <c r="BS156" i="46"/>
  <c r="CN152" i="46"/>
  <c r="EA158" i="46"/>
  <c r="FB151" i="46"/>
  <c r="AR159" i="46"/>
  <c r="EJ152" i="46"/>
  <c r="EY157" i="46"/>
  <c r="Z136" i="46"/>
  <c r="BP145" i="46"/>
  <c r="T155" i="46"/>
  <c r="EM144" i="46"/>
  <c r="T159" i="46"/>
  <c r="AC153" i="46"/>
  <c r="W159" i="46"/>
  <c r="EP160" i="46"/>
  <c r="Z141" i="46"/>
  <c r="CT140" i="46"/>
  <c r="BP143" i="46"/>
  <c r="AU136" i="46"/>
  <c r="ES132" i="46"/>
  <c r="CZ143" i="46"/>
  <c r="AO134" i="46"/>
  <c r="BM159" i="46"/>
  <c r="BG148" i="46"/>
  <c r="DC154" i="46"/>
  <c r="EJ142" i="46"/>
  <c r="Z143" i="46"/>
  <c r="EP140" i="46"/>
  <c r="ED161" i="46"/>
  <c r="FE156" i="46"/>
  <c r="BP139" i="46"/>
  <c r="AU132" i="46"/>
  <c r="FK160" i="46"/>
  <c r="DL143" i="46"/>
  <c r="FB159" i="46"/>
  <c r="EA138" i="46"/>
  <c r="EA151" i="46"/>
  <c r="CZ157" i="46"/>
  <c r="DO160" i="46"/>
  <c r="DU140" i="46"/>
  <c r="CW134" i="46"/>
  <c r="DR152" i="46"/>
  <c r="BA156" i="46"/>
  <c r="BS131" i="46"/>
  <c r="FE147" i="46"/>
  <c r="AO135" i="46"/>
  <c r="AO160" i="46"/>
  <c r="DI154" i="46"/>
  <c r="CZ159" i="46"/>
  <c r="FB158" i="46"/>
  <c r="DR158" i="46"/>
  <c r="EA146" i="46"/>
  <c r="CQ145" i="46"/>
  <c r="BJ133" i="46"/>
  <c r="BA139" i="46"/>
  <c r="AX140" i="46"/>
  <c r="AC154" i="46"/>
  <c r="AX139" i="46"/>
  <c r="BP148" i="46"/>
  <c r="AL149" i="46"/>
  <c r="FH146" i="46"/>
  <c r="DI130" i="46"/>
  <c r="BP161" i="46"/>
  <c r="CQ130" i="46"/>
  <c r="AR150" i="46"/>
  <c r="CH153" i="46"/>
  <c r="DR154" i="46"/>
  <c r="DC134" i="46"/>
  <c r="DU142" i="46"/>
  <c r="EY140" i="46"/>
  <c r="ED156" i="46"/>
  <c r="DU137" i="46"/>
  <c r="EY148" i="46"/>
  <c r="BD133" i="46"/>
  <c r="DI140" i="46"/>
  <c r="FH136" i="46"/>
  <c r="DC161" i="46"/>
  <c r="CB131" i="46"/>
  <c r="AC152" i="46"/>
  <c r="DI134" i="46"/>
  <c r="AX154" i="46"/>
  <c r="DF156" i="46"/>
  <c r="AI142" i="46"/>
  <c r="CK152" i="46"/>
  <c r="BS150" i="46"/>
  <c r="BV150" i="46"/>
  <c r="CK149" i="46"/>
  <c r="BJ134" i="46"/>
  <c r="DC158" i="46"/>
  <c r="BJ154" i="46"/>
  <c r="AU144" i="46"/>
  <c r="CQ146" i="46"/>
  <c r="ED145" i="46"/>
  <c r="DO146" i="46"/>
  <c r="CB161" i="46"/>
  <c r="ES144" i="46"/>
  <c r="CN155" i="46"/>
  <c r="EG139" i="46"/>
  <c r="BY137" i="46"/>
  <c r="CE159" i="46"/>
  <c r="DX135" i="46"/>
  <c r="DR155" i="46"/>
  <c r="AX130" i="46"/>
  <c r="CN141" i="46"/>
  <c r="EY132" i="46"/>
  <c r="FB142" i="46"/>
  <c r="AR146" i="46"/>
  <c r="BM143" i="46"/>
  <c r="BD156" i="46"/>
  <c r="BS134" i="46"/>
  <c r="AC148" i="46"/>
  <c r="AF159" i="46"/>
  <c r="AL143" i="46"/>
  <c r="CN153" i="46"/>
  <c r="AF150" i="46"/>
  <c r="DF142" i="46"/>
  <c r="CW143" i="46"/>
  <c r="AX137" i="46"/>
  <c r="DO144" i="46"/>
  <c r="CB144" i="46"/>
  <c r="DO138" i="46"/>
  <c r="EJ145" i="46"/>
  <c r="BP130" i="46"/>
  <c r="BY145" i="46"/>
  <c r="DX140" i="46"/>
  <c r="W141" i="46"/>
  <c r="CE143" i="46"/>
  <c r="BD144" i="46"/>
  <c r="CQ160" i="46"/>
  <c r="AU137" i="46"/>
  <c r="BS159" i="46"/>
  <c r="AO130" i="46"/>
  <c r="FH138" i="46"/>
  <c r="DX146" i="46"/>
  <c r="AL152" i="46"/>
  <c r="DR145" i="46"/>
  <c r="DL140" i="46"/>
  <c r="FB161" i="46"/>
  <c r="CN157" i="46"/>
  <c r="AO159" i="46"/>
  <c r="Z133" i="46"/>
  <c r="EA143" i="46"/>
  <c r="CQ135" i="46"/>
  <c r="EA160" i="46"/>
  <c r="AC159" i="46"/>
  <c r="BM157" i="46"/>
  <c r="AU157" i="46"/>
  <c r="Z131" i="46"/>
  <c r="DX142" i="46"/>
  <c r="T156" i="46"/>
  <c r="BY142" i="46"/>
  <c r="BM142" i="46"/>
  <c r="CB130" i="46"/>
  <c r="AR143" i="46"/>
  <c r="ED147" i="46"/>
  <c r="Z161" i="46"/>
  <c r="AI154" i="46"/>
  <c r="FB148" i="46"/>
  <c r="BV136" i="46"/>
  <c r="FE154" i="46"/>
  <c r="BP136" i="46"/>
  <c r="BV131" i="46"/>
  <c r="EG131" i="46"/>
  <c r="T130" i="46"/>
  <c r="EJ158" i="46"/>
  <c r="AX136" i="46"/>
  <c r="BA147" i="46"/>
  <c r="BM130" i="46"/>
  <c r="DL148" i="46"/>
  <c r="CW138" i="46"/>
  <c r="CT151" i="46"/>
  <c r="DU138" i="46"/>
  <c r="CB136" i="46"/>
  <c r="AF151" i="46"/>
  <c r="EA135" i="46"/>
  <c r="CE132" i="46"/>
  <c r="DC151" i="46"/>
  <c r="AU130" i="46"/>
  <c r="Z157" i="46"/>
  <c r="ED141" i="46"/>
  <c r="DX154" i="46"/>
  <c r="AL132" i="46"/>
  <c r="EP132" i="46"/>
  <c r="EG161" i="46"/>
  <c r="DC152" i="46"/>
  <c r="DL157" i="46"/>
  <c r="CN149" i="46"/>
  <c r="AI152" i="46"/>
  <c r="DC137" i="46"/>
  <c r="EP148" i="46"/>
  <c r="CZ144" i="46"/>
  <c r="DL152" i="46"/>
  <c r="BD152" i="46"/>
  <c r="DC135" i="46"/>
  <c r="BP159" i="46"/>
  <c r="AC141" i="46"/>
  <c r="BV130" i="46"/>
  <c r="BD147" i="46"/>
  <c r="DX150" i="46"/>
  <c r="AC150" i="46"/>
  <c r="T154" i="46"/>
  <c r="DU134" i="46"/>
  <c r="EM156" i="46"/>
  <c r="AU143" i="46"/>
  <c r="W158" i="46"/>
  <c r="BJ148" i="46"/>
  <c r="CE134" i="46"/>
  <c r="CT157" i="46"/>
  <c r="FB147" i="46"/>
  <c r="CK130" i="46"/>
  <c r="CN146" i="46"/>
  <c r="BP158" i="46"/>
  <c r="CH159" i="46"/>
  <c r="FB139" i="46"/>
  <c r="EG159" i="46"/>
  <c r="FB155" i="46"/>
  <c r="AX147" i="46"/>
  <c r="CE131" i="46"/>
  <c r="AC149" i="46"/>
  <c r="BD157" i="46"/>
  <c r="DL142" i="46"/>
  <c r="CQ142" i="46"/>
  <c r="Z155" i="46"/>
  <c r="EP146" i="46"/>
  <c r="W134" i="46"/>
  <c r="BG155" i="46"/>
  <c r="AL160" i="46"/>
  <c r="BV151" i="46"/>
  <c r="DR148" i="46"/>
  <c r="CT144" i="46"/>
  <c r="AU159" i="46"/>
  <c r="DF157" i="46"/>
  <c r="Z149" i="46"/>
  <c r="BJ161" i="46"/>
  <c r="BG151" i="46"/>
  <c r="AR142" i="46"/>
  <c r="AC155" i="46"/>
  <c r="BS148" i="46"/>
  <c r="Z153" i="46"/>
  <c r="DL144" i="46"/>
  <c r="CW149" i="46"/>
  <c r="Z150" i="46"/>
  <c r="DR134" i="46"/>
  <c r="CH148" i="46"/>
  <c r="AX141" i="46"/>
  <c r="DO142" i="46"/>
  <c r="DO153" i="46"/>
  <c r="FE155" i="46"/>
  <c r="Z152" i="46"/>
  <c r="BS155" i="46"/>
  <c r="BA141" i="46"/>
  <c r="BY149" i="46"/>
  <c r="CN159" i="46"/>
  <c r="AL141" i="46"/>
  <c r="CN140" i="46"/>
  <c r="AU158" i="46"/>
  <c r="FE158" i="46"/>
  <c r="BP141" i="46"/>
  <c r="CT156" i="46"/>
  <c r="AU153" i="46"/>
  <c r="CK151" i="46"/>
  <c r="DC157" i="46"/>
  <c r="EM138" i="46"/>
  <c r="BJ130" i="46"/>
  <c r="BY144" i="46"/>
  <c r="DR153" i="46"/>
  <c r="CQ155" i="46"/>
  <c r="BD151" i="46"/>
  <c r="BG134" i="46"/>
  <c r="CE135" i="46"/>
  <c r="EV132" i="46"/>
  <c r="P3" i="47" l="1"/>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H3" i="50" s="1" a="1"/>
  <c r="H3"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H2" i="50" a="1"/>
  <c r="H2" i="50" s="1"/>
  <c r="B6" i="48"/>
  <c r="AG35" i="51" a="1"/>
  <c r="G2" i="48" a="1"/>
  <c r="BV180" i="46"/>
  <c r="W162" i="46"/>
  <c r="BJ162" i="46"/>
  <c r="BA162" i="46"/>
  <c r="CT162" i="46"/>
  <c r="FK162" i="46"/>
  <c r="DC162" i="46"/>
  <c r="DL162" i="46"/>
  <c r="BP162" i="46"/>
  <c r="ED162" i="46"/>
  <c r="BG162" i="46"/>
  <c r="DU162" i="46"/>
  <c r="EG162" i="46"/>
  <c r="AO180" i="46"/>
  <c r="DR180" i="46"/>
  <c r="CB180" i="46"/>
  <c r="AI180" i="46"/>
  <c r="BG180" i="46"/>
  <c r="AC162" i="46"/>
  <c r="AF162" i="46"/>
  <c r="EA162" i="46"/>
  <c r="DO180" i="46"/>
  <c r="DL180" i="46"/>
  <c r="EV180" i="46"/>
  <c r="Z180" i="46"/>
  <c r="ES180" i="46"/>
  <c r="AU180" i="46"/>
  <c r="BJ180" i="46"/>
  <c r="DU180" i="46"/>
  <c r="FH180" i="46"/>
  <c r="AU162" i="46"/>
  <c r="AL162" i="46"/>
  <c r="BS180" i="46"/>
  <c r="CK180" i="46"/>
  <c r="FB180" i="46"/>
  <c r="FH162" i="46"/>
  <c r="CZ162" i="46"/>
  <c r="EM162" i="46"/>
  <c r="DR162" i="46"/>
  <c r="EV162" i="46"/>
  <c r="CT180" i="46"/>
  <c r="CE180" i="46"/>
  <c r="EY180" i="46"/>
  <c r="AR180" i="46"/>
  <c r="EJ180" i="46"/>
  <c r="AF180" i="46"/>
  <c r="T180" i="46"/>
  <c r="AL180" i="46"/>
  <c r="ED180" i="46"/>
  <c r="DX180" i="46"/>
  <c r="CW180" i="46"/>
  <c r="DF180" i="46"/>
  <c r="DC180" i="46"/>
  <c r="AO162" i="46"/>
  <c r="BS162" i="46"/>
  <c r="EA180" i="46"/>
  <c r="CH180" i="46"/>
  <c r="BY180" i="46"/>
  <c r="BP180" i="46"/>
  <c r="AX162" i="46"/>
  <c r="ES162" i="46"/>
  <c r="DF162" i="46"/>
  <c r="CQ180" i="46"/>
  <c r="BA180" i="46"/>
  <c r="EM180" i="46"/>
  <c r="FK180" i="46"/>
  <c r="T162" i="46"/>
  <c r="M162" i="46"/>
  <c r="G3" i="47" s="1"/>
  <c r="CQ162" i="46"/>
  <c r="Z162" i="46"/>
  <c r="EY162" i="46"/>
  <c r="DO162" i="46"/>
  <c r="FE162" i="46"/>
  <c r="AI162" i="46"/>
  <c r="BV162" i="46"/>
  <c r="DX162" i="46"/>
  <c r="FB162" i="46"/>
  <c r="FE180" i="46"/>
  <c r="CN180" i="46"/>
  <c r="BD180" i="46"/>
  <c r="W180" i="46"/>
  <c r="AR162" i="46"/>
  <c r="BD162" i="46"/>
  <c r="CN162" i="46"/>
  <c r="CZ180" i="46"/>
  <c r="CW162" i="46"/>
  <c r="CE162" i="46"/>
  <c r="CH162" i="46"/>
  <c r="BY162" i="46"/>
  <c r="DI162" i="46"/>
  <c r="CK162" i="46"/>
  <c r="BM162" i="46"/>
  <c r="CB162" i="46"/>
  <c r="EP162" i="46"/>
  <c r="EJ162" i="46"/>
  <c r="AC180" i="46"/>
  <c r="EG180" i="46"/>
  <c r="AX180" i="46"/>
  <c r="EP180" i="46"/>
  <c r="DI180" i="46"/>
  <c r="BM180" i="46"/>
  <c r="CM266" i="46" l="1"/>
  <c r="BI266" i="46"/>
  <c r="BM198" i="46"/>
  <c r="ER266" i="46"/>
  <c r="DQ266" i="46"/>
  <c r="AX198" i="46"/>
  <c r="AN266" i="46"/>
  <c r="ED198" i="46"/>
  <c r="EO266" i="46"/>
  <c r="EO264" i="46" s="1"/>
  <c r="CN208" i="46"/>
  <c r="G3" i="48" a="1"/>
  <c r="G3" i="48" s="1"/>
  <c r="FG266" i="46"/>
  <c r="EI266" i="46"/>
  <c r="EI264" i="46" s="1"/>
  <c r="DO208" i="46"/>
  <c r="DN266" i="46"/>
  <c r="AI198" i="46"/>
  <c r="EA198" i="46"/>
  <c r="AK266" i="46"/>
  <c r="DX208" i="46"/>
  <c r="AE266" i="46"/>
  <c r="BS198" i="46"/>
  <c r="BS208" i="46"/>
  <c r="FA266" i="46"/>
  <c r="FA264" i="46" s="1"/>
  <c r="AB266" i="46"/>
  <c r="AB264" i="46" s="1"/>
  <c r="CJ266" i="46"/>
  <c r="BX266" i="46"/>
  <c r="BX264" i="46" s="1"/>
  <c r="AZ266" i="46"/>
  <c r="AZ264" i="46" s="1"/>
  <c r="AX208" i="46"/>
  <c r="CG266" i="46"/>
  <c r="FD266" i="46"/>
  <c r="BF266" i="46"/>
  <c r="EC266" i="46"/>
  <c r="FJ266" i="46"/>
  <c r="BU266" i="46"/>
  <c r="CP266" i="46"/>
  <c r="DE266" i="46"/>
  <c r="DE264" i="46" s="1"/>
  <c r="EL266" i="46"/>
  <c r="EL264" i="46" s="1"/>
  <c r="DK266" i="46"/>
  <c r="DK264" i="46" s="1"/>
  <c r="Y266" i="46"/>
  <c r="Y264" i="46" s="1"/>
  <c r="EG208" i="46"/>
  <c r="CS266" i="46"/>
  <c r="CS264" i="46" s="1"/>
  <c r="BM208" i="46"/>
  <c r="S266" i="46"/>
  <c r="DH266" i="46"/>
  <c r="DH264" i="46" s="1"/>
  <c r="DW266" i="46"/>
  <c r="DW264" i="46" s="1"/>
  <c r="EJ208" i="46"/>
  <c r="BC266" i="46"/>
  <c r="V266" i="46"/>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EC4" i="46" s="1"/>
  <c r="EC2" i="46" s="1"/>
  <c r="CQ208" i="46"/>
  <c r="DB266" i="46"/>
  <c r="DB264" i="46" s="1"/>
  <c r="BL266" i="46"/>
  <c r="CZ198" i="46"/>
  <c r="DI198" i="46"/>
  <c r="FK208" i="46"/>
  <c r="EA208" i="46"/>
  <c r="DC208" i="46"/>
  <c r="BY208" i="46"/>
  <c r="FE208" i="46"/>
  <c r="CH208" i="46"/>
  <c r="AO208" i="46"/>
  <c r="EV198" i="46"/>
  <c r="EU4" i="46" s="1"/>
  <c r="EU2" i="46" s="1"/>
  <c r="BP208" i="46"/>
  <c r="AW4" i="46"/>
  <c r="AW2" i="46" s="1"/>
  <c r="FK198" i="46"/>
  <c r="EP198" i="46"/>
  <c r="EM208" i="46"/>
  <c r="BP198" i="46"/>
  <c r="AR198" i="46"/>
  <c r="BO266" i="46"/>
  <c r="CW198" i="46"/>
  <c r="Z208" i="46"/>
  <c r="AW266" i="46"/>
  <c r="AW264" i="46" s="1"/>
  <c r="CT198" i="46"/>
  <c r="CE198" i="46"/>
  <c r="CT208" i="46"/>
  <c r="AC208" i="46"/>
  <c r="EP208" i="46"/>
  <c r="ES208" i="46"/>
  <c r="FH208" i="46"/>
  <c r="FH198" i="46"/>
  <c r="DO198" i="46"/>
  <c r="AH266" i="46"/>
  <c r="CK198" i="46"/>
  <c r="BJ198" i="46"/>
  <c r="DX198" i="46"/>
  <c r="DW4" i="46" s="1"/>
  <c r="DW2" i="46" s="1"/>
  <c r="DF198" i="46"/>
  <c r="AF208" i="46"/>
  <c r="FB208" i="46"/>
  <c r="CA266" i="46"/>
  <c r="CA264" i="46" s="1"/>
  <c r="CQ198" i="46"/>
  <c r="BY198" i="46"/>
  <c r="ES198" i="46"/>
  <c r="ER4" i="46" s="1"/>
  <c r="ER2" i="46" s="1"/>
  <c r="DR198" i="46"/>
  <c r="Z198" i="46"/>
  <c r="EY208" i="46"/>
  <c r="BD208" i="46"/>
  <c r="FB198" i="46"/>
  <c r="AQ266" i="46"/>
  <c r="BR266" i="46"/>
  <c r="AF198" i="46"/>
  <c r="EG198" i="46"/>
  <c r="AL198" i="46"/>
  <c r="BV208" i="46"/>
  <c r="CB208" i="46"/>
  <c r="BJ208" i="46"/>
  <c r="BG208" i="46"/>
  <c r="CY266" i="46"/>
  <c r="CV266" i="46"/>
  <c r="BA198" i="46"/>
  <c r="BV198" i="46"/>
  <c r="EY198" i="46"/>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V4" i="46" s="1"/>
  <c r="V2" i="46" s="1"/>
  <c r="AU208" i="46"/>
  <c r="AI208" i="46"/>
  <c r="AH4" i="46" s="1"/>
  <c r="AH2" i="46" s="1"/>
  <c r="DL208" i="46"/>
  <c r="CE208" i="46"/>
  <c r="AR208" i="46"/>
  <c r="CW208" i="46"/>
  <c r="CV4" i="46" s="1"/>
  <c r="CV2" i="46" s="1"/>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AO60" i="51"/>
  <c r="AO48" i="51"/>
  <c r="AO57" i="51"/>
  <c r="AG35" i="51"/>
  <c r="AO35" i="51" s="1"/>
  <c r="AO46" i="51"/>
  <c r="AO39" i="51"/>
  <c r="AO58" i="51"/>
  <c r="AO66" i="51"/>
  <c r="AO49" i="51"/>
  <c r="AO37" i="51"/>
  <c r="AO50" i="51"/>
  <c r="AO53" i="51"/>
  <c r="AO55" i="51"/>
  <c r="AO52" i="51"/>
  <c r="AO45" i="51"/>
  <c r="AO51" i="51"/>
  <c r="AO41" i="51"/>
  <c r="AO54" i="51"/>
  <c r="AO59" i="51"/>
  <c r="AO43" i="51"/>
  <c r="AO62" i="51"/>
  <c r="AO63" i="51"/>
  <c r="AO61" i="51"/>
  <c r="AO44" i="51"/>
  <c r="AO47" i="51"/>
  <c r="AO64" i="51"/>
  <c r="AO65" i="51"/>
  <c r="AO56" i="51"/>
  <c r="AO40" i="51"/>
  <c r="AO36" i="51"/>
  <c r="AO38" i="51"/>
  <c r="AO42" i="51"/>
  <c r="FJ264" i="46"/>
  <c r="AN264" i="46"/>
  <c r="BI264" i="46"/>
  <c r="DQ264" i="46"/>
  <c r="BR264" i="46"/>
  <c r="FG264" i="46"/>
  <c r="V264" i="46"/>
  <c r="CV264" i="46"/>
  <c r="AK264" i="46"/>
  <c r="FD264" i="46"/>
  <c r="BF264" i="46"/>
  <c r="BC264" i="46"/>
  <c r="AE264" i="46"/>
  <c r="EX4" i="46"/>
  <c r="EX2" i="46" s="1"/>
  <c r="EC264" i="46"/>
  <c r="DN264" i="46"/>
  <c r="CP264" i="46"/>
  <c r="BO264" i="46"/>
  <c r="CJ264" i="46"/>
  <c r="AQ264" i="46"/>
  <c r="AH264" i="46"/>
  <c r="DZ4" i="46"/>
  <c r="DZ2" i="46" s="1"/>
  <c r="BU264" i="46"/>
  <c r="S264" i="46"/>
  <c r="CM264" i="46"/>
  <c r="CG264" i="46"/>
  <c r="ER264" i="46"/>
  <c r="BL264" i="46"/>
  <c r="BL4" i="46"/>
  <c r="BL2" i="46" s="1"/>
  <c r="EI4" i="46"/>
  <c r="EI2" i="46" s="1"/>
  <c r="DH4" i="46"/>
  <c r="BU4" i="46" l="1"/>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EF263" i="46" s="1"/>
  <c r="CA265" i="46"/>
  <c r="AB265" i="46"/>
  <c r="FA265" i="46"/>
  <c r="CM265" i="46"/>
  <c r="DN265" i="46"/>
  <c r="DB265" i="46"/>
  <c r="CJ265" i="46"/>
  <c r="AN265" i="46"/>
  <c r="AQ265" i="46"/>
  <c r="FG265" i="46"/>
  <c r="CY265" i="46"/>
  <c r="EF265" i="46"/>
  <c r="BC265" i="46"/>
  <c r="EI265" i="46"/>
  <c r="DK265" i="46"/>
  <c r="CD265" i="46"/>
  <c r="EO265" i="46"/>
  <c r="FD265" i="46"/>
  <c r="FJ265" i="46"/>
  <c r="S265" i="46"/>
  <c r="AP35" i="51"/>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DH2" i="46"/>
  <c r="BF263" i="46" l="1"/>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F37" i="50"/>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G4" i="50"/>
  <c r="F50" i="50"/>
  <c r="AK50" i="50" s="1"/>
  <c r="G45" i="50"/>
  <c r="E12" i="50"/>
  <c r="E4" i="50"/>
  <c r="G18" i="50"/>
  <c r="G29" i="50"/>
  <c r="F46" i="50"/>
  <c r="AA46" i="50" s="1"/>
  <c r="F44" i="50"/>
  <c r="AM44" i="50" s="1"/>
  <c r="G44" i="50"/>
  <c r="G19" i="50"/>
  <c r="F49" i="50"/>
  <c r="F39" i="50"/>
  <c r="G32" i="50"/>
  <c r="E26" i="50"/>
  <c r="F4" i="50"/>
  <c r="W4" i="50" s="1"/>
  <c r="F12" i="50"/>
  <c r="AD12" i="50" s="1"/>
  <c r="F19" i="50"/>
  <c r="AB19" i="50" s="1"/>
  <c r="G48" i="50"/>
  <c r="E39" i="50"/>
  <c r="G11" i="50"/>
  <c r="G21" i="50"/>
  <c r="G30" i="50"/>
  <c r="F14" i="50"/>
  <c r="S14" i="50" s="1"/>
  <c r="E9" i="50"/>
  <c r="F32" i="50"/>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E50" i="50"/>
  <c r="G5" i="50"/>
  <c r="G17" i="50"/>
  <c r="F43" i="50"/>
  <c r="S43" i="50" s="1"/>
  <c r="G23" i="50"/>
  <c r="G27" i="50"/>
  <c r="E27" i="50"/>
  <c r="F52" i="50"/>
  <c r="AH52" i="50" s="1"/>
  <c r="E47" i="50"/>
  <c r="F29" i="50"/>
  <c r="AG29" i="50" s="1"/>
  <c r="E5" i="50"/>
  <c r="F40" i="50"/>
  <c r="AG40" i="50" s="1"/>
  <c r="F35" i="50"/>
  <c r="H35" i="50" s="1"/>
  <c r="G14" i="50"/>
  <c r="F16" i="50"/>
  <c r="E49" i="50"/>
  <c r="E25" i="50"/>
  <c r="E15" i="50"/>
  <c r="F13" i="50"/>
  <c r="J13" i="50" s="1"/>
  <c r="E22" i="50"/>
  <c r="G12" i="50"/>
  <c r="F24" i="50"/>
  <c r="AI24" i="50" s="1"/>
  <c r="G10" i="50"/>
  <c r="E45" i="50"/>
  <c r="E29" i="50"/>
  <c r="F26" i="50"/>
  <c r="Z26" i="50" s="1"/>
  <c r="F34" i="50"/>
  <c r="Y34" i="50" s="1"/>
  <c r="E48" i="50"/>
  <c r="F17" i="50"/>
  <c r="E30" i="50"/>
  <c r="E34" i="50"/>
  <c r="F25" i="50"/>
  <c r="AK25" i="50" s="1"/>
  <c r="E10" i="50"/>
  <c r="E36" i="50"/>
  <c r="G46" i="50"/>
  <c r="E36" i="51"/>
  <c r="E35" i="51"/>
  <c r="E37" i="51"/>
  <c r="Z33" i="51" a="1"/>
  <c r="Z33" i="51" s="1"/>
  <c r="H8" i="51" a="1"/>
  <c r="AC14" i="50"/>
  <c r="R41" i="50"/>
  <c r="AG41" i="50"/>
  <c r="I28" i="50"/>
  <c r="K28" i="50"/>
  <c r="J28" i="50"/>
  <c r="H28" i="50"/>
  <c r="AJ28" i="50"/>
  <c r="R28" i="50"/>
  <c r="P28" i="50"/>
  <c r="U28" i="50"/>
  <c r="X28" i="50"/>
  <c r="AF28" i="50"/>
  <c r="AB28" i="50"/>
  <c r="W28" i="50"/>
  <c r="AA28" i="50"/>
  <c r="AM28" i="50"/>
  <c r="O28" i="50"/>
  <c r="AH28" i="50"/>
  <c r="AI28" i="50"/>
  <c r="M28" i="50"/>
  <c r="AD28" i="50"/>
  <c r="AE28" i="50"/>
  <c r="Y28" i="50"/>
  <c r="S28" i="50"/>
  <c r="Q28" i="50"/>
  <c r="Z28" i="50"/>
  <c r="N28" i="50"/>
  <c r="AC28" i="50"/>
  <c r="I18" i="50"/>
  <c r="J18" i="50"/>
  <c r="K18" i="50"/>
  <c r="H18" i="50"/>
  <c r="Y18" i="50"/>
  <c r="Z18" i="50"/>
  <c r="AK18" i="50"/>
  <c r="AE18" i="50"/>
  <c r="L18" i="50"/>
  <c r="S18" i="50"/>
  <c r="N18" i="50"/>
  <c r="O18" i="50"/>
  <c r="X18" i="50"/>
  <c r="AL18" i="50"/>
  <c r="AD18" i="50"/>
  <c r="V18" i="50"/>
  <c r="W18" i="50"/>
  <c r="AC18" i="50"/>
  <c r="AG18" i="50"/>
  <c r="AH18" i="50"/>
  <c r="AM18" i="50"/>
  <c r="M18" i="50"/>
  <c r="AA18" i="50"/>
  <c r="AI18" i="50"/>
  <c r="T18" i="50"/>
  <c r="AF18" i="50"/>
  <c r="U18" i="50"/>
  <c r="AJ18" i="50"/>
  <c r="Q18" i="50"/>
  <c r="P18" i="50"/>
  <c r="AB18" i="50"/>
  <c r="R18" i="50"/>
  <c r="M50" i="50"/>
  <c r="S50" i="50"/>
  <c r="AL50" i="50"/>
  <c r="AB50" i="50"/>
  <c r="AH50" i="50"/>
  <c r="X50" i="50"/>
  <c r="K32" i="50"/>
  <c r="J32" i="50"/>
  <c r="I32" i="50"/>
  <c r="H32" i="50"/>
  <c r="Z32" i="50"/>
  <c r="AJ32" i="50"/>
  <c r="T32" i="50"/>
  <c r="S32" i="50"/>
  <c r="AE32" i="50"/>
  <c r="AC32" i="50"/>
  <c r="U32" i="50"/>
  <c r="AI32" i="50"/>
  <c r="V32" i="50"/>
  <c r="X32" i="50"/>
  <c r="AF32" i="50"/>
  <c r="L32" i="50"/>
  <c r="Q32" i="50"/>
  <c r="N32" i="50"/>
  <c r="AL32" i="50"/>
  <c r="W32" i="50"/>
  <c r="AG32" i="50"/>
  <c r="AD32" i="50"/>
  <c r="AK32" i="50"/>
  <c r="M32" i="50"/>
  <c r="Y32" i="50"/>
  <c r="AB32" i="50"/>
  <c r="AM32" i="50"/>
  <c r="P32" i="50"/>
  <c r="R32" i="50"/>
  <c r="O32" i="50"/>
  <c r="AA32" i="50"/>
  <c r="AH32" i="50"/>
  <c r="J38" i="50"/>
  <c r="I38" i="50"/>
  <c r="K38" i="50"/>
  <c r="H38" i="50"/>
  <c r="P38" i="50"/>
  <c r="Y38" i="50"/>
  <c r="O38" i="50"/>
  <c r="U38" i="50"/>
  <c r="AF38" i="50"/>
  <c r="AC38" i="50"/>
  <c r="V38" i="50"/>
  <c r="S38" i="50"/>
  <c r="AE38" i="50"/>
  <c r="L38" i="50"/>
  <c r="AB38" i="50"/>
  <c r="Z38" i="50"/>
  <c r="M38" i="50"/>
  <c r="N38" i="50"/>
  <c r="R38" i="50"/>
  <c r="AD38" i="50"/>
  <c r="X38" i="50"/>
  <c r="Q38" i="50"/>
  <c r="AK38" i="50"/>
  <c r="T38" i="50"/>
  <c r="AM38" i="50"/>
  <c r="AG38" i="50"/>
  <c r="AA38" i="50"/>
  <c r="AJ38" i="50"/>
  <c r="AH38" i="50"/>
  <c r="AI38" i="50"/>
  <c r="AL38" i="50"/>
  <c r="W38" i="50"/>
  <c r="N20" i="50"/>
  <c r="AC20" i="50"/>
  <c r="Y20" i="50"/>
  <c r="L20" i="50"/>
  <c r="T20" i="50"/>
  <c r="S20" i="50"/>
  <c r="J49" i="50"/>
  <c r="K49" i="50"/>
  <c r="I49" i="50"/>
  <c r="H49" i="50"/>
  <c r="AE49" i="50"/>
  <c r="AG49" i="50"/>
  <c r="Y49" i="50"/>
  <c r="R49" i="50"/>
  <c r="AI49" i="50"/>
  <c r="T49" i="50"/>
  <c r="AK49" i="50"/>
  <c r="AA49" i="50"/>
  <c r="U49" i="50"/>
  <c r="AF49" i="50"/>
  <c r="Q49" i="50"/>
  <c r="AD49" i="50"/>
  <c r="AM49" i="50"/>
  <c r="Z49" i="50"/>
  <c r="AL49" i="50"/>
  <c r="L49" i="50"/>
  <c r="P49" i="50"/>
  <c r="AH49" i="50"/>
  <c r="M49" i="50"/>
  <c r="W49" i="50"/>
  <c r="O49" i="50"/>
  <c r="AB49" i="50"/>
  <c r="S49" i="50"/>
  <c r="AC49" i="50"/>
  <c r="AJ49" i="50"/>
  <c r="X49" i="50"/>
  <c r="N49" i="50"/>
  <c r="V49" i="50"/>
  <c r="K4" i="50"/>
  <c r="J4" i="50"/>
  <c r="I4" i="50"/>
  <c r="AM4" i="50"/>
  <c r="AJ4" i="50"/>
  <c r="T4" i="50"/>
  <c r="Z4" i="50"/>
  <c r="AL4" i="50"/>
  <c r="AG4" i="50"/>
  <c r="J36" i="50"/>
  <c r="I36" i="50"/>
  <c r="K36" i="50"/>
  <c r="H36" i="50"/>
  <c r="P36" i="50"/>
  <c r="AJ36" i="50"/>
  <c r="U36" i="50"/>
  <c r="AK36" i="50"/>
  <c r="AG36" i="50"/>
  <c r="Q36" i="50"/>
  <c r="AC36" i="50"/>
  <c r="AD36" i="50"/>
  <c r="AA36" i="50"/>
  <c r="AB36" i="50"/>
  <c r="AE36" i="50"/>
  <c r="L36" i="50"/>
  <c r="V36" i="50"/>
  <c r="AH36" i="50"/>
  <c r="Z36" i="50"/>
  <c r="AI36" i="50"/>
  <c r="S36" i="50"/>
  <c r="AM36" i="50"/>
  <c r="O36" i="50"/>
  <c r="R36" i="50"/>
  <c r="X36" i="50"/>
  <c r="M36" i="50"/>
  <c r="T36" i="50"/>
  <c r="AF36" i="50"/>
  <c r="Y36" i="50"/>
  <c r="W36" i="50"/>
  <c r="N36" i="50"/>
  <c r="AL36" i="50"/>
  <c r="I43" i="50"/>
  <c r="H43" i="50"/>
  <c r="AH43" i="50"/>
  <c r="AA43" i="50"/>
  <c r="AG43" i="50"/>
  <c r="AI43" i="50"/>
  <c r="AM43" i="50"/>
  <c r="AB43" i="50"/>
  <c r="I39" i="50"/>
  <c r="J39" i="50"/>
  <c r="K39" i="50"/>
  <c r="H39" i="50"/>
  <c r="AL39" i="50"/>
  <c r="R39" i="50"/>
  <c r="AK39" i="50"/>
  <c r="AM39" i="50"/>
  <c r="Q39" i="50"/>
  <c r="U39" i="50"/>
  <c r="AI39" i="50"/>
  <c r="X39" i="50"/>
  <c r="V39" i="50"/>
  <c r="AF39" i="50"/>
  <c r="N39" i="50"/>
  <c r="T39" i="50"/>
  <c r="AA39" i="50"/>
  <c r="AG39" i="50"/>
  <c r="P39" i="50"/>
  <c r="AJ39" i="50"/>
  <c r="W39" i="50"/>
  <c r="AB39" i="50"/>
  <c r="AE39" i="50"/>
  <c r="S39" i="50"/>
  <c r="AD39" i="50"/>
  <c r="AC39" i="50"/>
  <c r="Y39" i="50"/>
  <c r="Z39" i="50"/>
  <c r="O39" i="50"/>
  <c r="L39" i="50"/>
  <c r="M39" i="50"/>
  <c r="AH39" i="50"/>
  <c r="J37" i="50"/>
  <c r="I37" i="50"/>
  <c r="K37" i="50"/>
  <c r="H37" i="50"/>
  <c r="V37" i="50"/>
  <c r="AL37" i="50"/>
  <c r="AB37" i="50"/>
  <c r="Y37" i="50"/>
  <c r="N37" i="50"/>
  <c r="AM37" i="50"/>
  <c r="O37" i="50"/>
  <c r="AD37" i="50"/>
  <c r="W37" i="50"/>
  <c r="P37" i="50"/>
  <c r="AF37" i="50"/>
  <c r="R37" i="50"/>
  <c r="S37" i="50"/>
  <c r="AK37" i="50"/>
  <c r="Z37" i="50"/>
  <c r="AH37" i="50"/>
  <c r="AE37" i="50"/>
  <c r="U37" i="50"/>
  <c r="AC37" i="50"/>
  <c r="AG37" i="50"/>
  <c r="M37" i="50"/>
  <c r="T37" i="50"/>
  <c r="AJ37" i="50"/>
  <c r="X37" i="50"/>
  <c r="Q37" i="50"/>
  <c r="AA37" i="50"/>
  <c r="AI37" i="50"/>
  <c r="L37" i="50"/>
  <c r="I16" i="50"/>
  <c r="J16" i="50"/>
  <c r="K16" i="50"/>
  <c r="H16" i="50"/>
  <c r="M16" i="50"/>
  <c r="Z16" i="50"/>
  <c r="AK16" i="50"/>
  <c r="AB16" i="50"/>
  <c r="V16" i="50"/>
  <c r="AD16" i="50"/>
  <c r="AF16" i="50"/>
  <c r="U16" i="50"/>
  <c r="Y16" i="50"/>
  <c r="AM16" i="50"/>
  <c r="Q16" i="50"/>
  <c r="AE16" i="50"/>
  <c r="AJ16" i="50"/>
  <c r="P16" i="50"/>
  <c r="O16" i="50"/>
  <c r="R16" i="50"/>
  <c r="AC16" i="50"/>
  <c r="AA16" i="50"/>
  <c r="T16" i="50"/>
  <c r="AI16" i="50"/>
  <c r="AH16" i="50"/>
  <c r="W16" i="50"/>
  <c r="N16" i="50"/>
  <c r="S16" i="50"/>
  <c r="AL16" i="50"/>
  <c r="AG16" i="50"/>
  <c r="L16" i="50"/>
  <c r="X16" i="50"/>
  <c r="O13" i="50"/>
  <c r="S13" i="50"/>
  <c r="K17" i="50"/>
  <c r="I17" i="50"/>
  <c r="J17" i="50"/>
  <c r="H17" i="50"/>
  <c r="V17" i="50"/>
  <c r="AA17" i="50"/>
  <c r="Q17" i="50"/>
  <c r="P17" i="50"/>
  <c r="M17" i="50"/>
  <c r="AE17" i="50"/>
  <c r="X17" i="50"/>
  <c r="Z17" i="50"/>
  <c r="AL17" i="50"/>
  <c r="AD17" i="50"/>
  <c r="AG17" i="50"/>
  <c r="AH17" i="50"/>
  <c r="AI17" i="50"/>
  <c r="U17" i="50"/>
  <c r="L17" i="50"/>
  <c r="AJ17" i="50"/>
  <c r="N17" i="50"/>
  <c r="Y17" i="50"/>
  <c r="AM17" i="50"/>
  <c r="T17" i="50"/>
  <c r="W17" i="50"/>
  <c r="AC17" i="50"/>
  <c r="AF17" i="50"/>
  <c r="AK17" i="50"/>
  <c r="AB17" i="50"/>
  <c r="S17" i="50"/>
  <c r="O17" i="50"/>
  <c r="R17" i="50"/>
  <c r="J25" i="50"/>
  <c r="I25" i="50"/>
  <c r="K25" i="50"/>
  <c r="AJ25" i="50"/>
  <c r="N25" i="50"/>
  <c r="AI25" i="50"/>
  <c r="Z25" i="50"/>
  <c r="P25" i="50"/>
  <c r="AA25" i="50"/>
  <c r="J31" i="50"/>
  <c r="K31" i="50"/>
  <c r="I31" i="50"/>
  <c r="H31" i="50"/>
  <c r="AD31" i="50"/>
  <c r="Y31" i="50"/>
  <c r="AI31" i="50"/>
  <c r="AM31" i="50"/>
  <c r="N31" i="50"/>
  <c r="AH31" i="50"/>
  <c r="X31" i="50"/>
  <c r="R31" i="50"/>
  <c r="AJ31" i="50"/>
  <c r="AF31" i="50"/>
  <c r="AB31" i="50"/>
  <c r="AC31" i="50"/>
  <c r="V31" i="50"/>
  <c r="Q31" i="50"/>
  <c r="T31" i="50"/>
  <c r="U31" i="50"/>
  <c r="M31" i="50"/>
  <c r="AA31" i="50"/>
  <c r="AK31" i="50"/>
  <c r="AG31" i="50"/>
  <c r="Z31" i="50"/>
  <c r="AE31" i="50"/>
  <c r="L31" i="50"/>
  <c r="P31" i="50"/>
  <c r="AL31" i="50"/>
  <c r="O31" i="50"/>
  <c r="S31" i="50"/>
  <c r="W31" i="50"/>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M41" i="50" l="1"/>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<sst xmlns="http://schemas.openxmlformats.org/spreadsheetml/2006/main" count="16874" uniqueCount="2800">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</sst>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17"/>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18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46204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82" zoomScaleNormal="100" workbookViewId="0">
      <selection activeCell="AD108" sqref="AD108"/>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798"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798"/>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798"/>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798"/>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798"/>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799"/>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00"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00"/>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00"/>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00"/>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00"/>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01"/>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09"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09"/>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09"/>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09"/>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09"/>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10"/>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11"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11"/>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11"/>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11"/>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11"/>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12"/>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13"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13"/>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13"/>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13"/>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13"/>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14"/>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21"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1"/>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21"/>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21"/>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21"/>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22"/>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41"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41"/>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41"/>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41"/>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41"/>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42"/>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23"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23"/>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23"/>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23"/>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23"/>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24"/>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29"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29"/>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29"/>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29"/>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29"/>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30"/>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25"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25"/>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25"/>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25"/>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25"/>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26"/>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31"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1"/>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31"/>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31"/>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31"/>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32"/>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27"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27"/>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27"/>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27"/>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27"/>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28"/>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33"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33"/>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33"/>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33"/>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33"/>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33"/>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33"/>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si="302"/>
        <v>W80</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33"/>
      <c r="X108" s="189">
        <f ca="1">Horarios!C108</f>
        <v>46204.75</v>
      </c>
      <c r="Y108" s="190">
        <f ca="1">Horarios!C108</f>
        <v>46204.75</v>
      </c>
      <c r="Z108" s="276">
        <f t="shared" si="309"/>
        <v>80</v>
      </c>
      <c r="AA108" s="277" t="str">
        <f t="shared" ca="1" si="305"/>
        <v>Inglaterra</v>
      </c>
      <c r="AB108" s="278"/>
      <c r="AC108" s="281"/>
      <c r="AD108" s="281"/>
      <c r="AE108" s="278"/>
      <c r="AF108" s="280" t="str">
        <f t="shared" ca="1" si="306"/>
        <v>RD Congo</v>
      </c>
      <c r="AG108" s="417">
        <f t="shared" si="307"/>
        <v>0</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si="302"/>
        <v>W82</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33"/>
      <c r="X109" s="189">
        <f ca="1">Horarios!C109</f>
        <v>46204.916666666664</v>
      </c>
      <c r="Y109" s="190">
        <f ca="1">Horarios!C109</f>
        <v>46204.916666666664</v>
      </c>
      <c r="Z109" s="276">
        <f t="shared" si="309"/>
        <v>82</v>
      </c>
      <c r="AA109" s="277" t="str">
        <f t="shared" ca="1" si="305"/>
        <v>Bélgica</v>
      </c>
      <c r="AB109" s="278"/>
      <c r="AC109" s="281"/>
      <c r="AD109" s="281"/>
      <c r="AE109" s="278"/>
      <c r="AF109" s="280" t="str">
        <f t="shared" ca="1" si="306"/>
        <v>Senegal</v>
      </c>
      <c r="AG109" s="417">
        <f t="shared" si="307"/>
        <v>0</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si="302"/>
        <v>W81</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33"/>
      <c r="X110" s="189">
        <f ca="1">Horarios!C110</f>
        <v>46205.083333333336</v>
      </c>
      <c r="Y110" s="190">
        <f ca="1">Horarios!C110</f>
        <v>46205.083333333336</v>
      </c>
      <c r="Z110" s="276">
        <f t="shared" si="309"/>
        <v>81</v>
      </c>
      <c r="AA110" s="277" t="str">
        <f t="shared" ca="1" si="305"/>
        <v>Estados Unidos</v>
      </c>
      <c r="AB110" s="278"/>
      <c r="AC110" s="281"/>
      <c r="AD110" s="281"/>
      <c r="AE110" s="278"/>
      <c r="AF110" s="280" t="str">
        <f t="shared" ca="1" si="306"/>
        <v>Bosnia y Herzegovina</v>
      </c>
      <c r="AG110" s="417">
        <f t="shared" si="307"/>
        <v>0</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si="302"/>
        <v>W84</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33"/>
      <c r="X111" s="189">
        <f ca="1">Horarios!C111</f>
        <v>46205.875</v>
      </c>
      <c r="Y111" s="190">
        <f ca="1">Horarios!C111</f>
        <v>46205.875</v>
      </c>
      <c r="Z111" s="276">
        <f t="shared" si="309"/>
        <v>84</v>
      </c>
      <c r="AA111" s="277" t="str">
        <f t="shared" ca="1" si="305"/>
        <v>España</v>
      </c>
      <c r="AB111" s="278"/>
      <c r="AC111" s="281"/>
      <c r="AD111" s="281"/>
      <c r="AE111" s="278"/>
      <c r="AF111" s="280" t="str">
        <f t="shared" ca="1" si="306"/>
        <v>Austria</v>
      </c>
      <c r="AG111" s="417">
        <f t="shared" si="307"/>
        <v>0</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si="302"/>
        <v>W83</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33"/>
      <c r="X112" s="189">
        <f ca="1">Horarios!C112</f>
        <v>46206.041666666664</v>
      </c>
      <c r="Y112" s="190">
        <f ca="1">Horarios!C112</f>
        <v>46206.041666666664</v>
      </c>
      <c r="Z112" s="276">
        <f t="shared" si="309"/>
        <v>83</v>
      </c>
      <c r="AA112" s="277" t="str">
        <f t="shared" ca="1" si="305"/>
        <v>Portugal</v>
      </c>
      <c r="AB112" s="278"/>
      <c r="AC112" s="281"/>
      <c r="AD112" s="281"/>
      <c r="AE112" s="278"/>
      <c r="AF112" s="280" t="str">
        <f t="shared" ca="1" si="306"/>
        <v>Croacia</v>
      </c>
      <c r="AG112" s="417">
        <f t="shared" si="307"/>
        <v>0</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si="302"/>
        <v>W85</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33"/>
      <c r="X113" s="189">
        <f ca="1">Horarios!C113</f>
        <v>46206.208333333336</v>
      </c>
      <c r="Y113" s="190">
        <f ca="1">Horarios!C113</f>
        <v>46206.208333333336</v>
      </c>
      <c r="Z113" s="276">
        <f t="shared" si="309"/>
        <v>85</v>
      </c>
      <c r="AA113" s="277" t="str">
        <f t="shared" ca="1" si="305"/>
        <v>Suiza</v>
      </c>
      <c r="AB113" s="278"/>
      <c r="AC113" s="281"/>
      <c r="AD113" s="281"/>
      <c r="AE113" s="279"/>
      <c r="AF113" s="280" t="str">
        <f t="shared" ca="1" si="306"/>
        <v>Argelia</v>
      </c>
      <c r="AG113" s="417">
        <f t="shared" si="307"/>
        <v>0</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33"/>
      <c r="X114" s="189">
        <f ca="1">Horarios!C114</f>
        <v>46206.833333333336</v>
      </c>
      <c r="Y114" s="190">
        <f ca="1">Horarios!C114</f>
        <v>46206.833333333336</v>
      </c>
      <c r="Z114" s="276">
        <f t="shared" si="309"/>
        <v>88</v>
      </c>
      <c r="AA114" s="277" t="str">
        <f t="shared" ca="1" si="305"/>
        <v>Australia</v>
      </c>
      <c r="AB114" s="278"/>
      <c r="AC114" s="281"/>
      <c r="AD114" s="281"/>
      <c r="AE114" s="278"/>
      <c r="AF114" s="280" t="str">
        <f t="shared" ca="1" si="306"/>
        <v>Egipto</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33"/>
      <c r="X115" s="189">
        <f ca="1">Horarios!C115</f>
        <v>46207</v>
      </c>
      <c r="Y115" s="190">
        <f ca="1">Horarios!C115</f>
        <v>46207</v>
      </c>
      <c r="Z115" s="276">
        <f t="shared" si="309"/>
        <v>86</v>
      </c>
      <c r="AA115" s="277" t="str">
        <f t="shared" ca="1" si="305"/>
        <v>Argentina</v>
      </c>
      <c r="AB115" s="278"/>
      <c r="AC115" s="281"/>
      <c r="AD115" s="281"/>
      <c r="AE115" s="278"/>
      <c r="AF115" s="280" t="str">
        <f t="shared" ca="1" si="306"/>
        <v>Cabo Verde</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34"/>
      <c r="X116" s="228">
        <f ca="1">Horarios!C116</f>
        <v>46207.145833333336</v>
      </c>
      <c r="Y116" s="229">
        <f ca="1">Horarios!C116</f>
        <v>46207.145833333336</v>
      </c>
      <c r="Z116" s="299">
        <f t="shared" si="309"/>
        <v>87</v>
      </c>
      <c r="AA116" s="300" t="str">
        <f t="shared" ca="1" si="305"/>
        <v>Colombia</v>
      </c>
      <c r="AB116" s="301"/>
      <c r="AC116" s="302"/>
      <c r="AD116" s="302"/>
      <c r="AE116" s="301"/>
      <c r="AF116" s="303" t="str">
        <f t="shared" ca="1" si="306"/>
        <v>Ghana</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35"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c r="AD120" s="305"/>
      <c r="AE120" s="278"/>
      <c r="AF120" s="280" t="str">
        <f t="shared" ref="AF120:AF127" ca="1" si="333">+INDEX($N$101:$N$147,MATCH(AH120,$J$101:$J$147,0))</f>
        <v>Marruecos</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35"/>
      <c r="X121" s="189">
        <f ca="1">Horarios!C121</f>
        <v>46207.958333333336</v>
      </c>
      <c r="Y121" s="190">
        <f ca="1">Horarios!C121</f>
        <v>46207.958333333336</v>
      </c>
      <c r="Z121" s="276">
        <f t="shared" si="331"/>
        <v>89</v>
      </c>
      <c r="AA121" s="277" t="str">
        <f t="shared" ca="1" si="332"/>
        <v>Paraguay</v>
      </c>
      <c r="AB121" s="278"/>
      <c r="AC121" s="307"/>
      <c r="AD121" s="307"/>
      <c r="AE121" s="278"/>
      <c r="AF121" s="280" t="str">
        <f t="shared" ca="1" si="333"/>
        <v>Francia</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35"/>
      <c r="X122" s="189">
        <f ca="1">Horarios!C122</f>
        <v>46208.916666666664</v>
      </c>
      <c r="Y122" s="190">
        <f ca="1">Horarios!C122</f>
        <v>46208.916666666664</v>
      </c>
      <c r="Z122" s="276">
        <f t="shared" si="331"/>
        <v>91</v>
      </c>
      <c r="AA122" s="277" t="str">
        <f t="shared" ca="1" si="332"/>
        <v>Brasil</v>
      </c>
      <c r="AB122" s="278"/>
      <c r="AC122" s="307"/>
      <c r="AD122" s="307"/>
      <c r="AE122" s="278"/>
      <c r="AF122" s="280" t="str">
        <f t="shared" ca="1" si="333"/>
        <v>Noruega</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ca="1" si="330"/>
        <v>México</v>
      </c>
      <c r="N123" s="744" t="str">
        <f t="shared" si="330"/>
        <v>W80</v>
      </c>
      <c r="O123" s="744"/>
      <c r="P123" s="744"/>
      <c r="Q123" s="744"/>
      <c r="R123" s="744"/>
      <c r="S123" s="744"/>
      <c r="T123" s="744"/>
      <c r="U123" s="744"/>
      <c r="V123" s="172"/>
      <c r="W123" s="835"/>
      <c r="X123" s="189">
        <f ca="1">Horarios!C123</f>
        <v>46209.083333333336</v>
      </c>
      <c r="Y123" s="190">
        <f ca="1">Horarios!C123</f>
        <v>46209.083333333336</v>
      </c>
      <c r="Z123" s="276">
        <f t="shared" si="331"/>
        <v>92</v>
      </c>
      <c r="AA123" s="277" t="str">
        <f t="shared" ca="1" si="332"/>
        <v>México</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México-W80</v>
      </c>
      <c r="DU123" s="744"/>
      <c r="DV123" s="744"/>
      <c r="DW123" s="8"/>
    </row>
    <row r="124" spans="1:127" ht="16.2"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35"/>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2"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35"/>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2"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35"/>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2"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36"/>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37"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2"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37"/>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2"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37"/>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2"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3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3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 ca="1">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 ca="1">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E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24</v>
      </c>
      <c r="T1" s="87"/>
      <c r="U1" s="65"/>
      <c r="V1" s="87">
        <f ca="1">+IFERROR(RANK(V2,OFFSET($S$2,0,0,1,$D$5*3),0),"-")</f>
        <v>31</v>
      </c>
      <c r="W1" s="87"/>
      <c r="X1" s="65"/>
      <c r="Y1" s="87">
        <f ca="1">+IFERROR(RANK(Y2,OFFSET($S$2,0,0,1,$D$5*3),0),"-")</f>
        <v>13</v>
      </c>
      <c r="Z1" s="87"/>
      <c r="AA1" s="65"/>
      <c r="AB1" s="87">
        <f ca="1">+IFERROR(RANK(AB2,OFFSET($S$2,0,0,1,$D$5*3),0),"-")</f>
        <v>8</v>
      </c>
      <c r="AC1" s="87"/>
      <c r="AD1" s="65"/>
      <c r="AE1" s="87">
        <f ca="1">+IFERROR(RANK(AE2,OFFSET($S$2,0,0,1,$D$5*3),0),"-")</f>
        <v>11</v>
      </c>
      <c r="AF1" s="87"/>
      <c r="AG1" s="65"/>
      <c r="AH1" s="87">
        <f ca="1">+IFERROR(RANK(AH2,OFFSET($S$2,0,0,1,$D$5*3),0),"-")</f>
        <v>26</v>
      </c>
      <c r="AI1" s="87"/>
      <c r="AJ1" s="65"/>
      <c r="AK1" s="87">
        <f ca="1">+IFERROR(RANK(AK2,OFFSET($S$2,0,0,1,$D$5*3),0),"-")</f>
        <v>30</v>
      </c>
      <c r="AL1" s="87"/>
      <c r="AM1" s="65"/>
      <c r="AN1" s="87">
        <f ca="1">+IFERROR(RANK(AN2,OFFSET($S$2,0,0,1,$D$5*3),0),"-")</f>
        <v>9</v>
      </c>
      <c r="AO1" s="87"/>
      <c r="AP1" s="65"/>
      <c r="AQ1" s="87">
        <f ca="1">+IFERROR(RANK(AQ2,OFFSET($S$2,0,0,1,$D$5*3),0),"-")</f>
        <v>1</v>
      </c>
      <c r="AR1" s="87"/>
      <c r="AS1" s="65"/>
      <c r="AT1" s="87">
        <f ca="1">+IFERROR(RANK(AT2,OFFSET($S$2,0,0,1,$D$5*3),0),"-")</f>
        <v>29</v>
      </c>
      <c r="AU1" s="87"/>
      <c r="AV1" s="65"/>
      <c r="AW1" s="87">
        <f ca="1">+IFERROR(RANK(AW2,OFFSET($S$2,0,0,1,$D$5*3),0),"-")</f>
        <v>27</v>
      </c>
      <c r="AX1" s="87"/>
      <c r="AY1" s="65"/>
      <c r="AZ1" s="87">
        <f ca="1">+IFERROR(RANK(AZ2,OFFSET($S$2,0,0,1,$D$5*3),0),"-")</f>
        <v>21</v>
      </c>
      <c r="BA1" s="87"/>
      <c r="BB1" s="65"/>
      <c r="BC1" s="87">
        <f ca="1">+IFERROR(RANK(BC2,OFFSET($S$2,0,0,1,$D$5*3),0),"-")</f>
        <v>22</v>
      </c>
      <c r="BD1" s="87"/>
      <c r="BE1" s="65"/>
      <c r="BF1" s="87">
        <f ca="1">+IFERROR(RANK(BF2,OFFSET($S$2,0,0,1,$D$5*3),0),"-")</f>
        <v>16</v>
      </c>
      <c r="BG1" s="87"/>
      <c r="BH1" s="65"/>
      <c r="BI1" s="87">
        <f ca="1">+IFERROR(RANK(BI2,OFFSET($S$2,0,0,1,$D$5*3),0),"-")</f>
        <v>14</v>
      </c>
      <c r="BJ1" s="87"/>
      <c r="BK1" s="65"/>
      <c r="BL1" s="87">
        <f ca="1">+IFERROR(RANK(BL2,OFFSET($S$2,0,0,1,$D$5*3),0),"-")</f>
        <v>2</v>
      </c>
      <c r="BM1" s="87"/>
      <c r="BN1" s="65"/>
      <c r="BO1" s="87">
        <f ca="1">+IFERROR(RANK(BO2,OFFSET($S$2,0,0,1,$D$5*3),0),"-")</f>
        <v>23</v>
      </c>
      <c r="BP1" s="87"/>
      <c r="BQ1" s="65"/>
      <c r="BR1" s="87">
        <f ca="1">+IFERROR(RANK(BR2,OFFSET($S$2,0,0,1,$D$5*3),0),"-")</f>
        <v>10</v>
      </c>
      <c r="BS1" s="87"/>
      <c r="BT1" s="65"/>
      <c r="BU1" s="87">
        <f ca="1">+IFERROR(RANK(BU2,OFFSET($S$2,0,0,1,$D$5*3),0),"-")</f>
        <v>39</v>
      </c>
      <c r="BV1" s="87"/>
      <c r="BW1" s="65"/>
      <c r="BX1" s="87">
        <f ca="1">+IFERROR(RANK(BX2,OFFSET($S$2,0,0,1,$D$5*3),0),"-")</f>
        <v>17</v>
      </c>
      <c r="BY1" s="87"/>
      <c r="BZ1" s="65"/>
      <c r="CA1" s="87">
        <f ca="1">+IFERROR(RANK(CA2,OFFSET($S$2,0,0,1,$D$5*3),0),"-")</f>
        <v>34</v>
      </c>
      <c r="CB1" s="87"/>
      <c r="CC1" s="65"/>
      <c r="CD1" s="87">
        <f ca="1">+IFERROR(RANK(CD2,OFFSET($S$2,0,0,1,$D$5*3),0),"-")</f>
        <v>32</v>
      </c>
      <c r="CE1" s="87"/>
      <c r="CF1" s="65"/>
      <c r="CG1" s="87">
        <f ca="1">+IFERROR(RANK(CG2,OFFSET($S$2,0,0,1,$D$5*3),0),"-")</f>
        <v>28</v>
      </c>
      <c r="CH1" s="87"/>
      <c r="CI1" s="65"/>
      <c r="CJ1" s="87">
        <f ca="1">+IFERROR(RANK(CJ2,OFFSET($S$2,0,0,1,$D$5*3),0),"-")</f>
        <v>15</v>
      </c>
      <c r="CK1" s="87"/>
      <c r="CL1" s="65"/>
      <c r="CM1" s="87">
        <f ca="1">+IFERROR(RANK(CM2,OFFSET($S$2,0,0,1,$D$5*3),0),"-")</f>
        <v>38</v>
      </c>
      <c r="CN1" s="87"/>
      <c r="CO1" s="65"/>
      <c r="CP1" s="87">
        <f ca="1">+IFERROR(RANK(CP2,OFFSET($S$2,0,0,1,$D$5*3),0),"-")</f>
        <v>7</v>
      </c>
      <c r="CQ1" s="87"/>
      <c r="CR1" s="65"/>
      <c r="CS1" s="87">
        <f ca="1">+IFERROR(RANK(CS2,OFFSET($S$2,0,0,1,$D$5*3),0),"-")</f>
        <v>5</v>
      </c>
      <c r="CT1" s="87"/>
      <c r="CU1" s="65"/>
      <c r="CV1" s="87">
        <f ca="1">+IFERROR(RANK(CV2,OFFSET($S$2,0,0,1,$D$5*3),0),"-")</f>
        <v>6</v>
      </c>
      <c r="CW1" s="87"/>
      <c r="CX1" s="65"/>
      <c r="CY1" s="87">
        <f ca="1">+IFERROR(RANK(CY2,OFFSET($S$2,0,0,1,$D$5*3),0),"-")</f>
        <v>40</v>
      </c>
      <c r="CZ1" s="87"/>
      <c r="DA1" s="65"/>
      <c r="DB1" s="87">
        <f ca="1">+IFERROR(RANK(DB2,OFFSET($S$2,0,0,1,$D$5*3),0),"-")</f>
        <v>3</v>
      </c>
      <c r="DC1" s="87"/>
      <c r="DD1" s="65"/>
      <c r="DE1" s="87">
        <f ca="1">+IFERROR(RANK(DE2,OFFSET($S$2,0,0,1,$D$5*3),0),"-")</f>
        <v>20</v>
      </c>
      <c r="DF1" s="87"/>
      <c r="DG1" s="65"/>
      <c r="DH1" s="87">
        <f ca="1">+IFERROR(RANK(DH2,OFFSET($S$2,0,0,1,$D$5*3),0),"-")</f>
        <v>18</v>
      </c>
      <c r="DI1" s="87"/>
      <c r="DJ1" s="65"/>
      <c r="DK1" s="87">
        <f ca="1">+IFERROR(RANK(DK2,OFFSET($S$2,0,0,1,$D$5*3),0),"-")</f>
        <v>33</v>
      </c>
      <c r="DL1" s="87"/>
      <c r="DM1" s="65"/>
      <c r="DN1" s="87">
        <f ca="1">+IFERROR(RANK(DN2,OFFSET($S$2,0,0,1,$D$5*3),0),"-")</f>
        <v>19</v>
      </c>
      <c r="DO1" s="87"/>
      <c r="DP1" s="65"/>
      <c r="DQ1" s="87">
        <f ca="1">+IFERROR(RANK(DQ2,OFFSET($S$2,0,0,1,$D$5*3),0),"-")</f>
        <v>41</v>
      </c>
      <c r="DR1" s="87"/>
      <c r="DS1" s="65"/>
      <c r="DT1" s="87">
        <f ca="1">+IFERROR(RANK(DT2,OFFSET($S$2,0,0,1,$D$5*3),0),"-")</f>
        <v>35</v>
      </c>
      <c r="DU1" s="87"/>
      <c r="DV1" s="65"/>
      <c r="DW1" s="87">
        <f ca="1">+IFERROR(RANK(DW2,OFFSET($S$2,0,0,1,$D$5*3),0),"-")</f>
        <v>4</v>
      </c>
      <c r="DX1" s="87"/>
      <c r="DY1" s="65"/>
      <c r="DZ1" s="87">
        <f ca="1">+IFERROR(RANK(DZ2,OFFSET($S$2,0,0,1,$D$5*3),0),"-")</f>
        <v>25</v>
      </c>
      <c r="EA1" s="87"/>
      <c r="EB1" s="65"/>
      <c r="EC1" s="87">
        <f ca="1">+IFERROR(RANK(EC2,OFFSET($S$2,0,0,1,$D$5*3),0),"-")</f>
        <v>37</v>
      </c>
      <c r="ED1" s="87"/>
      <c r="EE1" s="65"/>
      <c r="EF1" s="87">
        <f ca="1">+IFERROR(RANK(EF2,OFFSET($S$2,0,0,1,$D$5*3),0),"-")</f>
        <v>36</v>
      </c>
      <c r="EG1" s="87"/>
      <c r="EH1" s="65"/>
      <c r="EI1" s="87">
        <f ca="1">+IFERROR(RANK(EI2,OFFSET($S$2,0,0,1,$D$5*3),0),"-")</f>
        <v>12</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223.99809999999999</v>
      </c>
      <c r="T2" s="87"/>
      <c r="U2" s="65"/>
      <c r="V2" s="87">
        <f t="shared" ref="V2" ca="1" si="0">V4-(COLUMN()/10000)</f>
        <v>217.99780000000001</v>
      </c>
      <c r="W2" s="87"/>
      <c r="X2" s="65"/>
      <c r="Y2" s="87">
        <f t="shared" ref="Y2" ca="1" si="1">Y4-(COLUMN()/10000)</f>
        <v>234.9975</v>
      </c>
      <c r="Z2" s="87"/>
      <c r="AA2" s="65"/>
      <c r="AB2" s="87">
        <f t="shared" ref="AB2" ca="1" si="2">AB4-(COLUMN()/10000)</f>
        <v>241.99719999999999</v>
      </c>
      <c r="AC2" s="87"/>
      <c r="AD2" s="65"/>
      <c r="AE2" s="87">
        <f t="shared" ref="AE2" ca="1" si="3">AE4-(COLUMN()/10000)</f>
        <v>237.99690000000001</v>
      </c>
      <c r="AF2" s="87"/>
      <c r="AG2" s="65"/>
      <c r="AH2" s="87">
        <f t="shared" ref="AH2" ca="1" si="4">AH4-(COLUMN()/10000)</f>
        <v>221.9966</v>
      </c>
      <c r="AI2" s="87"/>
      <c r="AJ2" s="65"/>
      <c r="AK2" s="87">
        <f t="shared" ref="AK2" ca="1" si="5">AK4-(COLUMN()/10000)</f>
        <v>218.99629999999999</v>
      </c>
      <c r="AL2" s="87"/>
      <c r="AM2" s="65"/>
      <c r="AN2" s="87">
        <f t="shared" ref="AN2" ca="1" si="6">AN4-(COLUMN()/10000)</f>
        <v>239.99600000000001</v>
      </c>
      <c r="AO2" s="87"/>
      <c r="AP2" s="65"/>
      <c r="AQ2" s="87">
        <f t="shared" ref="AQ2" ca="1" si="7">AQ4-(COLUMN()/10000)</f>
        <v>265.9957</v>
      </c>
      <c r="AR2" s="87"/>
      <c r="AS2" s="65"/>
      <c r="AT2" s="87">
        <f t="shared" ref="AT2" ca="1" si="8">AT4-(COLUMN()/10000)</f>
        <v>219.99539999999999</v>
      </c>
      <c r="AU2" s="87"/>
      <c r="AV2" s="65"/>
      <c r="AW2" s="87">
        <f t="shared" ref="AW2" ca="1" si="9">AW4-(COLUMN()/10000)</f>
        <v>221.99510000000001</v>
      </c>
      <c r="AX2" s="87"/>
      <c r="AY2" s="65"/>
      <c r="AZ2" s="87">
        <f t="shared" ref="AZ2" ca="1" si="10">AZ4-(COLUMN()/10000)</f>
        <v>226.9948</v>
      </c>
      <c r="BA2" s="87"/>
      <c r="BB2" s="65"/>
      <c r="BC2" s="87">
        <f t="shared" ref="BC2" ca="1" si="11">BC4-(COLUMN()/10000)</f>
        <v>226.99449999999999</v>
      </c>
      <c r="BD2" s="87"/>
      <c r="BE2" s="65"/>
      <c r="BF2" s="87">
        <f t="shared" ref="BF2" ca="1" si="12">BF4-(COLUMN()/10000)</f>
        <v>233.99420000000001</v>
      </c>
      <c r="BG2" s="87"/>
      <c r="BH2" s="65"/>
      <c r="BI2" s="87">
        <f t="shared" ref="BI2" ca="1" si="13">BI4-(COLUMN()/10000)</f>
        <v>234.9939</v>
      </c>
      <c r="BJ2" s="87"/>
      <c r="BK2" s="65"/>
      <c r="BL2" s="87">
        <f t="shared" ref="BL2" ca="1" si="14">BL4-(COLUMN()/10000)</f>
        <v>257.99360000000001</v>
      </c>
      <c r="BM2" s="87"/>
      <c r="BN2" s="65"/>
      <c r="BO2" s="87">
        <f t="shared" ref="BO2" ca="1" si="15">BO4-(COLUMN()/10000)</f>
        <v>226.9933</v>
      </c>
      <c r="BP2" s="87"/>
      <c r="BQ2" s="65"/>
      <c r="BR2" s="87">
        <f t="shared" ref="BR2" ca="1" si="16">BR4-(COLUMN()/10000)</f>
        <v>238.99299999999999</v>
      </c>
      <c r="BS2" s="87"/>
      <c r="BT2" s="65"/>
      <c r="BU2" s="87">
        <f t="shared" ref="BU2" ca="1" si="17">BU4-(COLUMN()/10000)</f>
        <v>212.99270000000001</v>
      </c>
      <c r="BV2" s="87"/>
      <c r="BW2" s="65"/>
      <c r="BX2" s="87">
        <f t="shared" ref="BX2" ca="1" si="18">BX4-(COLUMN()/10000)</f>
        <v>233.9924</v>
      </c>
      <c r="BY2" s="87"/>
      <c r="BZ2" s="65"/>
      <c r="CA2" s="87">
        <f t="shared" ref="CA2" ca="1" si="19">CA4-(COLUMN()/10000)</f>
        <v>215.99209999999999</v>
      </c>
      <c r="CB2" s="87"/>
      <c r="CC2" s="65"/>
      <c r="CD2" s="87">
        <f t="shared" ref="CD2" ca="1" si="20">CD4-(COLUMN()/10000)</f>
        <v>217.99180000000001</v>
      </c>
      <c r="CE2" s="87"/>
      <c r="CF2" s="65"/>
      <c r="CG2" s="87">
        <f t="shared" ref="CG2" ca="1" si="21">CG4-(COLUMN()/10000)</f>
        <v>221.9915</v>
      </c>
      <c r="CH2" s="87"/>
      <c r="CI2" s="65"/>
      <c r="CJ2" s="87">
        <f t="shared" ref="CJ2" ca="1" si="22">CJ4-(COLUMN()/10000)</f>
        <v>234.99119999999999</v>
      </c>
      <c r="CK2" s="87"/>
      <c r="CL2" s="65"/>
      <c r="CM2" s="87">
        <f t="shared" ref="CM2" ca="1" si="23">CM4-(COLUMN()/10000)</f>
        <v>213.99090000000001</v>
      </c>
      <c r="CN2" s="87"/>
      <c r="CO2" s="65"/>
      <c r="CP2" s="87">
        <f t="shared" ref="CP2" ca="1" si="24">CP4-(COLUMN()/10000)</f>
        <v>242.9906</v>
      </c>
      <c r="CQ2" s="87"/>
      <c r="CR2" s="65"/>
      <c r="CS2" s="87">
        <f t="shared" ref="CS2" ca="1" si="25">CS4-(COLUMN()/10000)</f>
        <v>245.99029999999999</v>
      </c>
      <c r="CT2" s="87"/>
      <c r="CU2" s="65"/>
      <c r="CV2" s="87">
        <f t="shared" ref="CV2" ca="1" si="26">CV4-(COLUMN()/10000)</f>
        <v>245.99</v>
      </c>
      <c r="CW2" s="87"/>
      <c r="CX2" s="65"/>
      <c r="CY2" s="87">
        <f t="shared" ref="CY2" ca="1" si="27">CY4-(COLUMN()/10000)</f>
        <v>200.9897</v>
      </c>
      <c r="CZ2" s="87"/>
      <c r="DA2" s="65"/>
      <c r="DB2" s="87">
        <f t="shared" ref="DB2" ca="1" si="28">DB4-(COLUMN()/10000)</f>
        <v>256.98939999999999</v>
      </c>
      <c r="DC2" s="87"/>
      <c r="DD2" s="65"/>
      <c r="DE2" s="87">
        <f t="shared" ref="DE2" ca="1" si="29">DE4-(COLUMN()/10000)</f>
        <v>228.98910000000001</v>
      </c>
      <c r="DF2" s="87"/>
      <c r="DG2" s="65"/>
      <c r="DH2" s="87">
        <f t="shared" ref="DH2" ca="1" si="30">DH4-(COLUMN()/10000)</f>
        <v>230.9888</v>
      </c>
      <c r="DI2" s="87"/>
      <c r="DJ2" s="65"/>
      <c r="DK2" s="87">
        <f t="shared" ref="DK2" ca="1" si="31">DK4-(COLUMN()/10000)</f>
        <v>217.98849999999999</v>
      </c>
      <c r="DL2" s="87"/>
      <c r="DM2" s="65"/>
      <c r="DN2" s="87">
        <f t="shared" ref="DN2" ca="1" si="32">DN4-(COLUMN()/10000)</f>
        <v>229.98820000000001</v>
      </c>
      <c r="DO2" s="87"/>
      <c r="DP2" s="65"/>
      <c r="DQ2" s="87">
        <f t="shared" ref="DQ2" ca="1" si="33">DQ4-(COLUMN()/10000)</f>
        <v>169.9879</v>
      </c>
      <c r="DR2" s="87"/>
      <c r="DS2" s="65"/>
      <c r="DT2" s="87">
        <f t="shared" ref="DT2" ca="1" si="34">DT4-(COLUMN()/10000)</f>
        <v>215.98759999999999</v>
      </c>
      <c r="DU2" s="87"/>
      <c r="DV2" s="65"/>
      <c r="DW2" s="87">
        <f t="shared" ref="DW2" ca="1" si="35">DW4-(COLUMN()/10000)</f>
        <v>253.9873</v>
      </c>
      <c r="DX2" s="87"/>
      <c r="DY2" s="65"/>
      <c r="DZ2" s="87">
        <f t="shared" ref="DZ2" ca="1" si="36">DZ4-(COLUMN()/10000)</f>
        <v>222.98699999999999</v>
      </c>
      <c r="EA2" s="87"/>
      <c r="EB2" s="65"/>
      <c r="EC2" s="87">
        <f t="shared" ref="EC2" ca="1" si="37">EC4-(COLUMN()/10000)</f>
        <v>214.98670000000001</v>
      </c>
      <c r="ED2" s="87"/>
      <c r="EE2" s="65"/>
      <c r="EF2" s="87">
        <f t="shared" ref="EF2" ca="1" si="38">EF4-(COLUMN()/10000)</f>
        <v>215.9864</v>
      </c>
      <c r="EG2" s="87"/>
      <c r="EH2" s="65"/>
      <c r="EI2" s="87">
        <f t="shared" ref="EI2" ca="1" si="39">EI4-(COLUMN()/10000)</f>
        <v>237.98609999999999</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24</v>
      </c>
      <c r="T3" s="87"/>
      <c r="U3" s="65"/>
      <c r="V3" s="87">
        <f ca="1">RANK(V4,OFFSET($S$4,0,0,1,$D$5*3),0)</f>
        <v>31</v>
      </c>
      <c r="W3" s="87"/>
      <c r="X3" s="65"/>
      <c r="Y3" s="87">
        <f ca="1">RANK(Y4,OFFSET($S$4,0,0,1,$D$5*3),0)</f>
        <v>13</v>
      </c>
      <c r="Z3" s="87"/>
      <c r="AA3" s="65"/>
      <c r="AB3" s="87">
        <f ca="1">RANK(AB4,OFFSET($S$4,0,0,1,$D$5*3),0)</f>
        <v>8</v>
      </c>
      <c r="AC3" s="87"/>
      <c r="AD3" s="65"/>
      <c r="AE3" s="87">
        <f ca="1">RANK(AE4,OFFSET($S$4,0,0,1,$D$5*3),0)</f>
        <v>11</v>
      </c>
      <c r="AF3" s="87"/>
      <c r="AG3" s="65"/>
      <c r="AH3" s="87">
        <f ca="1">RANK(AH4,OFFSET($S$4,0,0,1,$D$5*3),0)</f>
        <v>26</v>
      </c>
      <c r="AI3" s="87"/>
      <c r="AJ3" s="65"/>
      <c r="AK3" s="87">
        <f ca="1">RANK(AK4,OFFSET($S$4,0,0,1,$D$5*3),0)</f>
        <v>30</v>
      </c>
      <c r="AL3" s="87"/>
      <c r="AM3" s="65"/>
      <c r="AN3" s="87">
        <f ca="1">RANK(AN4,OFFSET($S$4,0,0,1,$D$5*3),0)</f>
        <v>9</v>
      </c>
      <c r="AO3" s="87"/>
      <c r="AP3" s="65"/>
      <c r="AQ3" s="87">
        <f ca="1">RANK(AQ4,OFFSET($S$4,0,0,1,$D$5*3),0)</f>
        <v>1</v>
      </c>
      <c r="AR3" s="87"/>
      <c r="AS3" s="65"/>
      <c r="AT3" s="87">
        <f ca="1">RANK(AT4,OFFSET($S$4,0,0,1,$D$5*3),0)</f>
        <v>29</v>
      </c>
      <c r="AU3" s="87"/>
      <c r="AV3" s="65"/>
      <c r="AW3" s="87">
        <f ca="1">RANK(AW4,OFFSET($S$4,0,0,1,$D$5*3),0)</f>
        <v>26</v>
      </c>
      <c r="AX3" s="87"/>
      <c r="AY3" s="65"/>
      <c r="AZ3" s="87">
        <f ca="1">RANK(AZ4,OFFSET($S$4,0,0,1,$D$5*3),0)</f>
        <v>21</v>
      </c>
      <c r="BA3" s="87"/>
      <c r="BB3" s="65"/>
      <c r="BC3" s="87">
        <f ca="1">RANK(BC4,OFFSET($S$4,0,0,1,$D$5*3),0)</f>
        <v>21</v>
      </c>
      <c r="BD3" s="87"/>
      <c r="BE3" s="65"/>
      <c r="BF3" s="87">
        <f ca="1">RANK(BF4,OFFSET($S$4,0,0,1,$D$5*3),0)</f>
        <v>16</v>
      </c>
      <c r="BG3" s="87"/>
      <c r="BH3" s="65"/>
      <c r="BI3" s="87">
        <f ca="1">RANK(BI4,OFFSET($S$4,0,0,1,$D$5*3),0)</f>
        <v>13</v>
      </c>
      <c r="BJ3" s="87"/>
      <c r="BK3" s="65"/>
      <c r="BL3" s="87">
        <f ca="1">RANK(BL4,OFFSET($S$4,0,0,1,$D$5*3),0)</f>
        <v>2</v>
      </c>
      <c r="BM3" s="87"/>
      <c r="BN3" s="65"/>
      <c r="BO3" s="87">
        <f ca="1">RANK(BO4,OFFSET($S$4,0,0,1,$D$5*3),0)</f>
        <v>21</v>
      </c>
      <c r="BP3" s="87"/>
      <c r="BQ3" s="65"/>
      <c r="BR3" s="87">
        <f ca="1">RANK(BR4,OFFSET($S$4,0,0,1,$D$5*3),0)</f>
        <v>10</v>
      </c>
      <c r="BS3" s="87"/>
      <c r="BT3" s="65"/>
      <c r="BU3" s="87">
        <f ca="1">RANK(BU4,OFFSET($S$4,0,0,1,$D$5*3),0)</f>
        <v>39</v>
      </c>
      <c r="BV3" s="87"/>
      <c r="BW3" s="65"/>
      <c r="BX3" s="87">
        <f ca="1">RANK(BX4,OFFSET($S$4,0,0,1,$D$5*3),0)</f>
        <v>16</v>
      </c>
      <c r="BY3" s="87"/>
      <c r="BZ3" s="65"/>
      <c r="CA3" s="87">
        <f ca="1">RANK(CA4,OFFSET($S$4,0,0,1,$D$5*3),0)</f>
        <v>34</v>
      </c>
      <c r="CB3" s="87"/>
      <c r="CC3" s="65"/>
      <c r="CD3" s="87">
        <f ca="1">RANK(CD4,OFFSET($S$4,0,0,1,$D$5*3),0)</f>
        <v>31</v>
      </c>
      <c r="CE3" s="87"/>
      <c r="CF3" s="65"/>
      <c r="CG3" s="87">
        <f ca="1">RANK(CG4,OFFSET($S$4,0,0,1,$D$5*3),0)</f>
        <v>26</v>
      </c>
      <c r="CH3" s="87"/>
      <c r="CI3" s="65"/>
      <c r="CJ3" s="87">
        <f ca="1">RANK(CJ4,OFFSET($S$4,0,0,1,$D$5*3),0)</f>
        <v>13</v>
      </c>
      <c r="CK3" s="87"/>
      <c r="CL3" s="65"/>
      <c r="CM3" s="87">
        <f ca="1">RANK(CM4,OFFSET($S$4,0,0,1,$D$5*3),0)</f>
        <v>38</v>
      </c>
      <c r="CN3" s="87"/>
      <c r="CO3" s="65"/>
      <c r="CP3" s="87">
        <f ca="1">RANK(CP4,OFFSET($S$4,0,0,1,$D$5*3),0)</f>
        <v>7</v>
      </c>
      <c r="CQ3" s="87"/>
      <c r="CR3" s="65"/>
      <c r="CS3" s="87">
        <f ca="1">RANK(CS4,OFFSET($S$4,0,0,1,$D$5*3),0)</f>
        <v>5</v>
      </c>
      <c r="CT3" s="87"/>
      <c r="CU3" s="65"/>
      <c r="CV3" s="87">
        <f ca="1">RANK(CV4,OFFSET($S$4,0,0,1,$D$5*3),0)</f>
        <v>5</v>
      </c>
      <c r="CW3" s="87"/>
      <c r="CX3" s="65"/>
      <c r="CY3" s="87">
        <f ca="1">RANK(CY4,OFFSET($S$4,0,0,1,$D$5*3),0)</f>
        <v>40</v>
      </c>
      <c r="CZ3" s="87"/>
      <c r="DA3" s="65"/>
      <c r="DB3" s="87">
        <f ca="1">RANK(DB4,OFFSET($S$4,0,0,1,$D$5*3),0)</f>
        <v>3</v>
      </c>
      <c r="DC3" s="87"/>
      <c r="DD3" s="65"/>
      <c r="DE3" s="87">
        <f ca="1">RANK(DE4,OFFSET($S$4,0,0,1,$D$5*3),0)</f>
        <v>20</v>
      </c>
      <c r="DF3" s="87"/>
      <c r="DG3" s="65"/>
      <c r="DH3" s="87">
        <f ca="1">RANK(DH4,OFFSET($S$4,0,0,1,$D$5*3),0)</f>
        <v>18</v>
      </c>
      <c r="DI3" s="87"/>
      <c r="DJ3" s="65"/>
      <c r="DK3" s="87">
        <f ca="1">RANK(DK4,OFFSET($S$4,0,0,1,$D$5*3),0)</f>
        <v>31</v>
      </c>
      <c r="DL3" s="87"/>
      <c r="DM3" s="65"/>
      <c r="DN3" s="87">
        <f ca="1">RANK(DN4,OFFSET($S$4,0,0,1,$D$5*3),0)</f>
        <v>19</v>
      </c>
      <c r="DO3" s="87"/>
      <c r="DP3" s="65"/>
      <c r="DQ3" s="87">
        <f ca="1">RANK(DQ4,OFFSET($S$4,0,0,1,$D$5*3),0)</f>
        <v>41</v>
      </c>
      <c r="DR3" s="87"/>
      <c r="DS3" s="65"/>
      <c r="DT3" s="87">
        <f ca="1">RANK(DT4,OFFSET($S$4,0,0,1,$D$5*3),0)</f>
        <v>34</v>
      </c>
      <c r="DU3" s="87"/>
      <c r="DV3" s="65"/>
      <c r="DW3" s="87">
        <f ca="1">RANK(DW4,OFFSET($S$4,0,0,1,$D$5*3),0)</f>
        <v>4</v>
      </c>
      <c r="DX3" s="87"/>
      <c r="DY3" s="65"/>
      <c r="DZ3" s="87">
        <f ca="1">RANK(DZ4,OFFSET($S$4,0,0,1,$D$5*3),0)</f>
        <v>25</v>
      </c>
      <c r="EA3" s="87"/>
      <c r="EB3" s="65"/>
      <c r="EC3" s="87">
        <f ca="1">RANK(EC4,OFFSET($S$4,0,0,1,$D$5*3),0)</f>
        <v>37</v>
      </c>
      <c r="ED3" s="87"/>
      <c r="EE3" s="65"/>
      <c r="EF3" s="87">
        <f ca="1">RANK(EF4,OFFSET($S$4,0,0,1,$D$5*3),0)</f>
        <v>34</v>
      </c>
      <c r="EG3" s="87"/>
      <c r="EH3" s="65"/>
      <c r="EI3" s="87">
        <f ca="1">RANK(EI4,OFFSET($S$4,0,0,1,$D$5*3),0)</f>
        <v>11</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224</v>
      </c>
      <c r="T4" s="68"/>
      <c r="U4" s="65"/>
      <c r="V4" s="67">
        <f ca="1">SUM(W6:W259)/2</f>
        <v>218</v>
      </c>
      <c r="W4" s="68"/>
      <c r="X4" s="65"/>
      <c r="Y4" s="67">
        <f ca="1">SUM(Z6:Z259)/2</f>
        <v>235</v>
      </c>
      <c r="Z4" s="68"/>
      <c r="AA4" s="65"/>
      <c r="AB4" s="67">
        <f ca="1">SUM(AC6:AC259)/2</f>
        <v>242</v>
      </c>
      <c r="AC4" s="68"/>
      <c r="AD4" s="65"/>
      <c r="AE4" s="67">
        <f ca="1">SUM(AF6:AF259)/2</f>
        <v>238</v>
      </c>
      <c r="AF4" s="68"/>
      <c r="AG4" s="65"/>
      <c r="AH4" s="67">
        <f ca="1">SUM(AI6:AI259)/2</f>
        <v>222</v>
      </c>
      <c r="AI4" s="68"/>
      <c r="AJ4" s="65"/>
      <c r="AK4" s="67">
        <f ca="1">SUM(AL6:AL259)/2</f>
        <v>219</v>
      </c>
      <c r="AL4" s="68"/>
      <c r="AM4" s="65"/>
      <c r="AN4" s="67">
        <f ca="1">SUM(AO6:AO259)/2</f>
        <v>240</v>
      </c>
      <c r="AO4" s="68"/>
      <c r="AP4" s="65"/>
      <c r="AQ4" s="67">
        <f ca="1">SUM(AR6:AR259)/2</f>
        <v>266</v>
      </c>
      <c r="AR4" s="68"/>
      <c r="AS4" s="65"/>
      <c r="AT4" s="67">
        <f ca="1">SUM(AU6:AU259)/2</f>
        <v>220</v>
      </c>
      <c r="AU4" s="68"/>
      <c r="AV4" s="65"/>
      <c r="AW4" s="67">
        <f ca="1">SUM(AX6:AX259)/2</f>
        <v>222</v>
      </c>
      <c r="AX4" s="68"/>
      <c r="AY4" s="65"/>
      <c r="AZ4" s="67">
        <f ca="1">SUM(BA6:BA259)/2</f>
        <v>227</v>
      </c>
      <c r="BA4" s="68"/>
      <c r="BB4" s="65"/>
      <c r="BC4" s="67">
        <f ca="1">SUM(BD6:BD259)/2</f>
        <v>227</v>
      </c>
      <c r="BD4" s="68"/>
      <c r="BE4" s="65"/>
      <c r="BF4" s="67">
        <f ca="1">SUM(BG6:BG259)/2</f>
        <v>234</v>
      </c>
      <c r="BG4" s="68"/>
      <c r="BH4" s="65"/>
      <c r="BI4" s="67">
        <f ca="1">SUM(BJ6:BJ259)/2</f>
        <v>235</v>
      </c>
      <c r="BJ4" s="68"/>
      <c r="BK4" s="65"/>
      <c r="BL4" s="67">
        <f ca="1">SUM(BM6:BM259)/2</f>
        <v>258</v>
      </c>
      <c r="BM4" s="68"/>
      <c r="BN4" s="65"/>
      <c r="BO4" s="67">
        <f ca="1">SUM(BP6:BP259)/2</f>
        <v>227</v>
      </c>
      <c r="BP4" s="68"/>
      <c r="BQ4" s="65"/>
      <c r="BR4" s="67">
        <f ca="1">SUM(BS6:BS259)/2</f>
        <v>239</v>
      </c>
      <c r="BS4" s="68"/>
      <c r="BT4" s="65"/>
      <c r="BU4" s="67">
        <f ca="1">SUM(BV6:BV259)/2</f>
        <v>213</v>
      </c>
      <c r="BV4" s="68"/>
      <c r="BW4" s="65"/>
      <c r="BX4" s="67">
        <f ca="1">SUM(BY6:BY259)/2</f>
        <v>234</v>
      </c>
      <c r="BY4" s="68"/>
      <c r="BZ4" s="65"/>
      <c r="CA4" s="67">
        <f ca="1">SUM(CB6:CB259)/2</f>
        <v>216</v>
      </c>
      <c r="CB4" s="68"/>
      <c r="CC4" s="65"/>
      <c r="CD4" s="67">
        <f ca="1">SUM(CE6:CE259)/2</f>
        <v>218</v>
      </c>
      <c r="CE4" s="68"/>
      <c r="CF4" s="65"/>
      <c r="CG4" s="67">
        <f ca="1">SUM(CH6:CH259)/2</f>
        <v>222</v>
      </c>
      <c r="CH4" s="68"/>
      <c r="CI4" s="65"/>
      <c r="CJ4" s="67">
        <f ca="1">SUM(CK6:CK259)/2</f>
        <v>235</v>
      </c>
      <c r="CK4" s="68"/>
      <c r="CL4" s="65"/>
      <c r="CM4" s="67">
        <f ca="1">SUM(CN6:CN259)/2</f>
        <v>214</v>
      </c>
      <c r="CN4" s="68"/>
      <c r="CO4" s="65"/>
      <c r="CP4" s="67">
        <f ca="1">SUM(CQ6:CQ259)/2</f>
        <v>243</v>
      </c>
      <c r="CQ4" s="68"/>
      <c r="CR4" s="65"/>
      <c r="CS4" s="67">
        <f ca="1">SUM(CT6:CT259)/2</f>
        <v>246</v>
      </c>
      <c r="CT4" s="68"/>
      <c r="CU4" s="65"/>
      <c r="CV4" s="67">
        <f ca="1">SUM(CW6:CW259)/2</f>
        <v>246</v>
      </c>
      <c r="CW4" s="68"/>
      <c r="CX4" s="65"/>
      <c r="CY4" s="67">
        <f ca="1">SUM(CZ6:CZ259)/2</f>
        <v>201</v>
      </c>
      <c r="CZ4" s="68"/>
      <c r="DA4" s="65"/>
      <c r="DB4" s="67">
        <f ca="1">SUM(DC6:DC259)/2</f>
        <v>257</v>
      </c>
      <c r="DC4" s="68"/>
      <c r="DD4" s="65"/>
      <c r="DE4" s="67">
        <f ca="1">SUM(DF6:DF259)/2</f>
        <v>229</v>
      </c>
      <c r="DF4" s="68"/>
      <c r="DG4" s="65"/>
      <c r="DH4" s="67">
        <f ca="1">SUM(DI6:DI259)/2</f>
        <v>231</v>
      </c>
      <c r="DI4" s="68"/>
      <c r="DJ4" s="65"/>
      <c r="DK4" s="67">
        <f ca="1">SUM(DL6:DL259)/2</f>
        <v>218</v>
      </c>
      <c r="DL4" s="68"/>
      <c r="DM4" s="65"/>
      <c r="DN4" s="67">
        <f ca="1">SUM(DO6:DO259)/2</f>
        <v>230</v>
      </c>
      <c r="DO4" s="68"/>
      <c r="DP4" s="65"/>
      <c r="DQ4" s="67">
        <f ca="1">SUM(DR6:DR259)/2</f>
        <v>170</v>
      </c>
      <c r="DR4" s="68"/>
      <c r="DS4" s="65"/>
      <c r="DT4" s="67">
        <f ca="1">SUM(DU6:DU259)/2</f>
        <v>216</v>
      </c>
      <c r="DU4" s="68"/>
      <c r="DV4" s="65"/>
      <c r="DW4" s="67">
        <f ca="1">SUM(DX6:DX259)/2</f>
        <v>254</v>
      </c>
      <c r="DX4" s="68"/>
      <c r="DY4" s="65"/>
      <c r="DZ4" s="67">
        <f ca="1">SUM(EA6:EA259)/2</f>
        <v>223</v>
      </c>
      <c r="EA4" s="68"/>
      <c r="EB4" s="65"/>
      <c r="EC4" s="67">
        <f ca="1">SUM(ED6:ED259)/2</f>
        <v>215</v>
      </c>
      <c r="ED4" s="68"/>
      <c r="EE4" s="65"/>
      <c r="EF4" s="67">
        <f ca="1">SUM(EG6:EG259)/2</f>
        <v>216</v>
      </c>
      <c r="EG4" s="68"/>
      <c r="EH4" s="65"/>
      <c r="EI4" s="67">
        <f ca="1">SUM(EJ6:EJ259)/2</f>
        <v>238</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49"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49"/>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49"/>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49"/>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49"/>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2</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1</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49"/>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2008</v>
      </c>
      <c r="W169" s="77">
        <f t="shared" ca="1" si="740"/>
        <v>1</v>
      </c>
      <c r="X169" s="110"/>
      <c r="Y169" s="74" t="s">
        <v>2008</v>
      </c>
      <c r="Z169" s="77">
        <f t="shared" ca="1" si="740"/>
        <v>1</v>
      </c>
      <c r="AA169" s="110"/>
      <c r="AB169" s="80" t="s">
        <v>2008</v>
      </c>
      <c r="AC169" s="77">
        <f t="shared" ca="1" si="740"/>
        <v>1</v>
      </c>
      <c r="AD169" s="110"/>
      <c r="AE169" s="74" t="s">
        <v>2008</v>
      </c>
      <c r="AF169" s="77">
        <f t="shared" ca="1" si="740"/>
        <v>1</v>
      </c>
      <c r="AG169" s="110"/>
      <c r="AH169" s="74" t="s">
        <v>2131</v>
      </c>
      <c r="AI169" s="77">
        <f t="shared" ca="1" si="740"/>
        <v>0</v>
      </c>
      <c r="AJ169" s="110"/>
      <c r="AK169" s="74" t="s">
        <v>2158</v>
      </c>
      <c r="AL169" s="77">
        <f t="shared" ca="1" si="740"/>
        <v>4</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4</v>
      </c>
      <c r="BN169" s="110"/>
      <c r="BO169" s="74" t="s">
        <v>2158</v>
      </c>
      <c r="BP169" s="77">
        <f t="shared" ca="1" si="740"/>
        <v>4</v>
      </c>
      <c r="BQ169" s="110"/>
      <c r="BR169" s="74" t="s">
        <v>2410</v>
      </c>
      <c r="BS169" s="77">
        <f t="shared" ca="1" si="740"/>
        <v>0</v>
      </c>
      <c r="BT169" s="110"/>
      <c r="BU169" s="74" t="s">
        <v>2008</v>
      </c>
      <c r="BV169" s="77">
        <f t="shared" ca="1" si="740"/>
        <v>1</v>
      </c>
      <c r="BW169" s="110"/>
      <c r="BX169" s="74" t="s">
        <v>2445</v>
      </c>
      <c r="BY169" s="77">
        <f t="shared" ca="1" si="740"/>
        <v>0</v>
      </c>
      <c r="BZ169" s="110"/>
      <c r="CA169" s="74" t="s">
        <v>2465</v>
      </c>
      <c r="CB169" s="77">
        <f t="shared" ca="1" si="740"/>
        <v>0</v>
      </c>
      <c r="CC169" s="110"/>
      <c r="CD169" s="74" t="s">
        <v>2487</v>
      </c>
      <c r="CE169" s="77">
        <f t="shared" ca="1" si="740"/>
        <v>1</v>
      </c>
      <c r="CF169" s="110"/>
      <c r="CG169" s="74" t="s">
        <v>2008</v>
      </c>
      <c r="CH169" s="77">
        <f t="shared" ca="1" si="740"/>
        <v>1</v>
      </c>
      <c r="CI169" s="110"/>
      <c r="CJ169" s="74" t="s">
        <v>2293</v>
      </c>
      <c r="CK169" s="77">
        <f t="shared" ca="1" si="762"/>
        <v>0</v>
      </c>
      <c r="CL169" s="110"/>
      <c r="CM169" s="74" t="s">
        <v>2344</v>
      </c>
      <c r="CN169" s="77">
        <f t="shared" ca="1" si="762"/>
        <v>0</v>
      </c>
      <c r="CO169" s="110"/>
      <c r="CP169" s="74" t="s">
        <v>2487</v>
      </c>
      <c r="CQ169" s="77">
        <f t="shared" ca="1" si="762"/>
        <v>1</v>
      </c>
      <c r="CR169" s="110"/>
      <c r="CS169" s="74" t="s">
        <v>2190</v>
      </c>
      <c r="CT169" s="77">
        <f t="shared" ca="1" si="762"/>
        <v>0</v>
      </c>
      <c r="CU169" s="110"/>
      <c r="CV169" s="74" t="s">
        <v>2487</v>
      </c>
      <c r="CW169" s="77">
        <f t="shared" ca="1" si="762"/>
        <v>1</v>
      </c>
      <c r="CX169" s="110"/>
      <c r="CY169" s="74" t="s">
        <v>2591</v>
      </c>
      <c r="CZ169" s="77">
        <f t="shared" ca="1" si="762"/>
        <v>0</v>
      </c>
      <c r="DA169" s="110"/>
      <c r="DB169" s="74" t="s">
        <v>2609</v>
      </c>
      <c r="DC169" s="77">
        <f t="shared" ca="1" si="762"/>
        <v>1</v>
      </c>
      <c r="DD169" s="110"/>
      <c r="DE169" s="74" t="s">
        <v>2625</v>
      </c>
      <c r="DF169" s="77">
        <f t="shared" ca="1" si="762"/>
        <v>0</v>
      </c>
      <c r="DG169" s="110"/>
      <c r="DH169" s="74" t="s">
        <v>2158</v>
      </c>
      <c r="DI169" s="77">
        <f t="shared" ca="1" si="762"/>
        <v>4</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1</v>
      </c>
      <c r="DY169" s="110"/>
      <c r="DZ169" s="74" t="s">
        <v>2755</v>
      </c>
      <c r="EA169" s="77">
        <f t="shared" ca="1" si="762"/>
        <v>0</v>
      </c>
      <c r="EB169" s="110"/>
      <c r="EC169" s="74" t="s">
        <v>2158</v>
      </c>
      <c r="ED169" s="77">
        <f t="shared" ca="1" si="762"/>
        <v>4</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49"/>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2</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1</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1</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RD Congo-Inglaterra</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49"/>
      <c r="K171" s="56" t="str">
        <f ca="1">CONCATENATE(WORLDCUP!AA108,"-",WORLDCUP!AF108)</f>
        <v>Inglaterra-RD Congo</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Senegal-Bélgica</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49"/>
      <c r="K172" s="56" t="str">
        <f ca="1">CONCATENATE(WORLDCUP!AA109,"-",WORLDCUP!AF109)</f>
        <v>Bélgica-Senegal</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Bosnia y Herzegovina-Estados Unidos</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49"/>
      <c r="K173" s="56" t="str">
        <f ca="1">CONCATENATE(WORLDCUP!AA110,"-",WORLDCUP!AF110)</f>
        <v>Estados Unidos-Bosnia y Herzegovina</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Austria-España</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49"/>
      <c r="K174" s="56" t="str">
        <f ca="1">CONCATENATE(WORLDCUP!AA111,"-",WORLDCUP!AF111)</f>
        <v>España-Austria</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Croacia-Portugal</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49"/>
      <c r="K175" s="56" t="str">
        <f ca="1">CONCATENATE(WORLDCUP!AA112,"-",WORLDCUP!AF112)</f>
        <v>Portugal-Croacia</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Argelia-Suiza</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49"/>
      <c r="K176" s="56" t="str">
        <f ca="1">CONCATENATE(WORLDCUP!AA113,"-",WORLDCUP!AF113)</f>
        <v>Suiza-Argelia</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Egipto-Australia</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49"/>
      <c r="K177" s="56" t="str">
        <f ca="1">CONCATENATE(WORLDCUP!AA114,"-",WORLDCUP!AF114)</f>
        <v>Australia-Egipto</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Cabo Verde-Argentina</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49"/>
      <c r="K178" s="56" t="str">
        <f ca="1">CONCATENATE(WORLDCUP!AA115,"-",WORLDCUP!AF115)</f>
        <v>Argentina-Cabo Verde</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Ghana-Colombia</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49"/>
      <c r="K179" s="115" t="str">
        <f ca="1">CONCATENATE(WORLDCUP!AA116,"-",WORLDCUP!AF116)</f>
        <v>Colombia-Ghana</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1</v>
      </c>
      <c r="U180" s="65"/>
      <c r="V180" s="84"/>
      <c r="W180" s="71">
        <f t="shared" ref="W180" ca="1" si="798">SUM(W164:W179)</f>
        <v>3</v>
      </c>
      <c r="X180" s="65"/>
      <c r="Y180" s="84"/>
      <c r="Z180" s="71">
        <f t="shared" ref="Z180" ca="1" si="799">SUM(Z164:Z179)</f>
        <v>2</v>
      </c>
      <c r="AA180" s="65"/>
      <c r="AB180" s="84"/>
      <c r="AC180" s="71">
        <f t="shared" ref="AC180" ca="1" si="800">SUM(AC164:AC179)</f>
        <v>2</v>
      </c>
      <c r="AD180" s="65"/>
      <c r="AE180" s="84"/>
      <c r="AF180" s="71">
        <f t="shared" ref="AF180" ca="1" si="801">SUM(AF164:AF179)</f>
        <v>1</v>
      </c>
      <c r="AG180" s="65"/>
      <c r="AH180" s="84"/>
      <c r="AI180" s="71">
        <f t="shared" ref="AI180" ca="1" si="802">SUM(AI164:AI179)</f>
        <v>2</v>
      </c>
      <c r="AJ180" s="65"/>
      <c r="AK180" s="84"/>
      <c r="AL180" s="71">
        <f t="shared" ref="AL180" ca="1" si="803">SUM(AL164:AL179)</f>
        <v>7</v>
      </c>
      <c r="AM180" s="65"/>
      <c r="AN180" s="84"/>
      <c r="AO180" s="71">
        <f t="shared" ref="AO180" ca="1" si="804">SUM(AO164:AO179)</f>
        <v>10</v>
      </c>
      <c r="AP180" s="65"/>
      <c r="AQ180" s="84"/>
      <c r="AR180" s="71">
        <f t="shared" ref="AR180" ca="1" si="805">SUM(AR164:AR179)</f>
        <v>4</v>
      </c>
      <c r="AS180" s="65"/>
      <c r="AT180" s="84"/>
      <c r="AU180" s="71">
        <f t="shared" ref="AU180" ca="1" si="806">SUM(AU164:AU179)</f>
        <v>1</v>
      </c>
      <c r="AV180" s="65"/>
      <c r="AW180" s="84"/>
      <c r="AX180" s="71">
        <f t="shared" ref="AX180" ca="1" si="807">SUM(AX164:AX179)</f>
        <v>8</v>
      </c>
      <c r="AY180" s="65"/>
      <c r="AZ180" s="84"/>
      <c r="BA180" s="71">
        <f t="shared" ref="BA180" ca="1" si="808">SUM(BA164:BA179)</f>
        <v>5</v>
      </c>
      <c r="BB180" s="65"/>
      <c r="BC180" s="84"/>
      <c r="BD180" s="71">
        <f t="shared" ref="BD180" ca="1" si="809">SUM(BD164:BD179)</f>
        <v>0</v>
      </c>
      <c r="BE180" s="65"/>
      <c r="BF180" s="84"/>
      <c r="BG180" s="71">
        <f t="shared" ref="BG180" ca="1" si="810">SUM(BG164:BG179)</f>
        <v>1</v>
      </c>
      <c r="BH180" s="65"/>
      <c r="BI180" s="84"/>
      <c r="BJ180" s="71">
        <f t="shared" ref="BJ180" ca="1" si="811">SUM(BJ164:BJ179)</f>
        <v>3</v>
      </c>
      <c r="BK180" s="65"/>
      <c r="BL180" s="84"/>
      <c r="BM180" s="71">
        <f t="shared" ref="BM180" ca="1" si="812">SUM(BM164:BM179)</f>
        <v>12</v>
      </c>
      <c r="BN180" s="65"/>
      <c r="BO180" s="84"/>
      <c r="BP180" s="71">
        <f t="shared" ref="BP180" ca="1" si="813">SUM(BP164:BP179)</f>
        <v>5</v>
      </c>
      <c r="BQ180" s="65"/>
      <c r="BR180" s="84"/>
      <c r="BS180" s="71">
        <f t="shared" ref="BS180" ca="1" si="814">SUM(BS164:BS179)</f>
        <v>5</v>
      </c>
      <c r="BT180" s="65"/>
      <c r="BU180" s="84"/>
      <c r="BV180" s="71">
        <f t="shared" ref="BV180" ca="1" si="815">SUM(BV164:BV179)</f>
        <v>1</v>
      </c>
      <c r="BW180" s="65"/>
      <c r="BX180" s="84"/>
      <c r="BY180" s="71">
        <f t="shared" ref="BY180" ca="1" si="816">SUM(BY164:BY179)</f>
        <v>1</v>
      </c>
      <c r="BZ180" s="65"/>
      <c r="CA180" s="84"/>
      <c r="CB180" s="71">
        <f t="shared" ref="CB180" ca="1" si="817">SUM(CB164:CB179)</f>
        <v>0</v>
      </c>
      <c r="CC180" s="65"/>
      <c r="CD180" s="84"/>
      <c r="CE180" s="71">
        <f t="shared" ref="CE180" ca="1" si="818">SUM(CE164:CE179)</f>
        <v>1</v>
      </c>
      <c r="CF180" s="65"/>
      <c r="CG180" s="84"/>
      <c r="CH180" s="71">
        <f t="shared" ref="CH180" ca="1" si="819">SUM(CH164:CH179)</f>
        <v>6</v>
      </c>
      <c r="CI180" s="65"/>
      <c r="CJ180" s="84"/>
      <c r="CK180" s="71">
        <f t="shared" ref="CK180" ca="1" si="820">SUM(CK164:CK179)</f>
        <v>8</v>
      </c>
      <c r="CL180" s="65"/>
      <c r="CM180" s="84"/>
      <c r="CN180" s="71">
        <f t="shared" ref="CN180" ca="1" si="821">SUM(CN164:CN179)</f>
        <v>0</v>
      </c>
      <c r="CO180" s="65"/>
      <c r="CP180" s="84"/>
      <c r="CQ180" s="71">
        <f t="shared" ref="CQ180" ca="1" si="822">SUM(CQ164:CQ179)</f>
        <v>1</v>
      </c>
      <c r="CR180" s="65"/>
      <c r="CS180" s="84"/>
      <c r="CT180" s="71">
        <f t="shared" ref="CT180" ca="1" si="823">SUM(CT164:CT179)</f>
        <v>2</v>
      </c>
      <c r="CU180" s="65"/>
      <c r="CV180" s="84"/>
      <c r="CW180" s="71">
        <f t="shared" ref="CW180" ca="1" si="824">SUM(CW164:CW179)</f>
        <v>6</v>
      </c>
      <c r="CX180" s="65"/>
      <c r="CY180" s="84"/>
      <c r="CZ180" s="71">
        <f t="shared" ref="CZ180" ca="1" si="825">SUM(CZ164:CZ179)</f>
        <v>1</v>
      </c>
      <c r="DA180" s="65"/>
      <c r="DB180" s="84"/>
      <c r="DC180" s="71">
        <f t="shared" ref="DC180" ca="1" si="826">SUM(DC164:DC179)</f>
        <v>7</v>
      </c>
      <c r="DD180" s="65"/>
      <c r="DE180" s="84"/>
      <c r="DF180" s="71">
        <f t="shared" ref="DF180" ca="1" si="827">SUM(DF164:DF179)</f>
        <v>5</v>
      </c>
      <c r="DG180" s="65"/>
      <c r="DH180" s="84"/>
      <c r="DI180" s="71">
        <f t="shared" ref="DI180" ca="1" si="828">SUM(DI164:DI179)</f>
        <v>7</v>
      </c>
      <c r="DJ180" s="65"/>
      <c r="DK180" s="84"/>
      <c r="DL180" s="71">
        <f t="shared" ref="DL180" ca="1" si="829">SUM(DL164:DL179)</f>
        <v>0</v>
      </c>
      <c r="DM180" s="65"/>
      <c r="DN180" s="796"/>
      <c r="DO180" s="71">
        <f t="shared" ref="DO180" ca="1" si="830">SUM(DO164:DO179)</f>
        <v>1</v>
      </c>
      <c r="DP180" s="65"/>
      <c r="DQ180" s="796"/>
      <c r="DR180" s="71">
        <f t="shared" ref="DR180" ca="1" si="831">SUM(DR164:DR179)</f>
        <v>0</v>
      </c>
      <c r="DS180" s="65"/>
      <c r="DT180" s="84"/>
      <c r="DU180" s="71">
        <f t="shared" ref="DU180" ca="1" si="832">SUM(DU164:DU179)</f>
        <v>0</v>
      </c>
      <c r="DV180" s="65"/>
      <c r="DW180" s="84"/>
      <c r="DX180" s="71">
        <f t="shared" ref="DX180" ca="1" si="833">SUM(DX164:DX179)</f>
        <v>5</v>
      </c>
      <c r="DY180" s="65"/>
      <c r="DZ180" s="84"/>
      <c r="EA180" s="71">
        <f t="shared" ref="EA180" ca="1" si="834">SUM(EA164:EA179)</f>
        <v>0</v>
      </c>
      <c r="EB180" s="65"/>
      <c r="EC180" s="84"/>
      <c r="ED180" s="71">
        <f t="shared" ref="ED180" ca="1" si="835">SUM(ED164:ED179)</f>
        <v>6</v>
      </c>
      <c r="EE180" s="65"/>
      <c r="EF180" s="84"/>
      <c r="EG180" s="71">
        <f t="shared" ref="EG180" ca="1" si="836">SUM(EG164:EG179)</f>
        <v>3</v>
      </c>
      <c r="EH180" s="65"/>
      <c r="EI180" s="84"/>
      <c r="EJ180" s="71">
        <f t="shared" ref="EJ180" ca="1" si="837">SUM(EJ164:EJ179)</f>
        <v>4</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0</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0</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WORLDCUP!AA124</f>
        <v>W83</v>
      </c>
      <c r="N186" s="25"/>
      <c r="O186" s="25"/>
      <c r="P186" s="25"/>
      <c r="Q186" s="25"/>
      <c r="R186" s="110"/>
      <c r="S186" s="74" t="s">
        <v>79</v>
      </c>
      <c r="T186" s="73">
        <f t="shared" ca="1" si="847"/>
        <v>0</v>
      </c>
      <c r="U186" s="64"/>
      <c r="V186" s="74" t="s">
        <v>78</v>
      </c>
      <c r="W186" s="73">
        <f t="shared" ca="1" si="848"/>
        <v>0</v>
      </c>
      <c r="X186" s="64"/>
      <c r="Y186" s="74" t="s">
        <v>1320</v>
      </c>
      <c r="Z186" s="73">
        <f t="shared" ca="1" si="849"/>
        <v>0</v>
      </c>
      <c r="AA186" s="64"/>
      <c r="AB186" s="74" t="s">
        <v>1320</v>
      </c>
      <c r="AC186" s="73">
        <f t="shared" ca="1" si="850"/>
        <v>0</v>
      </c>
      <c r="AD186" s="64"/>
      <c r="AE186" s="74" t="s">
        <v>78</v>
      </c>
      <c r="AF186" s="73">
        <f t="shared" ca="1" si="851"/>
        <v>0</v>
      </c>
      <c r="AG186" s="64"/>
      <c r="AH186" s="74" t="s">
        <v>76</v>
      </c>
      <c r="AI186" s="73">
        <f t="shared" ca="1" si="852"/>
        <v>0</v>
      </c>
      <c r="AJ186" s="64"/>
      <c r="AK186" s="74" t="s">
        <v>1320</v>
      </c>
      <c r="AL186" s="73">
        <f t="shared" ca="1" si="853"/>
        <v>0</v>
      </c>
      <c r="AM186" s="64"/>
      <c r="AN186" s="74" t="s">
        <v>1320</v>
      </c>
      <c r="AO186" s="73">
        <f t="shared" ca="1" si="854"/>
        <v>0</v>
      </c>
      <c r="AP186" s="64"/>
      <c r="AQ186" s="74" t="s">
        <v>1320</v>
      </c>
      <c r="AR186" s="73">
        <f t="shared" ca="1" si="855"/>
        <v>0</v>
      </c>
      <c r="AS186" s="64"/>
      <c r="AT186" s="74" t="s">
        <v>1320</v>
      </c>
      <c r="AU186" s="73">
        <f t="shared" ca="1" si="856"/>
        <v>0</v>
      </c>
      <c r="AV186" s="64"/>
      <c r="AW186" s="74" t="s">
        <v>1551</v>
      </c>
      <c r="AX186" s="73">
        <f t="shared" ca="1" si="857"/>
        <v>0</v>
      </c>
      <c r="AY186" s="64"/>
      <c r="AZ186" s="74" t="s">
        <v>78</v>
      </c>
      <c r="BA186" s="73">
        <f t="shared" ca="1" si="858"/>
        <v>0</v>
      </c>
      <c r="BB186" s="64"/>
      <c r="BC186" s="74" t="s">
        <v>76</v>
      </c>
      <c r="BD186" s="73">
        <f t="shared" ca="1" si="859"/>
        <v>0</v>
      </c>
      <c r="BE186" s="64"/>
      <c r="BF186" s="74" t="s">
        <v>1320</v>
      </c>
      <c r="BG186" s="73">
        <f t="shared" ca="1" si="860"/>
        <v>0</v>
      </c>
      <c r="BH186" s="64"/>
      <c r="BI186" s="74" t="s">
        <v>1320</v>
      </c>
      <c r="BJ186" s="73">
        <f t="shared" ca="1" si="861"/>
        <v>0</v>
      </c>
      <c r="BK186" s="64"/>
      <c r="BL186" s="74" t="s">
        <v>1320</v>
      </c>
      <c r="BM186" s="73">
        <f t="shared" ca="1" si="862"/>
        <v>0</v>
      </c>
      <c r="BN186" s="64"/>
      <c r="BO186" s="74" t="s">
        <v>78</v>
      </c>
      <c r="BP186" s="73">
        <f t="shared" ca="1" si="863"/>
        <v>0</v>
      </c>
      <c r="BQ186" s="64"/>
      <c r="BR186" s="74" t="s">
        <v>1320</v>
      </c>
      <c r="BS186" s="73">
        <f t="shared" ca="1" si="864"/>
        <v>0</v>
      </c>
      <c r="BT186" s="64"/>
      <c r="BU186" s="74" t="s">
        <v>1320</v>
      </c>
      <c r="BV186" s="73">
        <f t="shared" ca="1" si="865"/>
        <v>0</v>
      </c>
      <c r="BW186" s="64"/>
      <c r="BX186" s="74" t="s">
        <v>79</v>
      </c>
      <c r="BY186" s="73">
        <f t="shared" ca="1" si="866"/>
        <v>0</v>
      </c>
      <c r="BZ186" s="64"/>
      <c r="CA186" s="74" t="s">
        <v>78</v>
      </c>
      <c r="CB186" s="73">
        <f t="shared" ca="1" si="867"/>
        <v>0</v>
      </c>
      <c r="CC186" s="64"/>
      <c r="CD186" s="74" t="s">
        <v>76</v>
      </c>
      <c r="CE186" s="73">
        <f t="shared" ca="1" si="868"/>
        <v>0</v>
      </c>
      <c r="CF186" s="64"/>
      <c r="CG186" s="74" t="s">
        <v>78</v>
      </c>
      <c r="CH186" s="73">
        <f t="shared" ca="1" si="869"/>
        <v>0</v>
      </c>
      <c r="CI186" s="64"/>
      <c r="CJ186" s="74" t="s">
        <v>78</v>
      </c>
      <c r="CK186" s="73">
        <f t="shared" ca="1" si="870"/>
        <v>0</v>
      </c>
      <c r="CL186" s="64"/>
      <c r="CM186" s="74" t="s">
        <v>1320</v>
      </c>
      <c r="CN186" s="73">
        <f t="shared" ca="1" si="871"/>
        <v>0</v>
      </c>
      <c r="CO186" s="64"/>
      <c r="CP186" s="74" t="s">
        <v>1320</v>
      </c>
      <c r="CQ186" s="73">
        <f t="shared" ca="1" si="872"/>
        <v>0</v>
      </c>
      <c r="CR186" s="64"/>
      <c r="CS186" s="74" t="s">
        <v>78</v>
      </c>
      <c r="CT186" s="73">
        <f t="shared" ca="1" si="873"/>
        <v>0</v>
      </c>
      <c r="CU186" s="64"/>
      <c r="CV186" s="74" t="s">
        <v>1320</v>
      </c>
      <c r="CW186" s="73">
        <f t="shared" ca="1" si="874"/>
        <v>0</v>
      </c>
      <c r="CX186" s="64"/>
      <c r="CY186" s="74" t="s">
        <v>1320</v>
      </c>
      <c r="CZ186" s="73">
        <f t="shared" ca="1" si="875"/>
        <v>0</v>
      </c>
      <c r="DA186" s="64"/>
      <c r="DB186" s="74" t="s">
        <v>1320</v>
      </c>
      <c r="DC186" s="73">
        <f t="shared" ca="1" si="876"/>
        <v>0</v>
      </c>
      <c r="DD186" s="64"/>
      <c r="DE186" s="74" t="s">
        <v>78</v>
      </c>
      <c r="DF186" s="73">
        <f t="shared" ca="1" si="877"/>
        <v>0</v>
      </c>
      <c r="DG186" s="64"/>
      <c r="DH186" s="74" t="s">
        <v>1320</v>
      </c>
      <c r="DI186" s="73">
        <f t="shared" ca="1" si="878"/>
        <v>0</v>
      </c>
      <c r="DJ186" s="64"/>
      <c r="DK186" s="74" t="s">
        <v>76</v>
      </c>
      <c r="DL186" s="73">
        <f t="shared" ca="1" si="879"/>
        <v>0</v>
      </c>
      <c r="DM186" s="64"/>
      <c r="DN186" s="795" t="s">
        <v>1320</v>
      </c>
      <c r="DO186" s="73">
        <f t="shared" ca="1" si="880"/>
        <v>0</v>
      </c>
      <c r="DP186" s="64"/>
      <c r="DQ186" s="795" t="s">
        <v>76</v>
      </c>
      <c r="DR186" s="73">
        <f t="shared" ca="1" si="881"/>
        <v>0</v>
      </c>
      <c r="DS186" s="64"/>
      <c r="DT186" s="74" t="s">
        <v>79</v>
      </c>
      <c r="DU186" s="73">
        <f t="shared" ca="1" si="882"/>
        <v>0</v>
      </c>
      <c r="DV186" s="64"/>
      <c r="DW186" s="74" t="s">
        <v>1320</v>
      </c>
      <c r="DX186" s="73">
        <f t="shared" ca="1" si="883"/>
        <v>0</v>
      </c>
      <c r="DY186" s="64"/>
      <c r="DZ186" s="74" t="s">
        <v>78</v>
      </c>
      <c r="EA186" s="73">
        <f t="shared" ca="1" si="884"/>
        <v>0</v>
      </c>
      <c r="EB186" s="64"/>
      <c r="EC186" s="74" t="s">
        <v>78</v>
      </c>
      <c r="ED186" s="73">
        <f t="shared" ca="1" si="885"/>
        <v>0</v>
      </c>
      <c r="EE186" s="64"/>
      <c r="EF186" s="74" t="s">
        <v>1320</v>
      </c>
      <c r="EG186" s="73">
        <f t="shared" ca="1" si="886"/>
        <v>0</v>
      </c>
      <c r="EH186" s="64"/>
      <c r="EI186" s="74" t="s">
        <v>1320</v>
      </c>
      <c r="EJ186" s="73">
        <f t="shared" ca="1" si="887"/>
        <v>0</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WORLDCUP!AA125</f>
        <v>W81</v>
      </c>
      <c r="N187" s="25"/>
      <c r="O187" s="25"/>
      <c r="P187" s="25"/>
      <c r="Q187" s="25"/>
      <c r="R187" s="110"/>
      <c r="S187" s="74" t="s">
        <v>497</v>
      </c>
      <c r="T187" s="73">
        <f t="shared" ca="1" si="847"/>
        <v>0</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0</v>
      </c>
      <c r="AG187" s="64"/>
      <c r="AH187" s="74" t="s">
        <v>497</v>
      </c>
      <c r="AI187" s="73">
        <f t="shared" ca="1" si="852"/>
        <v>0</v>
      </c>
      <c r="AJ187" s="64"/>
      <c r="AK187" s="74" t="s">
        <v>1835</v>
      </c>
      <c r="AL187" s="73">
        <f t="shared" ca="1" si="853"/>
        <v>0</v>
      </c>
      <c r="AM187" s="64"/>
      <c r="AN187" s="74" t="s">
        <v>1835</v>
      </c>
      <c r="AO187" s="73">
        <f t="shared" ca="1" si="854"/>
        <v>0</v>
      </c>
      <c r="AP187" s="64"/>
      <c r="AQ187" s="74" t="s">
        <v>497</v>
      </c>
      <c r="AR187" s="73">
        <f t="shared" ca="1" si="855"/>
        <v>0</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0</v>
      </c>
      <c r="BH187" s="64"/>
      <c r="BI187" s="74" t="s">
        <v>1835</v>
      </c>
      <c r="BJ187" s="73">
        <f t="shared" ca="1" si="861"/>
        <v>0</v>
      </c>
      <c r="BK187" s="64"/>
      <c r="BL187" s="74" t="s">
        <v>497</v>
      </c>
      <c r="BM187" s="73">
        <f t="shared" ca="1" si="862"/>
        <v>0</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0</v>
      </c>
      <c r="CI187" s="64"/>
      <c r="CJ187" s="74" t="s">
        <v>497</v>
      </c>
      <c r="CK187" s="73">
        <f t="shared" ca="1" si="870"/>
        <v>0</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0</v>
      </c>
      <c r="DS187" s="64"/>
      <c r="DT187" s="74" t="s">
        <v>497</v>
      </c>
      <c r="DU187" s="73">
        <f t="shared" ca="1" si="882"/>
        <v>0</v>
      </c>
      <c r="DV187" s="64"/>
      <c r="DW187" s="74" t="s">
        <v>1633</v>
      </c>
      <c r="DX187" s="73">
        <f t="shared" ca="1" si="883"/>
        <v>0</v>
      </c>
      <c r="DY187" s="64"/>
      <c r="DZ187" s="74" t="s">
        <v>497</v>
      </c>
      <c r="EA187" s="73">
        <f t="shared" ca="1" si="884"/>
        <v>0</v>
      </c>
      <c r="EB187" s="64"/>
      <c r="EC187" s="74" t="s">
        <v>1835</v>
      </c>
      <c r="ED187" s="73">
        <f t="shared" ca="1" si="885"/>
        <v>0</v>
      </c>
      <c r="EE187" s="64"/>
      <c r="EF187" s="74" t="s">
        <v>497</v>
      </c>
      <c r="EG187" s="73">
        <f t="shared" ca="1" si="886"/>
        <v>0</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WORLDCUP!AA126</f>
        <v>W86</v>
      </c>
      <c r="N188" s="25"/>
      <c r="O188" s="25"/>
      <c r="P188" s="25"/>
      <c r="Q188" s="25"/>
      <c r="R188" s="110"/>
      <c r="S188" s="74" t="s">
        <v>1256</v>
      </c>
      <c r="T188" s="73">
        <f t="shared" ca="1" si="847"/>
        <v>0</v>
      </c>
      <c r="U188" s="64"/>
      <c r="V188" s="74" t="s">
        <v>1256</v>
      </c>
      <c r="W188" s="73">
        <f t="shared" ca="1" si="848"/>
        <v>0</v>
      </c>
      <c r="X188" s="64"/>
      <c r="Y188" s="74" t="s">
        <v>1256</v>
      </c>
      <c r="Z188" s="73">
        <f t="shared" ca="1" si="849"/>
        <v>0</v>
      </c>
      <c r="AA188" s="64"/>
      <c r="AB188" s="74" t="s">
        <v>1256</v>
      </c>
      <c r="AC188" s="73">
        <f t="shared" ca="1" si="850"/>
        <v>0</v>
      </c>
      <c r="AD188" s="64"/>
      <c r="AE188" s="74" t="s">
        <v>1256</v>
      </c>
      <c r="AF188" s="73">
        <f t="shared" ca="1" si="851"/>
        <v>0</v>
      </c>
      <c r="AG188" s="64"/>
      <c r="AH188" s="74" t="s">
        <v>1256</v>
      </c>
      <c r="AI188" s="73">
        <f t="shared" ca="1" si="852"/>
        <v>0</v>
      </c>
      <c r="AJ188" s="64"/>
      <c r="AK188" s="74" t="s">
        <v>1256</v>
      </c>
      <c r="AL188" s="73">
        <f t="shared" ca="1" si="853"/>
        <v>0</v>
      </c>
      <c r="AM188" s="64"/>
      <c r="AN188" s="74" t="s">
        <v>1318</v>
      </c>
      <c r="AO188" s="73">
        <f t="shared" ca="1" si="854"/>
        <v>0</v>
      </c>
      <c r="AP188" s="64"/>
      <c r="AQ188" s="74" t="s">
        <v>1256</v>
      </c>
      <c r="AR188" s="73">
        <f t="shared" ca="1" si="855"/>
        <v>0</v>
      </c>
      <c r="AS188" s="64"/>
      <c r="AT188" s="74" t="s">
        <v>1318</v>
      </c>
      <c r="AU188" s="73">
        <f t="shared" ca="1" si="856"/>
        <v>0</v>
      </c>
      <c r="AV188" s="64"/>
      <c r="AW188" s="74" t="s">
        <v>1256</v>
      </c>
      <c r="AX188" s="73">
        <f t="shared" ca="1" si="857"/>
        <v>0</v>
      </c>
      <c r="AY188" s="64"/>
      <c r="AZ188" s="74" t="s">
        <v>1256</v>
      </c>
      <c r="BA188" s="73">
        <f t="shared" ca="1" si="858"/>
        <v>0</v>
      </c>
      <c r="BB188" s="64"/>
      <c r="BC188" s="74" t="s">
        <v>1256</v>
      </c>
      <c r="BD188" s="73">
        <f t="shared" ca="1" si="859"/>
        <v>0</v>
      </c>
      <c r="BE188" s="64"/>
      <c r="BF188" s="74" t="s">
        <v>1256</v>
      </c>
      <c r="BG188" s="73">
        <f t="shared" ca="1" si="860"/>
        <v>0</v>
      </c>
      <c r="BH188" s="64"/>
      <c r="BI188" s="74" t="s">
        <v>1256</v>
      </c>
      <c r="BJ188" s="73">
        <f t="shared" ca="1" si="861"/>
        <v>0</v>
      </c>
      <c r="BK188" s="64"/>
      <c r="BL188" s="74" t="s">
        <v>1256</v>
      </c>
      <c r="BM188" s="73">
        <f t="shared" ca="1" si="862"/>
        <v>0</v>
      </c>
      <c r="BN188" s="64"/>
      <c r="BO188" s="74" t="s">
        <v>1256</v>
      </c>
      <c r="BP188" s="73">
        <f t="shared" ca="1" si="863"/>
        <v>0</v>
      </c>
      <c r="BQ188" s="64"/>
      <c r="BR188" s="74" t="s">
        <v>1256</v>
      </c>
      <c r="BS188" s="73">
        <f t="shared" ca="1" si="864"/>
        <v>0</v>
      </c>
      <c r="BT188" s="64"/>
      <c r="BU188" s="74" t="s">
        <v>1256</v>
      </c>
      <c r="BV188" s="73">
        <f t="shared" ca="1" si="865"/>
        <v>0</v>
      </c>
      <c r="BW188" s="64"/>
      <c r="BX188" s="74" t="s">
        <v>1256</v>
      </c>
      <c r="BY188" s="73">
        <f t="shared" ca="1" si="866"/>
        <v>0</v>
      </c>
      <c r="BZ188" s="64"/>
      <c r="CA188" s="74" t="s">
        <v>1256</v>
      </c>
      <c r="CB188" s="73">
        <f t="shared" ca="1" si="867"/>
        <v>0</v>
      </c>
      <c r="CC188" s="64"/>
      <c r="CD188" s="74" t="s">
        <v>1256</v>
      </c>
      <c r="CE188" s="73">
        <f t="shared" ca="1" si="868"/>
        <v>0</v>
      </c>
      <c r="CF188" s="64"/>
      <c r="CG188" s="74" t="s">
        <v>1256</v>
      </c>
      <c r="CH188" s="73">
        <f t="shared" ca="1" si="869"/>
        <v>0</v>
      </c>
      <c r="CI188" s="64"/>
      <c r="CJ188" s="74" t="s">
        <v>1256</v>
      </c>
      <c r="CK188" s="73">
        <f t="shared" ca="1" si="870"/>
        <v>0</v>
      </c>
      <c r="CL188" s="64"/>
      <c r="CM188" s="74" t="s">
        <v>1256</v>
      </c>
      <c r="CN188" s="73">
        <f t="shared" ca="1" si="871"/>
        <v>0</v>
      </c>
      <c r="CO188" s="64"/>
      <c r="CP188" s="74" t="s">
        <v>1256</v>
      </c>
      <c r="CQ188" s="73">
        <f t="shared" ca="1" si="872"/>
        <v>0</v>
      </c>
      <c r="CR188" s="64"/>
      <c r="CS188" s="74" t="s">
        <v>1256</v>
      </c>
      <c r="CT188" s="73">
        <f t="shared" ca="1" si="873"/>
        <v>0</v>
      </c>
      <c r="CU188" s="64"/>
      <c r="CV188" s="74" t="s">
        <v>1256</v>
      </c>
      <c r="CW188" s="73">
        <f t="shared" ca="1" si="874"/>
        <v>0</v>
      </c>
      <c r="CX188" s="64"/>
      <c r="CY188" s="74" t="s">
        <v>1256</v>
      </c>
      <c r="CZ188" s="73">
        <f t="shared" ca="1" si="875"/>
        <v>0</v>
      </c>
      <c r="DA188" s="64"/>
      <c r="DB188" s="74" t="s">
        <v>1256</v>
      </c>
      <c r="DC188" s="73">
        <f t="shared" ca="1" si="876"/>
        <v>0</v>
      </c>
      <c r="DD188" s="64"/>
      <c r="DE188" s="74" t="s">
        <v>1256</v>
      </c>
      <c r="DF188" s="73">
        <f t="shared" ca="1" si="877"/>
        <v>0</v>
      </c>
      <c r="DG188" s="64"/>
      <c r="DH188" s="74" t="s">
        <v>1256</v>
      </c>
      <c r="DI188" s="73">
        <f t="shared" ca="1" si="878"/>
        <v>0</v>
      </c>
      <c r="DJ188" s="64"/>
      <c r="DK188" s="74" t="s">
        <v>1256</v>
      </c>
      <c r="DL188" s="73">
        <f t="shared" ca="1" si="879"/>
        <v>0</v>
      </c>
      <c r="DM188" s="64"/>
      <c r="DN188" s="795" t="s">
        <v>1256</v>
      </c>
      <c r="DO188" s="73">
        <f t="shared" ca="1" si="880"/>
        <v>0</v>
      </c>
      <c r="DP188" s="64"/>
      <c r="DQ188" s="795" t="s">
        <v>1256</v>
      </c>
      <c r="DR188" s="73">
        <f t="shared" ca="1" si="881"/>
        <v>0</v>
      </c>
      <c r="DS188" s="64"/>
      <c r="DT188" s="74" t="s">
        <v>1318</v>
      </c>
      <c r="DU188" s="73">
        <f t="shared" ca="1" si="882"/>
        <v>0</v>
      </c>
      <c r="DV188" s="64"/>
      <c r="DW188" s="74" t="s">
        <v>1256</v>
      </c>
      <c r="DX188" s="73">
        <f t="shared" ca="1" si="883"/>
        <v>0</v>
      </c>
      <c r="DY188" s="64"/>
      <c r="DZ188" s="74" t="s">
        <v>1256</v>
      </c>
      <c r="EA188" s="73">
        <f t="shared" ca="1" si="884"/>
        <v>0</v>
      </c>
      <c r="EB188" s="64"/>
      <c r="EC188" s="74" t="s">
        <v>1256</v>
      </c>
      <c r="ED188" s="73">
        <f t="shared" ca="1" si="885"/>
        <v>0</v>
      </c>
      <c r="EE188" s="64"/>
      <c r="EF188" s="74" t="s">
        <v>1318</v>
      </c>
      <c r="EG188" s="73">
        <f t="shared" ca="1" si="886"/>
        <v>0</v>
      </c>
      <c r="EH188" s="64"/>
      <c r="EI188" s="74" t="s">
        <v>1256</v>
      </c>
      <c r="EJ188" s="73">
        <f t="shared" ca="1" si="887"/>
        <v>0</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WORLDCUP!AA127</f>
        <v>W85</v>
      </c>
      <c r="N189" s="25"/>
      <c r="O189" s="25"/>
      <c r="P189" s="25"/>
      <c r="Q189" s="25"/>
      <c r="R189" s="110"/>
      <c r="S189" s="74" t="s">
        <v>1558</v>
      </c>
      <c r="T189" s="73">
        <f t="shared" ca="1" si="847"/>
        <v>0</v>
      </c>
      <c r="U189" s="64"/>
      <c r="V189" s="74" t="s">
        <v>75</v>
      </c>
      <c r="W189" s="73">
        <f t="shared" ca="1" si="848"/>
        <v>0</v>
      </c>
      <c r="X189" s="64"/>
      <c r="Y189" s="74" t="s">
        <v>1261</v>
      </c>
      <c r="Z189" s="73">
        <f t="shared" ca="1" si="849"/>
        <v>0</v>
      </c>
      <c r="AA189" s="64"/>
      <c r="AB189" s="74" t="s">
        <v>75</v>
      </c>
      <c r="AC189" s="73">
        <f t="shared" ca="1" si="850"/>
        <v>0</v>
      </c>
      <c r="AD189" s="64"/>
      <c r="AE189" s="74" t="s">
        <v>75</v>
      </c>
      <c r="AF189" s="73">
        <f t="shared" ca="1" si="851"/>
        <v>0</v>
      </c>
      <c r="AG189" s="64"/>
      <c r="AH189" s="74" t="s">
        <v>75</v>
      </c>
      <c r="AI189" s="73">
        <f t="shared" ca="1" si="852"/>
        <v>0</v>
      </c>
      <c r="AJ189" s="64"/>
      <c r="AK189" s="74" t="s">
        <v>75</v>
      </c>
      <c r="AL189" s="73">
        <f t="shared" ca="1" si="853"/>
        <v>0</v>
      </c>
      <c r="AM189" s="64"/>
      <c r="AN189" s="74" t="s">
        <v>80</v>
      </c>
      <c r="AO189" s="73">
        <f t="shared" ca="1" si="854"/>
        <v>0</v>
      </c>
      <c r="AP189" s="64"/>
      <c r="AQ189" s="74" t="s">
        <v>75</v>
      </c>
      <c r="AR189" s="73">
        <f t="shared" ca="1" si="855"/>
        <v>0</v>
      </c>
      <c r="AS189" s="64"/>
      <c r="AT189" s="74" t="s">
        <v>75</v>
      </c>
      <c r="AU189" s="73">
        <f t="shared" ca="1" si="856"/>
        <v>0</v>
      </c>
      <c r="AV189" s="64"/>
      <c r="AW189" s="74" t="s">
        <v>80</v>
      </c>
      <c r="AX189" s="73">
        <f t="shared" ca="1" si="857"/>
        <v>0</v>
      </c>
      <c r="AY189" s="64"/>
      <c r="AZ189" s="74" t="s">
        <v>1266</v>
      </c>
      <c r="BA189" s="73">
        <f t="shared" ca="1" si="858"/>
        <v>0</v>
      </c>
      <c r="BB189" s="64"/>
      <c r="BC189" s="74" t="s">
        <v>75</v>
      </c>
      <c r="BD189" s="73">
        <f t="shared" ca="1" si="859"/>
        <v>0</v>
      </c>
      <c r="BE189" s="64"/>
      <c r="BF189" s="74" t="s">
        <v>75</v>
      </c>
      <c r="BG189" s="73">
        <f t="shared" ca="1" si="860"/>
        <v>0</v>
      </c>
      <c r="BH189" s="64"/>
      <c r="BI189" s="74" t="s">
        <v>75</v>
      </c>
      <c r="BJ189" s="73">
        <f t="shared" ca="1" si="861"/>
        <v>0</v>
      </c>
      <c r="BK189" s="64"/>
      <c r="BL189" s="74" t="s">
        <v>75</v>
      </c>
      <c r="BM189" s="73">
        <f t="shared" ca="1" si="862"/>
        <v>0</v>
      </c>
      <c r="BN189" s="64"/>
      <c r="BO189" s="74" t="s">
        <v>75</v>
      </c>
      <c r="BP189" s="73">
        <f t="shared" ca="1" si="863"/>
        <v>0</v>
      </c>
      <c r="BQ189" s="64"/>
      <c r="BR189" s="74" t="s">
        <v>75</v>
      </c>
      <c r="BS189" s="73">
        <f t="shared" ca="1" si="864"/>
        <v>0</v>
      </c>
      <c r="BT189" s="64"/>
      <c r="BU189" s="74" t="s">
        <v>75</v>
      </c>
      <c r="BV189" s="73">
        <f t="shared" ca="1" si="865"/>
        <v>0</v>
      </c>
      <c r="BW189" s="64"/>
      <c r="BX189" s="74" t="s">
        <v>75</v>
      </c>
      <c r="BY189" s="73">
        <f t="shared" ca="1" si="866"/>
        <v>0</v>
      </c>
      <c r="BZ189" s="64"/>
      <c r="CA189" s="74" t="s">
        <v>75</v>
      </c>
      <c r="CB189" s="73">
        <f t="shared" ca="1" si="867"/>
        <v>0</v>
      </c>
      <c r="CC189" s="64"/>
      <c r="CD189" s="74" t="s">
        <v>75</v>
      </c>
      <c r="CE189" s="73">
        <f t="shared" ca="1" si="868"/>
        <v>0</v>
      </c>
      <c r="CF189" s="64"/>
      <c r="CG189" s="74" t="s">
        <v>1259</v>
      </c>
      <c r="CH189" s="73">
        <f t="shared" ca="1" si="869"/>
        <v>4</v>
      </c>
      <c r="CI189" s="64"/>
      <c r="CJ189" s="74" t="s">
        <v>75</v>
      </c>
      <c r="CK189" s="73">
        <f t="shared" ca="1" si="870"/>
        <v>0</v>
      </c>
      <c r="CL189" s="64"/>
      <c r="CM189" s="74" t="s">
        <v>75</v>
      </c>
      <c r="CN189" s="73">
        <f t="shared" ca="1" si="871"/>
        <v>0</v>
      </c>
      <c r="CO189" s="64"/>
      <c r="CP189" s="74" t="s">
        <v>75</v>
      </c>
      <c r="CQ189" s="73">
        <f t="shared" ca="1" si="872"/>
        <v>0</v>
      </c>
      <c r="CR189" s="64"/>
      <c r="CS189" s="74" t="s">
        <v>75</v>
      </c>
      <c r="CT189" s="73">
        <f t="shared" ca="1" si="873"/>
        <v>0</v>
      </c>
      <c r="CU189" s="64"/>
      <c r="CV189" s="74" t="s">
        <v>75</v>
      </c>
      <c r="CW189" s="73">
        <f t="shared" ca="1" si="874"/>
        <v>0</v>
      </c>
      <c r="CX189" s="64"/>
      <c r="CY189" s="74" t="s">
        <v>75</v>
      </c>
      <c r="CZ189" s="73">
        <f t="shared" ca="1" si="875"/>
        <v>0</v>
      </c>
      <c r="DA189" s="64"/>
      <c r="DB189" s="74" t="s">
        <v>75</v>
      </c>
      <c r="DC189" s="73">
        <f t="shared" ca="1" si="876"/>
        <v>0</v>
      </c>
      <c r="DD189" s="64"/>
      <c r="DE189" s="74" t="s">
        <v>75</v>
      </c>
      <c r="DF189" s="73">
        <f t="shared" ca="1" si="877"/>
        <v>0</v>
      </c>
      <c r="DG189" s="64"/>
      <c r="DH189" s="74" t="s">
        <v>75</v>
      </c>
      <c r="DI189" s="73">
        <f t="shared" ca="1" si="878"/>
        <v>0</v>
      </c>
      <c r="DJ189" s="64"/>
      <c r="DK189" s="74" t="s">
        <v>75</v>
      </c>
      <c r="DL189" s="73">
        <f t="shared" ca="1" si="879"/>
        <v>0</v>
      </c>
      <c r="DM189" s="64"/>
      <c r="DN189" s="795" t="s">
        <v>75</v>
      </c>
      <c r="DO189" s="73">
        <f t="shared" ca="1" si="880"/>
        <v>0</v>
      </c>
      <c r="DP189" s="64"/>
      <c r="DQ189" s="795" t="s">
        <v>75</v>
      </c>
      <c r="DR189" s="73">
        <f t="shared" ca="1" si="881"/>
        <v>0</v>
      </c>
      <c r="DS189" s="64"/>
      <c r="DT189" s="74" t="s">
        <v>75</v>
      </c>
      <c r="DU189" s="73">
        <f t="shared" ca="1" si="882"/>
        <v>0</v>
      </c>
      <c r="DV189" s="64"/>
      <c r="DW189" s="74" t="s">
        <v>75</v>
      </c>
      <c r="DX189" s="73">
        <f t="shared" ca="1" si="883"/>
        <v>0</v>
      </c>
      <c r="DY189" s="64"/>
      <c r="DZ189" s="74" t="s">
        <v>1259</v>
      </c>
      <c r="EA189" s="73">
        <f t="shared" ca="1" si="884"/>
        <v>4</v>
      </c>
      <c r="EB189" s="64"/>
      <c r="EC189" s="74" t="s">
        <v>75</v>
      </c>
      <c r="ED189" s="73">
        <f t="shared" ca="1" si="885"/>
        <v>0</v>
      </c>
      <c r="EE189" s="64"/>
      <c r="EF189" s="74" t="s">
        <v>75</v>
      </c>
      <c r="EG189" s="73">
        <f t="shared" ca="1" si="886"/>
        <v>0</v>
      </c>
      <c r="EH189" s="64"/>
      <c r="EI189" s="74" t="s">
        <v>75</v>
      </c>
      <c r="EJ189" s="73">
        <f t="shared" ca="1" si="887"/>
        <v>0</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WORLDCUP!AF123</f>
        <v>W80</v>
      </c>
      <c r="N193" s="25"/>
      <c r="O193" s="25"/>
      <c r="P193" s="25"/>
      <c r="Q193" s="25"/>
      <c r="R193" s="110"/>
      <c r="S193" s="74" t="s">
        <v>76</v>
      </c>
      <c r="T193" s="73">
        <f t="shared" ca="1" si="847"/>
        <v>0</v>
      </c>
      <c r="U193" s="64"/>
      <c r="V193" s="74" t="s">
        <v>76</v>
      </c>
      <c r="W193" s="73">
        <f t="shared" ca="1" si="848"/>
        <v>0</v>
      </c>
      <c r="X193" s="64"/>
      <c r="Y193" s="74" t="s">
        <v>76</v>
      </c>
      <c r="Z193" s="73">
        <f t="shared" ca="1" si="849"/>
        <v>0</v>
      </c>
      <c r="AA193" s="64"/>
      <c r="AB193" s="74" t="s">
        <v>76</v>
      </c>
      <c r="AC193" s="73">
        <f t="shared" ca="1" si="850"/>
        <v>0</v>
      </c>
      <c r="AD193" s="64"/>
      <c r="AE193" s="74" t="s">
        <v>76</v>
      </c>
      <c r="AF193" s="73">
        <f t="shared" ca="1" si="851"/>
        <v>0</v>
      </c>
      <c r="AG193" s="64"/>
      <c r="AH193" s="74" t="s">
        <v>78</v>
      </c>
      <c r="AI193" s="73">
        <f t="shared" ca="1" si="852"/>
        <v>0</v>
      </c>
      <c r="AJ193" s="64"/>
      <c r="AK193" s="74" t="s">
        <v>76</v>
      </c>
      <c r="AL193" s="73">
        <f t="shared" ca="1" si="853"/>
        <v>0</v>
      </c>
      <c r="AM193" s="64"/>
      <c r="AN193" s="74" t="s">
        <v>76</v>
      </c>
      <c r="AO193" s="73">
        <f t="shared" ca="1" si="854"/>
        <v>0</v>
      </c>
      <c r="AP193" s="64"/>
      <c r="AQ193" s="74" t="s">
        <v>76</v>
      </c>
      <c r="AR193" s="73">
        <f t="shared" ca="1" si="855"/>
        <v>0</v>
      </c>
      <c r="AS193" s="64"/>
      <c r="AT193" s="74" t="s">
        <v>76</v>
      </c>
      <c r="AU193" s="73">
        <f t="shared" ca="1" si="856"/>
        <v>0</v>
      </c>
      <c r="AV193" s="64"/>
      <c r="AW193" s="74" t="s">
        <v>76</v>
      </c>
      <c r="AX193" s="73">
        <f t="shared" ca="1" si="857"/>
        <v>0</v>
      </c>
      <c r="AY193" s="64"/>
      <c r="AZ193" s="74" t="s">
        <v>76</v>
      </c>
      <c r="BA193" s="73">
        <f t="shared" ca="1" si="858"/>
        <v>0</v>
      </c>
      <c r="BB193" s="64"/>
      <c r="BC193" s="74" t="s">
        <v>78</v>
      </c>
      <c r="BD193" s="73">
        <f t="shared" ca="1" si="859"/>
        <v>0</v>
      </c>
      <c r="BE193" s="64"/>
      <c r="BF193" s="74" t="s">
        <v>76</v>
      </c>
      <c r="BG193" s="73">
        <f t="shared" ca="1" si="860"/>
        <v>0</v>
      </c>
      <c r="BH193" s="64"/>
      <c r="BI193" s="74" t="s">
        <v>76</v>
      </c>
      <c r="BJ193" s="73">
        <f t="shared" ca="1" si="861"/>
        <v>0</v>
      </c>
      <c r="BK193" s="64"/>
      <c r="BL193" s="74" t="s">
        <v>76</v>
      </c>
      <c r="BM193" s="73">
        <f t="shared" ca="1" si="862"/>
        <v>0</v>
      </c>
      <c r="BN193" s="64"/>
      <c r="BO193" s="74" t="s">
        <v>76</v>
      </c>
      <c r="BP193" s="73">
        <f t="shared" ca="1" si="863"/>
        <v>0</v>
      </c>
      <c r="BQ193" s="64"/>
      <c r="BR193" s="74" t="s">
        <v>76</v>
      </c>
      <c r="BS193" s="73">
        <f t="shared" ca="1" si="864"/>
        <v>0</v>
      </c>
      <c r="BT193" s="64"/>
      <c r="BU193" s="74" t="s">
        <v>76</v>
      </c>
      <c r="BV193" s="73">
        <f t="shared" ca="1" si="865"/>
        <v>0</v>
      </c>
      <c r="BW193" s="64"/>
      <c r="BX193" s="74" t="s">
        <v>76</v>
      </c>
      <c r="BY193" s="73">
        <f t="shared" ca="1" si="866"/>
        <v>0</v>
      </c>
      <c r="BZ193" s="64"/>
      <c r="CA193" s="74" t="s">
        <v>76</v>
      </c>
      <c r="CB193" s="73">
        <f t="shared" ca="1" si="867"/>
        <v>0</v>
      </c>
      <c r="CC193" s="64"/>
      <c r="CD193" s="74" t="s">
        <v>78</v>
      </c>
      <c r="CE193" s="73">
        <f t="shared" ca="1" si="868"/>
        <v>0</v>
      </c>
      <c r="CF193" s="64"/>
      <c r="CG193" s="74" t="s">
        <v>76</v>
      </c>
      <c r="CH193" s="73">
        <f t="shared" ca="1" si="869"/>
        <v>0</v>
      </c>
      <c r="CI193" s="64"/>
      <c r="CJ193" s="74" t="s">
        <v>76</v>
      </c>
      <c r="CK193" s="73">
        <f t="shared" ca="1" si="870"/>
        <v>0</v>
      </c>
      <c r="CL193" s="64"/>
      <c r="CM193" s="74" t="s">
        <v>76</v>
      </c>
      <c r="CN193" s="73">
        <f t="shared" ca="1" si="871"/>
        <v>0</v>
      </c>
      <c r="CO193" s="64"/>
      <c r="CP193" s="74" t="s">
        <v>76</v>
      </c>
      <c r="CQ193" s="73">
        <f t="shared" ca="1" si="872"/>
        <v>0</v>
      </c>
      <c r="CR193" s="64"/>
      <c r="CS193" s="74" t="s">
        <v>76</v>
      </c>
      <c r="CT193" s="73">
        <f t="shared" ca="1" si="873"/>
        <v>0</v>
      </c>
      <c r="CU193" s="64"/>
      <c r="CV193" s="74" t="s">
        <v>76</v>
      </c>
      <c r="CW193" s="73">
        <f t="shared" ca="1" si="874"/>
        <v>0</v>
      </c>
      <c r="CX193" s="64"/>
      <c r="CY193" s="74" t="s">
        <v>76</v>
      </c>
      <c r="CZ193" s="73">
        <f t="shared" ca="1" si="875"/>
        <v>0</v>
      </c>
      <c r="DA193" s="64"/>
      <c r="DB193" s="74" t="s">
        <v>76</v>
      </c>
      <c r="DC193" s="73">
        <f t="shared" ca="1" si="876"/>
        <v>0</v>
      </c>
      <c r="DD193" s="64"/>
      <c r="DE193" s="74" t="s">
        <v>135</v>
      </c>
      <c r="DF193" s="73">
        <f t="shared" ca="1" si="877"/>
        <v>4</v>
      </c>
      <c r="DG193" s="64"/>
      <c r="DH193" s="74" t="s">
        <v>76</v>
      </c>
      <c r="DI193" s="73">
        <f t="shared" ca="1" si="878"/>
        <v>0</v>
      </c>
      <c r="DJ193" s="64"/>
      <c r="DK193" s="74" t="s">
        <v>1634</v>
      </c>
      <c r="DL193" s="73">
        <f t="shared" ca="1" si="879"/>
        <v>0</v>
      </c>
      <c r="DM193" s="64"/>
      <c r="DN193" s="795" t="s">
        <v>76</v>
      </c>
      <c r="DO193" s="73">
        <f t="shared" ca="1" si="880"/>
        <v>0</v>
      </c>
      <c r="DP193" s="64"/>
      <c r="DQ193" s="795" t="s">
        <v>78</v>
      </c>
      <c r="DR193" s="73">
        <f t="shared" ca="1" si="881"/>
        <v>0</v>
      </c>
      <c r="DS193" s="64"/>
      <c r="DT193" s="74" t="s">
        <v>78</v>
      </c>
      <c r="DU193" s="73">
        <f t="shared" ca="1" si="882"/>
        <v>0</v>
      </c>
      <c r="DV193" s="64"/>
      <c r="DW193" s="74" t="s">
        <v>76</v>
      </c>
      <c r="DX193" s="73">
        <f t="shared" ca="1" si="883"/>
        <v>0</v>
      </c>
      <c r="DY193" s="64"/>
      <c r="DZ193" s="74" t="s">
        <v>76</v>
      </c>
      <c r="EA193" s="73">
        <f t="shared" ca="1" si="884"/>
        <v>0</v>
      </c>
      <c r="EB193" s="64"/>
      <c r="EC193" s="74" t="s">
        <v>76</v>
      </c>
      <c r="ED193" s="73">
        <f t="shared" ca="1" si="885"/>
        <v>0</v>
      </c>
      <c r="EE193" s="64"/>
      <c r="EF193" s="74" t="s">
        <v>76</v>
      </c>
      <c r="EG193" s="73">
        <f t="shared" ca="1" si="886"/>
        <v>0</v>
      </c>
      <c r="EH193" s="64"/>
      <c r="EI193" s="74" t="s">
        <v>76</v>
      </c>
      <c r="EJ193" s="73">
        <f t="shared" ca="1" si="887"/>
        <v>0</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WORLDCUP!AF124</f>
        <v>W84</v>
      </c>
      <c r="N194" s="25"/>
      <c r="O194" s="25"/>
      <c r="P194" s="25"/>
      <c r="Q194" s="25"/>
      <c r="R194" s="110"/>
      <c r="S194" s="74" t="s">
        <v>38</v>
      </c>
      <c r="T194" s="73">
        <f t="shared" ca="1" si="847"/>
        <v>0</v>
      </c>
      <c r="U194" s="64"/>
      <c r="V194" s="74" t="s">
        <v>38</v>
      </c>
      <c r="W194" s="73">
        <f t="shared" ca="1" si="848"/>
        <v>0</v>
      </c>
      <c r="X194" s="64"/>
      <c r="Y194" s="74" t="s">
        <v>38</v>
      </c>
      <c r="Z194" s="73">
        <f t="shared" ca="1" si="849"/>
        <v>0</v>
      </c>
      <c r="AA194" s="64"/>
      <c r="AB194" s="74" t="s">
        <v>38</v>
      </c>
      <c r="AC194" s="73">
        <f t="shared" ca="1" si="850"/>
        <v>0</v>
      </c>
      <c r="AD194" s="64"/>
      <c r="AE194" s="74" t="s">
        <v>38</v>
      </c>
      <c r="AF194" s="73">
        <f t="shared" ca="1" si="851"/>
        <v>0</v>
      </c>
      <c r="AG194" s="64"/>
      <c r="AH194" s="74" t="s">
        <v>38</v>
      </c>
      <c r="AI194" s="73">
        <f t="shared" ca="1" si="852"/>
        <v>0</v>
      </c>
      <c r="AJ194" s="64"/>
      <c r="AK194" s="74" t="s">
        <v>38</v>
      </c>
      <c r="AL194" s="73">
        <f t="shared" ca="1" si="853"/>
        <v>0</v>
      </c>
      <c r="AM194" s="64"/>
      <c r="AN194" s="74" t="s">
        <v>38</v>
      </c>
      <c r="AO194" s="73">
        <f t="shared" ca="1" si="854"/>
        <v>0</v>
      </c>
      <c r="AP194" s="64"/>
      <c r="AQ194" s="74" t="s">
        <v>38</v>
      </c>
      <c r="AR194" s="73">
        <f t="shared" ca="1" si="855"/>
        <v>0</v>
      </c>
      <c r="AS194" s="64"/>
      <c r="AT194" s="74" t="s">
        <v>38</v>
      </c>
      <c r="AU194" s="73">
        <f t="shared" ca="1" si="856"/>
        <v>0</v>
      </c>
      <c r="AV194" s="64"/>
      <c r="AW194" s="74" t="s">
        <v>38</v>
      </c>
      <c r="AX194" s="73">
        <f t="shared" ca="1" si="857"/>
        <v>0</v>
      </c>
      <c r="AY194" s="64"/>
      <c r="AZ194" s="74" t="s">
        <v>38</v>
      </c>
      <c r="BA194" s="73">
        <f t="shared" ca="1" si="858"/>
        <v>0</v>
      </c>
      <c r="BB194" s="64"/>
      <c r="BC194" s="74" t="s">
        <v>38</v>
      </c>
      <c r="BD194" s="73">
        <f t="shared" ca="1" si="859"/>
        <v>0</v>
      </c>
      <c r="BE194" s="64"/>
      <c r="BF194" s="74" t="s">
        <v>38</v>
      </c>
      <c r="BG194" s="73">
        <f t="shared" ca="1" si="860"/>
        <v>0</v>
      </c>
      <c r="BH194" s="64"/>
      <c r="BI194" s="74" t="s">
        <v>38</v>
      </c>
      <c r="BJ194" s="73">
        <f t="shared" ca="1" si="861"/>
        <v>0</v>
      </c>
      <c r="BK194" s="64"/>
      <c r="BL194" s="74" t="s">
        <v>38</v>
      </c>
      <c r="BM194" s="73">
        <f t="shared" ca="1" si="862"/>
        <v>0</v>
      </c>
      <c r="BN194" s="64"/>
      <c r="BO194" s="74" t="s">
        <v>38</v>
      </c>
      <c r="BP194" s="73">
        <f t="shared" ca="1" si="863"/>
        <v>0</v>
      </c>
      <c r="BQ194" s="64"/>
      <c r="BR194" s="74" t="s">
        <v>38</v>
      </c>
      <c r="BS194" s="73">
        <f t="shared" ca="1" si="864"/>
        <v>0</v>
      </c>
      <c r="BT194" s="64"/>
      <c r="BU194" s="74" t="s">
        <v>38</v>
      </c>
      <c r="BV194" s="73">
        <f t="shared" ca="1" si="865"/>
        <v>0</v>
      </c>
      <c r="BW194" s="64"/>
      <c r="BX194" s="74" t="s">
        <v>38</v>
      </c>
      <c r="BY194" s="73">
        <f t="shared" ca="1" si="866"/>
        <v>0</v>
      </c>
      <c r="BZ194" s="64"/>
      <c r="CA194" s="74" t="s">
        <v>38</v>
      </c>
      <c r="CB194" s="73">
        <f t="shared" ca="1" si="867"/>
        <v>0</v>
      </c>
      <c r="CC194" s="64"/>
      <c r="CD194" s="74" t="s">
        <v>38</v>
      </c>
      <c r="CE194" s="73">
        <f t="shared" ca="1" si="868"/>
        <v>0</v>
      </c>
      <c r="CF194" s="64"/>
      <c r="CG194" s="74" t="s">
        <v>38</v>
      </c>
      <c r="CH194" s="73">
        <f t="shared" ca="1" si="869"/>
        <v>0</v>
      </c>
      <c r="CI194" s="64"/>
      <c r="CJ194" s="74" t="s">
        <v>38</v>
      </c>
      <c r="CK194" s="73">
        <f t="shared" ca="1" si="870"/>
        <v>0</v>
      </c>
      <c r="CL194" s="64"/>
      <c r="CM194" s="74" t="s">
        <v>38</v>
      </c>
      <c r="CN194" s="73">
        <f t="shared" ca="1" si="871"/>
        <v>0</v>
      </c>
      <c r="CO194" s="64"/>
      <c r="CP194" s="74" t="s">
        <v>38</v>
      </c>
      <c r="CQ194" s="73">
        <f t="shared" ca="1" si="872"/>
        <v>0</v>
      </c>
      <c r="CR194" s="64"/>
      <c r="CS194" s="74" t="s">
        <v>38</v>
      </c>
      <c r="CT194" s="73">
        <f t="shared" ca="1" si="873"/>
        <v>0</v>
      </c>
      <c r="CU194" s="64"/>
      <c r="CV194" s="74" t="s">
        <v>38</v>
      </c>
      <c r="CW194" s="73">
        <f t="shared" ca="1" si="874"/>
        <v>0</v>
      </c>
      <c r="CX194" s="64"/>
      <c r="CY194" s="74" t="s">
        <v>38</v>
      </c>
      <c r="CZ194" s="73">
        <f t="shared" ca="1" si="875"/>
        <v>0</v>
      </c>
      <c r="DA194" s="64"/>
      <c r="DB194" s="74" t="s">
        <v>38</v>
      </c>
      <c r="DC194" s="73">
        <f t="shared" ca="1" si="876"/>
        <v>0</v>
      </c>
      <c r="DD194" s="64"/>
      <c r="DE194" s="74" t="s">
        <v>38</v>
      </c>
      <c r="DF194" s="73">
        <f t="shared" ca="1" si="877"/>
        <v>0</v>
      </c>
      <c r="DG194" s="64"/>
      <c r="DH194" s="74" t="s">
        <v>38</v>
      </c>
      <c r="DI194" s="73">
        <f t="shared" ca="1" si="878"/>
        <v>0</v>
      </c>
      <c r="DJ194" s="64"/>
      <c r="DK194" s="74" t="s">
        <v>38</v>
      </c>
      <c r="DL194" s="73">
        <f t="shared" ca="1" si="879"/>
        <v>0</v>
      </c>
      <c r="DM194" s="64"/>
      <c r="DN194" s="795" t="s">
        <v>38</v>
      </c>
      <c r="DO194" s="73">
        <f t="shared" ca="1" si="880"/>
        <v>0</v>
      </c>
      <c r="DP194" s="64"/>
      <c r="DQ194" s="795" t="s">
        <v>38</v>
      </c>
      <c r="DR194" s="73">
        <f t="shared" ca="1" si="881"/>
        <v>0</v>
      </c>
      <c r="DS194" s="64"/>
      <c r="DT194" s="74" t="s">
        <v>38</v>
      </c>
      <c r="DU194" s="73">
        <f t="shared" ca="1" si="882"/>
        <v>0</v>
      </c>
      <c r="DV194" s="64"/>
      <c r="DW194" s="74" t="s">
        <v>38</v>
      </c>
      <c r="DX194" s="73">
        <f t="shared" ca="1" si="883"/>
        <v>0</v>
      </c>
      <c r="DY194" s="64"/>
      <c r="DZ194" s="74" t="s">
        <v>38</v>
      </c>
      <c r="EA194" s="73">
        <f t="shared" ca="1" si="884"/>
        <v>0</v>
      </c>
      <c r="EB194" s="64"/>
      <c r="EC194" s="74" t="s">
        <v>38</v>
      </c>
      <c r="ED194" s="73">
        <f t="shared" ca="1" si="885"/>
        <v>0</v>
      </c>
      <c r="EE194" s="64"/>
      <c r="EF194" s="74" t="s">
        <v>38</v>
      </c>
      <c r="EG194" s="73">
        <f t="shared" ca="1" si="886"/>
        <v>0</v>
      </c>
      <c r="EH194" s="64"/>
      <c r="EI194" s="74" t="s">
        <v>38</v>
      </c>
      <c r="EJ194" s="73">
        <f t="shared" ca="1" si="887"/>
        <v>0</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WORLDCUP!AF125</f>
        <v>W82</v>
      </c>
      <c r="N195" s="25"/>
      <c r="O195" s="25"/>
      <c r="P195" s="25"/>
      <c r="Q195" s="25"/>
      <c r="R195" s="110"/>
      <c r="S195" s="74" t="s">
        <v>1843</v>
      </c>
      <c r="T195" s="73">
        <f t="shared" ca="1" si="847"/>
        <v>0</v>
      </c>
      <c r="U195" s="64"/>
      <c r="V195" s="74" t="s">
        <v>110</v>
      </c>
      <c r="W195" s="73">
        <f t="shared" ca="1" si="848"/>
        <v>0</v>
      </c>
      <c r="X195" s="64"/>
      <c r="Y195" s="74" t="s">
        <v>110</v>
      </c>
      <c r="Z195" s="73">
        <f t="shared" ca="1" si="849"/>
        <v>0</v>
      </c>
      <c r="AA195" s="64"/>
      <c r="AB195" s="74" t="s">
        <v>110</v>
      </c>
      <c r="AC195" s="73">
        <f t="shared" ca="1" si="850"/>
        <v>0</v>
      </c>
      <c r="AD195" s="64"/>
      <c r="AE195" s="74" t="s">
        <v>110</v>
      </c>
      <c r="AF195" s="73">
        <f t="shared" ca="1" si="851"/>
        <v>0</v>
      </c>
      <c r="AG195" s="64"/>
      <c r="AH195" s="74" t="s">
        <v>110</v>
      </c>
      <c r="AI195" s="73">
        <f t="shared" ca="1" si="852"/>
        <v>0</v>
      </c>
      <c r="AJ195" s="64"/>
      <c r="AK195" s="74" t="s">
        <v>110</v>
      </c>
      <c r="AL195" s="73">
        <f t="shared" ca="1" si="853"/>
        <v>0</v>
      </c>
      <c r="AM195" s="64"/>
      <c r="AN195" s="74" t="s">
        <v>110</v>
      </c>
      <c r="AO195" s="73">
        <f t="shared" ca="1" si="854"/>
        <v>0</v>
      </c>
      <c r="AP195" s="64"/>
      <c r="AQ195" s="74" t="s">
        <v>110</v>
      </c>
      <c r="AR195" s="73">
        <f t="shared" ca="1" si="855"/>
        <v>0</v>
      </c>
      <c r="AS195" s="64"/>
      <c r="AT195" s="74" t="s">
        <v>1634</v>
      </c>
      <c r="AU195" s="73">
        <f t="shared" ca="1" si="856"/>
        <v>0</v>
      </c>
      <c r="AV195" s="64"/>
      <c r="AW195" s="74" t="s">
        <v>110</v>
      </c>
      <c r="AX195" s="73">
        <f t="shared" ca="1" si="857"/>
        <v>0</v>
      </c>
      <c r="AY195" s="64"/>
      <c r="AZ195" s="74" t="s">
        <v>110</v>
      </c>
      <c r="BA195" s="73">
        <f t="shared" ca="1" si="858"/>
        <v>0</v>
      </c>
      <c r="BB195" s="64"/>
      <c r="BC195" s="74" t="s">
        <v>110</v>
      </c>
      <c r="BD195" s="73">
        <f t="shared" ca="1" si="859"/>
        <v>0</v>
      </c>
      <c r="BE195" s="64"/>
      <c r="BF195" s="74" t="s">
        <v>110</v>
      </c>
      <c r="BG195" s="73">
        <f t="shared" ca="1" si="860"/>
        <v>0</v>
      </c>
      <c r="BH195" s="64"/>
      <c r="BI195" s="74" t="s">
        <v>110</v>
      </c>
      <c r="BJ195" s="73">
        <f t="shared" ca="1" si="861"/>
        <v>0</v>
      </c>
      <c r="BK195" s="64"/>
      <c r="BL195" s="74" t="s">
        <v>110</v>
      </c>
      <c r="BM195" s="73">
        <f t="shared" ca="1" si="862"/>
        <v>0</v>
      </c>
      <c r="BN195" s="64"/>
      <c r="BO195" s="74" t="s">
        <v>110</v>
      </c>
      <c r="BP195" s="73">
        <f t="shared" ca="1" si="863"/>
        <v>0</v>
      </c>
      <c r="BQ195" s="64"/>
      <c r="BR195" s="74" t="s">
        <v>110</v>
      </c>
      <c r="BS195" s="73">
        <f t="shared" ca="1" si="864"/>
        <v>0</v>
      </c>
      <c r="BT195" s="64"/>
      <c r="BU195" s="74" t="s">
        <v>110</v>
      </c>
      <c r="BV195" s="73">
        <f t="shared" ca="1" si="865"/>
        <v>0</v>
      </c>
      <c r="BW195" s="64"/>
      <c r="BX195" s="74" t="s">
        <v>135</v>
      </c>
      <c r="BY195" s="73">
        <f t="shared" ca="1" si="866"/>
        <v>4</v>
      </c>
      <c r="BZ195" s="64"/>
      <c r="CA195" s="74" t="s">
        <v>110</v>
      </c>
      <c r="CB195" s="73">
        <f t="shared" ca="1" si="867"/>
        <v>0</v>
      </c>
      <c r="CC195" s="64"/>
      <c r="CD195" s="74" t="s">
        <v>110</v>
      </c>
      <c r="CE195" s="73">
        <f t="shared" ca="1" si="868"/>
        <v>0</v>
      </c>
      <c r="CF195" s="64"/>
      <c r="CG195" s="74" t="s">
        <v>135</v>
      </c>
      <c r="CH195" s="73">
        <f t="shared" ca="1" si="869"/>
        <v>4</v>
      </c>
      <c r="CI195" s="64"/>
      <c r="CJ195" s="74" t="s">
        <v>110</v>
      </c>
      <c r="CK195" s="73">
        <f t="shared" ca="1" si="870"/>
        <v>0</v>
      </c>
      <c r="CL195" s="64"/>
      <c r="CM195" s="74" t="s">
        <v>1843</v>
      </c>
      <c r="CN195" s="73">
        <f t="shared" ca="1" si="871"/>
        <v>0</v>
      </c>
      <c r="CO195" s="64"/>
      <c r="CP195" s="74" t="s">
        <v>110</v>
      </c>
      <c r="CQ195" s="73">
        <f t="shared" ca="1" si="872"/>
        <v>0</v>
      </c>
      <c r="CR195" s="64"/>
      <c r="CS195" s="74" t="s">
        <v>110</v>
      </c>
      <c r="CT195" s="73">
        <f t="shared" ca="1" si="873"/>
        <v>0</v>
      </c>
      <c r="CU195" s="64"/>
      <c r="CV195" s="74" t="s">
        <v>110</v>
      </c>
      <c r="CW195" s="73">
        <f t="shared" ca="1" si="874"/>
        <v>0</v>
      </c>
      <c r="CX195" s="64"/>
      <c r="CY195" s="74" t="s">
        <v>110</v>
      </c>
      <c r="CZ195" s="73">
        <f t="shared" ca="1" si="875"/>
        <v>0</v>
      </c>
      <c r="DA195" s="64"/>
      <c r="DB195" s="74" t="s">
        <v>110</v>
      </c>
      <c r="DC195" s="73">
        <f t="shared" ca="1" si="876"/>
        <v>0</v>
      </c>
      <c r="DD195" s="64"/>
      <c r="DE195" s="74" t="s">
        <v>110</v>
      </c>
      <c r="DF195" s="73">
        <f t="shared" ca="1" si="877"/>
        <v>0</v>
      </c>
      <c r="DG195" s="64"/>
      <c r="DH195" s="74" t="s">
        <v>110</v>
      </c>
      <c r="DI195" s="73">
        <f t="shared" ca="1" si="878"/>
        <v>0</v>
      </c>
      <c r="DJ195" s="64"/>
      <c r="DK195" s="74" t="s">
        <v>110</v>
      </c>
      <c r="DL195" s="73">
        <f t="shared" ca="1" si="879"/>
        <v>0</v>
      </c>
      <c r="DM195" s="64"/>
      <c r="DN195" s="795" t="s">
        <v>110</v>
      </c>
      <c r="DO195" s="73">
        <f t="shared" ca="1" si="880"/>
        <v>0</v>
      </c>
      <c r="DP195" s="64"/>
      <c r="DQ195" s="795" t="s">
        <v>135</v>
      </c>
      <c r="DR195" s="73">
        <f t="shared" ca="1" si="881"/>
        <v>4</v>
      </c>
      <c r="DS195" s="64"/>
      <c r="DT195" s="74" t="s">
        <v>110</v>
      </c>
      <c r="DU195" s="73">
        <f t="shared" ca="1" si="882"/>
        <v>0</v>
      </c>
      <c r="DV195" s="64"/>
      <c r="DW195" s="74" t="s">
        <v>1558</v>
      </c>
      <c r="DX195" s="73">
        <f t="shared" ca="1" si="883"/>
        <v>0</v>
      </c>
      <c r="DY195" s="64"/>
      <c r="DZ195" s="74" t="s">
        <v>110</v>
      </c>
      <c r="EA195" s="73">
        <f t="shared" ca="1" si="884"/>
        <v>0</v>
      </c>
      <c r="EB195" s="64"/>
      <c r="EC195" s="74" t="s">
        <v>110</v>
      </c>
      <c r="ED195" s="73">
        <f t="shared" ca="1" si="885"/>
        <v>0</v>
      </c>
      <c r="EE195" s="64"/>
      <c r="EF195" s="74" t="s">
        <v>110</v>
      </c>
      <c r="EG195" s="73">
        <f t="shared" ca="1" si="886"/>
        <v>0</v>
      </c>
      <c r="EH195" s="64"/>
      <c r="EI195" s="74" t="s">
        <v>110</v>
      </c>
      <c r="EJ195" s="73">
        <f t="shared" ca="1" si="887"/>
        <v>0</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WORLDCUP!AF126</f>
        <v>W88</v>
      </c>
      <c r="N196" s="25"/>
      <c r="O196" s="25"/>
      <c r="P196" s="25"/>
      <c r="Q196" s="25"/>
      <c r="R196" s="110"/>
      <c r="S196" s="74" t="s">
        <v>1835</v>
      </c>
      <c r="T196" s="73">
        <f t="shared" ca="1" si="847"/>
        <v>0</v>
      </c>
      <c r="U196" s="64"/>
      <c r="V196" s="74" t="s">
        <v>497</v>
      </c>
      <c r="W196" s="73">
        <f t="shared" ca="1" si="848"/>
        <v>0</v>
      </c>
      <c r="X196" s="64"/>
      <c r="Y196" s="74" t="s">
        <v>1550</v>
      </c>
      <c r="Z196" s="73">
        <f t="shared" ca="1" si="849"/>
        <v>0</v>
      </c>
      <c r="AA196" s="64"/>
      <c r="AB196" s="74" t="s">
        <v>497</v>
      </c>
      <c r="AC196" s="73">
        <f t="shared" ca="1" si="850"/>
        <v>0</v>
      </c>
      <c r="AD196" s="64"/>
      <c r="AE196" s="74" t="s">
        <v>1835</v>
      </c>
      <c r="AF196" s="73">
        <f t="shared" ca="1" si="851"/>
        <v>0</v>
      </c>
      <c r="AG196" s="64"/>
      <c r="AH196" s="74" t="s">
        <v>1835</v>
      </c>
      <c r="AI196" s="73">
        <f t="shared" ca="1" si="852"/>
        <v>0</v>
      </c>
      <c r="AJ196" s="64"/>
      <c r="AK196" s="74" t="s">
        <v>1550</v>
      </c>
      <c r="AL196" s="73">
        <f t="shared" ca="1" si="853"/>
        <v>0</v>
      </c>
      <c r="AM196" s="64"/>
      <c r="AN196" s="74" t="s">
        <v>497</v>
      </c>
      <c r="AO196" s="73">
        <f t="shared" ca="1" si="854"/>
        <v>0</v>
      </c>
      <c r="AP196" s="64"/>
      <c r="AQ196" s="74" t="s">
        <v>1319</v>
      </c>
      <c r="AR196" s="73">
        <f t="shared" ca="1" si="855"/>
        <v>4</v>
      </c>
      <c r="AS196" s="64"/>
      <c r="AT196" s="74" t="s">
        <v>497</v>
      </c>
      <c r="AU196" s="73">
        <f t="shared" ca="1" si="856"/>
        <v>0</v>
      </c>
      <c r="AV196" s="64"/>
      <c r="AW196" s="74" t="s">
        <v>1319</v>
      </c>
      <c r="AX196" s="73">
        <f t="shared" ca="1" si="857"/>
        <v>4</v>
      </c>
      <c r="AY196" s="64"/>
      <c r="AZ196" s="74" t="s">
        <v>1550</v>
      </c>
      <c r="BA196" s="73">
        <f t="shared" ca="1" si="858"/>
        <v>0</v>
      </c>
      <c r="BB196" s="64"/>
      <c r="BC196" s="74" t="s">
        <v>1550</v>
      </c>
      <c r="BD196" s="73">
        <f t="shared" ca="1" si="859"/>
        <v>0</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0</v>
      </c>
      <c r="BQ196" s="64"/>
      <c r="BR196" s="74" t="s">
        <v>1319</v>
      </c>
      <c r="BS196" s="73">
        <f t="shared" ca="1" si="864"/>
        <v>4</v>
      </c>
      <c r="BT196" s="64"/>
      <c r="BU196" s="74" t="s">
        <v>497</v>
      </c>
      <c r="BV196" s="73">
        <f t="shared" ca="1" si="865"/>
        <v>0</v>
      </c>
      <c r="BW196" s="64"/>
      <c r="BX196" s="74" t="s">
        <v>110</v>
      </c>
      <c r="BY196" s="73">
        <f t="shared" ca="1" si="866"/>
        <v>0</v>
      </c>
      <c r="BZ196" s="64"/>
      <c r="CA196" s="74" t="s">
        <v>497</v>
      </c>
      <c r="CB196" s="73">
        <f t="shared" ca="1" si="867"/>
        <v>0</v>
      </c>
      <c r="CC196" s="64"/>
      <c r="CD196" s="74" t="s">
        <v>497</v>
      </c>
      <c r="CE196" s="73">
        <f t="shared" ca="1" si="868"/>
        <v>0</v>
      </c>
      <c r="CF196" s="64"/>
      <c r="CG196" s="74" t="s">
        <v>1835</v>
      </c>
      <c r="CH196" s="73">
        <f t="shared" ca="1" si="869"/>
        <v>0</v>
      </c>
      <c r="CI196" s="64"/>
      <c r="CJ196" s="74" t="s">
        <v>1835</v>
      </c>
      <c r="CK196" s="73">
        <f t="shared" ca="1" si="870"/>
        <v>0</v>
      </c>
      <c r="CL196" s="64"/>
      <c r="CM196" s="74" t="s">
        <v>497</v>
      </c>
      <c r="CN196" s="73">
        <f t="shared" ca="1" si="871"/>
        <v>0</v>
      </c>
      <c r="CO196" s="64"/>
      <c r="CP196" s="74" t="s">
        <v>497</v>
      </c>
      <c r="CQ196" s="73">
        <f t="shared" ca="1" si="872"/>
        <v>0</v>
      </c>
      <c r="CR196" s="64"/>
      <c r="CS196" s="74" t="s">
        <v>497</v>
      </c>
      <c r="CT196" s="73">
        <f t="shared" ca="1" si="873"/>
        <v>0</v>
      </c>
      <c r="CU196" s="64"/>
      <c r="CV196" s="74" t="s">
        <v>1550</v>
      </c>
      <c r="CW196" s="73">
        <f t="shared" ca="1" si="874"/>
        <v>0</v>
      </c>
      <c r="CX196" s="64"/>
      <c r="CY196" s="74" t="s">
        <v>497</v>
      </c>
      <c r="CZ196" s="73">
        <f t="shared" ca="1" si="875"/>
        <v>0</v>
      </c>
      <c r="DA196" s="64"/>
      <c r="DB196" s="74" t="s">
        <v>497</v>
      </c>
      <c r="DC196" s="73">
        <f t="shared" ca="1" si="876"/>
        <v>0</v>
      </c>
      <c r="DD196" s="64"/>
      <c r="DE196" s="74" t="s">
        <v>497</v>
      </c>
      <c r="DF196" s="73">
        <f t="shared" ca="1" si="877"/>
        <v>0</v>
      </c>
      <c r="DG196" s="64"/>
      <c r="DH196" s="74" t="s">
        <v>497</v>
      </c>
      <c r="DI196" s="73">
        <f t="shared" ca="1" si="878"/>
        <v>0</v>
      </c>
      <c r="DJ196" s="64"/>
      <c r="DK196" s="74" t="s">
        <v>497</v>
      </c>
      <c r="DL196" s="73">
        <f t="shared" ca="1" si="879"/>
        <v>0</v>
      </c>
      <c r="DM196" s="64"/>
      <c r="DN196" s="795" t="s">
        <v>1319</v>
      </c>
      <c r="DO196" s="73">
        <f t="shared" ca="1" si="880"/>
        <v>4</v>
      </c>
      <c r="DP196" s="64"/>
      <c r="DQ196" s="795" t="s">
        <v>110</v>
      </c>
      <c r="DR196" s="73">
        <f t="shared" ca="1" si="881"/>
        <v>0</v>
      </c>
      <c r="DS196" s="64"/>
      <c r="DT196" s="74" t="s">
        <v>1835</v>
      </c>
      <c r="DU196" s="73">
        <f t="shared" ca="1" si="882"/>
        <v>0</v>
      </c>
      <c r="DV196" s="64"/>
      <c r="DW196" s="74" t="s">
        <v>497</v>
      </c>
      <c r="DX196" s="73">
        <f t="shared" ca="1" si="883"/>
        <v>0</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0</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WORLDCUP!AF127</f>
        <v>W87</v>
      </c>
      <c r="N197" s="25"/>
      <c r="O197" s="25"/>
      <c r="P197" s="25"/>
      <c r="Q197" s="25"/>
      <c r="R197" s="110"/>
      <c r="S197" s="80" t="s">
        <v>1320</v>
      </c>
      <c r="T197" s="81">
        <f t="shared" ca="1" si="847"/>
        <v>0</v>
      </c>
      <c r="U197" s="64"/>
      <c r="V197" s="80" t="s">
        <v>79</v>
      </c>
      <c r="W197" s="81">
        <f t="shared" ca="1" si="848"/>
        <v>0</v>
      </c>
      <c r="X197" s="64"/>
      <c r="Y197" s="80" t="s">
        <v>79</v>
      </c>
      <c r="Z197" s="81">
        <f t="shared" ca="1" si="849"/>
        <v>0</v>
      </c>
      <c r="AA197" s="64"/>
      <c r="AB197" s="80" t="s">
        <v>79</v>
      </c>
      <c r="AC197" s="81">
        <f t="shared" ca="1" si="850"/>
        <v>0</v>
      </c>
      <c r="AD197" s="64"/>
      <c r="AE197" s="80" t="s">
        <v>1320</v>
      </c>
      <c r="AF197" s="81">
        <f t="shared" ca="1" si="851"/>
        <v>0</v>
      </c>
      <c r="AG197" s="64"/>
      <c r="AH197" s="80" t="s">
        <v>79</v>
      </c>
      <c r="AI197" s="81">
        <f t="shared" ca="1" si="852"/>
        <v>0</v>
      </c>
      <c r="AJ197" s="64"/>
      <c r="AK197" s="80" t="s">
        <v>79</v>
      </c>
      <c r="AL197" s="81">
        <f t="shared" ca="1" si="853"/>
        <v>0</v>
      </c>
      <c r="AM197" s="64"/>
      <c r="AN197" s="80" t="s">
        <v>79</v>
      </c>
      <c r="AO197" s="81">
        <f t="shared" ca="1" si="854"/>
        <v>0</v>
      </c>
      <c r="AP197" s="64"/>
      <c r="AQ197" s="80" t="s">
        <v>79</v>
      </c>
      <c r="AR197" s="81">
        <f t="shared" ca="1" si="855"/>
        <v>0</v>
      </c>
      <c r="AS197" s="64"/>
      <c r="AT197" s="80" t="s">
        <v>79</v>
      </c>
      <c r="AU197" s="81">
        <f t="shared" ca="1" si="856"/>
        <v>0</v>
      </c>
      <c r="AV197" s="64"/>
      <c r="AW197" s="80" t="s">
        <v>79</v>
      </c>
      <c r="AX197" s="81">
        <f t="shared" ca="1" si="857"/>
        <v>0</v>
      </c>
      <c r="AY197" s="64"/>
      <c r="AZ197" s="80" t="s">
        <v>79</v>
      </c>
      <c r="BA197" s="81">
        <f t="shared" ca="1" si="858"/>
        <v>0</v>
      </c>
      <c r="BB197" s="64"/>
      <c r="BC197" s="80" t="s">
        <v>79</v>
      </c>
      <c r="BD197" s="81">
        <f t="shared" ca="1" si="859"/>
        <v>0</v>
      </c>
      <c r="BE197" s="64"/>
      <c r="BF197" s="80" t="s">
        <v>79</v>
      </c>
      <c r="BG197" s="81">
        <f t="shared" ca="1" si="860"/>
        <v>0</v>
      </c>
      <c r="BH197" s="64"/>
      <c r="BI197" s="80" t="s">
        <v>79</v>
      </c>
      <c r="BJ197" s="81">
        <f t="shared" ca="1" si="861"/>
        <v>0</v>
      </c>
      <c r="BK197" s="64"/>
      <c r="BL197" s="80" t="s">
        <v>79</v>
      </c>
      <c r="BM197" s="81">
        <f t="shared" ca="1" si="862"/>
        <v>0</v>
      </c>
      <c r="BN197" s="64"/>
      <c r="BO197" s="80" t="s">
        <v>79</v>
      </c>
      <c r="BP197" s="81">
        <f t="shared" ca="1" si="863"/>
        <v>0</v>
      </c>
      <c r="BQ197" s="64"/>
      <c r="BR197" s="80" t="s">
        <v>79</v>
      </c>
      <c r="BS197" s="81">
        <f t="shared" ca="1" si="864"/>
        <v>0</v>
      </c>
      <c r="BT197" s="64"/>
      <c r="BU197" s="80" t="s">
        <v>79</v>
      </c>
      <c r="BV197" s="81">
        <f t="shared" ca="1" si="865"/>
        <v>0</v>
      </c>
      <c r="BW197" s="64"/>
      <c r="BX197" s="80" t="s">
        <v>1320</v>
      </c>
      <c r="BY197" s="81">
        <f t="shared" ca="1" si="866"/>
        <v>0</v>
      </c>
      <c r="BZ197" s="64"/>
      <c r="CA197" s="80" t="s">
        <v>79</v>
      </c>
      <c r="CB197" s="81">
        <f t="shared" ca="1" si="867"/>
        <v>0</v>
      </c>
      <c r="CC197" s="64"/>
      <c r="CD197" s="80" t="s">
        <v>79</v>
      </c>
      <c r="CE197" s="81">
        <f t="shared" ca="1" si="868"/>
        <v>0</v>
      </c>
      <c r="CF197" s="64"/>
      <c r="CG197" s="80" t="s">
        <v>79</v>
      </c>
      <c r="CH197" s="81">
        <f t="shared" ca="1" si="869"/>
        <v>0</v>
      </c>
      <c r="CI197" s="64"/>
      <c r="CJ197" s="80" t="s">
        <v>79</v>
      </c>
      <c r="CK197" s="81">
        <f t="shared" ca="1" si="870"/>
        <v>0</v>
      </c>
      <c r="CL197" s="64"/>
      <c r="CM197" s="80" t="s">
        <v>79</v>
      </c>
      <c r="CN197" s="81">
        <f t="shared" ca="1" si="871"/>
        <v>0</v>
      </c>
      <c r="CO197" s="64"/>
      <c r="CP197" s="80" t="s">
        <v>79</v>
      </c>
      <c r="CQ197" s="81">
        <f t="shared" ca="1" si="872"/>
        <v>0</v>
      </c>
      <c r="CR197" s="64"/>
      <c r="CS197" s="80" t="s">
        <v>79</v>
      </c>
      <c r="CT197" s="81">
        <f t="shared" ca="1" si="873"/>
        <v>0</v>
      </c>
      <c r="CU197" s="64"/>
      <c r="CV197" s="80" t="s">
        <v>79</v>
      </c>
      <c r="CW197" s="81">
        <f t="shared" ca="1" si="874"/>
        <v>0</v>
      </c>
      <c r="CX197" s="64"/>
      <c r="CY197" s="80" t="s">
        <v>79</v>
      </c>
      <c r="CZ197" s="81">
        <f t="shared" ca="1" si="875"/>
        <v>0</v>
      </c>
      <c r="DA197" s="64"/>
      <c r="DB197" s="80" t="s">
        <v>79</v>
      </c>
      <c r="DC197" s="81">
        <f t="shared" ca="1" si="876"/>
        <v>0</v>
      </c>
      <c r="DD197" s="64"/>
      <c r="DE197" s="80" t="s">
        <v>79</v>
      </c>
      <c r="DF197" s="81">
        <f t="shared" ca="1" si="877"/>
        <v>0</v>
      </c>
      <c r="DG197" s="64"/>
      <c r="DH197" s="80" t="s">
        <v>79</v>
      </c>
      <c r="DI197" s="81">
        <f t="shared" ca="1" si="878"/>
        <v>0</v>
      </c>
      <c r="DJ197" s="64"/>
      <c r="DK197" s="80" t="s">
        <v>79</v>
      </c>
      <c r="DL197" s="81">
        <f t="shared" ca="1" si="879"/>
        <v>0</v>
      </c>
      <c r="DM197" s="64"/>
      <c r="DN197" s="795" t="s">
        <v>79</v>
      </c>
      <c r="DO197" s="81">
        <f t="shared" ca="1" si="880"/>
        <v>0</v>
      </c>
      <c r="DP197" s="64"/>
      <c r="DQ197" s="795" t="s">
        <v>79</v>
      </c>
      <c r="DR197" s="81">
        <f t="shared" ca="1" si="881"/>
        <v>0</v>
      </c>
      <c r="DS197" s="64"/>
      <c r="DT197" s="80" t="s">
        <v>1320</v>
      </c>
      <c r="DU197" s="81">
        <f t="shared" ca="1" si="882"/>
        <v>0</v>
      </c>
      <c r="DV197" s="64"/>
      <c r="DW197" s="80" t="s">
        <v>79</v>
      </c>
      <c r="DX197" s="81">
        <f t="shared" ca="1" si="883"/>
        <v>0</v>
      </c>
      <c r="DY197" s="64"/>
      <c r="DZ197" s="80" t="s">
        <v>79</v>
      </c>
      <c r="EA197" s="81">
        <f t="shared" ca="1" si="884"/>
        <v>0</v>
      </c>
      <c r="EB197" s="64"/>
      <c r="EC197" s="80" t="s">
        <v>79</v>
      </c>
      <c r="ED197" s="81">
        <f t="shared" ca="1" si="885"/>
        <v>0</v>
      </c>
      <c r="EE197" s="64"/>
      <c r="EF197" s="80" t="s">
        <v>79</v>
      </c>
      <c r="EG197" s="81">
        <f t="shared" ca="1" si="886"/>
        <v>0</v>
      </c>
      <c r="EH197" s="64"/>
      <c r="EI197" s="80" t="s">
        <v>79</v>
      </c>
      <c r="EJ197" s="81">
        <f t="shared" ca="1" si="887"/>
        <v>0</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20</v>
      </c>
      <c r="U198" s="65"/>
      <c r="V198" s="84"/>
      <c r="W198" s="71">
        <f t="shared" ref="W198" ca="1" si="898">SUM(W182:W197)</f>
        <v>12</v>
      </c>
      <c r="X198" s="65"/>
      <c r="Y198" s="84"/>
      <c r="Z198" s="71">
        <f t="shared" ref="Z198" ca="1" si="899">SUM(Z182:Z197)</f>
        <v>16</v>
      </c>
      <c r="AA198" s="65"/>
      <c r="AB198" s="84"/>
      <c r="AC198" s="71">
        <f t="shared" ref="AC198" ca="1" si="900">SUM(AC182:AC197)</f>
        <v>16</v>
      </c>
      <c r="AD198" s="65"/>
      <c r="AE198" s="84"/>
      <c r="AF198" s="71">
        <f t="shared" ref="AF198" ca="1" si="901">SUM(AF182:AF197)</f>
        <v>28</v>
      </c>
      <c r="AG198" s="65"/>
      <c r="AH198" s="84"/>
      <c r="AI198" s="71">
        <f t="shared" ref="AI198" ca="1" si="902">SUM(AI182:AI197)</f>
        <v>24</v>
      </c>
      <c r="AJ198" s="65"/>
      <c r="AK198" s="84"/>
      <c r="AL198" s="71">
        <f t="shared" ref="AL198" ca="1" si="903">SUM(AL182:AL197)</f>
        <v>8</v>
      </c>
      <c r="AM198" s="65"/>
      <c r="AN198" s="84"/>
      <c r="AO198" s="71">
        <f t="shared" ref="AO198" ca="1" si="904">SUM(AO182:AO197)</f>
        <v>16</v>
      </c>
      <c r="AP198" s="65"/>
      <c r="AQ198" s="84"/>
      <c r="AR198" s="71">
        <f t="shared" ref="AR198" ca="1" si="905">SUM(AR182:AR197)</f>
        <v>24</v>
      </c>
      <c r="AS198" s="65"/>
      <c r="AT198" s="84"/>
      <c r="AU198" s="71">
        <f t="shared" ref="AU198" ca="1" si="906">SUM(AU182:AU197)</f>
        <v>12</v>
      </c>
      <c r="AV198" s="65"/>
      <c r="AW198" s="84"/>
      <c r="AX198" s="71">
        <f t="shared" ref="AX198" ca="1" si="907">SUM(AX182:AX197)</f>
        <v>12</v>
      </c>
      <c r="AY198" s="65"/>
      <c r="AZ198" s="84"/>
      <c r="BA198" s="71">
        <f t="shared" ref="BA198" ca="1" si="908">SUM(BA182:BA197)</f>
        <v>16</v>
      </c>
      <c r="BB198" s="65"/>
      <c r="BC198" s="84"/>
      <c r="BD198" s="71">
        <f t="shared" ref="BD198" ca="1" si="909">SUM(BD182:BD197)</f>
        <v>16</v>
      </c>
      <c r="BE198" s="65"/>
      <c r="BF198" s="84"/>
      <c r="BG198" s="71">
        <f t="shared" ref="BG198" ca="1" si="910">SUM(BG182:BG197)</f>
        <v>20</v>
      </c>
      <c r="BH198" s="65"/>
      <c r="BI198" s="84"/>
      <c r="BJ198" s="71">
        <f t="shared" ref="BJ198" ca="1" si="911">SUM(BJ182:BJ197)</f>
        <v>20</v>
      </c>
      <c r="BK198" s="65"/>
      <c r="BL198" s="84"/>
      <c r="BM198" s="71">
        <f t="shared" ref="BM198" ca="1" si="912">SUM(BM182:BM197)</f>
        <v>20</v>
      </c>
      <c r="BN198" s="65"/>
      <c r="BO198" s="84"/>
      <c r="BP198" s="71">
        <f t="shared" ref="BP198" ca="1" si="913">SUM(BP182:BP197)</f>
        <v>16</v>
      </c>
      <c r="BQ198" s="65"/>
      <c r="BR198" s="84"/>
      <c r="BS198" s="71">
        <f t="shared" ref="BS198" ca="1" si="914">SUM(BS182:BS197)</f>
        <v>20</v>
      </c>
      <c r="BT198" s="65"/>
      <c r="BU198" s="84"/>
      <c r="BV198" s="71">
        <f t="shared" ref="BV198" ca="1" si="915">SUM(BV182:BV197)</f>
        <v>12</v>
      </c>
      <c r="BW198" s="65"/>
      <c r="BX198" s="84"/>
      <c r="BY198" s="71">
        <f t="shared" ref="BY198" ca="1" si="916">SUM(BY182:BY197)</f>
        <v>20</v>
      </c>
      <c r="BZ198" s="65"/>
      <c r="CA198" s="84"/>
      <c r="CB198" s="71">
        <f t="shared" ref="CB198" ca="1" si="917">SUM(CB182:CB197)</f>
        <v>12</v>
      </c>
      <c r="CC198" s="65"/>
      <c r="CD198" s="84"/>
      <c r="CE198" s="71">
        <f t="shared" ref="CE198" ca="1" si="918">SUM(CE182:CE197)</f>
        <v>20</v>
      </c>
      <c r="CF198" s="65"/>
      <c r="CG198" s="84"/>
      <c r="CH198" s="71">
        <f t="shared" ref="CH198" ca="1" si="919">SUM(CH182:CH197)</f>
        <v>20</v>
      </c>
      <c r="CI198" s="65"/>
      <c r="CJ198" s="84"/>
      <c r="CK198" s="71">
        <f t="shared" ref="CK198" ca="1" si="920">SUM(CK182:CK197)</f>
        <v>16</v>
      </c>
      <c r="CL198" s="65"/>
      <c r="CM198" s="84"/>
      <c r="CN198" s="71">
        <f t="shared" ref="CN198" ca="1" si="921">SUM(CN182:CN197)</f>
        <v>16</v>
      </c>
      <c r="CO198" s="65"/>
      <c r="CP198" s="84"/>
      <c r="CQ198" s="71">
        <f t="shared" ref="CQ198" ca="1" si="922">SUM(CQ182:CQ197)</f>
        <v>24</v>
      </c>
      <c r="CR198" s="65"/>
      <c r="CS198" s="84"/>
      <c r="CT198" s="71">
        <f t="shared" ref="CT198" ca="1" si="923">SUM(CT182:CT197)</f>
        <v>20</v>
      </c>
      <c r="CU198" s="65"/>
      <c r="CV198" s="84"/>
      <c r="CW198" s="71">
        <f t="shared" ref="CW198" ca="1" si="924">SUM(CW182:CW197)</f>
        <v>20</v>
      </c>
      <c r="CX198" s="65"/>
      <c r="CY198" s="84"/>
      <c r="CZ198" s="71">
        <f t="shared" ref="CZ198" ca="1" si="925">SUM(CZ182:CZ197)</f>
        <v>16</v>
      </c>
      <c r="DA198" s="65"/>
      <c r="DB198" s="84"/>
      <c r="DC198" s="71">
        <f t="shared" ref="DC198" ca="1" si="926">SUM(DC182:DC197)</f>
        <v>20</v>
      </c>
      <c r="DD198" s="65"/>
      <c r="DE198" s="84"/>
      <c r="DF198" s="71">
        <f t="shared" ref="DF198" ca="1" si="927">SUM(DF182:DF197)</f>
        <v>20</v>
      </c>
      <c r="DG198" s="65"/>
      <c r="DH198" s="84"/>
      <c r="DI198" s="71">
        <f t="shared" ref="DI198" ca="1" si="928">SUM(DI182:DI197)</f>
        <v>12</v>
      </c>
      <c r="DJ198" s="65"/>
      <c r="DK198" s="84"/>
      <c r="DL198" s="71">
        <f t="shared" ref="DL198" ca="1" si="929">SUM(DL182:DL197)</f>
        <v>16</v>
      </c>
      <c r="DM198" s="65"/>
      <c r="DN198" s="796"/>
      <c r="DO198" s="71">
        <f t="shared" ref="DO198" ca="1" si="930">SUM(DO182:DO197)</f>
        <v>20</v>
      </c>
      <c r="DP198" s="65"/>
      <c r="DQ198" s="796"/>
      <c r="DR198" s="71">
        <f t="shared" ref="DR198" ca="1" si="931">SUM(DR182:DR197)</f>
        <v>8</v>
      </c>
      <c r="DS198" s="65"/>
      <c r="DT198" s="84"/>
      <c r="DU198" s="71">
        <f t="shared" ref="DU198" ca="1" si="932">SUM(DU182:DU197)</f>
        <v>20</v>
      </c>
      <c r="DV198" s="65"/>
      <c r="DW198" s="84"/>
      <c r="DX198" s="71">
        <f t="shared" ref="DX198" ca="1" si="933">SUM(DX182:DX197)</f>
        <v>16</v>
      </c>
      <c r="DY198" s="65"/>
      <c r="DZ198" s="84"/>
      <c r="EA198" s="71">
        <f t="shared" ref="EA198" ca="1" si="934">SUM(EA182:EA197)</f>
        <v>20</v>
      </c>
      <c r="EB198" s="65"/>
      <c r="EC198" s="84"/>
      <c r="ED198" s="71">
        <f t="shared" ref="ED198" ca="1" si="935">SUM(ED182:ED197)</f>
        <v>16</v>
      </c>
      <c r="EE198" s="65"/>
      <c r="EF198" s="84"/>
      <c r="EG198" s="71">
        <f t="shared" ref="EG198" ca="1" si="936">SUM(EG182:EG197)</f>
        <v>12</v>
      </c>
      <c r="EH198" s="65"/>
      <c r="EI198" s="84"/>
      <c r="EJ198" s="71">
        <f t="shared" ref="EJ198" ca="1" si="937">SUM(EJ182:EJ197)</f>
        <v>16</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 ca="1">CONCATENATE(WORLDCUP!AF120,"-",WORLDCUP!AA120)</f>
        <v>Marruecos-Canadá</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49" t="s">
        <v>88</v>
      </c>
      <c r="K200" s="53" t="str">
        <f ca="1">CONCATENATE(WORLDCUP!AA120,"-",WORLDCUP!AF120)</f>
        <v>Canadá-Marruecos</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 ca="1">CONCATENATE(WORLDCUP!AF121,"-",WORLDCUP!AA121)</f>
        <v>Francia-Paraguay</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49"/>
      <c r="K201" s="56" t="str">
        <f ca="1">CONCATENATE(WORLDCUP!AA121,"-",WORLDCUP!AF121)</f>
        <v>Paraguay-Francia</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0</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0</v>
      </c>
      <c r="B202" s="25">
        <f>WORLDCUP!AC122</f>
        <v>0</v>
      </c>
      <c r="C202" s="25" t="str">
        <f ca="1">CONCATENATE(WORLDCUP!AF122,"-",WORLDCUP!AA122)</f>
        <v>Noruega-Brasil</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49"/>
      <c r="K202" s="56" t="str">
        <f ca="1">CONCATENATE(WORLDCUP!AA122,"-",WORLDCUP!AF122)</f>
        <v>Brasil-Noruega</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0</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0</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0</v>
      </c>
      <c r="B203" s="25">
        <f>WORLDCUP!AC123</f>
        <v>0</v>
      </c>
      <c r="C203" s="25" t="str">
        <f ca="1">CONCATENATE(WORLDCUP!AF123,"-",WORLDCUP!AA123)</f>
        <v>W80-México</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49"/>
      <c r="K203" s="56" t="str">
        <f ca="1">CONCATENATE(WORLDCUP!AA123,"-",WORLDCUP!AF123)</f>
        <v>México-W80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ca="1" si="1000"/>
        <v>0</v>
      </c>
      <c r="U203" s="110"/>
      <c r="V203" s="74" t="s">
        <v>2022</v>
      </c>
      <c r="W203" s="73">
        <f t="shared" ca="1" si="950"/>
        <v>0</v>
      </c>
      <c r="X203" s="110"/>
      <c r="Y203" s="80" t="s">
        <v>2058</v>
      </c>
      <c r="Z203" s="73">
        <f t="shared" ca="1" si="950"/>
        <v>0</v>
      </c>
      <c r="AA203" s="110"/>
      <c r="AB203" s="80" t="s">
        <v>2084</v>
      </c>
      <c r="AC203" s="73">
        <f t="shared" ca="1" si="950"/>
        <v>0</v>
      </c>
      <c r="AD203" s="110"/>
      <c r="AE203" s="80" t="s">
        <v>2058</v>
      </c>
      <c r="AF203" s="73">
        <f t="shared" ca="1" si="950"/>
        <v>0</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0</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0</v>
      </c>
      <c r="BH203" s="110"/>
      <c r="BI203" s="80" t="s">
        <v>2084</v>
      </c>
      <c r="BJ203" s="73">
        <f t="shared" ca="1" si="950"/>
        <v>0</v>
      </c>
      <c r="BK203" s="110"/>
      <c r="BL203" s="80" t="s">
        <v>2390</v>
      </c>
      <c r="BM203" s="73">
        <f t="shared" ca="1" si="950"/>
        <v>0</v>
      </c>
      <c r="BN203" s="110"/>
      <c r="BO203" s="80" t="s">
        <v>2390</v>
      </c>
      <c r="BP203" s="73">
        <f t="shared" ca="1" si="950"/>
        <v>0</v>
      </c>
      <c r="BQ203" s="110"/>
      <c r="BR203" s="80" t="s">
        <v>2390</v>
      </c>
      <c r="BS203" s="73">
        <f t="shared" ca="1" si="950"/>
        <v>0</v>
      </c>
      <c r="BT203" s="110"/>
      <c r="BU203" s="80" t="s">
        <v>2434</v>
      </c>
      <c r="BV203" s="73">
        <f t="shared" ca="1" si="950"/>
        <v>0</v>
      </c>
      <c r="BW203" s="110"/>
      <c r="BX203" s="80" t="s">
        <v>2058</v>
      </c>
      <c r="BY203" s="73">
        <f t="shared" ca="1" si="950"/>
        <v>0</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0</v>
      </c>
      <c r="CL203" s="110"/>
      <c r="CM203" s="80" t="s">
        <v>2084</v>
      </c>
      <c r="CN203" s="73">
        <f t="shared" ca="1" si="972"/>
        <v>0</v>
      </c>
      <c r="CO203" s="110"/>
      <c r="CP203" s="80" t="s">
        <v>2058</v>
      </c>
      <c r="CQ203" s="73">
        <f t="shared" ca="1" si="972"/>
        <v>0</v>
      </c>
      <c r="CR203" s="110"/>
      <c r="CS203" s="80" t="s">
        <v>2390</v>
      </c>
      <c r="CT203" s="73">
        <f t="shared" ca="1" si="972"/>
        <v>0</v>
      </c>
      <c r="CU203" s="110"/>
      <c r="CV203" s="80" t="s">
        <v>2084</v>
      </c>
      <c r="CW203" s="73">
        <f t="shared" ca="1" si="972"/>
        <v>0</v>
      </c>
      <c r="CX203" s="110"/>
      <c r="CY203" s="80" t="s">
        <v>2390</v>
      </c>
      <c r="CZ203" s="73">
        <f t="shared" ca="1" si="972"/>
        <v>0</v>
      </c>
      <c r="DA203" s="110"/>
      <c r="DB203" s="80" t="s">
        <v>2084</v>
      </c>
      <c r="DC203" s="73">
        <f t="shared" ca="1" si="972"/>
        <v>0</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0</v>
      </c>
      <c r="EE203" s="110"/>
      <c r="EF203" s="80" t="s">
        <v>2058</v>
      </c>
      <c r="EG203" s="73">
        <f t="shared" ca="1" si="972"/>
        <v>0</v>
      </c>
      <c r="EH203" s="110"/>
      <c r="EI203" s="80" t="s">
        <v>2390</v>
      </c>
      <c r="EJ203" s="73">
        <f t="shared" ca="1" si="972"/>
        <v>0</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49"/>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ca="1" si="1000"/>
        <v>0</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0</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49"/>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0</v>
      </c>
      <c r="AG205" s="110"/>
      <c r="AH205" s="80" t="s">
        <v>2145</v>
      </c>
      <c r="AI205" s="73">
        <f t="shared" ca="1" si="950"/>
        <v>0</v>
      </c>
      <c r="AJ205" s="110"/>
      <c r="AK205" s="80" t="s">
        <v>2171</v>
      </c>
      <c r="AL205" s="73">
        <f t="shared" ca="1" si="950"/>
        <v>0</v>
      </c>
      <c r="AM205" s="110"/>
      <c r="AN205" s="80" t="s">
        <v>2203</v>
      </c>
      <c r="AO205" s="73">
        <f t="shared" ca="1" si="950"/>
        <v>0</v>
      </c>
      <c r="AP205" s="110"/>
      <c r="AQ205" s="80" t="s">
        <v>2114</v>
      </c>
      <c r="AR205" s="73">
        <f t="shared" ca="1" si="950"/>
        <v>0</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0</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0</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0</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49"/>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49"/>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0</v>
      </c>
      <c r="U208" s="49"/>
      <c r="V208" s="84"/>
      <c r="W208" s="71">
        <f t="shared" ref="W208" ca="1" si="1001">SUM(W200:W207)</f>
        <v>0</v>
      </c>
      <c r="X208" s="49"/>
      <c r="Y208" s="84"/>
      <c r="Z208" s="71">
        <f t="shared" ref="Z208" ca="1" si="1002">SUM(Z200:Z207)</f>
        <v>0</v>
      </c>
      <c r="AA208" s="49"/>
      <c r="AB208" s="84"/>
      <c r="AC208" s="71">
        <f t="shared" ref="AC208" ca="1" si="1003">SUM(AC200:AC207)</f>
        <v>0</v>
      </c>
      <c r="AD208" s="49"/>
      <c r="AE208" s="84"/>
      <c r="AF208" s="71">
        <f t="shared" ref="AF208" ca="1" si="1004">SUM(AF200:AF207)</f>
        <v>0</v>
      </c>
      <c r="AG208" s="49"/>
      <c r="AH208" s="84"/>
      <c r="AI208" s="71">
        <f t="shared" ref="AI208" ca="1" si="1005">SUM(AI200:AI207)</f>
        <v>0</v>
      </c>
      <c r="AJ208" s="49"/>
      <c r="AK208" s="84"/>
      <c r="AL208" s="71">
        <f t="shared" ref="AL208" ca="1" si="1006">SUM(AL200:AL207)</f>
        <v>0</v>
      </c>
      <c r="AM208" s="49"/>
      <c r="AN208" s="84"/>
      <c r="AO208" s="71">
        <f t="shared" ref="AO208" ca="1" si="1007">SUM(AO200:AO207)</f>
        <v>0</v>
      </c>
      <c r="AP208" s="49"/>
      <c r="AQ208" s="84"/>
      <c r="AR208" s="71">
        <f t="shared" ref="AR208" ca="1" si="1008">SUM(AR200:AR207)</f>
        <v>0</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0</v>
      </c>
      <c r="BH208" s="49"/>
      <c r="BI208" s="84"/>
      <c r="BJ208" s="71">
        <f t="shared" ref="BJ208" ca="1" si="1014">SUM(BJ200:BJ207)</f>
        <v>0</v>
      </c>
      <c r="BK208" s="49"/>
      <c r="BL208" s="84"/>
      <c r="BM208" s="71">
        <f t="shared" ref="BM208" ca="1" si="1015">SUM(BM200:BM207)</f>
        <v>0</v>
      </c>
      <c r="BN208" s="49"/>
      <c r="BO208" s="84"/>
      <c r="BP208" s="71">
        <f t="shared" ref="BP208" ca="1" si="1016">SUM(BP200:BP207)</f>
        <v>0</v>
      </c>
      <c r="BQ208" s="49"/>
      <c r="BR208" s="84"/>
      <c r="BS208" s="71">
        <f t="shared" ref="BS208" ca="1" si="1017">SUM(BS200:BS207)</f>
        <v>0</v>
      </c>
      <c r="BT208" s="49"/>
      <c r="BU208" s="84"/>
      <c r="BV208" s="71">
        <f t="shared" ref="BV208" ca="1" si="1018">SUM(BV200:BV207)</f>
        <v>0</v>
      </c>
      <c r="BW208" s="49"/>
      <c r="BX208" s="84"/>
      <c r="BY208" s="71">
        <f t="shared" ref="BY208" ca="1" si="1019">SUM(BY200:BY207)</f>
        <v>0</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0</v>
      </c>
      <c r="CL208" s="49"/>
      <c r="CM208" s="84"/>
      <c r="CN208" s="71">
        <f t="shared" ref="CN208" ca="1" si="1024">SUM(CN200:CN207)</f>
        <v>0</v>
      </c>
      <c r="CO208" s="49"/>
      <c r="CP208" s="84"/>
      <c r="CQ208" s="71">
        <f t="shared" ref="CQ208" ca="1" si="1025">SUM(CQ200:CQ207)</f>
        <v>0</v>
      </c>
      <c r="CR208" s="49"/>
      <c r="CS208" s="84"/>
      <c r="CT208" s="71">
        <f t="shared" ref="CT208" ca="1" si="1026">SUM(CT200:CT207)</f>
        <v>0</v>
      </c>
      <c r="CU208" s="49"/>
      <c r="CV208" s="84"/>
      <c r="CW208" s="71">
        <f t="shared" ref="CW208" ca="1" si="1027">SUM(CW200:CW207)</f>
        <v>0</v>
      </c>
      <c r="CX208" s="49"/>
      <c r="CY208" s="84"/>
      <c r="CZ208" s="71">
        <f t="shared" ref="CZ208" ca="1" si="1028">SUM(CZ200:CZ207)</f>
        <v>0</v>
      </c>
      <c r="DA208" s="49"/>
      <c r="DB208" s="84"/>
      <c r="DC208" s="71">
        <f t="shared" ref="DC208" ca="1" si="1029">SUM(DC200:DC207)</f>
        <v>0</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0</v>
      </c>
      <c r="DV208" s="49"/>
      <c r="DW208" s="84"/>
      <c r="DX208" s="71">
        <f t="shared" ref="DX208" ca="1" si="1036">SUM(DX200:DX207)</f>
        <v>0</v>
      </c>
      <c r="DY208" s="49"/>
      <c r="DZ208" s="84"/>
      <c r="EA208" s="71">
        <f t="shared" ref="EA208" ca="1" si="1037">SUM(EA200:EA207)</f>
        <v>0</v>
      </c>
      <c r="EB208" s="49"/>
      <c r="EC208" s="84"/>
      <c r="ED208" s="71">
        <f t="shared" ref="ED208" ca="1" si="1038">SUM(ED200:ED207)</f>
        <v>0</v>
      </c>
      <c r="EE208" s="49"/>
      <c r="EF208" s="84"/>
      <c r="EG208" s="71">
        <f t="shared" ref="EG208" ca="1" si="1039">SUM(EG200:EG207)</f>
        <v>0</v>
      </c>
      <c r="EH208" s="49"/>
      <c r="EI208" s="84"/>
      <c r="EJ208" s="71">
        <f t="shared" ref="EJ208" ca="1" si="1040">SUM(EJ200:EJ207)</f>
        <v>0</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49"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16</v>
      </c>
      <c r="T263" s="25"/>
      <c r="U263" s="25"/>
      <c r="V263" s="25">
        <f ca="1">RANK(V264,OFFSET($S$264,0,0,1,$D$5*3),0)</f>
        <v>35</v>
      </c>
      <c r="W263" s="25"/>
      <c r="X263" s="25"/>
      <c r="Y263" s="25">
        <f ca="1">RANK(Y264,OFFSET($S$264,0,0,1,$D$5*3),0)</f>
        <v>29</v>
      </c>
      <c r="Z263" s="25"/>
      <c r="AA263" s="25"/>
      <c r="AB263" s="25">
        <f ca="1">RANK(AB264,OFFSET($S$264,0,0,1,$D$5*3),0)</f>
        <v>30</v>
      </c>
      <c r="AC263" s="25"/>
      <c r="AD263" s="25"/>
      <c r="AE263" s="25">
        <f ca="1">RANK(AE264,OFFSET($S$264,0,0,1,$D$5*3),0)</f>
        <v>2</v>
      </c>
      <c r="AF263" s="25"/>
      <c r="AG263" s="25"/>
      <c r="AH263" s="25">
        <f ca="1">RANK(AH264,OFFSET($S$264,0,0,1,$D$5*3),0)</f>
        <v>5</v>
      </c>
      <c r="AI263" s="25"/>
      <c r="AJ263" s="25"/>
      <c r="AK263" s="25">
        <f ca="1">RANK(AK264,OFFSET($S$264,0,0,1,$D$5*3),0)</f>
        <v>36</v>
      </c>
      <c r="AL263" s="25"/>
      <c r="AM263" s="25"/>
      <c r="AN263" s="25">
        <f ca="1">RANK(AN264,OFFSET($S$264,0,0,1,$D$5*3),0)</f>
        <v>6</v>
      </c>
      <c r="AO263" s="25"/>
      <c r="AP263" s="25"/>
      <c r="AQ263" s="25">
        <f ca="1">RANK(AQ264,OFFSET($S$264,0,0,1,$D$5*3),0)</f>
        <v>3</v>
      </c>
      <c r="AR263" s="25"/>
      <c r="AS263" s="25"/>
      <c r="AT263" s="25">
        <f ca="1">RANK(AT264,OFFSET($S$264,0,0,1,$D$5*3),0)</f>
        <v>38</v>
      </c>
      <c r="AU263" s="25"/>
      <c r="AV263" s="25"/>
      <c r="AW263" s="25">
        <f ca="1">RANK(AW264,OFFSET($S$264,0,0,1,$D$5*3),0)</f>
        <v>24</v>
      </c>
      <c r="AX263" s="25"/>
      <c r="AY263" s="25"/>
      <c r="AZ263" s="25">
        <f ca="1">RANK(AZ264,OFFSET($S$264,0,0,1,$D$5*3),0)</f>
        <v>17</v>
      </c>
      <c r="BA263" s="25"/>
      <c r="BB263" s="25"/>
      <c r="BC263" s="25">
        <f ca="1">RANK(BC264,OFFSET($S$264,0,0,1,$D$5*3),0)</f>
        <v>32</v>
      </c>
      <c r="BD263" s="25"/>
      <c r="BE263" s="25"/>
      <c r="BF263" s="25">
        <f ca="1">RANK(BF264,OFFSET($S$264,0,0,1,$D$5*3),0)</f>
        <v>18</v>
      </c>
      <c r="BG263" s="25"/>
      <c r="BH263" s="25"/>
      <c r="BI263" s="25">
        <f ca="1">RANK(BI264,OFFSET($S$264,0,0,1,$D$5*3),0)</f>
        <v>13</v>
      </c>
      <c r="BJ263" s="25"/>
      <c r="BK263" s="25"/>
      <c r="BL263" s="25">
        <f ca="1">RANK(BL264,OFFSET($S$264,0,0,1,$D$5*3),0)</f>
        <v>1</v>
      </c>
      <c r="BM263" s="25"/>
      <c r="BN263" s="25"/>
      <c r="BO263" s="25">
        <f ca="1">RANK(BO264,OFFSET($S$264,0,0,1,$D$5*3),0)</f>
        <v>19</v>
      </c>
      <c r="BP263" s="25"/>
      <c r="BQ263" s="25"/>
      <c r="BR263" s="25">
        <f ca="1">RANK(BR264,OFFSET($S$264,0,0,1,$D$5*3),0)</f>
        <v>9</v>
      </c>
      <c r="BS263" s="25"/>
      <c r="BT263" s="25"/>
      <c r="BU263" s="25">
        <f ca="1">RANK(BU264,OFFSET($S$264,0,0,1,$D$5*3),0)</f>
        <v>39</v>
      </c>
      <c r="BV263" s="25"/>
      <c r="BW263" s="25"/>
      <c r="BX263" s="25">
        <f ca="1">RANK(BX264,OFFSET($S$264,0,0,1,$D$5*3),0)</f>
        <v>20</v>
      </c>
      <c r="BY263" s="25"/>
      <c r="BZ263" s="25"/>
      <c r="CA263" s="25">
        <f ca="1">RANK(CA264,OFFSET($S$264,0,0,1,$D$5*3),0)</f>
        <v>40</v>
      </c>
      <c r="CB263" s="25"/>
      <c r="CC263" s="25"/>
      <c r="CD263" s="25">
        <f ca="1">RANK(CD264,OFFSET($S$264,0,0,1,$D$5*3),0)</f>
        <v>21</v>
      </c>
      <c r="CE263" s="25"/>
      <c r="CF263" s="25"/>
      <c r="CG263" s="25">
        <f ca="1">RANK(CG264,OFFSET($S$264,0,0,1,$D$5*3),0)</f>
        <v>7</v>
      </c>
      <c r="CH263" s="25"/>
      <c r="CI263" s="25"/>
      <c r="CJ263" s="25">
        <f ca="1">RANK(CJ264,OFFSET($S$264,0,0,1,$D$5*3),0)</f>
        <v>12</v>
      </c>
      <c r="CK263" s="25"/>
      <c r="CL263" s="25"/>
      <c r="CM263" s="25">
        <f ca="1">RANK(CM264,OFFSET($S$264,0,0,1,$D$5*3),0)</f>
        <v>33</v>
      </c>
      <c r="CN263" s="25"/>
      <c r="CO263" s="25"/>
      <c r="CP263" s="25">
        <f ca="1">RANK(CP264,OFFSET($S$264,0,0,1,$D$5*3),0)</f>
        <v>10</v>
      </c>
      <c r="CQ263" s="25"/>
      <c r="CR263" s="25"/>
      <c r="CS263" s="25">
        <f ca="1">RANK(CS264,OFFSET($S$264,0,0,1,$D$5*3),0)</f>
        <v>14</v>
      </c>
      <c r="CT263" s="25"/>
      <c r="CU263" s="25"/>
      <c r="CV263" s="25">
        <f ca="1">RANK(CV264,OFFSET($S$264,0,0,1,$D$5*3),0)</f>
        <v>8</v>
      </c>
      <c r="CW263" s="25"/>
      <c r="CX263" s="25"/>
      <c r="CY263" s="25">
        <f ca="1">RANK(CY264,OFFSET($S$264,0,0,1,$D$5*3),0)</f>
        <v>31</v>
      </c>
      <c r="CZ263" s="25"/>
      <c r="DA263" s="25"/>
      <c r="DB263" s="25">
        <f ca="1">RANK(DB264,OFFSET($S$264,0,0,1,$D$5*3),0)</f>
        <v>4</v>
      </c>
      <c r="DC263" s="25"/>
      <c r="DD263" s="25"/>
      <c r="DE263" s="25">
        <f ca="1">RANK(DE264,OFFSET($S$264,0,0,1,$D$5*3),0)</f>
        <v>11</v>
      </c>
      <c r="DF263" s="25"/>
      <c r="DG263" s="25"/>
      <c r="DH263" s="25">
        <f ca="1">RANK(DH264,OFFSET($S$264,0,0,1,$D$5*3),0)</f>
        <v>28</v>
      </c>
      <c r="DI263" s="25"/>
      <c r="DJ263" s="25"/>
      <c r="DK263" s="25">
        <f ca="1">RANK(DK264,OFFSET($S$264,0,0,1,$D$5*3),0)</f>
        <v>34</v>
      </c>
      <c r="DL263" s="25"/>
      <c r="DM263" s="25"/>
      <c r="DN263" s="25">
        <f ca="1">RANK(DN264,OFFSET($S$264,0,0,1,$D$5*3),0)</f>
        <v>22</v>
      </c>
      <c r="DO263" s="25"/>
      <c r="DP263" s="25"/>
      <c r="DQ263" s="25">
        <f ca="1">RANK(DQ264,OFFSET($S$264,0,0,1,$D$5*3),0)</f>
        <v>41</v>
      </c>
      <c r="DR263" s="25"/>
      <c r="DS263" s="25"/>
      <c r="DT263" s="25">
        <f ca="1">RANK(DT264,OFFSET($S$264,0,0,1,$D$5*3),0)</f>
        <v>25</v>
      </c>
      <c r="DU263" s="25"/>
      <c r="DV263" s="25"/>
      <c r="DW263" s="25">
        <f ca="1">RANK(DW264,OFFSET($S$264,0,0,1,$D$5*3),0)</f>
        <v>23</v>
      </c>
      <c r="DX263" s="25"/>
      <c r="DY263" s="25"/>
      <c r="DZ263" s="25">
        <f ca="1">RANK(DZ264,OFFSET($S$264,0,0,1,$D$5*3),0)</f>
        <v>26</v>
      </c>
      <c r="EA263" s="25"/>
      <c r="EB263" s="25"/>
      <c r="EC263" s="25">
        <f ca="1">RANK(EC264,OFFSET($S$264,0,0,1,$D$5*3),0)</f>
        <v>15</v>
      </c>
      <c r="ED263" s="25"/>
      <c r="EE263" s="25"/>
      <c r="EF263" s="25">
        <f ca="1">RANK(EF264,OFFSET($S$264,0,0,1,$D$5*3),0)</f>
        <v>37</v>
      </c>
      <c r="EG263" s="25"/>
      <c r="EH263" s="25"/>
      <c r="EI263" s="25">
        <f ca="1">RANK(EI264,OFFSET($S$264,0,0,1,$D$5*3),0)</f>
        <v>27</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20.998100000000001</v>
      </c>
      <c r="T264" s="25"/>
      <c r="U264" s="25"/>
      <c r="V264" s="25">
        <f t="shared" ref="V264" ca="1" si="2626">V266-(COLUMN()/10000)</f>
        <v>14.9978</v>
      </c>
      <c r="W264" s="25"/>
      <c r="X264" s="25"/>
      <c r="Y264" s="25">
        <f t="shared" ref="Y264" ca="1" si="2627">Y266-(COLUMN()/10000)</f>
        <v>17.997499999999999</v>
      </c>
      <c r="Z264" s="25"/>
      <c r="AA264" s="25"/>
      <c r="AB264" s="25">
        <f t="shared" ref="AB264" ca="1" si="2628">AB266-(COLUMN()/10000)</f>
        <v>17.997199999999999</v>
      </c>
      <c r="AC264" s="25"/>
      <c r="AD264" s="25"/>
      <c r="AE264" s="25">
        <f t="shared" ref="AE264" ca="1" si="2629">AE266-(COLUMN()/10000)</f>
        <v>28.9969</v>
      </c>
      <c r="AF264" s="25"/>
      <c r="AG264" s="25"/>
      <c r="AH264" s="25">
        <f t="shared" ref="AH264" ca="1" si="2630">AH266-(COLUMN()/10000)</f>
        <v>25.996600000000001</v>
      </c>
      <c r="AI264" s="25"/>
      <c r="AJ264" s="25"/>
      <c r="AK264" s="25">
        <f t="shared" ref="AK264" ca="1" si="2631">AK266-(COLUMN()/10000)</f>
        <v>14.9963</v>
      </c>
      <c r="AL264" s="25"/>
      <c r="AM264" s="25"/>
      <c r="AN264" s="25">
        <f t="shared" ref="AN264" ca="1" si="2632">AN266-(COLUMN()/10000)</f>
        <v>25.995999999999999</v>
      </c>
      <c r="AO264" s="25"/>
      <c r="AP264" s="25"/>
      <c r="AQ264" s="25">
        <f t="shared" ref="AQ264" ca="1" si="2633">AQ266-(COLUMN()/10000)</f>
        <v>27.995699999999999</v>
      </c>
      <c r="AR264" s="25"/>
      <c r="AS264" s="25"/>
      <c r="AT264" s="25">
        <f t="shared" ref="AT264" ca="1" si="2634">AT266-(COLUMN()/10000)</f>
        <v>12.9954</v>
      </c>
      <c r="AU264" s="25"/>
      <c r="AV264" s="25"/>
      <c r="AW264" s="25">
        <f t="shared" ref="AW264" ca="1" si="2635">AW266-(COLUMN()/10000)</f>
        <v>19.995100000000001</v>
      </c>
      <c r="AX264" s="25"/>
      <c r="AY264" s="25"/>
      <c r="AZ264" s="25">
        <f t="shared" ref="AZ264" ca="1" si="2636">AZ266-(COLUMN()/10000)</f>
        <v>20.994800000000001</v>
      </c>
      <c r="BA264" s="25"/>
      <c r="BB264" s="25"/>
      <c r="BC264" s="25">
        <f t="shared" ref="BC264" ca="1" si="2637">BC266-(COLUMN()/10000)</f>
        <v>15.9945</v>
      </c>
      <c r="BD264" s="25"/>
      <c r="BE264" s="25"/>
      <c r="BF264" s="25">
        <f t="shared" ref="BF264" ca="1" si="2638">BF266-(COLUMN()/10000)</f>
        <v>20.994199999999999</v>
      </c>
      <c r="BG264" s="25"/>
      <c r="BH264" s="25"/>
      <c r="BI264" s="25">
        <f t="shared" ref="BI264" ca="1" si="2639">BI266-(COLUMN()/10000)</f>
        <v>22.9939</v>
      </c>
      <c r="BJ264" s="25"/>
      <c r="BK264" s="25"/>
      <c r="BL264" s="25">
        <f t="shared" ref="BL264" ca="1" si="2640">BL266-(COLUMN()/10000)</f>
        <v>31.993600000000001</v>
      </c>
      <c r="BM264" s="25"/>
      <c r="BN264" s="25"/>
      <c r="BO264" s="25">
        <f t="shared" ref="BO264" ca="1" si="2641">BO266-(COLUMN()/10000)</f>
        <v>20.993300000000001</v>
      </c>
      <c r="BP264" s="25"/>
      <c r="BQ264" s="25"/>
      <c r="BR264" s="25">
        <f t="shared" ref="BR264" ca="1" si="2642">BR266-(COLUMN()/10000)</f>
        <v>24.992999999999999</v>
      </c>
      <c r="BS264" s="25"/>
      <c r="BT264" s="25"/>
      <c r="BU264" s="25">
        <f t="shared" ref="BU264" ca="1" si="2643">BU266-(COLUMN()/10000)</f>
        <v>12.992699999999999</v>
      </c>
      <c r="BV264" s="25"/>
      <c r="BW264" s="25"/>
      <c r="BX264" s="25">
        <f t="shared" ref="BX264" ca="1" si="2644">BX266-(COLUMN()/10000)</f>
        <v>20.9924</v>
      </c>
      <c r="BY264" s="25"/>
      <c r="BZ264" s="25"/>
      <c r="CA264" s="25">
        <f t="shared" ref="CA264" ca="1" si="2645">CA266-(COLUMN()/10000)</f>
        <v>11.992100000000001</v>
      </c>
      <c r="CB264" s="25"/>
      <c r="CC264" s="25"/>
      <c r="CD264" s="25">
        <f t="shared" ref="CD264" ca="1" si="2646">CD266-(COLUMN()/10000)</f>
        <v>20.991800000000001</v>
      </c>
      <c r="CE264" s="25"/>
      <c r="CF264" s="25"/>
      <c r="CG264" s="25">
        <f t="shared" ref="CG264" ca="1" si="2647">CG266-(COLUMN()/10000)</f>
        <v>25.991499999999998</v>
      </c>
      <c r="CH264" s="25"/>
      <c r="CI264" s="25"/>
      <c r="CJ264" s="25">
        <f t="shared" ref="CJ264" ca="1" si="2648">CJ266-(COLUMN()/10000)</f>
        <v>23.991199999999999</v>
      </c>
      <c r="CK264" s="25"/>
      <c r="CL264" s="25"/>
      <c r="CM264" s="25">
        <f t="shared" ref="CM264" ca="1" si="2649">CM266-(COLUMN()/10000)</f>
        <v>15.9909</v>
      </c>
      <c r="CN264" s="25"/>
      <c r="CO264" s="25"/>
      <c r="CP264" s="25">
        <f t="shared" ref="CP264" ca="1" si="2650">CP266-(COLUMN()/10000)</f>
        <v>24.990600000000001</v>
      </c>
      <c r="CQ264" s="25"/>
      <c r="CR264" s="25"/>
      <c r="CS264" s="25">
        <f t="shared" ref="CS264" ca="1" si="2651">CS266-(COLUMN()/10000)</f>
        <v>21.990300000000001</v>
      </c>
      <c r="CT264" s="25"/>
      <c r="CU264" s="25"/>
      <c r="CV264" s="25">
        <f t="shared" ref="CV264" ca="1" si="2652">CV266-(COLUMN()/10000)</f>
        <v>25.99</v>
      </c>
      <c r="CW264" s="25"/>
      <c r="CX264" s="25"/>
      <c r="CY264" s="25">
        <f t="shared" ref="CY264" ca="1" si="2653">CY266-(COLUMN()/10000)</f>
        <v>16.989699999999999</v>
      </c>
      <c r="CZ264" s="25"/>
      <c r="DA264" s="25"/>
      <c r="DB264" s="25">
        <f t="shared" ref="DB264" ca="1" si="2654">DB266-(COLUMN()/10000)</f>
        <v>26.9894</v>
      </c>
      <c r="DC264" s="25"/>
      <c r="DD264" s="25"/>
      <c r="DE264" s="25">
        <f t="shared" ref="DE264" ca="1" si="2655">DE266-(COLUMN()/10000)</f>
        <v>24.989100000000001</v>
      </c>
      <c r="DF264" s="25"/>
      <c r="DG264" s="25"/>
      <c r="DH264" s="25">
        <f t="shared" ref="DH264" ca="1" si="2656">DH266-(COLUMN()/10000)</f>
        <v>18.988800000000001</v>
      </c>
      <c r="DI264" s="25"/>
      <c r="DJ264" s="25"/>
      <c r="DK264" s="25">
        <f t="shared" ref="DK264" ca="1" si="2657">DK266-(COLUMN()/10000)</f>
        <v>15.9885</v>
      </c>
      <c r="DL264" s="25"/>
      <c r="DM264" s="25"/>
      <c r="DN264" s="25">
        <f t="shared" ref="DN264" ca="1" si="2658">DN266-(COLUMN()/10000)</f>
        <v>20.988199999999999</v>
      </c>
      <c r="DO264" s="25"/>
      <c r="DP264" s="25"/>
      <c r="DQ264" s="25">
        <f t="shared" ref="DQ264" ca="1" si="2659">DQ266-(COLUMN()/10000)</f>
        <v>7.9878999999999998</v>
      </c>
      <c r="DR264" s="25"/>
      <c r="DS264" s="25"/>
      <c r="DT264" s="25">
        <f t="shared" ref="DT264" ca="1" si="2660">DT266-(COLUMN()/10000)</f>
        <v>19.9876</v>
      </c>
      <c r="DU264" s="25"/>
      <c r="DV264" s="25"/>
      <c r="DW264" s="25">
        <f t="shared" ref="DW264" ca="1" si="2661">DW266-(COLUMN()/10000)</f>
        <v>20.987300000000001</v>
      </c>
      <c r="DX264" s="25"/>
      <c r="DY264" s="25"/>
      <c r="DZ264" s="25">
        <f t="shared" ref="DZ264" ca="1" si="2662">DZ266-(COLUMN()/10000)</f>
        <v>19.986999999999998</v>
      </c>
      <c r="EA264" s="25"/>
      <c r="EB264" s="25"/>
      <c r="EC264" s="25">
        <f t="shared" ref="EC264" ca="1" si="2663">EC266-(COLUMN()/10000)</f>
        <v>21.986699999999999</v>
      </c>
      <c r="ED264" s="25"/>
      <c r="EE264" s="25"/>
      <c r="EF264" s="25">
        <f t="shared" ref="EF264" ca="1" si="2664">EF266-(COLUMN()/10000)</f>
        <v>14.9864</v>
      </c>
      <c r="EG264" s="25"/>
      <c r="EH264" s="25"/>
      <c r="EI264" s="25">
        <f t="shared" ref="EI264" ca="1" si="2665">EI266-(COLUMN()/10000)</f>
        <v>19.9861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16</v>
      </c>
      <c r="T265" s="25"/>
      <c r="U265" s="25"/>
      <c r="V265" s="25">
        <f ca="1">RANK(V266,OFFSET($S$266,0,0,1,$D$5*3),0)</f>
        <v>35</v>
      </c>
      <c r="W265" s="25"/>
      <c r="X265" s="25"/>
      <c r="Y265" s="25">
        <f ca="1">RANK(Y266,OFFSET($S$266,0,0,1,$D$5*3),0)</f>
        <v>29</v>
      </c>
      <c r="Z265" s="25"/>
      <c r="AA265" s="25"/>
      <c r="AB265" s="25">
        <f ca="1">RANK(AB266,OFFSET($S$266,0,0,1,$D$5*3),0)</f>
        <v>29</v>
      </c>
      <c r="AC265" s="25"/>
      <c r="AD265" s="25"/>
      <c r="AE265" s="25">
        <f ca="1">RANK(AE266,OFFSET($S$266,0,0,1,$D$5*3),0)</f>
        <v>2</v>
      </c>
      <c r="AF265" s="25"/>
      <c r="AG265" s="25"/>
      <c r="AH265" s="25">
        <f ca="1">RANK(AH266,OFFSET($S$266,0,0,1,$D$5*3),0)</f>
        <v>5</v>
      </c>
      <c r="AI265" s="25"/>
      <c r="AJ265" s="25"/>
      <c r="AK265" s="25">
        <f ca="1">RANK(AK266,OFFSET($S$266,0,0,1,$D$5*3),0)</f>
        <v>35</v>
      </c>
      <c r="AL265" s="25"/>
      <c r="AM265" s="25"/>
      <c r="AN265" s="25">
        <f ca="1">RANK(AN266,OFFSET($S$266,0,0,1,$D$5*3),0)</f>
        <v>5</v>
      </c>
      <c r="AO265" s="25"/>
      <c r="AP265" s="25"/>
      <c r="AQ265" s="25">
        <f ca="1">RANK(AQ266,OFFSET($S$266,0,0,1,$D$5*3),0)</f>
        <v>3</v>
      </c>
      <c r="AR265" s="25"/>
      <c r="AS265" s="25"/>
      <c r="AT265" s="25">
        <f ca="1">RANK(AT266,OFFSET($S$266,0,0,1,$D$5*3),0)</f>
        <v>38</v>
      </c>
      <c r="AU265" s="25"/>
      <c r="AV265" s="25"/>
      <c r="AW265" s="25">
        <f ca="1">RANK(AW266,OFFSET($S$266,0,0,1,$D$5*3),0)</f>
        <v>24</v>
      </c>
      <c r="AX265" s="25"/>
      <c r="AY265" s="25"/>
      <c r="AZ265" s="25">
        <f ca="1">RANK(AZ266,OFFSET($S$266,0,0,1,$D$5*3),0)</f>
        <v>16</v>
      </c>
      <c r="BA265" s="25"/>
      <c r="BB265" s="25"/>
      <c r="BC265" s="25">
        <f ca="1">RANK(BC266,OFFSET($S$266,0,0,1,$D$5*3),0)</f>
        <v>32</v>
      </c>
      <c r="BD265" s="25"/>
      <c r="BE265" s="25"/>
      <c r="BF265" s="25">
        <f ca="1">RANK(BF266,OFFSET($S$266,0,0,1,$D$5*3),0)</f>
        <v>16</v>
      </c>
      <c r="BG265" s="25"/>
      <c r="BH265" s="25"/>
      <c r="BI265" s="25">
        <f ca="1">RANK(BI266,OFFSET($S$266,0,0,1,$D$5*3),0)</f>
        <v>13</v>
      </c>
      <c r="BJ265" s="25"/>
      <c r="BK265" s="25"/>
      <c r="BL265" s="25">
        <f ca="1">RANK(BL266,OFFSET($S$266,0,0,1,$D$5*3),0)</f>
        <v>1</v>
      </c>
      <c r="BM265" s="25"/>
      <c r="BN265" s="25"/>
      <c r="BO265" s="25">
        <f ca="1">RANK(BO266,OFFSET($S$266,0,0,1,$D$5*3),0)</f>
        <v>16</v>
      </c>
      <c r="BP265" s="25"/>
      <c r="BQ265" s="25"/>
      <c r="BR265" s="25">
        <f ca="1">RANK(BR266,OFFSET($S$266,0,0,1,$D$5*3),0)</f>
        <v>9</v>
      </c>
      <c r="BS265" s="25"/>
      <c r="BT265" s="25"/>
      <c r="BU265" s="25">
        <f ca="1">RANK(BU266,OFFSET($S$266,0,0,1,$D$5*3),0)</f>
        <v>38</v>
      </c>
      <c r="BV265" s="25"/>
      <c r="BW265" s="25"/>
      <c r="BX265" s="25">
        <f ca="1">RANK(BX266,OFFSET($S$266,0,0,1,$D$5*3),0)</f>
        <v>16</v>
      </c>
      <c r="BY265" s="25"/>
      <c r="BZ265" s="25"/>
      <c r="CA265" s="25">
        <f ca="1">RANK(CA266,OFFSET($S$266,0,0,1,$D$5*3),0)</f>
        <v>40</v>
      </c>
      <c r="CB265" s="25"/>
      <c r="CC265" s="25"/>
      <c r="CD265" s="25">
        <f ca="1">RANK(CD266,OFFSET($S$266,0,0,1,$D$5*3),0)</f>
        <v>16</v>
      </c>
      <c r="CE265" s="25"/>
      <c r="CF265" s="25"/>
      <c r="CG265" s="25">
        <f ca="1">RANK(CG266,OFFSET($S$266,0,0,1,$D$5*3),0)</f>
        <v>5</v>
      </c>
      <c r="CH265" s="25"/>
      <c r="CI265" s="25"/>
      <c r="CJ265" s="25">
        <f ca="1">RANK(CJ266,OFFSET($S$266,0,0,1,$D$5*3),0)</f>
        <v>12</v>
      </c>
      <c r="CK265" s="25"/>
      <c r="CL265" s="25"/>
      <c r="CM265" s="25">
        <f ca="1">RANK(CM266,OFFSET($S$266,0,0,1,$D$5*3),0)</f>
        <v>32</v>
      </c>
      <c r="CN265" s="25"/>
      <c r="CO265" s="25"/>
      <c r="CP265" s="25">
        <f ca="1">RANK(CP266,OFFSET($S$266,0,0,1,$D$5*3),0)</f>
        <v>9</v>
      </c>
      <c r="CQ265" s="25"/>
      <c r="CR265" s="25"/>
      <c r="CS265" s="25">
        <f ca="1">RANK(CS266,OFFSET($S$266,0,0,1,$D$5*3),0)</f>
        <v>14</v>
      </c>
      <c r="CT265" s="25"/>
      <c r="CU265" s="25"/>
      <c r="CV265" s="25">
        <f ca="1">RANK(CV266,OFFSET($S$266,0,0,1,$D$5*3),0)</f>
        <v>5</v>
      </c>
      <c r="CW265" s="25"/>
      <c r="CX265" s="25"/>
      <c r="CY265" s="25">
        <f ca="1">RANK(CY266,OFFSET($S$266,0,0,1,$D$5*3),0)</f>
        <v>31</v>
      </c>
      <c r="CZ265" s="25"/>
      <c r="DA265" s="25"/>
      <c r="DB265" s="25">
        <f ca="1">RANK(DB266,OFFSET($S$266,0,0,1,$D$5*3),0)</f>
        <v>4</v>
      </c>
      <c r="DC265" s="25"/>
      <c r="DD265" s="25"/>
      <c r="DE265" s="25">
        <f ca="1">RANK(DE266,OFFSET($S$266,0,0,1,$D$5*3),0)</f>
        <v>9</v>
      </c>
      <c r="DF265" s="25"/>
      <c r="DG265" s="25"/>
      <c r="DH265" s="25">
        <f ca="1">RANK(DH266,OFFSET($S$266,0,0,1,$D$5*3),0)</f>
        <v>28</v>
      </c>
      <c r="DI265" s="25"/>
      <c r="DJ265" s="25"/>
      <c r="DK265" s="25">
        <f ca="1">RANK(DK266,OFFSET($S$266,0,0,1,$D$5*3),0)</f>
        <v>32</v>
      </c>
      <c r="DL265" s="25"/>
      <c r="DM265" s="25"/>
      <c r="DN265" s="25">
        <f ca="1">RANK(DN266,OFFSET($S$266,0,0,1,$D$5*3),0)</f>
        <v>16</v>
      </c>
      <c r="DO265" s="25"/>
      <c r="DP265" s="25"/>
      <c r="DQ265" s="25">
        <f ca="1">RANK(DQ266,OFFSET($S$266,0,0,1,$D$5*3),0)</f>
        <v>41</v>
      </c>
      <c r="DR265" s="25"/>
      <c r="DS265" s="25"/>
      <c r="DT265" s="25">
        <f ca="1">RANK(DT266,OFFSET($S$266,0,0,1,$D$5*3),0)</f>
        <v>24</v>
      </c>
      <c r="DU265" s="25"/>
      <c r="DV265" s="25"/>
      <c r="DW265" s="25">
        <f ca="1">RANK(DW266,OFFSET($S$266,0,0,1,$D$5*3),0)</f>
        <v>16</v>
      </c>
      <c r="DX265" s="25"/>
      <c r="DY265" s="25"/>
      <c r="DZ265" s="25">
        <f ca="1">RANK(DZ266,OFFSET($S$266,0,0,1,$D$5*3),0)</f>
        <v>24</v>
      </c>
      <c r="EA265" s="25"/>
      <c r="EB265" s="25"/>
      <c r="EC265" s="25">
        <f ca="1">RANK(EC266,OFFSET($S$266,0,0,1,$D$5*3),0)</f>
        <v>14</v>
      </c>
      <c r="ED265" s="25"/>
      <c r="EE265" s="25"/>
      <c r="EF265" s="25">
        <f ca="1">RANK(EF266,OFFSET($S$266,0,0,1,$D$5*3),0)</f>
        <v>35</v>
      </c>
      <c r="EG265" s="25"/>
      <c r="EH265" s="25"/>
      <c r="EI265" s="25">
        <f ca="1">RANK(EI266,OFFSET($S$266,0,0,1,$D$5*3),0)</f>
        <v>24</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21</v>
      </c>
      <c r="T266" s="25"/>
      <c r="U266" s="25"/>
      <c r="V266" s="25">
        <f ca="1">SUMIFS((W6:W259),$H$6:$H$259,$M$262)</f>
        <v>15</v>
      </c>
      <c r="W266" s="25"/>
      <c r="X266" s="25"/>
      <c r="Y266" s="25">
        <f ca="1">SUMIFS((Z6:Z259),$H$6:$H$259,$M$262)</f>
        <v>18</v>
      </c>
      <c r="Z266" s="25"/>
      <c r="AA266" s="25"/>
      <c r="AB266" s="25">
        <f ca="1">SUMIFS((AC6:AC259),$H$6:$H$259,$M$262)</f>
        <v>18</v>
      </c>
      <c r="AC266" s="25"/>
      <c r="AD266" s="25"/>
      <c r="AE266" s="25">
        <f ca="1">SUMIFS((AF6:AF259),$H$6:$H$259,$M$262)</f>
        <v>29</v>
      </c>
      <c r="AF266" s="25"/>
      <c r="AG266" s="25"/>
      <c r="AH266" s="25">
        <f ca="1">SUMIFS((AI6:AI259),$H$6:$H$259,$M$262)</f>
        <v>26</v>
      </c>
      <c r="AI266" s="25"/>
      <c r="AJ266" s="25"/>
      <c r="AK266" s="25">
        <f ca="1">SUMIFS((AL6:AL259),$H$6:$H$259,$M$262)</f>
        <v>15</v>
      </c>
      <c r="AL266" s="25"/>
      <c r="AM266" s="25"/>
      <c r="AN266" s="25">
        <f ca="1">SUMIFS((AO6:AO259),$H$6:$H$259,$M$262)</f>
        <v>26</v>
      </c>
      <c r="AO266" s="25"/>
      <c r="AP266" s="25"/>
      <c r="AQ266" s="25">
        <f ca="1">SUMIFS((AR6:AR259),$H$6:$H$259,$M$262)</f>
        <v>28</v>
      </c>
      <c r="AR266" s="25"/>
      <c r="AS266" s="25"/>
      <c r="AT266" s="25">
        <f ca="1">SUMIFS((AU6:AU259),$H$6:$H$259,$M$262)</f>
        <v>13</v>
      </c>
      <c r="AU266" s="25"/>
      <c r="AV266" s="25"/>
      <c r="AW266" s="25">
        <f ca="1">SUMIFS((AX6:AX259),$H$6:$H$259,$M$262)</f>
        <v>20</v>
      </c>
      <c r="AX266" s="25"/>
      <c r="AY266" s="25"/>
      <c r="AZ266" s="25">
        <f ca="1">SUMIFS((BA6:BA259),$H$6:$H$259,$M$262)</f>
        <v>21</v>
      </c>
      <c r="BA266" s="25"/>
      <c r="BB266" s="25"/>
      <c r="BC266" s="25">
        <f ca="1">SUMIFS((BD6:BD259),$H$6:$H$259,$M$262)</f>
        <v>16</v>
      </c>
      <c r="BD266" s="25"/>
      <c r="BE266" s="25"/>
      <c r="BF266" s="25">
        <f ca="1">SUMIFS((BG6:BG259),$H$6:$H$259,$M$262)</f>
        <v>21</v>
      </c>
      <c r="BG266" s="25"/>
      <c r="BH266" s="25"/>
      <c r="BI266" s="25">
        <f ca="1">SUMIFS((BJ6:BJ259),$H$6:$H$259,$M$262)</f>
        <v>23</v>
      </c>
      <c r="BJ266" s="25"/>
      <c r="BK266" s="25"/>
      <c r="BL266" s="25">
        <f ca="1">SUMIFS((BM6:BM259),$H$6:$H$259,$M$262)</f>
        <v>32</v>
      </c>
      <c r="BM266" s="25"/>
      <c r="BN266" s="25"/>
      <c r="BO266" s="25">
        <f ca="1">SUMIFS((BP6:BP259),$H$6:$H$259,$M$262)</f>
        <v>21</v>
      </c>
      <c r="BP266" s="25"/>
      <c r="BQ266" s="25"/>
      <c r="BR266" s="25">
        <f ca="1">SUMIFS((BS6:BS259),$H$6:$H$259,$M$262)</f>
        <v>25</v>
      </c>
      <c r="BS266" s="25"/>
      <c r="BT266" s="25"/>
      <c r="BU266" s="25">
        <f ca="1">SUMIFS((BV6:BV259),$H$6:$H$259,$M$262)</f>
        <v>13</v>
      </c>
      <c r="BV266" s="25"/>
      <c r="BW266" s="25"/>
      <c r="BX266" s="25">
        <f ca="1">SUMIFS((BY6:BY259),$H$6:$H$259,$M$262)</f>
        <v>21</v>
      </c>
      <c r="BY266" s="25"/>
      <c r="BZ266" s="25"/>
      <c r="CA266" s="25">
        <f ca="1">SUMIFS((CB6:CB259),$H$6:$H$259,$M$262)</f>
        <v>12</v>
      </c>
      <c r="CB266" s="25"/>
      <c r="CC266" s="25"/>
      <c r="CD266" s="25">
        <f ca="1">SUMIFS((CE6:CE259),$H$6:$H$259,$M$262)</f>
        <v>21</v>
      </c>
      <c r="CE266" s="25"/>
      <c r="CF266" s="25"/>
      <c r="CG266" s="25">
        <f ca="1">SUMIFS((CH6:CH259),$H$6:$H$259,$M$262)</f>
        <v>26</v>
      </c>
      <c r="CH266" s="25"/>
      <c r="CI266" s="25"/>
      <c r="CJ266" s="25">
        <f ca="1">SUMIFS((CK6:CK259),$H$6:$H$259,$M$262)</f>
        <v>24</v>
      </c>
      <c r="CK266" s="25"/>
      <c r="CL266" s="25"/>
      <c r="CM266" s="25">
        <f ca="1">SUMIFS((CN6:CN259),$H$6:$H$259,$M$262)</f>
        <v>16</v>
      </c>
      <c r="CN266" s="25"/>
      <c r="CO266" s="25"/>
      <c r="CP266" s="25">
        <f ca="1">SUMIFS((CQ6:CQ259),$H$6:$H$259,$M$262)</f>
        <v>25</v>
      </c>
      <c r="CQ266" s="25"/>
      <c r="CR266" s="25"/>
      <c r="CS266" s="25">
        <f ca="1">SUMIFS((CT6:CT259),$H$6:$H$259,$M$262)</f>
        <v>22</v>
      </c>
      <c r="CT266" s="25"/>
      <c r="CU266" s="25"/>
      <c r="CV266" s="25">
        <f ca="1">SUMIFS((CW6:CW259),$H$6:$H$259,$M$262)</f>
        <v>26</v>
      </c>
      <c r="CW266" s="25"/>
      <c r="CX266" s="25"/>
      <c r="CY266" s="25">
        <f ca="1">SUMIFS((CZ6:CZ259),$H$6:$H$259,$M$262)</f>
        <v>17</v>
      </c>
      <c r="CZ266" s="25"/>
      <c r="DA266" s="25"/>
      <c r="DB266" s="25">
        <f ca="1">SUMIFS((DC6:DC259),$H$6:$H$259,$M$262)</f>
        <v>27</v>
      </c>
      <c r="DC266" s="25"/>
      <c r="DD266" s="25"/>
      <c r="DE266" s="25">
        <f ca="1">SUMIFS((DF6:DF259),$H$6:$H$259,$M$262)</f>
        <v>25</v>
      </c>
      <c r="DF266" s="25"/>
      <c r="DG266" s="25"/>
      <c r="DH266" s="25">
        <f ca="1">SUMIFS((DI6:DI259),$H$6:$H$259,$M$262)</f>
        <v>19</v>
      </c>
      <c r="DI266" s="25"/>
      <c r="DJ266" s="25"/>
      <c r="DK266" s="25">
        <f ca="1">SUMIFS((DL6:DL259),$H$6:$H$259,$M$262)</f>
        <v>16</v>
      </c>
      <c r="DL266" s="25"/>
      <c r="DM266" s="25"/>
      <c r="DN266" s="25">
        <f ca="1">SUMIFS((DO6:DO259),$H$6:$H$259,$M$262)</f>
        <v>21</v>
      </c>
      <c r="DO266" s="25"/>
      <c r="DP266" s="25"/>
      <c r="DQ266" s="25">
        <f ca="1">SUMIFS((DR6:DR259),$H$6:$H$259,$M$262)</f>
        <v>8</v>
      </c>
      <c r="DR266" s="25"/>
      <c r="DS266" s="25"/>
      <c r="DT266" s="25">
        <f ca="1">SUMIFS((DU6:DU259),$H$6:$H$259,$M$262)</f>
        <v>20</v>
      </c>
      <c r="DU266" s="25"/>
      <c r="DV266" s="25"/>
      <c r="DW266" s="25">
        <f ca="1">SUMIFS((DX6:DX259),$H$6:$H$259,$M$262)</f>
        <v>21</v>
      </c>
      <c r="DX266" s="25"/>
      <c r="DY266" s="25"/>
      <c r="DZ266" s="25">
        <f ca="1">SUMIFS((EA6:EA259),$H$6:$H$259,$M$262)</f>
        <v>20</v>
      </c>
      <c r="EA266" s="25"/>
      <c r="EB266" s="25"/>
      <c r="EC266" s="25">
        <f ca="1">SUMIFS((ED6:ED259),$H$6:$H$259,$M$262)</f>
        <v>22</v>
      </c>
      <c r="ED266" s="25"/>
      <c r="EE266" s="25"/>
      <c r="EF266" s="25">
        <f ca="1">SUMIFS((EG6:EG259),$H$6:$H$259,$M$262)</f>
        <v>15</v>
      </c>
      <c r="EG266" s="25"/>
      <c r="EH266" s="25"/>
      <c r="EI266" s="25">
        <f ca="1">SUMIFS((EJ6:EJ259),$H$6:$H$259,$M$262)</f>
        <v>20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19"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266</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4</v>
      </c>
      <c r="I5" s="92" cm="1">
        <f t="array" aca="1" ref="I5" ca="1">IFERROR(INDEX(Rango_Admin_Clas_Total,I$2,MATCH($A5,Rango_Admin_Clas_Primera,0)+1),"-")</f>
        <v>24</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258</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12</v>
      </c>
      <c r="I6" s="92" cm="1">
        <f t="array" aca="1" ref="I6" ca="1">IFERROR(INDEX(Rango_Admin_Clas_Total,I$2,MATCH($A6,Rango_Admin_Clas_Primera,0)+1),"-")</f>
        <v>20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257</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7</v>
      </c>
      <c r="I7" s="92" cm="1">
        <f t="array" aca="1" ref="I7" ca="1">IFERROR(INDEX(Rango_Admin_Clas_Total,I$2,MATCH($A7,Rango_Admin_Clas_Primera,0)+1),"-")</f>
        <v>20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IGNACIO LAFUENTE</v>
      </c>
      <c r="D8" s="91">
        <f ca="1">IFERROR(HLOOKUP(A8,Rango_Admin_Clas,4,FALSE),"-")</f>
        <v>254</v>
      </c>
      <c r="E8" s="92" cm="1">
        <f t="array" aca="1" ref="E8" ca="1">IFERROR(INDEX(Rango_Admin_Clas_Total,E$2,MATCH($A8,Rango_Admin_Clas_Primera,0)+1),"-")</f>
        <v>86</v>
      </c>
      <c r="F8" s="92" cm="1">
        <f t="array" aca="1" ref="F8" ca="1">IFERROR(INDEX(Rango_Admin_Clas_Total,F$2,MATCH($A8,Rango_Admin_Clas_Primera,0)+1),"-")</f>
        <v>66</v>
      </c>
      <c r="G8" s="92" cm="1">
        <f t="array" aca="1" ref="G8" ca="1">IFERROR(INDEX(Rango_Admin_Clas_Total,G$2,MATCH($A8,Rango_Admin_Clas_Primera,0)+1),"-")</f>
        <v>81</v>
      </c>
      <c r="H8" s="92" cm="1">
        <f t="array" aca="1" ref="H8" ca="1">IFERROR(INDEX(Rango_Admin_Clas_Total,H$2,MATCH($A8,Rango_Admin_Clas_Primera,0)+1),"-")</f>
        <v>5</v>
      </c>
      <c r="I8" s="92" cm="1">
        <f t="array" aca="1" ref="I8" ca="1">IFERROR(INDEX(Rango_Admin_Clas_Total,I$2,MATCH($A8,Rango_Admin_Clas_Primera,0)+1),"-")</f>
        <v>16</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Kurtischamp</v>
      </c>
      <c r="D9" s="91">
        <f ca="1">IFERROR(HLOOKUP(A9,Rango_Admin_Clas,4,FALSE),"-")</f>
        <v>246</v>
      </c>
      <c r="E9" s="92" cm="1">
        <f t="array" aca="1" ref="E9" ca="1">IFERROR(INDEX(Rango_Admin_Clas_Total,E$2,MATCH($A9,Rango_Admin_Clas_Primera,0)+1),"-")</f>
        <v>74</v>
      </c>
      <c r="F9" s="92" cm="1">
        <f t="array" aca="1" ref="F9" ca="1">IFERROR(INDEX(Rango_Admin_Clas_Total,F$2,MATCH($A9,Rango_Admin_Clas_Primera,0)+1),"-")</f>
        <v>72</v>
      </c>
      <c r="G9" s="92" cm="1">
        <f t="array" aca="1" ref="G9" ca="1">IFERROR(INDEX(Rango_Admin_Clas_Total,G$2,MATCH($A9,Rango_Admin_Clas_Primera,0)+1),"-")</f>
        <v>78</v>
      </c>
      <c r="H9" s="92" cm="1">
        <f t="array" aca="1" ref="H9" ca="1">IFERROR(INDEX(Rango_Admin_Clas_Total,H$2,MATCH($A9,Rango_Admin_Clas_Primera,0)+1),"-")</f>
        <v>2</v>
      </c>
      <c r="I9" s="92" cm="1">
        <f t="array" aca="1" ref="I9" ca="1">IFERROR(INDEX(Rango_Admin_Clas_Total,I$2,MATCH($A9,Rango_Admin_Clas_Primera,0)+1),"-")</f>
        <v>20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KIRICOCHO</v>
      </c>
      <c r="D10" s="91">
        <f ca="1">IFERROR(HLOOKUP(A10,Rango_Admin_Clas,4,FALSE),"-")</f>
        <v>246</v>
      </c>
      <c r="E10" s="92" cm="1">
        <f t="array" aca="1" ref="E10" ca="1">IFERROR(INDEX(Rango_Admin_Clas_Total,E$2,MATCH($A10,Rango_Admin_Clas_Primera,0)+1),"-")</f>
        <v>80</v>
      </c>
      <c r="F10" s="92" cm="1">
        <f t="array" aca="1" ref="F10" ca="1">IFERROR(INDEX(Rango_Admin_Clas_Total,F$2,MATCH($A10,Rango_Admin_Clas_Primera,0)+1),"-")</f>
        <v>62</v>
      </c>
      <c r="G10" s="92" cm="1">
        <f t="array" aca="1" ref="G10" ca="1">IFERROR(INDEX(Rango_Admin_Clas_Total,G$2,MATCH($A10,Rango_Admin_Clas_Primera,0)+1),"-")</f>
        <v>78</v>
      </c>
      <c r="H10" s="92" cm="1">
        <f t="array" aca="1" ref="H10" ca="1">IFERROR(INDEX(Rango_Admin_Clas_Total,H$2,MATCH($A10,Rango_Admin_Clas_Primera,0)+1),"-")</f>
        <v>6</v>
      </c>
      <c r="I10" s="92" cm="1">
        <f t="array" aca="1" ref="I10" ca="1">IFERROR(INDEX(Rango_Admin_Clas_Total,I$2,MATCH($A10,Rango_Admin_Clas_Primera,0)+1),"-")</f>
        <v>20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William Hartley</v>
      </c>
      <c r="D11" s="91">
        <f ca="1">IFERROR(HLOOKUP(A11,Rango_Admin_Clas,4,FALSE),"-")</f>
        <v>243</v>
      </c>
      <c r="E11" s="92" cm="1">
        <f t="array" aca="1" ref="E11" ca="1">IFERROR(INDEX(Rango_Admin_Clas_Total,E$2,MATCH($A11,Rango_Admin_Clas_Primera,0)+1),"-")</f>
        <v>74</v>
      </c>
      <c r="F11" s="92" cm="1">
        <f t="array" aca="1" ref="F11" ca="1">IFERROR(INDEX(Rango_Admin_Clas_Total,F$2,MATCH($A11,Rango_Admin_Clas_Primera,0)+1),"-")</f>
        <v>60</v>
      </c>
      <c r="G11" s="92" cm="1">
        <f t="array" aca="1" ref="G11" ca="1">IFERROR(INDEX(Rango_Admin_Clas_Total,G$2,MATCH($A11,Rango_Admin_Clas_Primera,0)+1),"-")</f>
        <v>84</v>
      </c>
      <c r="H11" s="92" cm="1">
        <f t="array" aca="1" ref="H11" ca="1">IFERROR(INDEX(Rango_Admin_Clas_Total,H$2,MATCH($A11,Rango_Admin_Clas_Primera,0)+1),"-")</f>
        <v>1</v>
      </c>
      <c r="I11" s="92" cm="1">
        <f t="array" aca="1" ref="I11" ca="1">IFERROR(INDEX(Rango_Admin_Clas_Total,I$2,MATCH($A11,Rango_Admin_Clas_Primera,0)+1),"-")</f>
        <v>24</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Jaime Lafuente</v>
      </c>
      <c r="D12" s="91">
        <f ca="1">IFERROR(HLOOKUP(A12,Rango_Admin_Clas,4,FALSE),"-")</f>
        <v>242</v>
      </c>
      <c r="E12" s="92" cm="1">
        <f t="array" aca="1" ref="E12" ca="1">IFERROR(INDEX(Rango_Admin_Clas_Total,E$2,MATCH($A12,Rango_Admin_Clas_Primera,0)+1),"-")</f>
        <v>87</v>
      </c>
      <c r="F12" s="92" cm="1">
        <f t="array" aca="1" ref="F12" ca="1">IFERROR(INDEX(Rango_Admin_Clas_Total,F$2,MATCH($A12,Rango_Admin_Clas_Primera,0)+1),"-")</f>
        <v>62</v>
      </c>
      <c r="G12" s="92" cm="1">
        <f t="array" aca="1" ref="G12" ca="1">IFERROR(INDEX(Rango_Admin_Clas_Total,G$2,MATCH($A12,Rango_Admin_Clas_Primera,0)+1),"-")</f>
        <v>75</v>
      </c>
      <c r="H12" s="92" cm="1">
        <f t="array" aca="1" ref="H12" ca="1">IFERROR(INDEX(Rango_Admin_Clas_Total,H$2,MATCH($A12,Rango_Admin_Clas_Primera,0)+1),"-")</f>
        <v>2</v>
      </c>
      <c r="I12" s="92" cm="1">
        <f t="array" aca="1" ref="I12" ca="1">IFERROR(INDEX(Rango_Admin_Clas_Total,I$2,MATCH($A12,Rango_Admin_Clas_Primera,0)+1),"-")</f>
        <v>16</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Antonio Zulueta Ramos</v>
      </c>
      <c r="D13" s="91">
        <f ca="1">IFERROR(HLOOKUP(A13,Rango_Admin_Clas,4,FALSE),"-")</f>
        <v>240</v>
      </c>
      <c r="E13" s="92" cm="1">
        <f t="array" aca="1" ref="E13" ca="1">IFERROR(INDEX(Rango_Admin_Clas_Total,E$2,MATCH($A13,Rango_Admin_Clas_Primera,0)+1),"-")</f>
        <v>72</v>
      </c>
      <c r="F13" s="92" cm="1">
        <f t="array" aca="1" ref="F13" ca="1">IFERROR(INDEX(Rango_Admin_Clas_Total,F$2,MATCH($A13,Rango_Admin_Clas_Primera,0)+1),"-")</f>
        <v>64</v>
      </c>
      <c r="G13" s="92" cm="1">
        <f t="array" aca="1" ref="G13" ca="1">IFERROR(INDEX(Rango_Admin_Clas_Total,G$2,MATCH($A13,Rango_Admin_Clas_Primera,0)+1),"-")</f>
        <v>78</v>
      </c>
      <c r="H13" s="92" cm="1">
        <f t="array" aca="1" ref="H13" ca="1">IFERROR(INDEX(Rango_Admin_Clas_Total,H$2,MATCH($A13,Rango_Admin_Clas_Primera,0)+1),"-")</f>
        <v>10</v>
      </c>
      <c r="I13" s="92" cm="1">
        <f t="array" aca="1" ref="I13" ca="1">IFERROR(INDEX(Rango_Admin_Clas_Total,I$2,MATCH($A13,Rango_Admin_Clas_Primera,0)+1),"-")</f>
        <v>16</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MURO 204</v>
      </c>
      <c r="D14" s="91">
        <f ca="1">IFERROR(HLOOKUP(A14,Rango_Admin_Clas,4,FALSE),"-")</f>
        <v>239</v>
      </c>
      <c r="E14" s="92" cm="1">
        <f t="array" aca="1" ref="E14" ca="1">IFERROR(INDEX(Rango_Admin_Clas_Total,E$2,MATCH($A14,Rango_Admin_Clas_Primera,0)+1),"-")</f>
        <v>77</v>
      </c>
      <c r="F14" s="92" cm="1">
        <f t="array" aca="1" ref="F14" ca="1">IFERROR(INDEX(Rango_Admin_Clas_Total,F$2,MATCH($A14,Rango_Admin_Clas_Primera,0)+1),"-")</f>
        <v>62</v>
      </c>
      <c r="G14" s="92" cm="1">
        <f t="array" aca="1" ref="G14" ca="1">IFERROR(INDEX(Rango_Admin_Clas_Total,G$2,MATCH($A14,Rango_Admin_Clas_Primera,0)+1),"-")</f>
        <v>75</v>
      </c>
      <c r="H14" s="92" cm="1">
        <f t="array" aca="1" ref="H14" ca="1">IFERROR(INDEX(Rango_Admin_Clas_Total,H$2,MATCH($A14,Rango_Admin_Clas_Primera,0)+1),"-")</f>
        <v>5</v>
      </c>
      <c r="I14" s="92" cm="1">
        <f t="array" aca="1" ref="I14" ca="1">IFERROR(INDEX(Rango_Admin_Clas_Total,I$2,MATCH($A14,Rango_Admin_Clas_Primera,0)+1),"-")</f>
        <v>20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Pastor</v>
      </c>
      <c r="D15" s="91">
        <f ca="1">IFERROR(HLOOKUP(A15,Rango_Admin_Clas,4,FALSE),"-")</f>
        <v>238</v>
      </c>
      <c r="E15" s="92" cm="1">
        <f t="array" aca="1" ref="E15" ca="1">IFERROR(INDEX(Rango_Admin_Clas_Total,E$2,MATCH($A15,Rango_Admin_Clas_Primera,0)+1),"-")</f>
        <v>70</v>
      </c>
      <c r="F15" s="92" cm="1">
        <f t="array" aca="1" ref="F15" ca="1">IFERROR(INDEX(Rango_Admin_Clas_Total,F$2,MATCH($A15,Rango_Admin_Clas_Primera,0)+1),"-")</f>
        <v>64</v>
      </c>
      <c r="G15" s="92" cm="1">
        <f t="array" aca="1" ref="G15" ca="1">IFERROR(INDEX(Rango_Admin_Clas_Total,G$2,MATCH($A15,Rango_Admin_Clas_Primera,0)+1),"-")</f>
        <v>75</v>
      </c>
      <c r="H15" s="92" cm="1">
        <f t="array" aca="1" ref="H15" ca="1">IFERROR(INDEX(Rango_Admin_Clas_Total,H$2,MATCH($A15,Rango_Admin_Clas_Primera,0)+1),"-")</f>
        <v>1</v>
      </c>
      <c r="I15" s="92" cm="1">
        <f t="array" aca="1" ref="I15" ca="1">IFERROR(INDEX(Rango_Admin_Clas_Total,I$2,MATCH($A15,Rango_Admin_Clas_Primera,0)+1),"-")</f>
        <v>28</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11</v>
      </c>
      <c r="C16" s="18" t="str">
        <f ca="1">IFERROR(HLOOKUP(A16,Rango_Admin_Clas,5,FALSE),"-")</f>
        <v>Alexander Schulte</v>
      </c>
      <c r="D16" s="91">
        <f ca="1">IFERROR(HLOOKUP(A16,Rango_Admin_Clas,4,FALSE),"-")</f>
        <v>238</v>
      </c>
      <c r="E16" s="92" cm="1">
        <f t="array" aca="1" ref="E16" ca="1">IFERROR(INDEX(Rango_Admin_Clas_Total,E$2,MATCH($A16,Rango_Admin_Clas_Primera,0)+1),"-")</f>
        <v>78</v>
      </c>
      <c r="F16" s="92" cm="1">
        <f t="array" aca="1" ref="F16" ca="1">IFERROR(INDEX(Rango_Admin_Clas_Total,F$2,MATCH($A16,Rango_Admin_Clas_Primera,0)+1),"-")</f>
        <v>62</v>
      </c>
      <c r="G16" s="92" cm="1">
        <f t="array" aca="1" ref="G16" ca="1">IFERROR(INDEX(Rango_Admin_Clas_Total,G$2,MATCH($A16,Rango_Admin_Clas_Primera,0)+1),"-")</f>
        <v>78</v>
      </c>
      <c r="H16" s="92" cm="1">
        <f t="array" aca="1" ref="H16" ca="1">IFERROR(INDEX(Rango_Admin_Clas_Total,H$2,MATCH($A16,Rango_Admin_Clas_Primera,0)+1),"-")</f>
        <v>4</v>
      </c>
      <c r="I16" s="92" cm="1">
        <f t="array" aca="1" ref="I16" ca="1">IFERROR(INDEX(Rango_Admin_Clas_Total,I$2,MATCH($A16,Rango_Admin_Clas_Primera,0)+1),"-")</f>
        <v>16</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Alejandro Lafuente</v>
      </c>
      <c r="D17" s="91">
        <f ca="1">IFERROR(HLOOKUP(A17,Rango_Admin_Clas,4,FALSE),"-")</f>
        <v>235</v>
      </c>
      <c r="E17" s="92" cm="1">
        <f t="array" aca="1" ref="E17" ca="1">IFERROR(INDEX(Rango_Admin_Clas_Total,E$2,MATCH($A17,Rango_Admin_Clas_Primera,0)+1),"-")</f>
        <v>75</v>
      </c>
      <c r="F17" s="92" cm="1">
        <f t="array" aca="1" ref="F17" ca="1">IFERROR(INDEX(Rango_Admin_Clas_Total,F$2,MATCH($A17,Rango_Admin_Clas_Primera,0)+1),"-")</f>
        <v>64</v>
      </c>
      <c r="G17" s="92" cm="1">
        <f t="array" aca="1" ref="G17" ca="1">IFERROR(INDEX(Rango_Admin_Clas_Total,G$2,MATCH($A17,Rango_Admin_Clas_Primera,0)+1),"-")</f>
        <v>78</v>
      </c>
      <c r="H17" s="92" cm="1">
        <f t="array" aca="1" ref="H17" ca="1">IFERROR(INDEX(Rango_Admin_Clas_Total,H$2,MATCH($A17,Rango_Admin_Clas_Primera,0)+1),"-")</f>
        <v>2</v>
      </c>
      <c r="I17" s="92" cm="1">
        <f t="array" aca="1" ref="I17" ca="1">IFERROR(INDEX(Rango_Admin_Clas_Total,I$2,MATCH($A17,Rango_Admin_Clas_Primera,0)+1),"-")</f>
        <v>16</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13</v>
      </c>
      <c r="C18" s="18" t="str">
        <f ca="1">IFERROR(HLOOKUP(A18,Rango_Admin_Clas,5,FALSE),"-")</f>
        <v>Joserra</v>
      </c>
      <c r="D18" s="91">
        <f ca="1">IFERROR(HLOOKUP(A18,Rango_Admin_Clas,4,FALSE),"-")</f>
        <v>235</v>
      </c>
      <c r="E18" s="92" cm="1">
        <f t="array" aca="1" ref="E18" ca="1">IFERROR(INDEX(Rango_Admin_Clas_Total,E$2,MATCH($A18,Rango_Admin_Clas_Primera,0)+1),"-")</f>
        <v>72</v>
      </c>
      <c r="F18" s="92" cm="1">
        <f t="array" aca="1" ref="F18" ca="1">IFERROR(INDEX(Rango_Admin_Clas_Total,F$2,MATCH($A18,Rango_Admin_Clas_Primera,0)+1),"-")</f>
        <v>62</v>
      </c>
      <c r="G18" s="92" cm="1">
        <f t="array" aca="1" ref="G18" ca="1">IFERROR(INDEX(Rango_Admin_Clas_Total,G$2,MATCH($A18,Rango_Admin_Clas_Primera,0)+1),"-")</f>
        <v>78</v>
      </c>
      <c r="H18" s="92" cm="1">
        <f t="array" aca="1" ref="H18" ca="1">IFERROR(INDEX(Rango_Admin_Clas_Total,H$2,MATCH($A18,Rango_Admin_Clas_Primera,0)+1),"-")</f>
        <v>3</v>
      </c>
      <c r="I18" s="92" cm="1">
        <f t="array" aca="1" ref="I18" ca="1">IFERROR(INDEX(Rango_Admin_Clas_Total,I$2,MATCH($A18,Rango_Admin_Clas_Primera,0)+1),"-")</f>
        <v>20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13</v>
      </c>
      <c r="C19" s="18" t="str">
        <f ca="1">IFERROR(HLOOKUP(A19,Rango_Admin_Clas,5,FALSE),"-")</f>
        <v>Lucas Oriol</v>
      </c>
      <c r="D19" s="91">
        <f ca="1">IFERROR(HLOOKUP(A19,Rango_Admin_Clas,4,FALSE),"-")</f>
        <v>235</v>
      </c>
      <c r="E19" s="92" cm="1">
        <f t="array" aca="1" ref="E19" ca="1">IFERROR(INDEX(Rango_Admin_Clas_Total,E$2,MATCH($A19,Rango_Admin_Clas_Primera,0)+1),"-")</f>
        <v>83</v>
      </c>
      <c r="F19" s="92" cm="1">
        <f t="array" aca="1" ref="F19" ca="1">IFERROR(INDEX(Rango_Admin_Clas_Total,F$2,MATCH($A19,Rango_Admin_Clas_Primera,0)+1),"-")</f>
        <v>56</v>
      </c>
      <c r="G19" s="92" cm="1">
        <f t="array" aca="1" ref="G19" ca="1">IFERROR(INDEX(Rango_Admin_Clas_Total,G$2,MATCH($A19,Rango_Admin_Clas_Primera,0)+1),"-")</f>
        <v>72</v>
      </c>
      <c r="H19" s="92" cm="1">
        <f t="array" aca="1" ref="H19" ca="1">IFERROR(INDEX(Rango_Admin_Clas_Total,H$2,MATCH($A19,Rango_Admin_Clas_Primera,0)+1),"-")</f>
        <v>8</v>
      </c>
      <c r="I19" s="92" cm="1">
        <f t="array" aca="1" ref="I19" ca="1">IFERROR(INDEX(Rango_Admin_Clas_Total,I$2,MATCH($A19,Rango_Admin_Clas_Primera,0)+1),"-")</f>
        <v>16</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JCU</v>
      </c>
      <c r="D20" s="91">
        <f ca="1">IFERROR(HLOOKUP(A20,Rango_Admin_Clas,4,FALSE),"-")</f>
        <v>234</v>
      </c>
      <c r="E20" s="92" cm="1">
        <f t="array" aca="1" ref="E20" ca="1">IFERROR(INDEX(Rango_Admin_Clas_Total,E$2,MATCH($A20,Rango_Admin_Clas_Primera,0)+1),"-")</f>
        <v>75</v>
      </c>
      <c r="F20" s="92" cm="1">
        <f t="array" aca="1" ref="F20" ca="1">IFERROR(INDEX(Rango_Admin_Clas_Total,F$2,MATCH($A20,Rango_Admin_Clas_Primera,0)+1),"-")</f>
        <v>66</v>
      </c>
      <c r="G20" s="92" cm="1">
        <f t="array" aca="1" ref="G20" ca="1">IFERROR(INDEX(Rango_Admin_Clas_Total,G$2,MATCH($A20,Rango_Admin_Clas_Primera,0)+1),"-")</f>
        <v>72</v>
      </c>
      <c r="H20" s="92" cm="1">
        <f t="array" aca="1" ref="H20" ca="1">IFERROR(INDEX(Rango_Admin_Clas_Total,H$2,MATCH($A20,Rango_Admin_Clas_Primera,0)+1),"-")</f>
        <v>1</v>
      </c>
      <c r="I20" s="92" cm="1">
        <f t="array" aca="1" ref="I20" ca="1">IFERROR(INDEX(Rango_Admin_Clas_Total,I$2,MATCH($A20,Rango_Admin_Clas_Primera,0)+1),"-")</f>
        <v>20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Miguel San Martín</v>
      </c>
      <c r="D21" s="91">
        <f ca="1">IFERROR(HLOOKUP(A21,Rango_Admin_Clas,4,FALSE),"-")</f>
        <v>234</v>
      </c>
      <c r="E21" s="92" cm="1">
        <f t="array" aca="1" ref="E21" ca="1">IFERROR(INDEX(Rango_Admin_Clas_Total,E$2,MATCH($A21,Rango_Admin_Clas_Primera,0)+1),"-")</f>
        <v>74</v>
      </c>
      <c r="F21" s="92" cm="1">
        <f t="array" aca="1" ref="F21" ca="1">IFERROR(INDEX(Rango_Admin_Clas_Total,F$2,MATCH($A21,Rango_Admin_Clas_Primera,0)+1),"-")</f>
        <v>58</v>
      </c>
      <c r="G21" s="92" cm="1">
        <f t="array" aca="1" ref="G21" ca="1">IFERROR(INDEX(Rango_Admin_Clas_Total,G$2,MATCH($A21,Rango_Admin_Clas_Primera,0)+1),"-")</f>
        <v>81</v>
      </c>
      <c r="H21" s="92" cm="1">
        <f t="array" aca="1" ref="H21" ca="1">IFERROR(INDEX(Rango_Admin_Clas_Total,H$2,MATCH($A21,Rango_Admin_Clas_Primera,0)+1),"-")</f>
        <v>1</v>
      </c>
      <c r="I21" s="92" cm="1">
        <f t="array" aca="1" ref="I21" ca="1">IFERROR(INDEX(Rango_Admin_Clas_Total,I$2,MATCH($A21,Rango_Admin_Clas_Primera,0)+1),"-")</f>
        <v>20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Miguel Suárez-Zuloaga</v>
      </c>
      <c r="D22" s="91">
        <f ca="1">IFERROR(HLOOKUP(A22,Rango_Admin_Clas,4,FALSE),"-")</f>
        <v>231</v>
      </c>
      <c r="E22" s="92" cm="1">
        <f t="array" aca="1" ref="E22" ca="1">IFERROR(INDEX(Rango_Admin_Clas_Total,E$2,MATCH($A22,Rango_Admin_Clas_Primera,0)+1),"-")</f>
        <v>78</v>
      </c>
      <c r="F22" s="92" cm="1">
        <f t="array" aca="1" ref="F22" ca="1">IFERROR(INDEX(Rango_Admin_Clas_Total,F$2,MATCH($A22,Rango_Admin_Clas_Primera,0)+1),"-")</f>
        <v>56</v>
      </c>
      <c r="G22" s="92" cm="1">
        <f t="array" aca="1" ref="G22" ca="1">IFERROR(INDEX(Rango_Admin_Clas_Total,G$2,MATCH($A22,Rango_Admin_Clas_Primera,0)+1),"-")</f>
        <v>78</v>
      </c>
      <c r="H22" s="92" cm="1">
        <f t="array" aca="1" ref="H22" ca="1">IFERROR(INDEX(Rango_Admin_Clas_Total,H$2,MATCH($A22,Rango_Admin_Clas_Primera,0)+1),"-")</f>
        <v>7</v>
      </c>
      <c r="I22" s="92" cm="1">
        <f t="array" aca="1" ref="I22" ca="1">IFERROR(INDEX(Rango_Admin_Clas_Total,I$2,MATCH($A22,Rango_Admin_Clas_Primera,0)+1),"-")</f>
        <v>12</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AD Monchus</v>
      </c>
      <c r="D23" s="91">
        <f ca="1">IFERROR(HLOOKUP(A23,Rango_Admin_Clas,4,FALSE),"-")</f>
        <v>230</v>
      </c>
      <c r="E23" s="92" cm="1">
        <f t="array" aca="1" ref="E23" ca="1">IFERROR(INDEX(Rango_Admin_Clas_Total,E$2,MATCH($A23,Rango_Admin_Clas_Primera,0)+1),"-")</f>
        <v>67</v>
      </c>
      <c r="F23" s="92" cm="1">
        <f t="array" aca="1" ref="F23" ca="1">IFERROR(INDEX(Rango_Admin_Clas_Total,F$2,MATCH($A23,Rango_Admin_Clas_Primera,0)+1),"-")</f>
        <v>64</v>
      </c>
      <c r="G23" s="92" cm="1">
        <f t="array" aca="1" ref="G23" ca="1">IFERROR(INDEX(Rango_Admin_Clas_Total,G$2,MATCH($A23,Rango_Admin_Clas_Primera,0)+1),"-")</f>
        <v>78</v>
      </c>
      <c r="H23" s="92" cm="1">
        <f t="array" aca="1" ref="H23" ca="1">IFERROR(INDEX(Rango_Admin_Clas_Total,H$2,MATCH($A23,Rango_Admin_Clas_Primera,0)+1),"-")</f>
        <v>1</v>
      </c>
      <c r="I23" s="92" cm="1">
        <f t="array" aca="1" ref="I23" ca="1">IFERROR(INDEX(Rango_Admin_Clas_Total,I$2,MATCH($A23,Rango_Admin_Clas_Primera,0)+1),"-")</f>
        <v>20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Vicuinho</v>
      </c>
      <c r="D24" s="91">
        <f ca="1">IFERROR(HLOOKUP(A24,Rango_Admin_Clas,4,FALSE),"-")</f>
        <v>229</v>
      </c>
      <c r="E24" s="92" cm="1">
        <f t="array" aca="1" ref="E24" ca="1">IFERROR(INDEX(Rango_Admin_Clas_Total,E$2,MATCH($A24,Rango_Admin_Clas_Primera,0)+1),"-")</f>
        <v>63</v>
      </c>
      <c r="F24" s="92" cm="1">
        <f t="array" aca="1" ref="F24" ca="1">IFERROR(INDEX(Rango_Admin_Clas_Total,F$2,MATCH($A24,Rango_Admin_Clas_Primera,0)+1),"-")</f>
        <v>66</v>
      </c>
      <c r="G24" s="92" cm="1">
        <f t="array" aca="1" ref="G24" ca="1">IFERROR(INDEX(Rango_Admin_Clas_Total,G$2,MATCH($A24,Rango_Admin_Clas_Primera,0)+1),"-")</f>
        <v>75</v>
      </c>
      <c r="H24" s="92" cm="1">
        <f t="array" aca="1" ref="H24" ca="1">IFERROR(INDEX(Rango_Admin_Clas_Total,H$2,MATCH($A24,Rango_Admin_Clas_Primera,0)+1),"-")</f>
        <v>5</v>
      </c>
      <c r="I24" s="92" cm="1">
        <f t="array" aca="1" ref="I24" ca="1">IFERROR(INDEX(Rango_Admin_Clas_Total,I$2,MATCH($A24,Rango_Admin_Clas_Primera,0)+1),"-")</f>
        <v>20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Guillermo Murciano</v>
      </c>
      <c r="D25" s="91">
        <f ca="1">IFERROR(HLOOKUP(A25,Rango_Admin_Clas,4,FALSE),"-")</f>
        <v>227</v>
      </c>
      <c r="E25" s="92" cm="1">
        <f t="array" aca="1" ref="E25" ca="1">IFERROR(INDEX(Rango_Admin_Clas_Total,E$2,MATCH($A25,Rango_Admin_Clas_Primera,0)+1),"-")</f>
        <v>64</v>
      </c>
      <c r="F25" s="92" cm="1">
        <f t="array" aca="1" ref="F25" ca="1">IFERROR(INDEX(Rango_Admin_Clas_Total,F$2,MATCH($A25,Rango_Admin_Clas_Primera,0)+1),"-")</f>
        <v>64</v>
      </c>
      <c r="G25" s="92" cm="1">
        <f t="array" aca="1" ref="G25" ca="1">IFERROR(INDEX(Rango_Admin_Clas_Total,G$2,MATCH($A25,Rango_Admin_Clas_Primera,0)+1),"-")</f>
        <v>78</v>
      </c>
      <c r="H25" s="92" cm="1">
        <f t="array" aca="1" ref="H25" ca="1">IFERROR(INDEX(Rango_Admin_Clas_Total,H$2,MATCH($A25,Rango_Admin_Clas_Primera,0)+1),"-")</f>
        <v>5</v>
      </c>
      <c r="I25" s="92" cm="1">
        <f t="array" aca="1" ref="I25" ca="1">IFERROR(INDEX(Rango_Admin_Clas_Total,I$2,MATCH($A25,Rango_Admin_Clas_Primera,0)+1),"-")</f>
        <v>16</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21</v>
      </c>
      <c r="C26" s="18" t="str">
        <f ca="1">IFERROR(HLOOKUP(A26,Rango_Admin_Clas,5,FALSE),"-")</f>
        <v>Ignacio de Lecea</v>
      </c>
      <c r="D26" s="91">
        <f ca="1">IFERROR(HLOOKUP(A26,Rango_Admin_Clas,4,FALSE),"-")</f>
        <v>227</v>
      </c>
      <c r="E26" s="92" cm="1">
        <f t="array" aca="1" ref="E26" ca="1">IFERROR(INDEX(Rango_Admin_Clas_Total,E$2,MATCH($A26,Rango_Admin_Clas_Primera,0)+1),"-")</f>
        <v>74</v>
      </c>
      <c r="F26" s="92" cm="1">
        <f t="array" aca="1" ref="F26" ca="1">IFERROR(INDEX(Rango_Admin_Clas_Total,F$2,MATCH($A26,Rango_Admin_Clas_Primera,0)+1),"-")</f>
        <v>56</v>
      </c>
      <c r="G26" s="92" cm="1">
        <f t="array" aca="1" ref="G26" ca="1">IFERROR(INDEX(Rango_Admin_Clas_Total,G$2,MATCH($A26,Rango_Admin_Clas_Primera,0)+1),"-")</f>
        <v>81</v>
      </c>
      <c r="H26" s="92" cm="1">
        <f t="array" aca="1" ref="H26" ca="1">IFERROR(INDEX(Rango_Admin_Clas_Total,H$2,MATCH($A26,Rango_Admin_Clas_Primera,0)+1),"-")</f>
        <v>0</v>
      </c>
      <c r="I26" s="92" cm="1">
        <f t="array" aca="1" ref="I26" ca="1">IFERROR(INDEX(Rango_Admin_Clas_Total,I$2,MATCH($A26,Rango_Admin_Clas_Primera,0)+1),"-")</f>
        <v>16</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21</v>
      </c>
      <c r="C27" s="18" t="str">
        <f ca="1">IFERROR(HLOOKUP(A27,Rango_Admin_Clas,5,FALSE),"-")</f>
        <v>Antonio del Ojo</v>
      </c>
      <c r="D27" s="91">
        <f ca="1">IFERROR(HLOOKUP(A27,Rango_Admin_Clas,4,FALSE),"-")</f>
        <v>227</v>
      </c>
      <c r="E27" s="92" cm="1">
        <f t="array" aca="1" ref="E27" ca="1">IFERROR(INDEX(Rango_Admin_Clas_Total,E$2,MATCH($A27,Rango_Admin_Clas_Primera,0)+1),"-")</f>
        <v>81</v>
      </c>
      <c r="F27" s="92" cm="1">
        <f t="array" aca="1" ref="F27" ca="1">IFERROR(INDEX(Rango_Admin_Clas_Total,F$2,MATCH($A27,Rango_Admin_Clas_Primera,0)+1),"-")</f>
        <v>50</v>
      </c>
      <c r="G27" s="92" cm="1">
        <f t="array" aca="1" ref="G27" ca="1">IFERROR(INDEX(Rango_Admin_Clas_Total,G$2,MATCH($A27,Rango_Admin_Clas_Primera,0)+1),"-")</f>
        <v>75</v>
      </c>
      <c r="H27" s="92" cm="1">
        <f t="array" aca="1" ref="H27" ca="1">IFERROR(INDEX(Rango_Admin_Clas_Total,H$2,MATCH($A27,Rango_Admin_Clas_Primera,0)+1),"-")</f>
        <v>5</v>
      </c>
      <c r="I27" s="92" cm="1">
        <f t="array" aca="1" ref="I27" ca="1">IFERROR(INDEX(Rango_Admin_Clas_Total,I$2,MATCH($A27,Rango_Admin_Clas_Primera,0)+1),"-")</f>
        <v>16</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Admin</v>
      </c>
      <c r="D28" s="91">
        <f ca="1">IFERROR(HLOOKUP(A28,Rango_Admin_Clas,4,FALSE),"-")</f>
        <v>224</v>
      </c>
      <c r="E28" s="92" cm="1">
        <f t="array" aca="1" ref="E28" ca="1">IFERROR(INDEX(Rango_Admin_Clas_Total,E$2,MATCH($A28,Rango_Admin_Clas_Primera,0)+1),"-")</f>
        <v>63</v>
      </c>
      <c r="F28" s="92" cm="1">
        <f t="array" aca="1" ref="F28" ca="1">IFERROR(INDEX(Rango_Admin_Clas_Total,F$2,MATCH($A28,Rango_Admin_Clas_Primera,0)+1),"-")</f>
        <v>62</v>
      </c>
      <c r="G28" s="92" cm="1">
        <f t="array" aca="1" ref="G28" ca="1">IFERROR(INDEX(Rango_Admin_Clas_Total,G$2,MATCH($A28,Rango_Admin_Clas_Primera,0)+1),"-")</f>
        <v>78</v>
      </c>
      <c r="H28" s="92" cm="1">
        <f t="array" aca="1" ref="H28" ca="1">IFERROR(INDEX(Rango_Admin_Clas_Total,H$2,MATCH($A28,Rango_Admin_Clas_Primera,0)+1),"-")</f>
        <v>1</v>
      </c>
      <c r="I28" s="92" cm="1">
        <f t="array" aca="1" ref="I28" ca="1">IFERROR(INDEX(Rango_Admin_Clas_Total,I$2,MATCH($A28,Rango_Admin_Clas_Primera,0)+1),"-")</f>
        <v>20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DIDI</v>
      </c>
      <c r="D29" s="91">
        <f ca="1">IFERROR(HLOOKUP(A29,Rango_Admin_Clas,4,FALSE),"-")</f>
        <v>223</v>
      </c>
      <c r="E29" s="92" cm="1">
        <f t="array" aca="1" ref="E29" ca="1">IFERROR(INDEX(Rango_Admin_Clas_Total,E$2,MATCH($A29,Rango_Admin_Clas_Primera,0)+1),"-")</f>
        <v>67</v>
      </c>
      <c r="F29" s="92" cm="1">
        <f t="array" aca="1" ref="F29" ca="1">IFERROR(INDEX(Rango_Admin_Clas_Total,F$2,MATCH($A29,Rango_Admin_Clas_Primera,0)+1),"-")</f>
        <v>58</v>
      </c>
      <c r="G29" s="92" cm="1">
        <f t="array" aca="1" ref="G29" ca="1">IFERROR(INDEX(Rango_Admin_Clas_Total,G$2,MATCH($A29,Rango_Admin_Clas_Primera,0)+1),"-")</f>
        <v>78</v>
      </c>
      <c r="H29" s="92" cm="1">
        <f t="array" aca="1" ref="H29" ca="1">IFERROR(INDEX(Rango_Admin_Clas_Total,H$2,MATCH($A29,Rango_Admin_Clas_Primera,0)+1),"-")</f>
        <v>0</v>
      </c>
      <c r="I29" s="92" cm="1">
        <f t="array" aca="1" ref="I29" ca="1">IFERROR(INDEX(Rango_Admin_Clas_Total,I$2,MATCH($A29,Rango_Admin_Clas_Primera,0)+1),"-")</f>
        <v>20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26</v>
      </c>
      <c r="C30" s="18" t="str">
        <f ca="1">IFERROR(HLOOKUP(A30,Rango_Admin_Clas,5,FALSE),"-")</f>
        <v>Jaime García de la Riva</v>
      </c>
      <c r="D30" s="91">
        <f ca="1">IFERROR(HLOOKUP(A30,Rango_Admin_Clas,4,FALSE),"-")</f>
        <v>222</v>
      </c>
      <c r="E30" s="92" cm="1">
        <f t="array" aca="1" ref="E30" ca="1">IFERROR(INDEX(Rango_Admin_Clas_Total,E$2,MATCH($A30,Rango_Admin_Clas_Primera,0)+1),"-")</f>
        <v>71</v>
      </c>
      <c r="F30" s="92" cm="1">
        <f t="array" aca="1" ref="F30" ca="1">IFERROR(INDEX(Rango_Admin_Clas_Total,F$2,MATCH($A30,Rango_Admin_Clas_Primera,0)+1),"-")</f>
        <v>50</v>
      </c>
      <c r="G30" s="92" cm="1">
        <f t="array" aca="1" ref="G30" ca="1">IFERROR(INDEX(Rango_Admin_Clas_Total,G$2,MATCH($A30,Rango_Admin_Clas_Primera,0)+1),"-")</f>
        <v>75</v>
      </c>
      <c r="H30" s="92" cm="1">
        <f t="array" aca="1" ref="H30" ca="1">IFERROR(INDEX(Rango_Admin_Clas_Total,H$2,MATCH($A30,Rango_Admin_Clas_Primera,0)+1),"-")</f>
        <v>2</v>
      </c>
      <c r="I30" s="92" cm="1">
        <f t="array" aca="1" ref="I30" ca="1">IFERROR(INDEX(Rango_Admin_Clas_Total,I$2,MATCH($A30,Rango_Admin_Clas_Primera,0)+1),"-")</f>
        <v>24</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26</v>
      </c>
      <c r="C31" s="18" t="str">
        <f ca="1">IFERROR(HLOOKUP(A31,Rango_Admin_Clas,5,FALSE),"-")</f>
        <v>Fercho Muro Matosex</v>
      </c>
      <c r="D31" s="91">
        <f ca="1">IFERROR(HLOOKUP(A31,Rango_Admin_Clas,4,FALSE),"-")</f>
        <v>222</v>
      </c>
      <c r="E31" s="92" cm="1">
        <f t="array" aca="1" ref="E31" ca="1">IFERROR(INDEX(Rango_Admin_Clas_Total,E$2,MATCH($A31,Rango_Admin_Clas_Primera,0)+1),"-")</f>
        <v>62</v>
      </c>
      <c r="F31" s="92" cm="1">
        <f t="array" aca="1" ref="F31" ca="1">IFERROR(INDEX(Rango_Admin_Clas_Total,F$2,MATCH($A31,Rango_Admin_Clas_Primera,0)+1),"-")</f>
        <v>56</v>
      </c>
      <c r="G31" s="92" cm="1">
        <f t="array" aca="1" ref="G31" ca="1">IFERROR(INDEX(Rango_Admin_Clas_Total,G$2,MATCH($A31,Rango_Admin_Clas_Primera,0)+1),"-")</f>
        <v>84</v>
      </c>
      <c r="H31" s="92" cm="1">
        <f t="array" aca="1" ref="H31" ca="1">IFERROR(INDEX(Rango_Admin_Clas_Total,H$2,MATCH($A31,Rango_Admin_Clas_Primera,0)+1),"-")</f>
        <v>8</v>
      </c>
      <c r="I31" s="92" cm="1">
        <f t="array" aca="1" ref="I31" ca="1">IFERROR(INDEX(Rango_Admin_Clas_Total,I$2,MATCH($A31,Rango_Admin_Clas_Primera,0)+1),"-")</f>
        <v>12</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26</v>
      </c>
      <c r="C32" s="18" t="str">
        <f ca="1">IFERROR(HLOOKUP(A32,Rango_Admin_Clas,5,FALSE),"-")</f>
        <v>Florentino Netanyahu</v>
      </c>
      <c r="D32" s="91">
        <f ca="1">IFERROR(HLOOKUP(A32,Rango_Admin_Clas,4,FALSE),"-")</f>
        <v>222</v>
      </c>
      <c r="E32" s="92" cm="1">
        <f t="array" aca="1" ref="E32" ca="1">IFERROR(INDEX(Rango_Admin_Clas_Total,E$2,MATCH($A32,Rango_Admin_Clas_Primera,0)+1),"-")</f>
        <v>67</v>
      </c>
      <c r="F32" s="92" cm="1">
        <f t="array" aca="1" ref="F32" ca="1">IFERROR(INDEX(Rango_Admin_Clas_Total,F$2,MATCH($A32,Rango_Admin_Clas_Primera,0)+1),"-")</f>
        <v>54</v>
      </c>
      <c r="G32" s="92" cm="1">
        <f t="array" aca="1" ref="G32" ca="1">IFERROR(INDEX(Rango_Admin_Clas_Total,G$2,MATCH($A32,Rango_Admin_Clas_Primera,0)+1),"-")</f>
        <v>75</v>
      </c>
      <c r="H32" s="92" cm="1">
        <f t="array" aca="1" ref="H32" ca="1">IFERROR(INDEX(Rango_Admin_Clas_Total,H$2,MATCH($A32,Rango_Admin_Clas_Primera,0)+1),"-")</f>
        <v>6</v>
      </c>
      <c r="I32" s="92" cm="1">
        <f t="array" aca="1" ref="I32" ca="1">IFERROR(INDEX(Rango_Admin_Clas_Total,I$2,MATCH($A32,Rango_Admin_Clas_Primera,0)+1),"-")</f>
        <v>20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Chente Muñoz</v>
      </c>
      <c r="D33" s="91">
        <f ca="1">IFERROR(HLOOKUP(A33,Rango_Admin_Clas,4,FALSE),"-")</f>
        <v>220</v>
      </c>
      <c r="E33" s="92" cm="1">
        <f t="array" aca="1" ref="E33" ca="1">IFERROR(INDEX(Rango_Admin_Clas_Total,E$2,MATCH($A33,Rango_Admin_Clas_Primera,0)+1),"-")</f>
        <v>60</v>
      </c>
      <c r="F33" s="92" cm="1">
        <f t="array" aca="1" ref="F33" ca="1">IFERROR(INDEX(Rango_Admin_Clas_Total,F$2,MATCH($A33,Rango_Admin_Clas_Primera,0)+1),"-")</f>
        <v>66</v>
      </c>
      <c r="G33" s="92" cm="1">
        <f t="array" aca="1" ref="G33" ca="1">IFERROR(INDEX(Rango_Admin_Clas_Total,G$2,MATCH($A33,Rango_Admin_Clas_Primera,0)+1),"-")</f>
        <v>81</v>
      </c>
      <c r="H33" s="92" cm="1">
        <f t="array" aca="1" ref="H33" ca="1">IFERROR(INDEX(Rango_Admin_Clas_Total,H$2,MATCH($A33,Rango_Admin_Clas_Primera,0)+1),"-")</f>
        <v>1</v>
      </c>
      <c r="I33" s="92" cm="1">
        <f t="array" aca="1" ref="I33" ca="1">IFERROR(INDEX(Rango_Admin_Clas_Total,I$2,MATCH($A33,Rango_Admin_Clas_Primera,0)+1),"-")</f>
        <v>12</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Nacho Novo</v>
      </c>
      <c r="D34" s="91">
        <f ca="1">IFERROR(HLOOKUP(A34,Rango_Admin_Clas,4,FALSE),"-")</f>
        <v>219</v>
      </c>
      <c r="E34" s="92" cm="1">
        <f t="array" aca="1" ref="E34" ca="1">IFERROR(INDEX(Rango_Admin_Clas_Total,E$2,MATCH($A34,Rango_Admin_Clas_Primera,0)+1),"-")</f>
        <v>65</v>
      </c>
      <c r="F34" s="92" cm="1">
        <f t="array" aca="1" ref="F34" ca="1">IFERROR(INDEX(Rango_Admin_Clas_Total,F$2,MATCH($A34,Rango_Admin_Clas_Primera,0)+1),"-")</f>
        <v>58</v>
      </c>
      <c r="G34" s="92" cm="1">
        <f t="array" aca="1" ref="G34" ca="1">IFERROR(INDEX(Rango_Admin_Clas_Total,G$2,MATCH($A34,Rango_Admin_Clas_Primera,0)+1),"-")</f>
        <v>81</v>
      </c>
      <c r="H34" s="92" cm="1">
        <f t="array" aca="1" ref="H34" ca="1">IFERROR(INDEX(Rango_Admin_Clas_Total,H$2,MATCH($A34,Rango_Admin_Clas_Primera,0)+1),"-")</f>
        <v>7</v>
      </c>
      <c r="I34" s="92" cm="1">
        <f t="array" aca="1" ref="I34" ca="1">IFERROR(INDEX(Rango_Admin_Clas_Total,I$2,MATCH($A34,Rango_Admin_Clas_Primera,0)+1),"-")</f>
        <v>8</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Luis B</v>
      </c>
      <c r="D35" s="91">
        <f ca="1">IFERROR(HLOOKUP(A35,Rango_Admin_Clas,4,FALSE),"-")</f>
        <v>218</v>
      </c>
      <c r="E35" s="92" cm="1">
        <f t="array" aca="1" ref="E35" ca="1">IFERROR(INDEX(Rango_Admin_Clas_Total,E$2,MATCH($A35,Rango_Admin_Clas_Primera,0)+1),"-")</f>
        <v>58</v>
      </c>
      <c r="F35" s="92" cm="1">
        <f t="array" aca="1" ref="F35" ca="1">IFERROR(INDEX(Rango_Admin_Clas_Total,F$2,MATCH($A35,Rango_Admin_Clas_Primera,0)+1),"-")</f>
        <v>64</v>
      </c>
      <c r="G35" s="92" cm="1">
        <f t="array" aca="1" ref="G35" ca="1">IFERROR(INDEX(Rango_Admin_Clas_Total,G$2,MATCH($A35,Rango_Admin_Clas_Primera,0)+1),"-")</f>
        <v>81</v>
      </c>
      <c r="H35" s="92" cm="1">
        <f t="array" aca="1" ref="H35" ca="1">IFERROR(INDEX(Rango_Admin_Clas_Total,H$2,MATCH($A35,Rango_Admin_Clas_Primera,0)+1),"-")</f>
        <v>3</v>
      </c>
      <c r="I35" s="92" cm="1">
        <f t="array" aca="1" ref="I35" ca="1">IFERROR(INDEX(Rango_Admin_Clas_Total,I$2,MATCH($A35,Rango_Admin_Clas_Primera,0)+1),"-")</f>
        <v>12</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31</v>
      </c>
      <c r="C36" s="18" t="str">
        <f ca="1">IFERROR(HLOOKUP(A36,Rango_Admin_Clas,5,FALSE),"-")</f>
        <v>bau</v>
      </c>
      <c r="D36" s="91">
        <f ca="1">IFERROR(HLOOKUP(A36,Rango_Admin_Clas,4,FALSE),"-")</f>
        <v>218</v>
      </c>
      <c r="E36" s="92" cm="1">
        <f t="array" aca="1" ref="E36" ca="1">IFERROR(INDEX(Rango_Admin_Clas_Total,E$2,MATCH($A36,Rango_Admin_Clas_Primera,0)+1),"-")</f>
        <v>69</v>
      </c>
      <c r="F36" s="92" cm="1">
        <f t="array" aca="1" ref="F36" ca="1">IFERROR(INDEX(Rango_Admin_Clas_Total,F$2,MATCH($A36,Rango_Admin_Clas_Primera,0)+1),"-")</f>
        <v>50</v>
      </c>
      <c r="G36" s="92" cm="1">
        <f t="array" aca="1" ref="G36" ca="1">IFERROR(INDEX(Rango_Admin_Clas_Total,G$2,MATCH($A36,Rango_Admin_Clas_Primera,0)+1),"-")</f>
        <v>78</v>
      </c>
      <c r="H36" s="92" cm="1">
        <f t="array" aca="1" ref="H36" ca="1">IFERROR(INDEX(Rango_Admin_Clas_Total,H$2,MATCH($A36,Rango_Admin_Clas_Primera,0)+1),"-")</f>
        <v>1</v>
      </c>
      <c r="I36" s="92" cm="1">
        <f t="array" aca="1" ref="I36" ca="1">IFERROR(INDEX(Rango_Admin_Clas_Total,I$2,MATCH($A36,Rango_Admin_Clas_Primera,0)+1),"-")</f>
        <v>20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31</v>
      </c>
      <c r="C37" s="18" t="str">
        <f ca="1">IFERROR(HLOOKUP(A37,Rango_Admin_Clas,5,FALSE),"-")</f>
        <v>Gratacós</v>
      </c>
      <c r="D37" s="91">
        <f ca="1">IFERROR(HLOOKUP(A37,Rango_Admin_Clas,4,FALSE),"-")</f>
        <v>218</v>
      </c>
      <c r="E37" s="92" cm="1">
        <f t="array" aca="1" ref="E37" ca="1">IFERROR(INDEX(Rango_Admin_Clas_Total,E$2,MATCH($A37,Rango_Admin_Clas_Primera,0)+1),"-")</f>
        <v>79</v>
      </c>
      <c r="F37" s="92" cm="1">
        <f t="array" aca="1" ref="F37" ca="1">IFERROR(INDEX(Rango_Admin_Clas_Total,F$2,MATCH($A37,Rango_Admin_Clas_Primera,0)+1),"-")</f>
        <v>48</v>
      </c>
      <c r="G37" s="92" cm="1">
        <f t="array" aca="1" ref="G37" ca="1">IFERROR(INDEX(Rango_Admin_Clas_Total,G$2,MATCH($A37,Rango_Admin_Clas_Primera,0)+1),"-")</f>
        <v>75</v>
      </c>
      <c r="H37" s="92" cm="1">
        <f t="array" aca="1" ref="H37" ca="1">IFERROR(INDEX(Rango_Admin_Clas_Total,H$2,MATCH($A37,Rango_Admin_Clas_Primera,0)+1),"-")</f>
        <v>0</v>
      </c>
      <c r="I37" s="92" cm="1">
        <f t="array" aca="1" ref="I37" ca="1">IFERROR(INDEX(Rango_Admin_Clas_Total,I$2,MATCH($A37,Rango_Admin_Clas_Primera,0)+1),"-")</f>
        <v>16</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Pablo C</v>
      </c>
      <c r="D38" s="91">
        <f ca="1">IFERROR(HLOOKUP(A38,Rango_Admin_Clas,4,FALSE),"-")</f>
        <v>216</v>
      </c>
      <c r="E38" s="92" cm="1">
        <f t="array" aca="1" ref="E38" ca="1">IFERROR(INDEX(Rango_Admin_Clas_Total,E$2,MATCH($A38,Rango_Admin_Clas_Primera,0)+1),"-")</f>
        <v>67</v>
      </c>
      <c r="F38" s="92" cm="1">
        <f t="array" aca="1" ref="F38" ca="1">IFERROR(INDEX(Rango_Admin_Clas_Total,F$2,MATCH($A38,Rango_Admin_Clas_Primera,0)+1),"-")</f>
        <v>56</v>
      </c>
      <c r="G38" s="92" cm="1">
        <f t="array" aca="1" ref="G38" ca="1">IFERROR(INDEX(Rango_Admin_Clas_Total,G$2,MATCH($A38,Rango_Admin_Clas_Primera,0)+1),"-")</f>
        <v>81</v>
      </c>
      <c r="H38" s="92" cm="1">
        <f t="array" aca="1" ref="H38" ca="1">IFERROR(INDEX(Rango_Admin_Clas_Total,H$2,MATCH($A38,Rango_Admin_Clas_Primera,0)+1),"-")</f>
        <v>0</v>
      </c>
      <c r="I38" s="92" cm="1">
        <f t="array" aca="1" ref="I38" ca="1">IFERROR(INDEX(Rango_Admin_Clas_Total,I$2,MATCH($A38,Rango_Admin_Clas_Primera,0)+1),"-")</f>
        <v>12</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34</v>
      </c>
      <c r="C39" s="18" t="str">
        <f ca="1">IFERROR(HLOOKUP(A39,Rango_Admin_Clas,5,FALSE),"-")</f>
        <v xml:space="preserve">Martín Matoses </v>
      </c>
      <c r="D39" s="91">
        <f ca="1">IFERROR(HLOOKUP(A39,Rango_Admin_Clas,4,FALSE),"-")</f>
        <v>216</v>
      </c>
      <c r="E39" s="92" cm="1">
        <f t="array" aca="1" ref="E39" ca="1">IFERROR(INDEX(Rango_Admin_Clas_Total,E$2,MATCH($A39,Rango_Admin_Clas_Primera,0)+1),"-")</f>
        <v>68</v>
      </c>
      <c r="F39" s="92" cm="1">
        <f t="array" aca="1" ref="F39" ca="1">IFERROR(INDEX(Rango_Admin_Clas_Total,F$2,MATCH($A39,Rango_Admin_Clas_Primera,0)+1),"-")</f>
        <v>44</v>
      </c>
      <c r="G39" s="92" cm="1">
        <f t="array" aca="1" ref="G39" ca="1">IFERROR(INDEX(Rango_Admin_Clas_Total,G$2,MATCH($A39,Rango_Admin_Clas_Primera,0)+1),"-")</f>
        <v>84</v>
      </c>
      <c r="H39" s="92" cm="1">
        <f t="array" aca="1" ref="H39" ca="1">IFERROR(INDEX(Rango_Admin_Clas_Total,H$2,MATCH($A39,Rango_Admin_Clas_Primera,0)+1),"-")</f>
        <v>0</v>
      </c>
      <c r="I39" s="92" cm="1">
        <f t="array" aca="1" ref="I39" ca="1">IFERROR(INDEX(Rango_Admin_Clas_Total,I$2,MATCH($A39,Rango_Admin_Clas_Primera,0)+1),"-")</f>
        <v>20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34</v>
      </c>
      <c r="C40" s="18" t="str">
        <f ca="1">IFERROR(HLOOKUP(A40,Rango_Admin_Clas,5,FALSE),"-")</f>
        <v>Ricardo Soto</v>
      </c>
      <c r="D40" s="91">
        <f ca="1">IFERROR(HLOOKUP(A40,Rango_Admin_Clas,4,FALSE),"-")</f>
        <v>216</v>
      </c>
      <c r="E40" s="92" cm="1">
        <f t="array" aca="1" ref="E40" ca="1">IFERROR(INDEX(Rango_Admin_Clas_Total,E$2,MATCH($A40,Rango_Admin_Clas_Primera,0)+1),"-")</f>
        <v>71</v>
      </c>
      <c r="F40" s="92" cm="1">
        <f t="array" aca="1" ref="F40" ca="1">IFERROR(INDEX(Rango_Admin_Clas_Total,F$2,MATCH($A40,Rango_Admin_Clas_Primera,0)+1),"-")</f>
        <v>52</v>
      </c>
      <c r="G40" s="92" cm="1">
        <f t="array" aca="1" ref="G40" ca="1">IFERROR(INDEX(Rango_Admin_Clas_Total,G$2,MATCH($A40,Rango_Admin_Clas_Primera,0)+1),"-")</f>
        <v>78</v>
      </c>
      <c r="H40" s="92" cm="1">
        <f t="array" aca="1" ref="H40" ca="1">IFERROR(INDEX(Rango_Admin_Clas_Total,H$2,MATCH($A40,Rango_Admin_Clas_Primera,0)+1),"-")</f>
        <v>3</v>
      </c>
      <c r="I40" s="92" cm="1">
        <f t="array" aca="1" ref="I40" ca="1">IFERROR(INDEX(Rango_Admin_Clas_Total,I$2,MATCH($A40,Rango_Admin_Clas_Primera,0)+1),"-")</f>
        <v>12</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 xml:space="preserve">Ignacio Núñez </v>
      </c>
      <c r="D41" s="91">
        <f ca="1">IFERROR(HLOOKUP(A41,Rango_Admin_Clas,4,FALSE),"-")</f>
        <v>215</v>
      </c>
      <c r="E41" s="92" cm="1">
        <f t="array" aca="1" ref="E41" ca="1">IFERROR(INDEX(Rango_Admin_Clas_Total,E$2,MATCH($A41,Rango_Admin_Clas_Primera,0)+1),"-")</f>
        <v>67</v>
      </c>
      <c r="F41" s="92" cm="1">
        <f t="array" aca="1" ref="F41" ca="1">IFERROR(INDEX(Rango_Admin_Clas_Total,F$2,MATCH($A41,Rango_Admin_Clas_Primera,0)+1),"-")</f>
        <v>48</v>
      </c>
      <c r="G41" s="92" cm="1">
        <f t="array" aca="1" ref="G41" ca="1">IFERROR(INDEX(Rango_Admin_Clas_Total,G$2,MATCH($A41,Rango_Admin_Clas_Primera,0)+1),"-")</f>
        <v>78</v>
      </c>
      <c r="H41" s="92" cm="1">
        <f t="array" aca="1" ref="H41" ca="1">IFERROR(INDEX(Rango_Admin_Clas_Total,H$2,MATCH($A41,Rango_Admin_Clas_Primera,0)+1),"-")</f>
        <v>6</v>
      </c>
      <c r="I41" s="92" cm="1">
        <f t="array" aca="1" ref="I41" ca="1">IFERROR(INDEX(Rango_Admin_Clas_Total,I$2,MATCH($A41,Rango_Admin_Clas_Primera,0)+1),"-")</f>
        <v>16</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YTD</v>
      </c>
      <c r="D42" s="91">
        <f ca="1">IFERROR(HLOOKUP(A42,Rango_Admin_Clas,4,FALSE),"-")</f>
        <v>214</v>
      </c>
      <c r="E42" s="92" cm="1">
        <f t="array" aca="1" ref="E42" ca="1">IFERROR(INDEX(Rango_Admin_Clas_Total,E$2,MATCH($A42,Rango_Admin_Clas_Primera,0)+1),"-")</f>
        <v>65</v>
      </c>
      <c r="F42" s="92" cm="1">
        <f t="array" aca="1" ref="F42" ca="1">IFERROR(INDEX(Rango_Admin_Clas_Total,F$2,MATCH($A42,Rango_Admin_Clas_Primera,0)+1),"-")</f>
        <v>58</v>
      </c>
      <c r="G42" s="92" cm="1">
        <f t="array" aca="1" ref="G42" ca="1">IFERROR(INDEX(Rango_Admin_Clas_Total,G$2,MATCH($A42,Rango_Admin_Clas_Primera,0)+1),"-")</f>
        <v>75</v>
      </c>
      <c r="H42" s="92" cm="1">
        <f t="array" aca="1" ref="H42" ca="1">IFERROR(INDEX(Rango_Admin_Clas_Total,H$2,MATCH($A42,Rango_Admin_Clas_Primera,0)+1),"-")</f>
        <v>0</v>
      </c>
      <c r="I42" s="92" cm="1">
        <f t="array" aca="1" ref="I42" ca="1">IFERROR(INDEX(Rango_Admin_Clas_Total,I$2,MATCH($A42,Rango_Admin_Clas_Primera,0)+1),"-")</f>
        <v>16</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Hulk Rexach</v>
      </c>
      <c r="D43" s="91">
        <f ca="1">IFERROR(HLOOKUP(A43,Rango_Admin_Clas,4,FALSE),"-")</f>
        <v>213</v>
      </c>
      <c r="E43" s="92" cm="1">
        <f t="array" aca="1" ref="E43" ca="1">IFERROR(INDEX(Rango_Admin_Clas_Total,E$2,MATCH($A43,Rango_Admin_Clas_Primera,0)+1),"-")</f>
        <v>66</v>
      </c>
      <c r="F43" s="92" cm="1">
        <f t="array" aca="1" ref="F43" ca="1">IFERROR(INDEX(Rango_Admin_Clas_Total,F$2,MATCH($A43,Rango_Admin_Clas_Primera,0)+1),"-")</f>
        <v>56</v>
      </c>
      <c r="G43" s="92" cm="1">
        <f t="array" aca="1" ref="G43" ca="1">IFERROR(INDEX(Rango_Admin_Clas_Total,G$2,MATCH($A43,Rango_Admin_Clas_Primera,0)+1),"-")</f>
        <v>78</v>
      </c>
      <c r="H43" s="92" cm="1">
        <f t="array" aca="1" ref="H43" ca="1">IFERROR(INDEX(Rango_Admin_Clas_Total,H$2,MATCH($A43,Rango_Admin_Clas_Primera,0)+1),"-")</f>
        <v>1</v>
      </c>
      <c r="I43" s="92" cm="1">
        <f t="array" aca="1" ref="I43" ca="1">IFERROR(INDEX(Rango_Admin_Clas_Total,I$2,MATCH($A43,Rango_Admin_Clas_Primera,0)+1),"-")</f>
        <v>12</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BeliBeltrán</v>
      </c>
      <c r="D44" s="91">
        <f ca="1">IFERROR(HLOOKUP(A44,Rango_Admin_Clas,4,FALSE),"-")</f>
        <v>201</v>
      </c>
      <c r="E44" s="92" cm="1">
        <f t="array" aca="1" ref="E44" ca="1">IFERROR(INDEX(Rango_Admin_Clas_Total,E$2,MATCH($A44,Rango_Admin_Clas_Primera,0)+1),"-")</f>
        <v>58</v>
      </c>
      <c r="F44" s="92" cm="1">
        <f t="array" aca="1" ref="F44" ca="1">IFERROR(INDEX(Rango_Admin_Clas_Total,F$2,MATCH($A44,Rango_Admin_Clas_Primera,0)+1),"-")</f>
        <v>54</v>
      </c>
      <c r="G44" s="92" cm="1">
        <f t="array" aca="1" ref="G44" ca="1">IFERROR(INDEX(Rango_Admin_Clas_Total,G$2,MATCH($A44,Rango_Admin_Clas_Primera,0)+1),"-")</f>
        <v>72</v>
      </c>
      <c r="H44" s="92" cm="1">
        <f t="array" aca="1" ref="H44" ca="1">IFERROR(INDEX(Rango_Admin_Clas_Total,H$2,MATCH($A44,Rango_Admin_Clas_Primera,0)+1),"-")</f>
        <v>1</v>
      </c>
      <c r="I44" s="92" cm="1">
        <f t="array" aca="1" ref="I44" ca="1">IFERROR(INDEX(Rango_Admin_Clas_Total,I$2,MATCH($A44,Rango_Admin_Clas_Primera,0)+1),"-")</f>
        <v>16</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170</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0</v>
      </c>
      <c r="I45" s="92" cm="1">
        <f t="array" aca="1" ref="I45" ca="1">IFERROR(INDEX(Rango_Admin_Clas_Total,I$2,MATCH($A45,Rango_Admin_Clas_Primera,0)+1),"-")</f>
        <v>8</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 xml:space="preserve">Inglaterra-RD Congo
</v>
      </c>
      <c r="O3" s="449" t="str">
        <f ca="1"/>
        <v xml:space="preserve">Bélgica-Senegal
</v>
      </c>
      <c r="P3" s="449" t="str">
        <f ca="1"/>
        <v xml:space="preserve">Estados Unidos-Bosnia y Herzegovina
</v>
      </c>
      <c r="Q3" s="449" t="str">
        <f ca="1"/>
        <v xml:space="preserve">España-Austria
</v>
      </c>
      <c r="R3" s="449" t="str">
        <f ca="1"/>
        <v xml:space="preserve">Portugal-Croacia
</v>
      </c>
      <c r="S3" s="449" t="str">
        <f ca="1"/>
        <v xml:space="preserve">Suiza-Argelia
</v>
      </c>
      <c r="T3" s="449" t="str">
        <f ca="1"/>
        <v xml:space="preserve">Australia-Egipto
</v>
      </c>
      <c r="U3" s="449" t="str">
        <f ca="1"/>
        <v xml:space="preserve">Argentina-Cabo Verde
</v>
      </c>
      <c r="V3" s="449" t="str">
        <f ca="1"/>
        <v xml:space="preserve">Colombia-Ghana
</v>
      </c>
      <c r="W3" s="449" t="str">
        <f ca="1"/>
        <v>Octavofinalista-1
 (Canadá)</v>
      </c>
      <c r="X3" s="449" t="str">
        <f ca="1"/>
        <v>Octavofinalista-2
 (Paraguay)</v>
      </c>
      <c r="Y3" s="449" t="str">
        <f ca="1"/>
        <v>Octavofinalista-3
 (Brasil)</v>
      </c>
      <c r="Z3" s="449" t="str">
        <f ca="1"/>
        <v>Octavofinalista-4
 (México)</v>
      </c>
      <c r="AA3" s="449" t="str">
        <f ca="1"/>
        <v>Octavofinalista-5
 (W83)</v>
      </c>
      <c r="AB3" s="449" t="str">
        <f ca="1"/>
        <v>Octavofinalista-6
 (W81)</v>
      </c>
      <c r="AC3" s="449" t="str">
        <f ca="1"/>
        <v>Octavofinalista-7
 (W86)</v>
      </c>
      <c r="AD3" s="449" t="str">
        <f ca="1"/>
        <v>Octavofinalista-8
 (W85)</v>
      </c>
      <c r="AE3" s="449" t="str">
        <f ca="1"/>
        <v>Octavofinalista-9
 (Marruecos)</v>
      </c>
      <c r="AF3" s="449" t="str">
        <f ca="1"/>
        <v>Octavofinalista-10
 (Francia)</v>
      </c>
      <c r="AG3" s="449" t="str">
        <f ca="1"/>
        <v>Octavofinalista-11
 (Noruega)</v>
      </c>
      <c r="AH3" s="449" t="str">
        <f ca="1"/>
        <v>Octavofinalista-12
 (W80)</v>
      </c>
      <c r="AI3" s="449" t="str">
        <f ca="1"/>
        <v>Octavofinalista-13
 (W84)</v>
      </c>
      <c r="AJ3" s="449" t="str">
        <f ca="1"/>
        <v>Octavofinalista-14
 (W82)</v>
      </c>
      <c r="AK3" s="449" t="str">
        <f ca="1"/>
        <v>Octavofinalista-15
 (W88)</v>
      </c>
      <c r="AL3" s="449" t="str">
        <f ca="1"/>
        <v>Octavofinalista-16
 (W87)</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 xml:space="preserve">Inglaterra-RD Congo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 xml:space="preserve">Bélgica-Senegal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 xml:space="preserve">Estados Unidos-Bosnia y Herzegovina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 xml:space="preserve">España-Austria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 xml:space="preserve">Portugal-Croacia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 xml:space="preserve">Suiza-Argelia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 xml:space="preserve">Australia-Egipto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 xml:space="preserve">Argentina-Cabo Verde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 xml:space="preserve">Colombia-Ghana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(W83)</v>
      </c>
      <c r="C24" s="8" t="str" cm="1">
        <f t="array" aca="1" ref="C24" ca="1">IFERROR(IF(INDEX(ADMIN!$M$6:$M$258,SMALL(IF(ADMIN!$G$6:$G$258=$J$1,ROW(ADMIN!$G$6:$G$258)-ROW(ADMIN!$G$6)+1),ROWS($A$1:A21)))="-", "", " ("&amp;INDEX(ADMIN!$M$6:$M$258,SMALL(IF(ADMIN!$G$6:$G$258=$J$1,ROW(ADMIN!$G$6:$G$258)-ROW(ADMIN!$G$6)+1),ROWS($A$1:A21)))&amp;")"),"")</f>
        <v xml:space="preserve"> (W83)</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(W81)</v>
      </c>
      <c r="C25" s="8" t="str" cm="1">
        <f t="array" aca="1" ref="C25" ca="1">IFERROR(IF(INDEX(ADMIN!$M$6:$M$258,SMALL(IF(ADMIN!$G$6:$G$258=$J$1,ROW(ADMIN!$G$6:$G$258)-ROW(ADMIN!$G$6)+1),ROWS($A$1:A22)))="-", "", " ("&amp;INDEX(ADMIN!$M$6:$M$258,SMALL(IF(ADMIN!$G$6:$G$258=$J$1,ROW(ADMIN!$G$6:$G$258)-ROW(ADMIN!$G$6)+1),ROWS($A$1:A22)))&amp;")"),"")</f>
        <v xml:space="preserve"> (W81)</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(W86)</v>
      </c>
      <c r="C26" s="8" t="str" cm="1">
        <f t="array" aca="1" ref="C26" ca="1">IFERROR(IF(INDEX(ADMIN!$M$6:$M$258,SMALL(IF(ADMIN!$G$6:$G$258=$J$1,ROW(ADMIN!$G$6:$G$258)-ROW(ADMIN!$G$6)+1),ROWS($A$1:A23)))="-", "", " ("&amp;INDEX(ADMIN!$M$6:$M$258,SMALL(IF(ADMIN!$G$6:$G$258=$J$1,ROW(ADMIN!$G$6:$G$258)-ROW(ADMIN!$G$6)+1),ROWS($A$1:A23)))&amp;")"),"")</f>
        <v xml:space="preserve"> (W86)</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(W85)</v>
      </c>
      <c r="C27" s="8" t="str" cm="1">
        <f t="array" aca="1" ref="C27" ca="1">IFERROR(IF(INDEX(ADMIN!$M$6:$M$258,SMALL(IF(ADMIN!$G$6:$G$258=$J$1,ROW(ADMIN!$G$6:$G$258)-ROW(ADMIN!$G$6)+1),ROWS($A$1:A24)))="-", "", " ("&amp;INDEX(ADMIN!$M$6:$M$258,SMALL(IF(ADMIN!$G$6:$G$258=$J$1,ROW(ADMIN!$G$6:$G$258)-ROW(ADMIN!$G$6)+1),ROWS($A$1:A24)))&amp;")"),"")</f>
        <v xml:space="preserve"> (W85)</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(W80)</v>
      </c>
      <c r="C31" s="8" t="str" cm="1">
        <f t="array" aca="1" ref="C31" ca="1">IFERROR(IF(INDEX(ADMIN!$M$6:$M$258,SMALL(IF(ADMIN!$G$6:$G$258=$J$1,ROW(ADMIN!$G$6:$G$258)-ROW(ADMIN!$G$6)+1),ROWS($A$1:A28)))="-", "", " ("&amp;INDEX(ADMIN!$M$6:$M$258,SMALL(IF(ADMIN!$G$6:$G$258=$J$1,ROW(ADMIN!$G$6:$G$258)-ROW(ADMIN!$G$6)+1),ROWS($A$1:A28)))&amp;")"),"")</f>
        <v xml:space="preserve"> (W80)</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(W84)</v>
      </c>
      <c r="C32" s="8" t="str" cm="1">
        <f t="array" aca="1" ref="C32" ca="1">IFERROR(IF(INDEX(ADMIN!$M$6:$M$258,SMALL(IF(ADMIN!$G$6:$G$258=$J$1,ROW(ADMIN!$G$6:$G$258)-ROW(ADMIN!$G$6)+1),ROWS($A$1:A29)))="-", "", " ("&amp;INDEX(ADMIN!$M$6:$M$258,SMALL(IF(ADMIN!$G$6:$G$258=$J$1,ROW(ADMIN!$G$6:$G$258)-ROW(ADMIN!$G$6)+1),ROWS($A$1:A29)))&amp;")"),"")</f>
        <v xml:space="preserve"> (W84)</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(W82)</v>
      </c>
      <c r="C33" s="8" t="str" cm="1">
        <f t="array" aca="1" ref="C33" ca="1">IFERROR(IF(INDEX(ADMIN!$M$6:$M$258,SMALL(IF(ADMIN!$G$6:$G$258=$J$1,ROW(ADMIN!$G$6:$G$258)-ROW(ADMIN!$G$6)+1),ROWS($A$1:A30)))="-", "", " ("&amp;INDEX(ADMIN!$M$6:$M$258,SMALL(IF(ADMIN!$G$6:$G$258=$J$1,ROW(ADMIN!$G$6:$G$258)-ROW(ADMIN!$G$6)+1),ROWS($A$1:A30)))&amp;")"),"")</f>
        <v xml:space="preserve"> (W82)</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(W88)</v>
      </c>
      <c r="C34" s="8" t="str" cm="1">
        <f t="array" aca="1" ref="C34" ca="1">IFERROR(IF(INDEX(ADMIN!$M$6:$M$258,SMALL(IF(ADMIN!$G$6:$G$258=$J$1,ROW(ADMIN!$G$6:$G$258)-ROW(ADMIN!$G$6)+1),ROWS($A$1:A31)))="-", "", " ("&amp;INDEX(ADMIN!$M$6:$M$258,SMALL(IF(ADMIN!$G$6:$G$258=$J$1,ROW(ADMIN!$G$6:$G$258)-ROW(ADMIN!$G$6)+1),ROWS($A$1:A31)))&amp;")"),"")</f>
        <v xml:space="preserve"> (W88)</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(W87)</v>
      </c>
      <c r="C35" s="8" t="str" cm="1">
        <f t="array" aca="1" ref="C35" ca="1">IFERROR(IF(INDEX(ADMIN!$M$6:$M$258,SMALL(IF(ADMIN!$G$6:$G$258=$J$1,ROW(ADMIN!$G$6:$G$258)-ROW(ADMIN!$G$6)+1),ROWS($A$1:A32)))="-", "", " ("&amp;INDEX(ADMIN!$M$6:$M$258,SMALL(IF(ADMIN!$G$6:$G$258=$J$1,ROW(ADMIN!$G$6:$G$258)-ROW(ADMIN!$G$6)+1),ROWS($A$1:A32)))&amp;")"),"")</f>
        <v xml:space="preserve"> (W87)</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v>
      </c>
      <c r="P3" s="449" t="str">
        <f ca="1"/>
        <v>Bélgica-Senegal
 (-)</v>
      </c>
      <c r="Q3" s="449" t="str">
        <f ca="1"/>
        <v>Estados Unidos-Bosnia y Herzegovina
 (-)</v>
      </c>
      <c r="R3" s="449" t="str">
        <f ca="1"/>
        <v>España-Austria
 (-)</v>
      </c>
      <c r="S3" s="449" t="str">
        <f ca="1"/>
        <v>Portugal-Croacia
 (-)</v>
      </c>
      <c r="T3" s="449" t="str">
        <f ca="1"/>
        <v>Suiza-Argelia
 (-)</v>
      </c>
      <c r="U3" s="449" t="str">
        <f ca="1"/>
        <v>Australia-Egipto
 (-)</v>
      </c>
      <c r="V3" s="449" t="str">
        <f ca="1"/>
        <v>Argentina-Cabo Verde
 (-)</v>
      </c>
      <c r="W3" s="449" t="str">
        <f ca="1"/>
        <v>Colombia-Ghana
 (-)</v>
      </c>
      <c r="X3" s="449" t="str">
        <f ca="1"/>
        <v>Octavofinalista-1
 (Canadá)</v>
      </c>
      <c r="Y3" s="449" t="str">
        <f ca="1"/>
        <v>Octavofinalista-2
 (Paraguay)</v>
      </c>
      <c r="Z3" s="449" t="str">
        <f ca="1"/>
        <v>Octavofinalista-3
 (Brasil)</v>
      </c>
      <c r="AA3" s="449" t="str">
        <f ca="1"/>
        <v>Octavofinalista-4
 (México)</v>
      </c>
      <c r="AB3" s="449" t="str">
        <f ca="1"/>
        <v>Octavofinalista-5
 (W83)</v>
      </c>
      <c r="AC3" s="449" t="str">
        <f ca="1"/>
        <v>Octavofinalista-6
 (W81)</v>
      </c>
      <c r="AD3" s="449" t="str">
        <f ca="1"/>
        <v>Octavofinalista-7
 (W86)</v>
      </c>
      <c r="AE3" s="449" t="str">
        <f ca="1"/>
        <v>Octavofinalista-8
 (W85)</v>
      </c>
      <c r="AF3" s="449" t="str">
        <f ca="1"/>
        <v>Octavofinalista-9
 (Marruecos)</v>
      </c>
      <c r="AG3" s="449" t="str">
        <f ca="1"/>
        <v>Octavofinalista-10
 (Francia)</v>
      </c>
      <c r="AH3" s="449" t="str">
        <f ca="1"/>
        <v>Octavofinalista-11
 (Noruega)</v>
      </c>
      <c r="AI3" s="449" t="str">
        <f ca="1"/>
        <v>Octavofinalista-12
 (W80)</v>
      </c>
      <c r="AJ3" s="449" t="str">
        <f ca="1"/>
        <v>Octavofinalista-13
 (W84)</v>
      </c>
      <c r="AK3" s="449" t="str">
        <f ca="1"/>
        <v>Octavofinalista-14
 (W82)</v>
      </c>
      <c r="AL3" s="449" t="str">
        <f ca="1"/>
        <v>Octavofinalista-15
 (W88)</v>
      </c>
      <c r="AM3" s="449" t="str">
        <f ca="1"/>
        <v>Octavofinalista-16
 (W87)</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Migay Marcos</v>
      </c>
      <c r="G4" s="22">
        <f ca="1">IFERROR(HLOOKUP(C4,Rango_Admin_DailyClas,4,FALSE),"-")</f>
        <v>32</v>
      </c>
      <c r="H4" s="429">
        <f ca="1">IFERROR(VLOOKUP(H$2,Rango_Admin_DailyPred,MATCH($F4,Rango_Admin_DailyPred_Primera,0)+1,0),"-")</f>
        <v>0</v>
      </c>
      <c r="I4" s="429">
        <f ca="1">IFERROR(VLOOKUP(I$2,Rango_Admin_DailyPred,MATCH($F4,Rango_Admin_DailyPred_Primera,0)+1,0),"-")</f>
        <v>4</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4</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0</v>
      </c>
      <c r="R4" s="429">
        <f ca="1">IFERROR(VLOOKUP(R$2,Rango_Admin_DailyPred,MATCH($F4,Rango_Admin_DailyPred_Primera,0)+1,0),"-")</f>
        <v>0</v>
      </c>
      <c r="S4" s="429">
        <f ca="1">IFERROR(VLOOKUP(S$2,Rango_Admin_DailyPred,MATCH($F4,Rango_Admin_DailyPred_Primera,0)+1,0),"-")</f>
        <v>0</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4</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0</v>
      </c>
      <c r="AC4" s="429">
        <f ca="1">IFERROR(VLOOKUP(AC$2,Rango_Admin_DailyPred,MATCH($F4,Rango_Admin_DailyPred_Primera,0)+1,0),"-")</f>
        <v>0</v>
      </c>
      <c r="AD4" s="429">
        <f ca="1">IFERROR(VLOOKUP(AD$2,Rango_Admin_DailyPred,MATCH($F4,Rango_Admin_DailyPred_Primera,0)+1,0),"-")</f>
        <v>0</v>
      </c>
      <c r="AE4" s="429">
        <f ca="1">IFERROR(VLOOKUP(AE$2,Rango_Admin_DailyPred,MATCH($F4,Rango_Admin_DailyPred_Primera,0)+1,0),"-")</f>
        <v>0</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0</v>
      </c>
      <c r="AI4" s="429">
        <f ca="1">IFERROR(VLOOKUP(AI$2,Rango_Admin_DailyPred,MATCH($F4,Rango_Admin_DailyPred_Primera,0)+1,0),"-")</f>
        <v>0</v>
      </c>
      <c r="AJ4" s="429">
        <f ca="1">IFERROR(VLOOKUP(AJ$2,Rango_Admin_DailyPred,MATCH($F4,Rango_Admin_DailyPred_Primera,0)+1,0),"-")</f>
        <v>0</v>
      </c>
      <c r="AK4" s="429">
        <f ca="1">IFERROR(VLOOKUP(AK$2,Rango_Admin_DailyPred,MATCH($F4,Rango_Admin_DailyPred_Primera,0)+1,0),"-")</f>
        <v>0</v>
      </c>
      <c r="AL4" s="429">
        <f ca="1">IFERROR(VLOOKUP(AL$2,Rango_Admin_DailyPred,MATCH($F4,Rango_Admin_DailyPred_Primera,0)+1,0),"-")</f>
        <v>0</v>
      </c>
      <c r="AM4" s="429">
        <f ca="1">IFERROR(VLOOKUP(AM$2,Rango_Admin_DailyPred,MATCH($F4,Rango_Admin_DailyPred_Primera,0)+1,0),"-")</f>
        <v>0</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2</v>
      </c>
      <c r="F5" s="448" t="str">
        <f ca="1">IFERROR(HLOOKUP(C5,Rango_Admin_DailyClas,5,FALSE),"-")</f>
        <v>Pastor</v>
      </c>
      <c r="G5" s="22">
        <f ca="1">IFERROR(HLOOKUP(C5,Rango_Admin_DailyClas,4,FALSE),"-")</f>
        <v>29</v>
      </c>
      <c r="H5" s="429">
        <f ca="1">IFERROR(VLOOKUP(H$2,Rango_Admin_DailyPred,MATCH($F5,Rango_Admin_DailyPred_Primera,0)+1,0),"-")</f>
        <v>0</v>
      </c>
      <c r="I5" s="429">
        <f ca="1">IFERROR(VLOOKUP(I$2,Rango_Admin_DailyPred,MATCH($F5,Rango_Admin_DailyPred_Primera,0)+1,0),"-")</f>
        <v>0</v>
      </c>
      <c r="J5" s="429">
        <f ca="1">IFERROR(VLOOKUP(J$2,Rango_Admin_DailyPred,MATCH($F5,Rango_Admin_DailyPred_Primera,0)+1,0),"-")</f>
        <v>0</v>
      </c>
      <c r="K5" s="429">
        <f ca="1">IFERROR(VLOOKUP(K$2,Rango_Admin_DailyPred,MATCH($F5,Rango_Admin_DailyPred_Primera,0)+1,0),"-")</f>
        <v>0</v>
      </c>
      <c r="L5" s="429">
        <f ca="1">IFERROR(VLOOKUP(L$2,Rango_Admin_DailyPred,MATCH($F5,Rango_Admin_DailyPred_Primera,0)+1,0),"-")</f>
        <v>0</v>
      </c>
      <c r="M5" s="429">
        <f ca="1">IFERROR(VLOOKUP(M$2,Rango_Admin_DailyPred,MATCH($F5,Rango_Admin_DailyPred_Primera,0)+1,0),"-")</f>
        <v>1</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0</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4</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0</v>
      </c>
      <c r="AC5" s="429">
        <f ca="1">IFERROR(VLOOKUP(AC$2,Rango_Admin_DailyPred,MATCH($F5,Rango_Admin_DailyPred_Primera,0)+1,0),"-")</f>
        <v>0</v>
      </c>
      <c r="AD5" s="429">
        <f ca="1">IFERROR(VLOOKUP(AD$2,Rango_Admin_DailyPred,MATCH($F5,Rango_Admin_DailyPred_Primera,0)+1,0),"-")</f>
        <v>0</v>
      </c>
      <c r="AE5" s="429">
        <f ca="1">IFERROR(VLOOKUP(AE$2,Rango_Admin_DailyPred,MATCH($F5,Rango_Admin_DailyPred_Primera,0)+1,0),"-")</f>
        <v>0</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4</v>
      </c>
      <c r="AI5" s="429">
        <f ca="1">IFERROR(VLOOKUP(AI$2,Rango_Admin_DailyPred,MATCH($F5,Rango_Admin_DailyPred_Primera,0)+1,0),"-")</f>
        <v>0</v>
      </c>
      <c r="AJ5" s="429">
        <f ca="1">IFERROR(VLOOKUP(AJ$2,Rango_Admin_DailyPred,MATCH($F5,Rango_Admin_DailyPred_Primera,0)+1,0),"-")</f>
        <v>0</v>
      </c>
      <c r="AK5" s="429">
        <f ca="1">IFERROR(VLOOKUP(AK$2,Rango_Admin_DailyPred,MATCH($F5,Rango_Admin_DailyPred_Primera,0)+1,0),"-")</f>
        <v>0</v>
      </c>
      <c r="AL5" s="429">
        <f ca="1">IFERROR(VLOOKUP(AL$2,Rango_Admin_DailyPred,MATCH($F5,Rango_Admin_DailyPred_Primera,0)+1,0),"-")</f>
        <v>0</v>
      </c>
      <c r="AM5" s="429">
        <f ca="1">IFERROR(VLOOKUP(AM$2,Rango_Admin_DailyPred,MATCH($F5,Rango_Admin_DailyPred_Primera,0)+1,0),"-")</f>
        <v>0</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Carlos Murciano</v>
      </c>
      <c r="G6" s="22">
        <f ca="1">IFERROR(HLOOKUP(C6,Rango_Admin_DailyClas,4,FALSE),"-")</f>
        <v>28</v>
      </c>
      <c r="H6" s="429">
        <f ca="1">IFERROR(VLOOKUP(H$2,Rango_Admin_DailyPred,MATCH($F6,Rango_Admin_DailyPred_Primera,0)+1,0),"-")</f>
        <v>0</v>
      </c>
      <c r="I6" s="429">
        <f ca="1">IFERROR(VLOOKUP(I$2,Rango_Admin_DailyPred,MATCH($F6,Rango_Admin_DailyPred_Primera,0)+1,0),"-")</f>
        <v>0</v>
      </c>
      <c r="J6" s="429">
        <f ca="1">IFERROR(VLOOKUP(J$2,Rango_Admin_DailyPred,MATCH($F6,Rango_Admin_DailyPred_Primera,0)+1,0),"-")</f>
        <v>0</v>
      </c>
      <c r="K6" s="429">
        <f ca="1">IFERROR(VLOOKUP(K$2,Rango_Admin_DailyPred,MATCH($F6,Rango_Admin_DailyPred_Primera,0)+1,0),"-")</f>
        <v>4</v>
      </c>
      <c r="L6" s="429">
        <f ca="1">IFERROR(VLOOKUP(L$2,Rango_Admin_DailyPred,MATCH($F6,Rango_Admin_DailyPred_Primera,0)+1,0),"-")</f>
        <v>0</v>
      </c>
      <c r="M6" s="429">
        <f ca="1">IFERROR(VLOOKUP(M$2,Rango_Admin_DailyPred,MATCH($F6,Rango_Admin_DailyPred_Primera,0)+1,0),"-")</f>
        <v>0</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0</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0</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0</v>
      </c>
      <c r="AC6" s="429">
        <f ca="1">IFERROR(VLOOKUP(AC$2,Rango_Admin_DailyPred,MATCH($F6,Rango_Admin_DailyPred_Primera,0)+1,0),"-")</f>
        <v>0</v>
      </c>
      <c r="AD6" s="429">
        <f ca="1">IFERROR(VLOOKUP(AD$2,Rango_Admin_DailyPred,MATCH($F6,Rango_Admin_DailyPred_Primera,0)+1,0),"-")</f>
        <v>0</v>
      </c>
      <c r="AE6" s="429">
        <f ca="1">IFERROR(VLOOKUP(AE$2,Rango_Admin_DailyPred,MATCH($F6,Rango_Admin_DailyPred_Primera,0)+1,0),"-")</f>
        <v>0</v>
      </c>
      <c r="AF6" s="429">
        <f ca="1">IFERROR(VLOOKUP(AF$2,Rango_Admin_DailyPred,MATCH($F6,Rango_Admin_DailyPred_Primera,0)+1,0),"-")</f>
        <v>4</v>
      </c>
      <c r="AG6" s="429">
        <f ca="1">IFERROR(VLOOKUP(AG$2,Rango_Admin_DailyPred,MATCH($F6,Rango_Admin_DailyPred_Primera,0)+1,0),"-")</f>
        <v>4</v>
      </c>
      <c r="AH6" s="429">
        <f ca="1">IFERROR(VLOOKUP(AH$2,Rango_Admin_DailyPred,MATCH($F6,Rango_Admin_DailyPred_Primera,0)+1,0),"-")</f>
        <v>4</v>
      </c>
      <c r="AI6" s="429">
        <f ca="1">IFERROR(VLOOKUP(AI$2,Rango_Admin_DailyPred,MATCH($F6,Rango_Admin_DailyPred_Primera,0)+1,0),"-")</f>
        <v>0</v>
      </c>
      <c r="AJ6" s="429">
        <f ca="1">IFERROR(VLOOKUP(AJ$2,Rango_Admin_DailyPred,MATCH($F6,Rango_Admin_DailyPred_Primera,0)+1,0),"-")</f>
        <v>0</v>
      </c>
      <c r="AK6" s="429">
        <f ca="1">IFERROR(VLOOKUP(AK$2,Rango_Admin_DailyPred,MATCH($F6,Rango_Admin_DailyPred_Primera,0)+1,0),"-")</f>
        <v>0</v>
      </c>
      <c r="AL6" s="429">
        <f ca="1">IFERROR(VLOOKUP(AL$2,Rango_Admin_DailyPred,MATCH($F6,Rango_Admin_DailyPred_Primera,0)+1,0),"-")</f>
        <v>4</v>
      </c>
      <c r="AM6" s="429">
        <f ca="1">IFERROR(VLOOKUP(AM$2,Rango_Admin_DailyPred,MATCH($F6,Rango_Admin_DailyPred_Primera,0)+1,0),"-")</f>
        <v>0</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4</v>
      </c>
      <c r="F7" s="448" t="str">
        <f ca="1">IFERROR(HLOOKUP(C7,Rango_Admin_DailyClas,5,FALSE),"-")</f>
        <v>Fernando Carlos García-Ramos Redondo</v>
      </c>
      <c r="G7" s="22">
        <f ca="1">IFERROR(HLOOKUP(C7,Rango_Admin_DailyClas,4,FALSE),"-")</f>
        <v>27</v>
      </c>
      <c r="H7" s="429">
        <f ca="1">IFERROR(VLOOKUP(H$2,Rango_Admin_DailyPred,MATCH($F7,Rango_Admin_DailyPred_Primera,0)+1,0),"-")</f>
        <v>0</v>
      </c>
      <c r="I7" s="429">
        <f ca="1">IFERROR(VLOOKUP(I$2,Rango_Admin_DailyPred,MATCH($F7,Rango_Admin_DailyPred_Primera,0)+1,0),"-")</f>
        <v>4</v>
      </c>
      <c r="J7" s="429">
        <f ca="1">IFERROR(VLOOKUP(J$2,Rango_Admin_DailyPred,MATCH($F7,Rango_Admin_DailyPred_Primera,0)+1,0),"-")</f>
        <v>0</v>
      </c>
      <c r="K7" s="429">
        <f ca="1">IFERROR(VLOOKUP(K$2,Rango_Admin_DailyPred,MATCH($F7,Rango_Admin_DailyPred_Primera,0)+1,0),"-")</f>
        <v>2</v>
      </c>
      <c r="L7" s="429">
        <f ca="1">IFERROR(VLOOKUP(L$2,Rango_Admin_DailyPred,MATCH($F7,Rango_Admin_DailyPred_Primera,0)+1,0),"-")</f>
        <v>0</v>
      </c>
      <c r="M7" s="429">
        <f ca="1">IFERROR(VLOOKUP(M$2,Rango_Admin_DailyPred,MATCH($F7,Rango_Admin_DailyPred_Primera,0)+1,0),"-")</f>
        <v>1</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0</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0</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4</v>
      </c>
      <c r="AB7" s="429">
        <f ca="1">IFERROR(VLOOKUP(AB$2,Rango_Admin_DailyPred,MATCH($F7,Rango_Admin_DailyPred_Primera,0)+1,0),"-")</f>
        <v>0</v>
      </c>
      <c r="AC7" s="429">
        <f ca="1">IFERROR(VLOOKUP(AC$2,Rango_Admin_DailyPred,MATCH($F7,Rango_Admin_DailyPred_Primera,0)+1,0),"-")</f>
        <v>0</v>
      </c>
      <c r="AD7" s="429">
        <f ca="1">IFERROR(VLOOKUP(AD$2,Rango_Admin_DailyPred,MATCH($F7,Rango_Admin_DailyPred_Primera,0)+1,0),"-")</f>
        <v>0</v>
      </c>
      <c r="AE7" s="429">
        <f ca="1">IFERROR(VLOOKUP(AE$2,Rango_Admin_DailyPred,MATCH($F7,Rango_Admin_DailyPred_Primera,0)+1,0),"-")</f>
        <v>0</v>
      </c>
      <c r="AF7" s="429">
        <f ca="1">IFERROR(VLOOKUP(AF$2,Rango_Admin_DailyPred,MATCH($F7,Rango_Admin_DailyPred_Primera,0)+1,0),"-")</f>
        <v>4</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0</v>
      </c>
      <c r="AJ7" s="429">
        <f ca="1">IFERROR(VLOOKUP(AJ$2,Rango_Admin_DailyPred,MATCH($F7,Rango_Admin_DailyPred_Primera,0)+1,0),"-")</f>
        <v>0</v>
      </c>
      <c r="AK7" s="429">
        <f ca="1">IFERROR(VLOOKUP(AK$2,Rango_Admin_DailyPred,MATCH($F7,Rango_Admin_DailyPred_Primera,0)+1,0),"-")</f>
        <v>0</v>
      </c>
      <c r="AL7" s="429">
        <f ca="1">IFERROR(VLOOKUP(AL$2,Rango_Admin_DailyPred,MATCH($F7,Rango_Admin_DailyPred_Primera,0)+1,0),"-")</f>
        <v>0</v>
      </c>
      <c r="AM7" s="429">
        <f ca="1">IFERROR(VLOOKUP(AM$2,Rango_Admin_DailyPred,MATCH($F7,Rango_Admin_DailyPred_Primera,0)+1,0),"-")</f>
        <v>0</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Jaime García de la Riva</v>
      </c>
      <c r="G8" s="22">
        <f ca="1">IFERROR(HLOOKUP(C8,Rango_Admin_DailyClas,4,FALSE),"-")</f>
        <v>26</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2</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0</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0</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0</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0</v>
      </c>
      <c r="AD8" s="429">
        <f ca="1">IFERROR(VLOOKUP(AD$2,Rango_Admin_DailyPred,MATCH($F8,Rango_Admin_DailyPred_Primera,0)+1,0),"-")</f>
        <v>0</v>
      </c>
      <c r="AE8" s="429">
        <f ca="1">IFERROR(VLOOKUP(AE$2,Rango_Admin_DailyPred,MATCH($F8,Rango_Admin_DailyPred_Primera,0)+1,0),"-")</f>
        <v>0</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0</v>
      </c>
      <c r="AJ8" s="429">
        <f ca="1">IFERROR(VLOOKUP(AJ$2,Rango_Admin_DailyPred,MATCH($F8,Rango_Admin_DailyPred_Primera,0)+1,0),"-")</f>
        <v>0</v>
      </c>
      <c r="AK8" s="429">
        <f ca="1">IFERROR(VLOOKUP(AK$2,Rango_Admin_DailyPred,MATCH($F8,Rango_Admin_DailyPred_Primera,0)+1,0),"-")</f>
        <v>0</v>
      </c>
      <c r="AL8" s="429">
        <f ca="1">IFERROR(VLOOKUP(AL$2,Rango_Admin_DailyPred,MATCH($F8,Rango_Admin_DailyPred_Primera,0)+1,0),"-")</f>
        <v>0</v>
      </c>
      <c r="AM8" s="429">
        <f ca="1">IFERROR(VLOOKUP(AM$2,Rango_Admin_DailyPred,MATCH($F8,Rango_Admin_DailyPred_Primera,0)+1,0),"-")</f>
        <v>0</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5</v>
      </c>
      <c r="F9" s="448" t="str">
        <f ca="1">IFERROR(HLOOKUP(C9,Rango_Admin_DailyClas,5,FALSE),"-")</f>
        <v>Antonio Zulueta Ramos</v>
      </c>
      <c r="G9" s="22">
        <f ca="1">IFERROR(HLOOKUP(C9,Rango_Admin_DailyClas,4,FALSE),"-")</f>
        <v>26</v>
      </c>
      <c r="H9" s="429">
        <f ca="1">IFERROR(VLOOKUP(H$2,Rango_Admin_DailyPred,MATCH($F9,Rango_Admin_DailyPred_Primera,0)+1,0),"-")</f>
        <v>0</v>
      </c>
      <c r="I9" s="429">
        <f ca="1">IFERROR(VLOOKUP(I$2,Rango_Admin_DailyPred,MATCH($F9,Rango_Admin_DailyPred_Primera,0)+1,0),"-")</f>
        <v>4</v>
      </c>
      <c r="J9" s="429">
        <f ca="1">IFERROR(VLOOKUP(J$2,Rango_Admin_DailyPred,MATCH($F9,Rango_Admin_DailyPred_Primera,0)+1,0),"-")</f>
        <v>0</v>
      </c>
      <c r="K9" s="429">
        <f ca="1">IFERROR(VLOOKUP(K$2,Rango_Admin_DailyPred,MATCH($F9,Rango_Admin_DailyPred_Primera,0)+1,0),"-")</f>
        <v>4</v>
      </c>
      <c r="L9" s="429">
        <f ca="1">IFERROR(VLOOKUP(L$2,Rango_Admin_DailyPred,MATCH($F9,Rango_Admin_DailyPred_Primera,0)+1,0),"-")</f>
        <v>2</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0</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0</v>
      </c>
      <c r="AB9" s="429">
        <f ca="1">IFERROR(VLOOKUP(AB$2,Rango_Admin_DailyPred,MATCH($F9,Rango_Admin_DailyPred_Primera,0)+1,0),"-")</f>
        <v>0</v>
      </c>
      <c r="AC9" s="429">
        <f ca="1">IFERROR(VLOOKUP(AC$2,Rango_Admin_DailyPred,MATCH($F9,Rango_Admin_DailyPred_Primera,0)+1,0),"-")</f>
        <v>0</v>
      </c>
      <c r="AD9" s="429">
        <f ca="1">IFERROR(VLOOKUP(AD$2,Rango_Admin_DailyPred,MATCH($F9,Rango_Admin_DailyPred_Primera,0)+1,0),"-")</f>
        <v>0</v>
      </c>
      <c r="AE9" s="429">
        <f ca="1">IFERROR(VLOOKUP(AE$2,Rango_Admin_DailyPred,MATCH($F9,Rango_Admin_DailyPred_Primera,0)+1,0),"-")</f>
        <v>0</v>
      </c>
      <c r="AF9" s="429">
        <f ca="1">IFERROR(VLOOKUP(AF$2,Rango_Admin_DailyPred,MATCH($F9,Rango_Admin_DailyPred_Primera,0)+1,0),"-")</f>
        <v>0</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0</v>
      </c>
      <c r="AJ9" s="429">
        <f ca="1">IFERROR(VLOOKUP(AJ$2,Rango_Admin_DailyPred,MATCH($F9,Rango_Admin_DailyPred_Primera,0)+1,0),"-")</f>
        <v>0</v>
      </c>
      <c r="AK9" s="429">
        <f ca="1">IFERROR(VLOOKUP(AK$2,Rango_Admin_DailyPred,MATCH($F9,Rango_Admin_DailyPred_Primera,0)+1,0),"-")</f>
        <v>0</v>
      </c>
      <c r="AL9" s="429">
        <f ca="1">IFERROR(VLOOKUP(AL$2,Rango_Admin_DailyPred,MATCH($F9,Rango_Admin_DailyPred_Primera,0)+1,0),"-")</f>
        <v>0</v>
      </c>
      <c r="AM9" s="429">
        <f ca="1">IFERROR(VLOOKUP(AM$2,Rango_Admin_DailyPred,MATCH($F9,Rango_Admin_DailyPred_Primera,0)+1,0),"-")</f>
        <v>0</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5</v>
      </c>
      <c r="F10" s="448" t="str">
        <f ca="1">IFERROR(HLOOKUP(C10,Rango_Admin_DailyClas,5,FALSE),"-")</f>
        <v>Florentino Netanyahu</v>
      </c>
      <c r="G10" s="22">
        <f ca="1">IFERROR(HLOOKUP(C10,Rango_Admin_DailyClas,4,FALSE),"-")</f>
        <v>26</v>
      </c>
      <c r="H10" s="429">
        <f ca="1">IFERROR(VLOOKUP(H$2,Rango_Admin_DailyPred,MATCH($F10,Rango_Admin_DailyPred_Primera,0)+1,0),"-")</f>
        <v>0</v>
      </c>
      <c r="I10" s="429">
        <f ca="1">IFERROR(VLOOKUP(I$2,Rango_Admin_DailyPred,MATCH($F10,Rango_Admin_DailyPred_Primera,0)+1,0),"-")</f>
        <v>4</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v>
      </c>
      <c r="N10" s="429">
        <f ca="1">IFERROR(VLOOKUP(N$2,Rango_Admin_DailyPred,MATCH($F10,Rango_Admin_DailyPred_Primera,0)+1,0),"-")</f>
        <v>1</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0</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0</v>
      </c>
      <c r="AC10" s="429">
        <f ca="1">IFERROR(VLOOKUP(AC$2,Rango_Admin_DailyPred,MATCH($F10,Rango_Admin_DailyPred_Primera,0)+1,0),"-")</f>
        <v>0</v>
      </c>
      <c r="AD10" s="429">
        <f ca="1">IFERROR(VLOOKUP(AD$2,Rango_Admin_DailyPred,MATCH($F10,Rango_Admin_DailyPred_Primera,0)+1,0),"-")</f>
        <v>0</v>
      </c>
      <c r="AE10" s="429">
        <f ca="1">IFERROR(VLOOKUP(AE$2,Rango_Admin_DailyPred,MATCH($F10,Rango_Admin_DailyPred_Primera,0)+1,0),"-")</f>
        <v>4</v>
      </c>
      <c r="AF10" s="429">
        <f ca="1">IFERROR(VLOOKUP(AF$2,Rango_Admin_DailyPred,MATCH($F10,Rango_Admin_DailyPred_Primera,0)+1,0),"-")</f>
        <v>0</v>
      </c>
      <c r="AG10" s="429">
        <f ca="1">IFERROR(VLOOKUP(AG$2,Rango_Admin_DailyPred,MATCH($F10,Rango_Admin_DailyPred_Primera,0)+1,0),"-")</f>
        <v>4</v>
      </c>
      <c r="AH10" s="429">
        <f ca="1">IFERROR(VLOOKUP(AH$2,Rango_Admin_DailyPred,MATCH($F10,Rango_Admin_DailyPred_Primera,0)+1,0),"-")</f>
        <v>0</v>
      </c>
      <c r="AI10" s="429">
        <f ca="1">IFERROR(VLOOKUP(AI$2,Rango_Admin_DailyPred,MATCH($F10,Rango_Admin_DailyPred_Primera,0)+1,0),"-")</f>
        <v>0</v>
      </c>
      <c r="AJ10" s="429">
        <f ca="1">IFERROR(VLOOKUP(AJ$2,Rango_Admin_DailyPred,MATCH($F10,Rango_Admin_DailyPred_Primera,0)+1,0),"-")</f>
        <v>0</v>
      </c>
      <c r="AK10" s="429">
        <f ca="1">IFERROR(VLOOKUP(AK$2,Rango_Admin_DailyPred,MATCH($F10,Rango_Admin_DailyPred_Primera,0)+1,0),"-")</f>
        <v>4</v>
      </c>
      <c r="AL10" s="429">
        <f ca="1">IFERROR(VLOOKUP(AL$2,Rango_Admin_DailyPred,MATCH($F10,Rango_Admin_DailyPred_Primera,0)+1,0),"-")</f>
        <v>0</v>
      </c>
      <c r="AM10" s="429">
        <f ca="1">IFERROR(VLOOKUP(AM$2,Rango_Admin_DailyPred,MATCH($F10,Rango_Admin_DailyPred_Primera,0)+1,0),"-")</f>
        <v>0</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v>
      </c>
      <c r="C11" s="8">
        <v>8</v>
      </c>
      <c r="D11" s="90"/>
      <c r="E11" s="409">
        <f ca="1">IFERROR(HLOOKUP(C11,Rango_Admin_DailyClas,3,FALSE),"-")</f>
        <v>5</v>
      </c>
      <c r="F11" s="448" t="str">
        <f ca="1">IFERROR(HLOOKUP(C11,Rango_Admin_DailyClas,5,FALSE),"-")</f>
        <v>KIRICOCHO</v>
      </c>
      <c r="G11" s="22">
        <f ca="1">IFERROR(HLOOKUP(C11,Rango_Admin_DailyClas,4,FALSE),"-")</f>
        <v>26</v>
      </c>
      <c r="H11" s="429">
        <f ca="1">IFERROR(VLOOKUP(H$2,Rango_Admin_DailyPred,MATCH($F11,Rango_Admin_DailyPred_Primera,0)+1,0),"-")</f>
        <v>0</v>
      </c>
      <c r="I11" s="429">
        <f ca="1">IFERROR(VLOOKUP(I$2,Rango_Admin_DailyPred,MATCH($F11,Rango_Admin_DailyPred_Primera,0)+1,0),"-")</f>
        <v>1</v>
      </c>
      <c r="J11" s="429">
        <f ca="1">IFERROR(VLOOKUP(J$2,Rango_Admin_DailyPred,MATCH($F11,Rango_Admin_DailyPred_Primera,0)+1,0),"-")</f>
        <v>0</v>
      </c>
      <c r="K11" s="429">
        <f ca="1">IFERROR(VLOOKUP(K$2,Rango_Admin_DailyPred,MATCH($F11,Rango_Admin_DailyPred_Primera,0)+1,0),"-")</f>
        <v>4</v>
      </c>
      <c r="L11" s="429">
        <f ca="1">IFERROR(VLOOKUP(L$2,Rango_Admin_DailyPred,MATCH($F11,Rango_Admin_DailyPred_Primera,0)+1,0),"-")</f>
        <v>0</v>
      </c>
      <c r="M11" s="429">
        <f ca="1">IFERROR(VLOOKUP(M$2,Rango_Admin_DailyPred,MATCH($F11,Rango_Admin_DailyPred_Primera,0)+1,0),"-")</f>
        <v>1</v>
      </c>
      <c r="N11" s="429">
        <f ca="1">IFERROR(VLOOKUP(N$2,Rango_Admin_DailyPred,MATCH($F11,Rango_Admin_DailyPred_Primera,0)+1,0),"-")</f>
        <v>0</v>
      </c>
      <c r="O11" s="429">
        <f ca="1">IFERROR(VLOOKUP(O$2,Rango_Admin_DailyPred,MATCH($F11,Rango_Admin_DailyPred_Primera,0)+1,0),"-")</f>
        <v>0</v>
      </c>
      <c r="P11" s="429">
        <f ca="1">IFERROR(VLOOKUP(P$2,Rango_Admin_DailyPred,MATCH($F11,Rango_Admin_DailyPred_Primera,0)+1,0),"-")</f>
        <v>0</v>
      </c>
      <c r="Q11" s="429">
        <f ca="1">IFERROR(VLOOKUP(Q$2,Rango_Admin_DailyPred,MATCH($F11,Rango_Admin_DailyPred_Primera,0)+1,0),"-")</f>
        <v>0</v>
      </c>
      <c r="R11" s="429">
        <f ca="1">IFERROR(VLOOKUP(R$2,Rango_Admin_DailyPred,MATCH($F11,Rango_Admin_DailyPred_Primera,0)+1,0),"-")</f>
        <v>0</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0</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0</v>
      </c>
      <c r="AD11" s="429">
        <f ca="1">IFERROR(VLOOKUP(AD$2,Rango_Admin_DailyPred,MATCH($F11,Rango_Admin_DailyPred_Primera,0)+1,0),"-")</f>
        <v>0</v>
      </c>
      <c r="AE11" s="429">
        <f ca="1">IFERROR(VLOOKUP(AE$2,Rango_Admin_DailyPred,MATCH($F11,Rango_Admin_DailyPred_Primera,0)+1,0),"-")</f>
        <v>0</v>
      </c>
      <c r="AF11" s="429">
        <f ca="1">IFERROR(VLOOKUP(AF$2,Rango_Admin_DailyPred,MATCH($F11,Rango_Admin_DailyPred_Primera,0)+1,0),"-")</f>
        <v>4</v>
      </c>
      <c r="AG11" s="429">
        <f ca="1">IFERROR(VLOOKUP(AG$2,Rango_Admin_DailyPred,MATCH($F11,Rango_Admin_DailyPred_Primera,0)+1,0),"-")</f>
        <v>4</v>
      </c>
      <c r="AH11" s="429">
        <f ca="1">IFERROR(VLOOKUP(AH$2,Rango_Admin_DailyPred,MATCH($F11,Rango_Admin_DailyPred_Primera,0)+1,0),"-")</f>
        <v>4</v>
      </c>
      <c r="AI11" s="429">
        <f ca="1">IFERROR(VLOOKUP(AI$2,Rango_Admin_DailyPred,MATCH($F11,Rango_Admin_DailyPred_Primera,0)+1,0),"-")</f>
        <v>0</v>
      </c>
      <c r="AJ11" s="429">
        <f ca="1">IFERROR(VLOOKUP(AJ$2,Rango_Admin_DailyPred,MATCH($F11,Rango_Admin_DailyPred_Primera,0)+1,0),"-")</f>
        <v>0</v>
      </c>
      <c r="AK11" s="429">
        <f ca="1">IFERROR(VLOOKUP(AK$2,Rango_Admin_DailyPred,MATCH($F11,Rango_Admin_DailyPred_Primera,0)+1,0),"-")</f>
        <v>0</v>
      </c>
      <c r="AL11" s="429">
        <f ca="1">IFERROR(VLOOKUP(AL$2,Rango_Admin_DailyPred,MATCH($F11,Rango_Admin_DailyPred_Primera,0)+1,0),"-")</f>
        <v>0</v>
      </c>
      <c r="AM11" s="429">
        <f ca="1">IFERROR(VLOOKUP(AM$2,Rango_Admin_DailyPred,MATCH($F11,Rango_Admin_DailyPred_Primera,0)+1,0),"-")</f>
        <v>0</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v>
      </c>
      <c r="C12" s="8">
        <v>9</v>
      </c>
      <c r="D12" s="90"/>
      <c r="E12" s="409">
        <f ca="1">IFERROR(HLOOKUP(C12,Rango_Admin_DailyClas,3,FALSE),"-")</f>
        <v>9</v>
      </c>
      <c r="F12" s="448" t="str">
        <f ca="1">IFERROR(HLOOKUP(C12,Rango_Admin_DailyClas,5,FALSE),"-")</f>
        <v>MURO 204</v>
      </c>
      <c r="G12" s="22">
        <f ca="1">IFERROR(HLOOKUP(C12,Rango_Admin_DailyClas,4,FALSE),"-")</f>
        <v>25</v>
      </c>
      <c r="H12" s="429">
        <f ca="1">IFERROR(VLOOKUP(H$2,Rango_Admin_DailyPred,MATCH($F12,Rango_Admin_DailyPred_Primera,0)+1,0),"-")</f>
        <v>0</v>
      </c>
      <c r="I12" s="429">
        <f ca="1">IFERROR(VLOOKUP(I$2,Rango_Admin_DailyPred,MATCH($F12,Rango_Admin_DailyPred_Primera,0)+1,0),"-")</f>
        <v>1</v>
      </c>
      <c r="J12" s="429">
        <f ca="1">IFERROR(VLOOKUP(J$2,Rango_Admin_DailyPred,MATCH($F12,Rango_Admin_DailyPred_Primera,0)+1,0),"-")</f>
        <v>0</v>
      </c>
      <c r="K12" s="429">
        <f ca="1">IFERROR(VLOOKUP(K$2,Rango_Admin_DailyPred,MATCH($F12,Rango_Admin_DailyPred_Primera,0)+1,0),"-")</f>
        <v>4</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0</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0</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0</v>
      </c>
      <c r="AC12" s="429">
        <f ca="1">IFERROR(VLOOKUP(AC$2,Rango_Admin_DailyPred,MATCH($F12,Rango_Admin_DailyPred_Primera,0)+1,0),"-")</f>
        <v>0</v>
      </c>
      <c r="AD12" s="429">
        <f ca="1">IFERROR(VLOOKUP(AD$2,Rango_Admin_DailyPred,MATCH($F12,Rango_Admin_DailyPred_Primera,0)+1,0),"-")</f>
        <v>0</v>
      </c>
      <c r="AE12" s="429">
        <f ca="1">IFERROR(VLOOKUP(AE$2,Rango_Admin_DailyPred,MATCH($F12,Rango_Admin_DailyPred_Primera,0)+1,0),"-")</f>
        <v>0</v>
      </c>
      <c r="AF12" s="429">
        <f ca="1">IFERROR(VLOOKUP(AF$2,Rango_Admin_DailyPred,MATCH($F12,Rango_Admin_DailyPred_Primera,0)+1,0),"-")</f>
        <v>4</v>
      </c>
      <c r="AG12" s="429">
        <f ca="1">IFERROR(VLOOKUP(AG$2,Rango_Admin_DailyPred,MATCH($F12,Rango_Admin_DailyPred_Primera,0)+1,0),"-")</f>
        <v>4</v>
      </c>
      <c r="AH12" s="429">
        <f ca="1">IFERROR(VLOOKUP(AH$2,Rango_Admin_DailyPred,MATCH($F12,Rango_Admin_DailyPred_Primera,0)+1,0),"-")</f>
        <v>0</v>
      </c>
      <c r="AI12" s="429">
        <f ca="1">IFERROR(VLOOKUP(AI$2,Rango_Admin_DailyPred,MATCH($F12,Rango_Admin_DailyPred_Primera,0)+1,0),"-")</f>
        <v>0</v>
      </c>
      <c r="AJ12" s="429">
        <f ca="1">IFERROR(VLOOKUP(AJ$2,Rango_Admin_DailyPred,MATCH($F12,Rango_Admin_DailyPred_Primera,0)+1,0),"-")</f>
        <v>0</v>
      </c>
      <c r="AK12" s="429">
        <f ca="1">IFERROR(VLOOKUP(AK$2,Rango_Admin_DailyPred,MATCH($F12,Rango_Admin_DailyPred_Primera,0)+1,0),"-")</f>
        <v>0</v>
      </c>
      <c r="AL12" s="429">
        <f ca="1">IFERROR(VLOOKUP(AL$2,Rango_Admin_DailyPred,MATCH($F12,Rango_Admin_DailyPred_Primera,0)+1,0),"-")</f>
        <v>4</v>
      </c>
      <c r="AM12" s="429">
        <f ca="1">IFERROR(VLOOKUP(AM$2,Rango_Admin_DailyPred,MATCH($F12,Rango_Admin_DailyPred_Primera,0)+1,0),"-")</f>
        <v>0</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v>
      </c>
      <c r="C13" s="8">
        <v>10</v>
      </c>
      <c r="D13" s="90"/>
      <c r="E13" s="409">
        <f ca="1">IFERROR(HLOOKUP(C13,Rango_Admin_DailyClas,3,FALSE),"-")</f>
        <v>9</v>
      </c>
      <c r="F13" s="448" t="str">
        <f ca="1">IFERROR(HLOOKUP(C13,Rango_Admin_DailyClas,5,FALSE),"-")</f>
        <v>William Hartley</v>
      </c>
      <c r="G13" s="22">
        <f ca="1">IFERROR(HLOOKUP(C13,Rango_Admin_DailyClas,4,FALSE),"-")</f>
        <v>25</v>
      </c>
      <c r="H13" s="429">
        <f ca="1">IFERROR(VLOOKUP(H$2,Rango_Admin_DailyPred,MATCH($F13,Rango_Admin_DailyPred_Primera,0)+1,0),"-")</f>
        <v>0</v>
      </c>
      <c r="I13" s="429">
        <f ca="1">IFERROR(VLOOKUP(I$2,Rango_Admin_DailyPred,MATCH($F13,Rango_Admin_DailyPred_Primera,0)+1,0),"-")</f>
        <v>0</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1</v>
      </c>
      <c r="N13" s="429">
        <f ca="1">IFERROR(VLOOKUP(N$2,Rango_Admin_DailyPred,MATCH($F13,Rango_Admin_DailyPred_Primera,0)+1,0),"-")</f>
        <v>0</v>
      </c>
      <c r="O13" s="429">
        <f ca="1">IFERROR(VLOOKUP(O$2,Rango_Admin_DailyPred,MATCH($F13,Rango_Admin_DailyPred_Primera,0)+1,0),"-")</f>
        <v>0</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0</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0</v>
      </c>
      <c r="X13" s="429">
        <f ca="1">IFERROR(VLOOKUP(X$2,Rango_Admin_DailyPred,MATCH($F13,Rango_Admin_DailyPred_Primera,0)+1,0),"-")</f>
        <v>4</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0</v>
      </c>
      <c r="AC13" s="429">
        <f ca="1">IFERROR(VLOOKUP(AC$2,Rango_Admin_DailyPred,MATCH($F13,Rango_Admin_DailyPred_Primera,0)+1,0),"-")</f>
        <v>0</v>
      </c>
      <c r="AD13" s="429">
        <f ca="1">IFERROR(VLOOKUP(AD$2,Rango_Admin_DailyPred,MATCH($F13,Rango_Admin_DailyPred_Primera,0)+1,0),"-")</f>
        <v>0</v>
      </c>
      <c r="AE13" s="429">
        <f ca="1">IFERROR(VLOOKUP(AE$2,Rango_Admin_DailyPred,MATCH($F13,Rango_Admin_DailyPred_Primera,0)+1,0),"-")</f>
        <v>0</v>
      </c>
      <c r="AF13" s="429">
        <f ca="1">IFERROR(VLOOKUP(AF$2,Rango_Admin_DailyPred,MATCH($F13,Rango_Admin_DailyPred_Primera,0)+1,0),"-")</f>
        <v>4</v>
      </c>
      <c r="AG13" s="429">
        <f ca="1">IFERROR(VLOOKUP(AG$2,Rango_Admin_DailyPred,MATCH($F13,Rango_Admin_DailyPred_Primera,0)+1,0),"-")</f>
        <v>4</v>
      </c>
      <c r="AH13" s="429">
        <f ca="1">IFERROR(VLOOKUP(AH$2,Rango_Admin_DailyPred,MATCH($F13,Rango_Admin_DailyPred_Primera,0)+1,0),"-")</f>
        <v>4</v>
      </c>
      <c r="AI13" s="429">
        <f ca="1">IFERROR(VLOOKUP(AI$2,Rango_Admin_DailyPred,MATCH($F13,Rango_Admin_DailyPred_Primera,0)+1,0),"-")</f>
        <v>0</v>
      </c>
      <c r="AJ13" s="429">
        <f ca="1">IFERROR(VLOOKUP(AJ$2,Rango_Admin_DailyPred,MATCH($F13,Rango_Admin_DailyPred_Primera,0)+1,0),"-")</f>
        <v>0</v>
      </c>
      <c r="AK13" s="429">
        <f ca="1">IFERROR(VLOOKUP(AK$2,Rango_Admin_DailyPred,MATCH($F13,Rango_Admin_DailyPred_Primera,0)+1,0),"-")</f>
        <v>0</v>
      </c>
      <c r="AL13" s="429">
        <f ca="1">IFERROR(VLOOKUP(AL$2,Rango_Admin_DailyPred,MATCH($F13,Rango_Admin_DailyPred_Primera,0)+1,0),"-")</f>
        <v>0</v>
      </c>
      <c r="AM13" s="429">
        <f ca="1">IFERROR(VLOOKUP(AM$2,Rango_Admin_DailyPred,MATCH($F13,Rango_Admin_DailyPred_Primera,0)+1,0),"-")</f>
        <v>0</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v>
      </c>
      <c r="C14" s="8">
        <v>11</v>
      </c>
      <c r="D14" s="90"/>
      <c r="E14" s="409">
        <f ca="1">IFERROR(HLOOKUP(C14,Rango_Admin_DailyClas,3,FALSE),"-")</f>
        <v>9</v>
      </c>
      <c r="F14" s="448" t="str">
        <f ca="1">IFERROR(HLOOKUP(C14,Rango_Admin_DailyClas,5,FALSE),"-")</f>
        <v>Vicuinho</v>
      </c>
      <c r="G14" s="22">
        <f ca="1">IFERROR(HLOOKUP(C14,Rango_Admin_DailyClas,4,FALSE),"-")</f>
        <v>25</v>
      </c>
      <c r="H14" s="429">
        <f ca="1">IFERROR(VLOOKUP(H$2,Rango_Admin_DailyPred,MATCH($F14,Rango_Admin_DailyPred_Primera,0)+1,0),"-")</f>
        <v>0</v>
      </c>
      <c r="I14" s="429">
        <f ca="1">IFERROR(VLOOKUP(I$2,Rango_Admin_DailyPred,MATCH($F14,Rango_Admin_DailyPred_Primera,0)+1,0),"-")</f>
        <v>1</v>
      </c>
      <c r="J14" s="429">
        <f ca="1">IFERROR(VLOOKUP(J$2,Rango_Admin_DailyPred,MATCH($F14,Rango_Admin_DailyPred_Primera,0)+1,0),"-")</f>
        <v>0</v>
      </c>
      <c r="K14" s="429">
        <f ca="1">IFERROR(VLOOKUP(K$2,Rango_Admin_DailyPred,MATCH($F14,Rango_Admin_DailyPred_Primera,0)+1,0),"-")</f>
        <v>4</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0</v>
      </c>
      <c r="AC14" s="429">
        <f ca="1">IFERROR(VLOOKUP(AC$2,Rango_Admin_DailyPred,MATCH($F14,Rango_Admin_DailyPred_Primera,0)+1,0),"-")</f>
        <v>0</v>
      </c>
      <c r="AD14" s="429">
        <f ca="1">IFERROR(VLOOKUP(AD$2,Rango_Admin_DailyPred,MATCH($F14,Rango_Admin_DailyPred_Primera,0)+1,0),"-")</f>
        <v>0</v>
      </c>
      <c r="AE14" s="429">
        <f ca="1">IFERROR(VLOOKUP(AE$2,Rango_Admin_DailyPred,MATCH($F14,Rango_Admin_DailyPred_Primera,0)+1,0),"-")</f>
        <v>0</v>
      </c>
      <c r="AF14" s="429">
        <f ca="1">IFERROR(VLOOKUP(AF$2,Rango_Admin_DailyPred,MATCH($F14,Rango_Admin_DailyPred_Primera,0)+1,0),"-")</f>
        <v>0</v>
      </c>
      <c r="AG14" s="429">
        <f ca="1">IFERROR(VLOOKUP(AG$2,Rango_Admin_DailyPred,MATCH($F14,Rango_Admin_DailyPred_Primera,0)+1,0),"-")</f>
        <v>4</v>
      </c>
      <c r="AH14" s="429">
        <f ca="1">IFERROR(VLOOKUP(AH$2,Rango_Admin_DailyPred,MATCH($F14,Rango_Admin_DailyPred_Primera,0)+1,0),"-")</f>
        <v>0</v>
      </c>
      <c r="AI14" s="429">
        <f ca="1">IFERROR(VLOOKUP(AI$2,Rango_Admin_DailyPred,MATCH($F14,Rango_Admin_DailyPred_Primera,0)+1,0),"-")</f>
        <v>4</v>
      </c>
      <c r="AJ14" s="429">
        <f ca="1">IFERROR(VLOOKUP(AJ$2,Rango_Admin_DailyPred,MATCH($F14,Rango_Admin_DailyPred_Primera,0)+1,0),"-")</f>
        <v>0</v>
      </c>
      <c r="AK14" s="429">
        <f ca="1">IFERROR(VLOOKUP(AK$2,Rango_Admin_DailyPred,MATCH($F14,Rango_Admin_DailyPred_Primera,0)+1,0),"-")</f>
        <v>0</v>
      </c>
      <c r="AL14" s="429">
        <f ca="1">IFERROR(VLOOKUP(AL$2,Rango_Admin_DailyPred,MATCH($F14,Rango_Admin_DailyPred_Primera,0)+1,0),"-")</f>
        <v>0</v>
      </c>
      <c r="AM14" s="429">
        <f ca="1">IFERROR(VLOOKUP(AM$2,Rango_Admin_DailyPred,MATCH($F14,Rango_Admin_DailyPred_Primera,0)+1,0),"-")</f>
        <v>0</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v>
      </c>
      <c r="C15" s="8">
        <v>12</v>
      </c>
      <c r="D15" s="19"/>
      <c r="E15" s="409">
        <f ca="1">IFERROR(HLOOKUP(C15,Rango_Admin_DailyClas,3,FALSE),"-")</f>
        <v>12</v>
      </c>
      <c r="F15" s="448" t="str">
        <f ca="1">IFERROR(HLOOKUP(C15,Rango_Admin_DailyClas,5,FALSE),"-")</f>
        <v>Lucas Oriol</v>
      </c>
      <c r="G15" s="22">
        <f ca="1">IFERROR(HLOOKUP(C15,Rango_Admin_DailyClas,4,FALSE),"-")</f>
        <v>24</v>
      </c>
      <c r="H15" s="429">
        <f ca="1">IFERROR(VLOOKUP(H$2,Rango_Admin_DailyPred,MATCH($F15,Rango_Admin_DailyPred_Primera,0)+1,0),"-")</f>
        <v>0</v>
      </c>
      <c r="I15" s="429">
        <f ca="1">IFERROR(VLOOKUP(I$2,Rango_Admin_DailyPred,MATCH($F15,Rango_Admin_DailyPred_Primera,0)+1,0),"-")</f>
        <v>4</v>
      </c>
      <c r="J15" s="429">
        <f ca="1">IFERROR(VLOOKUP(J$2,Rango_Admin_DailyPred,MATCH($F15,Rango_Admin_DailyPred_Primera,0)+1,0),"-")</f>
        <v>0</v>
      </c>
      <c r="K15" s="429">
        <f ca="1">IFERROR(VLOOKUP(K$2,Rango_Admin_DailyPred,MATCH($F15,Rango_Admin_DailyPred_Primera,0)+1,0),"-")</f>
        <v>4</v>
      </c>
      <c r="L15" s="429">
        <f ca="1">IFERROR(VLOOKUP(L$2,Rango_Admin_DailyPred,MATCH($F15,Rango_Admin_DailyPred_Primera,0)+1,0),"-")</f>
        <v>0</v>
      </c>
      <c r="M15" s="429">
        <f ca="1">IFERROR(VLOOKUP(M$2,Rango_Admin_DailyPred,MATCH($F15,Rango_Admin_DailyPred_Primera,0)+1,0),"-")</f>
        <v>0</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0</v>
      </c>
      <c r="S15" s="429">
        <f ca="1">IFERROR(VLOOKUP(S$2,Rango_Admin_DailyPred,MATCH($F15,Rango_Admin_DailyPred_Primera,0)+1,0),"-")</f>
        <v>0</v>
      </c>
      <c r="T15" s="429">
        <f ca="1">IFERROR(VLOOKUP(T$2,Rango_Admin_DailyPred,MATCH($F15,Rango_Admin_DailyPred_Primera,0)+1,0),"-")</f>
        <v>0</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0</v>
      </c>
      <c r="X15" s="429">
        <f ca="1">IFERROR(VLOOKUP(X$2,Rango_Admin_DailyPred,MATCH($F15,Rango_Admin_DailyPred_Primera,0)+1,0),"-")</f>
        <v>0</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4</v>
      </c>
      <c r="AB15" s="429">
        <f ca="1">IFERROR(VLOOKUP(AB$2,Rango_Admin_DailyPred,MATCH($F15,Rango_Admin_DailyPred_Primera,0)+1,0),"-")</f>
        <v>0</v>
      </c>
      <c r="AC15" s="429">
        <f ca="1">IFERROR(VLOOKUP(AC$2,Rango_Admin_DailyPred,MATCH($F15,Rango_Admin_DailyPred_Primera,0)+1,0),"-")</f>
        <v>0</v>
      </c>
      <c r="AD15" s="429">
        <f ca="1">IFERROR(VLOOKUP(AD$2,Rango_Admin_DailyPred,MATCH($F15,Rango_Admin_DailyPred_Primera,0)+1,0),"-")</f>
        <v>0</v>
      </c>
      <c r="AE15" s="429">
        <f ca="1">IFERROR(VLOOKUP(AE$2,Rango_Admin_DailyPred,MATCH($F15,Rango_Admin_DailyPred_Primera,0)+1,0),"-")</f>
        <v>0</v>
      </c>
      <c r="AF15" s="429">
        <f ca="1">IFERROR(VLOOKUP(AF$2,Rango_Admin_DailyPred,MATCH($F15,Rango_Admin_DailyPred_Primera,0)+1,0),"-")</f>
        <v>0</v>
      </c>
      <c r="AG15" s="429">
        <f ca="1">IFERROR(VLOOKUP(AG$2,Rango_Admin_DailyPred,MATCH($F15,Rango_Admin_DailyPred_Primera,0)+1,0),"-")</f>
        <v>4</v>
      </c>
      <c r="AH15" s="429">
        <f ca="1">IFERROR(VLOOKUP(AH$2,Rango_Admin_DailyPred,MATCH($F15,Rango_Admin_DailyPred_Primera,0)+1,0),"-")</f>
        <v>4</v>
      </c>
      <c r="AI15" s="429">
        <f ca="1">IFERROR(VLOOKUP(AI$2,Rango_Admin_DailyPred,MATCH($F15,Rango_Admin_DailyPred_Primera,0)+1,0),"-")</f>
        <v>0</v>
      </c>
      <c r="AJ15" s="429">
        <f ca="1">IFERROR(VLOOKUP(AJ$2,Rango_Admin_DailyPred,MATCH($F15,Rango_Admin_DailyPred_Primera,0)+1,0),"-")</f>
        <v>0</v>
      </c>
      <c r="AK15" s="429">
        <f ca="1">IFERROR(VLOOKUP(AK$2,Rango_Admin_DailyPred,MATCH($F15,Rango_Admin_DailyPred_Primera,0)+1,0),"-")</f>
        <v>0</v>
      </c>
      <c r="AL15" s="429">
        <f ca="1">IFERROR(VLOOKUP(AL$2,Rango_Admin_DailyPred,MATCH($F15,Rango_Admin_DailyPred_Primera,0)+1,0),"-")</f>
        <v>0</v>
      </c>
      <c r="AM15" s="429">
        <f ca="1">IFERROR(VLOOKUP(AM$2,Rango_Admin_DailyPred,MATCH($F15,Rango_Admin_DailyPred_Primera,0)+1,0),"-")</f>
        <v>0</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v>
      </c>
      <c r="C16" s="8">
        <v>13</v>
      </c>
      <c r="D16" s="19"/>
      <c r="E16" s="409">
        <f ca="1">IFERROR(HLOOKUP(C16,Rango_Admin_DailyClas,3,FALSE),"-")</f>
        <v>13</v>
      </c>
      <c r="F16" s="448" t="str">
        <f ca="1">IFERROR(HLOOKUP(C16,Rango_Admin_DailyClas,5,FALSE),"-")</f>
        <v>Joserra</v>
      </c>
      <c r="G16" s="22">
        <f ca="1">IFERROR(HLOOKUP(C16,Rango_Admin_DailyClas,4,FALSE),"-")</f>
        <v>23</v>
      </c>
      <c r="H16" s="429">
        <f ca="1">IFERROR(VLOOKUP(H$2,Rango_Admin_DailyPred,MATCH($F16,Rango_Admin_DailyPred_Primera,0)+1,0),"-")</f>
        <v>0</v>
      </c>
      <c r="I16" s="429">
        <f ca="1">IFERROR(VLOOKUP(I$2,Rango_Admin_DailyPred,MATCH($F16,Rango_Admin_DailyPred_Primera,0)+1,0),"-")</f>
        <v>1</v>
      </c>
      <c r="J16" s="429">
        <f ca="1">IFERROR(VLOOKUP(J$2,Rango_Admin_DailyPred,MATCH($F16,Rango_Admin_DailyPred_Primera,0)+1,0),"-")</f>
        <v>0</v>
      </c>
      <c r="K16" s="429">
        <f ca="1">IFERROR(VLOOKUP(K$2,Rango_Admin_DailyPred,MATCH($F16,Rango_Admin_DailyPred_Primera,0)+1,0),"-")</f>
        <v>0</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2</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0</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0</v>
      </c>
      <c r="AC16" s="429">
        <f ca="1">IFERROR(VLOOKUP(AC$2,Rango_Admin_DailyPred,MATCH($F16,Rango_Admin_DailyPred_Primera,0)+1,0),"-")</f>
        <v>0</v>
      </c>
      <c r="AD16" s="429">
        <f ca="1">IFERROR(VLOOKUP(AD$2,Rango_Admin_DailyPred,MATCH($F16,Rango_Admin_DailyPred_Primera,0)+1,0),"-")</f>
        <v>0</v>
      </c>
      <c r="AE16" s="429">
        <f ca="1">IFERROR(VLOOKUP(AE$2,Rango_Admin_DailyPred,MATCH($F16,Rango_Admin_DailyPred_Primera,0)+1,0),"-")</f>
        <v>0</v>
      </c>
      <c r="AF16" s="429">
        <f ca="1">IFERROR(VLOOKUP(AF$2,Rango_Admin_DailyPred,MATCH($F16,Rango_Admin_DailyPred_Primera,0)+1,0),"-")</f>
        <v>0</v>
      </c>
      <c r="AG16" s="429">
        <f ca="1">IFERROR(VLOOKUP(AG$2,Rango_Admin_DailyPred,MATCH($F16,Rango_Admin_DailyPred_Primera,0)+1,0),"-")</f>
        <v>4</v>
      </c>
      <c r="AH16" s="429">
        <f ca="1">IFERROR(VLOOKUP(AH$2,Rango_Admin_DailyPred,MATCH($F16,Rango_Admin_DailyPred_Primera,0)+1,0),"-")</f>
        <v>4</v>
      </c>
      <c r="AI16" s="429">
        <f ca="1">IFERROR(VLOOKUP(AI$2,Rango_Admin_DailyPred,MATCH($F16,Rango_Admin_DailyPred_Primera,0)+1,0),"-")</f>
        <v>0</v>
      </c>
      <c r="AJ16" s="429">
        <f ca="1">IFERROR(VLOOKUP(AJ$2,Rango_Admin_DailyPred,MATCH($F16,Rango_Admin_DailyPred_Primera,0)+1,0),"-")</f>
        <v>0</v>
      </c>
      <c r="AK16" s="429">
        <f ca="1">IFERROR(VLOOKUP(AK$2,Rango_Admin_DailyPred,MATCH($F16,Rango_Admin_DailyPred_Primera,0)+1,0),"-")</f>
        <v>0</v>
      </c>
      <c r="AL16" s="429">
        <f ca="1">IFERROR(VLOOKUP(AL$2,Rango_Admin_DailyPred,MATCH($F16,Rango_Admin_DailyPred_Primera,0)+1,0),"-")</f>
        <v>4</v>
      </c>
      <c r="AM16" s="429">
        <f ca="1">IFERROR(VLOOKUP(AM$2,Rango_Admin_DailyPred,MATCH($F16,Rango_Admin_DailyPred_Primera,0)+1,0),"-")</f>
        <v>0</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v>
      </c>
      <c r="C17" s="8">
        <v>14</v>
      </c>
      <c r="D17" s="19"/>
      <c r="E17" s="409">
        <f ca="1">IFERROR(HLOOKUP(C17,Rango_Admin_DailyClas,3,FALSE),"-")</f>
        <v>14</v>
      </c>
      <c r="F17" s="448" t="str">
        <f ca="1">IFERROR(HLOOKUP(C17,Rango_Admin_DailyClas,5,FALSE),"-")</f>
        <v>Kurtischamp</v>
      </c>
      <c r="G17" s="22">
        <f ca="1">IFERROR(HLOOKUP(C17,Rango_Admin_DailyClas,4,FALSE),"-")</f>
        <v>22</v>
      </c>
      <c r="H17" s="429">
        <f ca="1">IFERROR(VLOOKUP(H$2,Rango_Admin_DailyPred,MATCH($F17,Rango_Admin_DailyPred_Primera,0)+1,0),"-")</f>
        <v>0</v>
      </c>
      <c r="I17" s="429">
        <f ca="1">IFERROR(VLOOKUP(I$2,Rango_Admin_DailyPred,MATCH($F17,Rango_Admin_DailyPred_Primera,0)+1,0),"-")</f>
        <v>1</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1</v>
      </c>
      <c r="O17" s="429">
        <f ca="1">IFERROR(VLOOKUP(O$2,Rango_Admin_DailyPred,MATCH($F17,Rango_Admin_DailyPred_Primera,0)+1,0),"-")</f>
        <v>0</v>
      </c>
      <c r="P17" s="429">
        <f ca="1">IFERROR(VLOOKUP(P$2,Rango_Admin_DailyPred,MATCH($F17,Rango_Admin_DailyPred_Primera,0)+1,0),"-")</f>
        <v>0</v>
      </c>
      <c r="Q17" s="429">
        <f ca="1">IFERROR(VLOOKUP(Q$2,Rango_Admin_DailyPred,MATCH($F17,Rango_Admin_DailyPred_Primera,0)+1,0),"-")</f>
        <v>0</v>
      </c>
      <c r="R17" s="429">
        <f ca="1">IFERROR(VLOOKUP(R$2,Rango_Admin_DailyPred,MATCH($F17,Rango_Admin_DailyPred_Primera,0)+1,0),"-")</f>
        <v>0</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4</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0</v>
      </c>
      <c r="AD17" s="429">
        <f ca="1">IFERROR(VLOOKUP(AD$2,Rango_Admin_DailyPred,MATCH($F17,Rango_Admin_DailyPred_Primera,0)+1,0),"-")</f>
        <v>0</v>
      </c>
      <c r="AE17" s="429">
        <f ca="1">IFERROR(VLOOKUP(AE$2,Rango_Admin_DailyPred,MATCH($F17,Rango_Admin_DailyPred_Primera,0)+1,0),"-")</f>
        <v>0</v>
      </c>
      <c r="AF17" s="429">
        <f ca="1">IFERROR(VLOOKUP(AF$2,Rango_Admin_DailyPred,MATCH($F17,Rango_Admin_DailyPred_Primera,0)+1,0),"-")</f>
        <v>4</v>
      </c>
      <c r="AG17" s="429">
        <f ca="1">IFERROR(VLOOKUP(AG$2,Rango_Admin_DailyPred,MATCH($F17,Rango_Admin_DailyPred_Primera,0)+1,0),"-")</f>
        <v>4</v>
      </c>
      <c r="AH17" s="429">
        <f ca="1">IFERROR(VLOOKUP(AH$2,Rango_Admin_DailyPred,MATCH($F17,Rango_Admin_DailyPred_Primera,0)+1,0),"-")</f>
        <v>0</v>
      </c>
      <c r="AI17" s="429">
        <f ca="1">IFERROR(VLOOKUP(AI$2,Rango_Admin_DailyPred,MATCH($F17,Rango_Admin_DailyPred_Primera,0)+1,0),"-")</f>
        <v>0</v>
      </c>
      <c r="AJ17" s="429">
        <f ca="1">IFERROR(VLOOKUP(AJ$2,Rango_Admin_DailyPred,MATCH($F17,Rango_Admin_DailyPred_Primera,0)+1,0),"-")</f>
        <v>0</v>
      </c>
      <c r="AK17" s="429">
        <f ca="1">IFERROR(VLOOKUP(AK$2,Rango_Admin_DailyPred,MATCH($F17,Rango_Admin_DailyPred_Primera,0)+1,0),"-")</f>
        <v>0</v>
      </c>
      <c r="AL17" s="429">
        <f ca="1">IFERROR(VLOOKUP(AL$2,Rango_Admin_DailyPred,MATCH($F17,Rango_Admin_DailyPred_Primera,0)+1,0),"-")</f>
        <v>0</v>
      </c>
      <c r="AM17" s="429">
        <f ca="1">IFERROR(VLOOKUP(AM$2,Rango_Admin_DailyPred,MATCH($F17,Rango_Admin_DailyPred_Primera,0)+1,0),"-")</f>
        <v>0</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v>
      </c>
      <c r="C18" s="8">
        <v>15</v>
      </c>
      <c r="D18" s="19"/>
      <c r="E18" s="409">
        <f ca="1">IFERROR(HLOOKUP(C18,Rango_Admin_DailyClas,3,FALSE),"-")</f>
        <v>14</v>
      </c>
      <c r="F18" s="448" t="str">
        <f ca="1">IFERROR(HLOOKUP(C18,Rango_Admin_DailyClas,5,FALSE),"-")</f>
        <v xml:space="preserve">Ignacio Núñez </v>
      </c>
      <c r="G18" s="22">
        <f ca="1">IFERROR(HLOOKUP(C18,Rango_Admin_DailyClas,4,FALSE),"-")</f>
        <v>22</v>
      </c>
      <c r="H18" s="429">
        <f ca="1">IFERROR(VLOOKUP(H$2,Rango_Admin_DailyPred,MATCH($F18,Rango_Admin_DailyPred_Primera,0)+1,0),"-")</f>
        <v>0</v>
      </c>
      <c r="I18" s="429">
        <f ca="1">IFERROR(VLOOKUP(I$2,Rango_Admin_DailyPred,MATCH($F18,Rango_Admin_DailyPred_Primera,0)+1,0),"-")</f>
        <v>0</v>
      </c>
      <c r="J18" s="429">
        <f ca="1">IFERROR(VLOOKUP(J$2,Rango_Admin_DailyPred,MATCH($F18,Rango_Admin_DailyPred_Primera,0)+1,0),"-")</f>
        <v>0</v>
      </c>
      <c r="K18" s="429">
        <f ca="1">IFERROR(VLOOKUP(K$2,Rango_Admin_DailyPred,MATCH($F18,Rango_Admin_DailyPred_Primera,0)+1,0),"-")</f>
        <v>2</v>
      </c>
      <c r="L18" s="429">
        <f ca="1">IFERROR(VLOOKUP(L$2,Rango_Admin_DailyPred,MATCH($F18,Rango_Admin_DailyPred_Primera,0)+1,0),"-")</f>
        <v>0</v>
      </c>
      <c r="M18" s="429">
        <f ca="1">IFERROR(VLOOKUP(M$2,Rango_Admin_DailyPred,MATCH($F18,Rango_Admin_DailyPred_Primera,0)+1,0),"-")</f>
        <v>4</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0</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0</v>
      </c>
      <c r="AD18" s="429">
        <f ca="1">IFERROR(VLOOKUP(AD$2,Rango_Admin_DailyPred,MATCH($F18,Rango_Admin_DailyPred_Primera,0)+1,0),"-")</f>
        <v>0</v>
      </c>
      <c r="AE18" s="429">
        <f ca="1">IFERROR(VLOOKUP(AE$2,Rango_Admin_DailyPred,MATCH($F18,Rango_Admin_DailyPred_Primera,0)+1,0),"-")</f>
        <v>0</v>
      </c>
      <c r="AF18" s="429">
        <f ca="1">IFERROR(VLOOKUP(AF$2,Rango_Admin_DailyPred,MATCH($F18,Rango_Admin_DailyPred_Primera,0)+1,0),"-")</f>
        <v>0</v>
      </c>
      <c r="AG18" s="429">
        <f ca="1">IFERROR(VLOOKUP(AG$2,Rango_Admin_DailyPred,MATCH($F18,Rango_Admin_DailyPred_Primera,0)+1,0),"-")</f>
        <v>4</v>
      </c>
      <c r="AH18" s="429">
        <f ca="1">IFERROR(VLOOKUP(AH$2,Rango_Admin_DailyPred,MATCH($F18,Rango_Admin_DailyPred_Primera,0)+1,0),"-")</f>
        <v>0</v>
      </c>
      <c r="AI18" s="429">
        <f ca="1">IFERROR(VLOOKUP(AI$2,Rango_Admin_DailyPred,MATCH($F18,Rango_Admin_DailyPred_Primera,0)+1,0),"-")</f>
        <v>0</v>
      </c>
      <c r="AJ18" s="429">
        <f ca="1">IFERROR(VLOOKUP(AJ$2,Rango_Admin_DailyPred,MATCH($F18,Rango_Admin_DailyPred_Primera,0)+1,0),"-")</f>
        <v>0</v>
      </c>
      <c r="AK18" s="429">
        <f ca="1">IFERROR(VLOOKUP(AK$2,Rango_Admin_DailyPred,MATCH($F18,Rango_Admin_DailyPred_Primera,0)+1,0),"-")</f>
        <v>0</v>
      </c>
      <c r="AL18" s="429">
        <f ca="1">IFERROR(VLOOKUP(AL$2,Rango_Admin_DailyPred,MATCH($F18,Rango_Admin_DailyPred_Primera,0)+1,0),"-")</f>
        <v>4</v>
      </c>
      <c r="AM18" s="429">
        <f ca="1">IFERROR(VLOOKUP(AM$2,Rango_Admin_DailyPred,MATCH($F18,Rango_Admin_DailyPred_Primera,0)+1,0),"-")</f>
        <v>0</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v>
      </c>
      <c r="C19" s="8">
        <v>16</v>
      </c>
      <c r="D19" s="19"/>
      <c r="E19" s="409">
        <f ca="1">IFERROR(HLOOKUP(C19,Rango_Admin_DailyClas,3,FALSE),"-")</f>
        <v>16</v>
      </c>
      <c r="F19" s="448" t="str">
        <f ca="1">IFERROR(HLOOKUP(C19,Rango_Admin_DailyClas,5,FALSE),"-")</f>
        <v>Admin</v>
      </c>
      <c r="G19" s="22">
        <f ca="1">IFERROR(HLOOKUP(C19,Rango_Admin_DailyClas,4,FALSE),"-")</f>
        <v>21</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1</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0</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0</v>
      </c>
      <c r="AC19" s="429">
        <f ca="1">IFERROR(VLOOKUP(AC$2,Rango_Admin_DailyPred,MATCH($F19,Rango_Admin_DailyPred_Primera,0)+1,0),"-")</f>
        <v>0</v>
      </c>
      <c r="AD19" s="429">
        <f ca="1">IFERROR(VLOOKUP(AD$2,Rango_Admin_DailyPred,MATCH($F19,Rango_Admin_DailyPred_Primera,0)+1,0),"-")</f>
        <v>0</v>
      </c>
      <c r="AE19" s="429">
        <f ca="1">IFERROR(VLOOKUP(AE$2,Rango_Admin_DailyPred,MATCH($F19,Rango_Admin_DailyPred_Primera,0)+1,0),"-")</f>
        <v>0</v>
      </c>
      <c r="AF19" s="429">
        <f ca="1">IFERROR(VLOOKUP(AF$2,Rango_Admin_DailyPred,MATCH($F19,Rango_Admin_DailyPred_Primera,0)+1,0),"-")</f>
        <v>4</v>
      </c>
      <c r="AG19" s="429">
        <f ca="1">IFERROR(VLOOKUP(AG$2,Rango_Admin_DailyPred,MATCH($F19,Rango_Admin_DailyPred_Primera,0)+1,0),"-")</f>
        <v>4</v>
      </c>
      <c r="AH19" s="429">
        <f ca="1">IFERROR(VLOOKUP(AH$2,Rango_Admin_DailyPred,MATCH($F19,Rango_Admin_DailyPred_Primera,0)+1,0),"-")</f>
        <v>4</v>
      </c>
      <c r="AI19" s="429">
        <f ca="1">IFERROR(VLOOKUP(AI$2,Rango_Admin_DailyPred,MATCH($F19,Rango_Admin_DailyPred_Primera,0)+1,0),"-")</f>
        <v>0</v>
      </c>
      <c r="AJ19" s="429">
        <f ca="1">IFERROR(VLOOKUP(AJ$2,Rango_Admin_DailyPred,MATCH($F19,Rango_Admin_DailyPred_Primera,0)+1,0),"-")</f>
        <v>0</v>
      </c>
      <c r="AK19" s="429">
        <f ca="1">IFERROR(VLOOKUP(AK$2,Rango_Admin_DailyPred,MATCH($F19,Rango_Admin_DailyPred_Primera,0)+1,0),"-")</f>
        <v>0</v>
      </c>
      <c r="AL19" s="429">
        <f ca="1">IFERROR(VLOOKUP(AL$2,Rango_Admin_DailyPred,MATCH($F19,Rango_Admin_DailyPred_Primera,0)+1,0),"-")</f>
        <v>0</v>
      </c>
      <c r="AM19" s="429">
        <f ca="1">IFERROR(VLOOKUP(AM$2,Rango_Admin_DailyPred,MATCH($F19,Rango_Admin_DailyPred_Primera,0)+1,0),"-")</f>
        <v>0</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16</v>
      </c>
      <c r="F20" s="448" t="str">
        <f ca="1">IFERROR(HLOOKUP(C20,Rango_Admin_DailyClas,5,FALSE),"-")</f>
        <v>Guillermo Murciano</v>
      </c>
      <c r="G20" s="22">
        <f ca="1">IFERROR(HLOOKUP(C20,Rango_Admin_DailyClas,4,FALSE),"-")</f>
        <v>21</v>
      </c>
      <c r="H20" s="429">
        <f ca="1">IFERROR(VLOOKUP(H$2,Rango_Admin_DailyPred,MATCH($F20,Rango_Admin_DailyPred_Primera,0)+1,0),"-")</f>
        <v>0</v>
      </c>
      <c r="I20" s="429">
        <f ca="1">IFERROR(VLOOKUP(I$2,Rango_Admin_DailyPred,MATCH($F20,Rango_Admin_DailyPred_Primera,0)+1,0),"-")</f>
        <v>1</v>
      </c>
      <c r="J20" s="429">
        <f ca="1">IFERROR(VLOOKUP(J$2,Rango_Admin_DailyPred,MATCH($F20,Rango_Admin_DailyPred_Primera,0)+1,0),"-")</f>
        <v>0</v>
      </c>
      <c r="K20" s="429">
        <f ca="1">IFERROR(VLOOKUP(K$2,Rango_Admin_DailyPred,MATCH($F20,Rango_Admin_DailyPred_Primera,0)+1,0),"-")</f>
        <v>4</v>
      </c>
      <c r="L20" s="429">
        <f ca="1">IFERROR(VLOOKUP(L$2,Rango_Admin_DailyPred,MATCH($F20,Rango_Admin_DailyPred_Primera,0)+1,0),"-")</f>
        <v>0</v>
      </c>
      <c r="M20" s="429">
        <f ca="1">IFERROR(VLOOKUP(M$2,Rango_Admin_DailyPred,MATCH($F20,Rango_Admin_DailyPred_Primera,0)+1,0),"-")</f>
        <v>0</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0</v>
      </c>
      <c r="S20" s="429">
        <f ca="1">IFERROR(VLOOKUP(S$2,Rango_Admin_DailyPred,MATCH($F20,Rango_Admin_DailyPred_Primera,0)+1,0),"-")</f>
        <v>0</v>
      </c>
      <c r="T20" s="429">
        <f ca="1">IFERROR(VLOOKUP(T$2,Rango_Admin_DailyPred,MATCH($F20,Rango_Admin_DailyPred_Primera,0)+1,0),"-")</f>
        <v>0</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0</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0</v>
      </c>
      <c r="AB20" s="429">
        <f ca="1">IFERROR(VLOOKUP(AB$2,Rango_Admin_DailyPred,MATCH($F20,Rango_Admin_DailyPred_Primera,0)+1,0),"-")</f>
        <v>0</v>
      </c>
      <c r="AC20" s="429">
        <f ca="1">IFERROR(VLOOKUP(AC$2,Rango_Admin_DailyPred,MATCH($F20,Rango_Admin_DailyPred_Primera,0)+1,0),"-")</f>
        <v>0</v>
      </c>
      <c r="AD20" s="429">
        <f ca="1">IFERROR(VLOOKUP(AD$2,Rango_Admin_DailyPred,MATCH($F20,Rango_Admin_DailyPred_Primera,0)+1,0),"-")</f>
        <v>0</v>
      </c>
      <c r="AE20" s="429">
        <f ca="1">IFERROR(VLOOKUP(AE$2,Rango_Admin_DailyPred,MATCH($F20,Rango_Admin_DailyPred_Primera,0)+1,0),"-")</f>
        <v>0</v>
      </c>
      <c r="AF20" s="429">
        <f ca="1">IFERROR(VLOOKUP(AF$2,Rango_Admin_DailyPred,MATCH($F20,Rango_Admin_DailyPred_Primera,0)+1,0),"-")</f>
        <v>4</v>
      </c>
      <c r="AG20" s="429">
        <f ca="1">IFERROR(VLOOKUP(AG$2,Rango_Admin_DailyPred,MATCH($F20,Rango_Admin_DailyPred_Primera,0)+1,0),"-")</f>
        <v>4</v>
      </c>
      <c r="AH20" s="429">
        <f ca="1">IFERROR(VLOOKUP(AH$2,Rango_Admin_DailyPred,MATCH($F20,Rango_Admin_DailyPred_Primera,0)+1,0),"-")</f>
        <v>4</v>
      </c>
      <c r="AI20" s="429">
        <f ca="1">IFERROR(VLOOKUP(AI$2,Rango_Admin_DailyPred,MATCH($F20,Rango_Admin_DailyPred_Primera,0)+1,0),"-")</f>
        <v>0</v>
      </c>
      <c r="AJ20" s="429">
        <f ca="1">IFERROR(VLOOKUP(AJ$2,Rango_Admin_DailyPred,MATCH($F20,Rango_Admin_DailyPred_Primera,0)+1,0),"-")</f>
        <v>0</v>
      </c>
      <c r="AK20" s="429">
        <f ca="1">IFERROR(VLOOKUP(AK$2,Rango_Admin_DailyPred,MATCH($F20,Rango_Admin_DailyPred_Primera,0)+1,0),"-")</f>
        <v>0</v>
      </c>
      <c r="AL20" s="429">
        <f ca="1">IFERROR(VLOOKUP(AL$2,Rango_Admin_DailyPred,MATCH($F20,Rango_Admin_DailyPred_Primera,0)+1,0),"-")</f>
        <v>0</v>
      </c>
      <c r="AM20" s="429">
        <f ca="1">IFERROR(VLOOKUP(AM$2,Rango_Admin_DailyPred,MATCH($F20,Rango_Admin_DailyPred_Primera,0)+1,0),"-")</f>
        <v>0</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16</v>
      </c>
      <c r="F21" s="448" t="str">
        <f ca="1">IFERROR(HLOOKUP(C21,Rango_Admin_DailyClas,5,FALSE),"-")</f>
        <v>JCU</v>
      </c>
      <c r="G21" s="22">
        <f ca="1">IFERROR(HLOOKUP(C21,Rango_Admin_DailyClas,4,FALSE),"-")</f>
        <v>21</v>
      </c>
      <c r="H21" s="429">
        <f ca="1">IFERROR(VLOOKUP(H$2,Rango_Admin_DailyPred,MATCH($F21,Rango_Admin_DailyPred_Primera,0)+1,0),"-")</f>
        <v>0</v>
      </c>
      <c r="I21" s="429">
        <f ca="1">IFERROR(VLOOKUP(I$2,Rango_Admin_DailyPred,MATCH($F21,Rango_Admin_DailyPred_Primera,0)+1,0),"-")</f>
        <v>1</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0</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4</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0</v>
      </c>
      <c r="AC21" s="429">
        <f ca="1">IFERROR(VLOOKUP(AC$2,Rango_Admin_DailyPred,MATCH($F21,Rango_Admin_DailyPred_Primera,0)+1,0),"-")</f>
        <v>0</v>
      </c>
      <c r="AD21" s="429">
        <f ca="1">IFERROR(VLOOKUP(AD$2,Rango_Admin_DailyPred,MATCH($F21,Rango_Admin_DailyPred_Primera,0)+1,0),"-")</f>
        <v>0</v>
      </c>
      <c r="AE21" s="429">
        <f ca="1">IFERROR(VLOOKUP(AE$2,Rango_Admin_DailyPred,MATCH($F21,Rango_Admin_DailyPred_Primera,0)+1,0),"-")</f>
        <v>0</v>
      </c>
      <c r="AF21" s="429">
        <f ca="1">IFERROR(VLOOKUP(AF$2,Rango_Admin_DailyPred,MATCH($F21,Rango_Admin_DailyPred_Primera,0)+1,0),"-")</f>
        <v>0</v>
      </c>
      <c r="AG21" s="429">
        <f ca="1">IFERROR(VLOOKUP(AG$2,Rango_Admin_DailyPred,MATCH($F21,Rango_Admin_DailyPred_Primera,0)+1,0),"-")</f>
        <v>4</v>
      </c>
      <c r="AH21" s="429">
        <f ca="1">IFERROR(VLOOKUP(AH$2,Rango_Admin_DailyPred,MATCH($F21,Rango_Admin_DailyPred_Primera,0)+1,0),"-")</f>
        <v>4</v>
      </c>
      <c r="AI21" s="429">
        <f ca="1">IFERROR(VLOOKUP(AI$2,Rango_Admin_DailyPred,MATCH($F21,Rango_Admin_DailyPred_Primera,0)+1,0),"-")</f>
        <v>0</v>
      </c>
      <c r="AJ21" s="429">
        <f ca="1">IFERROR(VLOOKUP(AJ$2,Rango_Admin_DailyPred,MATCH($F21,Rango_Admin_DailyPred_Primera,0)+1,0),"-")</f>
        <v>0</v>
      </c>
      <c r="AK21" s="429">
        <f ca="1">IFERROR(VLOOKUP(AK$2,Rango_Admin_DailyPred,MATCH($F21,Rango_Admin_DailyPred_Primera,0)+1,0),"-")</f>
        <v>0</v>
      </c>
      <c r="AL21" s="429">
        <f ca="1">IFERROR(VLOOKUP(AL$2,Rango_Admin_DailyPred,MATCH($F21,Rango_Admin_DailyPred_Primera,0)+1,0),"-")</f>
        <v>0</v>
      </c>
      <c r="AM21" s="429">
        <f ca="1">IFERROR(VLOOKUP(AM$2,Rango_Admin_DailyPred,MATCH($F21,Rango_Admin_DailyPred_Primera,0)+1,0),"-")</f>
        <v>0</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16</v>
      </c>
      <c r="F22" s="448" t="str">
        <f ca="1">IFERROR(HLOOKUP(C22,Rango_Admin_DailyClas,5,FALSE),"-")</f>
        <v>Antonio del Ojo</v>
      </c>
      <c r="G22" s="22">
        <f ca="1">IFERROR(HLOOKUP(C22,Rango_Admin_DailyClas,4,FALSE),"-")</f>
        <v>21</v>
      </c>
      <c r="H22" s="429">
        <f ca="1">IFERROR(VLOOKUP(H$2,Rango_Admin_DailyPred,MATCH($F22,Rango_Admin_DailyPred_Primera,0)+1,0),"-")</f>
        <v>0</v>
      </c>
      <c r="I22" s="429">
        <f ca="1">IFERROR(VLOOKUP(I$2,Rango_Admin_DailyPred,MATCH($F22,Rango_Admin_DailyPred_Primera,0)+1,0),"-")</f>
        <v>1</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0</v>
      </c>
      <c r="M22" s="429">
        <f ca="1">IFERROR(VLOOKUP(M$2,Rango_Admin_DailyPred,MATCH($F22,Rango_Admin_DailyPred_Primera,0)+1,0),"-")</f>
        <v>4</v>
      </c>
      <c r="N22" s="429">
        <f ca="1">IFERROR(VLOOKUP(N$2,Rango_Admin_DailyPred,MATCH($F22,Rango_Admin_DailyPred_Primera,0)+1,0),"-")</f>
        <v>0</v>
      </c>
      <c r="O22" s="429">
        <f ca="1">IFERROR(VLOOKUP(O$2,Rango_Admin_DailyPred,MATCH($F22,Rango_Admin_DailyPred_Primera,0)+1,0),"-")</f>
        <v>0</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0</v>
      </c>
      <c r="S22" s="429">
        <f ca="1">IFERROR(VLOOKUP(S$2,Rango_Admin_DailyPred,MATCH($F22,Rango_Admin_DailyPred_Primera,0)+1,0),"-")</f>
        <v>0</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0</v>
      </c>
      <c r="AC22" s="429">
        <f ca="1">IFERROR(VLOOKUP(AC$2,Rango_Admin_DailyPred,MATCH($F22,Rango_Admin_DailyPred_Primera,0)+1,0),"-")</f>
        <v>0</v>
      </c>
      <c r="AD22" s="429">
        <f ca="1">IFERROR(VLOOKUP(AD$2,Rango_Admin_DailyPred,MATCH($F22,Rango_Admin_DailyPred_Primera,0)+1,0),"-")</f>
        <v>0</v>
      </c>
      <c r="AE22" s="429">
        <f ca="1">IFERROR(VLOOKUP(AE$2,Rango_Admin_DailyPred,MATCH($F22,Rango_Admin_DailyPred_Primera,0)+1,0),"-")</f>
        <v>0</v>
      </c>
      <c r="AF22" s="429">
        <f ca="1">IFERROR(VLOOKUP(AF$2,Rango_Admin_DailyPred,MATCH($F22,Rango_Admin_DailyPred_Primera,0)+1,0),"-")</f>
        <v>4</v>
      </c>
      <c r="AG22" s="429">
        <f ca="1">IFERROR(VLOOKUP(AG$2,Rango_Admin_DailyPred,MATCH($F22,Rango_Admin_DailyPred_Primera,0)+1,0),"-")</f>
        <v>4</v>
      </c>
      <c r="AH22" s="429">
        <f ca="1">IFERROR(VLOOKUP(AH$2,Rango_Admin_DailyPred,MATCH($F22,Rango_Admin_DailyPred_Primera,0)+1,0),"-")</f>
        <v>0</v>
      </c>
      <c r="AI22" s="429">
        <f ca="1">IFERROR(VLOOKUP(AI$2,Rango_Admin_DailyPred,MATCH($F22,Rango_Admin_DailyPred_Primera,0)+1,0),"-")</f>
        <v>0</v>
      </c>
      <c r="AJ22" s="429">
        <f ca="1">IFERROR(VLOOKUP(AJ$2,Rango_Admin_DailyPred,MATCH($F22,Rango_Admin_DailyPred_Primera,0)+1,0),"-")</f>
        <v>0</v>
      </c>
      <c r="AK22" s="429">
        <f ca="1">IFERROR(VLOOKUP(AK$2,Rango_Admin_DailyPred,MATCH($F22,Rango_Admin_DailyPred_Primera,0)+1,0),"-")</f>
        <v>0</v>
      </c>
      <c r="AL22" s="429">
        <f ca="1">IFERROR(VLOOKUP(AL$2,Rango_Admin_DailyPred,MATCH($F22,Rango_Admin_DailyPred_Primera,0)+1,0),"-")</f>
        <v>0</v>
      </c>
      <c r="AM22" s="429">
        <f ca="1">IFERROR(VLOOKUP(AM$2,Rango_Admin_DailyPred,MATCH($F22,Rango_Admin_DailyPred_Primera,0)+1,0),"-")</f>
        <v>0</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16</v>
      </c>
      <c r="F23" s="448" t="str">
        <f ca="1">IFERROR(HLOOKUP(C23,Rango_Admin_DailyClas,5,FALSE),"-")</f>
        <v>Miguel San Martín</v>
      </c>
      <c r="G23" s="22">
        <f ca="1">IFERROR(HLOOKUP(C23,Rango_Admin_DailyClas,4,FALSE),"-")</f>
        <v>21</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0</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0</v>
      </c>
      <c r="S23" s="429">
        <f ca="1">IFERROR(VLOOKUP(S$2,Rango_Admin_DailyPred,MATCH($F23,Rango_Admin_DailyPred_Primera,0)+1,0),"-")</f>
        <v>0</v>
      </c>
      <c r="T23" s="429">
        <f ca="1">IFERROR(VLOOKUP(T$2,Rango_Admin_DailyPred,MATCH($F23,Rango_Admin_DailyPred_Primera,0)+1,0),"-")</f>
        <v>0</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0</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4</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0</v>
      </c>
      <c r="AE23" s="429">
        <f ca="1">IFERROR(VLOOKUP(AE$2,Rango_Admin_DailyPred,MATCH($F23,Rango_Admin_DailyPred_Primera,0)+1,0),"-")</f>
        <v>0</v>
      </c>
      <c r="AF23" s="429">
        <f ca="1">IFERROR(VLOOKUP(AF$2,Rango_Admin_DailyPred,MATCH($F23,Rango_Admin_DailyPred_Primera,0)+1,0),"-")</f>
        <v>4</v>
      </c>
      <c r="AG23" s="429">
        <f ca="1">IFERROR(VLOOKUP(AG$2,Rango_Admin_DailyPred,MATCH($F23,Rango_Admin_DailyPred_Primera,0)+1,0),"-")</f>
        <v>4</v>
      </c>
      <c r="AH23" s="429">
        <f ca="1">IFERROR(VLOOKUP(AH$2,Rango_Admin_DailyPred,MATCH($F23,Rango_Admin_DailyPred_Primera,0)+1,0),"-")</f>
        <v>0</v>
      </c>
      <c r="AI23" s="429">
        <f ca="1">IFERROR(VLOOKUP(AI$2,Rango_Admin_DailyPred,MATCH($F23,Rango_Admin_DailyPred_Primera,0)+1,0),"-")</f>
        <v>0</v>
      </c>
      <c r="AJ23" s="429">
        <f ca="1">IFERROR(VLOOKUP(AJ$2,Rango_Admin_DailyPred,MATCH($F23,Rango_Admin_DailyPred_Primera,0)+1,0),"-")</f>
        <v>0</v>
      </c>
      <c r="AK23" s="429">
        <f ca="1">IFERROR(VLOOKUP(AK$2,Rango_Admin_DailyPred,MATCH($F23,Rango_Admin_DailyPred_Primera,0)+1,0),"-")</f>
        <v>4</v>
      </c>
      <c r="AL23" s="429">
        <f ca="1">IFERROR(VLOOKUP(AL$2,Rango_Admin_DailyPred,MATCH($F23,Rango_Admin_DailyPred_Primera,0)+1,0),"-")</f>
        <v>0</v>
      </c>
      <c r="AM23" s="429">
        <f ca="1">IFERROR(VLOOKUP(AM$2,Rango_Admin_DailyPred,MATCH($F23,Rango_Admin_DailyPred_Primera,0)+1,0),"-")</f>
        <v>0</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(W83)</v>
      </c>
      <c r="C24" s="8">
        <v>21</v>
      </c>
      <c r="D24" s="19"/>
      <c r="E24" s="409">
        <f ca="1">IFERROR(HLOOKUP(C24,Rango_Admin_DailyClas,3,FALSE),"-")</f>
        <v>16</v>
      </c>
      <c r="F24" s="448" t="str">
        <f ca="1">IFERROR(HLOOKUP(C24,Rango_Admin_DailyClas,5,FALSE),"-")</f>
        <v>bau</v>
      </c>
      <c r="G24" s="22">
        <f ca="1">IFERROR(HLOOKUP(C24,Rango_Admin_DailyClas,4,FALSE),"-")</f>
        <v>21</v>
      </c>
      <c r="H24" s="429">
        <f ca="1">IFERROR(VLOOKUP(H$2,Rango_Admin_DailyPred,MATCH($F24,Rango_Admin_DailyPred_Primera,0)+1,0),"-")</f>
        <v>0</v>
      </c>
      <c r="I24" s="429">
        <f ca="1">IFERROR(VLOOKUP(I$2,Rango_Admin_DailyPred,MATCH($F24,Rango_Admin_DailyPred_Primera,0)+1,0),"-")</f>
        <v>0</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1</v>
      </c>
      <c r="N24" s="429">
        <f ca="1">IFERROR(VLOOKUP(N$2,Rango_Admin_DailyPred,MATCH($F24,Rango_Admin_DailyPred_Primera,0)+1,0),"-")</f>
        <v>0</v>
      </c>
      <c r="O24" s="429">
        <f ca="1">IFERROR(VLOOKUP(O$2,Rango_Admin_DailyPred,MATCH($F24,Rango_Admin_DailyPred_Primera,0)+1,0),"-")</f>
        <v>0</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0</v>
      </c>
      <c r="S24" s="429">
        <f ca="1">IFERROR(VLOOKUP(S$2,Rango_Admin_DailyPred,MATCH($F24,Rango_Admin_DailyPred_Primera,0)+1,0),"-")</f>
        <v>0</v>
      </c>
      <c r="T24" s="429">
        <f ca="1">IFERROR(VLOOKUP(T$2,Rango_Admin_DailyPred,MATCH($F24,Rango_Admin_DailyPred_Primera,0)+1,0),"-")</f>
        <v>0</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4</v>
      </c>
      <c r="AB24" s="429">
        <f ca="1">IFERROR(VLOOKUP(AB$2,Rango_Admin_DailyPred,MATCH($F24,Rango_Admin_DailyPred_Primera,0)+1,0),"-")</f>
        <v>0</v>
      </c>
      <c r="AC24" s="429">
        <f ca="1">IFERROR(VLOOKUP(AC$2,Rango_Admin_DailyPred,MATCH($F24,Rango_Admin_DailyPred_Primera,0)+1,0),"-")</f>
        <v>0</v>
      </c>
      <c r="AD24" s="429">
        <f ca="1">IFERROR(VLOOKUP(AD$2,Rango_Admin_DailyPred,MATCH($F24,Rango_Admin_DailyPred_Primera,0)+1,0),"-")</f>
        <v>0</v>
      </c>
      <c r="AE24" s="429">
        <f ca="1">IFERROR(VLOOKUP(AE$2,Rango_Admin_DailyPred,MATCH($F24,Rango_Admin_DailyPred_Primera,0)+1,0),"-")</f>
        <v>0</v>
      </c>
      <c r="AF24" s="429">
        <f ca="1">IFERROR(VLOOKUP(AF$2,Rango_Admin_DailyPred,MATCH($F24,Rango_Admin_DailyPred_Primera,0)+1,0),"-")</f>
        <v>4</v>
      </c>
      <c r="AG24" s="429">
        <f ca="1">IFERROR(VLOOKUP(AG$2,Rango_Admin_DailyPred,MATCH($F24,Rango_Admin_DailyPred_Primera,0)+1,0),"-")</f>
        <v>4</v>
      </c>
      <c r="AH24" s="429">
        <f ca="1">IFERROR(VLOOKUP(AH$2,Rango_Admin_DailyPred,MATCH($F24,Rango_Admin_DailyPred_Primera,0)+1,0),"-")</f>
        <v>4</v>
      </c>
      <c r="AI24" s="429">
        <f ca="1">IFERROR(VLOOKUP(AI$2,Rango_Admin_DailyPred,MATCH($F24,Rango_Admin_DailyPred_Primera,0)+1,0),"-")</f>
        <v>0</v>
      </c>
      <c r="AJ24" s="429">
        <f ca="1">IFERROR(VLOOKUP(AJ$2,Rango_Admin_DailyPred,MATCH($F24,Rango_Admin_DailyPred_Primera,0)+1,0),"-")</f>
        <v>0</v>
      </c>
      <c r="AK24" s="429">
        <f ca="1">IFERROR(VLOOKUP(AK$2,Rango_Admin_DailyPred,MATCH($F24,Rango_Admin_DailyPred_Primera,0)+1,0),"-")</f>
        <v>0</v>
      </c>
      <c r="AL24" s="429">
        <f ca="1">IFERROR(VLOOKUP(AL$2,Rango_Admin_DailyPred,MATCH($F24,Rango_Admin_DailyPred_Primera,0)+1,0),"-")</f>
        <v>0</v>
      </c>
      <c r="AM24" s="429">
        <f ca="1">IFERROR(VLOOKUP(AM$2,Rango_Admin_DailyPred,MATCH($F24,Rango_Admin_DailyPred_Primera,0)+1,0),"-")</f>
        <v>0</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(W81)</v>
      </c>
      <c r="C25" s="8">
        <v>22</v>
      </c>
      <c r="D25" s="19"/>
      <c r="E25" s="409">
        <f ca="1">IFERROR(HLOOKUP(C25,Rango_Admin_DailyClas,3,FALSE),"-")</f>
        <v>16</v>
      </c>
      <c r="F25" s="448" t="str">
        <f ca="1">IFERROR(HLOOKUP(C25,Rango_Admin_DailyClas,5,FALSE),"-")</f>
        <v>AD Monchus</v>
      </c>
      <c r="G25" s="22">
        <f ca="1">IFERROR(HLOOKUP(C25,Rango_Admin_DailyClas,4,FALSE),"-")</f>
        <v>21</v>
      </c>
      <c r="H25" s="429">
        <f ca="1">IFERROR(VLOOKUP(H$2,Rango_Admin_DailyPred,MATCH($F25,Rango_Admin_DailyPred_Primera,0)+1,0),"-")</f>
        <v>0</v>
      </c>
      <c r="I25" s="429">
        <f ca="1">IFERROR(VLOOKUP(I$2,Rango_Admin_DailyPred,MATCH($F25,Rango_Admin_DailyPred_Primera,0)+1,0),"-")</f>
        <v>1</v>
      </c>
      <c r="J25" s="429">
        <f ca="1">IFERROR(VLOOKUP(J$2,Rango_Admin_DailyPred,MATCH($F25,Rango_Admin_DailyPred_Primera,0)+1,0),"-")</f>
        <v>0</v>
      </c>
      <c r="K25" s="429">
        <f ca="1">IFERROR(VLOOKUP(K$2,Rango_Admin_DailyPred,MATCH($F25,Rango_Admin_DailyPred_Primera,0)+1,0),"-")</f>
        <v>0</v>
      </c>
      <c r="L25" s="429">
        <f ca="1">IFERROR(VLOOKUP(L$2,Rango_Admin_DailyPred,MATCH($F25,Rango_Admin_DailyPred_Primera,0)+1,0),"-")</f>
        <v>0</v>
      </c>
      <c r="M25" s="429">
        <f ca="1">IFERROR(VLOOKUP(M$2,Rango_Admin_DailyPred,MATCH($F25,Rango_Admin_DailyPred_Primera,0)+1,0),"-")</f>
        <v>0</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0</v>
      </c>
      <c r="S25" s="429">
        <f ca="1">IFERROR(VLOOKUP(S$2,Rango_Admin_DailyPred,MATCH($F25,Rango_Admin_DailyPred_Primera,0)+1,0),"-")</f>
        <v>0</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0</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4</v>
      </c>
      <c r="AB25" s="429">
        <f ca="1">IFERROR(VLOOKUP(AB$2,Rango_Admin_DailyPred,MATCH($F25,Rango_Admin_DailyPred_Primera,0)+1,0),"-")</f>
        <v>0</v>
      </c>
      <c r="AC25" s="429">
        <f ca="1">IFERROR(VLOOKUP(AC$2,Rango_Admin_DailyPred,MATCH($F25,Rango_Admin_DailyPred_Primera,0)+1,0),"-")</f>
        <v>0</v>
      </c>
      <c r="AD25" s="429">
        <f ca="1">IFERROR(VLOOKUP(AD$2,Rango_Admin_DailyPred,MATCH($F25,Rango_Admin_DailyPred_Primera,0)+1,0),"-")</f>
        <v>0</v>
      </c>
      <c r="AE25" s="429">
        <f ca="1">IFERROR(VLOOKUP(AE$2,Rango_Admin_DailyPred,MATCH($F25,Rango_Admin_DailyPred_Primera,0)+1,0),"-")</f>
        <v>0</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4</v>
      </c>
      <c r="AI25" s="429">
        <f ca="1">IFERROR(VLOOKUP(AI$2,Rango_Admin_DailyPred,MATCH($F25,Rango_Admin_DailyPred_Primera,0)+1,0),"-")</f>
        <v>0</v>
      </c>
      <c r="AJ25" s="429">
        <f ca="1">IFERROR(VLOOKUP(AJ$2,Rango_Admin_DailyPred,MATCH($F25,Rango_Admin_DailyPred_Primera,0)+1,0),"-")</f>
        <v>0</v>
      </c>
      <c r="AK25" s="429">
        <f ca="1">IFERROR(VLOOKUP(AK$2,Rango_Admin_DailyPred,MATCH($F25,Rango_Admin_DailyPred_Primera,0)+1,0),"-")</f>
        <v>0</v>
      </c>
      <c r="AL25" s="429">
        <f ca="1">IFERROR(VLOOKUP(AL$2,Rango_Admin_DailyPred,MATCH($F25,Rango_Admin_DailyPred_Primera,0)+1,0),"-")</f>
        <v>4</v>
      </c>
      <c r="AM25" s="429">
        <f ca="1">IFERROR(VLOOKUP(AM$2,Rango_Admin_DailyPred,MATCH($F25,Rango_Admin_DailyPred_Primera,0)+1,0),"-")</f>
        <v>0</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(W86)</v>
      </c>
      <c r="C26" s="8">
        <v>23</v>
      </c>
      <c r="D26" s="19"/>
      <c r="E26" s="409">
        <f ca="1">IFERROR(HLOOKUP(C26,Rango_Admin_DailyClas,3,FALSE),"-")</f>
        <v>16</v>
      </c>
      <c r="F26" s="448" t="str">
        <f ca="1">IFERROR(HLOOKUP(C26,Rango_Admin_DailyClas,5,FALSE),"-")</f>
        <v>IGNACIO LAFUENTE</v>
      </c>
      <c r="G26" s="22">
        <f ca="1">IFERROR(HLOOKUP(C26,Rango_Admin_DailyClas,4,FALSE),"-")</f>
        <v>21</v>
      </c>
      <c r="H26" s="429">
        <f ca="1">IFERROR(VLOOKUP(H$2,Rango_Admin_DailyPred,MATCH($F26,Rango_Admin_DailyPred_Primera,0)+1,0),"-")</f>
        <v>0</v>
      </c>
      <c r="I26" s="429">
        <f ca="1">IFERROR(VLOOKUP(I$2,Rango_Admin_DailyPred,MATCH($F26,Rango_Admin_DailyPred_Primera,0)+1,0),"-")</f>
        <v>2</v>
      </c>
      <c r="J26" s="429">
        <f ca="1">IFERROR(VLOOKUP(J$2,Rango_Admin_DailyPred,MATCH($F26,Rango_Admin_DailyPred_Primera,0)+1,0),"-")</f>
        <v>0</v>
      </c>
      <c r="K26" s="429">
        <f ca="1">IFERROR(VLOOKUP(K$2,Rango_Admin_DailyPred,MATCH($F26,Rango_Admin_DailyPred_Primera,0)+1,0),"-")</f>
        <v>2</v>
      </c>
      <c r="L26" s="429">
        <f ca="1">IFERROR(VLOOKUP(L$2,Rango_Admin_DailyPred,MATCH($F26,Rango_Admin_DailyPred_Primera,0)+1,0),"-")</f>
        <v>0</v>
      </c>
      <c r="M26" s="429">
        <f ca="1">IFERROR(VLOOKUP(M$2,Rango_Admin_DailyPred,MATCH($F26,Rango_Admin_DailyPred_Primera,0)+1,0),"-")</f>
        <v>1</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0</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0</v>
      </c>
      <c r="AC26" s="429">
        <f ca="1">IFERROR(VLOOKUP(AC$2,Rango_Admin_DailyPred,MATCH($F26,Rango_Admin_DailyPred_Primera,0)+1,0),"-")</f>
        <v>0</v>
      </c>
      <c r="AD26" s="429">
        <f ca="1">IFERROR(VLOOKUP(AD$2,Rango_Admin_DailyPred,MATCH($F26,Rango_Admin_DailyPred_Primera,0)+1,0),"-")</f>
        <v>0</v>
      </c>
      <c r="AE26" s="429">
        <f ca="1">IFERROR(VLOOKUP(AE$2,Rango_Admin_DailyPred,MATCH($F26,Rango_Admin_DailyPred_Primera,0)+1,0),"-")</f>
        <v>0</v>
      </c>
      <c r="AF26" s="429">
        <f ca="1">IFERROR(VLOOKUP(AF$2,Rango_Admin_DailyPred,MATCH($F26,Rango_Admin_DailyPred_Primera,0)+1,0),"-")</f>
        <v>0</v>
      </c>
      <c r="AG26" s="429">
        <f ca="1">IFERROR(VLOOKUP(AG$2,Rango_Admin_DailyPred,MATCH($F26,Rango_Admin_DailyPred_Primera,0)+1,0),"-")</f>
        <v>4</v>
      </c>
      <c r="AH26" s="429">
        <f ca="1">IFERROR(VLOOKUP(AH$2,Rango_Admin_DailyPred,MATCH($F26,Rango_Admin_DailyPred_Primera,0)+1,0),"-")</f>
        <v>4</v>
      </c>
      <c r="AI26" s="429">
        <f ca="1">IFERROR(VLOOKUP(AI$2,Rango_Admin_DailyPred,MATCH($F26,Rango_Admin_DailyPred_Primera,0)+1,0),"-")</f>
        <v>0</v>
      </c>
      <c r="AJ26" s="429">
        <f ca="1">IFERROR(VLOOKUP(AJ$2,Rango_Admin_DailyPred,MATCH($F26,Rango_Admin_DailyPred_Primera,0)+1,0),"-")</f>
        <v>0</v>
      </c>
      <c r="AK26" s="429">
        <f ca="1">IFERROR(VLOOKUP(AK$2,Rango_Admin_DailyPred,MATCH($F26,Rango_Admin_DailyPred_Primera,0)+1,0),"-")</f>
        <v>0</v>
      </c>
      <c r="AL26" s="429">
        <f ca="1">IFERROR(VLOOKUP(AL$2,Rango_Admin_DailyPred,MATCH($F26,Rango_Admin_DailyPred_Primera,0)+1,0),"-")</f>
        <v>0</v>
      </c>
      <c r="AM26" s="429">
        <f ca="1">IFERROR(VLOOKUP(AM$2,Rango_Admin_DailyPred,MATCH($F26,Rango_Admin_DailyPred_Primera,0)+1,0),"-")</f>
        <v>0</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(W85)</v>
      </c>
      <c r="C27" s="8">
        <v>24</v>
      </c>
      <c r="D27" s="19"/>
      <c r="E27" s="409">
        <f ca="1">IFERROR(HLOOKUP(C27,Rango_Admin_DailyClas,3,FALSE),"-")</f>
        <v>24</v>
      </c>
      <c r="F27" s="448" t="str">
        <f ca="1">IFERROR(HLOOKUP(C27,Rango_Admin_DailyClas,5,FALSE),"-")</f>
        <v>Fercho Muro Matosex</v>
      </c>
      <c r="G27" s="22">
        <f ca="1">IFERROR(HLOOKUP(C27,Rango_Admin_DailyClas,4,FALSE),"-")</f>
        <v>20</v>
      </c>
      <c r="H27" s="429">
        <f ca="1">IFERROR(VLOOKUP(H$2,Rango_Admin_DailyPred,MATCH($F27,Rango_Admin_DailyPred_Primera,0)+1,0),"-")</f>
        <v>0</v>
      </c>
      <c r="I27" s="429">
        <f ca="1">IFERROR(VLOOKUP(I$2,Rango_Admin_DailyPred,MATCH($F27,Rango_Admin_DailyPred_Primera,0)+1,0),"-")</f>
        <v>4</v>
      </c>
      <c r="J27" s="429">
        <f ca="1">IFERROR(VLOOKUP(J$2,Rango_Admin_DailyPred,MATCH($F27,Rango_Admin_DailyPred_Primera,0)+1,0),"-")</f>
        <v>0</v>
      </c>
      <c r="K27" s="429">
        <f ca="1">IFERROR(VLOOKUP(K$2,Rango_Admin_DailyPred,MATCH($F27,Rango_Admin_DailyPred_Primera,0)+1,0),"-")</f>
        <v>4</v>
      </c>
      <c r="L27" s="429">
        <f ca="1">IFERROR(VLOOKUP(L$2,Rango_Admin_DailyPred,MATCH($F27,Rango_Admin_DailyPred_Primera,0)+1,0),"-")</f>
        <v>0</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0</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0</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0</v>
      </c>
      <c r="AB27" s="429">
        <f ca="1">IFERROR(VLOOKUP(AB$2,Rango_Admin_DailyPred,MATCH($F27,Rango_Admin_DailyPred_Primera,0)+1,0),"-")</f>
        <v>0</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4</v>
      </c>
      <c r="AH27" s="429">
        <f ca="1">IFERROR(VLOOKUP(AH$2,Rango_Admin_DailyPred,MATCH($F27,Rango_Admin_DailyPred_Primera,0)+1,0),"-")</f>
        <v>0</v>
      </c>
      <c r="AI27" s="429">
        <f ca="1">IFERROR(VLOOKUP(AI$2,Rango_Admin_DailyPred,MATCH($F27,Rango_Admin_DailyPred_Primera,0)+1,0),"-")</f>
        <v>0</v>
      </c>
      <c r="AJ27" s="429">
        <f ca="1">IFERROR(VLOOKUP(AJ$2,Rango_Admin_DailyPred,MATCH($F27,Rango_Admin_DailyPred_Primera,0)+1,0),"-")</f>
        <v>0</v>
      </c>
      <c r="AK27" s="429">
        <f ca="1">IFERROR(VLOOKUP(AK$2,Rango_Admin_DailyPred,MATCH($F27,Rango_Admin_DailyPred_Primera,0)+1,0),"-")</f>
        <v>0</v>
      </c>
      <c r="AL27" s="429">
        <f ca="1">IFERROR(VLOOKUP(AL$2,Rango_Admin_DailyPred,MATCH($F27,Rango_Admin_DailyPred_Primera,0)+1,0),"-")</f>
        <v>4</v>
      </c>
      <c r="AM27" s="429">
        <f ca="1">IFERROR(VLOOKUP(AM$2,Rango_Admin_DailyPred,MATCH($F27,Rango_Admin_DailyPred_Primera,0)+1,0),"-")</f>
        <v>0</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24</v>
      </c>
      <c r="F28" s="448" t="str">
        <f ca="1">IFERROR(HLOOKUP(C28,Rango_Admin_DailyClas,5,FALSE),"-")</f>
        <v xml:space="preserve">Martín Matoses </v>
      </c>
      <c r="G28" s="22">
        <f ca="1">IFERROR(HLOOKUP(C28,Rango_Admin_DailyClas,4,FALSE),"-")</f>
        <v>20</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0</v>
      </c>
      <c r="L28" s="429">
        <f ca="1">IFERROR(VLOOKUP(L$2,Rango_Admin_DailyPred,MATCH($F28,Rango_Admin_DailyPred_Primera,0)+1,0),"-")</f>
        <v>0</v>
      </c>
      <c r="M28" s="429">
        <f ca="1">IFERROR(VLOOKUP(M$2,Rango_Admin_DailyPred,MATCH($F28,Rango_Admin_DailyPred_Primera,0)+1,0),"-")</f>
        <v>0</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0</v>
      </c>
      <c r="S28" s="429">
        <f ca="1">IFERROR(VLOOKUP(S$2,Rango_Admin_DailyPred,MATCH($F28,Rango_Admin_DailyPred_Primera,0)+1,0),"-")</f>
        <v>0</v>
      </c>
      <c r="T28" s="429">
        <f ca="1">IFERROR(VLOOKUP(T$2,Rango_Admin_DailyPred,MATCH($F28,Rango_Admin_DailyPred_Primera,0)+1,0),"-")</f>
        <v>0</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4</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0</v>
      </c>
      <c r="AE28" s="429">
        <f ca="1">IFERROR(VLOOKUP(AE$2,Rango_Admin_DailyPred,MATCH($F28,Rango_Admin_DailyPred_Primera,0)+1,0),"-")</f>
        <v>0</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4</v>
      </c>
      <c r="AI28" s="429">
        <f ca="1">IFERROR(VLOOKUP(AI$2,Rango_Admin_DailyPred,MATCH($F28,Rango_Admin_DailyPred_Primera,0)+1,0),"-")</f>
        <v>0</v>
      </c>
      <c r="AJ28" s="429">
        <f ca="1">IFERROR(VLOOKUP(AJ$2,Rango_Admin_DailyPred,MATCH($F28,Rango_Admin_DailyPred_Primera,0)+1,0),"-")</f>
        <v>0</v>
      </c>
      <c r="AK28" s="429">
        <f ca="1">IFERROR(VLOOKUP(AK$2,Rango_Admin_DailyPred,MATCH($F28,Rango_Admin_DailyPred_Primera,0)+1,0),"-")</f>
        <v>0</v>
      </c>
      <c r="AL28" s="429">
        <f ca="1">IFERROR(VLOOKUP(AL$2,Rango_Admin_DailyPred,MATCH($F28,Rango_Admin_DailyPred_Primera,0)+1,0),"-")</f>
        <v>0</v>
      </c>
      <c r="AM28" s="429">
        <f ca="1">IFERROR(VLOOKUP(AM$2,Rango_Admin_DailyPred,MATCH($F28,Rango_Admin_DailyPred_Primera,0)+1,0),"-")</f>
        <v>0</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24</v>
      </c>
      <c r="F29" s="448" t="str">
        <f ca="1">IFERROR(HLOOKUP(C29,Rango_Admin_DailyClas,5,FALSE),"-")</f>
        <v>DIDI</v>
      </c>
      <c r="G29" s="22">
        <f ca="1">IFERROR(HLOOKUP(C29,Rango_Admin_DailyClas,4,FALSE),"-")</f>
        <v>20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0</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0</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4</v>
      </c>
      <c r="AB29" s="429">
        <f ca="1">IFERROR(VLOOKUP(AB$2,Rango_Admin_DailyPred,MATCH($F29,Rango_Admin_DailyPred_Primera,0)+1,0),"-")</f>
        <v>0</v>
      </c>
      <c r="AC29" s="429">
        <f ca="1">IFERROR(VLOOKUP(AC$2,Rango_Admin_DailyPred,MATCH($F29,Rango_Admin_DailyPred_Primera,0)+1,0),"-")</f>
        <v>0</v>
      </c>
      <c r="AD29" s="429">
        <f ca="1">IFERROR(VLOOKUP(AD$2,Rango_Admin_DailyPred,MATCH($F29,Rango_Admin_DailyPred_Primera,0)+1,0),"-")</f>
        <v>0</v>
      </c>
      <c r="AE29" s="429">
        <f ca="1">IFERROR(VLOOKUP(AE$2,Rango_Admin_DailyPred,MATCH($F29,Rango_Admin_DailyPred_Primera,0)+1,0),"-")</f>
        <v>4</v>
      </c>
      <c r="AF29" s="429">
        <f ca="1">IFERROR(VLOOKUP(AF$2,Rango_Admin_DailyPred,MATCH($F29,Rango_Admin_DailyPred_Primera,0)+1,0),"-")</f>
        <v>0</v>
      </c>
      <c r="AG29" s="429">
        <f ca="1">IFERROR(VLOOKUP(AG$2,Rango_Admin_DailyPred,MATCH($F29,Rango_Admin_DailyPred_Primera,0)+1,0),"-")</f>
        <v>4</v>
      </c>
      <c r="AH29" s="429">
        <f ca="1">IFERROR(VLOOKUP(AH$2,Rango_Admin_DailyPred,MATCH($F29,Rango_Admin_DailyPred_Primera,0)+1,0),"-")</f>
        <v>4</v>
      </c>
      <c r="AI29" s="429">
        <f ca="1">IFERROR(VLOOKUP(AI$2,Rango_Admin_DailyPred,MATCH($F29,Rango_Admin_DailyPred_Primera,0)+1,0),"-")</f>
        <v>0</v>
      </c>
      <c r="AJ29" s="429">
        <f ca="1">IFERROR(VLOOKUP(AJ$2,Rango_Admin_DailyPred,MATCH($F29,Rango_Admin_DailyPred_Primera,0)+1,0),"-")</f>
        <v>0</v>
      </c>
      <c r="AK29" s="429">
        <f ca="1">IFERROR(VLOOKUP(AK$2,Rango_Admin_DailyPred,MATCH($F29,Rango_Admin_DailyPred_Primera,0)+1,0),"-")</f>
        <v>0</v>
      </c>
      <c r="AL29" s="429">
        <f ca="1">IFERROR(VLOOKUP(AL$2,Rango_Admin_DailyPred,MATCH($F29,Rango_Admin_DailyPred_Primera,0)+1,0),"-")</f>
        <v>0</v>
      </c>
      <c r="AM29" s="429">
        <f ca="1">IFERROR(VLOOKUP(AM$2,Rango_Admin_DailyPred,MATCH($F29,Rango_Admin_DailyPred_Primera,0)+1,0),"-")</f>
        <v>0</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24</v>
      </c>
      <c r="F30" s="448" t="str">
        <f ca="1">IFERROR(HLOOKUP(C30,Rango_Admin_DailyClas,5,FALSE),"-")</f>
        <v>Alexander Schulte</v>
      </c>
      <c r="G30" s="22">
        <f ca="1">IFERROR(HLOOKUP(C30,Rango_Admin_DailyClas,4,FALSE),"-")</f>
        <v>20</v>
      </c>
      <c r="H30" s="429">
        <f ca="1">IFERROR(VLOOKUP(H$2,Rango_Admin_DailyPred,MATCH($F30,Rango_Admin_DailyPred_Primera,0)+1,0),"-")</f>
        <v>0</v>
      </c>
      <c r="I30" s="429">
        <f ca="1">IFERROR(VLOOKUP(I$2,Rango_Admin_DailyPred,MATCH($F30,Rango_Admin_DailyPred_Primera,0)+1,0),"-")</f>
        <v>4</v>
      </c>
      <c r="J30" s="429">
        <f ca="1">IFERROR(VLOOKUP(J$2,Rango_Admin_DailyPred,MATCH($F30,Rango_Admin_DailyPred_Primera,0)+1,0),"-")</f>
        <v>0</v>
      </c>
      <c r="K30" s="429">
        <f ca="1">IFERROR(VLOOKUP(K$2,Rango_Admin_DailyPred,MATCH($F30,Rango_Admin_DailyPred_Primera,0)+1,0),"-")</f>
        <v>0</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0</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0</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4</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0</v>
      </c>
      <c r="AE30" s="429">
        <f ca="1">IFERROR(VLOOKUP(AE$2,Rango_Admin_DailyPred,MATCH($F30,Rango_Admin_DailyPred_Primera,0)+1,0),"-")</f>
        <v>0</v>
      </c>
      <c r="AF30" s="429">
        <f ca="1">IFERROR(VLOOKUP(AF$2,Rango_Admin_DailyPred,MATCH($F30,Rango_Admin_DailyPred_Primera,0)+1,0),"-")</f>
        <v>4</v>
      </c>
      <c r="AG30" s="429">
        <f ca="1">IFERROR(VLOOKUP(AG$2,Rango_Admin_DailyPred,MATCH($F30,Rango_Admin_DailyPred_Primera,0)+1,0),"-")</f>
        <v>4</v>
      </c>
      <c r="AH30" s="429">
        <f ca="1">IFERROR(VLOOKUP(AH$2,Rango_Admin_DailyPred,MATCH($F30,Rango_Admin_DailyPred_Primera,0)+1,0),"-")</f>
        <v>0</v>
      </c>
      <c r="AI30" s="429">
        <f ca="1">IFERROR(VLOOKUP(AI$2,Rango_Admin_DailyPred,MATCH($F30,Rango_Admin_DailyPred_Primera,0)+1,0),"-")</f>
        <v>0</v>
      </c>
      <c r="AJ30" s="429">
        <f ca="1">IFERROR(VLOOKUP(AJ$2,Rango_Admin_DailyPred,MATCH($F30,Rango_Admin_DailyPred_Primera,0)+1,0),"-")</f>
        <v>0</v>
      </c>
      <c r="AK30" s="429">
        <f ca="1">IFERROR(VLOOKUP(AK$2,Rango_Admin_DailyPred,MATCH($F30,Rango_Admin_DailyPred_Primera,0)+1,0),"-")</f>
        <v>0</v>
      </c>
      <c r="AL30" s="429">
        <f ca="1">IFERROR(VLOOKUP(AL$2,Rango_Admin_DailyPred,MATCH($F30,Rango_Admin_DailyPred_Primera,0)+1,0),"-")</f>
        <v>0</v>
      </c>
      <c r="AM30" s="429">
        <f ca="1">IFERROR(VLOOKUP(AM$2,Rango_Admin_DailyPred,MATCH($F30,Rango_Admin_DailyPred_Primera,0)+1,0),"-")</f>
        <v>0</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(W80)</v>
      </c>
      <c r="C31" s="8">
        <v>28</v>
      </c>
      <c r="D31" s="19"/>
      <c r="E31" s="409">
        <f ca="1">IFERROR(HLOOKUP(C31,Rango_Admin_DailyClas,3,FALSE),"-")</f>
        <v>28</v>
      </c>
      <c r="F31" s="448" t="str">
        <f ca="1">IFERROR(HLOOKUP(C31,Rango_Admin_DailyClas,5,FALSE),"-")</f>
        <v>Miguel Suárez-Zuloaga</v>
      </c>
      <c r="G31" s="22">
        <f ca="1">IFERROR(HLOOKUP(C31,Rango_Admin_DailyClas,4,FALSE),"-")</f>
        <v>19</v>
      </c>
      <c r="H31" s="429">
        <f ca="1">IFERROR(VLOOKUP(H$2,Rango_Admin_DailyPred,MATCH($F31,Rango_Admin_DailyPred_Primera,0)+1,0),"-")</f>
        <v>0</v>
      </c>
      <c r="I31" s="429">
        <f ca="1">IFERROR(VLOOKUP(I$2,Rango_Admin_DailyPred,MATCH($F31,Rango_Admin_DailyPred_Primera,0)+1,0),"-")</f>
        <v>1</v>
      </c>
      <c r="J31" s="429">
        <f ca="1">IFERROR(VLOOKUP(J$2,Rango_Admin_DailyPred,MATCH($F31,Rango_Admin_DailyPred_Primera,0)+1,0),"-")</f>
        <v>0</v>
      </c>
      <c r="K31" s="429">
        <f ca="1">IFERROR(VLOOKUP(K$2,Rango_Admin_DailyPred,MATCH($F31,Rango_Admin_DailyPred_Primera,0)+1,0),"-")</f>
        <v>2</v>
      </c>
      <c r="L31" s="429">
        <f ca="1">IFERROR(VLOOKUP(L$2,Rango_Admin_DailyPred,MATCH($F31,Rango_Admin_DailyPred_Primera,0)+1,0),"-")</f>
        <v>0</v>
      </c>
      <c r="M31" s="429">
        <f ca="1">IFERROR(VLOOKUP(M$2,Rango_Admin_DailyPred,MATCH($F31,Rango_Admin_DailyPred_Primera,0)+1,0),"-")</f>
        <v>4</v>
      </c>
      <c r="N31" s="429">
        <f ca="1">IFERROR(VLOOKUP(N$2,Rango_Admin_DailyPred,MATCH($F31,Rango_Admin_DailyPred_Primera,0)+1,0),"-")</f>
        <v>0</v>
      </c>
      <c r="O31" s="429">
        <f ca="1">IFERROR(VLOOKUP(O$2,Rango_Admin_DailyPred,MATCH($F31,Rango_Admin_DailyPred_Primera,0)+1,0),"-")</f>
        <v>0</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0</v>
      </c>
      <c r="S31" s="429">
        <f ca="1">IFERROR(VLOOKUP(S$2,Rango_Admin_DailyPred,MATCH($F31,Rango_Admin_DailyPred_Primera,0)+1,0),"-")</f>
        <v>0</v>
      </c>
      <c r="T31" s="429">
        <f ca="1">IFERROR(VLOOKUP(T$2,Rango_Admin_DailyPred,MATCH($F31,Rango_Admin_DailyPred_Primera,0)+1,0),"-")</f>
        <v>0</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4</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0</v>
      </c>
      <c r="AD31" s="429">
        <f ca="1">IFERROR(VLOOKUP(AD$2,Rango_Admin_DailyPred,MATCH($F31,Rango_Admin_DailyPred_Primera,0)+1,0),"-")</f>
        <v>0</v>
      </c>
      <c r="AE31" s="429">
        <f ca="1">IFERROR(VLOOKUP(AE$2,Rango_Admin_DailyPred,MATCH($F31,Rango_Admin_DailyPred_Primera,0)+1,0),"-")</f>
        <v>0</v>
      </c>
      <c r="AF31" s="429">
        <f ca="1">IFERROR(VLOOKUP(AF$2,Rango_Admin_DailyPred,MATCH($F31,Rango_Admin_DailyPred_Primera,0)+1,0),"-")</f>
        <v>0</v>
      </c>
      <c r="AG31" s="429">
        <f ca="1">IFERROR(VLOOKUP(AG$2,Rango_Admin_DailyPred,MATCH($F31,Rango_Admin_DailyPred_Primera,0)+1,0),"-")</f>
        <v>4</v>
      </c>
      <c r="AH31" s="429">
        <f ca="1">IFERROR(VLOOKUP(AH$2,Rango_Admin_DailyPred,MATCH($F31,Rango_Admin_DailyPred_Primera,0)+1,0),"-")</f>
        <v>0</v>
      </c>
      <c r="AI31" s="429">
        <f ca="1">IFERROR(VLOOKUP(AI$2,Rango_Admin_DailyPred,MATCH($F31,Rango_Admin_DailyPred_Primera,0)+1,0),"-")</f>
        <v>0</v>
      </c>
      <c r="AJ31" s="429">
        <f ca="1">IFERROR(VLOOKUP(AJ$2,Rango_Admin_DailyPred,MATCH($F31,Rango_Admin_DailyPred_Primera,0)+1,0),"-")</f>
        <v>0</v>
      </c>
      <c r="AK31" s="429">
        <f ca="1">IFERROR(VLOOKUP(AK$2,Rango_Admin_DailyPred,MATCH($F31,Rango_Admin_DailyPred_Primera,0)+1,0),"-")</f>
        <v>0</v>
      </c>
      <c r="AL31" s="429">
        <f ca="1">IFERROR(VLOOKUP(AL$2,Rango_Admin_DailyPred,MATCH($F31,Rango_Admin_DailyPred_Primera,0)+1,0),"-")</f>
        <v>0</v>
      </c>
      <c r="AM31" s="429">
        <f ca="1">IFERROR(VLOOKUP(AM$2,Rango_Admin_DailyPred,MATCH($F31,Rango_Admin_DailyPred_Primera,0)+1,0),"-")</f>
        <v>0</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(W84)</v>
      </c>
      <c r="C32" s="8">
        <v>29</v>
      </c>
      <c r="D32" s="19"/>
      <c r="E32" s="409">
        <f ca="1">IFERROR(HLOOKUP(C32,Rango_Admin_DailyClas,3,FALSE),"-")</f>
        <v>29</v>
      </c>
      <c r="F32" s="448" t="str">
        <f ca="1">IFERROR(HLOOKUP(C32,Rango_Admin_DailyClas,5,FALSE),"-")</f>
        <v>Alejandro Lafuente</v>
      </c>
      <c r="G32" s="22">
        <f ca="1">IFERROR(HLOOKUP(C32,Rango_Admin_DailyClas,4,FALSE),"-")</f>
        <v>18</v>
      </c>
      <c r="H32" s="429">
        <f ca="1">IFERROR(VLOOKUP(H$2,Rango_Admin_DailyPred,MATCH($F32,Rango_Admin_DailyPred_Primera,0)+1,0),"-")</f>
        <v>0</v>
      </c>
      <c r="I32" s="429">
        <f ca="1">IFERROR(VLOOKUP(I$2,Rango_Admin_DailyPred,MATCH($F32,Rango_Admin_DailyPred_Primera,0)+1,0),"-")</f>
        <v>1</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1</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4</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0</v>
      </c>
      <c r="AE32" s="429">
        <f ca="1">IFERROR(VLOOKUP(AE$2,Rango_Admin_DailyPred,MATCH($F32,Rango_Admin_DailyPred_Primera,0)+1,0),"-")</f>
        <v>0</v>
      </c>
      <c r="AF32" s="429">
        <f ca="1">IFERROR(VLOOKUP(AF$2,Rango_Admin_DailyPred,MATCH($F32,Rango_Admin_DailyPred_Primera,0)+1,0),"-")</f>
        <v>0</v>
      </c>
      <c r="AG32" s="429">
        <f ca="1">IFERROR(VLOOKUP(AG$2,Rango_Admin_DailyPred,MATCH($F32,Rango_Admin_DailyPred_Primera,0)+1,0),"-")</f>
        <v>4</v>
      </c>
      <c r="AH32" s="429">
        <f ca="1">IFERROR(VLOOKUP(AH$2,Rango_Admin_DailyPred,MATCH($F32,Rango_Admin_DailyPred_Primera,0)+1,0),"-")</f>
        <v>4</v>
      </c>
      <c r="AI32" s="429">
        <f ca="1">IFERROR(VLOOKUP(AI$2,Rango_Admin_DailyPred,MATCH($F32,Rango_Admin_DailyPred_Primera,0)+1,0),"-")</f>
        <v>0</v>
      </c>
      <c r="AJ32" s="429">
        <f ca="1">IFERROR(VLOOKUP(AJ$2,Rango_Admin_DailyPred,MATCH($F32,Rango_Admin_DailyPred_Primera,0)+1,0),"-")</f>
        <v>0</v>
      </c>
      <c r="AK32" s="429">
        <f ca="1">IFERROR(VLOOKUP(AK$2,Rango_Admin_DailyPred,MATCH($F32,Rango_Admin_DailyPred_Primera,0)+1,0),"-")</f>
        <v>0</v>
      </c>
      <c r="AL32" s="429">
        <f ca="1">IFERROR(VLOOKUP(AL$2,Rango_Admin_DailyPred,MATCH($F32,Rango_Admin_DailyPred_Primera,0)+1,0),"-")</f>
        <v>0</v>
      </c>
      <c r="AM32" s="429">
        <f ca="1">IFERROR(VLOOKUP(AM$2,Rango_Admin_DailyPred,MATCH($F32,Rango_Admin_DailyPred_Primera,0)+1,0),"-")</f>
        <v>0</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(W82)</v>
      </c>
      <c r="C33" s="8">
        <v>30</v>
      </c>
      <c r="D33" s="19"/>
      <c r="E33" s="409">
        <f ca="1">IFERROR(HLOOKUP(C33,Rango_Admin_DailyClas,3,FALSE),"-")</f>
        <v>29</v>
      </c>
      <c r="F33" s="448" t="str">
        <f ca="1">IFERROR(HLOOKUP(C33,Rango_Admin_DailyClas,5,FALSE),"-")</f>
        <v>Jaime Lafuente</v>
      </c>
      <c r="G33" s="22">
        <f ca="1">IFERROR(HLOOKUP(C33,Rango_Admin_DailyClas,4,FALSE),"-")</f>
        <v>18</v>
      </c>
      <c r="H33" s="429">
        <f ca="1">IFERROR(VLOOKUP(H$2,Rango_Admin_DailyPred,MATCH($F33,Rango_Admin_DailyPred_Primera,0)+1,0),"-")</f>
        <v>0</v>
      </c>
      <c r="I33" s="429">
        <f ca="1">IFERROR(VLOOKUP(I$2,Rango_Admin_DailyPred,MATCH($F33,Rango_Admin_DailyPred_Primera,0)+1,0),"-")</f>
        <v>1</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1</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0</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0</v>
      </c>
      <c r="AC33" s="429">
        <f ca="1">IFERROR(VLOOKUP(AC$2,Rango_Admin_DailyPred,MATCH($F33,Rango_Admin_DailyPred_Primera,0)+1,0),"-")</f>
        <v>0</v>
      </c>
      <c r="AD33" s="429">
        <f ca="1">IFERROR(VLOOKUP(AD$2,Rango_Admin_DailyPred,MATCH($F33,Rango_Admin_DailyPred_Primera,0)+1,0),"-")</f>
        <v>0</v>
      </c>
      <c r="AE33" s="429">
        <f ca="1">IFERROR(VLOOKUP(AE$2,Rango_Admin_DailyPred,MATCH($F33,Rango_Admin_DailyPred_Primera,0)+1,0),"-")</f>
        <v>0</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0</v>
      </c>
      <c r="AJ33" s="429">
        <f ca="1">IFERROR(VLOOKUP(AJ$2,Rango_Admin_DailyPred,MATCH($F33,Rango_Admin_DailyPred_Primera,0)+1,0),"-")</f>
        <v>0</v>
      </c>
      <c r="AK33" s="429">
        <f ca="1">IFERROR(VLOOKUP(AK$2,Rango_Admin_DailyPred,MATCH($F33,Rango_Admin_DailyPred_Primera,0)+1,0),"-")</f>
        <v>0</v>
      </c>
      <c r="AL33" s="429">
        <f ca="1">IFERROR(VLOOKUP(AL$2,Rango_Admin_DailyPred,MATCH($F33,Rango_Admin_DailyPred_Primera,0)+1,0),"-")</f>
        <v>0</v>
      </c>
      <c r="AM33" s="429">
        <f ca="1">IFERROR(VLOOKUP(AM$2,Rango_Admin_DailyPred,MATCH($F33,Rango_Admin_DailyPred_Primera,0)+1,0),"-")</f>
        <v>0</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(W88)</v>
      </c>
      <c r="C34" s="8">
        <v>31</v>
      </c>
      <c r="D34" s="19"/>
      <c r="E34" s="409">
        <f ca="1">IFERROR(HLOOKUP(C34,Rango_Admin_DailyClas,3,FALSE),"-")</f>
        <v>31</v>
      </c>
      <c r="F34" s="448" t="str">
        <f ca="1">IFERROR(HLOOKUP(C34,Rango_Admin_DailyClas,5,FALSE),"-")</f>
        <v>BeliBeltrán</v>
      </c>
      <c r="G34" s="22">
        <f ca="1">IFERROR(HLOOKUP(C34,Rango_Admin_DailyClas,4,FALSE),"-")</f>
        <v>17</v>
      </c>
      <c r="H34" s="429">
        <f ca="1">IFERROR(VLOOKUP(H$2,Rango_Admin_DailyPred,MATCH($F34,Rango_Admin_DailyPred_Primera,0)+1,0),"-")</f>
        <v>0</v>
      </c>
      <c r="I34" s="429">
        <f ca="1">IFERROR(VLOOKUP(I$2,Rango_Admin_DailyPred,MATCH($F34,Rango_Admin_DailyPred_Primera,0)+1,0),"-")</f>
        <v>0</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1</v>
      </c>
      <c r="M34" s="429">
        <f ca="1">IFERROR(VLOOKUP(M$2,Rango_Admin_DailyPred,MATCH($F34,Rango_Admin_DailyPred_Primera,0)+1,0),"-")</f>
        <v>0</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0</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4</v>
      </c>
      <c r="AB34" s="429">
        <f ca="1">IFERROR(VLOOKUP(AB$2,Rango_Admin_DailyPred,MATCH($F34,Rango_Admin_DailyPred_Primera,0)+1,0),"-")</f>
        <v>0</v>
      </c>
      <c r="AC34" s="429">
        <f ca="1">IFERROR(VLOOKUP(AC$2,Rango_Admin_DailyPred,MATCH($F34,Rango_Admin_DailyPred_Primera,0)+1,0),"-")</f>
        <v>0</v>
      </c>
      <c r="AD34" s="429">
        <f ca="1">IFERROR(VLOOKUP(AD$2,Rango_Admin_DailyPred,MATCH($F34,Rango_Admin_DailyPred_Primera,0)+1,0),"-")</f>
        <v>0</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4</v>
      </c>
      <c r="AI34" s="429">
        <f ca="1">IFERROR(VLOOKUP(AI$2,Rango_Admin_DailyPred,MATCH($F34,Rango_Admin_DailyPred_Primera,0)+1,0),"-")</f>
        <v>0</v>
      </c>
      <c r="AJ34" s="429">
        <f ca="1">IFERROR(VLOOKUP(AJ$2,Rango_Admin_DailyPred,MATCH($F34,Rango_Admin_DailyPred_Primera,0)+1,0),"-")</f>
        <v>0</v>
      </c>
      <c r="AK34" s="429">
        <f ca="1">IFERROR(VLOOKUP(AK$2,Rango_Admin_DailyPred,MATCH($F34,Rango_Admin_DailyPred_Primera,0)+1,0),"-")</f>
        <v>0</v>
      </c>
      <c r="AL34" s="429">
        <f ca="1">IFERROR(VLOOKUP(AL$2,Rango_Admin_DailyPred,MATCH($F34,Rango_Admin_DailyPred_Primera,0)+1,0),"-")</f>
        <v>0</v>
      </c>
      <c r="AM34" s="429">
        <f ca="1">IFERROR(VLOOKUP(AM$2,Rango_Admin_DailyPred,MATCH($F34,Rango_Admin_DailyPred_Primera,0)+1,0),"-")</f>
        <v>0</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(W87)</v>
      </c>
      <c r="C35" s="8">
        <v>32</v>
      </c>
      <c r="D35" s="19"/>
      <c r="E35" s="409">
        <f ca="1">IFERROR(HLOOKUP(C35,Rango_Admin_DailyClas,3,FALSE),"-")</f>
        <v>32</v>
      </c>
      <c r="F35" s="448" t="str">
        <f ca="1">IFERROR(HLOOKUP(C35,Rango_Admin_DailyClas,5,FALSE),"-")</f>
        <v>Ignacio de Lecea</v>
      </c>
      <c r="G35" s="22">
        <f ca="1">IFERROR(HLOOKUP(C35,Rango_Admin_DailyClas,4,FALSE),"-")</f>
        <v>16</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0</v>
      </c>
      <c r="N35" s="429">
        <f ca="1">IFERROR(VLOOKUP(N$2,Rango_Admin_DailyPred,MATCH($F35,Rango_Admin_DailyPred_Primera,0)+1,0),"-")</f>
        <v>0</v>
      </c>
      <c r="O35" s="429">
        <f ca="1">IFERROR(VLOOKUP(O$2,Rango_Admin_DailyPred,MATCH($F35,Rango_Admin_DailyPred_Primera,0)+1,0),"-")</f>
        <v>0</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0</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4</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0</v>
      </c>
      <c r="AC35" s="429">
        <f ca="1">IFERROR(VLOOKUP(AC$2,Rango_Admin_DailyPred,MATCH($F35,Rango_Admin_DailyPred_Primera,0)+1,0),"-")</f>
        <v>0</v>
      </c>
      <c r="AD35" s="429">
        <f ca="1">IFERROR(VLOOKUP(AD$2,Rango_Admin_DailyPred,MATCH($F35,Rango_Admin_DailyPred_Primera,0)+1,0),"-")</f>
        <v>0</v>
      </c>
      <c r="AE35" s="429">
        <f ca="1">IFERROR(VLOOKUP(AE$2,Rango_Admin_DailyPred,MATCH($F35,Rango_Admin_DailyPred_Primera,0)+1,0),"-")</f>
        <v>0</v>
      </c>
      <c r="AF35" s="429">
        <f ca="1">IFERROR(VLOOKUP(AF$2,Rango_Admin_DailyPred,MATCH($F35,Rango_Admin_DailyPred_Primera,0)+1,0),"-")</f>
        <v>4</v>
      </c>
      <c r="AG35" s="429">
        <f ca="1">IFERROR(VLOOKUP(AG$2,Rango_Admin_DailyPred,MATCH($F35,Rango_Admin_DailyPred_Primera,0)+1,0),"-")</f>
        <v>4</v>
      </c>
      <c r="AH35" s="429">
        <f ca="1">IFERROR(VLOOKUP(AH$2,Rango_Admin_DailyPred,MATCH($F35,Rango_Admin_DailyPred_Primera,0)+1,0),"-")</f>
        <v>0</v>
      </c>
      <c r="AI35" s="429">
        <f ca="1">IFERROR(VLOOKUP(AI$2,Rango_Admin_DailyPred,MATCH($F35,Rango_Admin_DailyPred_Primera,0)+1,0),"-")</f>
        <v>0</v>
      </c>
      <c r="AJ35" s="429">
        <f ca="1">IFERROR(VLOOKUP(AJ$2,Rango_Admin_DailyPred,MATCH($F35,Rango_Admin_DailyPred_Primera,0)+1,0),"-")</f>
        <v>0</v>
      </c>
      <c r="AK35" s="429">
        <f ca="1">IFERROR(VLOOKUP(AK$2,Rango_Admin_DailyPred,MATCH($F35,Rango_Admin_DailyPred_Primera,0)+1,0),"-")</f>
        <v>0</v>
      </c>
      <c r="AL35" s="429">
        <f ca="1">IFERROR(VLOOKUP(AL$2,Rango_Admin_DailyPred,MATCH($F35,Rango_Admin_DailyPred_Primera,0)+1,0),"-")</f>
        <v>0</v>
      </c>
      <c r="AM35" s="429">
        <f ca="1">IFERROR(VLOOKUP(AM$2,Rango_Admin_DailyPred,MATCH($F35,Rango_Admin_DailyPred_Primera,0)+1,0),"-")</f>
        <v>0</v>
      </c>
      <c r="AN35" s="297"/>
    </row>
    <row r="36" spans="1:40">
      <c r="A36" s="8"/>
      <c r="B36" s="8"/>
      <c r="C36" s="8">
        <v>33</v>
      </c>
      <c r="D36" s="19"/>
      <c r="E36" s="409">
        <f ca="1">IFERROR(HLOOKUP(C36,Rango_Admin_DailyClas,3,FALSE),"-")</f>
        <v>32</v>
      </c>
      <c r="F36" s="448" t="str">
        <f ca="1">IFERROR(HLOOKUP(C36,Rango_Admin_DailyClas,5,FALSE),"-")</f>
        <v>YTD</v>
      </c>
      <c r="G36" s="22">
        <f ca="1">IFERROR(HLOOKUP(C36,Rango_Admin_DailyClas,4,FALSE),"-")</f>
        <v>16</v>
      </c>
      <c r="H36" s="429">
        <f ca="1">IFERROR(VLOOKUP(H$2,Rango_Admin_DailyPred,MATCH($F36,Rango_Admin_DailyPred_Primera,0)+1,0),"-")</f>
        <v>0</v>
      </c>
      <c r="I36" s="429">
        <f ca="1">IFERROR(VLOOKUP(I$2,Rango_Admin_DailyPred,MATCH($F36,Rango_Admin_DailyPred_Primera,0)+1,0),"-")</f>
        <v>0</v>
      </c>
      <c r="J36" s="429">
        <f ca="1">IFERROR(VLOOKUP(J$2,Rango_Admin_DailyPred,MATCH($F36,Rango_Admin_DailyPred_Primera,0)+1,0),"-")</f>
        <v>0</v>
      </c>
      <c r="K36" s="429">
        <f ca="1">IFERROR(VLOOKUP(K$2,Rango_Admin_DailyPred,MATCH($F36,Rango_Admin_DailyPred_Primera,0)+1,0),"-")</f>
        <v>0</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0</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4</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0</v>
      </c>
      <c r="AE36" s="429">
        <f ca="1">IFERROR(VLOOKUP(AE$2,Rango_Admin_DailyPred,MATCH($F36,Rango_Admin_DailyPred_Primera,0)+1,0),"-")</f>
        <v>0</v>
      </c>
      <c r="AF36" s="429">
        <f ca="1">IFERROR(VLOOKUP(AF$2,Rango_Admin_DailyPred,MATCH($F36,Rango_Admin_DailyPred_Primera,0)+1,0),"-")</f>
        <v>0</v>
      </c>
      <c r="AG36" s="429">
        <f ca="1">IFERROR(VLOOKUP(AG$2,Rango_Admin_DailyPred,MATCH($F36,Rango_Admin_DailyPred_Primera,0)+1,0),"-")</f>
        <v>4</v>
      </c>
      <c r="AH36" s="429">
        <f ca="1">IFERROR(VLOOKUP(AH$2,Rango_Admin_DailyPred,MATCH($F36,Rango_Admin_DailyPred_Primera,0)+1,0),"-")</f>
        <v>4</v>
      </c>
      <c r="AI36" s="429">
        <f ca="1">IFERROR(VLOOKUP(AI$2,Rango_Admin_DailyPred,MATCH($F36,Rango_Admin_DailyPred_Primera,0)+1,0),"-")</f>
        <v>0</v>
      </c>
      <c r="AJ36" s="429">
        <f ca="1">IFERROR(VLOOKUP(AJ$2,Rango_Admin_DailyPred,MATCH($F36,Rango_Admin_DailyPred_Primera,0)+1,0),"-")</f>
        <v>0</v>
      </c>
      <c r="AK36" s="429">
        <f ca="1">IFERROR(VLOOKUP(AK$2,Rango_Admin_DailyPred,MATCH($F36,Rango_Admin_DailyPred_Primera,0)+1,0),"-")</f>
        <v>0</v>
      </c>
      <c r="AL36" s="429">
        <f ca="1">IFERROR(VLOOKUP(AL$2,Rango_Admin_DailyPred,MATCH($F36,Rango_Admin_DailyPred_Primera,0)+1,0),"-")</f>
        <v>0</v>
      </c>
      <c r="AM36" s="429">
        <f ca="1">IFERROR(VLOOKUP(AM$2,Rango_Admin_DailyPred,MATCH($F36,Rango_Admin_DailyPred_Primera,0)+1,0),"-")</f>
        <v>0</v>
      </c>
      <c r="AN36" s="297"/>
    </row>
    <row r="37" spans="1:40">
      <c r="A37" s="8"/>
      <c r="B37" s="8"/>
      <c r="C37" s="8">
        <v>34</v>
      </c>
      <c r="D37" s="19"/>
      <c r="E37" s="409">
        <f ca="1">IFERROR(HLOOKUP(C37,Rango_Admin_DailyClas,3,FALSE),"-")</f>
        <v>32</v>
      </c>
      <c r="F37" s="448" t="str">
        <f ca="1">IFERROR(HLOOKUP(C37,Rango_Admin_DailyClas,5,FALSE),"-")</f>
        <v>Gratacós</v>
      </c>
      <c r="G37" s="22">
        <f ca="1">IFERROR(HLOOKUP(C37,Rango_Admin_DailyClas,4,FALSE),"-")</f>
        <v>16</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0</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0</v>
      </c>
      <c r="X37" s="429">
        <f ca="1">IFERROR(VLOOKUP(X$2,Rango_Admin_DailyPred,MATCH($F37,Rango_Admin_DailyPred_Primera,0)+1,0),"-")</f>
        <v>4</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0</v>
      </c>
      <c r="AC37" s="429">
        <f ca="1">IFERROR(VLOOKUP(AC$2,Rango_Admin_DailyPred,MATCH($F37,Rango_Admin_DailyPred_Primera,0)+1,0),"-")</f>
        <v>0</v>
      </c>
      <c r="AD37" s="429">
        <f ca="1">IFERROR(VLOOKUP(AD$2,Rango_Admin_DailyPred,MATCH($F37,Rango_Admin_DailyPred_Primera,0)+1,0),"-")</f>
        <v>0</v>
      </c>
      <c r="AE37" s="429">
        <f ca="1">IFERROR(VLOOKUP(AE$2,Rango_Admin_DailyPred,MATCH($F37,Rango_Admin_DailyPred_Primera,0)+1,0),"-")</f>
        <v>0</v>
      </c>
      <c r="AF37" s="429">
        <f ca="1">IFERROR(VLOOKUP(AF$2,Rango_Admin_DailyPred,MATCH($F37,Rango_Admin_DailyPred_Primera,0)+1,0),"-")</f>
        <v>4</v>
      </c>
      <c r="AG37" s="429">
        <f ca="1">IFERROR(VLOOKUP(AG$2,Rango_Admin_DailyPred,MATCH($F37,Rango_Admin_DailyPred_Primera,0)+1,0),"-")</f>
        <v>4</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0</v>
      </c>
      <c r="AK37" s="429">
        <f ca="1">IFERROR(VLOOKUP(AK$2,Rango_Admin_DailyPred,MATCH($F37,Rango_Admin_DailyPred_Primera,0)+1,0),"-")</f>
        <v>0</v>
      </c>
      <c r="AL37" s="429">
        <f ca="1">IFERROR(VLOOKUP(AL$2,Rango_Admin_DailyPred,MATCH($F37,Rango_Admin_DailyPred_Primera,0)+1,0),"-")</f>
        <v>0</v>
      </c>
      <c r="AM37" s="429">
        <f ca="1">IFERROR(VLOOKUP(AM$2,Rango_Admin_DailyPred,MATCH($F37,Rango_Admin_DailyPred_Primera,0)+1,0),"-")</f>
        <v>0</v>
      </c>
      <c r="AN37" s="297"/>
    </row>
    <row r="38" spans="1:40">
      <c r="A38" s="8"/>
      <c r="B38" s="8"/>
      <c r="C38" s="8">
        <v>35</v>
      </c>
      <c r="D38" s="19"/>
      <c r="E38" s="409">
        <f ca="1">IFERROR(HLOOKUP(C38,Rango_Admin_DailyClas,3,FALSE),"-")</f>
        <v>35</v>
      </c>
      <c r="F38" s="448" t="str">
        <f ca="1">IFERROR(HLOOKUP(C38,Rango_Admin_DailyClas,5,FALSE),"-")</f>
        <v>Luis B</v>
      </c>
      <c r="G38" s="22">
        <f ca="1">IFERROR(HLOOKUP(C38,Rango_Admin_DailyClas,4,FALSE),"-")</f>
        <v>15</v>
      </c>
      <c r="H38" s="429">
        <f ca="1">IFERROR(VLOOKUP(H$2,Rango_Admin_DailyPred,MATCH($F38,Rango_Admin_DailyPred_Primera,0)+1,0),"-")</f>
        <v>0</v>
      </c>
      <c r="I38" s="429">
        <f ca="1">IFERROR(VLOOKUP(I$2,Rango_Admin_DailyPred,MATCH($F38,Rango_Admin_DailyPred_Primera,0)+1,0),"-")</f>
        <v>2</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1</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0</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0</v>
      </c>
      <c r="X38" s="429">
        <f ca="1">IFERROR(VLOOKUP(X$2,Rango_Admin_DailyPred,MATCH($F38,Rango_Admin_DailyPred_Primera,0)+1,0),"-")</f>
        <v>0</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0</v>
      </c>
      <c r="AB38" s="429">
        <f ca="1">IFERROR(VLOOKUP(AB$2,Rango_Admin_DailyPred,MATCH($F38,Rango_Admin_DailyPred_Primera,0)+1,0),"-")</f>
        <v>0</v>
      </c>
      <c r="AC38" s="429">
        <f ca="1">IFERROR(VLOOKUP(AC$2,Rango_Admin_DailyPred,MATCH($F38,Rango_Admin_DailyPred_Primera,0)+1,0),"-")</f>
        <v>4</v>
      </c>
      <c r="AD38" s="429">
        <f ca="1">IFERROR(VLOOKUP(AD$2,Rango_Admin_DailyPred,MATCH($F38,Rango_Admin_DailyPred_Primera,0)+1,0),"-")</f>
        <v>0</v>
      </c>
      <c r="AE38" s="429">
        <f ca="1">IFERROR(VLOOKUP(AE$2,Rango_Admin_DailyPred,MATCH($F38,Rango_Admin_DailyPred_Primera,0)+1,0),"-")</f>
        <v>0</v>
      </c>
      <c r="AF38" s="429">
        <f ca="1">IFERROR(VLOOKUP(AF$2,Rango_Admin_DailyPred,MATCH($F38,Rango_Admin_DailyPred_Primera,0)+1,0),"-")</f>
        <v>0</v>
      </c>
      <c r="AG38" s="429">
        <f ca="1">IFERROR(VLOOKUP(AG$2,Rango_Admin_DailyPred,MATCH($F38,Rango_Admin_DailyPred_Primera,0)+1,0),"-")</f>
        <v>4</v>
      </c>
      <c r="AH38" s="429">
        <f ca="1">IFERROR(VLOOKUP(AH$2,Rango_Admin_DailyPred,MATCH($F38,Rango_Admin_DailyPred_Primera,0)+1,0),"-")</f>
        <v>0</v>
      </c>
      <c r="AI38" s="429">
        <f ca="1">IFERROR(VLOOKUP(AI$2,Rango_Admin_DailyPred,MATCH($F38,Rango_Admin_DailyPred_Primera,0)+1,0),"-")</f>
        <v>0</v>
      </c>
      <c r="AJ38" s="429">
        <f ca="1">IFERROR(VLOOKUP(AJ$2,Rango_Admin_DailyPred,MATCH($F38,Rango_Admin_DailyPred_Primera,0)+1,0),"-")</f>
        <v>0</v>
      </c>
      <c r="AK38" s="429">
        <f ca="1">IFERROR(VLOOKUP(AK$2,Rango_Admin_DailyPred,MATCH($F38,Rango_Admin_DailyPred_Primera,0)+1,0),"-")</f>
        <v>0</v>
      </c>
      <c r="AL38" s="429">
        <f ca="1">IFERROR(VLOOKUP(AL$2,Rango_Admin_DailyPred,MATCH($F38,Rango_Admin_DailyPred_Primera,0)+1,0),"-")</f>
        <v>0</v>
      </c>
      <c r="AM38" s="429">
        <f ca="1">IFERROR(VLOOKUP(AM$2,Rango_Admin_DailyPred,MATCH($F38,Rango_Admin_DailyPred_Primera,0)+1,0),"-")</f>
        <v>0</v>
      </c>
      <c r="AN38" s="297"/>
    </row>
    <row r="39" spans="1:40">
      <c r="A39" s="8"/>
      <c r="B39" s="8"/>
      <c r="C39" s="8">
        <v>36</v>
      </c>
      <c r="D39" s="19"/>
      <c r="E39" s="409">
        <f ca="1">IFERROR(HLOOKUP(C39,Rango_Admin_DailyClas,3,FALSE),"-")</f>
        <v>35</v>
      </c>
      <c r="F39" s="448" t="str">
        <f ca="1">IFERROR(HLOOKUP(C39,Rango_Admin_DailyClas,5,FALSE),"-")</f>
        <v>Nacho Novo</v>
      </c>
      <c r="G39" s="22">
        <f ca="1">IFERROR(HLOOKUP(C39,Rango_Admin_DailyClas,4,FALSE),"-")</f>
        <v>15</v>
      </c>
      <c r="H39" s="429">
        <f ca="1">IFERROR(VLOOKUP(H$2,Rango_Admin_DailyPred,MATCH($F39,Rango_Admin_DailyPred_Primera,0)+1,0),"-")</f>
        <v>0</v>
      </c>
      <c r="I39" s="429">
        <f ca="1">IFERROR(VLOOKUP(I$2,Rango_Admin_DailyPred,MATCH($F39,Rango_Admin_DailyPred_Primera,0)+1,0),"-")</f>
        <v>1</v>
      </c>
      <c r="J39" s="429">
        <f ca="1">IFERROR(VLOOKUP(J$2,Rango_Admin_DailyPred,MATCH($F39,Rango_Admin_DailyPred_Primera,0)+1,0),"-")</f>
        <v>0</v>
      </c>
      <c r="K39" s="429">
        <f ca="1">IFERROR(VLOOKUP(K$2,Rango_Admin_DailyPred,MATCH($F39,Rango_Admin_DailyPred_Primera,0)+1,0),"-")</f>
        <v>2</v>
      </c>
      <c r="L39" s="429">
        <f ca="1">IFERROR(VLOOKUP(L$2,Rango_Admin_DailyPred,MATCH($F39,Rango_Admin_DailyPred_Primera,0)+1,0),"-")</f>
        <v>0</v>
      </c>
      <c r="M39" s="429">
        <f ca="1">IFERROR(VLOOKUP(M$2,Rango_Admin_DailyPred,MATCH($F39,Rango_Admin_DailyPred_Primera,0)+1,0),"-")</f>
        <v>4</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0</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0</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0</v>
      </c>
      <c r="AC39" s="429">
        <f ca="1">IFERROR(VLOOKUP(AC$2,Rango_Admin_DailyPred,MATCH($F39,Rango_Admin_DailyPred_Primera,0)+1,0),"-")</f>
        <v>0</v>
      </c>
      <c r="AD39" s="429">
        <f ca="1">IFERROR(VLOOKUP(AD$2,Rango_Admin_DailyPred,MATCH($F39,Rango_Admin_DailyPred_Primera,0)+1,0),"-")</f>
        <v>0</v>
      </c>
      <c r="AE39" s="429">
        <f ca="1">IFERROR(VLOOKUP(AE$2,Rango_Admin_DailyPred,MATCH($F39,Rango_Admin_DailyPred_Primera,0)+1,0),"-")</f>
        <v>0</v>
      </c>
      <c r="AF39" s="429">
        <f ca="1">IFERROR(VLOOKUP(AF$2,Rango_Admin_DailyPred,MATCH($F39,Rango_Admin_DailyPred_Primera,0)+1,0),"-")</f>
        <v>0</v>
      </c>
      <c r="AG39" s="429">
        <f ca="1">IFERROR(VLOOKUP(AG$2,Rango_Admin_DailyPred,MATCH($F39,Rango_Admin_DailyPred_Primera,0)+1,0),"-")</f>
        <v>4</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0</v>
      </c>
      <c r="AK39" s="429">
        <f ca="1">IFERROR(VLOOKUP(AK$2,Rango_Admin_DailyPred,MATCH($F39,Rango_Admin_DailyPred_Primera,0)+1,0),"-")</f>
        <v>0</v>
      </c>
      <c r="AL39" s="429">
        <f ca="1">IFERROR(VLOOKUP(AL$2,Rango_Admin_DailyPred,MATCH($F39,Rango_Admin_DailyPred_Primera,0)+1,0),"-")</f>
        <v>0</v>
      </c>
      <c r="AM39" s="429">
        <f ca="1">IFERROR(VLOOKUP(AM$2,Rango_Admin_DailyPred,MATCH($F39,Rango_Admin_DailyPred_Primera,0)+1,0),"-")</f>
        <v>0</v>
      </c>
      <c r="AN39" s="297"/>
    </row>
    <row r="40" spans="1:40">
      <c r="A40" s="8"/>
      <c r="B40" s="8"/>
      <c r="C40" s="8">
        <v>37</v>
      </c>
      <c r="D40" s="19"/>
      <c r="E40" s="409">
        <f ca="1">IFERROR(HLOOKUP(C40,Rango_Admin_DailyClas,3,FALSE),"-")</f>
        <v>35</v>
      </c>
      <c r="F40" s="448" t="str">
        <f ca="1">IFERROR(HLOOKUP(C40,Rango_Admin_DailyClas,5,FALSE),"-")</f>
        <v>Ricardo Soto</v>
      </c>
      <c r="G40" s="22">
        <f ca="1">IFERROR(HLOOKUP(C40,Rango_Admin_DailyClas,4,FALSE),"-")</f>
        <v>15</v>
      </c>
      <c r="H40" s="429">
        <f ca="1">IFERROR(VLOOKUP(H$2,Rango_Admin_DailyPred,MATCH($F40,Rango_Admin_DailyPred_Primera,0)+1,0),"-")</f>
        <v>0</v>
      </c>
      <c r="I40" s="429">
        <f ca="1">IFERROR(VLOOKUP(I$2,Rango_Admin_DailyPred,MATCH($F40,Rango_Admin_DailyPred_Primera,0)+1,0),"-")</f>
        <v>1</v>
      </c>
      <c r="J40" s="429">
        <f ca="1">IFERROR(VLOOKUP(J$2,Rango_Admin_DailyPred,MATCH($F40,Rango_Admin_DailyPred_Primera,0)+1,0),"-")</f>
        <v>0</v>
      </c>
      <c r="K40" s="429">
        <f ca="1">IFERROR(VLOOKUP(K$2,Rango_Admin_DailyPred,MATCH($F40,Rango_Admin_DailyPred_Primera,0)+1,0),"-")</f>
        <v>2</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0</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0</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4</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0</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0</v>
      </c>
      <c r="AH40" s="429">
        <f ca="1">IFERROR(VLOOKUP(AH$2,Rango_Admin_DailyPred,MATCH($F40,Rango_Admin_DailyPred_Primera,0)+1,0),"-")</f>
        <v>4</v>
      </c>
      <c r="AI40" s="429">
        <f ca="1">IFERROR(VLOOKUP(AI$2,Rango_Admin_DailyPred,MATCH($F40,Rango_Admin_DailyPred_Primera,0)+1,0),"-")</f>
        <v>0</v>
      </c>
      <c r="AJ40" s="429">
        <f ca="1">IFERROR(VLOOKUP(AJ$2,Rango_Admin_DailyPred,MATCH($F40,Rango_Admin_DailyPred_Primera,0)+1,0),"-")</f>
        <v>0</v>
      </c>
      <c r="AK40" s="429">
        <f ca="1">IFERROR(VLOOKUP(AK$2,Rango_Admin_DailyPred,MATCH($F40,Rango_Admin_DailyPred_Primera,0)+1,0),"-")</f>
        <v>0</v>
      </c>
      <c r="AL40" s="429">
        <f ca="1">IFERROR(VLOOKUP(AL$2,Rango_Admin_DailyPred,MATCH($F40,Rango_Admin_DailyPred_Primera,0)+1,0),"-")</f>
        <v>0</v>
      </c>
      <c r="AM40" s="429">
        <f ca="1">IFERROR(VLOOKUP(AM$2,Rango_Admin_DailyPred,MATCH($F40,Rango_Admin_DailyPred_Primera,0)+1,0),"-")</f>
        <v>0</v>
      </c>
      <c r="AN40" s="297"/>
    </row>
    <row r="41" spans="1:40">
      <c r="A41" s="8"/>
      <c r="B41" s="8"/>
      <c r="C41" s="8">
        <v>38</v>
      </c>
      <c r="D41" s="19"/>
      <c r="E41" s="409">
        <f ca="1">IFERROR(HLOOKUP(C41,Rango_Admin_DailyClas,3,FALSE),"-")</f>
        <v>38</v>
      </c>
      <c r="F41" s="448" t="str">
        <f ca="1">IFERROR(HLOOKUP(C41,Rango_Admin_DailyClas,5,FALSE),"-")</f>
        <v>Chente Muñoz</v>
      </c>
      <c r="G41" s="22">
        <f ca="1">IFERROR(HLOOKUP(C41,Rango_Admin_DailyClas,4,FALSE),"-")</f>
        <v>13</v>
      </c>
      <c r="H41" s="429">
        <f ca="1">IFERROR(VLOOKUP(H$2,Rango_Admin_DailyPred,MATCH($F41,Rango_Admin_DailyPred_Primera,0)+1,0),"-")</f>
        <v>0</v>
      </c>
      <c r="I41" s="429">
        <f ca="1">IFERROR(VLOOKUP(I$2,Rango_Admin_DailyPred,MATCH($F41,Rango_Admin_DailyPred_Primera,0)+1,0),"-")</f>
        <v>1</v>
      </c>
      <c r="J41" s="429">
        <f ca="1">IFERROR(VLOOKUP(J$2,Rango_Admin_DailyPred,MATCH($F41,Rango_Admin_DailyPred_Primera,0)+1,0),"-")</f>
        <v>0</v>
      </c>
      <c r="K41" s="429">
        <f ca="1">IFERROR(VLOOKUP(K$2,Rango_Admin_DailyPred,MATCH($F41,Rango_Admin_DailyPred_Primera,0)+1,0),"-")</f>
        <v>0</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4</v>
      </c>
      <c r="AB41" s="429">
        <f ca="1">IFERROR(VLOOKUP(AB$2,Rango_Admin_DailyPred,MATCH($F41,Rango_Admin_DailyPred_Primera,0)+1,0),"-")</f>
        <v>0</v>
      </c>
      <c r="AC41" s="429">
        <f ca="1">IFERROR(VLOOKUP(AC$2,Rango_Admin_DailyPred,MATCH($F41,Rango_Admin_DailyPred_Primera,0)+1,0),"-")</f>
        <v>0</v>
      </c>
      <c r="AD41" s="429">
        <f ca="1">IFERROR(VLOOKUP(AD$2,Rango_Admin_DailyPred,MATCH($F41,Rango_Admin_DailyPred_Primera,0)+1,0),"-")</f>
        <v>0</v>
      </c>
      <c r="AE41" s="429">
        <f ca="1">IFERROR(VLOOKUP(AE$2,Rango_Admin_DailyPred,MATCH($F41,Rango_Admin_DailyPred_Primera,0)+1,0),"-")</f>
        <v>0</v>
      </c>
      <c r="AF41" s="429">
        <f ca="1">IFERROR(VLOOKUP(AF$2,Rango_Admin_DailyPred,MATCH($F41,Rango_Admin_DailyPred_Primera,0)+1,0),"-")</f>
        <v>0</v>
      </c>
      <c r="AG41" s="429">
        <f ca="1">IFERROR(VLOOKUP(AG$2,Rango_Admin_DailyPred,MATCH($F41,Rango_Admin_DailyPred_Primera,0)+1,0),"-")</f>
        <v>4</v>
      </c>
      <c r="AH41" s="429">
        <f ca="1">IFERROR(VLOOKUP(AH$2,Rango_Admin_DailyPred,MATCH($F41,Rango_Admin_DailyPred_Primera,0)+1,0),"-")</f>
        <v>0</v>
      </c>
      <c r="AI41" s="429">
        <f ca="1">IFERROR(VLOOKUP(AI$2,Rango_Admin_DailyPred,MATCH($F41,Rango_Admin_DailyPred_Primera,0)+1,0),"-")</f>
        <v>0</v>
      </c>
      <c r="AJ41" s="429">
        <f ca="1">IFERROR(VLOOKUP(AJ$2,Rango_Admin_DailyPred,MATCH($F41,Rango_Admin_DailyPred_Primera,0)+1,0),"-")</f>
        <v>0</v>
      </c>
      <c r="AK41" s="429">
        <f ca="1">IFERROR(VLOOKUP(AK$2,Rango_Admin_DailyPred,MATCH($F41,Rango_Admin_DailyPred_Primera,0)+1,0),"-")</f>
        <v>0</v>
      </c>
      <c r="AL41" s="429">
        <f ca="1">IFERROR(VLOOKUP(AL$2,Rango_Admin_DailyPred,MATCH($F41,Rango_Admin_DailyPred_Primera,0)+1,0),"-")</f>
        <v>0</v>
      </c>
      <c r="AM41" s="429">
        <f ca="1">IFERROR(VLOOKUP(AM$2,Rango_Admin_DailyPred,MATCH($F41,Rango_Admin_DailyPred_Primera,0)+1,0),"-")</f>
        <v>0</v>
      </c>
      <c r="AN41" s="297"/>
    </row>
    <row r="42" spans="1:40">
      <c r="A42" s="8"/>
      <c r="B42" s="8"/>
      <c r="C42" s="8">
        <v>39</v>
      </c>
      <c r="D42" s="19"/>
      <c r="E42" s="409">
        <f ca="1">IFERROR(HLOOKUP(C42,Rango_Admin_DailyClas,3,FALSE),"-")</f>
        <v>38</v>
      </c>
      <c r="F42" s="448" t="str">
        <f ca="1">IFERROR(HLOOKUP(C42,Rango_Admin_DailyClas,5,FALSE),"-")</f>
        <v>Hulk Rexach</v>
      </c>
      <c r="G42" s="22">
        <f ca="1">IFERROR(HLOOKUP(C42,Rango_Admin_DailyClas,4,FALSE),"-")</f>
        <v>13</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1</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0</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4</v>
      </c>
      <c r="Y42" s="429">
        <f ca="1">IFERROR(VLOOKUP(Y$2,Rango_Admin_DailyPred,MATCH($F42,Rango_Admin_DailyPred_Primera,0)+1,0),"-")</f>
        <v>0</v>
      </c>
      <c r="Z42" s="429">
        <f ca="1">IFERROR(VLOOKUP(Z$2,Rango_Admin_DailyPred,MATCH($F42,Rango_Admin_DailyPred_Primera,0)+1,0),"-")</f>
        <v>4</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0</v>
      </c>
      <c r="AE42" s="429">
        <f ca="1">IFERROR(VLOOKUP(AE$2,Rango_Admin_DailyPred,MATCH($F42,Rango_Admin_DailyPred_Primera,0)+1,0),"-")</f>
        <v>0</v>
      </c>
      <c r="AF42" s="429">
        <f ca="1">IFERROR(VLOOKUP(AF$2,Rango_Admin_DailyPred,MATCH($F42,Rango_Admin_DailyPred_Primera,0)+1,0),"-")</f>
        <v>0</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0</v>
      </c>
      <c r="AJ42" s="429">
        <f ca="1">IFERROR(VLOOKUP(AJ$2,Rango_Admin_DailyPred,MATCH($F42,Rango_Admin_DailyPred_Primera,0)+1,0),"-")</f>
        <v>0</v>
      </c>
      <c r="AK42" s="429">
        <f ca="1">IFERROR(VLOOKUP(AK$2,Rango_Admin_DailyPred,MATCH($F42,Rango_Admin_DailyPred_Primera,0)+1,0),"-")</f>
        <v>0</v>
      </c>
      <c r="AL42" s="429">
        <f ca="1">IFERROR(VLOOKUP(AL$2,Rango_Admin_DailyPred,MATCH($F42,Rango_Admin_DailyPred_Primera,0)+1,0),"-")</f>
        <v>0</v>
      </c>
      <c r="AM42" s="429">
        <f ca="1">IFERROR(VLOOKUP(AM$2,Rango_Admin_DailyPred,MATCH($F42,Rango_Admin_DailyPred_Primera,0)+1,0),"-")</f>
        <v>0</v>
      </c>
      <c r="AN42" s="297"/>
    </row>
    <row r="43" spans="1:40">
      <c r="A43" s="8"/>
      <c r="B43" s="8"/>
      <c r="C43" s="8">
        <v>40</v>
      </c>
      <c r="D43" s="19"/>
      <c r="E43" s="409">
        <f ca="1">IFERROR(HLOOKUP(C43,Rango_Admin_DailyClas,3,FALSE),"-")</f>
        <v>40</v>
      </c>
      <c r="F43" s="448" t="str">
        <f ca="1">IFERROR(HLOOKUP(C43,Rango_Admin_DailyClas,5,FALSE),"-")</f>
        <v>Pablo C</v>
      </c>
      <c r="G43" s="22">
        <f ca="1">IFERROR(HLOOKUP(C43,Rango_Admin_DailyClas,4,FALSE),"-")</f>
        <v>12</v>
      </c>
      <c r="H43" s="429">
        <f ca="1">IFERROR(VLOOKUP(H$2,Rango_Admin_DailyPred,MATCH($F43,Rango_Admin_DailyPred_Primera,0)+1,0),"-")</f>
        <v>0</v>
      </c>
      <c r="I43" s="429">
        <f ca="1">IFERROR(VLOOKUP(I$2,Rango_Admin_DailyPred,MATCH($F43,Rango_Admin_DailyPred_Primera,0)+1,0),"-")</f>
        <v>0</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0</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0</v>
      </c>
      <c r="S43" s="429">
        <f ca="1">IFERROR(VLOOKUP(S$2,Rango_Admin_DailyPred,MATCH($F43,Rango_Admin_DailyPred_Primera,0)+1,0),"-")</f>
        <v>0</v>
      </c>
      <c r="T43" s="429">
        <f ca="1">IFERROR(VLOOKUP(T$2,Rango_Admin_DailyPred,MATCH($F43,Rango_Admin_DailyPred_Primera,0)+1,0),"-")</f>
        <v>0</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4</v>
      </c>
      <c r="Y43" s="429">
        <f ca="1">IFERROR(VLOOKUP(Y$2,Rango_Admin_DailyPred,MATCH($F43,Rango_Admin_DailyPred_Primera,0)+1,0),"-")</f>
        <v>0</v>
      </c>
      <c r="Z43" s="429">
        <f ca="1">IFERROR(VLOOKUP(Z$2,Rango_Admin_DailyPred,MATCH($F43,Rango_Admin_DailyPred_Primera,0)+1,0),"-")</f>
        <v>0</v>
      </c>
      <c r="AA43" s="429">
        <f ca="1">IFERROR(VLOOKUP(AA$2,Rango_Admin_DailyPred,MATCH($F43,Rango_Admin_DailyPred_Primera,0)+1,0),"-")</f>
        <v>0</v>
      </c>
      <c r="AB43" s="429">
        <f ca="1">IFERROR(VLOOKUP(AB$2,Rango_Admin_DailyPred,MATCH($F43,Rango_Admin_DailyPred_Primera,0)+1,0),"-")</f>
        <v>0</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0</v>
      </c>
      <c r="AF43" s="429">
        <f ca="1">IFERROR(VLOOKUP(AF$2,Rango_Admin_DailyPred,MATCH($F43,Rango_Admin_DailyPred_Primera,0)+1,0),"-")</f>
        <v>4</v>
      </c>
      <c r="AG43" s="429">
        <f ca="1">IFERROR(VLOOKUP(AG$2,Rango_Admin_DailyPred,MATCH($F43,Rango_Admin_DailyPred_Primera,0)+1,0),"-")</f>
        <v>4</v>
      </c>
      <c r="AH43" s="429">
        <f ca="1">IFERROR(VLOOKUP(AH$2,Rango_Admin_DailyPred,MATCH($F43,Rango_Admin_DailyPred_Primera,0)+1,0),"-")</f>
        <v>0</v>
      </c>
      <c r="AI43" s="429">
        <f ca="1">IFERROR(VLOOKUP(AI$2,Rango_Admin_DailyPred,MATCH($F43,Rango_Admin_DailyPred_Primera,0)+1,0),"-")</f>
        <v>0</v>
      </c>
      <c r="AJ43" s="429">
        <f ca="1">IFERROR(VLOOKUP(AJ$2,Rango_Admin_DailyPred,MATCH($F43,Rango_Admin_DailyPred_Primera,0)+1,0),"-")</f>
        <v>0</v>
      </c>
      <c r="AK43" s="429">
        <f ca="1">IFERROR(VLOOKUP(AK$2,Rango_Admin_DailyPred,MATCH($F43,Rango_Admin_DailyPred_Primera,0)+1,0),"-")</f>
        <v>0</v>
      </c>
      <c r="AL43" s="429">
        <f ca="1">IFERROR(VLOOKUP(AL$2,Rango_Admin_DailyPred,MATCH($F43,Rango_Admin_DailyPred_Primera,0)+1,0),"-")</f>
        <v>0</v>
      </c>
      <c r="AM43" s="429">
        <f ca="1">IFERROR(VLOOKUP(AM$2,Rango_Admin_DailyPred,MATCH($F43,Rango_Admin_DailyPred_Primera,0)+1,0),"-")</f>
        <v>0</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8</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0</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0</v>
      </c>
      <c r="AC44" s="429">
        <f ca="1">IFERROR(VLOOKUP(AC$2,Rango_Admin_DailyPred,MATCH($F44,Rango_Admin_DailyPred_Primera,0)+1,0),"-")</f>
        <v>0</v>
      </c>
      <c r="AD44" s="429">
        <f ca="1">IFERROR(VLOOKUP(AD$2,Rango_Admin_DailyPred,MATCH($F44,Rango_Admin_DailyPred_Primera,0)+1,0),"-")</f>
        <v>0</v>
      </c>
      <c r="AE44" s="429">
        <f ca="1">IFERROR(VLOOKUP(AE$2,Rango_Admin_DailyPred,MATCH($F44,Rango_Admin_DailyPred_Primera,0)+1,0),"-")</f>
        <v>0</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0</v>
      </c>
      <c r="AK44" s="429">
        <f ca="1">IFERROR(VLOOKUP(AK$2,Rango_Admin_DailyPred,MATCH($F44,Rango_Admin_DailyPred_Primera,0)+1,0),"-")</f>
        <v>4</v>
      </c>
      <c r="AL44" s="429">
        <f ca="1">IFERROR(VLOOKUP(AL$2,Rango_Admin_DailyPred,MATCH($F44,Rango_Admin_DailyPred_Primera,0)+1,0),"-")</f>
        <v>0</v>
      </c>
      <c r="AM44" s="429">
        <f ca="1">IFERROR(VLOOKUP(AM$2,Rango_Admin_DailyPred,MATCH($F44,Rango_Admin_DailyPred_Primera,0)+1,0),"-")</f>
        <v>0</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0.75961538461538458</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845</v>
      </c>
      <c r="F13" s="456">
        <f ca="1">IFERROR(E13/E12,0)</f>
        <v>0.13203124999999999</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16.899999999999999</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231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1</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1</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1</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1</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1</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1</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1</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1</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1</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1</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1</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1</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2026-07-01T07:36:03Z</dcterms:modified>
  <cp:category/>
</cp:coreProperties>
</file>